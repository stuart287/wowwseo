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ort-" sheetId="2" r:id="rId6"/>
    <sheet state="visible" name="long-" sheetId="3" r:id="rId7"/>
    <sheet state="visible" name="duplicates-" sheetId="4" r:id="rId8"/>
    <sheet state="visible" name="suffixes" sheetId="5" r:id="rId9"/>
    <sheet state="hidden" name="Sheet2" sheetId="6" r:id="rId10"/>
    <sheet state="visible" name="Unique suffix" sheetId="7" r:id="rId11"/>
  </sheets>
  <definedNames>
    <definedName hidden="1" localSheetId="0" name="_xlnm._FilterDatabase">data!$A$1:$V$1106</definedName>
    <definedName hidden="1" localSheetId="1" name="_xlnm._FilterDatabase">'short-'!$A$1:$V$1106</definedName>
    <definedName hidden="1" localSheetId="2" name="_xlnm._FilterDatabase">'long-'!$A$1:$V$1106</definedName>
    <definedName hidden="1" localSheetId="3" name="_xlnm._FilterDatabase">'duplicates-'!$A$1:$V$1106</definedName>
    <definedName hidden="1" localSheetId="4" name="_xlnm._FilterDatabase">suffixes!$A$1:$V$1107</definedName>
    <definedName hidden="1" localSheetId="6" name="_xlnm._FilterDatabase">'Unique suffix'!$A$1:$Z$1000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tc={3df008b7-e47c-4594-98c0-467560898c4f}</author>
  </authors>
  <commentList>
    <comment authorId="0" xr:uid="{3df008b7-e47c-4594-98c0-467560898c4f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indexed
</t>
      </text>
    </comment>
  </commentList>
</comments>
</file>

<file path=xl/sharedStrings.xml><?xml version="1.0" encoding="utf-8"?>
<sst xmlns="http://schemas.openxmlformats.org/spreadsheetml/2006/main" count="1574" uniqueCount="199">
  <si>
    <t>URL</t>
  </si>
  <si>
    <t>Title</t>
  </si>
  <si>
    <t>Title length</t>
  </si>
  <si>
    <t>No. of titles</t>
  </si>
  <si>
    <t>No. of groups having the same title</t>
  </si>
  <si>
    <t>No. of pages having the same title</t>
  </si>
  <si>
    <t>Is page title used in SERP</t>
  </si>
  <si>
    <t>HTTP status code</t>
  </si>
  <si>
    <t>Is indexable page</t>
  </si>
  <si>
    <t>Content type</t>
  </si>
  <si>
    <t>Is rendered page</t>
  </si>
  <si>
    <t>https://www.pikelandpropertygroup.com/</t>
  </si>
  <si>
    <t>Pikeland Property Group - Sell My House Fast - We Buy Houses for Cash</t>
  </si>
  <si>
    <t>text/html; charset=utf-8</t>
  </si>
  <si>
    <t>https://www.pikelandpropertygroup.com/privacy-policy/</t>
  </si>
  <si>
    <t>Privacy Policy - Pikeland Property Group</t>
  </si>
  <si>
    <t>https://www.pikelandpropertygroup.com/faq/</t>
  </si>
  <si>
    <t>FAQ - Pikeland Property Group</t>
  </si>
  <si>
    <t>https://www.pikelandpropertygroup.com/how-we-buy-houses/</t>
  </si>
  <si>
    <t>How It Works - Pikeland Property Group</t>
  </si>
  <si>
    <t>https://www.pikelandpropertygroup.com/contact-us/</t>
  </si>
  <si>
    <t>Contact Us - Pikeland Property Group</t>
  </si>
  <si>
    <t>https://www.pikelandpropertygroup.com/reviews/</t>
  </si>
  <si>
    <t>Reviews - Pikeland Property Group</t>
  </si>
  <si>
    <t>https://www.pikelandpropertygroup.com/our-company/</t>
  </si>
  <si>
    <t>About Us - Pikeland Property Group</t>
  </si>
  <si>
    <t>https://www.pikelandpropertygroup.com/get-your-offer/</t>
  </si>
  <si>
    <t>Get Your Offer - Pikeland Property Group</t>
  </si>
  <si>
    <t>https://www.pikelandpropertygroup.com/blog/category/sellers/</t>
  </si>
  <si>
    <t>sellers Archives - Pikeland Property Group</t>
  </si>
  <si>
    <t>https://www.pikelandpropertygroup.com/blog/author/harrisonpikelandpropertygroup-com/</t>
  </si>
  <si>
    <t>Harrison Hall, Author at Pikeland Property Group</t>
  </si>
  <si>
    <t>https://www.pikelandpropertygroup.com/blog/category/building-credibility/</t>
  </si>
  <si>
    <t>building-credibility Archives - Pikeland Property Group</t>
  </si>
  <si>
    <t>https://www.pikelandpropertygroup.com/blog/category/buying-mobile-homes/</t>
  </si>
  <si>
    <t>buying-mobile-homes Archives - Pikeland Property Group</t>
  </si>
  <si>
    <t>https://www.pikelandpropertygroup.com/blog/category/uncategorized/</t>
  </si>
  <si>
    <t>Uncategorized Archives - Pikeland Property Group</t>
  </si>
  <si>
    <t>https://www.pikelandpropertygroup.com/blog/category/selling-mobile-homes/</t>
  </si>
  <si>
    <t>selling-mobile-homes Archives - Pikeland Property Group</t>
  </si>
  <si>
    <t>https://www.pikelandpropertygroup.com/get-a-cash-offer-today/</t>
  </si>
  <si>
    <t>Sell My House Fast Philadelphia - We Buy Houses for Cash - Pikeland Property Group</t>
  </si>
  <si>
    <t>https://www.pikelandpropertygroup.com/blog/author/tommy/</t>
  </si>
  <si>
    <t>Tommy, Author at Pikeland Property Group</t>
  </si>
  <si>
    <t>https://www.pikelandpropertygroup.com/blog/2024/05/</t>
  </si>
  <si>
    <t>May 2024 - Pikeland Property Group</t>
  </si>
  <si>
    <t>https://www.pikelandpropertygroup.com/blog/2023/10/</t>
  </si>
  <si>
    <t>October 2023 - Pikeland Property Group</t>
  </si>
  <si>
    <t>https://www.pikelandpropertygroup.com/blog/2024/04/</t>
  </si>
  <si>
    <t>April 2024 - Pikeland Property Group</t>
  </si>
  <si>
    <t>https://www.pikelandpropertygroup.com/blog/2024/01/</t>
  </si>
  <si>
    <t>January 2024 - Pikeland Property Group</t>
  </si>
  <si>
    <t>https://www.pikelandpropertygroup.com/blog/2024/03/</t>
  </si>
  <si>
    <t>March 2024 - Pikeland Property Group</t>
  </si>
  <si>
    <t>https://www.pikelandpropertygroup.com/blog/2023/09/</t>
  </si>
  <si>
    <t>September 2023 - Pikeland Property Group</t>
  </si>
  <si>
    <t>https://www.pikelandpropertygroup.com/blog/2024/02/</t>
  </si>
  <si>
    <t>February 2024 - Pikeland Property Group</t>
  </si>
  <si>
    <t>https://www.pikelandpropertygroup.com/blog/2023/08/</t>
  </si>
  <si>
    <t>August 2023 - Pikeland Property Group</t>
  </si>
  <si>
    <t>https://www.pikelandpropertygroup.com/stop-foreclosure/</t>
  </si>
  <si>
    <t>https://www.pikelandpropertygroup.com/blog/faq-items/what-if-i-dont-need-a-fast-closing/</t>
  </si>
  <si>
    <t>What if I don’t need a fast closing? - Pikeland Property Group</t>
  </si>
  <si>
    <t>https://www.pikelandpropertygroup.com/blog/selling-a-property-that-needs-repairs-in-pennsylvania/</t>
  </si>
  <si>
    <t>6 Things You Need to Know About Selling a Property That Needs Repairs in Pennsylvania - Pikeland Property Group</t>
  </si>
  <si>
    <t>https://www.pikelandpropertygroup.com/blog/selling-your-home-to-a-direct-buyer-pennsylvania/</t>
  </si>
  <si>
    <t>5 Mistakes to Avoid When Selling Your Home to a Direct Buyer in Pennsylvania - Pikeland Property Group</t>
  </si>
  <si>
    <t>https://www.pikelandpropertygroup.com/blog/faq-items/what-are-the-benefits-of-selling-my-house-in-pennsylvania-to-a-cash-home-buyer/</t>
  </si>
  <si>
    <t>What Are the Benefits of Selling My House in Pennsylvania To A Cash Home Buyer? - Pikeland Property Group</t>
  </si>
  <si>
    <t>https://www.pikelandpropertygroup.com/blog/faq-items/how-fast-is-a-fast-closing/</t>
  </si>
  <si>
    <t>How fast is a fast closing? - Pikeland Property Group</t>
  </si>
  <si>
    <t>https://www.pikelandpropertygroup.com/blog/low-earning-vacation-rental-in-pennsylvania/</t>
  </si>
  <si>
    <t>5 Solutions to Help You With Your Low-Earning Vacation Rental in Pennsylvania - Pikeland Property Group</t>
  </si>
  <si>
    <t>https://www.pikelandpropertygroup.com/blog/faq-items/how-are-you-different-from-a-real-estate-agent/</t>
  </si>
  <si>
    <t>How are you different from a real estate agent? - Pikeland Property Group</t>
  </si>
  <si>
    <t>https://www.pikelandpropertygroup.com/blog/faq-items/learn-about-our-process-and-sell-your-house-today/</t>
  </si>
  <si>
    <t>Learn About Our Process and Sell Your House Today! - Pikeland Property Group</t>
  </si>
  <si>
    <t>https://www.pikelandpropertygroup.com/blog/selling-your-home-to-a-direct-buyer-in-pennsylvania-3/</t>
  </si>
  <si>
    <t>6 Advantages of Selling Your Home to a Direct Buyer in Pennsylvania That You Might Not Know About - Pikeland Property Group</t>
  </si>
  <si>
    <t>https://www.pikelandpropertygroup.com/blog/design-elements-that-can-make-it-difficult-to-sell-your-house-pennsylvania/</t>
  </si>
  <si>
    <t>Dated Design Elements That Can make it Difficult to Sell Your House in Pennsylvania - Pikeland Property Group</t>
  </si>
  <si>
    <t>https://www.pikelandpropertygroup.com/blog/selling-mobile-homes-pennsylvania/</t>
  </si>
  <si>
    <t>Maximizing ROI: How to Make the Most Profit from Buying and Selling Mobile Homes in Pennsylvania - Pikeland Property Group</t>
  </si>
  <si>
    <t>https://www.pikelandpropertygroup.com/blog/buying-and-selling-mobile-homes-pennsylvania/</t>
  </si>
  <si>
    <t>Maximizing Profits: Tips for Buying and Selling Mobile Homes in Pennsylvania - Pikeland Property Group</t>
  </si>
  <si>
    <t>https://www.pikelandpropertygroup.com/blog/buying-and-selling-ranches-and-horse-properties-in-pennsylvania/</t>
  </si>
  <si>
    <t>5 Important Things You Need to Know About Buying and Selling Ranches and Horse Properties in Pennsylvania - Pikeland Property Group</t>
  </si>
  <si>
    <t>https://www.pikelandpropertygroup.com/blog/sell-their-house-directly-in-pennsylvania/</t>
  </si>
  <si>
    <t>5 of the Top Reasons Homeowners Opt to Sell Their House Directly in Pennsylvania - Pikeland Property Group</t>
  </si>
  <si>
    <t>https://www.pikelandpropertygroup.com/blog/faq-items/is-there-any-obligation-when-i-submit-my-information/</t>
  </si>
  <si>
    <t>Is there any obligation when I submit my information? - Pikeland Property Group</t>
  </si>
  <si>
    <t>https://www.pikelandpropertygroup.com/blog/costs-you-may-face-when-selling-your-house-pennsylvania/</t>
  </si>
  <si>
    <t>Commissions, Repairs, Marketing, and Other Potential Costs You May Face When Selling Your House in Pennsylvania - Pikeland Property Group</t>
  </si>
  <si>
    <t>https://www.pikelandpropertygroup.com/blog/investors-are-swooping-up-properties-in-pennsylvania/</t>
  </si>
  <si>
    <t>7 Reasons Investors Are Swooping Up Properties in Pennsylvania - Pikeland Property Group</t>
  </si>
  <si>
    <t>https://www.pikelandpropertygroup.com/blog/faq-items/how-do-you-determine-the-price-to-offer-on-my-house/</t>
  </si>
  <si>
    <t>How do you determine the price to offer on my house? - Pikeland Property Group</t>
  </si>
  <si>
    <t>https://www.pikelandpropertygroup.com/blog/selling-a-house-during-a-divorce-in-pennsylvania/</t>
  </si>
  <si>
    <t>6 Tips for Selling a House During a Divorce in Pennsylvania - Pikeland Property Group</t>
  </si>
  <si>
    <t>https://www.pikelandpropertygroup.com/blog/</t>
  </si>
  <si>
    <t>Blog - Pikeland Property Group</t>
  </si>
  <si>
    <t>https://www.pikelandpropertygroup.com/blog/faq-items/will-you-list-my-house-on-the-mls-or-will-you-be-the-actual-buyer/</t>
  </si>
  <si>
    <t>Will you list my house on the MLS, or will you be the actual buyer? - Pikeland Property Group</t>
  </si>
  <si>
    <t>https://www.pikelandpropertygroup.com/blog/sell-an-unwanted-house-in-pennsylvania/</t>
  </si>
  <si>
    <t>7 Ways Pikeland Property Group Makes it Simple to Sell An Unwanted House in Pennsylvania - Pikeland Property Group</t>
  </si>
  <si>
    <t>https://www.pikelandpropertygroup.com/blog/pennsylvania-real-estate-investors-can-incorporate-multi-family-properties-into-their-portfolios/</t>
  </si>
  <si>
    <t>How Pennsylvania Real Estate Investors Can Incorporate Multi-Family Properties Into Their Portfolios - Pikeland Property Group</t>
  </si>
  <si>
    <t>https://www.pikelandpropertygroup.com/blog/sell-a-vacant-or-abandoned-home-in-pennsylvania/</t>
  </si>
  <si>
    <t>8 Tips to Help You Sell a Vacant or Abandoned Home in Pennsylvania - Pikeland Property Group</t>
  </si>
  <si>
    <t>https://www.pikelandpropertygroup.com/blog/faq-items/is-selling-a-house-to-a-we-buy-houses-company-in-pennsylvania-a-good-idea/</t>
  </si>
  <si>
    <t>Is Selling a House to A “We Buy Houses” Company in Pennsylvania a Good Idea? - Pikeland Property Group</t>
  </si>
  <si>
    <t>https://www.pikelandpropertygroup.com/blog/faq-items/is-this-even-legit/</t>
  </si>
  <si>
    <t>Is this even legit? - Pikeland Property Group</t>
  </si>
  <si>
    <t>https://www.pikelandpropertygroup.com/blog/selling-their-homes-in-pennsylvania-3/</t>
  </si>
  <si>
    <t>6 Misconceptions Homeowners Have About Selling Their Homes in Pennsylvania - Pikeland Property Group</t>
  </si>
  <si>
    <t>https://www.pikelandpropertygroup.com/blog/faq-items/what-does-as-is-mean/</t>
  </si>
  <si>
    <t>What does “as-is” mean? - Pikeland Property Group</t>
  </si>
  <si>
    <t>https://www.pikelandpropertygroup.com/blog/investing-in-mobile-homes-pennsylvania/</t>
  </si>
  <si>
    <t>Expert Insights: Strategies for Investing in Mobile Homes in Pennsylvania - Pikeland Property Group</t>
  </si>
  <si>
    <t>https://www.pikelandpropertygroup.com/blog/faq-items/will-i-get-a-lowball-offer/</t>
  </si>
  <si>
    <t>Will I get a lowball offer? - Pikeland Property Group</t>
  </si>
  <si>
    <t>https://www.pikelandpropertygroup.com/blog/direct-buyer-pennsylvania/</t>
  </si>
  <si>
    <t>5 Ways That Selling Your Home to a Direct Buyer Can Save You from Unnecessary Hassle in Pennsylvania - Pikeland Property Group</t>
  </si>
  <si>
    <t>https://www.pikelandpropertygroup.com/blog/predictions-for-the-mobile-home-market-pennsylvania/</t>
  </si>
  <si>
    <t>Staying Ahead of the Game: Trends and Predictions for the Mobile Home Market in Pennsylvania - Pikeland Property Group</t>
  </si>
  <si>
    <t>https://www.pikelandpropertygroup.com/blog/faq-items/what-does-an-all-cash-offer-mean/</t>
  </si>
  <si>
    <t>What does an “all-cash offer” mean? - Pikeland Property Group</t>
  </si>
  <si>
    <t>https://www.pikelandpropertygroup.com/blog/real-estate-professionals-in-pennsylvania/</t>
  </si>
  <si>
    <t>5 Things That Make Pikeland Property Group Unique From Other Real Estate Professionals in Pennsylvania - Pikeland Property Group</t>
  </si>
  <si>
    <t>https://www.pikelandpropertygroup.com/blog/faq-items/do-you-pay-fair-prices-for-properties/</t>
  </si>
  <si>
    <t>Do you pay fair prices for properties? - Pikeland Property Group</t>
  </si>
  <si>
    <t>https://www.pikelandpropertygroup.com/blog/faq-items/are-there-any-fees-or-commissions-to-work-with-you/</t>
  </si>
  <si>
    <t>Are there any fees or commissions to work with you? - Pikeland Property Group</t>
  </si>
  <si>
    <t>https://www.pikelandpropertygroup.com/blog/faq-items/sell-your-house-fast-in-pennsylvania/</t>
  </si>
  <si>
    <t>Sell Your House Fast in Pennsylvania - Pikeland Property Group</t>
  </si>
  <si>
    <t>https://www.pikelandpropertygroup.com/sell-your-house-fast-in-reading-pa/</t>
  </si>
  <si>
    <t>Sell My House Fast Pennsylvania [market_state] - We buy houses in Pennsylvania - Pikeland Property Group</t>
  </si>
  <si>
    <t>https://www.pikelandpropertygroup.com/blog/author/harrisonpikelandpropertygroup-com/page/2/</t>
  </si>
  <si>
    <t>Harrison Hall, Author at Pikeland Property Group - Page 2 of 2</t>
  </si>
  <si>
    <t>https://www.pikelandpropertygroup.com/blog/faq-items/</t>
  </si>
  <si>
    <t>FAQs Archive - Pikeland Property Group</t>
  </si>
  <si>
    <t>https://www.pikelandpropertygroup.com/sell-house-awn/</t>
  </si>
  <si>
    <t>https://www.pikelandpropertygroup.com/sell-your-house-fast-in-philadelphia-pa/</t>
  </si>
  <si>
    <t>https://www.pikelandpropertygroup.com/sell-your-house-fast-in-wilmington-de/</t>
  </si>
  <si>
    <t>https://www.pikelandpropertygroup.com/resource-page/</t>
  </si>
  <si>
    <t>https://www.pikelandpropertygroup.com/sell-your-house-fast-in-pittsburgh-pa/</t>
  </si>
  <si>
    <t>https://www.pikelandpropertygroup.com/terms-of-user/</t>
  </si>
  <si>
    <t>Terms of Use - Pikeland Property Group</t>
  </si>
  <si>
    <t>https://www.pikelandpropertygroup.com/sell-your-house-fast-in-phoenixville-pa/</t>
  </si>
  <si>
    <t>https://www.pikelandpropertygroup.com/sell-your-house-fast-in-coatesville-pa/</t>
  </si>
  <si>
    <t>https://www.pikelandpropertygroup.com/sell-your-house-fast-in-upper-darby-pa/</t>
  </si>
  <si>
    <t>https://www.pikelandpropertygroup.com/blog/faq-items/page/2/</t>
  </si>
  <si>
    <t>FAQs Archive - Page 2 of 2 - Pikeland Property Group</t>
  </si>
  <si>
    <t>https://www.pikelandpropertygroup.com/thank-you/contact/</t>
  </si>
  <si>
    <t>Thank You - Pikeland Property Group</t>
  </si>
  <si>
    <t>https://www.pikelandpropertygroup.com/sell-your-house-fast-in-york-pa/</t>
  </si>
  <si>
    <t>https://www.pikelandpropertygroup.com/house-information/</t>
  </si>
  <si>
    <t>House Information - Pikeland Property Group</t>
  </si>
  <si>
    <t>https://www.pikelandpropertygroup.com/sell-your-house-fast-in-lancaster-pa/</t>
  </si>
  <si>
    <t>https://www.pikelandpropertygroup.com/blog/category/sellers/page/2/</t>
  </si>
  <si>
    <t>sellers Archives - Page 2 of 2 - Pikeland Property Group</t>
  </si>
  <si>
    <t>https://www.pikelandpropertygroup.com/sell-your-house-fast-in-pottstown-pa/</t>
  </si>
  <si>
    <t>https://www.pikelandpropertygroup.com/compare/</t>
  </si>
  <si>
    <t>Compare - Pikeland Property Group</t>
  </si>
  <si>
    <t>https://www.pikelandpropertygroup.com/avoiding-foreclosure/</t>
  </si>
  <si>
    <t>Avoiding Foreclosure - Pikeland Property Group</t>
  </si>
  <si>
    <t>https://www.pikelandpropertygroup.com/thank-you/</t>
  </si>
  <si>
    <t>https://www.pikelandpropertygroup.com/faq_category/home/</t>
  </si>
  <si>
    <t>Home Archives - Pikeland Property Group</t>
  </si>
  <si>
    <t>https://www.pikelandpropertygroup.com/faq_category/how-we-buy-houses/</t>
  </si>
  <si>
    <t>How We Buy Houses Archives - Pikeland Property Group</t>
  </si>
  <si>
    <t>https://www.pikelandpropertygroup.com/wp-login.php</t>
  </si>
  <si>
    <t>Log In ‹ Pikeland Property Group — WordPress</t>
  </si>
  <si>
    <t>https://www.pikelandpropertygroup.com/faq_category/general/</t>
  </si>
  <si>
    <t>General Archives - Pikeland Property Group</t>
  </si>
  <si>
    <t>https://www.pikelandpropertygroup.com/blog/page/3/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</si>
  <si>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</si>
  <si>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</si>
  <si>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</si>
  <si>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</si>
  <si>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</si>
  <si>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</si>
  <si>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https://www.pikelandpropertygroup.com/wp-content/uploads/2023/07/How-To-Stop-Foreclosure-Guide.pdf</t>
  </si>
  <si>
    <t>application/pdf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</si>
  <si>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</si>
  <si>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</si>
  <si>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</si>
  <si>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</si>
  <si>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</si>
  <si>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</si>
  <si>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https://www.pikelandpropertygroup.com/blog/page/2/</t>
  </si>
  <si>
    <t>https://www.pikelandpropertygroup.com/blog/fusion_tb_category/footer/</t>
  </si>
  <si>
    <t>https://www.pikelandpropertygroup.com/page/2/</t>
  </si>
  <si>
    <t>https://www.pikelandpropertygroup.com/wp-content/uploads/2023/07/Selling-To-A-Real-Estate-Investor.pdf</t>
  </si>
  <si>
    <t>https://www.pikelandpropertygroup.com/blog/element_category/columns/</t>
  </si>
  <si>
    <t>Suffixes</t>
  </si>
  <si>
    <t>Count</t>
  </si>
  <si>
    <t>- Pikeland Property Group</t>
  </si>
  <si>
    <t>- Page 2 of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</si>
</sst>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2" fontId="5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oww Admin" id="{5565afb6-04fb-4fc5-bb57-40de1f52b61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1" dT="2026-07-24T15:21:07.00" personId="{5565afb6-04fb-4fc5-bb57-40de1f52b61d}" id="{3df008b7-e47c-4594-98c0-467560898c4f}" done="0">
    <x18tc:text xml:space="preserve">Not indexed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buying-and-selling-mobile-homes-pennsylvania/" TargetMode="External"/><Relationship Id="rId42" Type="http://schemas.openxmlformats.org/officeDocument/2006/relationships/hyperlink" Target="https://www.pikelandpropertygroup.com/blog/sell-their-house-directly-in-pennsylvania/" TargetMode="External"/><Relationship Id="rId41" Type="http://schemas.openxmlformats.org/officeDocument/2006/relationships/hyperlink" Target="https://www.pikelandpropertygroup.com/blog/buying-and-selling-ranches-and-horse-properties-in-pennsylvania/" TargetMode="External"/><Relationship Id="rId44" Type="http://schemas.openxmlformats.org/officeDocument/2006/relationships/hyperlink" Target="https://www.pikelandpropertygroup.com/blog/costs-you-may-face-when-selling-your-house-pennsylvania/" TargetMode="External"/><Relationship Id="rId43" Type="http://schemas.openxmlformats.org/officeDocument/2006/relationships/hyperlink" Target="https://www.pikelandpropertygroup.com/blog/faq-items/is-there-any-obligation-when-i-submit-my-information/" TargetMode="External"/><Relationship Id="rId46" Type="http://schemas.openxmlformats.org/officeDocument/2006/relationships/hyperlink" Target="https://www.pikelandpropertygroup.com/blog/faq-items/how-do-you-determine-the-price-to-offer-on-my-house/" TargetMode="External"/><Relationship Id="rId45" Type="http://schemas.openxmlformats.org/officeDocument/2006/relationships/hyperlink" Target="https://www.pikelandpropertygroup.com/blog/investors-are-swooping-up-properties-in-pennsylvania/" TargetMode="External"/><Relationship Id="rId107" Type="http://schemas.openxmlformats.org/officeDocument/2006/relationships/hyperlink" Target="https://www.pikelandpropertygroup.com/page/2/" TargetMode="External"/><Relationship Id="rId106" Type="http://schemas.openxmlformats.org/officeDocument/2006/relationships/hyperlink" Target="https://www.pikelandpropertygroup.com/blog/fusion_tb_category/footer/" TargetMode="External"/><Relationship Id="rId105" Type="http://schemas.openxmlformats.org/officeDocument/2006/relationships/hyperlink" Target="https://www.pikelandpropertygroup.com/blog/page/2/" TargetMode="External"/><Relationship Id="rId104" Type="http://schemas.openxmlformats.org/officeDocument/2006/relationships/hyperlink" Target="http://www.pikelandpropertygroup.com/" TargetMode="External"/><Relationship Id="rId109" Type="http://schemas.openxmlformats.org/officeDocument/2006/relationships/hyperlink" Target="https://www.pikelandpropertygroup.com/blog/element_category/columns/" TargetMode="External"/><Relationship Id="rId108" Type="http://schemas.openxmlformats.org/officeDocument/2006/relationships/hyperlink" Target="https://www.pikelandpropertygroup.com/wp-content/uploads/2023/07/Selling-To-A-Real-Estate-Investor.pdf" TargetMode="External"/><Relationship Id="rId48" Type="http://schemas.openxmlformats.org/officeDocument/2006/relationships/hyperlink" Target="https://www.pikelandpropertygroup.com/blog/" TargetMode="External"/><Relationship Id="rId47" Type="http://schemas.openxmlformats.org/officeDocument/2006/relationships/hyperlink" Target="https://www.pikelandpropertygroup.com/blog/selling-a-house-during-a-divorce-in-pennsylvania/" TargetMode="External"/><Relationship Id="rId49" Type="http://schemas.openxmlformats.org/officeDocument/2006/relationships/hyperlink" Target="https://www.pikelandpropertygroup.com/blog/faq-items/will-you-list-my-house-on-the-mls-or-will-you-be-the-actual-buyer/" TargetMode="External"/><Relationship Id="rId103" Type="http://schemas.openxmlformats.org/officeDocument/2006/relationships/hyperlink" Target="https://www.pikelandpropertygroup.com/blog/element_category/post_cards/" TargetMode="External"/><Relationship Id="rId102" Type="http://schemas.openxmlformats.org/officeDocument/2006/relationships/hyperlink" Target="https://www.pikelandpropertygroup.com/blog/faq_category/home/" TargetMode="External"/><Relationship Id="rId101" Type="http://schemas.openxmlformats.org/officeDocument/2006/relationships/hyperlink" Target="https://www.pikelandpropertygroup.com/blog/faq_category/how-we-buy-houses/" TargetMode="External"/><Relationship Id="rId100" Type="http://schemas.openxmlformats.org/officeDocument/2006/relationships/hyperlink" Target="https://www.pikelandpropertygroup.com/blog/element_category/sections/" TargetMode="External"/><Relationship Id="rId31" Type="http://schemas.openxmlformats.org/officeDocument/2006/relationships/hyperlink" Target="https://www.pikelandpropertygroup.com/blog/selling-your-home-to-a-direct-buyer-pennsylvania/" TargetMode="External"/><Relationship Id="rId30" Type="http://schemas.openxmlformats.org/officeDocument/2006/relationships/hyperlink" Target="https://www.pikelandpropertygroup.com/blog/selling-a-property-that-needs-repairs-in-pennsylvania/" TargetMode="External"/><Relationship Id="rId33" Type="http://schemas.openxmlformats.org/officeDocument/2006/relationships/hyperlink" Target="https://www.pikelandpropertygroup.com/blog/faq-items/how-fast-is-a-fast-closing/" TargetMode="External"/><Relationship Id="rId32" Type="http://schemas.openxmlformats.org/officeDocument/2006/relationships/hyperlink" Target="https://www.pikelandpropertygroup.com/blog/faq-items/what-are-the-benefits-of-selling-my-house-in-pennsylvania-to-a-cash-home-buyer/" TargetMode="External"/><Relationship Id="rId35" Type="http://schemas.openxmlformats.org/officeDocument/2006/relationships/hyperlink" Target="https://www.pikelandpropertygroup.com/blog/faq-items/how-are-you-different-from-a-real-estate-agent/" TargetMode="External"/><Relationship Id="rId34" Type="http://schemas.openxmlformats.org/officeDocument/2006/relationships/hyperlink" Target="https://www.pikelandpropertygroup.com/blog/low-earning-vacation-rental-in-pennsylvania/" TargetMode="External"/><Relationship Id="rId37" Type="http://schemas.openxmlformats.org/officeDocument/2006/relationships/hyperlink" Target="https://www.pikelandpropertygroup.com/blog/selling-your-home-to-a-direct-buyer-in-pennsylvania-3/" TargetMode="External"/><Relationship Id="rId36" Type="http://schemas.openxmlformats.org/officeDocument/2006/relationships/hyperlink" Target="https://www.pikelandpropertygroup.com/blog/faq-items/learn-about-our-process-and-sell-your-house-today/" TargetMode="External"/><Relationship Id="rId39" Type="http://schemas.openxmlformats.org/officeDocument/2006/relationships/hyperlink" Target="https://www.pikelandpropertygroup.com/blog/selling-mobile-homes-pennsylvania/" TargetMode="External"/><Relationship Id="rId38" Type="http://schemas.openxmlformats.org/officeDocument/2006/relationships/hyperlink" Target="https://www.pikelandpropertygroup.com/blog/design-elements-that-can-make-it-difficult-to-sell-your-house-pennsylvania/" TargetMode="External"/><Relationship Id="rId20" Type="http://schemas.openxmlformats.org/officeDocument/2006/relationships/hyperlink" Target="https://www.pikelandpropertygroup.com/blog/2024/05/" TargetMode="External"/><Relationship Id="rId22" Type="http://schemas.openxmlformats.org/officeDocument/2006/relationships/hyperlink" Target="https://www.pikelandpropertygroup.com/blog/2024/04/" TargetMode="External"/><Relationship Id="rId21" Type="http://schemas.openxmlformats.org/officeDocument/2006/relationships/hyperlink" Target="https://www.pikelandpropertygroup.com/blog/2023/10/" TargetMode="External"/><Relationship Id="rId24" Type="http://schemas.openxmlformats.org/officeDocument/2006/relationships/hyperlink" Target="https://www.pikelandpropertygroup.com/blog/2024/03/" TargetMode="External"/><Relationship Id="rId23" Type="http://schemas.openxmlformats.org/officeDocument/2006/relationships/hyperlink" Target="https://www.pikelandpropertygroup.com/blog/2024/01/" TargetMode="External"/><Relationship Id="rId26" Type="http://schemas.openxmlformats.org/officeDocument/2006/relationships/hyperlink" Target="https://www.pikelandpropertygroup.com/blog/2024/02/" TargetMode="External"/><Relationship Id="rId25" Type="http://schemas.openxmlformats.org/officeDocument/2006/relationships/hyperlink" Target="https://www.pikelandpropertygroup.com/blog/2023/09/" TargetMode="External"/><Relationship Id="rId28" Type="http://schemas.openxmlformats.org/officeDocument/2006/relationships/hyperlink" Target="https://www.pikelandpropertygroup.com/stop-foreclosure/" TargetMode="External"/><Relationship Id="rId27" Type="http://schemas.openxmlformats.org/officeDocument/2006/relationships/hyperlink" Target="https://www.pikelandpropertygroup.com/blog/2023/08/" TargetMode="External"/><Relationship Id="rId29" Type="http://schemas.openxmlformats.org/officeDocument/2006/relationships/hyperlink" Target="https://www.pikelandpropertygroup.com/blog/faq-items/what-if-i-dont-need-a-fast-closing/" TargetMode="External"/><Relationship Id="rId95" Type="http://schemas.openxmlformats.org/officeDocument/2006/relationships/hyperlink" Target="https://www.pikelandpropertygroup.com/blog/fusion_tb_category/content/" TargetMode="External"/><Relationship Id="rId94" Type="http://schemas.openxmlformats.org/officeDocument/2006/relationships/hyperlink" Target="https://www.pikelandpropertygroup.com/blog/fusion_tb_category/header/" TargetMode="External"/><Relationship Id="rId97" Type="http://schemas.openxmlformats.org/officeDocument/2006/relationships/hyperlink" Target="https://www.pikelandpropertygroup.com/blog/page/4/" TargetMode="External"/><Relationship Id="rId96" Type="http://schemas.openxmlformats.org/officeDocument/2006/relationships/hyperlink" Target="https://www.pikelandpropertygroup.com/blog/element_category/elements/" TargetMode="External"/><Relationship Id="rId11" Type="http://schemas.openxmlformats.org/officeDocument/2006/relationships/hyperlink" Target="https://www.pikelandpropertygroup.com/get-your-offer/" TargetMode="External"/><Relationship Id="rId99" Type="http://schemas.openxmlformats.org/officeDocument/2006/relationships/hyperlink" Target="https://www.pikelandpropertygroup.com/wp-content/uploads/2023/07/How-To-Stop-Foreclosure-Guide.pdf" TargetMode="External"/><Relationship Id="rId10" Type="http://schemas.openxmlformats.org/officeDocument/2006/relationships/hyperlink" Target="https://www.pikelandpropertygroup.com/our-company/" TargetMode="External"/><Relationship Id="rId98" Type="http://schemas.openxmlformats.org/officeDocument/2006/relationships/hyperlink" Target="https://www.pikelandpropertygroup.com/blog/fusion_tb_category/page_title_bar/" TargetMode="External"/><Relationship Id="rId13" Type="http://schemas.openxmlformats.org/officeDocument/2006/relationships/hyperlink" Target="https://www.pikelandpropertygroup.com/blog/author/harrisonpikelandpropertygroup-com/" TargetMode="External"/><Relationship Id="rId12" Type="http://schemas.openxmlformats.org/officeDocument/2006/relationships/hyperlink" Target="https://www.pikelandpropertygroup.com/blog/category/sellers/" TargetMode="External"/><Relationship Id="rId91" Type="http://schemas.openxmlformats.org/officeDocument/2006/relationships/hyperlink" Target="https://www.pikelandpropertygroup.com/faq_category/general/" TargetMode="External"/><Relationship Id="rId90" Type="http://schemas.openxmlformats.org/officeDocument/2006/relationships/hyperlink" Target="https://www.pikelandpropertygroup.com/wp-login.php" TargetMode="External"/><Relationship Id="rId93" Type="http://schemas.openxmlformats.org/officeDocument/2006/relationships/hyperlink" Target="https://www.pikelandpropertygroup.com/blog/faq_category/general/" TargetMode="External"/><Relationship Id="rId92" Type="http://schemas.openxmlformats.org/officeDocument/2006/relationships/hyperlink" Target="https://www.pikelandpropertygroup.com/blog/page/3/" TargetMode="External"/><Relationship Id="rId15" Type="http://schemas.openxmlformats.org/officeDocument/2006/relationships/hyperlink" Target="https://www.pikelandpropertygroup.com/blog/category/buying-mobile-homes/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s://www.pikelandpropertygroup.com/blog/category/building-credibility/" TargetMode="External"/><Relationship Id="rId17" Type="http://schemas.openxmlformats.org/officeDocument/2006/relationships/hyperlink" Target="https://www.pikelandpropertygroup.com/blog/category/selling-mobile-homes/" TargetMode="External"/><Relationship Id="rId16" Type="http://schemas.openxmlformats.org/officeDocument/2006/relationships/hyperlink" Target="https://www.pikelandpropertygroup.com/blog/category/uncategorized/" TargetMode="External"/><Relationship Id="rId19" Type="http://schemas.openxmlformats.org/officeDocument/2006/relationships/hyperlink" Target="https://www.pikelandpropertygroup.com/blog/author/tommy/" TargetMode="External"/><Relationship Id="rId18" Type="http://schemas.openxmlformats.org/officeDocument/2006/relationships/hyperlink" Target="https://www.pikelandpropertygroup.com/get-a-cash-offer-today/" TargetMode="External"/><Relationship Id="rId111" Type="http://schemas.openxmlformats.org/officeDocument/2006/relationships/vmlDrawing" Target="../drawings/vmlDrawing1.vml"/><Relationship Id="rId84" Type="http://schemas.openxmlformats.org/officeDocument/2006/relationships/hyperlink" Target="https://www.pikelandpropertygroup.com/sell-your-house-fast-in-pottstown-pa/" TargetMode="External"/><Relationship Id="rId83" Type="http://schemas.openxmlformats.org/officeDocument/2006/relationships/hyperlink" Target="https://www.pikelandpropertygroup.com/blog/category/sellers/page/2/" TargetMode="External"/><Relationship Id="rId86" Type="http://schemas.openxmlformats.org/officeDocument/2006/relationships/hyperlink" Target="https://www.pikelandpropertygroup.com/avoiding-foreclosure/" TargetMode="External"/><Relationship Id="rId85" Type="http://schemas.openxmlformats.org/officeDocument/2006/relationships/hyperlink" Target="https://www.pikelandpropertygroup.com/compare/" TargetMode="External"/><Relationship Id="rId88" Type="http://schemas.openxmlformats.org/officeDocument/2006/relationships/hyperlink" Target="https://www.pikelandpropertygroup.com/faq_category/home/" TargetMode="External"/><Relationship Id="rId87" Type="http://schemas.openxmlformats.org/officeDocument/2006/relationships/hyperlink" Target="https://www.pikelandpropertygroup.com/thank-you/" TargetMode="External"/><Relationship Id="rId89" Type="http://schemas.openxmlformats.org/officeDocument/2006/relationships/hyperlink" Target="https://www.pikelandpropertygroup.com/faq_category/how-we-buy-houses/" TargetMode="External"/><Relationship Id="rId80" Type="http://schemas.openxmlformats.org/officeDocument/2006/relationships/hyperlink" Target="https://www.pikelandpropertygroup.com/sell-your-house-fast-in-york-pa/" TargetMode="External"/><Relationship Id="rId82" Type="http://schemas.openxmlformats.org/officeDocument/2006/relationships/hyperlink" Target="https://www.pikelandpropertygroup.com/sell-your-house-fast-in-lancaster-pa/" TargetMode="External"/><Relationship Id="rId81" Type="http://schemas.openxmlformats.org/officeDocument/2006/relationships/hyperlink" Target="https://www.pikelandpropertygroup.com/house-information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pikelandpropertygroup.com/" TargetMode="External"/><Relationship Id="rId9" Type="http://schemas.openxmlformats.org/officeDocument/2006/relationships/hyperlink" Target="https://www.pikelandpropertygroup.com/reviews/" TargetMode="External"/><Relationship Id="rId5" Type="http://schemas.openxmlformats.org/officeDocument/2006/relationships/hyperlink" Target="https://www.pikelandpropertygroup.com/privacy-policy/" TargetMode="External"/><Relationship Id="rId6" Type="http://schemas.openxmlformats.org/officeDocument/2006/relationships/hyperlink" Target="https://www.pikelandpropertygroup.com/faq/" TargetMode="External"/><Relationship Id="rId7" Type="http://schemas.openxmlformats.org/officeDocument/2006/relationships/hyperlink" Target="https://www.pikelandpropertygroup.com/how-we-buy-houses/" TargetMode="External"/><Relationship Id="rId8" Type="http://schemas.openxmlformats.org/officeDocument/2006/relationships/hyperlink" Target="https://www.pikelandpropertygroup.com/contact-us/" TargetMode="External"/><Relationship Id="rId73" Type="http://schemas.openxmlformats.org/officeDocument/2006/relationships/hyperlink" Target="https://www.pikelandpropertygroup.com/sell-your-house-fast-in-pittsburgh-pa/" TargetMode="External"/><Relationship Id="rId72" Type="http://schemas.openxmlformats.org/officeDocument/2006/relationships/hyperlink" Target="https://www.pikelandpropertygroup.com/resource-page/" TargetMode="External"/><Relationship Id="rId75" Type="http://schemas.openxmlformats.org/officeDocument/2006/relationships/hyperlink" Target="https://www.pikelandpropertygroup.com/sell-your-house-fast-in-phoenixville-pa/" TargetMode="External"/><Relationship Id="rId74" Type="http://schemas.openxmlformats.org/officeDocument/2006/relationships/hyperlink" Target="https://www.pikelandpropertygroup.com/terms-of-user/" TargetMode="External"/><Relationship Id="rId77" Type="http://schemas.openxmlformats.org/officeDocument/2006/relationships/hyperlink" Target="https://www.pikelandpropertygroup.com/sell-your-house-fast-in-upper-darby-pa/" TargetMode="External"/><Relationship Id="rId76" Type="http://schemas.openxmlformats.org/officeDocument/2006/relationships/hyperlink" Target="https://www.pikelandpropertygroup.com/sell-your-house-fast-in-coatesville-pa/" TargetMode="External"/><Relationship Id="rId79" Type="http://schemas.openxmlformats.org/officeDocument/2006/relationships/hyperlink" Target="https://www.pikelandpropertygroup.com/thank-you/contact/" TargetMode="External"/><Relationship Id="rId78" Type="http://schemas.openxmlformats.org/officeDocument/2006/relationships/hyperlink" Target="https://www.pikelandpropertygroup.com/blog/faq-items/page/2/" TargetMode="External"/><Relationship Id="rId71" Type="http://schemas.openxmlformats.org/officeDocument/2006/relationships/hyperlink" Target="https://www.pikelandpropertygroup.com/sell-your-house-fast-in-wilmington-de/" TargetMode="External"/><Relationship Id="rId70" Type="http://schemas.openxmlformats.org/officeDocument/2006/relationships/hyperlink" Target="https://www.pikelandpropertygroup.com/sell-your-house-fast-in-philadelphia-pa/" TargetMode="External"/><Relationship Id="rId62" Type="http://schemas.openxmlformats.org/officeDocument/2006/relationships/hyperlink" Target="https://www.pikelandpropertygroup.com/blog/real-estate-professionals-in-pennsylvania/" TargetMode="External"/><Relationship Id="rId61" Type="http://schemas.openxmlformats.org/officeDocument/2006/relationships/hyperlink" Target="https://www.pikelandpropertygroup.com/blog/faq-items/what-does-an-all-cash-offer-mean/" TargetMode="External"/><Relationship Id="rId64" Type="http://schemas.openxmlformats.org/officeDocument/2006/relationships/hyperlink" Target="https://www.pikelandpropertygroup.com/blog/faq-items/are-there-any-fees-or-commissions-to-work-with-you/" TargetMode="External"/><Relationship Id="rId63" Type="http://schemas.openxmlformats.org/officeDocument/2006/relationships/hyperlink" Target="https://www.pikelandpropertygroup.com/blog/faq-items/do-you-pay-fair-prices-for-properties/" TargetMode="External"/><Relationship Id="rId66" Type="http://schemas.openxmlformats.org/officeDocument/2006/relationships/hyperlink" Target="https://www.pikelandpropertygroup.com/sell-your-house-fast-in-reading-pa/" TargetMode="External"/><Relationship Id="rId65" Type="http://schemas.openxmlformats.org/officeDocument/2006/relationships/hyperlink" Target="https://www.pikelandpropertygroup.com/blog/faq-items/sell-your-house-fast-in-pennsylvania/" TargetMode="External"/><Relationship Id="rId68" Type="http://schemas.openxmlformats.org/officeDocument/2006/relationships/hyperlink" Target="https://www.pikelandpropertygroup.com/blog/faq-items/" TargetMode="External"/><Relationship Id="rId67" Type="http://schemas.openxmlformats.org/officeDocument/2006/relationships/hyperlink" Target="https://www.pikelandpropertygroup.com/blog/author/harrisonpikelandpropertygroup-com/page/2/" TargetMode="External"/><Relationship Id="rId60" Type="http://schemas.openxmlformats.org/officeDocument/2006/relationships/hyperlink" Target="https://www.pikelandpropertygroup.com/blog/predictions-for-the-mobile-home-market-pennsylvania/" TargetMode="External"/><Relationship Id="rId69" Type="http://schemas.openxmlformats.org/officeDocument/2006/relationships/hyperlink" Target="https://www.pikelandpropertygroup.com/sell-house-awn/" TargetMode="External"/><Relationship Id="rId5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0" Type="http://schemas.openxmlformats.org/officeDocument/2006/relationships/hyperlink" Target="https://www.pikelandpropertygroup.com/blog/sell-an-unwanted-house-in-pennsylvania/" TargetMode="External"/><Relationship Id="rId53" Type="http://schemas.openxmlformats.org/officeDocument/2006/relationships/hyperlink" Target="https://www.pikelandpropertygroup.com/blog/faq-items/is-selling-a-house-to-a-we-buy-houses-company-in-pennsylvania-a-good-idea/" TargetMode="External"/><Relationship Id="rId52" Type="http://schemas.openxmlformats.org/officeDocument/2006/relationships/hyperlink" Target="https://www.pikelandpropertygroup.com/blog/sell-a-vacant-or-abandoned-home-in-pennsylvania/" TargetMode="External"/><Relationship Id="rId55" Type="http://schemas.openxmlformats.org/officeDocument/2006/relationships/hyperlink" Target="https://www.pikelandpropertygroup.com/blog/selling-their-homes-in-pennsylvania-3/" TargetMode="External"/><Relationship Id="rId54" Type="http://schemas.openxmlformats.org/officeDocument/2006/relationships/hyperlink" Target="https://www.pikelandpropertygroup.com/blog/faq-items/is-this-even-legit/" TargetMode="External"/><Relationship Id="rId57" Type="http://schemas.openxmlformats.org/officeDocument/2006/relationships/hyperlink" Target="https://www.pikelandpropertygroup.com/blog/investing-in-mobile-homes-pennsylvania/" TargetMode="External"/><Relationship Id="rId56" Type="http://schemas.openxmlformats.org/officeDocument/2006/relationships/hyperlink" Target="https://www.pikelandpropertygroup.com/blog/faq-items/what-does-as-is-mean/" TargetMode="External"/><Relationship Id="rId59" Type="http://schemas.openxmlformats.org/officeDocument/2006/relationships/hyperlink" Target="https://www.pikelandpropertygroup.com/blog/direct-buyer-pennsylvania/" TargetMode="External"/><Relationship Id="rId58" Type="http://schemas.openxmlformats.org/officeDocument/2006/relationships/hyperlink" Target="https://www.pikelandpropertygroup.com/blog/faq-items/will-i-get-a-lowball-offer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3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4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5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9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69.0</v>
      </c>
      <c r="D2" s="3">
        <v>1.0</v>
      </c>
      <c r="E2" s="3">
        <v>2.0</v>
      </c>
      <c r="F2" s="3">
        <v>3.0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customHeight="1">
      <c r="A3" s="2" t="s">
        <v>14</v>
      </c>
      <c r="B3" s="3" t="s">
        <v>15</v>
      </c>
      <c r="C3" s="3">
        <v>40.0</v>
      </c>
      <c r="D3" s="3">
        <v>1.0</v>
      </c>
      <c r="E3" s="3">
        <v>1.0</v>
      </c>
      <c r="F3" s="3">
        <v>1.0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customHeight="1">
      <c r="A4" s="2" t="s">
        <v>16</v>
      </c>
      <c r="B4" s="3" t="s">
        <v>17</v>
      </c>
      <c r="C4" s="3">
        <v>29.0</v>
      </c>
      <c r="D4" s="3">
        <v>1.0</v>
      </c>
      <c r="E4" s="3">
        <v>1.0</v>
      </c>
      <c r="F4" s="3">
        <v>1.0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customHeight="1">
      <c r="A5" s="2" t="s">
        <v>18</v>
      </c>
      <c r="B5" s="3" t="s">
        <v>19</v>
      </c>
      <c r="C5" s="3">
        <v>38.0</v>
      </c>
      <c r="D5" s="3">
        <v>1.0</v>
      </c>
      <c r="E5" s="3">
        <v>1.0</v>
      </c>
      <c r="F5" s="3">
        <v>1.0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customHeight="1">
      <c r="A6" s="2" t="s">
        <v>20</v>
      </c>
      <c r="B6" s="3" t="s">
        <v>21</v>
      </c>
      <c r="C6" s="3">
        <v>36.0</v>
      </c>
      <c r="D6" s="3">
        <v>1.0</v>
      </c>
      <c r="E6" s="3">
        <v>1.0</v>
      </c>
      <c r="F6" s="3">
        <v>1.0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customHeight="1">
      <c r="A7" s="2" t="s">
        <v>22</v>
      </c>
      <c r="B7" s="3" t="s">
        <v>23</v>
      </c>
      <c r="C7" s="3">
        <v>33.0</v>
      </c>
      <c r="D7" s="3">
        <v>1.0</v>
      </c>
      <c r="E7" s="3">
        <v>1.0</v>
      </c>
      <c r="F7" s="3">
        <v>1.0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customHeight="1">
      <c r="A8" s="2" t="s">
        <v>24</v>
      </c>
      <c r="B8" s="3" t="s">
        <v>25</v>
      </c>
      <c r="C8" s="3">
        <v>34.0</v>
      </c>
      <c r="D8" s="3">
        <v>1.0</v>
      </c>
      <c r="E8" s="3">
        <v>1.0</v>
      </c>
      <c r="F8" s="3">
        <v>1.0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customHeight="1">
      <c r="A9" s="2" t="s">
        <v>26</v>
      </c>
      <c r="B9" s="3" t="s">
        <v>27</v>
      </c>
      <c r="C9" s="3">
        <v>40.0</v>
      </c>
      <c r="D9" s="3">
        <v>1.0</v>
      </c>
      <c r="E9" s="3">
        <v>1.0</v>
      </c>
      <c r="F9" s="3">
        <v>1.0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customHeight="1">
      <c r="A10" s="2" t="s">
        <v>28</v>
      </c>
      <c r="B10" s="3" t="s">
        <v>29</v>
      </c>
      <c r="C10" s="3">
        <v>42.0</v>
      </c>
      <c r="D10" s="3">
        <v>1.0</v>
      </c>
      <c r="E10" s="3">
        <v>1.0</v>
      </c>
      <c r="F10" s="3">
        <v>1.0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customHeight="1">
      <c r="A11" s="2" t="s">
        <v>30</v>
      </c>
      <c r="B11" s="3" t="s">
        <v>31</v>
      </c>
      <c r="C11" s="3">
        <v>48.0</v>
      </c>
      <c r="D11" s="3">
        <v>1.0</v>
      </c>
      <c r="E11" s="3">
        <v>1.0</v>
      </c>
      <c r="F11" s="3">
        <v>1.0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customHeight="1">
      <c r="A12" s="2" t="s">
        <v>32</v>
      </c>
      <c r="B12" s="3" t="s">
        <v>33</v>
      </c>
      <c r="C12" s="3">
        <v>55.0</v>
      </c>
      <c r="D12" s="3">
        <v>1.0</v>
      </c>
      <c r="E12" s="3">
        <v>1.0</v>
      </c>
      <c r="F12" s="3">
        <v>1.0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customHeight="1">
      <c r="A13" s="2" t="s">
        <v>34</v>
      </c>
      <c r="B13" s="3" t="s">
        <v>35</v>
      </c>
      <c r="C13" s="3">
        <v>54.0</v>
      </c>
      <c r="D13" s="3">
        <v>1.0</v>
      </c>
      <c r="E13" s="3">
        <v>1.0</v>
      </c>
      <c r="F13" s="3">
        <v>1.0</v>
      </c>
      <c r="H13" s="3">
        <v>200.0</v>
      </c>
      <c r="I13" s="3" t="b">
        <v>1</v>
      </c>
      <c r="J13" s="3" t="s">
        <v>13</v>
      </c>
      <c r="K13" s="3" t="b">
        <v>1</v>
      </c>
    </row>
    <row r="14" ht="15.75" customHeight="1">
      <c r="A14" s="2" t="s">
        <v>36</v>
      </c>
      <c r="B14" s="3" t="s">
        <v>37</v>
      </c>
      <c r="C14" s="3">
        <v>48.0</v>
      </c>
      <c r="D14" s="3">
        <v>1.0</v>
      </c>
      <c r="E14" s="3">
        <v>1.0</v>
      </c>
      <c r="F14" s="3">
        <v>1.0</v>
      </c>
      <c r="H14" s="3">
        <v>200.0</v>
      </c>
      <c r="I14" s="3" t="b">
        <v>1</v>
      </c>
      <c r="J14" s="3" t="s">
        <v>13</v>
      </c>
      <c r="K14" s="3" t="b">
        <v>1</v>
      </c>
    </row>
    <row r="15" ht="15.75" customHeight="1">
      <c r="A15" s="2" t="s">
        <v>38</v>
      </c>
      <c r="B15" s="3" t="s">
        <v>39</v>
      </c>
      <c r="C15" s="3">
        <v>55.0</v>
      </c>
      <c r="D15" s="3">
        <v>1.0</v>
      </c>
      <c r="E15" s="3">
        <v>1.0</v>
      </c>
      <c r="F15" s="3">
        <v>1.0</v>
      </c>
      <c r="H15" s="3">
        <v>200.0</v>
      </c>
      <c r="I15" s="3" t="b">
        <v>1</v>
      </c>
      <c r="J15" s="3" t="s">
        <v>13</v>
      </c>
      <c r="K15" s="3" t="b">
        <v>1</v>
      </c>
    </row>
    <row r="16" ht="15.75" customHeight="1">
      <c r="A16" s="2" t="s">
        <v>40</v>
      </c>
      <c r="B16" s="3" t="s">
        <v>41</v>
      </c>
      <c r="C16" s="3">
        <v>82.0</v>
      </c>
      <c r="D16" s="3">
        <v>1.0</v>
      </c>
      <c r="E16" s="3">
        <v>2.0</v>
      </c>
      <c r="F16" s="3">
        <v>2.0</v>
      </c>
      <c r="H16" s="3">
        <v>200.0</v>
      </c>
      <c r="I16" s="3" t="b">
        <v>1</v>
      </c>
      <c r="J16" s="3" t="s">
        <v>13</v>
      </c>
      <c r="K16" s="3" t="b">
        <v>1</v>
      </c>
    </row>
    <row r="17" ht="15.75" customHeight="1">
      <c r="A17" s="2" t="s">
        <v>42</v>
      </c>
      <c r="B17" s="3" t="s">
        <v>43</v>
      </c>
      <c r="C17" s="3">
        <v>40.0</v>
      </c>
      <c r="D17" s="3">
        <v>1.0</v>
      </c>
      <c r="E17" s="3">
        <v>1.0</v>
      </c>
      <c r="F17" s="3">
        <v>1.0</v>
      </c>
      <c r="H17" s="3">
        <v>200.0</v>
      </c>
      <c r="I17" s="3" t="b">
        <v>0</v>
      </c>
      <c r="J17" s="3" t="s">
        <v>13</v>
      </c>
      <c r="K17" s="3" t="b">
        <v>1</v>
      </c>
    </row>
    <row r="18" ht="15.75" customHeight="1">
      <c r="A18" s="2" t="s">
        <v>44</v>
      </c>
      <c r="B18" s="3" t="s">
        <v>45</v>
      </c>
      <c r="C18" s="3">
        <v>34.0</v>
      </c>
      <c r="D18" s="3">
        <v>1.0</v>
      </c>
      <c r="E18" s="3">
        <v>1.0</v>
      </c>
      <c r="F18" s="3">
        <v>1.0</v>
      </c>
      <c r="H18" s="3">
        <v>200.0</v>
      </c>
      <c r="I18" s="3" t="b">
        <v>0</v>
      </c>
      <c r="J18" s="3" t="s">
        <v>13</v>
      </c>
      <c r="K18" s="3" t="b">
        <v>1</v>
      </c>
    </row>
    <row r="19" ht="15.75" customHeight="1">
      <c r="A19" s="2" t="s">
        <v>46</v>
      </c>
      <c r="B19" s="3" t="s">
        <v>47</v>
      </c>
      <c r="C19" s="3">
        <v>38.0</v>
      </c>
      <c r="D19" s="3">
        <v>1.0</v>
      </c>
      <c r="E19" s="3">
        <v>1.0</v>
      </c>
      <c r="F19" s="3">
        <v>1.0</v>
      </c>
      <c r="H19" s="3">
        <v>200.0</v>
      </c>
      <c r="I19" s="3" t="b">
        <v>0</v>
      </c>
      <c r="J19" s="3" t="s">
        <v>13</v>
      </c>
      <c r="K19" s="3" t="b">
        <v>1</v>
      </c>
    </row>
    <row r="20" ht="15.75" customHeight="1">
      <c r="A20" s="2" t="s">
        <v>48</v>
      </c>
      <c r="B20" s="3" t="s">
        <v>49</v>
      </c>
      <c r="C20" s="3">
        <v>36.0</v>
      </c>
      <c r="D20" s="3">
        <v>1.0</v>
      </c>
      <c r="E20" s="3">
        <v>1.0</v>
      </c>
      <c r="F20" s="3">
        <v>1.0</v>
      </c>
      <c r="H20" s="3">
        <v>200.0</v>
      </c>
      <c r="I20" s="3" t="b">
        <v>0</v>
      </c>
      <c r="J20" s="3" t="s">
        <v>13</v>
      </c>
      <c r="K20" s="3" t="b">
        <v>1</v>
      </c>
    </row>
    <row r="21" ht="15.75" customHeight="1">
      <c r="A21" s="2" t="s">
        <v>50</v>
      </c>
      <c r="B21" s="3" t="s">
        <v>51</v>
      </c>
      <c r="C21" s="3">
        <v>38.0</v>
      </c>
      <c r="D21" s="3">
        <v>1.0</v>
      </c>
      <c r="E21" s="3">
        <v>1.0</v>
      </c>
      <c r="F21" s="3">
        <v>1.0</v>
      </c>
      <c r="H21" s="3">
        <v>200.0</v>
      </c>
      <c r="I21" s="3" t="b">
        <v>0</v>
      </c>
      <c r="J21" s="3" t="s">
        <v>13</v>
      </c>
      <c r="K21" s="3" t="b">
        <v>1</v>
      </c>
    </row>
    <row r="22" ht="15.75" customHeight="1">
      <c r="A22" s="2" t="s">
        <v>52</v>
      </c>
      <c r="B22" s="3" t="s">
        <v>53</v>
      </c>
      <c r="C22" s="3">
        <v>36.0</v>
      </c>
      <c r="D22" s="3">
        <v>1.0</v>
      </c>
      <c r="E22" s="3">
        <v>1.0</v>
      </c>
      <c r="F22" s="3">
        <v>1.0</v>
      </c>
      <c r="H22" s="3">
        <v>200.0</v>
      </c>
      <c r="I22" s="3" t="b">
        <v>0</v>
      </c>
      <c r="J22" s="3" t="s">
        <v>13</v>
      </c>
      <c r="K22" s="3" t="b">
        <v>1</v>
      </c>
    </row>
    <row r="23" ht="15.75" customHeight="1">
      <c r="A23" s="2" t="s">
        <v>54</v>
      </c>
      <c r="B23" s="3" t="s">
        <v>55</v>
      </c>
      <c r="C23" s="3">
        <v>40.0</v>
      </c>
      <c r="D23" s="3">
        <v>1.0</v>
      </c>
      <c r="E23" s="3">
        <v>1.0</v>
      </c>
      <c r="F23" s="3">
        <v>1.0</v>
      </c>
      <c r="H23" s="3">
        <v>200.0</v>
      </c>
      <c r="I23" s="3" t="b">
        <v>0</v>
      </c>
      <c r="J23" s="3" t="s">
        <v>13</v>
      </c>
      <c r="K23" s="3" t="b">
        <v>1</v>
      </c>
    </row>
    <row r="24" ht="15.75" customHeight="1">
      <c r="A24" s="2" t="s">
        <v>56</v>
      </c>
      <c r="B24" s="3" t="s">
        <v>57</v>
      </c>
      <c r="C24" s="3">
        <v>39.0</v>
      </c>
      <c r="D24" s="3">
        <v>1.0</v>
      </c>
      <c r="E24" s="3">
        <v>1.0</v>
      </c>
      <c r="F24" s="3">
        <v>1.0</v>
      </c>
      <c r="H24" s="3">
        <v>200.0</v>
      </c>
      <c r="I24" s="3" t="b">
        <v>0</v>
      </c>
      <c r="J24" s="3" t="s">
        <v>13</v>
      </c>
      <c r="K24" s="3" t="b">
        <v>1</v>
      </c>
    </row>
    <row r="25" ht="15.75" customHeight="1">
      <c r="A25" s="2" t="s">
        <v>58</v>
      </c>
      <c r="B25" s="3" t="s">
        <v>59</v>
      </c>
      <c r="C25" s="3">
        <v>37.0</v>
      </c>
      <c r="D25" s="3">
        <v>1.0</v>
      </c>
      <c r="E25" s="3">
        <v>1.0</v>
      </c>
      <c r="F25" s="3">
        <v>1.0</v>
      </c>
      <c r="H25" s="3">
        <v>200.0</v>
      </c>
      <c r="I25" s="3" t="b">
        <v>0</v>
      </c>
      <c r="J25" s="3" t="s">
        <v>13</v>
      </c>
      <c r="K25" s="3" t="b">
        <v>1</v>
      </c>
    </row>
    <row r="26" ht="15.75" customHeight="1">
      <c r="A26" s="2" t="s">
        <v>60</v>
      </c>
      <c r="D26" s="3">
        <v>0.0</v>
      </c>
      <c r="H26" s="3">
        <v>404.0</v>
      </c>
      <c r="I26" s="3" t="b">
        <v>0</v>
      </c>
      <c r="J26" s="3" t="s">
        <v>13</v>
      </c>
      <c r="K26" s="3" t="b">
        <v>0</v>
      </c>
    </row>
    <row r="27" ht="15.75" customHeight="1">
      <c r="A27" s="2" t="s">
        <v>61</v>
      </c>
      <c r="B27" s="3" t="s">
        <v>62</v>
      </c>
      <c r="C27" s="3">
        <v>62.0</v>
      </c>
      <c r="D27" s="3">
        <v>1.0</v>
      </c>
      <c r="E27" s="3">
        <v>1.0</v>
      </c>
      <c r="F27" s="3">
        <v>1.0</v>
      </c>
      <c r="H27" s="3">
        <v>200.0</v>
      </c>
      <c r="I27" s="3" t="b">
        <v>1</v>
      </c>
      <c r="J27" s="3" t="s">
        <v>13</v>
      </c>
      <c r="K27" s="3" t="b">
        <v>1</v>
      </c>
    </row>
    <row r="28" ht="15.75" customHeight="1">
      <c r="A28" s="2" t="s">
        <v>63</v>
      </c>
      <c r="B28" s="3" t="s">
        <v>64</v>
      </c>
      <c r="C28" s="3">
        <v>111.0</v>
      </c>
      <c r="D28" s="3">
        <v>1.0</v>
      </c>
      <c r="E28" s="3">
        <v>1.0</v>
      </c>
      <c r="F28" s="3">
        <v>1.0</v>
      </c>
      <c r="H28" s="3">
        <v>200.0</v>
      </c>
      <c r="I28" s="3" t="b">
        <v>1</v>
      </c>
      <c r="J28" s="3" t="s">
        <v>13</v>
      </c>
      <c r="K28" s="3" t="b">
        <v>1</v>
      </c>
    </row>
    <row r="29" ht="15.75" customHeight="1">
      <c r="A29" s="2" t="s">
        <v>65</v>
      </c>
      <c r="B29" s="3" t="s">
        <v>66</v>
      </c>
      <c r="C29" s="3">
        <v>102.0</v>
      </c>
      <c r="D29" s="3">
        <v>1.0</v>
      </c>
      <c r="E29" s="3">
        <v>1.0</v>
      </c>
      <c r="F29" s="3">
        <v>1.0</v>
      </c>
      <c r="H29" s="3">
        <v>200.0</v>
      </c>
      <c r="I29" s="3" t="b">
        <v>1</v>
      </c>
      <c r="J29" s="3" t="s">
        <v>13</v>
      </c>
      <c r="K29" s="3" t="b">
        <v>1</v>
      </c>
    </row>
    <row r="30" ht="15.75" customHeight="1">
      <c r="A30" s="2" t="s">
        <v>67</v>
      </c>
      <c r="B30" s="3" t="s">
        <v>68</v>
      </c>
      <c r="C30" s="3">
        <v>105.0</v>
      </c>
      <c r="D30" s="3">
        <v>1.0</v>
      </c>
      <c r="E30" s="3">
        <v>1.0</v>
      </c>
      <c r="F30" s="3">
        <v>1.0</v>
      </c>
      <c r="H30" s="3">
        <v>200.0</v>
      </c>
      <c r="I30" s="3" t="b">
        <v>1</v>
      </c>
      <c r="J30" s="3" t="s">
        <v>13</v>
      </c>
      <c r="K30" s="3" t="b">
        <v>1</v>
      </c>
    </row>
    <row r="31" ht="15.75" customHeight="1">
      <c r="A31" s="2" t="s">
        <v>69</v>
      </c>
      <c r="B31" s="3" t="s">
        <v>70</v>
      </c>
      <c r="C31" s="3">
        <v>53.0</v>
      </c>
      <c r="D31" s="3">
        <v>1.0</v>
      </c>
      <c r="E31" s="3">
        <v>1.0</v>
      </c>
      <c r="F31" s="3">
        <v>1.0</v>
      </c>
      <c r="H31" s="3">
        <v>200.0</v>
      </c>
      <c r="I31" s="3" t="b">
        <v>1</v>
      </c>
      <c r="J31" s="3" t="s">
        <v>13</v>
      </c>
      <c r="K31" s="3" t="b">
        <v>1</v>
      </c>
    </row>
    <row r="32" ht="15.75" customHeight="1">
      <c r="A32" s="2" t="s">
        <v>71</v>
      </c>
      <c r="B32" s="3" t="s">
        <v>72</v>
      </c>
      <c r="C32" s="3">
        <v>103.0</v>
      </c>
      <c r="D32" s="3">
        <v>1.0</v>
      </c>
      <c r="E32" s="3">
        <v>1.0</v>
      </c>
      <c r="F32" s="3">
        <v>1.0</v>
      </c>
      <c r="H32" s="3">
        <v>200.0</v>
      </c>
      <c r="I32" s="3" t="b">
        <v>1</v>
      </c>
      <c r="J32" s="3" t="s">
        <v>13</v>
      </c>
      <c r="K32" s="3" t="b">
        <v>1</v>
      </c>
    </row>
    <row r="33" ht="15.75" customHeight="1">
      <c r="A33" s="2" t="s">
        <v>73</v>
      </c>
      <c r="B33" s="3" t="s">
        <v>74</v>
      </c>
      <c r="C33" s="3">
        <v>73.0</v>
      </c>
      <c r="D33" s="3">
        <v>1.0</v>
      </c>
      <c r="E33" s="3">
        <v>1.0</v>
      </c>
      <c r="F33" s="3">
        <v>1.0</v>
      </c>
      <c r="H33" s="3">
        <v>200.0</v>
      </c>
      <c r="I33" s="3" t="b">
        <v>1</v>
      </c>
      <c r="J33" s="3" t="s">
        <v>13</v>
      </c>
      <c r="K33" s="3" t="b">
        <v>1</v>
      </c>
    </row>
    <row r="34" ht="15.75" customHeight="1">
      <c r="A34" s="2" t="s">
        <v>75</v>
      </c>
      <c r="B34" s="3" t="s">
        <v>76</v>
      </c>
      <c r="C34" s="3">
        <v>76.0</v>
      </c>
      <c r="D34" s="3">
        <v>1.0</v>
      </c>
      <c r="E34" s="3">
        <v>1.0</v>
      </c>
      <c r="F34" s="3">
        <v>1.0</v>
      </c>
      <c r="H34" s="3">
        <v>200.0</v>
      </c>
      <c r="I34" s="3" t="b">
        <v>1</v>
      </c>
      <c r="J34" s="3" t="s">
        <v>13</v>
      </c>
      <c r="K34" s="3" t="b">
        <v>1</v>
      </c>
    </row>
    <row r="35" ht="15.75" customHeight="1">
      <c r="A35" s="2" t="s">
        <v>77</v>
      </c>
      <c r="B35" s="3" t="s">
        <v>78</v>
      </c>
      <c r="C35" s="3">
        <v>123.0</v>
      </c>
      <c r="D35" s="3">
        <v>1.0</v>
      </c>
      <c r="E35" s="3">
        <v>1.0</v>
      </c>
      <c r="F35" s="3">
        <v>1.0</v>
      </c>
      <c r="H35" s="3">
        <v>200.0</v>
      </c>
      <c r="I35" s="3" t="b">
        <v>1</v>
      </c>
      <c r="J35" s="3" t="s">
        <v>13</v>
      </c>
      <c r="K35" s="3" t="b">
        <v>1</v>
      </c>
    </row>
    <row r="36" ht="15.75" customHeight="1">
      <c r="A36" s="2" t="s">
        <v>79</v>
      </c>
      <c r="B36" s="3" t="s">
        <v>80</v>
      </c>
      <c r="C36" s="3">
        <v>109.0</v>
      </c>
      <c r="D36" s="3">
        <v>1.0</v>
      </c>
      <c r="E36" s="3">
        <v>1.0</v>
      </c>
      <c r="F36" s="3">
        <v>1.0</v>
      </c>
      <c r="H36" s="3">
        <v>200.0</v>
      </c>
      <c r="I36" s="3" t="b">
        <v>1</v>
      </c>
      <c r="J36" s="3" t="s">
        <v>13</v>
      </c>
      <c r="K36" s="3" t="b">
        <v>1</v>
      </c>
    </row>
    <row r="37" ht="15.75" customHeight="1">
      <c r="A37" s="2" t="s">
        <v>81</v>
      </c>
      <c r="B37" s="3" t="s">
        <v>82</v>
      </c>
      <c r="C37" s="3">
        <v>122.0</v>
      </c>
      <c r="D37" s="3">
        <v>1.0</v>
      </c>
      <c r="E37" s="3">
        <v>1.0</v>
      </c>
      <c r="F37" s="3">
        <v>1.0</v>
      </c>
      <c r="H37" s="3">
        <v>200.0</v>
      </c>
      <c r="I37" s="3" t="b">
        <v>1</v>
      </c>
      <c r="J37" s="3" t="s">
        <v>13</v>
      </c>
      <c r="K37" s="3" t="b">
        <v>1</v>
      </c>
    </row>
    <row r="38" ht="15.75" customHeight="1">
      <c r="A38" s="2" t="s">
        <v>83</v>
      </c>
      <c r="B38" s="3" t="s">
        <v>84</v>
      </c>
      <c r="C38" s="3">
        <v>102.0</v>
      </c>
      <c r="D38" s="3">
        <v>1.0</v>
      </c>
      <c r="E38" s="3">
        <v>1.0</v>
      </c>
      <c r="F38" s="3">
        <v>1.0</v>
      </c>
      <c r="H38" s="3">
        <v>200.0</v>
      </c>
      <c r="I38" s="3" t="b">
        <v>1</v>
      </c>
      <c r="J38" s="3" t="s">
        <v>13</v>
      </c>
      <c r="K38" s="3" t="b">
        <v>1</v>
      </c>
    </row>
    <row r="39" ht="15.75" customHeight="1">
      <c r="A39" s="2" t="s">
        <v>85</v>
      </c>
      <c r="B39" s="3" t="s">
        <v>86</v>
      </c>
      <c r="C39" s="3">
        <v>131.0</v>
      </c>
      <c r="D39" s="3">
        <v>1.0</v>
      </c>
      <c r="E39" s="3">
        <v>1.0</v>
      </c>
      <c r="F39" s="3">
        <v>1.0</v>
      </c>
      <c r="H39" s="3">
        <v>200.0</v>
      </c>
      <c r="I39" s="3" t="b">
        <v>1</v>
      </c>
      <c r="J39" s="3" t="s">
        <v>13</v>
      </c>
      <c r="K39" s="3" t="b">
        <v>1</v>
      </c>
    </row>
    <row r="40" ht="15.75" customHeight="1">
      <c r="A40" s="2" t="s">
        <v>87</v>
      </c>
      <c r="B40" s="3" t="s">
        <v>88</v>
      </c>
      <c r="C40" s="3">
        <v>106.0</v>
      </c>
      <c r="D40" s="3">
        <v>1.0</v>
      </c>
      <c r="E40" s="3">
        <v>1.0</v>
      </c>
      <c r="F40" s="3">
        <v>1.0</v>
      </c>
      <c r="H40" s="3">
        <v>200.0</v>
      </c>
      <c r="I40" s="3" t="b">
        <v>1</v>
      </c>
      <c r="J40" s="3" t="s">
        <v>13</v>
      </c>
      <c r="K40" s="3" t="b">
        <v>1</v>
      </c>
    </row>
    <row r="41" ht="15.75" customHeight="1">
      <c r="A41" s="2" t="s">
        <v>89</v>
      </c>
      <c r="B41" s="3" t="s">
        <v>90</v>
      </c>
      <c r="C41" s="3">
        <v>79.0</v>
      </c>
      <c r="D41" s="3">
        <v>1.0</v>
      </c>
      <c r="E41" s="3">
        <v>1.0</v>
      </c>
      <c r="F41" s="3">
        <v>1.0</v>
      </c>
      <c r="H41" s="3">
        <v>200.0</v>
      </c>
      <c r="I41" s="3" t="b">
        <v>1</v>
      </c>
      <c r="J41" s="3" t="s">
        <v>13</v>
      </c>
      <c r="K41" s="3" t="b">
        <v>1</v>
      </c>
    </row>
    <row r="42" ht="15.75" customHeight="1">
      <c r="A42" s="2" t="s">
        <v>91</v>
      </c>
      <c r="B42" s="3" t="s">
        <v>92</v>
      </c>
      <c r="C42" s="3">
        <v>137.0</v>
      </c>
      <c r="D42" s="3">
        <v>1.0</v>
      </c>
      <c r="E42" s="3">
        <v>1.0</v>
      </c>
      <c r="F42" s="3">
        <v>1.0</v>
      </c>
      <c r="H42" s="3">
        <v>200.0</v>
      </c>
      <c r="I42" s="3" t="b">
        <v>1</v>
      </c>
      <c r="J42" s="3" t="s">
        <v>13</v>
      </c>
      <c r="K42" s="3" t="b">
        <v>1</v>
      </c>
    </row>
    <row r="43" ht="15.75" customHeight="1">
      <c r="A43" s="2" t="s">
        <v>93</v>
      </c>
      <c r="B43" s="3" t="s">
        <v>94</v>
      </c>
      <c r="C43" s="3">
        <v>88.0</v>
      </c>
      <c r="D43" s="3">
        <v>1.0</v>
      </c>
      <c r="E43" s="3">
        <v>1.0</v>
      </c>
      <c r="F43" s="3">
        <v>1.0</v>
      </c>
      <c r="H43" s="3">
        <v>200.0</v>
      </c>
      <c r="I43" s="3" t="b">
        <v>1</v>
      </c>
      <c r="J43" s="3" t="s">
        <v>13</v>
      </c>
      <c r="K43" s="3" t="b">
        <v>1</v>
      </c>
    </row>
    <row r="44" ht="15.75" customHeight="1">
      <c r="A44" s="2" t="s">
        <v>95</v>
      </c>
      <c r="B44" s="3" t="s">
        <v>96</v>
      </c>
      <c r="C44" s="3">
        <v>78.0</v>
      </c>
      <c r="D44" s="3">
        <v>1.0</v>
      </c>
      <c r="E44" s="3">
        <v>1.0</v>
      </c>
      <c r="F44" s="3">
        <v>1.0</v>
      </c>
      <c r="H44" s="3">
        <v>200.0</v>
      </c>
      <c r="I44" s="3" t="b">
        <v>1</v>
      </c>
      <c r="J44" s="3" t="s">
        <v>13</v>
      </c>
      <c r="K44" s="3" t="b">
        <v>1</v>
      </c>
    </row>
    <row r="45" ht="15.75" customHeight="1">
      <c r="A45" s="2" t="s">
        <v>97</v>
      </c>
      <c r="B45" s="3" t="s">
        <v>98</v>
      </c>
      <c r="C45" s="3">
        <v>85.0</v>
      </c>
      <c r="D45" s="3">
        <v>1.0</v>
      </c>
      <c r="E45" s="3">
        <v>1.0</v>
      </c>
      <c r="F45" s="3">
        <v>1.0</v>
      </c>
      <c r="H45" s="3">
        <v>200.0</v>
      </c>
      <c r="I45" s="3" t="b">
        <v>1</v>
      </c>
      <c r="J45" s="3" t="s">
        <v>13</v>
      </c>
      <c r="K45" s="3" t="b">
        <v>1</v>
      </c>
    </row>
    <row r="46" ht="15.75" customHeight="1">
      <c r="A46" s="2" t="s">
        <v>99</v>
      </c>
      <c r="B46" s="3" t="s">
        <v>100</v>
      </c>
      <c r="C46" s="3">
        <v>30.0</v>
      </c>
      <c r="D46" s="3">
        <v>1.0</v>
      </c>
      <c r="E46" s="3">
        <v>1.0</v>
      </c>
      <c r="F46" s="3">
        <v>3.0</v>
      </c>
      <c r="H46" s="3">
        <v>200.0</v>
      </c>
      <c r="I46" s="3" t="b">
        <v>1</v>
      </c>
      <c r="J46" s="3" t="s">
        <v>13</v>
      </c>
      <c r="K46" s="3" t="b">
        <v>1</v>
      </c>
    </row>
    <row r="47" ht="15.75" customHeight="1">
      <c r="A47" s="2" t="s">
        <v>101</v>
      </c>
      <c r="B47" s="3" t="s">
        <v>102</v>
      </c>
      <c r="C47" s="3">
        <v>93.0</v>
      </c>
      <c r="D47" s="3">
        <v>1.0</v>
      </c>
      <c r="E47" s="3">
        <v>1.0</v>
      </c>
      <c r="F47" s="3">
        <v>1.0</v>
      </c>
      <c r="H47" s="3">
        <v>200.0</v>
      </c>
      <c r="I47" s="3" t="b">
        <v>1</v>
      </c>
      <c r="J47" s="3" t="s">
        <v>13</v>
      </c>
      <c r="K47" s="3" t="b">
        <v>1</v>
      </c>
    </row>
    <row r="48" ht="15.75" customHeight="1">
      <c r="A48" s="2" t="s">
        <v>103</v>
      </c>
      <c r="B48" s="3" t="s">
        <v>104</v>
      </c>
      <c r="C48" s="3">
        <v>114.0</v>
      </c>
      <c r="D48" s="3">
        <v>1.0</v>
      </c>
      <c r="E48" s="3">
        <v>1.0</v>
      </c>
      <c r="F48" s="3">
        <v>1.0</v>
      </c>
      <c r="H48" s="3">
        <v>200.0</v>
      </c>
      <c r="I48" s="3" t="b">
        <v>1</v>
      </c>
      <c r="J48" s="3" t="s">
        <v>13</v>
      </c>
      <c r="K48" s="3" t="b">
        <v>1</v>
      </c>
    </row>
    <row r="49" ht="15.75" customHeight="1">
      <c r="A49" s="2" t="s">
        <v>105</v>
      </c>
      <c r="B49" s="3" t="s">
        <v>106</v>
      </c>
      <c r="C49" s="3">
        <v>126.0</v>
      </c>
      <c r="D49" s="3">
        <v>1.0</v>
      </c>
      <c r="E49" s="3">
        <v>1.0</v>
      </c>
      <c r="F49" s="3">
        <v>1.0</v>
      </c>
      <c r="H49" s="3">
        <v>200.0</v>
      </c>
      <c r="I49" s="3" t="b">
        <v>1</v>
      </c>
      <c r="J49" s="3" t="s">
        <v>13</v>
      </c>
      <c r="K49" s="3" t="b">
        <v>1</v>
      </c>
    </row>
    <row r="50" ht="15.75" customHeight="1">
      <c r="A50" s="2" t="s">
        <v>107</v>
      </c>
      <c r="B50" s="3" t="s">
        <v>108</v>
      </c>
      <c r="C50" s="3">
        <v>92.0</v>
      </c>
      <c r="D50" s="3">
        <v>1.0</v>
      </c>
      <c r="E50" s="3">
        <v>1.0</v>
      </c>
      <c r="F50" s="3">
        <v>1.0</v>
      </c>
      <c r="H50" s="3">
        <v>200.0</v>
      </c>
      <c r="I50" s="3" t="b">
        <v>1</v>
      </c>
      <c r="J50" s="3" t="s">
        <v>13</v>
      </c>
      <c r="K50" s="3" t="b">
        <v>1</v>
      </c>
    </row>
    <row r="51" ht="15.75" customHeight="1">
      <c r="A51" s="2" t="s">
        <v>109</v>
      </c>
      <c r="B51" s="3" t="s">
        <v>110</v>
      </c>
      <c r="C51" s="3">
        <v>102.0</v>
      </c>
      <c r="D51" s="3">
        <v>1.0</v>
      </c>
      <c r="E51" s="3">
        <v>1.0</v>
      </c>
      <c r="F51" s="3">
        <v>1.0</v>
      </c>
      <c r="H51" s="3">
        <v>200.0</v>
      </c>
      <c r="I51" s="3" t="b">
        <v>1</v>
      </c>
      <c r="J51" s="3" t="s">
        <v>13</v>
      </c>
      <c r="K51" s="3" t="b">
        <v>1</v>
      </c>
    </row>
    <row r="52" ht="15.75" customHeight="1">
      <c r="A52" s="2" t="s">
        <v>111</v>
      </c>
      <c r="B52" s="3" t="s">
        <v>112</v>
      </c>
      <c r="C52" s="3">
        <v>45.0</v>
      </c>
      <c r="D52" s="3">
        <v>1.0</v>
      </c>
      <c r="E52" s="3">
        <v>1.0</v>
      </c>
      <c r="F52" s="3">
        <v>1.0</v>
      </c>
      <c r="H52" s="3">
        <v>200.0</v>
      </c>
      <c r="I52" s="3" t="b">
        <v>1</v>
      </c>
      <c r="J52" s="3" t="s">
        <v>13</v>
      </c>
      <c r="K52" s="3" t="b">
        <v>1</v>
      </c>
    </row>
    <row r="53" ht="15.75" customHeight="1">
      <c r="A53" s="2" t="s">
        <v>113</v>
      </c>
      <c r="B53" s="3" t="s">
        <v>114</v>
      </c>
      <c r="C53" s="3">
        <v>100.0</v>
      </c>
      <c r="D53" s="3">
        <v>1.0</v>
      </c>
      <c r="E53" s="3">
        <v>1.0</v>
      </c>
      <c r="F53" s="3">
        <v>1.0</v>
      </c>
      <c r="H53" s="3">
        <v>200.0</v>
      </c>
      <c r="I53" s="3" t="b">
        <v>1</v>
      </c>
      <c r="J53" s="3" t="s">
        <v>13</v>
      </c>
      <c r="K53" s="3" t="b">
        <v>1</v>
      </c>
    </row>
    <row r="54" ht="15.75" customHeight="1">
      <c r="A54" s="2" t="s">
        <v>115</v>
      </c>
      <c r="B54" s="3" t="s">
        <v>116</v>
      </c>
      <c r="C54" s="3">
        <v>49.0</v>
      </c>
      <c r="D54" s="3">
        <v>1.0</v>
      </c>
      <c r="E54" s="3">
        <v>1.0</v>
      </c>
      <c r="F54" s="3">
        <v>1.0</v>
      </c>
      <c r="H54" s="3">
        <v>200.0</v>
      </c>
      <c r="I54" s="3" t="b">
        <v>1</v>
      </c>
      <c r="J54" s="3" t="s">
        <v>13</v>
      </c>
      <c r="K54" s="3" t="b">
        <v>1</v>
      </c>
    </row>
    <row r="55" ht="15.75" customHeight="1">
      <c r="A55" s="2" t="s">
        <v>117</v>
      </c>
      <c r="B55" s="3" t="s">
        <v>118</v>
      </c>
      <c r="C55" s="3">
        <v>99.0</v>
      </c>
      <c r="D55" s="3">
        <v>1.0</v>
      </c>
      <c r="E55" s="3">
        <v>1.0</v>
      </c>
      <c r="F55" s="3">
        <v>1.0</v>
      </c>
      <c r="H55" s="3">
        <v>200.0</v>
      </c>
      <c r="I55" s="3" t="b">
        <v>1</v>
      </c>
      <c r="J55" s="3" t="s">
        <v>13</v>
      </c>
      <c r="K55" s="3" t="b">
        <v>1</v>
      </c>
    </row>
    <row r="56" ht="15.75" customHeight="1">
      <c r="A56" s="2" t="s">
        <v>119</v>
      </c>
      <c r="B56" s="3" t="s">
        <v>120</v>
      </c>
      <c r="C56" s="3">
        <v>53.0</v>
      </c>
      <c r="D56" s="3">
        <v>1.0</v>
      </c>
      <c r="E56" s="3">
        <v>1.0</v>
      </c>
      <c r="F56" s="3">
        <v>1.0</v>
      </c>
      <c r="H56" s="3">
        <v>200.0</v>
      </c>
      <c r="I56" s="3" t="b">
        <v>1</v>
      </c>
      <c r="J56" s="3" t="s">
        <v>13</v>
      </c>
      <c r="K56" s="3" t="b">
        <v>1</v>
      </c>
    </row>
    <row r="57" ht="15.75" customHeight="1">
      <c r="A57" s="2" t="s">
        <v>121</v>
      </c>
      <c r="B57" s="3" t="s">
        <v>122</v>
      </c>
      <c r="C57" s="3">
        <v>126.0</v>
      </c>
      <c r="D57" s="3">
        <v>1.0</v>
      </c>
      <c r="E57" s="3">
        <v>1.0</v>
      </c>
      <c r="F57" s="3">
        <v>1.0</v>
      </c>
      <c r="H57" s="3">
        <v>200.0</v>
      </c>
      <c r="I57" s="3" t="b">
        <v>1</v>
      </c>
      <c r="J57" s="3" t="s">
        <v>13</v>
      </c>
      <c r="K57" s="3" t="b">
        <v>1</v>
      </c>
    </row>
    <row r="58" ht="15.75" customHeight="1">
      <c r="A58" s="2" t="s">
        <v>123</v>
      </c>
      <c r="B58" s="3" t="s">
        <v>124</v>
      </c>
      <c r="C58" s="3">
        <v>118.0</v>
      </c>
      <c r="D58" s="3">
        <v>1.0</v>
      </c>
      <c r="E58" s="3">
        <v>1.0</v>
      </c>
      <c r="F58" s="3">
        <v>1.0</v>
      </c>
      <c r="H58" s="3">
        <v>200.0</v>
      </c>
      <c r="I58" s="3" t="b">
        <v>1</v>
      </c>
      <c r="J58" s="3" t="s">
        <v>13</v>
      </c>
      <c r="K58" s="3" t="b">
        <v>1</v>
      </c>
    </row>
    <row r="59" ht="15.75" customHeight="1">
      <c r="A59" s="2" t="s">
        <v>125</v>
      </c>
      <c r="B59" s="3" t="s">
        <v>126</v>
      </c>
      <c r="C59" s="3">
        <v>61.0</v>
      </c>
      <c r="D59" s="3">
        <v>1.0</v>
      </c>
      <c r="E59" s="3">
        <v>1.0</v>
      </c>
      <c r="F59" s="3">
        <v>1.0</v>
      </c>
      <c r="H59" s="3">
        <v>200.0</v>
      </c>
      <c r="I59" s="3" t="b">
        <v>1</v>
      </c>
      <c r="J59" s="3" t="s">
        <v>13</v>
      </c>
      <c r="K59" s="3" t="b">
        <v>1</v>
      </c>
    </row>
    <row r="60" ht="15.75" customHeight="1">
      <c r="A60" s="2" t="s">
        <v>127</v>
      </c>
      <c r="B60" s="3" t="s">
        <v>128</v>
      </c>
      <c r="C60" s="3">
        <v>128.0</v>
      </c>
      <c r="D60" s="3">
        <v>1.0</v>
      </c>
      <c r="E60" s="3">
        <v>1.0</v>
      </c>
      <c r="F60" s="3">
        <v>1.0</v>
      </c>
      <c r="H60" s="3">
        <v>200.0</v>
      </c>
      <c r="I60" s="3" t="b">
        <v>1</v>
      </c>
      <c r="J60" s="3" t="s">
        <v>13</v>
      </c>
      <c r="K60" s="3" t="b">
        <v>1</v>
      </c>
    </row>
    <row r="61" ht="15.75" customHeight="1">
      <c r="A61" s="2" t="s">
        <v>129</v>
      </c>
      <c r="B61" s="3" t="s">
        <v>130</v>
      </c>
      <c r="C61" s="3">
        <v>64.0</v>
      </c>
      <c r="D61" s="3">
        <v>1.0</v>
      </c>
      <c r="E61" s="3">
        <v>1.0</v>
      </c>
      <c r="F61" s="3">
        <v>1.0</v>
      </c>
      <c r="H61" s="3">
        <v>200.0</v>
      </c>
      <c r="I61" s="3" t="b">
        <v>1</v>
      </c>
      <c r="J61" s="3" t="s">
        <v>13</v>
      </c>
      <c r="K61" s="3" t="b">
        <v>1</v>
      </c>
    </row>
    <row r="62" ht="15.75" customHeight="1">
      <c r="A62" s="2" t="s">
        <v>131</v>
      </c>
      <c r="B62" s="3" t="s">
        <v>132</v>
      </c>
      <c r="C62" s="3">
        <v>77.0</v>
      </c>
      <c r="D62" s="3">
        <v>1.0</v>
      </c>
      <c r="E62" s="3">
        <v>1.0</v>
      </c>
      <c r="F62" s="3">
        <v>1.0</v>
      </c>
      <c r="H62" s="3">
        <v>200.0</v>
      </c>
      <c r="I62" s="3" t="b">
        <v>1</v>
      </c>
      <c r="J62" s="3" t="s">
        <v>13</v>
      </c>
      <c r="K62" s="3" t="b">
        <v>1</v>
      </c>
    </row>
    <row r="63" ht="15.75" customHeight="1">
      <c r="A63" s="2" t="s">
        <v>133</v>
      </c>
      <c r="B63" s="3" t="s">
        <v>134</v>
      </c>
      <c r="C63" s="3">
        <v>62.0</v>
      </c>
      <c r="D63" s="3">
        <v>1.0</v>
      </c>
      <c r="E63" s="3">
        <v>1.0</v>
      </c>
      <c r="F63" s="3">
        <v>1.0</v>
      </c>
      <c r="H63" s="3">
        <v>200.0</v>
      </c>
      <c r="I63" s="3" t="b">
        <v>1</v>
      </c>
      <c r="J63" s="3" t="s">
        <v>13</v>
      </c>
      <c r="K63" s="3" t="b">
        <v>1</v>
      </c>
    </row>
    <row r="64" ht="15.75" customHeight="1">
      <c r="A64" s="2" t="s">
        <v>135</v>
      </c>
      <c r="B64" s="3" t="s">
        <v>136</v>
      </c>
      <c r="C64" s="3">
        <v>104.0</v>
      </c>
      <c r="D64" s="3">
        <v>1.0</v>
      </c>
      <c r="E64" s="3">
        <v>2.0</v>
      </c>
      <c r="F64" s="3">
        <v>10.0</v>
      </c>
      <c r="H64" s="3">
        <v>200.0</v>
      </c>
      <c r="I64" s="3" t="b">
        <v>1</v>
      </c>
      <c r="J64" s="3" t="s">
        <v>13</v>
      </c>
      <c r="K64" s="3" t="b">
        <v>1</v>
      </c>
    </row>
    <row r="65" ht="15.75" customHeight="1">
      <c r="A65" s="2" t="s">
        <v>137</v>
      </c>
      <c r="B65" s="3" t="s">
        <v>138</v>
      </c>
      <c r="C65" s="3">
        <v>62.0</v>
      </c>
      <c r="D65" s="3">
        <v>1.0</v>
      </c>
      <c r="E65" s="3">
        <v>1.0</v>
      </c>
      <c r="F65" s="3">
        <v>1.0</v>
      </c>
      <c r="H65" s="3">
        <v>200.0</v>
      </c>
      <c r="I65" s="3" t="b">
        <v>1</v>
      </c>
      <c r="J65" s="3" t="s">
        <v>13</v>
      </c>
      <c r="K65" s="3" t="b">
        <v>1</v>
      </c>
    </row>
    <row r="66" ht="15.75" customHeight="1">
      <c r="A66" s="2" t="s">
        <v>139</v>
      </c>
      <c r="B66" s="3" t="s">
        <v>140</v>
      </c>
      <c r="C66" s="3">
        <v>38.0</v>
      </c>
      <c r="D66" s="3">
        <v>1.0</v>
      </c>
      <c r="E66" s="3">
        <v>1.0</v>
      </c>
      <c r="F66" s="3">
        <v>1.0</v>
      </c>
      <c r="H66" s="3">
        <v>200.0</v>
      </c>
      <c r="I66" s="3" t="b">
        <v>1</v>
      </c>
      <c r="J66" s="3" t="s">
        <v>13</v>
      </c>
      <c r="K66" s="3" t="b">
        <v>1</v>
      </c>
    </row>
    <row r="67" ht="15.75" customHeight="1">
      <c r="A67" s="2" t="s">
        <v>141</v>
      </c>
      <c r="B67" s="3" t="s">
        <v>12</v>
      </c>
      <c r="C67" s="3">
        <v>69.0</v>
      </c>
      <c r="D67" s="3">
        <v>1.0</v>
      </c>
      <c r="E67" s="3">
        <v>2.0</v>
      </c>
      <c r="F67" s="3">
        <v>3.0</v>
      </c>
      <c r="H67" s="3">
        <v>200.0</v>
      </c>
      <c r="I67" s="3" t="b">
        <v>1</v>
      </c>
      <c r="J67" s="3" t="s">
        <v>13</v>
      </c>
      <c r="K67" s="3" t="b">
        <v>1</v>
      </c>
    </row>
    <row r="68" ht="15.75" customHeight="1">
      <c r="A68" s="2" t="s">
        <v>142</v>
      </c>
      <c r="B68" s="3" t="s">
        <v>136</v>
      </c>
      <c r="C68" s="3">
        <v>104.0</v>
      </c>
      <c r="D68" s="3">
        <v>1.0</v>
      </c>
      <c r="E68" s="3">
        <v>2.0</v>
      </c>
      <c r="F68" s="3">
        <v>10.0</v>
      </c>
      <c r="H68" s="3">
        <v>200.0</v>
      </c>
      <c r="I68" s="3" t="b">
        <v>1</v>
      </c>
      <c r="J68" s="3" t="s">
        <v>13</v>
      </c>
      <c r="K68" s="3" t="b">
        <v>1</v>
      </c>
    </row>
    <row r="69" ht="15.75" customHeight="1">
      <c r="A69" s="2" t="s">
        <v>143</v>
      </c>
      <c r="B69" s="3" t="s">
        <v>136</v>
      </c>
      <c r="C69" s="3">
        <v>104.0</v>
      </c>
      <c r="D69" s="3">
        <v>1.0</v>
      </c>
      <c r="E69" s="3">
        <v>2.0</v>
      </c>
      <c r="F69" s="3">
        <v>10.0</v>
      </c>
      <c r="H69" s="3">
        <v>200.0</v>
      </c>
      <c r="I69" s="3" t="b">
        <v>1</v>
      </c>
      <c r="J69" s="3" t="s">
        <v>13</v>
      </c>
      <c r="K69" s="3" t="b">
        <v>1</v>
      </c>
    </row>
    <row r="70" ht="15.75" customHeight="1">
      <c r="A70" s="2" t="s">
        <v>144</v>
      </c>
      <c r="B70" s="3" t="s">
        <v>41</v>
      </c>
      <c r="C70" s="3">
        <v>82.0</v>
      </c>
      <c r="D70" s="3">
        <v>1.0</v>
      </c>
      <c r="E70" s="3">
        <v>2.0</v>
      </c>
      <c r="F70" s="3">
        <v>2.0</v>
      </c>
      <c r="H70" s="3">
        <v>200.0</v>
      </c>
      <c r="I70" s="3" t="b">
        <v>1</v>
      </c>
      <c r="J70" s="3" t="s">
        <v>13</v>
      </c>
      <c r="K70" s="3" t="b">
        <v>1</v>
      </c>
    </row>
    <row r="71" ht="15.75" customHeight="1">
      <c r="A71" s="2" t="s">
        <v>145</v>
      </c>
      <c r="B71" s="3" t="s">
        <v>136</v>
      </c>
      <c r="C71" s="3">
        <v>104.0</v>
      </c>
      <c r="D71" s="3">
        <v>1.0</v>
      </c>
      <c r="E71" s="3">
        <v>2.0</v>
      </c>
      <c r="F71" s="3">
        <v>10.0</v>
      </c>
      <c r="H71" s="3">
        <v>200.0</v>
      </c>
      <c r="I71" s="3" t="b">
        <v>1</v>
      </c>
      <c r="J71" s="3" t="s">
        <v>13</v>
      </c>
      <c r="K71" s="3" t="b">
        <v>1</v>
      </c>
    </row>
    <row r="72" ht="15.75" customHeight="1">
      <c r="A72" s="2" t="s">
        <v>146</v>
      </c>
      <c r="B72" s="3" t="s">
        <v>147</v>
      </c>
      <c r="C72" s="3">
        <v>38.0</v>
      </c>
      <c r="D72" s="3">
        <v>1.0</v>
      </c>
      <c r="E72" s="3">
        <v>1.0</v>
      </c>
      <c r="F72" s="3">
        <v>1.0</v>
      </c>
      <c r="H72" s="3">
        <v>200.0</v>
      </c>
      <c r="I72" s="3" t="b">
        <v>1</v>
      </c>
      <c r="J72" s="3" t="s">
        <v>13</v>
      </c>
      <c r="K72" s="3" t="b">
        <v>1</v>
      </c>
    </row>
    <row r="73" ht="15.75" customHeight="1">
      <c r="A73" s="2" t="s">
        <v>148</v>
      </c>
      <c r="B73" s="3" t="s">
        <v>136</v>
      </c>
      <c r="C73" s="3">
        <v>104.0</v>
      </c>
      <c r="D73" s="3">
        <v>1.0</v>
      </c>
      <c r="E73" s="3">
        <v>2.0</v>
      </c>
      <c r="F73" s="3">
        <v>10.0</v>
      </c>
      <c r="H73" s="3">
        <v>200.0</v>
      </c>
      <c r="I73" s="3" t="b">
        <v>1</v>
      </c>
      <c r="J73" s="3" t="s">
        <v>13</v>
      </c>
      <c r="K73" s="3" t="b">
        <v>1</v>
      </c>
    </row>
    <row r="74" ht="15.75" customHeight="1">
      <c r="A74" s="2" t="s">
        <v>149</v>
      </c>
      <c r="B74" s="3" t="s">
        <v>136</v>
      </c>
      <c r="C74" s="3">
        <v>104.0</v>
      </c>
      <c r="D74" s="3">
        <v>1.0</v>
      </c>
      <c r="E74" s="3">
        <v>2.0</v>
      </c>
      <c r="F74" s="3">
        <v>10.0</v>
      </c>
      <c r="H74" s="3">
        <v>200.0</v>
      </c>
      <c r="I74" s="3" t="b">
        <v>1</v>
      </c>
      <c r="J74" s="3" t="s">
        <v>13</v>
      </c>
      <c r="K74" s="3" t="b">
        <v>1</v>
      </c>
    </row>
    <row r="75" ht="15.75" customHeight="1">
      <c r="A75" s="2" t="s">
        <v>150</v>
      </c>
      <c r="B75" s="3" t="s">
        <v>136</v>
      </c>
      <c r="C75" s="3">
        <v>104.0</v>
      </c>
      <c r="D75" s="3">
        <v>1.0</v>
      </c>
      <c r="E75" s="3">
        <v>2.0</v>
      </c>
      <c r="F75" s="3">
        <v>10.0</v>
      </c>
      <c r="H75" s="3">
        <v>200.0</v>
      </c>
      <c r="I75" s="3" t="b">
        <v>1</v>
      </c>
      <c r="J75" s="3" t="s">
        <v>13</v>
      </c>
      <c r="K75" s="3" t="b">
        <v>1</v>
      </c>
    </row>
    <row r="76" ht="15.75" customHeight="1">
      <c r="A76" s="2" t="s">
        <v>151</v>
      </c>
      <c r="B76" s="3" t="s">
        <v>152</v>
      </c>
      <c r="C76" s="3">
        <v>52.0</v>
      </c>
      <c r="D76" s="3">
        <v>1.0</v>
      </c>
      <c r="E76" s="3">
        <v>1.0</v>
      </c>
      <c r="F76" s="3">
        <v>1.0</v>
      </c>
      <c r="H76" s="3">
        <v>200.0</v>
      </c>
      <c r="I76" s="3" t="b">
        <v>1</v>
      </c>
      <c r="J76" s="3" t="s">
        <v>13</v>
      </c>
      <c r="K76" s="3" t="b">
        <v>1</v>
      </c>
    </row>
    <row r="77" ht="15.75" customHeight="1">
      <c r="A77" s="2" t="s">
        <v>153</v>
      </c>
      <c r="B77" s="3" t="s">
        <v>154</v>
      </c>
      <c r="C77" s="3">
        <v>35.0</v>
      </c>
      <c r="D77" s="3">
        <v>1.0</v>
      </c>
      <c r="E77" s="3">
        <v>2.0</v>
      </c>
      <c r="F77" s="3">
        <v>2.0</v>
      </c>
      <c r="H77" s="3">
        <v>200.0</v>
      </c>
      <c r="I77" s="3" t="b">
        <v>1</v>
      </c>
      <c r="J77" s="3" t="s">
        <v>13</v>
      </c>
      <c r="K77" s="3" t="b">
        <v>1</v>
      </c>
    </row>
    <row r="78" ht="15.75" customHeight="1">
      <c r="A78" s="2" t="s">
        <v>155</v>
      </c>
      <c r="B78" s="3" t="s">
        <v>136</v>
      </c>
      <c r="C78" s="3">
        <v>104.0</v>
      </c>
      <c r="D78" s="3">
        <v>1.0</v>
      </c>
      <c r="E78" s="3">
        <v>2.0</v>
      </c>
      <c r="F78" s="3">
        <v>10.0</v>
      </c>
      <c r="H78" s="3">
        <v>200.0</v>
      </c>
      <c r="I78" s="3" t="b">
        <v>1</v>
      </c>
      <c r="J78" s="3" t="s">
        <v>13</v>
      </c>
      <c r="K78" s="3" t="b">
        <v>1</v>
      </c>
    </row>
    <row r="79" ht="15.75" customHeight="1">
      <c r="A79" s="2" t="s">
        <v>156</v>
      </c>
      <c r="B79" s="3" t="s">
        <v>157</v>
      </c>
      <c r="C79" s="3">
        <v>43.0</v>
      </c>
      <c r="D79" s="3">
        <v>1.0</v>
      </c>
      <c r="E79" s="3">
        <v>1.0</v>
      </c>
      <c r="F79" s="3">
        <v>1.0</v>
      </c>
      <c r="H79" s="3">
        <v>200.0</v>
      </c>
      <c r="I79" s="3" t="b">
        <v>1</v>
      </c>
      <c r="J79" s="3" t="s">
        <v>13</v>
      </c>
      <c r="K79" s="3" t="b">
        <v>1</v>
      </c>
    </row>
    <row r="80" ht="15.75" customHeight="1">
      <c r="A80" s="2" t="s">
        <v>158</v>
      </c>
      <c r="B80" s="3" t="s">
        <v>136</v>
      </c>
      <c r="C80" s="3">
        <v>104.0</v>
      </c>
      <c r="D80" s="3">
        <v>1.0</v>
      </c>
      <c r="E80" s="3">
        <v>2.0</v>
      </c>
      <c r="F80" s="3">
        <v>10.0</v>
      </c>
      <c r="H80" s="3">
        <v>200.0</v>
      </c>
      <c r="I80" s="3" t="b">
        <v>1</v>
      </c>
      <c r="J80" s="3" t="s">
        <v>13</v>
      </c>
      <c r="K80" s="3" t="b">
        <v>1</v>
      </c>
    </row>
    <row r="81" ht="15.75" customHeight="1">
      <c r="A81" s="2" t="s">
        <v>159</v>
      </c>
      <c r="B81" s="3" t="s">
        <v>160</v>
      </c>
      <c r="C81" s="3">
        <v>56.0</v>
      </c>
      <c r="D81" s="3">
        <v>1.0</v>
      </c>
      <c r="E81" s="3">
        <v>1.0</v>
      </c>
      <c r="F81" s="3">
        <v>1.0</v>
      </c>
      <c r="H81" s="3">
        <v>200.0</v>
      </c>
      <c r="I81" s="3" t="b">
        <v>1</v>
      </c>
      <c r="J81" s="3" t="s">
        <v>13</v>
      </c>
      <c r="K81" s="3" t="b">
        <v>1</v>
      </c>
    </row>
    <row r="82" ht="15.75" customHeight="1">
      <c r="A82" s="2" t="s">
        <v>161</v>
      </c>
      <c r="B82" s="3" t="s">
        <v>136</v>
      </c>
      <c r="C82" s="3">
        <v>104.0</v>
      </c>
      <c r="D82" s="3">
        <v>1.0</v>
      </c>
      <c r="E82" s="3">
        <v>2.0</v>
      </c>
      <c r="F82" s="3">
        <v>10.0</v>
      </c>
      <c r="H82" s="3">
        <v>200.0</v>
      </c>
      <c r="I82" s="3" t="b">
        <v>1</v>
      </c>
      <c r="J82" s="3" t="s">
        <v>13</v>
      </c>
      <c r="K82" s="3" t="b">
        <v>1</v>
      </c>
    </row>
    <row r="83" ht="15.75" customHeight="1">
      <c r="A83" s="2" t="s">
        <v>162</v>
      </c>
      <c r="B83" s="3" t="s">
        <v>163</v>
      </c>
      <c r="C83" s="3">
        <v>33.0</v>
      </c>
      <c r="D83" s="3">
        <v>1.0</v>
      </c>
      <c r="E83" s="3">
        <v>1.0</v>
      </c>
      <c r="F83" s="3">
        <v>1.0</v>
      </c>
      <c r="H83" s="3">
        <v>200.0</v>
      </c>
      <c r="I83" s="3" t="b">
        <v>1</v>
      </c>
      <c r="J83" s="3" t="s">
        <v>13</v>
      </c>
      <c r="K83" s="3" t="b">
        <v>1</v>
      </c>
    </row>
    <row r="84" ht="15.75" customHeight="1">
      <c r="A84" s="2" t="s">
        <v>164</v>
      </c>
      <c r="B84" s="3" t="s">
        <v>165</v>
      </c>
      <c r="C84" s="3">
        <v>46.0</v>
      </c>
      <c r="D84" s="3">
        <v>1.0</v>
      </c>
      <c r="E84" s="3">
        <v>1.0</v>
      </c>
      <c r="F84" s="3">
        <v>1.0</v>
      </c>
      <c r="H84" s="3">
        <v>200.0</v>
      </c>
      <c r="I84" s="3" t="b">
        <v>1</v>
      </c>
      <c r="J84" s="3" t="s">
        <v>13</v>
      </c>
      <c r="K84" s="3" t="b">
        <v>1</v>
      </c>
    </row>
    <row r="85" ht="15.75" customHeight="1">
      <c r="A85" s="2" t="s">
        <v>166</v>
      </c>
      <c r="B85" s="3" t="s">
        <v>154</v>
      </c>
      <c r="C85" s="3">
        <v>35.0</v>
      </c>
      <c r="D85" s="3">
        <v>1.0</v>
      </c>
      <c r="E85" s="3">
        <v>2.0</v>
      </c>
      <c r="F85" s="3">
        <v>2.0</v>
      </c>
      <c r="H85" s="3">
        <v>200.0</v>
      </c>
      <c r="I85" s="3" t="b">
        <v>1</v>
      </c>
      <c r="J85" s="3" t="s">
        <v>13</v>
      </c>
      <c r="K85" s="3" t="b">
        <v>1</v>
      </c>
    </row>
    <row r="86" ht="15.75" customHeight="1">
      <c r="A86" s="2" t="s">
        <v>167</v>
      </c>
      <c r="B86" s="3" t="s">
        <v>168</v>
      </c>
      <c r="C86" s="3">
        <v>39.0</v>
      </c>
      <c r="D86" s="3">
        <v>1.0</v>
      </c>
      <c r="E86" s="3">
        <v>1.0</v>
      </c>
      <c r="F86" s="3">
        <v>1.0</v>
      </c>
      <c r="H86" s="3">
        <v>200.0</v>
      </c>
      <c r="I86" s="3" t="b">
        <v>0</v>
      </c>
      <c r="J86" s="3" t="s">
        <v>13</v>
      </c>
      <c r="K86" s="3" t="b">
        <v>1</v>
      </c>
    </row>
    <row r="87" ht="15.75" customHeight="1">
      <c r="A87" s="2" t="s">
        <v>169</v>
      </c>
      <c r="B87" s="3" t="s">
        <v>170</v>
      </c>
      <c r="C87" s="3">
        <v>52.0</v>
      </c>
      <c r="D87" s="3">
        <v>1.0</v>
      </c>
      <c r="E87" s="3">
        <v>1.0</v>
      </c>
      <c r="F87" s="3">
        <v>1.0</v>
      </c>
      <c r="H87" s="3">
        <v>200.0</v>
      </c>
      <c r="I87" s="3" t="b">
        <v>0</v>
      </c>
      <c r="J87" s="3" t="s">
        <v>13</v>
      </c>
      <c r="K87" s="3" t="b">
        <v>1</v>
      </c>
    </row>
    <row r="88" ht="15.75" customHeight="1">
      <c r="A88" s="2" t="s">
        <v>171</v>
      </c>
      <c r="B88" s="3" t="s">
        <v>172</v>
      </c>
      <c r="C88" s="3">
        <v>44.0</v>
      </c>
      <c r="D88" s="3">
        <v>1.0</v>
      </c>
      <c r="E88" s="3">
        <v>1.0</v>
      </c>
      <c r="F88" s="3">
        <v>1.0</v>
      </c>
      <c r="H88" s="3">
        <v>200.0</v>
      </c>
      <c r="I88" s="3" t="b">
        <v>0</v>
      </c>
      <c r="J88" s="3" t="s">
        <v>13</v>
      </c>
      <c r="K88" s="3" t="b">
        <v>1</v>
      </c>
    </row>
    <row r="89" ht="15.75" customHeight="1">
      <c r="A89" s="2" t="s">
        <v>173</v>
      </c>
      <c r="B89" s="3" t="s">
        <v>174</v>
      </c>
      <c r="C89" s="3">
        <v>42.0</v>
      </c>
      <c r="D89" s="3">
        <v>1.0</v>
      </c>
      <c r="E89" s="3">
        <v>1.0</v>
      </c>
      <c r="F89" s="3">
        <v>1.0</v>
      </c>
      <c r="H89" s="3">
        <v>200.0</v>
      </c>
      <c r="I89" s="3" t="b">
        <v>0</v>
      </c>
      <c r="J89" s="3" t="s">
        <v>13</v>
      </c>
      <c r="K89" s="3" t="b">
        <v>1</v>
      </c>
    </row>
    <row r="90" ht="15.75" customHeight="1">
      <c r="A90" s="2" t="s">
        <v>175</v>
      </c>
      <c r="B90" s="3" t="s">
        <v>100</v>
      </c>
      <c r="C90" s="3">
        <v>30.0</v>
      </c>
      <c r="D90" s="3">
        <v>1.0</v>
      </c>
      <c r="E90" s="3">
        <v>1.0</v>
      </c>
      <c r="F90" s="3">
        <v>3.0</v>
      </c>
      <c r="H90" s="3">
        <v>200.0</v>
      </c>
      <c r="I90" s="3" t="b">
        <v>0</v>
      </c>
      <c r="J90" s="3" t="s">
        <v>13</v>
      </c>
      <c r="K90" s="3" t="b">
        <v>1</v>
      </c>
    </row>
    <row r="91" ht="15.75" customHeight="1">
      <c r="A91" s="2" t="s">
        <v>176</v>
      </c>
      <c r="D91" s="3">
        <v>0.0</v>
      </c>
      <c r="H91" s="3">
        <v>404.0</v>
      </c>
      <c r="I91" s="3" t="b">
        <v>0</v>
      </c>
      <c r="J91" s="3" t="s">
        <v>13</v>
      </c>
      <c r="K91" s="3" t="b">
        <v>0</v>
      </c>
    </row>
    <row r="92" ht="15.75" customHeight="1">
      <c r="A92" s="2" t="s">
        <v>177</v>
      </c>
      <c r="D92" s="3">
        <v>0.0</v>
      </c>
      <c r="H92" s="3">
        <v>301.0</v>
      </c>
      <c r="I92" s="3" t="b">
        <v>0</v>
      </c>
      <c r="J92" s="3" t="s">
        <v>13</v>
      </c>
      <c r="K92" s="3" t="b">
        <v>0</v>
      </c>
    </row>
    <row r="93" ht="15.75" customHeight="1">
      <c r="A93" s="2" t="s">
        <v>178</v>
      </c>
      <c r="D93" s="3">
        <v>0.0</v>
      </c>
      <c r="H93" s="3">
        <v>301.0</v>
      </c>
      <c r="I93" s="3" t="b">
        <v>0</v>
      </c>
      <c r="J93" s="3" t="s">
        <v>13</v>
      </c>
      <c r="K93" s="3" t="b">
        <v>0</v>
      </c>
    </row>
    <row r="94" ht="15.75" customHeight="1">
      <c r="A94" s="2" t="s">
        <v>179</v>
      </c>
      <c r="D94" s="3">
        <v>0.0</v>
      </c>
      <c r="H94" s="3">
        <v>301.0</v>
      </c>
      <c r="I94" s="3" t="b">
        <v>0</v>
      </c>
      <c r="J94" s="3" t="s">
        <v>13</v>
      </c>
      <c r="K94" s="3" t="b">
        <v>0</v>
      </c>
    </row>
    <row r="95" ht="15.75" customHeight="1">
      <c r="A95" s="2" t="s">
        <v>180</v>
      </c>
      <c r="B95" s="3" t="s">
        <v>100</v>
      </c>
      <c r="C95" s="3">
        <v>30.0</v>
      </c>
      <c r="D95" s="3">
        <v>1.0</v>
      </c>
      <c r="H95" s="3">
        <v>200.0</v>
      </c>
      <c r="I95" s="3" t="b">
        <v>0</v>
      </c>
      <c r="J95" s="3" t="s">
        <v>13</v>
      </c>
      <c r="K95" s="3" t="b">
        <v>1</v>
      </c>
    </row>
    <row r="96" ht="15.75" customHeight="1">
      <c r="A96" s="2" t="s">
        <v>181</v>
      </c>
      <c r="D96" s="3">
        <v>0.0</v>
      </c>
      <c r="H96" s="3">
        <v>301.0</v>
      </c>
      <c r="I96" s="3" t="b">
        <v>0</v>
      </c>
      <c r="J96" s="3" t="s">
        <v>13</v>
      </c>
      <c r="K96" s="3" t="b">
        <v>0</v>
      </c>
    </row>
    <row r="97" ht="15.75" customHeight="1">
      <c r="A97" s="2" t="s">
        <v>182</v>
      </c>
      <c r="D97" s="3">
        <v>0.0</v>
      </c>
      <c r="H97" s="3">
        <v>200.0</v>
      </c>
      <c r="I97" s="3" t="b">
        <v>0</v>
      </c>
      <c r="J97" s="3" t="s">
        <v>183</v>
      </c>
      <c r="K97" s="3" t="b">
        <v>0</v>
      </c>
    </row>
    <row r="98" ht="15.75" customHeight="1">
      <c r="A98" s="2" t="s">
        <v>184</v>
      </c>
      <c r="D98" s="3">
        <v>0.0</v>
      </c>
      <c r="H98" s="3">
        <v>301.0</v>
      </c>
      <c r="I98" s="3" t="b">
        <v>0</v>
      </c>
      <c r="J98" s="3" t="s">
        <v>13</v>
      </c>
      <c r="K98" s="3" t="b">
        <v>0</v>
      </c>
    </row>
    <row r="99" ht="15.75" customHeight="1">
      <c r="A99" s="2" t="s">
        <v>185</v>
      </c>
      <c r="D99" s="3">
        <v>0.0</v>
      </c>
      <c r="H99" s="3">
        <v>301.0</v>
      </c>
      <c r="I99" s="3" t="b">
        <v>0</v>
      </c>
      <c r="J99" s="3" t="s">
        <v>13</v>
      </c>
      <c r="K99" s="3" t="b">
        <v>0</v>
      </c>
    </row>
    <row r="100" ht="15.75" customHeight="1">
      <c r="A100" s="2" t="s">
        <v>186</v>
      </c>
      <c r="D100" s="3">
        <v>0.0</v>
      </c>
      <c r="H100" s="3">
        <v>404.0</v>
      </c>
      <c r="I100" s="3" t="b">
        <v>0</v>
      </c>
      <c r="J100" s="3" t="s">
        <v>13</v>
      </c>
      <c r="K100" s="3" t="b">
        <v>0</v>
      </c>
    </row>
    <row r="101" ht="15.75" customHeight="1">
      <c r="A101" s="2" t="s">
        <v>187</v>
      </c>
      <c r="D101" s="3">
        <v>0.0</v>
      </c>
      <c r="H101" s="3">
        <v>301.0</v>
      </c>
      <c r="I101" s="3" t="b">
        <v>0</v>
      </c>
      <c r="J101" s="3" t="s">
        <v>13</v>
      </c>
      <c r="K101" s="3" t="b">
        <v>0</v>
      </c>
    </row>
    <row r="102" ht="15.75" customHeight="1">
      <c r="A102" s="2" t="s">
        <v>188</v>
      </c>
      <c r="D102" s="3">
        <v>0.0</v>
      </c>
      <c r="H102" s="3">
        <v>301.0</v>
      </c>
      <c r="I102" s="3" t="b">
        <v>0</v>
      </c>
      <c r="J102" s="3" t="s">
        <v>189</v>
      </c>
      <c r="K102" s="3" t="b">
        <v>0</v>
      </c>
    </row>
    <row r="103" ht="15.75" customHeight="1">
      <c r="A103" s="2" t="s">
        <v>190</v>
      </c>
      <c r="B103" s="3" t="s">
        <v>100</v>
      </c>
      <c r="C103" s="3">
        <v>30.0</v>
      </c>
      <c r="D103" s="3">
        <v>1.0</v>
      </c>
      <c r="E103" s="3">
        <v>1.0</v>
      </c>
      <c r="F103" s="3">
        <v>3.0</v>
      </c>
      <c r="H103" s="3">
        <v>200.0</v>
      </c>
      <c r="I103" s="3" t="b">
        <v>0</v>
      </c>
      <c r="J103" s="3" t="s">
        <v>13</v>
      </c>
      <c r="K103" s="3" t="b">
        <v>1</v>
      </c>
    </row>
    <row r="104" ht="15.75" customHeight="1">
      <c r="A104" s="2" t="s">
        <v>191</v>
      </c>
      <c r="D104" s="3">
        <v>0.0</v>
      </c>
      <c r="H104" s="3">
        <v>301.0</v>
      </c>
      <c r="I104" s="3" t="b">
        <v>0</v>
      </c>
      <c r="J104" s="3" t="s">
        <v>13</v>
      </c>
      <c r="K104" s="3" t="b">
        <v>0</v>
      </c>
    </row>
    <row r="105" ht="15.75" customHeight="1">
      <c r="A105" s="2" t="s">
        <v>192</v>
      </c>
      <c r="B105" s="3" t="s">
        <v>12</v>
      </c>
      <c r="C105" s="3">
        <v>69.0</v>
      </c>
      <c r="D105" s="3">
        <v>1.0</v>
      </c>
      <c r="E105" s="3">
        <v>2.0</v>
      </c>
      <c r="F105" s="3">
        <v>3.0</v>
      </c>
      <c r="H105" s="3">
        <v>200.0</v>
      </c>
      <c r="I105" s="3" t="b">
        <v>0</v>
      </c>
      <c r="J105" s="3" t="s">
        <v>13</v>
      </c>
      <c r="K105" s="3" t="b">
        <v>1</v>
      </c>
    </row>
    <row r="106" ht="15.75" customHeight="1">
      <c r="A106" s="2" t="s">
        <v>193</v>
      </c>
      <c r="D106" s="3">
        <v>0.0</v>
      </c>
      <c r="H106" s="3">
        <v>200.0</v>
      </c>
      <c r="I106" s="3" t="b">
        <v>0</v>
      </c>
      <c r="J106" s="3" t="s">
        <v>183</v>
      </c>
      <c r="K106" s="3" t="b">
        <v>0</v>
      </c>
    </row>
    <row r="107" ht="15.75" customHeight="1">
      <c r="A107" s="2" t="s">
        <v>194</v>
      </c>
      <c r="D107" s="3">
        <v>0.0</v>
      </c>
      <c r="H107" s="3">
        <v>301.0</v>
      </c>
      <c r="I107" s="3" t="b">
        <v>0</v>
      </c>
      <c r="J107" s="3" t="s">
        <v>13</v>
      </c>
      <c r="K107" s="3" t="b">
        <v>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</sheetData>
  <autoFilter ref="$A$1:$V$1106"/>
  <hyperlinks>
    <hyperlink r:id="rId4" ref="A2"/>
    <hyperlink r:id="rId5" ref="A3"/>
    <hyperlink r:id="rId6" ref="A4"/>
    <hyperlink r:id="rId7" ref="A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A16"/>
    <hyperlink r:id="rId19" ref="A17"/>
    <hyperlink r:id="rId20" ref="A18"/>
    <hyperlink r:id="rId21" ref="A19"/>
    <hyperlink r:id="rId22" ref="A20"/>
    <hyperlink r:id="rId23" ref="A21"/>
    <hyperlink r:id="rId24" ref="A22"/>
    <hyperlink r:id="rId25" ref="A23"/>
    <hyperlink r:id="rId26" ref="A24"/>
    <hyperlink r:id="rId27" ref="A25"/>
    <hyperlink r:id="rId28" ref="A26"/>
    <hyperlink r:id="rId29" ref="A27"/>
    <hyperlink r:id="rId30" ref="A28"/>
    <hyperlink r:id="rId31" ref="A29"/>
    <hyperlink r:id="rId32" ref="A30"/>
    <hyperlink r:id="rId33" ref="A31"/>
    <hyperlink r:id="rId34" ref="A32"/>
    <hyperlink r:id="rId35" ref="A33"/>
    <hyperlink r:id="rId36" ref="A34"/>
    <hyperlink r:id="rId37" ref="A35"/>
    <hyperlink r:id="rId38" ref="A36"/>
    <hyperlink r:id="rId39" ref="A37"/>
    <hyperlink r:id="rId40" ref="A38"/>
    <hyperlink r:id="rId41" ref="A39"/>
    <hyperlink r:id="rId42" ref="A40"/>
    <hyperlink r:id="rId43" ref="A41"/>
    <hyperlink r:id="rId44" ref="A42"/>
    <hyperlink r:id="rId45" ref="A43"/>
    <hyperlink r:id="rId46" ref="A44"/>
    <hyperlink r:id="rId47" ref="A45"/>
    <hyperlink r:id="rId48" ref="A46"/>
    <hyperlink r:id="rId49" ref="A47"/>
    <hyperlink r:id="rId50" ref="A48"/>
    <hyperlink r:id="rId51" ref="A49"/>
    <hyperlink r:id="rId52" ref="A50"/>
    <hyperlink r:id="rId53" ref="A51"/>
    <hyperlink r:id="rId54" ref="A52"/>
    <hyperlink r:id="rId55" ref="A53"/>
    <hyperlink r:id="rId56" ref="A54"/>
    <hyperlink r:id="rId57" ref="A55"/>
    <hyperlink r:id="rId58" ref="A56"/>
    <hyperlink r:id="rId59" ref="A57"/>
    <hyperlink r:id="rId60" ref="A58"/>
    <hyperlink r:id="rId61" ref="A59"/>
    <hyperlink r:id="rId62" ref="A60"/>
    <hyperlink r:id="rId63" ref="A61"/>
    <hyperlink r:id="rId64" ref="A62"/>
    <hyperlink r:id="rId65" ref="A63"/>
    <hyperlink r:id="rId66" ref="A64"/>
    <hyperlink r:id="rId67" ref="A65"/>
    <hyperlink r:id="rId68" ref="A66"/>
    <hyperlink r:id="rId69" ref="A67"/>
    <hyperlink r:id="rId70" ref="A68"/>
    <hyperlink r:id="rId71" ref="A69"/>
    <hyperlink r:id="rId72" ref="A70"/>
    <hyperlink r:id="rId73" ref="A71"/>
    <hyperlink r:id="rId74" ref="A72"/>
    <hyperlink r:id="rId75" ref="A73"/>
    <hyperlink r:id="rId76" ref="A74"/>
    <hyperlink r:id="rId77" ref="A75"/>
    <hyperlink r:id="rId78" ref="A76"/>
    <hyperlink r:id="rId79" ref="A77"/>
    <hyperlink r:id="rId80" ref="A78"/>
    <hyperlink r:id="rId81" ref="A79"/>
    <hyperlink r:id="rId82" ref="A80"/>
    <hyperlink r:id="rId83" ref="A81"/>
    <hyperlink r:id="rId84" ref="A82"/>
    <hyperlink r:id="rId85" ref="A83"/>
    <hyperlink r:id="rId86" ref="A84"/>
    <hyperlink r:id="rId87" ref="A85"/>
    <hyperlink r:id="rId88" ref="A86"/>
    <hyperlink r:id="rId89" ref="A87"/>
    <hyperlink r:id="rId90" ref="A88"/>
    <hyperlink r:id="rId91" ref="A89"/>
    <hyperlink r:id="rId92" ref="A90"/>
    <hyperlink r:id="rId93" ref="A91"/>
    <hyperlink r:id="rId94" ref="A92"/>
    <hyperlink r:id="rId95" ref="A93"/>
    <hyperlink r:id="rId96" ref="A94"/>
    <hyperlink r:id="rId97" ref="A95"/>
    <hyperlink r:id="rId98" ref="A96"/>
    <hyperlink r:id="rId99" ref="A97"/>
    <hyperlink r:id="rId100" ref="A98"/>
    <hyperlink r:id="rId101" ref="A99"/>
    <hyperlink r:id="rId102" ref="A100"/>
    <hyperlink r:id="rId103" ref="A101"/>
    <hyperlink r:id="rId104" ref="A102"/>
    <hyperlink r:id="rId105" ref="A103"/>
    <hyperlink r:id="rId106" ref="A104"/>
    <hyperlink r:id="rId107" ref="A105"/>
    <hyperlink r:id="rId108" ref="A106"/>
    <hyperlink r:id="rId109" ref="A107"/>
  </hyperlinks>
  <drawing r:id="rId110"/>
  <legacyDrawing r:id="rId1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hidden="1" customHeight="1">
      <c r="A2" s="2" t="s">
        <v>11</v>
      </c>
      <c r="B2" s="3" t="s">
        <v>12</v>
      </c>
      <c r="C2" s="3">
        <v>69.0</v>
      </c>
      <c r="D2" s="3">
        <v>1.0</v>
      </c>
      <c r="E2" s="3">
        <v>2.0</v>
      </c>
      <c r="F2" s="3">
        <v>3.0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hidden="1" customHeight="1">
      <c r="A3" s="2" t="s">
        <v>14</v>
      </c>
      <c r="B3" s="3" t="s">
        <v>15</v>
      </c>
      <c r="C3" s="3">
        <v>40.0</v>
      </c>
      <c r="D3" s="3">
        <v>1.0</v>
      </c>
      <c r="E3" s="3">
        <v>1.0</v>
      </c>
      <c r="F3" s="3">
        <v>1.0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hidden="1" customHeight="1">
      <c r="A4" s="2" t="s">
        <v>16</v>
      </c>
      <c r="B4" s="3" t="s">
        <v>17</v>
      </c>
      <c r="C4" s="3">
        <v>29.0</v>
      </c>
      <c r="D4" s="3">
        <v>1.0</v>
      </c>
      <c r="E4" s="3">
        <v>1.0</v>
      </c>
      <c r="F4" s="3">
        <v>1.0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hidden="1" customHeight="1">
      <c r="A5" s="2" t="s">
        <v>18</v>
      </c>
      <c r="B5" s="3" t="s">
        <v>19</v>
      </c>
      <c r="C5" s="3">
        <v>38.0</v>
      </c>
      <c r="D5" s="3">
        <v>1.0</v>
      </c>
      <c r="E5" s="3">
        <v>1.0</v>
      </c>
      <c r="F5" s="3">
        <v>1.0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hidden="1" customHeight="1">
      <c r="A6" s="2" t="s">
        <v>20</v>
      </c>
      <c r="B6" s="3" t="s">
        <v>21</v>
      </c>
      <c r="C6" s="3">
        <v>36.0</v>
      </c>
      <c r="D6" s="3">
        <v>1.0</v>
      </c>
      <c r="E6" s="3">
        <v>1.0</v>
      </c>
      <c r="F6" s="3">
        <v>1.0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hidden="1" customHeight="1">
      <c r="A7" s="2" t="s">
        <v>22</v>
      </c>
      <c r="B7" s="3" t="s">
        <v>23</v>
      </c>
      <c r="C7" s="3">
        <v>33.0</v>
      </c>
      <c r="D7" s="3">
        <v>1.0</v>
      </c>
      <c r="E7" s="3">
        <v>1.0</v>
      </c>
      <c r="F7" s="3">
        <v>1.0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hidden="1" customHeight="1">
      <c r="A8" s="2" t="s">
        <v>24</v>
      </c>
      <c r="B8" s="3" t="s">
        <v>25</v>
      </c>
      <c r="C8" s="3">
        <v>34.0</v>
      </c>
      <c r="D8" s="3">
        <v>1.0</v>
      </c>
      <c r="E8" s="3">
        <v>1.0</v>
      </c>
      <c r="F8" s="3">
        <v>1.0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hidden="1" customHeight="1">
      <c r="A9" s="2" t="s">
        <v>26</v>
      </c>
      <c r="B9" s="3" t="s">
        <v>27</v>
      </c>
      <c r="C9" s="3">
        <v>40.0</v>
      </c>
      <c r="D9" s="3">
        <v>1.0</v>
      </c>
      <c r="E9" s="3">
        <v>1.0</v>
      </c>
      <c r="F9" s="3">
        <v>1.0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hidden="1" customHeight="1">
      <c r="A10" s="2" t="s">
        <v>28</v>
      </c>
      <c r="B10" s="3" t="s">
        <v>29</v>
      </c>
      <c r="C10" s="3">
        <v>42.0</v>
      </c>
      <c r="D10" s="3">
        <v>1.0</v>
      </c>
      <c r="E10" s="3">
        <v>1.0</v>
      </c>
      <c r="F10" s="3">
        <v>1.0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hidden="1" customHeight="1">
      <c r="A11" s="2" t="s">
        <v>30</v>
      </c>
      <c r="B11" s="3" t="s">
        <v>31</v>
      </c>
      <c r="C11" s="3">
        <v>48.0</v>
      </c>
      <c r="D11" s="3">
        <v>1.0</v>
      </c>
      <c r="E11" s="3">
        <v>1.0</v>
      </c>
      <c r="F11" s="3">
        <v>1.0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hidden="1" customHeight="1">
      <c r="A12" s="2" t="s">
        <v>32</v>
      </c>
      <c r="B12" s="3" t="s">
        <v>33</v>
      </c>
      <c r="C12" s="3">
        <v>55.0</v>
      </c>
      <c r="D12" s="3">
        <v>1.0</v>
      </c>
      <c r="E12" s="3">
        <v>1.0</v>
      </c>
      <c r="F12" s="3">
        <v>1.0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hidden="1" customHeight="1">
      <c r="A13" s="2" t="s">
        <v>34</v>
      </c>
      <c r="B13" s="3" t="s">
        <v>35</v>
      </c>
      <c r="C13" s="3">
        <v>54.0</v>
      </c>
      <c r="D13" s="3">
        <v>1.0</v>
      </c>
      <c r="E13" s="3">
        <v>1.0</v>
      </c>
      <c r="F13" s="3">
        <v>1.0</v>
      </c>
      <c r="H13" s="3">
        <v>200.0</v>
      </c>
      <c r="I13" s="3" t="b">
        <v>1</v>
      </c>
      <c r="J13" s="3" t="s">
        <v>13</v>
      </c>
      <c r="K13" s="3" t="b">
        <v>1</v>
      </c>
    </row>
    <row r="14" ht="15.75" hidden="1" customHeight="1">
      <c r="A14" s="2" t="s">
        <v>36</v>
      </c>
      <c r="B14" s="3" t="s">
        <v>37</v>
      </c>
      <c r="C14" s="3">
        <v>48.0</v>
      </c>
      <c r="D14" s="3">
        <v>1.0</v>
      </c>
      <c r="E14" s="3">
        <v>1.0</v>
      </c>
      <c r="F14" s="3">
        <v>1.0</v>
      </c>
      <c r="H14" s="3">
        <v>200.0</v>
      </c>
      <c r="I14" s="3" t="b">
        <v>1</v>
      </c>
      <c r="J14" s="3" t="s">
        <v>13</v>
      </c>
      <c r="K14" s="3" t="b">
        <v>1</v>
      </c>
    </row>
    <row r="15" ht="15.75" hidden="1" customHeight="1">
      <c r="A15" s="2" t="s">
        <v>38</v>
      </c>
      <c r="B15" s="3" t="s">
        <v>39</v>
      </c>
      <c r="C15" s="3">
        <v>55.0</v>
      </c>
      <c r="D15" s="3">
        <v>1.0</v>
      </c>
      <c r="E15" s="3">
        <v>1.0</v>
      </c>
      <c r="F15" s="3">
        <v>1.0</v>
      </c>
      <c r="H15" s="3">
        <v>200.0</v>
      </c>
      <c r="I15" s="3" t="b">
        <v>1</v>
      </c>
      <c r="J15" s="3" t="s">
        <v>13</v>
      </c>
      <c r="K15" s="3" t="b">
        <v>1</v>
      </c>
    </row>
    <row r="16" ht="15.75" hidden="1" customHeight="1">
      <c r="A16" s="2" t="s">
        <v>40</v>
      </c>
      <c r="B16" s="3" t="s">
        <v>41</v>
      </c>
      <c r="C16" s="3">
        <v>82.0</v>
      </c>
      <c r="D16" s="3">
        <v>1.0</v>
      </c>
      <c r="E16" s="3">
        <v>2.0</v>
      </c>
      <c r="F16" s="3">
        <v>2.0</v>
      </c>
      <c r="H16" s="3">
        <v>200.0</v>
      </c>
      <c r="I16" s="3" t="b">
        <v>1</v>
      </c>
      <c r="J16" s="3" t="s">
        <v>13</v>
      </c>
      <c r="K16" s="3" t="b">
        <v>1</v>
      </c>
    </row>
    <row r="17" ht="15.75" hidden="1" customHeight="1">
      <c r="A17" s="2" t="s">
        <v>42</v>
      </c>
      <c r="B17" s="3" t="s">
        <v>43</v>
      </c>
      <c r="C17" s="3">
        <v>40.0</v>
      </c>
      <c r="D17" s="3">
        <v>1.0</v>
      </c>
      <c r="E17" s="3">
        <v>1.0</v>
      </c>
      <c r="F17" s="3">
        <v>1.0</v>
      </c>
      <c r="H17" s="3">
        <v>200.0</v>
      </c>
      <c r="I17" s="3" t="b">
        <v>0</v>
      </c>
      <c r="J17" s="3" t="s">
        <v>13</v>
      </c>
      <c r="K17" s="3" t="b">
        <v>1</v>
      </c>
    </row>
    <row r="18" ht="15.75" hidden="1" customHeight="1">
      <c r="A18" s="2" t="s">
        <v>44</v>
      </c>
      <c r="B18" s="3" t="s">
        <v>45</v>
      </c>
      <c r="C18" s="3">
        <v>34.0</v>
      </c>
      <c r="D18" s="3">
        <v>1.0</v>
      </c>
      <c r="E18" s="3">
        <v>1.0</v>
      </c>
      <c r="F18" s="3">
        <v>1.0</v>
      </c>
      <c r="H18" s="3">
        <v>200.0</v>
      </c>
      <c r="I18" s="3" t="b">
        <v>0</v>
      </c>
      <c r="J18" s="3" t="s">
        <v>13</v>
      </c>
      <c r="K18" s="3" t="b">
        <v>1</v>
      </c>
    </row>
    <row r="19" ht="15.75" hidden="1" customHeight="1">
      <c r="A19" s="2" t="s">
        <v>46</v>
      </c>
      <c r="B19" s="3" t="s">
        <v>47</v>
      </c>
      <c r="C19" s="3">
        <v>38.0</v>
      </c>
      <c r="D19" s="3">
        <v>1.0</v>
      </c>
      <c r="E19" s="3">
        <v>1.0</v>
      </c>
      <c r="F19" s="3">
        <v>1.0</v>
      </c>
      <c r="H19" s="3">
        <v>200.0</v>
      </c>
      <c r="I19" s="3" t="b">
        <v>0</v>
      </c>
      <c r="J19" s="3" t="s">
        <v>13</v>
      </c>
      <c r="K19" s="3" t="b">
        <v>1</v>
      </c>
    </row>
    <row r="20" ht="15.75" hidden="1" customHeight="1">
      <c r="A20" s="2" t="s">
        <v>48</v>
      </c>
      <c r="B20" s="3" t="s">
        <v>49</v>
      </c>
      <c r="C20" s="3">
        <v>36.0</v>
      </c>
      <c r="D20" s="3">
        <v>1.0</v>
      </c>
      <c r="E20" s="3">
        <v>1.0</v>
      </c>
      <c r="F20" s="3">
        <v>1.0</v>
      </c>
      <c r="H20" s="3">
        <v>200.0</v>
      </c>
      <c r="I20" s="3" t="b">
        <v>0</v>
      </c>
      <c r="J20" s="3" t="s">
        <v>13</v>
      </c>
      <c r="K20" s="3" t="b">
        <v>1</v>
      </c>
    </row>
    <row r="21" ht="15.75" hidden="1" customHeight="1">
      <c r="A21" s="2" t="s">
        <v>50</v>
      </c>
      <c r="B21" s="3" t="s">
        <v>51</v>
      </c>
      <c r="C21" s="3">
        <v>38.0</v>
      </c>
      <c r="D21" s="3">
        <v>1.0</v>
      </c>
      <c r="E21" s="3">
        <v>1.0</v>
      </c>
      <c r="F21" s="3">
        <v>1.0</v>
      </c>
      <c r="H21" s="3">
        <v>200.0</v>
      </c>
      <c r="I21" s="3" t="b">
        <v>0</v>
      </c>
      <c r="J21" s="3" t="s">
        <v>13</v>
      </c>
      <c r="K21" s="3" t="b">
        <v>1</v>
      </c>
    </row>
    <row r="22" ht="15.75" hidden="1" customHeight="1">
      <c r="A22" s="2" t="s">
        <v>52</v>
      </c>
      <c r="B22" s="3" t="s">
        <v>53</v>
      </c>
      <c r="C22" s="3">
        <v>36.0</v>
      </c>
      <c r="D22" s="3">
        <v>1.0</v>
      </c>
      <c r="E22" s="3">
        <v>1.0</v>
      </c>
      <c r="F22" s="3">
        <v>1.0</v>
      </c>
      <c r="H22" s="3">
        <v>200.0</v>
      </c>
      <c r="I22" s="3" t="b">
        <v>0</v>
      </c>
      <c r="J22" s="3" t="s">
        <v>13</v>
      </c>
      <c r="K22" s="3" t="b">
        <v>1</v>
      </c>
    </row>
    <row r="23" ht="15.75" hidden="1" customHeight="1">
      <c r="A23" s="2" t="s">
        <v>54</v>
      </c>
      <c r="B23" s="3" t="s">
        <v>55</v>
      </c>
      <c r="C23" s="3">
        <v>40.0</v>
      </c>
      <c r="D23" s="3">
        <v>1.0</v>
      </c>
      <c r="E23" s="3">
        <v>1.0</v>
      </c>
      <c r="F23" s="3">
        <v>1.0</v>
      </c>
      <c r="H23" s="3">
        <v>200.0</v>
      </c>
      <c r="I23" s="3" t="b">
        <v>0</v>
      </c>
      <c r="J23" s="3" t="s">
        <v>13</v>
      </c>
      <c r="K23" s="3" t="b">
        <v>1</v>
      </c>
    </row>
    <row r="24" ht="15.75" hidden="1" customHeight="1">
      <c r="A24" s="2" t="s">
        <v>56</v>
      </c>
      <c r="B24" s="3" t="s">
        <v>57</v>
      </c>
      <c r="C24" s="3">
        <v>39.0</v>
      </c>
      <c r="D24" s="3">
        <v>1.0</v>
      </c>
      <c r="E24" s="3">
        <v>1.0</v>
      </c>
      <c r="F24" s="3">
        <v>1.0</v>
      </c>
      <c r="H24" s="3">
        <v>200.0</v>
      </c>
      <c r="I24" s="3" t="b">
        <v>0</v>
      </c>
      <c r="J24" s="3" t="s">
        <v>13</v>
      </c>
      <c r="K24" s="3" t="b">
        <v>1</v>
      </c>
    </row>
    <row r="25" ht="15.75" hidden="1" customHeight="1">
      <c r="A25" s="2" t="s">
        <v>58</v>
      </c>
      <c r="B25" s="3" t="s">
        <v>59</v>
      </c>
      <c r="C25" s="3">
        <v>37.0</v>
      </c>
      <c r="D25" s="3">
        <v>1.0</v>
      </c>
      <c r="E25" s="3">
        <v>1.0</v>
      </c>
      <c r="F25" s="3">
        <v>1.0</v>
      </c>
      <c r="H25" s="3">
        <v>200.0</v>
      </c>
      <c r="I25" s="3" t="b">
        <v>0</v>
      </c>
      <c r="J25" s="3" t="s">
        <v>13</v>
      </c>
      <c r="K25" s="3" t="b">
        <v>1</v>
      </c>
    </row>
    <row r="26" ht="15.75" hidden="1" customHeight="1">
      <c r="A26" s="2" t="s">
        <v>60</v>
      </c>
      <c r="D26" s="3">
        <v>0.0</v>
      </c>
      <c r="H26" s="3">
        <v>404.0</v>
      </c>
      <c r="I26" s="3" t="b">
        <v>0</v>
      </c>
      <c r="J26" s="3" t="s">
        <v>13</v>
      </c>
      <c r="K26" s="3" t="b">
        <v>0</v>
      </c>
    </row>
    <row r="27" ht="15.75" hidden="1" customHeight="1">
      <c r="A27" s="2" t="s">
        <v>61</v>
      </c>
      <c r="B27" s="3" t="s">
        <v>62</v>
      </c>
      <c r="C27" s="3">
        <v>62.0</v>
      </c>
      <c r="D27" s="3">
        <v>1.0</v>
      </c>
      <c r="E27" s="3">
        <v>1.0</v>
      </c>
      <c r="F27" s="3">
        <v>1.0</v>
      </c>
      <c r="H27" s="3">
        <v>200.0</v>
      </c>
      <c r="I27" s="3" t="b">
        <v>1</v>
      </c>
      <c r="J27" s="3" t="s">
        <v>13</v>
      </c>
      <c r="K27" s="3" t="b">
        <v>1</v>
      </c>
    </row>
    <row r="28" ht="15.75" hidden="1" customHeight="1">
      <c r="A28" s="2" t="s">
        <v>63</v>
      </c>
      <c r="B28" s="3" t="s">
        <v>64</v>
      </c>
      <c r="C28" s="3">
        <v>111.0</v>
      </c>
      <c r="D28" s="3">
        <v>1.0</v>
      </c>
      <c r="E28" s="3">
        <v>1.0</v>
      </c>
      <c r="F28" s="3">
        <v>1.0</v>
      </c>
      <c r="H28" s="3">
        <v>200.0</v>
      </c>
      <c r="I28" s="3" t="b">
        <v>1</v>
      </c>
      <c r="J28" s="3" t="s">
        <v>13</v>
      </c>
      <c r="K28" s="3" t="b">
        <v>1</v>
      </c>
    </row>
    <row r="29" ht="15.75" hidden="1" customHeight="1">
      <c r="A29" s="2" t="s">
        <v>65</v>
      </c>
      <c r="B29" s="3" t="s">
        <v>66</v>
      </c>
      <c r="C29" s="3">
        <v>102.0</v>
      </c>
      <c r="D29" s="3">
        <v>1.0</v>
      </c>
      <c r="E29" s="3">
        <v>1.0</v>
      </c>
      <c r="F29" s="3">
        <v>1.0</v>
      </c>
      <c r="H29" s="3">
        <v>200.0</v>
      </c>
      <c r="I29" s="3" t="b">
        <v>1</v>
      </c>
      <c r="J29" s="3" t="s">
        <v>13</v>
      </c>
      <c r="K29" s="3" t="b">
        <v>1</v>
      </c>
    </row>
    <row r="30" ht="15.75" hidden="1" customHeight="1">
      <c r="A30" s="2" t="s">
        <v>67</v>
      </c>
      <c r="B30" s="3" t="s">
        <v>68</v>
      </c>
      <c r="C30" s="3">
        <v>105.0</v>
      </c>
      <c r="D30" s="3">
        <v>1.0</v>
      </c>
      <c r="E30" s="3">
        <v>1.0</v>
      </c>
      <c r="F30" s="3">
        <v>1.0</v>
      </c>
      <c r="H30" s="3">
        <v>200.0</v>
      </c>
      <c r="I30" s="3" t="b">
        <v>1</v>
      </c>
      <c r="J30" s="3" t="s">
        <v>13</v>
      </c>
      <c r="K30" s="3" t="b">
        <v>1</v>
      </c>
    </row>
    <row r="31" ht="15.75" hidden="1" customHeight="1">
      <c r="A31" s="2" t="s">
        <v>69</v>
      </c>
      <c r="B31" s="3" t="s">
        <v>70</v>
      </c>
      <c r="C31" s="3">
        <v>53.0</v>
      </c>
      <c r="D31" s="3">
        <v>1.0</v>
      </c>
      <c r="E31" s="3">
        <v>1.0</v>
      </c>
      <c r="F31" s="3">
        <v>1.0</v>
      </c>
      <c r="H31" s="3">
        <v>200.0</v>
      </c>
      <c r="I31" s="3" t="b">
        <v>1</v>
      </c>
      <c r="J31" s="3" t="s">
        <v>13</v>
      </c>
      <c r="K31" s="3" t="b">
        <v>1</v>
      </c>
    </row>
    <row r="32" ht="15.75" hidden="1" customHeight="1">
      <c r="A32" s="2" t="s">
        <v>71</v>
      </c>
      <c r="B32" s="3" t="s">
        <v>72</v>
      </c>
      <c r="C32" s="3">
        <v>103.0</v>
      </c>
      <c r="D32" s="3">
        <v>1.0</v>
      </c>
      <c r="E32" s="3">
        <v>1.0</v>
      </c>
      <c r="F32" s="3">
        <v>1.0</v>
      </c>
      <c r="H32" s="3">
        <v>200.0</v>
      </c>
      <c r="I32" s="3" t="b">
        <v>1</v>
      </c>
      <c r="J32" s="3" t="s">
        <v>13</v>
      </c>
      <c r="K32" s="3" t="b">
        <v>1</v>
      </c>
    </row>
    <row r="33" ht="15.75" hidden="1" customHeight="1">
      <c r="A33" s="2" t="s">
        <v>73</v>
      </c>
      <c r="B33" s="3" t="s">
        <v>74</v>
      </c>
      <c r="C33" s="3">
        <v>73.0</v>
      </c>
      <c r="D33" s="3">
        <v>1.0</v>
      </c>
      <c r="E33" s="3">
        <v>1.0</v>
      </c>
      <c r="F33" s="3">
        <v>1.0</v>
      </c>
      <c r="H33" s="3">
        <v>200.0</v>
      </c>
      <c r="I33" s="3" t="b">
        <v>1</v>
      </c>
      <c r="J33" s="3" t="s">
        <v>13</v>
      </c>
      <c r="K33" s="3" t="b">
        <v>1</v>
      </c>
    </row>
    <row r="34" ht="15.75" hidden="1" customHeight="1">
      <c r="A34" s="2" t="s">
        <v>75</v>
      </c>
      <c r="B34" s="3" t="s">
        <v>76</v>
      </c>
      <c r="C34" s="3">
        <v>76.0</v>
      </c>
      <c r="D34" s="3">
        <v>1.0</v>
      </c>
      <c r="E34" s="3">
        <v>1.0</v>
      </c>
      <c r="F34" s="3">
        <v>1.0</v>
      </c>
      <c r="H34" s="3">
        <v>200.0</v>
      </c>
      <c r="I34" s="3" t="b">
        <v>1</v>
      </c>
      <c r="J34" s="3" t="s">
        <v>13</v>
      </c>
      <c r="K34" s="3" t="b">
        <v>1</v>
      </c>
    </row>
    <row r="35" ht="15.75" hidden="1" customHeight="1">
      <c r="A35" s="2" t="s">
        <v>77</v>
      </c>
      <c r="B35" s="3" t="s">
        <v>78</v>
      </c>
      <c r="C35" s="3">
        <v>123.0</v>
      </c>
      <c r="D35" s="3">
        <v>1.0</v>
      </c>
      <c r="E35" s="3">
        <v>1.0</v>
      </c>
      <c r="F35" s="3">
        <v>1.0</v>
      </c>
      <c r="H35" s="3">
        <v>200.0</v>
      </c>
      <c r="I35" s="3" t="b">
        <v>1</v>
      </c>
      <c r="J35" s="3" t="s">
        <v>13</v>
      </c>
      <c r="K35" s="3" t="b">
        <v>1</v>
      </c>
    </row>
    <row r="36" ht="15.75" hidden="1" customHeight="1">
      <c r="A36" s="2" t="s">
        <v>79</v>
      </c>
      <c r="B36" s="3" t="s">
        <v>80</v>
      </c>
      <c r="C36" s="3">
        <v>109.0</v>
      </c>
      <c r="D36" s="3">
        <v>1.0</v>
      </c>
      <c r="E36" s="3">
        <v>1.0</v>
      </c>
      <c r="F36" s="3">
        <v>1.0</v>
      </c>
      <c r="H36" s="3">
        <v>200.0</v>
      </c>
      <c r="I36" s="3" t="b">
        <v>1</v>
      </c>
      <c r="J36" s="3" t="s">
        <v>13</v>
      </c>
      <c r="K36" s="3" t="b">
        <v>1</v>
      </c>
    </row>
    <row r="37" ht="15.75" hidden="1" customHeight="1">
      <c r="A37" s="2" t="s">
        <v>81</v>
      </c>
      <c r="B37" s="3" t="s">
        <v>82</v>
      </c>
      <c r="C37" s="3">
        <v>122.0</v>
      </c>
      <c r="D37" s="3">
        <v>1.0</v>
      </c>
      <c r="E37" s="3">
        <v>1.0</v>
      </c>
      <c r="F37" s="3">
        <v>1.0</v>
      </c>
      <c r="H37" s="3">
        <v>200.0</v>
      </c>
      <c r="I37" s="3" t="b">
        <v>1</v>
      </c>
      <c r="J37" s="3" t="s">
        <v>13</v>
      </c>
      <c r="K37" s="3" t="b">
        <v>1</v>
      </c>
    </row>
    <row r="38" ht="15.75" hidden="1" customHeight="1">
      <c r="A38" s="2" t="s">
        <v>83</v>
      </c>
      <c r="B38" s="3" t="s">
        <v>84</v>
      </c>
      <c r="C38" s="3">
        <v>102.0</v>
      </c>
      <c r="D38" s="3">
        <v>1.0</v>
      </c>
      <c r="E38" s="3">
        <v>1.0</v>
      </c>
      <c r="F38" s="3">
        <v>1.0</v>
      </c>
      <c r="H38" s="3">
        <v>200.0</v>
      </c>
      <c r="I38" s="3" t="b">
        <v>1</v>
      </c>
      <c r="J38" s="3" t="s">
        <v>13</v>
      </c>
      <c r="K38" s="3" t="b">
        <v>1</v>
      </c>
    </row>
    <row r="39" ht="15.75" hidden="1" customHeight="1">
      <c r="A39" s="2" t="s">
        <v>85</v>
      </c>
      <c r="B39" s="3" t="s">
        <v>86</v>
      </c>
      <c r="C39" s="3">
        <v>131.0</v>
      </c>
      <c r="D39" s="3">
        <v>1.0</v>
      </c>
      <c r="E39" s="3">
        <v>1.0</v>
      </c>
      <c r="F39" s="3">
        <v>1.0</v>
      </c>
      <c r="H39" s="3">
        <v>200.0</v>
      </c>
      <c r="I39" s="3" t="b">
        <v>1</v>
      </c>
      <c r="J39" s="3" t="s">
        <v>13</v>
      </c>
      <c r="K39" s="3" t="b">
        <v>1</v>
      </c>
    </row>
    <row r="40" ht="15.75" hidden="1" customHeight="1">
      <c r="A40" s="2" t="s">
        <v>87</v>
      </c>
      <c r="B40" s="3" t="s">
        <v>88</v>
      </c>
      <c r="C40" s="3">
        <v>106.0</v>
      </c>
      <c r="D40" s="3">
        <v>1.0</v>
      </c>
      <c r="E40" s="3">
        <v>1.0</v>
      </c>
      <c r="F40" s="3">
        <v>1.0</v>
      </c>
      <c r="H40" s="3">
        <v>200.0</v>
      </c>
      <c r="I40" s="3" t="b">
        <v>1</v>
      </c>
      <c r="J40" s="3" t="s">
        <v>13</v>
      </c>
      <c r="K40" s="3" t="b">
        <v>1</v>
      </c>
    </row>
    <row r="41" ht="15.75" hidden="1" customHeight="1">
      <c r="A41" s="2" t="s">
        <v>89</v>
      </c>
      <c r="B41" s="3" t="s">
        <v>90</v>
      </c>
      <c r="C41" s="3">
        <v>79.0</v>
      </c>
      <c r="D41" s="3">
        <v>1.0</v>
      </c>
      <c r="E41" s="3">
        <v>1.0</v>
      </c>
      <c r="F41" s="3">
        <v>1.0</v>
      </c>
      <c r="H41" s="3">
        <v>200.0</v>
      </c>
      <c r="I41" s="3" t="b">
        <v>1</v>
      </c>
      <c r="J41" s="3" t="s">
        <v>13</v>
      </c>
      <c r="K41" s="3" t="b">
        <v>1</v>
      </c>
    </row>
    <row r="42" ht="15.75" hidden="1" customHeight="1">
      <c r="A42" s="2" t="s">
        <v>91</v>
      </c>
      <c r="B42" s="3" t="s">
        <v>92</v>
      </c>
      <c r="C42" s="3">
        <v>137.0</v>
      </c>
      <c r="D42" s="3">
        <v>1.0</v>
      </c>
      <c r="E42" s="3">
        <v>1.0</v>
      </c>
      <c r="F42" s="3">
        <v>1.0</v>
      </c>
      <c r="H42" s="3">
        <v>200.0</v>
      </c>
      <c r="I42" s="3" t="b">
        <v>1</v>
      </c>
      <c r="J42" s="3" t="s">
        <v>13</v>
      </c>
      <c r="K42" s="3" t="b">
        <v>1</v>
      </c>
    </row>
    <row r="43" ht="15.75" hidden="1" customHeight="1">
      <c r="A43" s="2" t="s">
        <v>93</v>
      </c>
      <c r="B43" s="3" t="s">
        <v>94</v>
      </c>
      <c r="C43" s="3">
        <v>88.0</v>
      </c>
      <c r="D43" s="3">
        <v>1.0</v>
      </c>
      <c r="E43" s="3">
        <v>1.0</v>
      </c>
      <c r="F43" s="3">
        <v>1.0</v>
      </c>
      <c r="H43" s="3">
        <v>200.0</v>
      </c>
      <c r="I43" s="3" t="b">
        <v>1</v>
      </c>
      <c r="J43" s="3" t="s">
        <v>13</v>
      </c>
      <c r="K43" s="3" t="b">
        <v>1</v>
      </c>
    </row>
    <row r="44" ht="15.75" hidden="1" customHeight="1">
      <c r="A44" s="2" t="s">
        <v>95</v>
      </c>
      <c r="B44" s="3" t="s">
        <v>96</v>
      </c>
      <c r="C44" s="3">
        <v>78.0</v>
      </c>
      <c r="D44" s="3">
        <v>1.0</v>
      </c>
      <c r="E44" s="3">
        <v>1.0</v>
      </c>
      <c r="F44" s="3">
        <v>1.0</v>
      </c>
      <c r="H44" s="3">
        <v>200.0</v>
      </c>
      <c r="I44" s="3" t="b">
        <v>1</v>
      </c>
      <c r="J44" s="3" t="s">
        <v>13</v>
      </c>
      <c r="K44" s="3" t="b">
        <v>1</v>
      </c>
    </row>
    <row r="45" ht="15.75" hidden="1" customHeight="1">
      <c r="A45" s="2" t="s">
        <v>97</v>
      </c>
      <c r="B45" s="3" t="s">
        <v>98</v>
      </c>
      <c r="C45" s="3">
        <v>85.0</v>
      </c>
      <c r="D45" s="3">
        <v>1.0</v>
      </c>
      <c r="E45" s="3">
        <v>1.0</v>
      </c>
      <c r="F45" s="3">
        <v>1.0</v>
      </c>
      <c r="H45" s="3">
        <v>200.0</v>
      </c>
      <c r="I45" s="3" t="b">
        <v>1</v>
      </c>
      <c r="J45" s="3" t="s">
        <v>13</v>
      </c>
      <c r="K45" s="3" t="b">
        <v>1</v>
      </c>
    </row>
    <row r="46" ht="15.75" hidden="1" customHeight="1">
      <c r="A46" s="2" t="s">
        <v>99</v>
      </c>
      <c r="B46" s="3" t="s">
        <v>100</v>
      </c>
      <c r="C46" s="3">
        <v>30.0</v>
      </c>
      <c r="D46" s="3">
        <v>1.0</v>
      </c>
      <c r="E46" s="3">
        <v>1.0</v>
      </c>
      <c r="F46" s="3">
        <v>3.0</v>
      </c>
      <c r="H46" s="3">
        <v>200.0</v>
      </c>
      <c r="I46" s="3" t="b">
        <v>1</v>
      </c>
      <c r="J46" s="3" t="s">
        <v>13</v>
      </c>
      <c r="K46" s="3" t="b">
        <v>1</v>
      </c>
    </row>
    <row r="47" ht="15.75" hidden="1" customHeight="1">
      <c r="A47" s="2" t="s">
        <v>101</v>
      </c>
      <c r="B47" s="3" t="s">
        <v>102</v>
      </c>
      <c r="C47" s="3">
        <v>93.0</v>
      </c>
      <c r="D47" s="3">
        <v>1.0</v>
      </c>
      <c r="E47" s="3">
        <v>1.0</v>
      </c>
      <c r="F47" s="3">
        <v>1.0</v>
      </c>
      <c r="H47" s="3">
        <v>200.0</v>
      </c>
      <c r="I47" s="3" t="b">
        <v>1</v>
      </c>
      <c r="J47" s="3" t="s">
        <v>13</v>
      </c>
      <c r="K47" s="3" t="b">
        <v>1</v>
      </c>
    </row>
    <row r="48" ht="15.75" hidden="1" customHeight="1">
      <c r="A48" s="2" t="s">
        <v>103</v>
      </c>
      <c r="B48" s="3" t="s">
        <v>104</v>
      </c>
      <c r="C48" s="3">
        <v>114.0</v>
      </c>
      <c r="D48" s="3">
        <v>1.0</v>
      </c>
      <c r="E48" s="3">
        <v>1.0</v>
      </c>
      <c r="F48" s="3">
        <v>1.0</v>
      </c>
      <c r="H48" s="3">
        <v>200.0</v>
      </c>
      <c r="I48" s="3" t="b">
        <v>1</v>
      </c>
      <c r="J48" s="3" t="s">
        <v>13</v>
      </c>
      <c r="K48" s="3" t="b">
        <v>1</v>
      </c>
    </row>
    <row r="49" ht="15.75" hidden="1" customHeight="1">
      <c r="A49" s="2" t="s">
        <v>105</v>
      </c>
      <c r="B49" s="3" t="s">
        <v>106</v>
      </c>
      <c r="C49" s="3">
        <v>126.0</v>
      </c>
      <c r="D49" s="3">
        <v>1.0</v>
      </c>
      <c r="E49" s="3">
        <v>1.0</v>
      </c>
      <c r="F49" s="3">
        <v>1.0</v>
      </c>
      <c r="H49" s="3">
        <v>200.0</v>
      </c>
      <c r="I49" s="3" t="b">
        <v>1</v>
      </c>
      <c r="J49" s="3" t="s">
        <v>13</v>
      </c>
      <c r="K49" s="3" t="b">
        <v>1</v>
      </c>
    </row>
    <row r="50" ht="15.75" hidden="1" customHeight="1">
      <c r="A50" s="2" t="s">
        <v>107</v>
      </c>
      <c r="B50" s="3" t="s">
        <v>108</v>
      </c>
      <c r="C50" s="3">
        <v>92.0</v>
      </c>
      <c r="D50" s="3">
        <v>1.0</v>
      </c>
      <c r="E50" s="3">
        <v>1.0</v>
      </c>
      <c r="F50" s="3">
        <v>1.0</v>
      </c>
      <c r="H50" s="3">
        <v>200.0</v>
      </c>
      <c r="I50" s="3" t="b">
        <v>1</v>
      </c>
      <c r="J50" s="3" t="s">
        <v>13</v>
      </c>
      <c r="K50" s="3" t="b">
        <v>1</v>
      </c>
    </row>
    <row r="51" ht="15.75" hidden="1" customHeight="1">
      <c r="A51" s="2" t="s">
        <v>109</v>
      </c>
      <c r="B51" s="3" t="s">
        <v>110</v>
      </c>
      <c r="C51" s="3">
        <v>102.0</v>
      </c>
      <c r="D51" s="3">
        <v>1.0</v>
      </c>
      <c r="E51" s="3">
        <v>1.0</v>
      </c>
      <c r="F51" s="3">
        <v>1.0</v>
      </c>
      <c r="H51" s="3">
        <v>200.0</v>
      </c>
      <c r="I51" s="3" t="b">
        <v>1</v>
      </c>
      <c r="J51" s="3" t="s">
        <v>13</v>
      </c>
      <c r="K51" s="3" t="b">
        <v>1</v>
      </c>
    </row>
    <row r="52" ht="15.75" hidden="1" customHeight="1">
      <c r="A52" s="2" t="s">
        <v>111</v>
      </c>
      <c r="B52" s="3" t="s">
        <v>112</v>
      </c>
      <c r="C52" s="3">
        <v>45.0</v>
      </c>
      <c r="D52" s="3">
        <v>1.0</v>
      </c>
      <c r="E52" s="3">
        <v>1.0</v>
      </c>
      <c r="F52" s="3">
        <v>1.0</v>
      </c>
      <c r="H52" s="3">
        <v>200.0</v>
      </c>
      <c r="I52" s="3" t="b">
        <v>1</v>
      </c>
      <c r="J52" s="3" t="s">
        <v>13</v>
      </c>
      <c r="K52" s="3" t="b">
        <v>1</v>
      </c>
    </row>
    <row r="53" ht="15.75" hidden="1" customHeight="1">
      <c r="A53" s="2" t="s">
        <v>113</v>
      </c>
      <c r="B53" s="3" t="s">
        <v>114</v>
      </c>
      <c r="C53" s="3">
        <v>100.0</v>
      </c>
      <c r="D53" s="3">
        <v>1.0</v>
      </c>
      <c r="E53" s="3">
        <v>1.0</v>
      </c>
      <c r="F53" s="3">
        <v>1.0</v>
      </c>
      <c r="H53" s="3">
        <v>200.0</v>
      </c>
      <c r="I53" s="3" t="b">
        <v>1</v>
      </c>
      <c r="J53" s="3" t="s">
        <v>13</v>
      </c>
      <c r="K53" s="3" t="b">
        <v>1</v>
      </c>
    </row>
    <row r="54" ht="15.75" hidden="1" customHeight="1">
      <c r="A54" s="2" t="s">
        <v>115</v>
      </c>
      <c r="B54" s="3" t="s">
        <v>116</v>
      </c>
      <c r="C54" s="3">
        <v>49.0</v>
      </c>
      <c r="D54" s="3">
        <v>1.0</v>
      </c>
      <c r="E54" s="3">
        <v>1.0</v>
      </c>
      <c r="F54" s="3">
        <v>1.0</v>
      </c>
      <c r="H54" s="3">
        <v>200.0</v>
      </c>
      <c r="I54" s="3" t="b">
        <v>1</v>
      </c>
      <c r="J54" s="3" t="s">
        <v>13</v>
      </c>
      <c r="K54" s="3" t="b">
        <v>1</v>
      </c>
    </row>
    <row r="55" ht="15.75" hidden="1" customHeight="1">
      <c r="A55" s="2" t="s">
        <v>117</v>
      </c>
      <c r="B55" s="3" t="s">
        <v>118</v>
      </c>
      <c r="C55" s="3">
        <v>99.0</v>
      </c>
      <c r="D55" s="3">
        <v>1.0</v>
      </c>
      <c r="E55" s="3">
        <v>1.0</v>
      </c>
      <c r="F55" s="3">
        <v>1.0</v>
      </c>
      <c r="H55" s="3">
        <v>200.0</v>
      </c>
      <c r="I55" s="3" t="b">
        <v>1</v>
      </c>
      <c r="J55" s="3" t="s">
        <v>13</v>
      </c>
      <c r="K55" s="3" t="b">
        <v>1</v>
      </c>
    </row>
    <row r="56" ht="15.75" hidden="1" customHeight="1">
      <c r="A56" s="2" t="s">
        <v>119</v>
      </c>
      <c r="B56" s="3" t="s">
        <v>120</v>
      </c>
      <c r="C56" s="3">
        <v>53.0</v>
      </c>
      <c r="D56" s="3">
        <v>1.0</v>
      </c>
      <c r="E56" s="3">
        <v>1.0</v>
      </c>
      <c r="F56" s="3">
        <v>1.0</v>
      </c>
      <c r="H56" s="3">
        <v>200.0</v>
      </c>
      <c r="I56" s="3" t="b">
        <v>1</v>
      </c>
      <c r="J56" s="3" t="s">
        <v>13</v>
      </c>
      <c r="K56" s="3" t="b">
        <v>1</v>
      </c>
    </row>
    <row r="57" ht="15.75" hidden="1" customHeight="1">
      <c r="A57" s="2" t="s">
        <v>121</v>
      </c>
      <c r="B57" s="3" t="s">
        <v>122</v>
      </c>
      <c r="C57" s="3">
        <v>126.0</v>
      </c>
      <c r="D57" s="3">
        <v>1.0</v>
      </c>
      <c r="E57" s="3">
        <v>1.0</v>
      </c>
      <c r="F57" s="3">
        <v>1.0</v>
      </c>
      <c r="H57" s="3">
        <v>200.0</v>
      </c>
      <c r="I57" s="3" t="b">
        <v>1</v>
      </c>
      <c r="J57" s="3" t="s">
        <v>13</v>
      </c>
      <c r="K57" s="3" t="b">
        <v>1</v>
      </c>
    </row>
    <row r="58" ht="15.75" hidden="1" customHeight="1">
      <c r="A58" s="2" t="s">
        <v>123</v>
      </c>
      <c r="B58" s="3" t="s">
        <v>124</v>
      </c>
      <c r="C58" s="3">
        <v>118.0</v>
      </c>
      <c r="D58" s="3">
        <v>1.0</v>
      </c>
      <c r="E58" s="3">
        <v>1.0</v>
      </c>
      <c r="F58" s="3">
        <v>1.0</v>
      </c>
      <c r="H58" s="3">
        <v>200.0</v>
      </c>
      <c r="I58" s="3" t="b">
        <v>1</v>
      </c>
      <c r="J58" s="3" t="s">
        <v>13</v>
      </c>
      <c r="K58" s="3" t="b">
        <v>1</v>
      </c>
    </row>
    <row r="59" ht="15.75" hidden="1" customHeight="1">
      <c r="A59" s="2" t="s">
        <v>125</v>
      </c>
      <c r="B59" s="3" t="s">
        <v>126</v>
      </c>
      <c r="C59" s="3">
        <v>61.0</v>
      </c>
      <c r="D59" s="3">
        <v>1.0</v>
      </c>
      <c r="E59" s="3">
        <v>1.0</v>
      </c>
      <c r="F59" s="3">
        <v>1.0</v>
      </c>
      <c r="H59" s="3">
        <v>200.0</v>
      </c>
      <c r="I59" s="3" t="b">
        <v>1</v>
      </c>
      <c r="J59" s="3" t="s">
        <v>13</v>
      </c>
      <c r="K59" s="3" t="b">
        <v>1</v>
      </c>
    </row>
    <row r="60" ht="15.75" hidden="1" customHeight="1">
      <c r="A60" s="2" t="s">
        <v>127</v>
      </c>
      <c r="B60" s="3" t="s">
        <v>128</v>
      </c>
      <c r="C60" s="3">
        <v>128.0</v>
      </c>
      <c r="D60" s="3">
        <v>1.0</v>
      </c>
      <c r="E60" s="3">
        <v>1.0</v>
      </c>
      <c r="F60" s="3">
        <v>1.0</v>
      </c>
      <c r="H60" s="3">
        <v>200.0</v>
      </c>
      <c r="I60" s="3" t="b">
        <v>1</v>
      </c>
      <c r="J60" s="3" t="s">
        <v>13</v>
      </c>
      <c r="K60" s="3" t="b">
        <v>1</v>
      </c>
    </row>
    <row r="61" ht="15.75" hidden="1" customHeight="1">
      <c r="A61" s="2" t="s">
        <v>129</v>
      </c>
      <c r="B61" s="3" t="s">
        <v>130</v>
      </c>
      <c r="C61" s="3">
        <v>64.0</v>
      </c>
      <c r="D61" s="3">
        <v>1.0</v>
      </c>
      <c r="E61" s="3">
        <v>1.0</v>
      </c>
      <c r="F61" s="3">
        <v>1.0</v>
      </c>
      <c r="H61" s="3">
        <v>200.0</v>
      </c>
      <c r="I61" s="3" t="b">
        <v>1</v>
      </c>
      <c r="J61" s="3" t="s">
        <v>13</v>
      </c>
      <c r="K61" s="3" t="b">
        <v>1</v>
      </c>
    </row>
    <row r="62" ht="15.75" hidden="1" customHeight="1">
      <c r="A62" s="2" t="s">
        <v>131</v>
      </c>
      <c r="B62" s="3" t="s">
        <v>132</v>
      </c>
      <c r="C62" s="3">
        <v>77.0</v>
      </c>
      <c r="D62" s="3">
        <v>1.0</v>
      </c>
      <c r="E62" s="3">
        <v>1.0</v>
      </c>
      <c r="F62" s="3">
        <v>1.0</v>
      </c>
      <c r="H62" s="3">
        <v>200.0</v>
      </c>
      <c r="I62" s="3" t="b">
        <v>1</v>
      </c>
      <c r="J62" s="3" t="s">
        <v>13</v>
      </c>
      <c r="K62" s="3" t="b">
        <v>1</v>
      </c>
    </row>
    <row r="63" ht="15.75" hidden="1" customHeight="1">
      <c r="A63" s="2" t="s">
        <v>133</v>
      </c>
      <c r="B63" s="3" t="s">
        <v>134</v>
      </c>
      <c r="C63" s="3">
        <v>62.0</v>
      </c>
      <c r="D63" s="3">
        <v>1.0</v>
      </c>
      <c r="E63" s="3">
        <v>1.0</v>
      </c>
      <c r="F63" s="3">
        <v>1.0</v>
      </c>
      <c r="H63" s="3">
        <v>200.0</v>
      </c>
      <c r="I63" s="3" t="b">
        <v>1</v>
      </c>
      <c r="J63" s="3" t="s">
        <v>13</v>
      </c>
      <c r="K63" s="3" t="b">
        <v>1</v>
      </c>
    </row>
    <row r="64" ht="15.75" hidden="1" customHeight="1">
      <c r="A64" s="2" t="s">
        <v>135</v>
      </c>
      <c r="B64" s="3" t="s">
        <v>136</v>
      </c>
      <c r="C64" s="3">
        <v>104.0</v>
      </c>
      <c r="D64" s="3">
        <v>1.0</v>
      </c>
      <c r="E64" s="3">
        <v>2.0</v>
      </c>
      <c r="F64" s="3">
        <v>10.0</v>
      </c>
      <c r="H64" s="3">
        <v>200.0</v>
      </c>
      <c r="I64" s="3" t="b">
        <v>1</v>
      </c>
      <c r="J64" s="3" t="s">
        <v>13</v>
      </c>
      <c r="K64" s="3" t="b">
        <v>1</v>
      </c>
    </row>
    <row r="65" ht="15.75" hidden="1" customHeight="1">
      <c r="A65" s="2" t="s">
        <v>137</v>
      </c>
      <c r="B65" s="3" t="s">
        <v>138</v>
      </c>
      <c r="C65" s="3">
        <v>62.0</v>
      </c>
      <c r="D65" s="3">
        <v>1.0</v>
      </c>
      <c r="E65" s="3">
        <v>1.0</v>
      </c>
      <c r="F65" s="3">
        <v>1.0</v>
      </c>
      <c r="H65" s="3">
        <v>200.0</v>
      </c>
      <c r="I65" s="3" t="b">
        <v>1</v>
      </c>
      <c r="J65" s="3" t="s">
        <v>13</v>
      </c>
      <c r="K65" s="3" t="b">
        <v>1</v>
      </c>
    </row>
    <row r="66" ht="15.75" hidden="1" customHeight="1">
      <c r="A66" s="2" t="s">
        <v>139</v>
      </c>
      <c r="B66" s="3" t="s">
        <v>140</v>
      </c>
      <c r="C66" s="3">
        <v>38.0</v>
      </c>
      <c r="D66" s="3">
        <v>1.0</v>
      </c>
      <c r="E66" s="3">
        <v>1.0</v>
      </c>
      <c r="F66" s="3">
        <v>1.0</v>
      </c>
      <c r="H66" s="3">
        <v>200.0</v>
      </c>
      <c r="I66" s="3" t="b">
        <v>1</v>
      </c>
      <c r="J66" s="3" t="s">
        <v>13</v>
      </c>
      <c r="K66" s="3" t="b">
        <v>1</v>
      </c>
    </row>
    <row r="67" ht="15.75" hidden="1" customHeight="1">
      <c r="A67" s="2" t="s">
        <v>141</v>
      </c>
      <c r="B67" s="3" t="s">
        <v>12</v>
      </c>
      <c r="C67" s="3">
        <v>69.0</v>
      </c>
      <c r="D67" s="3">
        <v>1.0</v>
      </c>
      <c r="E67" s="3">
        <v>2.0</v>
      </c>
      <c r="F67" s="3">
        <v>3.0</v>
      </c>
      <c r="H67" s="3">
        <v>200.0</v>
      </c>
      <c r="I67" s="3" t="b">
        <v>1</v>
      </c>
      <c r="J67" s="3" t="s">
        <v>13</v>
      </c>
      <c r="K67" s="3" t="b">
        <v>1</v>
      </c>
    </row>
    <row r="68" ht="15.75" hidden="1" customHeight="1">
      <c r="A68" s="2" t="s">
        <v>142</v>
      </c>
      <c r="B68" s="3" t="s">
        <v>136</v>
      </c>
      <c r="C68" s="3">
        <v>104.0</v>
      </c>
      <c r="D68" s="3">
        <v>1.0</v>
      </c>
      <c r="E68" s="3">
        <v>2.0</v>
      </c>
      <c r="F68" s="3">
        <v>10.0</v>
      </c>
      <c r="H68" s="3">
        <v>200.0</v>
      </c>
      <c r="I68" s="3" t="b">
        <v>1</v>
      </c>
      <c r="J68" s="3" t="s">
        <v>13</v>
      </c>
      <c r="K68" s="3" t="b">
        <v>1</v>
      </c>
    </row>
    <row r="69" ht="15.75" hidden="1" customHeight="1">
      <c r="A69" s="2" t="s">
        <v>143</v>
      </c>
      <c r="B69" s="3" t="s">
        <v>136</v>
      </c>
      <c r="C69" s="3">
        <v>104.0</v>
      </c>
      <c r="D69" s="3">
        <v>1.0</v>
      </c>
      <c r="E69" s="3">
        <v>2.0</v>
      </c>
      <c r="F69" s="3">
        <v>10.0</v>
      </c>
      <c r="H69" s="3">
        <v>200.0</v>
      </c>
      <c r="I69" s="3" t="b">
        <v>1</v>
      </c>
      <c r="J69" s="3" t="s">
        <v>13</v>
      </c>
      <c r="K69" s="3" t="b">
        <v>1</v>
      </c>
    </row>
    <row r="70" ht="15.75" hidden="1" customHeight="1">
      <c r="A70" s="2" t="s">
        <v>144</v>
      </c>
      <c r="B70" s="3" t="s">
        <v>41</v>
      </c>
      <c r="C70" s="3">
        <v>82.0</v>
      </c>
      <c r="D70" s="3">
        <v>1.0</v>
      </c>
      <c r="E70" s="3">
        <v>2.0</v>
      </c>
      <c r="F70" s="3">
        <v>2.0</v>
      </c>
      <c r="H70" s="3">
        <v>200.0</v>
      </c>
      <c r="I70" s="3" t="b">
        <v>1</v>
      </c>
      <c r="J70" s="3" t="s">
        <v>13</v>
      </c>
      <c r="K70" s="3" t="b">
        <v>1</v>
      </c>
    </row>
    <row r="71" ht="15.75" hidden="1" customHeight="1">
      <c r="A71" s="2" t="s">
        <v>145</v>
      </c>
      <c r="B71" s="3" t="s">
        <v>136</v>
      </c>
      <c r="C71" s="3">
        <v>104.0</v>
      </c>
      <c r="D71" s="3">
        <v>1.0</v>
      </c>
      <c r="E71" s="3">
        <v>2.0</v>
      </c>
      <c r="F71" s="3">
        <v>10.0</v>
      </c>
      <c r="H71" s="3">
        <v>200.0</v>
      </c>
      <c r="I71" s="3" t="b">
        <v>1</v>
      </c>
      <c r="J71" s="3" t="s">
        <v>13</v>
      </c>
      <c r="K71" s="3" t="b">
        <v>1</v>
      </c>
    </row>
    <row r="72" ht="15.75" hidden="1" customHeight="1">
      <c r="A72" s="2" t="s">
        <v>146</v>
      </c>
      <c r="B72" s="3" t="s">
        <v>147</v>
      </c>
      <c r="C72" s="3">
        <v>38.0</v>
      </c>
      <c r="D72" s="3">
        <v>1.0</v>
      </c>
      <c r="E72" s="3">
        <v>1.0</v>
      </c>
      <c r="F72" s="3">
        <v>1.0</v>
      </c>
      <c r="H72" s="3">
        <v>200.0</v>
      </c>
      <c r="I72" s="3" t="b">
        <v>1</v>
      </c>
      <c r="J72" s="3" t="s">
        <v>13</v>
      </c>
      <c r="K72" s="3" t="b">
        <v>1</v>
      </c>
    </row>
    <row r="73" ht="15.75" hidden="1" customHeight="1">
      <c r="A73" s="2" t="s">
        <v>148</v>
      </c>
      <c r="B73" s="3" t="s">
        <v>136</v>
      </c>
      <c r="C73" s="3">
        <v>104.0</v>
      </c>
      <c r="D73" s="3">
        <v>1.0</v>
      </c>
      <c r="E73" s="3">
        <v>2.0</v>
      </c>
      <c r="F73" s="3">
        <v>10.0</v>
      </c>
      <c r="H73" s="3">
        <v>200.0</v>
      </c>
      <c r="I73" s="3" t="b">
        <v>1</v>
      </c>
      <c r="J73" s="3" t="s">
        <v>13</v>
      </c>
      <c r="K73" s="3" t="b">
        <v>1</v>
      </c>
    </row>
    <row r="74" ht="15.75" hidden="1" customHeight="1">
      <c r="A74" s="2" t="s">
        <v>149</v>
      </c>
      <c r="B74" s="3" t="s">
        <v>136</v>
      </c>
      <c r="C74" s="3">
        <v>104.0</v>
      </c>
      <c r="D74" s="3">
        <v>1.0</v>
      </c>
      <c r="E74" s="3">
        <v>2.0</v>
      </c>
      <c r="F74" s="3">
        <v>10.0</v>
      </c>
      <c r="H74" s="3">
        <v>200.0</v>
      </c>
      <c r="I74" s="3" t="b">
        <v>1</v>
      </c>
      <c r="J74" s="3" t="s">
        <v>13</v>
      </c>
      <c r="K74" s="3" t="b">
        <v>1</v>
      </c>
    </row>
    <row r="75" ht="15.75" hidden="1" customHeight="1">
      <c r="A75" s="2" t="s">
        <v>150</v>
      </c>
      <c r="B75" s="3" t="s">
        <v>136</v>
      </c>
      <c r="C75" s="3">
        <v>104.0</v>
      </c>
      <c r="D75" s="3">
        <v>1.0</v>
      </c>
      <c r="E75" s="3">
        <v>2.0</v>
      </c>
      <c r="F75" s="3">
        <v>10.0</v>
      </c>
      <c r="H75" s="3">
        <v>200.0</v>
      </c>
      <c r="I75" s="3" t="b">
        <v>1</v>
      </c>
      <c r="J75" s="3" t="s">
        <v>13</v>
      </c>
      <c r="K75" s="3" t="b">
        <v>1</v>
      </c>
    </row>
    <row r="76" ht="15.75" hidden="1" customHeight="1">
      <c r="A76" s="2" t="s">
        <v>151</v>
      </c>
      <c r="B76" s="3" t="s">
        <v>152</v>
      </c>
      <c r="C76" s="3">
        <v>52.0</v>
      </c>
      <c r="D76" s="3">
        <v>1.0</v>
      </c>
      <c r="E76" s="3">
        <v>1.0</v>
      </c>
      <c r="F76" s="3">
        <v>1.0</v>
      </c>
      <c r="H76" s="3">
        <v>200.0</v>
      </c>
      <c r="I76" s="3" t="b">
        <v>1</v>
      </c>
      <c r="J76" s="3" t="s">
        <v>13</v>
      </c>
      <c r="K76" s="3" t="b">
        <v>1</v>
      </c>
    </row>
    <row r="77" ht="15.75" hidden="1" customHeight="1">
      <c r="A77" s="2" t="s">
        <v>153</v>
      </c>
      <c r="B77" s="3" t="s">
        <v>154</v>
      </c>
      <c r="C77" s="3">
        <v>35.0</v>
      </c>
      <c r="D77" s="3">
        <v>1.0</v>
      </c>
      <c r="E77" s="3">
        <v>2.0</v>
      </c>
      <c r="F77" s="3">
        <v>2.0</v>
      </c>
      <c r="H77" s="3">
        <v>200.0</v>
      </c>
      <c r="I77" s="3" t="b">
        <v>1</v>
      </c>
      <c r="J77" s="3" t="s">
        <v>13</v>
      </c>
      <c r="K77" s="3" t="b">
        <v>1</v>
      </c>
    </row>
    <row r="78" ht="15.75" hidden="1" customHeight="1">
      <c r="A78" s="2" t="s">
        <v>155</v>
      </c>
      <c r="B78" s="3" t="s">
        <v>136</v>
      </c>
      <c r="C78" s="3">
        <v>104.0</v>
      </c>
      <c r="D78" s="3">
        <v>1.0</v>
      </c>
      <c r="E78" s="3">
        <v>2.0</v>
      </c>
      <c r="F78" s="3">
        <v>10.0</v>
      </c>
      <c r="H78" s="3">
        <v>200.0</v>
      </c>
      <c r="I78" s="3" t="b">
        <v>1</v>
      </c>
      <c r="J78" s="3" t="s">
        <v>13</v>
      </c>
      <c r="K78" s="3" t="b">
        <v>1</v>
      </c>
    </row>
    <row r="79" ht="15.75" hidden="1" customHeight="1">
      <c r="A79" s="2" t="s">
        <v>156</v>
      </c>
      <c r="B79" s="3" t="s">
        <v>157</v>
      </c>
      <c r="C79" s="3">
        <v>43.0</v>
      </c>
      <c r="D79" s="3">
        <v>1.0</v>
      </c>
      <c r="E79" s="3">
        <v>1.0</v>
      </c>
      <c r="F79" s="3">
        <v>1.0</v>
      </c>
      <c r="H79" s="3">
        <v>200.0</v>
      </c>
      <c r="I79" s="3" t="b">
        <v>1</v>
      </c>
      <c r="J79" s="3" t="s">
        <v>13</v>
      </c>
      <c r="K79" s="3" t="b">
        <v>1</v>
      </c>
    </row>
    <row r="80" ht="15.75" hidden="1" customHeight="1">
      <c r="A80" s="2" t="s">
        <v>158</v>
      </c>
      <c r="B80" s="3" t="s">
        <v>136</v>
      </c>
      <c r="C80" s="3">
        <v>104.0</v>
      </c>
      <c r="D80" s="3">
        <v>1.0</v>
      </c>
      <c r="E80" s="3">
        <v>2.0</v>
      </c>
      <c r="F80" s="3">
        <v>10.0</v>
      </c>
      <c r="H80" s="3">
        <v>200.0</v>
      </c>
      <c r="I80" s="3" t="b">
        <v>1</v>
      </c>
      <c r="J80" s="3" t="s">
        <v>13</v>
      </c>
      <c r="K80" s="3" t="b">
        <v>1</v>
      </c>
    </row>
    <row r="81" ht="15.75" hidden="1" customHeight="1">
      <c r="A81" s="2" t="s">
        <v>159</v>
      </c>
      <c r="B81" s="3" t="s">
        <v>160</v>
      </c>
      <c r="C81" s="3">
        <v>56.0</v>
      </c>
      <c r="D81" s="3">
        <v>1.0</v>
      </c>
      <c r="E81" s="3">
        <v>1.0</v>
      </c>
      <c r="F81" s="3">
        <v>1.0</v>
      </c>
      <c r="H81" s="3">
        <v>200.0</v>
      </c>
      <c r="I81" s="3" t="b">
        <v>1</v>
      </c>
      <c r="J81" s="3" t="s">
        <v>13</v>
      </c>
      <c r="K81" s="3" t="b">
        <v>1</v>
      </c>
    </row>
    <row r="82" ht="15.75" hidden="1" customHeight="1">
      <c r="A82" s="2" t="s">
        <v>161</v>
      </c>
      <c r="B82" s="3" t="s">
        <v>136</v>
      </c>
      <c r="C82" s="3">
        <v>104.0</v>
      </c>
      <c r="D82" s="3">
        <v>1.0</v>
      </c>
      <c r="E82" s="3">
        <v>2.0</v>
      </c>
      <c r="F82" s="3">
        <v>10.0</v>
      </c>
      <c r="H82" s="3">
        <v>200.0</v>
      </c>
      <c r="I82" s="3" t="b">
        <v>1</v>
      </c>
      <c r="J82" s="3" t="s">
        <v>13</v>
      </c>
      <c r="K82" s="3" t="b">
        <v>1</v>
      </c>
    </row>
    <row r="83" ht="15.75" hidden="1" customHeight="1">
      <c r="A83" s="2" t="s">
        <v>162</v>
      </c>
      <c r="B83" s="3" t="s">
        <v>163</v>
      </c>
      <c r="C83" s="3">
        <v>33.0</v>
      </c>
      <c r="D83" s="3">
        <v>1.0</v>
      </c>
      <c r="E83" s="3">
        <v>1.0</v>
      </c>
      <c r="F83" s="3">
        <v>1.0</v>
      </c>
      <c r="H83" s="3">
        <v>200.0</v>
      </c>
      <c r="I83" s="3" t="b">
        <v>1</v>
      </c>
      <c r="J83" s="3" t="s">
        <v>13</v>
      </c>
      <c r="K83" s="3" t="b">
        <v>1</v>
      </c>
    </row>
    <row r="84" ht="15.75" hidden="1" customHeight="1">
      <c r="A84" s="2" t="s">
        <v>164</v>
      </c>
      <c r="B84" s="3" t="s">
        <v>165</v>
      </c>
      <c r="C84" s="3">
        <v>46.0</v>
      </c>
      <c r="D84" s="3">
        <v>1.0</v>
      </c>
      <c r="E84" s="3">
        <v>1.0</v>
      </c>
      <c r="F84" s="3">
        <v>1.0</v>
      </c>
      <c r="H84" s="3">
        <v>200.0</v>
      </c>
      <c r="I84" s="3" t="b">
        <v>1</v>
      </c>
      <c r="J84" s="3" t="s">
        <v>13</v>
      </c>
      <c r="K84" s="3" t="b">
        <v>1</v>
      </c>
    </row>
    <row r="85" ht="15.75" hidden="1" customHeight="1">
      <c r="A85" s="2" t="s">
        <v>166</v>
      </c>
      <c r="B85" s="3" t="s">
        <v>154</v>
      </c>
      <c r="C85" s="3">
        <v>35.0</v>
      </c>
      <c r="D85" s="3">
        <v>1.0</v>
      </c>
      <c r="E85" s="3">
        <v>2.0</v>
      </c>
      <c r="F85" s="3">
        <v>2.0</v>
      </c>
      <c r="H85" s="3">
        <v>200.0</v>
      </c>
      <c r="I85" s="3" t="b">
        <v>1</v>
      </c>
      <c r="J85" s="3" t="s">
        <v>13</v>
      </c>
      <c r="K85" s="3" t="b">
        <v>1</v>
      </c>
    </row>
    <row r="86" ht="15.75" hidden="1" customHeight="1">
      <c r="A86" s="2" t="s">
        <v>167</v>
      </c>
      <c r="B86" s="3" t="s">
        <v>168</v>
      </c>
      <c r="C86" s="3">
        <v>39.0</v>
      </c>
      <c r="D86" s="3">
        <v>1.0</v>
      </c>
      <c r="E86" s="3">
        <v>1.0</v>
      </c>
      <c r="F86" s="3">
        <v>1.0</v>
      </c>
      <c r="H86" s="3">
        <v>200.0</v>
      </c>
      <c r="I86" s="3" t="b">
        <v>0</v>
      </c>
      <c r="J86" s="3" t="s">
        <v>13</v>
      </c>
      <c r="K86" s="3" t="b">
        <v>1</v>
      </c>
    </row>
    <row r="87" ht="15.75" hidden="1" customHeight="1">
      <c r="A87" s="2" t="s">
        <v>169</v>
      </c>
      <c r="B87" s="3" t="s">
        <v>170</v>
      </c>
      <c r="C87" s="3">
        <v>52.0</v>
      </c>
      <c r="D87" s="3">
        <v>1.0</v>
      </c>
      <c r="E87" s="3">
        <v>1.0</v>
      </c>
      <c r="F87" s="3">
        <v>1.0</v>
      </c>
      <c r="H87" s="3">
        <v>200.0</v>
      </c>
      <c r="I87" s="3" t="b">
        <v>0</v>
      </c>
      <c r="J87" s="3" t="s">
        <v>13</v>
      </c>
      <c r="K87" s="3" t="b">
        <v>1</v>
      </c>
    </row>
    <row r="88" ht="15.75" hidden="1" customHeight="1">
      <c r="A88" s="2" t="s">
        <v>171</v>
      </c>
      <c r="B88" s="3" t="s">
        <v>172</v>
      </c>
      <c r="C88" s="3">
        <v>44.0</v>
      </c>
      <c r="D88" s="3">
        <v>1.0</v>
      </c>
      <c r="E88" s="3">
        <v>1.0</v>
      </c>
      <c r="F88" s="3">
        <v>1.0</v>
      </c>
      <c r="H88" s="3">
        <v>200.0</v>
      </c>
      <c r="I88" s="3" t="b">
        <v>0</v>
      </c>
      <c r="J88" s="3" t="s">
        <v>13</v>
      </c>
      <c r="K88" s="3" t="b">
        <v>1</v>
      </c>
    </row>
    <row r="89" ht="15.75" hidden="1" customHeight="1">
      <c r="A89" s="2" t="s">
        <v>173</v>
      </c>
      <c r="B89" s="3" t="s">
        <v>174</v>
      </c>
      <c r="C89" s="3">
        <v>42.0</v>
      </c>
      <c r="D89" s="3">
        <v>1.0</v>
      </c>
      <c r="E89" s="3">
        <v>1.0</v>
      </c>
      <c r="F89" s="3">
        <v>1.0</v>
      </c>
      <c r="H89" s="3">
        <v>200.0</v>
      </c>
      <c r="I89" s="3" t="b">
        <v>0</v>
      </c>
      <c r="J89" s="3" t="s">
        <v>13</v>
      </c>
      <c r="K89" s="3" t="b">
        <v>1</v>
      </c>
    </row>
    <row r="90" ht="15.75" hidden="1" customHeight="1">
      <c r="A90" s="2" t="s">
        <v>175</v>
      </c>
      <c r="B90" s="3" t="s">
        <v>100</v>
      </c>
      <c r="C90" s="3">
        <v>30.0</v>
      </c>
      <c r="D90" s="3">
        <v>1.0</v>
      </c>
      <c r="E90" s="3">
        <v>1.0</v>
      </c>
      <c r="F90" s="3">
        <v>3.0</v>
      </c>
      <c r="H90" s="3">
        <v>200.0</v>
      </c>
      <c r="I90" s="3" t="b">
        <v>0</v>
      </c>
      <c r="J90" s="3" t="s">
        <v>13</v>
      </c>
      <c r="K90" s="3" t="b">
        <v>1</v>
      </c>
    </row>
    <row r="91" ht="15.75" hidden="1" customHeight="1">
      <c r="A91" s="2" t="s">
        <v>176</v>
      </c>
      <c r="D91" s="3">
        <v>0.0</v>
      </c>
      <c r="H91" s="3">
        <v>404.0</v>
      </c>
      <c r="I91" s="3" t="b">
        <v>0</v>
      </c>
      <c r="J91" s="3" t="s">
        <v>13</v>
      </c>
      <c r="K91" s="3" t="b">
        <v>0</v>
      </c>
    </row>
    <row r="92" ht="15.75" hidden="1" customHeight="1">
      <c r="A92" s="2" t="s">
        <v>177</v>
      </c>
      <c r="D92" s="3">
        <v>0.0</v>
      </c>
      <c r="H92" s="3">
        <v>301.0</v>
      </c>
      <c r="I92" s="3" t="b">
        <v>0</v>
      </c>
      <c r="J92" s="3" t="s">
        <v>13</v>
      </c>
      <c r="K92" s="3" t="b">
        <v>0</v>
      </c>
    </row>
    <row r="93" ht="15.75" hidden="1" customHeight="1">
      <c r="A93" s="2" t="s">
        <v>178</v>
      </c>
      <c r="D93" s="3">
        <v>0.0</v>
      </c>
      <c r="H93" s="3">
        <v>301.0</v>
      </c>
      <c r="I93" s="3" t="b">
        <v>0</v>
      </c>
      <c r="J93" s="3" t="s">
        <v>13</v>
      </c>
      <c r="K93" s="3" t="b">
        <v>0</v>
      </c>
    </row>
    <row r="94" ht="15.75" hidden="1" customHeight="1">
      <c r="A94" s="2" t="s">
        <v>179</v>
      </c>
      <c r="D94" s="3">
        <v>0.0</v>
      </c>
      <c r="H94" s="3">
        <v>301.0</v>
      </c>
      <c r="I94" s="3" t="b">
        <v>0</v>
      </c>
      <c r="J94" s="3" t="s">
        <v>13</v>
      </c>
      <c r="K94" s="3" t="b">
        <v>0</v>
      </c>
    </row>
    <row r="95" ht="15.75" hidden="1" customHeight="1">
      <c r="A95" s="2" t="s">
        <v>180</v>
      </c>
      <c r="B95" s="3" t="s">
        <v>100</v>
      </c>
      <c r="C95" s="3">
        <v>30.0</v>
      </c>
      <c r="D95" s="3">
        <v>1.0</v>
      </c>
      <c r="H95" s="3">
        <v>200.0</v>
      </c>
      <c r="I95" s="3" t="b">
        <v>0</v>
      </c>
      <c r="J95" s="3" t="s">
        <v>13</v>
      </c>
      <c r="K95" s="3" t="b">
        <v>1</v>
      </c>
    </row>
    <row r="96" ht="15.75" hidden="1" customHeight="1">
      <c r="A96" s="2" t="s">
        <v>181</v>
      </c>
      <c r="D96" s="3">
        <v>0.0</v>
      </c>
      <c r="H96" s="3">
        <v>301.0</v>
      </c>
      <c r="I96" s="3" t="b">
        <v>0</v>
      </c>
      <c r="J96" s="3" t="s">
        <v>13</v>
      </c>
      <c r="K96" s="3" t="b">
        <v>0</v>
      </c>
    </row>
    <row r="97" ht="15.75" hidden="1" customHeight="1">
      <c r="A97" s="2" t="s">
        <v>182</v>
      </c>
      <c r="D97" s="3">
        <v>0.0</v>
      </c>
      <c r="H97" s="3">
        <v>200.0</v>
      </c>
      <c r="I97" s="3" t="b">
        <v>0</v>
      </c>
      <c r="J97" s="3" t="s">
        <v>183</v>
      </c>
      <c r="K97" s="3" t="b">
        <v>0</v>
      </c>
    </row>
    <row r="98" ht="15.75" hidden="1" customHeight="1">
      <c r="A98" s="2" t="s">
        <v>184</v>
      </c>
      <c r="D98" s="3">
        <v>0.0</v>
      </c>
      <c r="H98" s="3">
        <v>301.0</v>
      </c>
      <c r="I98" s="3" t="b">
        <v>0</v>
      </c>
      <c r="J98" s="3" t="s">
        <v>13</v>
      </c>
      <c r="K98" s="3" t="b">
        <v>0</v>
      </c>
    </row>
    <row r="99" ht="15.75" hidden="1" customHeight="1">
      <c r="A99" s="2" t="s">
        <v>185</v>
      </c>
      <c r="D99" s="3">
        <v>0.0</v>
      </c>
      <c r="H99" s="3">
        <v>301.0</v>
      </c>
      <c r="I99" s="3" t="b">
        <v>0</v>
      </c>
      <c r="J99" s="3" t="s">
        <v>13</v>
      </c>
      <c r="K99" s="3" t="b">
        <v>0</v>
      </c>
    </row>
    <row r="100" ht="15.75" hidden="1" customHeight="1">
      <c r="A100" s="2" t="s">
        <v>186</v>
      </c>
      <c r="D100" s="3">
        <v>0.0</v>
      </c>
      <c r="H100" s="3">
        <v>404.0</v>
      </c>
      <c r="I100" s="3" t="b">
        <v>0</v>
      </c>
      <c r="J100" s="3" t="s">
        <v>13</v>
      </c>
      <c r="K100" s="3" t="b">
        <v>0</v>
      </c>
    </row>
    <row r="101" ht="15.75" hidden="1" customHeight="1">
      <c r="A101" s="2" t="s">
        <v>187</v>
      </c>
      <c r="D101" s="3">
        <v>0.0</v>
      </c>
      <c r="H101" s="3">
        <v>301.0</v>
      </c>
      <c r="I101" s="3" t="b">
        <v>0</v>
      </c>
      <c r="J101" s="3" t="s">
        <v>13</v>
      </c>
      <c r="K101" s="3" t="b">
        <v>0</v>
      </c>
    </row>
    <row r="102" ht="15.75" hidden="1" customHeight="1">
      <c r="A102" s="2" t="s">
        <v>188</v>
      </c>
      <c r="D102" s="3">
        <v>0.0</v>
      </c>
      <c r="H102" s="3">
        <v>301.0</v>
      </c>
      <c r="I102" s="3" t="b">
        <v>0</v>
      </c>
      <c r="J102" s="3" t="s">
        <v>189</v>
      </c>
      <c r="K102" s="3" t="b">
        <v>0</v>
      </c>
    </row>
    <row r="103" ht="15.75" hidden="1" customHeight="1">
      <c r="A103" s="2" t="s">
        <v>190</v>
      </c>
      <c r="B103" s="3" t="s">
        <v>100</v>
      </c>
      <c r="C103" s="3">
        <v>30.0</v>
      </c>
      <c r="D103" s="3">
        <v>1.0</v>
      </c>
      <c r="E103" s="3">
        <v>1.0</v>
      </c>
      <c r="F103" s="3">
        <v>3.0</v>
      </c>
      <c r="H103" s="3">
        <v>200.0</v>
      </c>
      <c r="I103" s="3" t="b">
        <v>0</v>
      </c>
      <c r="J103" s="3" t="s">
        <v>13</v>
      </c>
      <c r="K103" s="3" t="b">
        <v>1</v>
      </c>
    </row>
    <row r="104" ht="15.75" hidden="1" customHeight="1">
      <c r="A104" s="2" t="s">
        <v>191</v>
      </c>
      <c r="D104" s="3">
        <v>0.0</v>
      </c>
      <c r="H104" s="3">
        <v>301.0</v>
      </c>
      <c r="I104" s="3" t="b">
        <v>0</v>
      </c>
      <c r="J104" s="3" t="s">
        <v>13</v>
      </c>
      <c r="K104" s="3" t="b">
        <v>0</v>
      </c>
    </row>
    <row r="105" ht="15.75" hidden="1" customHeight="1">
      <c r="A105" s="2" t="s">
        <v>192</v>
      </c>
      <c r="B105" s="3" t="s">
        <v>12</v>
      </c>
      <c r="C105" s="3">
        <v>69.0</v>
      </c>
      <c r="D105" s="3">
        <v>1.0</v>
      </c>
      <c r="E105" s="3">
        <v>2.0</v>
      </c>
      <c r="F105" s="3">
        <v>3.0</v>
      </c>
      <c r="H105" s="3">
        <v>200.0</v>
      </c>
      <c r="I105" s="3" t="b">
        <v>0</v>
      </c>
      <c r="J105" s="3" t="s">
        <v>13</v>
      </c>
      <c r="K105" s="3" t="b">
        <v>1</v>
      </c>
    </row>
    <row r="106" ht="15.75" hidden="1" customHeight="1">
      <c r="A106" s="2" t="s">
        <v>193</v>
      </c>
      <c r="D106" s="3">
        <v>0.0</v>
      </c>
      <c r="H106" s="3">
        <v>200.0</v>
      </c>
      <c r="I106" s="3" t="b">
        <v>0</v>
      </c>
      <c r="J106" s="3" t="s">
        <v>183</v>
      </c>
      <c r="K106" s="3" t="b">
        <v>0</v>
      </c>
    </row>
    <row r="107" ht="15.75" hidden="1" customHeight="1">
      <c r="A107" s="2" t="s">
        <v>194</v>
      </c>
      <c r="D107" s="3">
        <v>0.0</v>
      </c>
      <c r="H107" s="3">
        <v>301.0</v>
      </c>
      <c r="I107" s="3" t="b">
        <v>0</v>
      </c>
      <c r="J107" s="3" t="s">
        <v>13</v>
      </c>
      <c r="K107" s="3" t="b">
        <v>0</v>
      </c>
    </row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</sheetData>
  <autoFilter ref="$A$1:$V$1106">
    <filterColumn colId="2">
      <customFilters>
        <customFilter operator="lessThan" val="25"/>
      </custom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69.0</v>
      </c>
      <c r="D2" s="3">
        <v>1.0</v>
      </c>
      <c r="E2" s="3">
        <v>2.0</v>
      </c>
      <c r="F2" s="3">
        <v>3.0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hidden="1" customHeight="1">
      <c r="A3" s="2" t="s">
        <v>14</v>
      </c>
      <c r="B3" s="3" t="s">
        <v>15</v>
      </c>
      <c r="C3" s="3">
        <v>40.0</v>
      </c>
      <c r="D3" s="3">
        <v>1.0</v>
      </c>
      <c r="E3" s="3">
        <v>1.0</v>
      </c>
      <c r="F3" s="3">
        <v>1.0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hidden="1" customHeight="1">
      <c r="A4" s="2" t="s">
        <v>16</v>
      </c>
      <c r="B4" s="3" t="s">
        <v>17</v>
      </c>
      <c r="C4" s="3">
        <v>29.0</v>
      </c>
      <c r="D4" s="3">
        <v>1.0</v>
      </c>
      <c r="E4" s="3">
        <v>1.0</v>
      </c>
      <c r="F4" s="3">
        <v>1.0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hidden="1" customHeight="1">
      <c r="A5" s="2" t="s">
        <v>18</v>
      </c>
      <c r="B5" s="3" t="s">
        <v>19</v>
      </c>
      <c r="C5" s="3">
        <v>38.0</v>
      </c>
      <c r="D5" s="3">
        <v>1.0</v>
      </c>
      <c r="E5" s="3">
        <v>1.0</v>
      </c>
      <c r="F5" s="3">
        <v>1.0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hidden="1" customHeight="1">
      <c r="A6" s="2" t="s">
        <v>20</v>
      </c>
      <c r="B6" s="3" t="s">
        <v>21</v>
      </c>
      <c r="C6" s="3">
        <v>36.0</v>
      </c>
      <c r="D6" s="3">
        <v>1.0</v>
      </c>
      <c r="E6" s="3">
        <v>1.0</v>
      </c>
      <c r="F6" s="3">
        <v>1.0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hidden="1" customHeight="1">
      <c r="A7" s="2" t="s">
        <v>22</v>
      </c>
      <c r="B7" s="3" t="s">
        <v>23</v>
      </c>
      <c r="C7" s="3">
        <v>33.0</v>
      </c>
      <c r="D7" s="3">
        <v>1.0</v>
      </c>
      <c r="E7" s="3">
        <v>1.0</v>
      </c>
      <c r="F7" s="3">
        <v>1.0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hidden="1" customHeight="1">
      <c r="A8" s="2" t="s">
        <v>24</v>
      </c>
      <c r="B8" s="3" t="s">
        <v>25</v>
      </c>
      <c r="C8" s="3">
        <v>34.0</v>
      </c>
      <c r="D8" s="3">
        <v>1.0</v>
      </c>
      <c r="E8" s="3">
        <v>1.0</v>
      </c>
      <c r="F8" s="3">
        <v>1.0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hidden="1" customHeight="1">
      <c r="A9" s="2" t="s">
        <v>26</v>
      </c>
      <c r="B9" s="3" t="s">
        <v>27</v>
      </c>
      <c r="C9" s="3">
        <v>40.0</v>
      </c>
      <c r="D9" s="3">
        <v>1.0</v>
      </c>
      <c r="E9" s="3">
        <v>1.0</v>
      </c>
      <c r="F9" s="3">
        <v>1.0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hidden="1" customHeight="1">
      <c r="A10" s="2" t="s">
        <v>28</v>
      </c>
      <c r="B10" s="3" t="s">
        <v>29</v>
      </c>
      <c r="C10" s="3">
        <v>42.0</v>
      </c>
      <c r="D10" s="3">
        <v>1.0</v>
      </c>
      <c r="E10" s="3">
        <v>1.0</v>
      </c>
      <c r="F10" s="3">
        <v>1.0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hidden="1" customHeight="1">
      <c r="A11" s="2" t="s">
        <v>30</v>
      </c>
      <c r="B11" s="3" t="s">
        <v>31</v>
      </c>
      <c r="C11" s="3">
        <v>48.0</v>
      </c>
      <c r="D11" s="3">
        <v>1.0</v>
      </c>
      <c r="E11" s="3">
        <v>1.0</v>
      </c>
      <c r="F11" s="3">
        <v>1.0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hidden="1" customHeight="1">
      <c r="A12" s="2" t="s">
        <v>32</v>
      </c>
      <c r="B12" s="3" t="s">
        <v>33</v>
      </c>
      <c r="C12" s="3">
        <v>55.0</v>
      </c>
      <c r="D12" s="3">
        <v>1.0</v>
      </c>
      <c r="E12" s="3">
        <v>1.0</v>
      </c>
      <c r="F12" s="3">
        <v>1.0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hidden="1" customHeight="1">
      <c r="A13" s="2" t="s">
        <v>34</v>
      </c>
      <c r="B13" s="3" t="s">
        <v>35</v>
      </c>
      <c r="C13" s="3">
        <v>54.0</v>
      </c>
      <c r="D13" s="3">
        <v>1.0</v>
      </c>
      <c r="E13" s="3">
        <v>1.0</v>
      </c>
      <c r="F13" s="3">
        <v>1.0</v>
      </c>
      <c r="H13" s="3">
        <v>200.0</v>
      </c>
      <c r="I13" s="3" t="b">
        <v>1</v>
      </c>
      <c r="J13" s="3" t="s">
        <v>13</v>
      </c>
      <c r="K13" s="3" t="b">
        <v>1</v>
      </c>
    </row>
    <row r="14" ht="15.75" hidden="1" customHeight="1">
      <c r="A14" s="2" t="s">
        <v>36</v>
      </c>
      <c r="B14" s="3" t="s">
        <v>37</v>
      </c>
      <c r="C14" s="3">
        <v>48.0</v>
      </c>
      <c r="D14" s="3">
        <v>1.0</v>
      </c>
      <c r="E14" s="3">
        <v>1.0</v>
      </c>
      <c r="F14" s="3">
        <v>1.0</v>
      </c>
      <c r="H14" s="3">
        <v>200.0</v>
      </c>
      <c r="I14" s="3" t="b">
        <v>1</v>
      </c>
      <c r="J14" s="3" t="s">
        <v>13</v>
      </c>
      <c r="K14" s="3" t="b">
        <v>1</v>
      </c>
    </row>
    <row r="15" ht="15.75" hidden="1" customHeight="1">
      <c r="A15" s="2" t="s">
        <v>38</v>
      </c>
      <c r="B15" s="3" t="s">
        <v>39</v>
      </c>
      <c r="C15" s="3">
        <v>55.0</v>
      </c>
      <c r="D15" s="3">
        <v>1.0</v>
      </c>
      <c r="E15" s="3">
        <v>1.0</v>
      </c>
      <c r="F15" s="3">
        <v>1.0</v>
      </c>
      <c r="H15" s="3">
        <v>200.0</v>
      </c>
      <c r="I15" s="3" t="b">
        <v>1</v>
      </c>
      <c r="J15" s="3" t="s">
        <v>13</v>
      </c>
      <c r="K15" s="3" t="b">
        <v>1</v>
      </c>
    </row>
    <row r="16" ht="15.75" customHeight="1">
      <c r="A16" s="2" t="s">
        <v>40</v>
      </c>
      <c r="B16" s="3" t="s">
        <v>41</v>
      </c>
      <c r="C16" s="3">
        <v>82.0</v>
      </c>
      <c r="D16" s="3">
        <v>1.0</v>
      </c>
      <c r="E16" s="3">
        <v>2.0</v>
      </c>
      <c r="F16" s="3">
        <v>2.0</v>
      </c>
      <c r="H16" s="3">
        <v>200.0</v>
      </c>
      <c r="I16" s="3" t="b">
        <v>1</v>
      </c>
      <c r="J16" s="3" t="s">
        <v>13</v>
      </c>
      <c r="K16" s="3" t="b">
        <v>1</v>
      </c>
    </row>
    <row r="17" ht="15.75" hidden="1" customHeight="1">
      <c r="A17" s="2" t="s">
        <v>42</v>
      </c>
      <c r="B17" s="3" t="s">
        <v>43</v>
      </c>
      <c r="C17" s="3">
        <v>40.0</v>
      </c>
      <c r="D17" s="3">
        <v>1.0</v>
      </c>
      <c r="E17" s="3">
        <v>1.0</v>
      </c>
      <c r="F17" s="3">
        <v>1.0</v>
      </c>
      <c r="H17" s="3">
        <v>200.0</v>
      </c>
      <c r="I17" s="3" t="b">
        <v>0</v>
      </c>
      <c r="J17" s="3" t="s">
        <v>13</v>
      </c>
      <c r="K17" s="3" t="b">
        <v>1</v>
      </c>
    </row>
    <row r="18" ht="15.75" hidden="1" customHeight="1">
      <c r="A18" s="2" t="s">
        <v>44</v>
      </c>
      <c r="B18" s="3" t="s">
        <v>45</v>
      </c>
      <c r="C18" s="3">
        <v>34.0</v>
      </c>
      <c r="D18" s="3">
        <v>1.0</v>
      </c>
      <c r="E18" s="3">
        <v>1.0</v>
      </c>
      <c r="F18" s="3">
        <v>1.0</v>
      </c>
      <c r="H18" s="3">
        <v>200.0</v>
      </c>
      <c r="I18" s="3" t="b">
        <v>0</v>
      </c>
      <c r="J18" s="3" t="s">
        <v>13</v>
      </c>
      <c r="K18" s="3" t="b">
        <v>1</v>
      </c>
    </row>
    <row r="19" ht="15.75" hidden="1" customHeight="1">
      <c r="A19" s="2" t="s">
        <v>46</v>
      </c>
      <c r="B19" s="3" t="s">
        <v>47</v>
      </c>
      <c r="C19" s="3">
        <v>38.0</v>
      </c>
      <c r="D19" s="3">
        <v>1.0</v>
      </c>
      <c r="E19" s="3">
        <v>1.0</v>
      </c>
      <c r="F19" s="3">
        <v>1.0</v>
      </c>
      <c r="H19" s="3">
        <v>200.0</v>
      </c>
      <c r="I19" s="3" t="b">
        <v>0</v>
      </c>
      <c r="J19" s="3" t="s">
        <v>13</v>
      </c>
      <c r="K19" s="3" t="b">
        <v>1</v>
      </c>
    </row>
    <row r="20" ht="15.75" hidden="1" customHeight="1">
      <c r="A20" s="2" t="s">
        <v>48</v>
      </c>
      <c r="B20" s="3" t="s">
        <v>49</v>
      </c>
      <c r="C20" s="3">
        <v>36.0</v>
      </c>
      <c r="D20" s="3">
        <v>1.0</v>
      </c>
      <c r="E20" s="3">
        <v>1.0</v>
      </c>
      <c r="F20" s="3">
        <v>1.0</v>
      </c>
      <c r="H20" s="3">
        <v>200.0</v>
      </c>
      <c r="I20" s="3" t="b">
        <v>0</v>
      </c>
      <c r="J20" s="3" t="s">
        <v>13</v>
      </c>
      <c r="K20" s="3" t="b">
        <v>1</v>
      </c>
    </row>
    <row r="21" ht="15.75" hidden="1" customHeight="1">
      <c r="A21" s="2" t="s">
        <v>50</v>
      </c>
      <c r="B21" s="3" t="s">
        <v>51</v>
      </c>
      <c r="C21" s="3">
        <v>38.0</v>
      </c>
      <c r="D21" s="3">
        <v>1.0</v>
      </c>
      <c r="E21" s="3">
        <v>1.0</v>
      </c>
      <c r="F21" s="3">
        <v>1.0</v>
      </c>
      <c r="H21" s="3">
        <v>200.0</v>
      </c>
      <c r="I21" s="3" t="b">
        <v>0</v>
      </c>
      <c r="J21" s="3" t="s">
        <v>13</v>
      </c>
      <c r="K21" s="3" t="b">
        <v>1</v>
      </c>
    </row>
    <row r="22" ht="15.75" hidden="1" customHeight="1">
      <c r="A22" s="2" t="s">
        <v>52</v>
      </c>
      <c r="B22" s="3" t="s">
        <v>53</v>
      </c>
      <c r="C22" s="3">
        <v>36.0</v>
      </c>
      <c r="D22" s="3">
        <v>1.0</v>
      </c>
      <c r="E22" s="3">
        <v>1.0</v>
      </c>
      <c r="F22" s="3">
        <v>1.0</v>
      </c>
      <c r="H22" s="3">
        <v>200.0</v>
      </c>
      <c r="I22" s="3" t="b">
        <v>0</v>
      </c>
      <c r="J22" s="3" t="s">
        <v>13</v>
      </c>
      <c r="K22" s="3" t="b">
        <v>1</v>
      </c>
    </row>
    <row r="23" ht="15.75" hidden="1" customHeight="1">
      <c r="A23" s="2" t="s">
        <v>54</v>
      </c>
      <c r="B23" s="3" t="s">
        <v>55</v>
      </c>
      <c r="C23" s="3">
        <v>40.0</v>
      </c>
      <c r="D23" s="3">
        <v>1.0</v>
      </c>
      <c r="E23" s="3">
        <v>1.0</v>
      </c>
      <c r="F23" s="3">
        <v>1.0</v>
      </c>
      <c r="H23" s="3">
        <v>200.0</v>
      </c>
      <c r="I23" s="3" t="b">
        <v>0</v>
      </c>
      <c r="J23" s="3" t="s">
        <v>13</v>
      </c>
      <c r="K23" s="3" t="b">
        <v>1</v>
      </c>
    </row>
    <row r="24" ht="15.75" hidden="1" customHeight="1">
      <c r="A24" s="2" t="s">
        <v>56</v>
      </c>
      <c r="B24" s="3" t="s">
        <v>57</v>
      </c>
      <c r="C24" s="3">
        <v>39.0</v>
      </c>
      <c r="D24" s="3">
        <v>1.0</v>
      </c>
      <c r="E24" s="3">
        <v>1.0</v>
      </c>
      <c r="F24" s="3">
        <v>1.0</v>
      </c>
      <c r="H24" s="3">
        <v>200.0</v>
      </c>
      <c r="I24" s="3" t="b">
        <v>0</v>
      </c>
      <c r="J24" s="3" t="s">
        <v>13</v>
      </c>
      <c r="K24" s="3" t="b">
        <v>1</v>
      </c>
    </row>
    <row r="25" ht="15.75" hidden="1" customHeight="1">
      <c r="A25" s="2" t="s">
        <v>58</v>
      </c>
      <c r="B25" s="3" t="s">
        <v>59</v>
      </c>
      <c r="C25" s="3">
        <v>37.0</v>
      </c>
      <c r="D25" s="3">
        <v>1.0</v>
      </c>
      <c r="E25" s="3">
        <v>1.0</v>
      </c>
      <c r="F25" s="3">
        <v>1.0</v>
      </c>
      <c r="H25" s="3">
        <v>200.0</v>
      </c>
      <c r="I25" s="3" t="b">
        <v>0</v>
      </c>
      <c r="J25" s="3" t="s">
        <v>13</v>
      </c>
      <c r="K25" s="3" t="b">
        <v>1</v>
      </c>
    </row>
    <row r="26" ht="15.75" hidden="1" customHeight="1">
      <c r="A26" s="2" t="s">
        <v>60</v>
      </c>
      <c r="D26" s="3">
        <v>0.0</v>
      </c>
      <c r="H26" s="3">
        <v>404.0</v>
      </c>
      <c r="I26" s="3" t="b">
        <v>0</v>
      </c>
      <c r="J26" s="3" t="s">
        <v>13</v>
      </c>
      <c r="K26" s="3" t="b">
        <v>0</v>
      </c>
    </row>
    <row r="27" ht="15.75" customHeight="1">
      <c r="A27" s="2" t="s">
        <v>61</v>
      </c>
      <c r="B27" s="3" t="s">
        <v>62</v>
      </c>
      <c r="C27" s="3">
        <v>62.0</v>
      </c>
      <c r="D27" s="3">
        <v>1.0</v>
      </c>
      <c r="E27" s="3">
        <v>1.0</v>
      </c>
      <c r="F27" s="3">
        <v>1.0</v>
      </c>
      <c r="H27" s="3">
        <v>200.0</v>
      </c>
      <c r="I27" s="3" t="b">
        <v>1</v>
      </c>
      <c r="J27" s="3" t="s">
        <v>13</v>
      </c>
      <c r="K27" s="3" t="b">
        <v>1</v>
      </c>
    </row>
    <row r="28" ht="15.75" customHeight="1">
      <c r="A28" s="2" t="s">
        <v>63</v>
      </c>
      <c r="B28" s="3" t="s">
        <v>64</v>
      </c>
      <c r="C28" s="3">
        <v>111.0</v>
      </c>
      <c r="D28" s="3">
        <v>1.0</v>
      </c>
      <c r="E28" s="3">
        <v>1.0</v>
      </c>
      <c r="F28" s="3">
        <v>1.0</v>
      </c>
      <c r="H28" s="3">
        <v>200.0</v>
      </c>
      <c r="I28" s="3" t="b">
        <v>1</v>
      </c>
      <c r="J28" s="3" t="s">
        <v>13</v>
      </c>
      <c r="K28" s="3" t="b">
        <v>1</v>
      </c>
    </row>
    <row r="29" ht="15.75" customHeight="1">
      <c r="A29" s="2" t="s">
        <v>65</v>
      </c>
      <c r="B29" s="3" t="s">
        <v>66</v>
      </c>
      <c r="C29" s="3">
        <v>102.0</v>
      </c>
      <c r="D29" s="3">
        <v>1.0</v>
      </c>
      <c r="E29" s="3">
        <v>1.0</v>
      </c>
      <c r="F29" s="3">
        <v>1.0</v>
      </c>
      <c r="H29" s="3">
        <v>200.0</v>
      </c>
      <c r="I29" s="3" t="b">
        <v>1</v>
      </c>
      <c r="J29" s="3" t="s">
        <v>13</v>
      </c>
      <c r="K29" s="3" t="b">
        <v>1</v>
      </c>
    </row>
    <row r="30" ht="15.75" customHeight="1">
      <c r="A30" s="2" t="s">
        <v>67</v>
      </c>
      <c r="B30" s="3" t="s">
        <v>68</v>
      </c>
      <c r="C30" s="3">
        <v>105.0</v>
      </c>
      <c r="D30" s="3">
        <v>1.0</v>
      </c>
      <c r="E30" s="3">
        <v>1.0</v>
      </c>
      <c r="F30" s="3">
        <v>1.0</v>
      </c>
      <c r="H30" s="3">
        <v>200.0</v>
      </c>
      <c r="I30" s="3" t="b">
        <v>1</v>
      </c>
      <c r="J30" s="3" t="s">
        <v>13</v>
      </c>
      <c r="K30" s="3" t="b">
        <v>1</v>
      </c>
    </row>
    <row r="31" ht="15.75" hidden="1" customHeight="1">
      <c r="A31" s="2" t="s">
        <v>69</v>
      </c>
      <c r="B31" s="3" t="s">
        <v>70</v>
      </c>
      <c r="C31" s="3">
        <v>53.0</v>
      </c>
      <c r="D31" s="3">
        <v>1.0</v>
      </c>
      <c r="E31" s="3">
        <v>1.0</v>
      </c>
      <c r="F31" s="3">
        <v>1.0</v>
      </c>
      <c r="H31" s="3">
        <v>200.0</v>
      </c>
      <c r="I31" s="3" t="b">
        <v>1</v>
      </c>
      <c r="J31" s="3" t="s">
        <v>13</v>
      </c>
      <c r="K31" s="3" t="b">
        <v>1</v>
      </c>
    </row>
    <row r="32" ht="15.75" customHeight="1">
      <c r="A32" s="2" t="s">
        <v>71</v>
      </c>
      <c r="B32" s="3" t="s">
        <v>72</v>
      </c>
      <c r="C32" s="3">
        <v>103.0</v>
      </c>
      <c r="D32" s="3">
        <v>1.0</v>
      </c>
      <c r="E32" s="3">
        <v>1.0</v>
      </c>
      <c r="F32" s="3">
        <v>1.0</v>
      </c>
      <c r="H32" s="3">
        <v>200.0</v>
      </c>
      <c r="I32" s="3" t="b">
        <v>1</v>
      </c>
      <c r="J32" s="3" t="s">
        <v>13</v>
      </c>
      <c r="K32" s="3" t="b">
        <v>1</v>
      </c>
    </row>
    <row r="33" ht="15.75" customHeight="1">
      <c r="A33" s="2" t="s">
        <v>73</v>
      </c>
      <c r="B33" s="3" t="s">
        <v>74</v>
      </c>
      <c r="C33" s="3">
        <v>73.0</v>
      </c>
      <c r="D33" s="3">
        <v>1.0</v>
      </c>
      <c r="E33" s="3">
        <v>1.0</v>
      </c>
      <c r="F33" s="3">
        <v>1.0</v>
      </c>
      <c r="H33" s="3">
        <v>200.0</v>
      </c>
      <c r="I33" s="3" t="b">
        <v>1</v>
      </c>
      <c r="J33" s="3" t="s">
        <v>13</v>
      </c>
      <c r="K33" s="3" t="b">
        <v>1</v>
      </c>
    </row>
    <row r="34" ht="15.75" customHeight="1">
      <c r="A34" s="2" t="s">
        <v>75</v>
      </c>
      <c r="B34" s="3" t="s">
        <v>76</v>
      </c>
      <c r="C34" s="3">
        <v>76.0</v>
      </c>
      <c r="D34" s="3">
        <v>1.0</v>
      </c>
      <c r="E34" s="3">
        <v>1.0</v>
      </c>
      <c r="F34" s="3">
        <v>1.0</v>
      </c>
      <c r="H34" s="3">
        <v>200.0</v>
      </c>
      <c r="I34" s="3" t="b">
        <v>1</v>
      </c>
      <c r="J34" s="3" t="s">
        <v>13</v>
      </c>
      <c r="K34" s="3" t="b">
        <v>1</v>
      </c>
    </row>
    <row r="35" ht="15.75" customHeight="1">
      <c r="A35" s="2" t="s">
        <v>77</v>
      </c>
      <c r="B35" s="3" t="s">
        <v>78</v>
      </c>
      <c r="C35" s="3">
        <v>123.0</v>
      </c>
      <c r="D35" s="3">
        <v>1.0</v>
      </c>
      <c r="E35" s="3">
        <v>1.0</v>
      </c>
      <c r="F35" s="3">
        <v>1.0</v>
      </c>
      <c r="H35" s="3">
        <v>200.0</v>
      </c>
      <c r="I35" s="3" t="b">
        <v>1</v>
      </c>
      <c r="J35" s="3" t="s">
        <v>13</v>
      </c>
      <c r="K35" s="3" t="b">
        <v>1</v>
      </c>
    </row>
    <row r="36" ht="15.75" customHeight="1">
      <c r="A36" s="2" t="s">
        <v>79</v>
      </c>
      <c r="B36" s="3" t="s">
        <v>80</v>
      </c>
      <c r="C36" s="3">
        <v>109.0</v>
      </c>
      <c r="D36" s="3">
        <v>1.0</v>
      </c>
      <c r="E36" s="3">
        <v>1.0</v>
      </c>
      <c r="F36" s="3">
        <v>1.0</v>
      </c>
      <c r="H36" s="3">
        <v>200.0</v>
      </c>
      <c r="I36" s="3" t="b">
        <v>1</v>
      </c>
      <c r="J36" s="3" t="s">
        <v>13</v>
      </c>
      <c r="K36" s="3" t="b">
        <v>1</v>
      </c>
    </row>
    <row r="37" ht="15.75" customHeight="1">
      <c r="A37" s="2" t="s">
        <v>81</v>
      </c>
      <c r="B37" s="3" t="s">
        <v>82</v>
      </c>
      <c r="C37" s="3">
        <v>122.0</v>
      </c>
      <c r="D37" s="3">
        <v>1.0</v>
      </c>
      <c r="E37" s="3">
        <v>1.0</v>
      </c>
      <c r="F37" s="3">
        <v>1.0</v>
      </c>
      <c r="H37" s="3">
        <v>200.0</v>
      </c>
      <c r="I37" s="3" t="b">
        <v>1</v>
      </c>
      <c r="J37" s="3" t="s">
        <v>13</v>
      </c>
      <c r="K37" s="3" t="b">
        <v>1</v>
      </c>
    </row>
    <row r="38" ht="15.75" customHeight="1">
      <c r="A38" s="2" t="s">
        <v>83</v>
      </c>
      <c r="B38" s="3" t="s">
        <v>84</v>
      </c>
      <c r="C38" s="3">
        <v>102.0</v>
      </c>
      <c r="D38" s="3">
        <v>1.0</v>
      </c>
      <c r="E38" s="3">
        <v>1.0</v>
      </c>
      <c r="F38" s="3">
        <v>1.0</v>
      </c>
      <c r="H38" s="3">
        <v>200.0</v>
      </c>
      <c r="I38" s="3" t="b">
        <v>1</v>
      </c>
      <c r="J38" s="3" t="s">
        <v>13</v>
      </c>
      <c r="K38" s="3" t="b">
        <v>1</v>
      </c>
    </row>
    <row r="39" ht="15.75" customHeight="1">
      <c r="A39" s="2" t="s">
        <v>85</v>
      </c>
      <c r="B39" s="3" t="s">
        <v>86</v>
      </c>
      <c r="C39" s="3">
        <v>131.0</v>
      </c>
      <c r="D39" s="3">
        <v>1.0</v>
      </c>
      <c r="E39" s="3">
        <v>1.0</v>
      </c>
      <c r="F39" s="3">
        <v>1.0</v>
      </c>
      <c r="H39" s="3">
        <v>200.0</v>
      </c>
      <c r="I39" s="3" t="b">
        <v>1</v>
      </c>
      <c r="J39" s="3" t="s">
        <v>13</v>
      </c>
      <c r="K39" s="3" t="b">
        <v>1</v>
      </c>
    </row>
    <row r="40" ht="15.75" customHeight="1">
      <c r="A40" s="2" t="s">
        <v>87</v>
      </c>
      <c r="B40" s="3" t="s">
        <v>88</v>
      </c>
      <c r="C40" s="3">
        <v>106.0</v>
      </c>
      <c r="D40" s="3">
        <v>1.0</v>
      </c>
      <c r="E40" s="3">
        <v>1.0</v>
      </c>
      <c r="F40" s="3">
        <v>1.0</v>
      </c>
      <c r="H40" s="3">
        <v>200.0</v>
      </c>
      <c r="I40" s="3" t="b">
        <v>1</v>
      </c>
      <c r="J40" s="3" t="s">
        <v>13</v>
      </c>
      <c r="K40" s="3" t="b">
        <v>1</v>
      </c>
    </row>
    <row r="41" ht="15.75" customHeight="1">
      <c r="A41" s="2" t="s">
        <v>89</v>
      </c>
      <c r="B41" s="3" t="s">
        <v>90</v>
      </c>
      <c r="C41" s="3">
        <v>79.0</v>
      </c>
      <c r="D41" s="3">
        <v>1.0</v>
      </c>
      <c r="E41" s="3">
        <v>1.0</v>
      </c>
      <c r="F41" s="3">
        <v>1.0</v>
      </c>
      <c r="H41" s="3">
        <v>200.0</v>
      </c>
      <c r="I41" s="3" t="b">
        <v>1</v>
      </c>
      <c r="J41" s="3" t="s">
        <v>13</v>
      </c>
      <c r="K41" s="3" t="b">
        <v>1</v>
      </c>
    </row>
    <row r="42" ht="15.75" customHeight="1">
      <c r="A42" s="2" t="s">
        <v>91</v>
      </c>
      <c r="B42" s="3" t="s">
        <v>92</v>
      </c>
      <c r="C42" s="3">
        <v>137.0</v>
      </c>
      <c r="D42" s="3">
        <v>1.0</v>
      </c>
      <c r="E42" s="3">
        <v>1.0</v>
      </c>
      <c r="F42" s="3">
        <v>1.0</v>
      </c>
      <c r="H42" s="3">
        <v>200.0</v>
      </c>
      <c r="I42" s="3" t="b">
        <v>1</v>
      </c>
      <c r="J42" s="3" t="s">
        <v>13</v>
      </c>
      <c r="K42" s="3" t="b">
        <v>1</v>
      </c>
    </row>
    <row r="43" ht="15.75" customHeight="1">
      <c r="A43" s="2" t="s">
        <v>93</v>
      </c>
      <c r="B43" s="3" t="s">
        <v>94</v>
      </c>
      <c r="C43" s="3">
        <v>88.0</v>
      </c>
      <c r="D43" s="3">
        <v>1.0</v>
      </c>
      <c r="E43" s="3">
        <v>1.0</v>
      </c>
      <c r="F43" s="3">
        <v>1.0</v>
      </c>
      <c r="H43" s="3">
        <v>200.0</v>
      </c>
      <c r="I43" s="3" t="b">
        <v>1</v>
      </c>
      <c r="J43" s="3" t="s">
        <v>13</v>
      </c>
      <c r="K43" s="3" t="b">
        <v>1</v>
      </c>
    </row>
    <row r="44" ht="15.75" customHeight="1">
      <c r="A44" s="2" t="s">
        <v>95</v>
      </c>
      <c r="B44" s="3" t="s">
        <v>96</v>
      </c>
      <c r="C44" s="3">
        <v>78.0</v>
      </c>
      <c r="D44" s="3">
        <v>1.0</v>
      </c>
      <c r="E44" s="3">
        <v>1.0</v>
      </c>
      <c r="F44" s="3">
        <v>1.0</v>
      </c>
      <c r="H44" s="3">
        <v>200.0</v>
      </c>
      <c r="I44" s="3" t="b">
        <v>1</v>
      </c>
      <c r="J44" s="3" t="s">
        <v>13</v>
      </c>
      <c r="K44" s="3" t="b">
        <v>1</v>
      </c>
    </row>
    <row r="45" ht="15.75" customHeight="1">
      <c r="A45" s="2" t="s">
        <v>97</v>
      </c>
      <c r="B45" s="3" t="s">
        <v>98</v>
      </c>
      <c r="C45" s="3">
        <v>85.0</v>
      </c>
      <c r="D45" s="3">
        <v>1.0</v>
      </c>
      <c r="E45" s="3">
        <v>1.0</v>
      </c>
      <c r="F45" s="3">
        <v>1.0</v>
      </c>
      <c r="H45" s="3">
        <v>200.0</v>
      </c>
      <c r="I45" s="3" t="b">
        <v>1</v>
      </c>
      <c r="J45" s="3" t="s">
        <v>13</v>
      </c>
      <c r="K45" s="3" t="b">
        <v>1</v>
      </c>
    </row>
    <row r="46" ht="15.75" hidden="1" customHeight="1">
      <c r="A46" s="2" t="s">
        <v>99</v>
      </c>
      <c r="B46" s="3" t="s">
        <v>100</v>
      </c>
      <c r="C46" s="3">
        <v>30.0</v>
      </c>
      <c r="D46" s="3">
        <v>1.0</v>
      </c>
      <c r="E46" s="3">
        <v>1.0</v>
      </c>
      <c r="F46" s="3">
        <v>3.0</v>
      </c>
      <c r="H46" s="3">
        <v>200.0</v>
      </c>
      <c r="I46" s="3" t="b">
        <v>1</v>
      </c>
      <c r="J46" s="3" t="s">
        <v>13</v>
      </c>
      <c r="K46" s="3" t="b">
        <v>1</v>
      </c>
    </row>
    <row r="47" ht="15.75" customHeight="1">
      <c r="A47" s="2" t="s">
        <v>101</v>
      </c>
      <c r="B47" s="3" t="s">
        <v>102</v>
      </c>
      <c r="C47" s="3">
        <v>93.0</v>
      </c>
      <c r="D47" s="3">
        <v>1.0</v>
      </c>
      <c r="E47" s="3">
        <v>1.0</v>
      </c>
      <c r="F47" s="3">
        <v>1.0</v>
      </c>
      <c r="H47" s="3">
        <v>200.0</v>
      </c>
      <c r="I47" s="3" t="b">
        <v>1</v>
      </c>
      <c r="J47" s="3" t="s">
        <v>13</v>
      </c>
      <c r="K47" s="3" t="b">
        <v>1</v>
      </c>
    </row>
    <row r="48" ht="15.75" customHeight="1">
      <c r="A48" s="2" t="s">
        <v>103</v>
      </c>
      <c r="B48" s="3" t="s">
        <v>104</v>
      </c>
      <c r="C48" s="3">
        <v>114.0</v>
      </c>
      <c r="D48" s="3">
        <v>1.0</v>
      </c>
      <c r="E48" s="3">
        <v>1.0</v>
      </c>
      <c r="F48" s="3">
        <v>1.0</v>
      </c>
      <c r="H48" s="3">
        <v>200.0</v>
      </c>
      <c r="I48" s="3" t="b">
        <v>1</v>
      </c>
      <c r="J48" s="3" t="s">
        <v>13</v>
      </c>
      <c r="K48" s="3" t="b">
        <v>1</v>
      </c>
    </row>
    <row r="49" ht="15.75" customHeight="1">
      <c r="A49" s="2" t="s">
        <v>105</v>
      </c>
      <c r="B49" s="3" t="s">
        <v>106</v>
      </c>
      <c r="C49" s="3">
        <v>126.0</v>
      </c>
      <c r="D49" s="3">
        <v>1.0</v>
      </c>
      <c r="E49" s="3">
        <v>1.0</v>
      </c>
      <c r="F49" s="3">
        <v>1.0</v>
      </c>
      <c r="H49" s="3">
        <v>200.0</v>
      </c>
      <c r="I49" s="3" t="b">
        <v>1</v>
      </c>
      <c r="J49" s="3" t="s">
        <v>13</v>
      </c>
      <c r="K49" s="3" t="b">
        <v>1</v>
      </c>
    </row>
    <row r="50" ht="15.75" customHeight="1">
      <c r="A50" s="2" t="s">
        <v>107</v>
      </c>
      <c r="B50" s="3" t="s">
        <v>108</v>
      </c>
      <c r="C50" s="3">
        <v>92.0</v>
      </c>
      <c r="D50" s="3">
        <v>1.0</v>
      </c>
      <c r="E50" s="3">
        <v>1.0</v>
      </c>
      <c r="F50" s="3">
        <v>1.0</v>
      </c>
      <c r="H50" s="3">
        <v>200.0</v>
      </c>
      <c r="I50" s="3" t="b">
        <v>1</v>
      </c>
      <c r="J50" s="3" t="s">
        <v>13</v>
      </c>
      <c r="K50" s="3" t="b">
        <v>1</v>
      </c>
    </row>
    <row r="51" ht="15.75" customHeight="1">
      <c r="A51" s="2" t="s">
        <v>109</v>
      </c>
      <c r="B51" s="3" t="s">
        <v>110</v>
      </c>
      <c r="C51" s="3">
        <v>102.0</v>
      </c>
      <c r="D51" s="3">
        <v>1.0</v>
      </c>
      <c r="E51" s="3">
        <v>1.0</v>
      </c>
      <c r="F51" s="3">
        <v>1.0</v>
      </c>
      <c r="H51" s="3">
        <v>200.0</v>
      </c>
      <c r="I51" s="3" t="b">
        <v>1</v>
      </c>
      <c r="J51" s="3" t="s">
        <v>13</v>
      </c>
      <c r="K51" s="3" t="b">
        <v>1</v>
      </c>
    </row>
    <row r="52" ht="15.75" hidden="1" customHeight="1">
      <c r="A52" s="2" t="s">
        <v>111</v>
      </c>
      <c r="B52" s="3" t="s">
        <v>112</v>
      </c>
      <c r="C52" s="3">
        <v>45.0</v>
      </c>
      <c r="D52" s="3">
        <v>1.0</v>
      </c>
      <c r="E52" s="3">
        <v>1.0</v>
      </c>
      <c r="F52" s="3">
        <v>1.0</v>
      </c>
      <c r="H52" s="3">
        <v>200.0</v>
      </c>
      <c r="I52" s="3" t="b">
        <v>1</v>
      </c>
      <c r="J52" s="3" t="s">
        <v>13</v>
      </c>
      <c r="K52" s="3" t="b">
        <v>1</v>
      </c>
    </row>
    <row r="53" ht="15.75" customHeight="1">
      <c r="A53" s="2" t="s">
        <v>113</v>
      </c>
      <c r="B53" s="3" t="s">
        <v>114</v>
      </c>
      <c r="C53" s="3">
        <v>100.0</v>
      </c>
      <c r="D53" s="3">
        <v>1.0</v>
      </c>
      <c r="E53" s="3">
        <v>1.0</v>
      </c>
      <c r="F53" s="3">
        <v>1.0</v>
      </c>
      <c r="H53" s="3">
        <v>200.0</v>
      </c>
      <c r="I53" s="3" t="b">
        <v>1</v>
      </c>
      <c r="J53" s="3" t="s">
        <v>13</v>
      </c>
      <c r="K53" s="3" t="b">
        <v>1</v>
      </c>
    </row>
    <row r="54" ht="15.75" hidden="1" customHeight="1">
      <c r="A54" s="2" t="s">
        <v>115</v>
      </c>
      <c r="B54" s="3" t="s">
        <v>116</v>
      </c>
      <c r="C54" s="3">
        <v>49.0</v>
      </c>
      <c r="D54" s="3">
        <v>1.0</v>
      </c>
      <c r="E54" s="3">
        <v>1.0</v>
      </c>
      <c r="F54" s="3">
        <v>1.0</v>
      </c>
      <c r="H54" s="3">
        <v>200.0</v>
      </c>
      <c r="I54" s="3" t="b">
        <v>1</v>
      </c>
      <c r="J54" s="3" t="s">
        <v>13</v>
      </c>
      <c r="K54" s="3" t="b">
        <v>1</v>
      </c>
    </row>
    <row r="55" ht="15.75" customHeight="1">
      <c r="A55" s="2" t="s">
        <v>117</v>
      </c>
      <c r="B55" s="3" t="s">
        <v>118</v>
      </c>
      <c r="C55" s="3">
        <v>99.0</v>
      </c>
      <c r="D55" s="3">
        <v>1.0</v>
      </c>
      <c r="E55" s="3">
        <v>1.0</v>
      </c>
      <c r="F55" s="3">
        <v>1.0</v>
      </c>
      <c r="H55" s="3">
        <v>200.0</v>
      </c>
      <c r="I55" s="3" t="b">
        <v>1</v>
      </c>
      <c r="J55" s="3" t="s">
        <v>13</v>
      </c>
      <c r="K55" s="3" t="b">
        <v>1</v>
      </c>
    </row>
    <row r="56" ht="15.75" hidden="1" customHeight="1">
      <c r="A56" s="2" t="s">
        <v>119</v>
      </c>
      <c r="B56" s="3" t="s">
        <v>120</v>
      </c>
      <c r="C56" s="3">
        <v>53.0</v>
      </c>
      <c r="D56" s="3">
        <v>1.0</v>
      </c>
      <c r="E56" s="3">
        <v>1.0</v>
      </c>
      <c r="F56" s="3">
        <v>1.0</v>
      </c>
      <c r="H56" s="3">
        <v>200.0</v>
      </c>
      <c r="I56" s="3" t="b">
        <v>1</v>
      </c>
      <c r="J56" s="3" t="s">
        <v>13</v>
      </c>
      <c r="K56" s="3" t="b">
        <v>1</v>
      </c>
    </row>
    <row r="57" ht="15.75" customHeight="1">
      <c r="A57" s="2" t="s">
        <v>121</v>
      </c>
      <c r="B57" s="3" t="s">
        <v>122</v>
      </c>
      <c r="C57" s="3">
        <v>126.0</v>
      </c>
      <c r="D57" s="3">
        <v>1.0</v>
      </c>
      <c r="E57" s="3">
        <v>1.0</v>
      </c>
      <c r="F57" s="3">
        <v>1.0</v>
      </c>
      <c r="H57" s="3">
        <v>200.0</v>
      </c>
      <c r="I57" s="3" t="b">
        <v>1</v>
      </c>
      <c r="J57" s="3" t="s">
        <v>13</v>
      </c>
      <c r="K57" s="3" t="b">
        <v>1</v>
      </c>
    </row>
    <row r="58" ht="15.75" customHeight="1">
      <c r="A58" s="2" t="s">
        <v>123</v>
      </c>
      <c r="B58" s="3" t="s">
        <v>124</v>
      </c>
      <c r="C58" s="3">
        <v>118.0</v>
      </c>
      <c r="D58" s="3">
        <v>1.0</v>
      </c>
      <c r="E58" s="3">
        <v>1.0</v>
      </c>
      <c r="F58" s="3">
        <v>1.0</v>
      </c>
      <c r="H58" s="3">
        <v>200.0</v>
      </c>
      <c r="I58" s="3" t="b">
        <v>1</v>
      </c>
      <c r="J58" s="3" t="s">
        <v>13</v>
      </c>
      <c r="K58" s="3" t="b">
        <v>1</v>
      </c>
    </row>
    <row r="59" ht="15.75" customHeight="1">
      <c r="A59" s="2" t="s">
        <v>125</v>
      </c>
      <c r="B59" s="3" t="s">
        <v>126</v>
      </c>
      <c r="C59" s="3">
        <v>61.0</v>
      </c>
      <c r="D59" s="3">
        <v>1.0</v>
      </c>
      <c r="E59" s="3">
        <v>1.0</v>
      </c>
      <c r="F59" s="3">
        <v>1.0</v>
      </c>
      <c r="H59" s="3">
        <v>200.0</v>
      </c>
      <c r="I59" s="3" t="b">
        <v>1</v>
      </c>
      <c r="J59" s="3" t="s">
        <v>13</v>
      </c>
      <c r="K59" s="3" t="b">
        <v>1</v>
      </c>
    </row>
    <row r="60" ht="15.75" customHeight="1">
      <c r="A60" s="2" t="s">
        <v>127</v>
      </c>
      <c r="B60" s="3" t="s">
        <v>128</v>
      </c>
      <c r="C60" s="3">
        <v>128.0</v>
      </c>
      <c r="D60" s="3">
        <v>1.0</v>
      </c>
      <c r="E60" s="3">
        <v>1.0</v>
      </c>
      <c r="F60" s="3">
        <v>1.0</v>
      </c>
      <c r="H60" s="3">
        <v>200.0</v>
      </c>
      <c r="I60" s="3" t="b">
        <v>1</v>
      </c>
      <c r="J60" s="3" t="s">
        <v>13</v>
      </c>
      <c r="K60" s="3" t="b">
        <v>1</v>
      </c>
    </row>
    <row r="61" ht="15.75" customHeight="1">
      <c r="A61" s="2" t="s">
        <v>129</v>
      </c>
      <c r="B61" s="3" t="s">
        <v>130</v>
      </c>
      <c r="C61" s="3">
        <v>64.0</v>
      </c>
      <c r="D61" s="3">
        <v>1.0</v>
      </c>
      <c r="E61" s="3">
        <v>1.0</v>
      </c>
      <c r="F61" s="3">
        <v>1.0</v>
      </c>
      <c r="H61" s="3">
        <v>200.0</v>
      </c>
      <c r="I61" s="3" t="b">
        <v>1</v>
      </c>
      <c r="J61" s="3" t="s">
        <v>13</v>
      </c>
      <c r="K61" s="3" t="b">
        <v>1</v>
      </c>
    </row>
    <row r="62" ht="15.75" customHeight="1">
      <c r="A62" s="2" t="s">
        <v>131</v>
      </c>
      <c r="B62" s="3" t="s">
        <v>132</v>
      </c>
      <c r="C62" s="3">
        <v>77.0</v>
      </c>
      <c r="D62" s="3">
        <v>1.0</v>
      </c>
      <c r="E62" s="3">
        <v>1.0</v>
      </c>
      <c r="F62" s="3">
        <v>1.0</v>
      </c>
      <c r="H62" s="3">
        <v>200.0</v>
      </c>
      <c r="I62" s="3" t="b">
        <v>1</v>
      </c>
      <c r="J62" s="3" t="s">
        <v>13</v>
      </c>
      <c r="K62" s="3" t="b">
        <v>1</v>
      </c>
    </row>
    <row r="63" ht="15.75" customHeight="1">
      <c r="A63" s="2" t="s">
        <v>133</v>
      </c>
      <c r="B63" s="3" t="s">
        <v>134</v>
      </c>
      <c r="C63" s="3">
        <v>62.0</v>
      </c>
      <c r="D63" s="3">
        <v>1.0</v>
      </c>
      <c r="E63" s="3">
        <v>1.0</v>
      </c>
      <c r="F63" s="3">
        <v>1.0</v>
      </c>
      <c r="H63" s="3">
        <v>200.0</v>
      </c>
      <c r="I63" s="3" t="b">
        <v>1</v>
      </c>
      <c r="J63" s="3" t="s">
        <v>13</v>
      </c>
      <c r="K63" s="3" t="b">
        <v>1</v>
      </c>
    </row>
    <row r="64" ht="15.75" customHeight="1">
      <c r="A64" s="2" t="s">
        <v>135</v>
      </c>
      <c r="B64" s="3" t="s">
        <v>136</v>
      </c>
      <c r="C64" s="3">
        <v>104.0</v>
      </c>
      <c r="D64" s="3">
        <v>1.0</v>
      </c>
      <c r="E64" s="3">
        <v>2.0</v>
      </c>
      <c r="F64" s="3">
        <v>10.0</v>
      </c>
      <c r="H64" s="3">
        <v>200.0</v>
      </c>
      <c r="I64" s="3" t="b">
        <v>1</v>
      </c>
      <c r="J64" s="3" t="s">
        <v>13</v>
      </c>
      <c r="K64" s="3" t="b">
        <v>1</v>
      </c>
    </row>
    <row r="65" ht="15.75" customHeight="1">
      <c r="A65" s="2" t="s">
        <v>137</v>
      </c>
      <c r="B65" s="3" t="s">
        <v>138</v>
      </c>
      <c r="C65" s="3">
        <v>62.0</v>
      </c>
      <c r="D65" s="3">
        <v>1.0</v>
      </c>
      <c r="E65" s="3">
        <v>1.0</v>
      </c>
      <c r="F65" s="3">
        <v>1.0</v>
      </c>
      <c r="H65" s="3">
        <v>200.0</v>
      </c>
      <c r="I65" s="3" t="b">
        <v>1</v>
      </c>
      <c r="J65" s="3" t="s">
        <v>13</v>
      </c>
      <c r="K65" s="3" t="b">
        <v>1</v>
      </c>
    </row>
    <row r="66" ht="15.75" hidden="1" customHeight="1">
      <c r="A66" s="2" t="s">
        <v>139</v>
      </c>
      <c r="B66" s="3" t="s">
        <v>140</v>
      </c>
      <c r="C66" s="3">
        <v>38.0</v>
      </c>
      <c r="D66" s="3">
        <v>1.0</v>
      </c>
      <c r="E66" s="3">
        <v>1.0</v>
      </c>
      <c r="F66" s="3">
        <v>1.0</v>
      </c>
      <c r="H66" s="3">
        <v>200.0</v>
      </c>
      <c r="I66" s="3" t="b">
        <v>1</v>
      </c>
      <c r="J66" s="3" t="s">
        <v>13</v>
      </c>
      <c r="K66" s="3" t="b">
        <v>1</v>
      </c>
    </row>
    <row r="67" ht="15.75" customHeight="1">
      <c r="A67" s="2" t="s">
        <v>141</v>
      </c>
      <c r="B67" s="3" t="s">
        <v>12</v>
      </c>
      <c r="C67" s="3">
        <v>69.0</v>
      </c>
      <c r="D67" s="3">
        <v>1.0</v>
      </c>
      <c r="E67" s="3">
        <v>2.0</v>
      </c>
      <c r="F67" s="3">
        <v>3.0</v>
      </c>
      <c r="H67" s="3">
        <v>200.0</v>
      </c>
      <c r="I67" s="3" t="b">
        <v>1</v>
      </c>
      <c r="J67" s="3" t="s">
        <v>13</v>
      </c>
      <c r="K67" s="3" t="b">
        <v>1</v>
      </c>
    </row>
    <row r="68" ht="15.75" customHeight="1">
      <c r="A68" s="2" t="s">
        <v>142</v>
      </c>
      <c r="B68" s="3" t="s">
        <v>136</v>
      </c>
      <c r="C68" s="3">
        <v>104.0</v>
      </c>
      <c r="D68" s="3">
        <v>1.0</v>
      </c>
      <c r="E68" s="3">
        <v>2.0</v>
      </c>
      <c r="F68" s="3">
        <v>10.0</v>
      </c>
      <c r="H68" s="3">
        <v>200.0</v>
      </c>
      <c r="I68" s="3" t="b">
        <v>1</v>
      </c>
      <c r="J68" s="3" t="s">
        <v>13</v>
      </c>
      <c r="K68" s="3" t="b">
        <v>1</v>
      </c>
    </row>
    <row r="69" ht="15.75" customHeight="1">
      <c r="A69" s="2" t="s">
        <v>143</v>
      </c>
      <c r="B69" s="3" t="s">
        <v>136</v>
      </c>
      <c r="C69" s="3">
        <v>104.0</v>
      </c>
      <c r="D69" s="3">
        <v>1.0</v>
      </c>
      <c r="E69" s="3">
        <v>2.0</v>
      </c>
      <c r="F69" s="3">
        <v>10.0</v>
      </c>
      <c r="H69" s="3">
        <v>200.0</v>
      </c>
      <c r="I69" s="3" t="b">
        <v>1</v>
      </c>
      <c r="J69" s="3" t="s">
        <v>13</v>
      </c>
      <c r="K69" s="3" t="b">
        <v>1</v>
      </c>
    </row>
    <row r="70" ht="15.75" customHeight="1">
      <c r="A70" s="2" t="s">
        <v>144</v>
      </c>
      <c r="B70" s="3" t="s">
        <v>41</v>
      </c>
      <c r="C70" s="3">
        <v>82.0</v>
      </c>
      <c r="D70" s="3">
        <v>1.0</v>
      </c>
      <c r="E70" s="3">
        <v>2.0</v>
      </c>
      <c r="F70" s="3">
        <v>2.0</v>
      </c>
      <c r="H70" s="3">
        <v>200.0</v>
      </c>
      <c r="I70" s="3" t="b">
        <v>1</v>
      </c>
      <c r="J70" s="3" t="s">
        <v>13</v>
      </c>
      <c r="K70" s="3" t="b">
        <v>1</v>
      </c>
    </row>
    <row r="71" ht="15.75" customHeight="1">
      <c r="A71" s="2" t="s">
        <v>145</v>
      </c>
      <c r="B71" s="3" t="s">
        <v>136</v>
      </c>
      <c r="C71" s="3">
        <v>104.0</v>
      </c>
      <c r="D71" s="3">
        <v>1.0</v>
      </c>
      <c r="E71" s="3">
        <v>2.0</v>
      </c>
      <c r="F71" s="3">
        <v>10.0</v>
      </c>
      <c r="H71" s="3">
        <v>200.0</v>
      </c>
      <c r="I71" s="3" t="b">
        <v>1</v>
      </c>
      <c r="J71" s="3" t="s">
        <v>13</v>
      </c>
      <c r="K71" s="3" t="b">
        <v>1</v>
      </c>
    </row>
    <row r="72" ht="15.75" hidden="1" customHeight="1">
      <c r="A72" s="2" t="s">
        <v>146</v>
      </c>
      <c r="B72" s="3" t="s">
        <v>147</v>
      </c>
      <c r="C72" s="3">
        <v>38.0</v>
      </c>
      <c r="D72" s="3">
        <v>1.0</v>
      </c>
      <c r="E72" s="3">
        <v>1.0</v>
      </c>
      <c r="F72" s="3">
        <v>1.0</v>
      </c>
      <c r="H72" s="3">
        <v>200.0</v>
      </c>
      <c r="I72" s="3" t="b">
        <v>1</v>
      </c>
      <c r="J72" s="3" t="s">
        <v>13</v>
      </c>
      <c r="K72" s="3" t="b">
        <v>1</v>
      </c>
    </row>
    <row r="73" ht="15.75" customHeight="1">
      <c r="A73" s="2" t="s">
        <v>148</v>
      </c>
      <c r="B73" s="3" t="s">
        <v>136</v>
      </c>
      <c r="C73" s="3">
        <v>104.0</v>
      </c>
      <c r="D73" s="3">
        <v>1.0</v>
      </c>
      <c r="E73" s="3">
        <v>2.0</v>
      </c>
      <c r="F73" s="3">
        <v>10.0</v>
      </c>
      <c r="H73" s="3">
        <v>200.0</v>
      </c>
      <c r="I73" s="3" t="b">
        <v>1</v>
      </c>
      <c r="J73" s="3" t="s">
        <v>13</v>
      </c>
      <c r="K73" s="3" t="b">
        <v>1</v>
      </c>
    </row>
    <row r="74" ht="15.75" customHeight="1">
      <c r="A74" s="2" t="s">
        <v>149</v>
      </c>
      <c r="B74" s="3" t="s">
        <v>136</v>
      </c>
      <c r="C74" s="3">
        <v>104.0</v>
      </c>
      <c r="D74" s="3">
        <v>1.0</v>
      </c>
      <c r="E74" s="3">
        <v>2.0</v>
      </c>
      <c r="F74" s="3">
        <v>10.0</v>
      </c>
      <c r="H74" s="3">
        <v>200.0</v>
      </c>
      <c r="I74" s="3" t="b">
        <v>1</v>
      </c>
      <c r="J74" s="3" t="s">
        <v>13</v>
      </c>
      <c r="K74" s="3" t="b">
        <v>1</v>
      </c>
    </row>
    <row r="75" ht="15.75" customHeight="1">
      <c r="A75" s="2" t="s">
        <v>150</v>
      </c>
      <c r="B75" s="3" t="s">
        <v>136</v>
      </c>
      <c r="C75" s="3">
        <v>104.0</v>
      </c>
      <c r="D75" s="3">
        <v>1.0</v>
      </c>
      <c r="E75" s="3">
        <v>2.0</v>
      </c>
      <c r="F75" s="3">
        <v>10.0</v>
      </c>
      <c r="H75" s="3">
        <v>200.0</v>
      </c>
      <c r="I75" s="3" t="b">
        <v>1</v>
      </c>
      <c r="J75" s="3" t="s">
        <v>13</v>
      </c>
      <c r="K75" s="3" t="b">
        <v>1</v>
      </c>
    </row>
    <row r="76" ht="15.75" hidden="1" customHeight="1">
      <c r="A76" s="2" t="s">
        <v>151</v>
      </c>
      <c r="B76" s="3" t="s">
        <v>152</v>
      </c>
      <c r="C76" s="3">
        <v>52.0</v>
      </c>
      <c r="D76" s="3">
        <v>1.0</v>
      </c>
      <c r="E76" s="3">
        <v>1.0</v>
      </c>
      <c r="F76" s="3">
        <v>1.0</v>
      </c>
      <c r="H76" s="3">
        <v>200.0</v>
      </c>
      <c r="I76" s="3" t="b">
        <v>1</v>
      </c>
      <c r="J76" s="3" t="s">
        <v>13</v>
      </c>
      <c r="K76" s="3" t="b">
        <v>1</v>
      </c>
    </row>
    <row r="77" ht="15.75" hidden="1" customHeight="1">
      <c r="A77" s="2" t="s">
        <v>153</v>
      </c>
      <c r="B77" s="3" t="s">
        <v>154</v>
      </c>
      <c r="C77" s="3">
        <v>35.0</v>
      </c>
      <c r="D77" s="3">
        <v>1.0</v>
      </c>
      <c r="E77" s="3">
        <v>2.0</v>
      </c>
      <c r="F77" s="3">
        <v>2.0</v>
      </c>
      <c r="H77" s="3">
        <v>200.0</v>
      </c>
      <c r="I77" s="3" t="b">
        <v>1</v>
      </c>
      <c r="J77" s="3" t="s">
        <v>13</v>
      </c>
      <c r="K77" s="3" t="b">
        <v>1</v>
      </c>
    </row>
    <row r="78" ht="15.75" customHeight="1">
      <c r="A78" s="2" t="s">
        <v>155</v>
      </c>
      <c r="B78" s="3" t="s">
        <v>136</v>
      </c>
      <c r="C78" s="3">
        <v>104.0</v>
      </c>
      <c r="D78" s="3">
        <v>1.0</v>
      </c>
      <c r="E78" s="3">
        <v>2.0</v>
      </c>
      <c r="F78" s="3">
        <v>10.0</v>
      </c>
      <c r="H78" s="3">
        <v>200.0</v>
      </c>
      <c r="I78" s="3" t="b">
        <v>1</v>
      </c>
      <c r="J78" s="3" t="s">
        <v>13</v>
      </c>
      <c r="K78" s="3" t="b">
        <v>1</v>
      </c>
    </row>
    <row r="79" ht="15.75" hidden="1" customHeight="1">
      <c r="A79" s="2" t="s">
        <v>156</v>
      </c>
      <c r="B79" s="3" t="s">
        <v>157</v>
      </c>
      <c r="C79" s="3">
        <v>43.0</v>
      </c>
      <c r="D79" s="3">
        <v>1.0</v>
      </c>
      <c r="E79" s="3">
        <v>1.0</v>
      </c>
      <c r="F79" s="3">
        <v>1.0</v>
      </c>
      <c r="H79" s="3">
        <v>200.0</v>
      </c>
      <c r="I79" s="3" t="b">
        <v>1</v>
      </c>
      <c r="J79" s="3" t="s">
        <v>13</v>
      </c>
      <c r="K79" s="3" t="b">
        <v>1</v>
      </c>
    </row>
    <row r="80" ht="15.75" customHeight="1">
      <c r="A80" s="2" t="s">
        <v>158</v>
      </c>
      <c r="B80" s="3" t="s">
        <v>136</v>
      </c>
      <c r="C80" s="3">
        <v>104.0</v>
      </c>
      <c r="D80" s="3">
        <v>1.0</v>
      </c>
      <c r="E80" s="3">
        <v>2.0</v>
      </c>
      <c r="F80" s="3">
        <v>10.0</v>
      </c>
      <c r="H80" s="3">
        <v>200.0</v>
      </c>
      <c r="I80" s="3" t="b">
        <v>1</v>
      </c>
      <c r="J80" s="3" t="s">
        <v>13</v>
      </c>
      <c r="K80" s="3" t="b">
        <v>1</v>
      </c>
    </row>
    <row r="81" ht="15.75" hidden="1" customHeight="1">
      <c r="A81" s="2" t="s">
        <v>159</v>
      </c>
      <c r="B81" s="3" t="s">
        <v>160</v>
      </c>
      <c r="C81" s="3">
        <v>56.0</v>
      </c>
      <c r="D81" s="3">
        <v>1.0</v>
      </c>
      <c r="E81" s="3">
        <v>1.0</v>
      </c>
      <c r="F81" s="3">
        <v>1.0</v>
      </c>
      <c r="H81" s="3">
        <v>200.0</v>
      </c>
      <c r="I81" s="3" t="b">
        <v>1</v>
      </c>
      <c r="J81" s="3" t="s">
        <v>13</v>
      </c>
      <c r="K81" s="3" t="b">
        <v>1</v>
      </c>
    </row>
    <row r="82" ht="15.75" customHeight="1">
      <c r="A82" s="2" t="s">
        <v>161</v>
      </c>
      <c r="B82" s="3" t="s">
        <v>136</v>
      </c>
      <c r="C82" s="3">
        <v>104.0</v>
      </c>
      <c r="D82" s="3">
        <v>1.0</v>
      </c>
      <c r="E82" s="3">
        <v>2.0</v>
      </c>
      <c r="F82" s="3">
        <v>10.0</v>
      </c>
      <c r="H82" s="3">
        <v>200.0</v>
      </c>
      <c r="I82" s="3" t="b">
        <v>1</v>
      </c>
      <c r="J82" s="3" t="s">
        <v>13</v>
      </c>
      <c r="K82" s="3" t="b">
        <v>1</v>
      </c>
    </row>
    <row r="83" ht="15.75" hidden="1" customHeight="1">
      <c r="A83" s="2" t="s">
        <v>162</v>
      </c>
      <c r="B83" s="3" t="s">
        <v>163</v>
      </c>
      <c r="C83" s="3">
        <v>33.0</v>
      </c>
      <c r="D83" s="3">
        <v>1.0</v>
      </c>
      <c r="E83" s="3">
        <v>1.0</v>
      </c>
      <c r="F83" s="3">
        <v>1.0</v>
      </c>
      <c r="H83" s="3">
        <v>200.0</v>
      </c>
      <c r="I83" s="3" t="b">
        <v>1</v>
      </c>
      <c r="J83" s="3" t="s">
        <v>13</v>
      </c>
      <c r="K83" s="3" t="b">
        <v>1</v>
      </c>
    </row>
    <row r="84" ht="15.75" hidden="1" customHeight="1">
      <c r="A84" s="2" t="s">
        <v>164</v>
      </c>
      <c r="B84" s="3" t="s">
        <v>165</v>
      </c>
      <c r="C84" s="3">
        <v>46.0</v>
      </c>
      <c r="D84" s="3">
        <v>1.0</v>
      </c>
      <c r="E84" s="3">
        <v>1.0</v>
      </c>
      <c r="F84" s="3">
        <v>1.0</v>
      </c>
      <c r="H84" s="3">
        <v>200.0</v>
      </c>
      <c r="I84" s="3" t="b">
        <v>1</v>
      </c>
      <c r="J84" s="3" t="s">
        <v>13</v>
      </c>
      <c r="K84" s="3" t="b">
        <v>1</v>
      </c>
    </row>
    <row r="85" ht="15.75" hidden="1" customHeight="1">
      <c r="A85" s="2" t="s">
        <v>166</v>
      </c>
      <c r="B85" s="3" t="s">
        <v>154</v>
      </c>
      <c r="C85" s="3">
        <v>35.0</v>
      </c>
      <c r="D85" s="3">
        <v>1.0</v>
      </c>
      <c r="E85" s="3">
        <v>2.0</v>
      </c>
      <c r="F85" s="3">
        <v>2.0</v>
      </c>
      <c r="H85" s="3">
        <v>200.0</v>
      </c>
      <c r="I85" s="3" t="b">
        <v>1</v>
      </c>
      <c r="J85" s="3" t="s">
        <v>13</v>
      </c>
      <c r="K85" s="3" t="b">
        <v>1</v>
      </c>
    </row>
    <row r="86" ht="15.75" hidden="1" customHeight="1">
      <c r="A86" s="2" t="s">
        <v>167</v>
      </c>
      <c r="B86" s="3" t="s">
        <v>168</v>
      </c>
      <c r="C86" s="3">
        <v>39.0</v>
      </c>
      <c r="D86" s="3">
        <v>1.0</v>
      </c>
      <c r="E86" s="3">
        <v>1.0</v>
      </c>
      <c r="F86" s="3">
        <v>1.0</v>
      </c>
      <c r="H86" s="3">
        <v>200.0</v>
      </c>
      <c r="I86" s="3" t="b">
        <v>0</v>
      </c>
      <c r="J86" s="3" t="s">
        <v>13</v>
      </c>
      <c r="K86" s="3" t="b">
        <v>1</v>
      </c>
    </row>
    <row r="87" ht="15.75" hidden="1" customHeight="1">
      <c r="A87" s="2" t="s">
        <v>169</v>
      </c>
      <c r="B87" s="3" t="s">
        <v>170</v>
      </c>
      <c r="C87" s="3">
        <v>52.0</v>
      </c>
      <c r="D87" s="3">
        <v>1.0</v>
      </c>
      <c r="E87" s="3">
        <v>1.0</v>
      </c>
      <c r="F87" s="3">
        <v>1.0</v>
      </c>
      <c r="H87" s="3">
        <v>200.0</v>
      </c>
      <c r="I87" s="3" t="b">
        <v>0</v>
      </c>
      <c r="J87" s="3" t="s">
        <v>13</v>
      </c>
      <c r="K87" s="3" t="b">
        <v>1</v>
      </c>
    </row>
    <row r="88" ht="15.75" hidden="1" customHeight="1">
      <c r="A88" s="2" t="s">
        <v>171</v>
      </c>
      <c r="B88" s="3" t="s">
        <v>172</v>
      </c>
      <c r="C88" s="3">
        <v>44.0</v>
      </c>
      <c r="D88" s="3">
        <v>1.0</v>
      </c>
      <c r="E88" s="3">
        <v>1.0</v>
      </c>
      <c r="F88" s="3">
        <v>1.0</v>
      </c>
      <c r="H88" s="3">
        <v>200.0</v>
      </c>
      <c r="I88" s="3" t="b">
        <v>0</v>
      </c>
      <c r="J88" s="3" t="s">
        <v>13</v>
      </c>
      <c r="K88" s="3" t="b">
        <v>1</v>
      </c>
    </row>
    <row r="89" ht="15.75" hidden="1" customHeight="1">
      <c r="A89" s="2" t="s">
        <v>173</v>
      </c>
      <c r="B89" s="3" t="s">
        <v>174</v>
      </c>
      <c r="C89" s="3">
        <v>42.0</v>
      </c>
      <c r="D89" s="3">
        <v>1.0</v>
      </c>
      <c r="E89" s="3">
        <v>1.0</v>
      </c>
      <c r="F89" s="3">
        <v>1.0</v>
      </c>
      <c r="H89" s="3">
        <v>200.0</v>
      </c>
      <c r="I89" s="3" t="b">
        <v>0</v>
      </c>
      <c r="J89" s="3" t="s">
        <v>13</v>
      </c>
      <c r="K89" s="3" t="b">
        <v>1</v>
      </c>
    </row>
    <row r="90" ht="15.75" hidden="1" customHeight="1">
      <c r="A90" s="2" t="s">
        <v>175</v>
      </c>
      <c r="B90" s="3" t="s">
        <v>100</v>
      </c>
      <c r="C90" s="3">
        <v>30.0</v>
      </c>
      <c r="D90" s="3">
        <v>1.0</v>
      </c>
      <c r="E90" s="3">
        <v>1.0</v>
      </c>
      <c r="F90" s="3">
        <v>3.0</v>
      </c>
      <c r="H90" s="3">
        <v>200.0</v>
      </c>
      <c r="I90" s="3" t="b">
        <v>0</v>
      </c>
      <c r="J90" s="3" t="s">
        <v>13</v>
      </c>
      <c r="K90" s="3" t="b">
        <v>1</v>
      </c>
    </row>
    <row r="91" ht="15.75" hidden="1" customHeight="1">
      <c r="A91" s="2" t="s">
        <v>176</v>
      </c>
      <c r="D91" s="3">
        <v>0.0</v>
      </c>
      <c r="H91" s="3">
        <v>404.0</v>
      </c>
      <c r="I91" s="3" t="b">
        <v>0</v>
      </c>
      <c r="J91" s="3" t="s">
        <v>13</v>
      </c>
      <c r="K91" s="3" t="b">
        <v>0</v>
      </c>
    </row>
    <row r="92" ht="15.75" hidden="1" customHeight="1">
      <c r="A92" s="2" t="s">
        <v>177</v>
      </c>
      <c r="D92" s="3">
        <v>0.0</v>
      </c>
      <c r="H92" s="3">
        <v>301.0</v>
      </c>
      <c r="I92" s="3" t="b">
        <v>0</v>
      </c>
      <c r="J92" s="3" t="s">
        <v>13</v>
      </c>
      <c r="K92" s="3" t="b">
        <v>0</v>
      </c>
    </row>
    <row r="93" ht="15.75" hidden="1" customHeight="1">
      <c r="A93" s="2" t="s">
        <v>178</v>
      </c>
      <c r="D93" s="3">
        <v>0.0</v>
      </c>
      <c r="H93" s="3">
        <v>301.0</v>
      </c>
      <c r="I93" s="3" t="b">
        <v>0</v>
      </c>
      <c r="J93" s="3" t="s">
        <v>13</v>
      </c>
      <c r="K93" s="3" t="b">
        <v>0</v>
      </c>
    </row>
    <row r="94" ht="15.75" hidden="1" customHeight="1">
      <c r="A94" s="2" t="s">
        <v>179</v>
      </c>
      <c r="D94" s="3">
        <v>0.0</v>
      </c>
      <c r="H94" s="3">
        <v>301.0</v>
      </c>
      <c r="I94" s="3" t="b">
        <v>0</v>
      </c>
      <c r="J94" s="3" t="s">
        <v>13</v>
      </c>
      <c r="K94" s="3" t="b">
        <v>0</v>
      </c>
    </row>
    <row r="95" ht="15.75" hidden="1" customHeight="1">
      <c r="A95" s="2" t="s">
        <v>180</v>
      </c>
      <c r="B95" s="3" t="s">
        <v>100</v>
      </c>
      <c r="C95" s="3">
        <v>30.0</v>
      </c>
      <c r="D95" s="3">
        <v>1.0</v>
      </c>
      <c r="H95" s="3">
        <v>200.0</v>
      </c>
      <c r="I95" s="3" t="b">
        <v>0</v>
      </c>
      <c r="J95" s="3" t="s">
        <v>13</v>
      </c>
      <c r="K95" s="3" t="b">
        <v>1</v>
      </c>
    </row>
    <row r="96" ht="15.75" hidden="1" customHeight="1">
      <c r="A96" s="2" t="s">
        <v>181</v>
      </c>
      <c r="D96" s="3">
        <v>0.0</v>
      </c>
      <c r="H96" s="3">
        <v>301.0</v>
      </c>
      <c r="I96" s="3" t="b">
        <v>0</v>
      </c>
      <c r="J96" s="3" t="s">
        <v>13</v>
      </c>
      <c r="K96" s="3" t="b">
        <v>0</v>
      </c>
    </row>
    <row r="97" ht="15.75" hidden="1" customHeight="1">
      <c r="A97" s="2" t="s">
        <v>182</v>
      </c>
      <c r="D97" s="3">
        <v>0.0</v>
      </c>
      <c r="H97" s="3">
        <v>200.0</v>
      </c>
      <c r="I97" s="3" t="b">
        <v>0</v>
      </c>
      <c r="J97" s="3" t="s">
        <v>183</v>
      </c>
      <c r="K97" s="3" t="b">
        <v>0</v>
      </c>
    </row>
    <row r="98" ht="15.75" hidden="1" customHeight="1">
      <c r="A98" s="2" t="s">
        <v>184</v>
      </c>
      <c r="D98" s="3">
        <v>0.0</v>
      </c>
      <c r="H98" s="3">
        <v>301.0</v>
      </c>
      <c r="I98" s="3" t="b">
        <v>0</v>
      </c>
      <c r="J98" s="3" t="s">
        <v>13</v>
      </c>
      <c r="K98" s="3" t="b">
        <v>0</v>
      </c>
    </row>
    <row r="99" ht="15.75" hidden="1" customHeight="1">
      <c r="A99" s="2" t="s">
        <v>185</v>
      </c>
      <c r="D99" s="3">
        <v>0.0</v>
      </c>
      <c r="H99" s="3">
        <v>301.0</v>
      </c>
      <c r="I99" s="3" t="b">
        <v>0</v>
      </c>
      <c r="J99" s="3" t="s">
        <v>13</v>
      </c>
      <c r="K99" s="3" t="b">
        <v>0</v>
      </c>
    </row>
    <row r="100" ht="15.75" hidden="1" customHeight="1">
      <c r="A100" s="2" t="s">
        <v>186</v>
      </c>
      <c r="D100" s="3">
        <v>0.0</v>
      </c>
      <c r="H100" s="3">
        <v>404.0</v>
      </c>
      <c r="I100" s="3" t="b">
        <v>0</v>
      </c>
      <c r="J100" s="3" t="s">
        <v>13</v>
      </c>
      <c r="K100" s="3" t="b">
        <v>0</v>
      </c>
    </row>
    <row r="101" ht="15.75" hidden="1" customHeight="1">
      <c r="A101" s="2" t="s">
        <v>187</v>
      </c>
      <c r="D101" s="3">
        <v>0.0</v>
      </c>
      <c r="H101" s="3">
        <v>301.0</v>
      </c>
      <c r="I101" s="3" t="b">
        <v>0</v>
      </c>
      <c r="J101" s="3" t="s">
        <v>13</v>
      </c>
      <c r="K101" s="3" t="b">
        <v>0</v>
      </c>
    </row>
    <row r="102" ht="15.75" hidden="1" customHeight="1">
      <c r="A102" s="2" t="s">
        <v>188</v>
      </c>
      <c r="D102" s="3">
        <v>0.0</v>
      </c>
      <c r="H102" s="3">
        <v>301.0</v>
      </c>
      <c r="I102" s="3" t="b">
        <v>0</v>
      </c>
      <c r="J102" s="3" t="s">
        <v>189</v>
      </c>
      <c r="K102" s="3" t="b">
        <v>0</v>
      </c>
    </row>
    <row r="103" ht="15.75" hidden="1" customHeight="1">
      <c r="A103" s="2" t="s">
        <v>190</v>
      </c>
      <c r="B103" s="3" t="s">
        <v>100</v>
      </c>
      <c r="C103" s="3">
        <v>30.0</v>
      </c>
      <c r="D103" s="3">
        <v>1.0</v>
      </c>
      <c r="E103" s="3">
        <v>1.0</v>
      </c>
      <c r="F103" s="3">
        <v>3.0</v>
      </c>
      <c r="H103" s="3">
        <v>200.0</v>
      </c>
      <c r="I103" s="3" t="b">
        <v>0</v>
      </c>
      <c r="J103" s="3" t="s">
        <v>13</v>
      </c>
      <c r="K103" s="3" t="b">
        <v>1</v>
      </c>
    </row>
    <row r="104" ht="15.75" hidden="1" customHeight="1">
      <c r="A104" s="2" t="s">
        <v>191</v>
      </c>
      <c r="D104" s="3">
        <v>0.0</v>
      </c>
      <c r="H104" s="3">
        <v>301.0</v>
      </c>
      <c r="I104" s="3" t="b">
        <v>0</v>
      </c>
      <c r="J104" s="3" t="s">
        <v>13</v>
      </c>
      <c r="K104" s="3" t="b">
        <v>0</v>
      </c>
    </row>
    <row r="105" ht="15.75" hidden="1" customHeight="1">
      <c r="A105" s="2" t="s">
        <v>192</v>
      </c>
      <c r="B105" s="3" t="s">
        <v>12</v>
      </c>
      <c r="C105" s="3">
        <v>69.0</v>
      </c>
      <c r="D105" s="3">
        <v>1.0</v>
      </c>
      <c r="E105" s="3">
        <v>2.0</v>
      </c>
      <c r="F105" s="3">
        <v>3.0</v>
      </c>
      <c r="H105" s="3">
        <v>200.0</v>
      </c>
      <c r="I105" s="3" t="b">
        <v>0</v>
      </c>
      <c r="J105" s="3" t="s">
        <v>13</v>
      </c>
      <c r="K105" s="3" t="b">
        <v>1</v>
      </c>
    </row>
    <row r="106" ht="15.75" hidden="1" customHeight="1">
      <c r="A106" s="2" t="s">
        <v>193</v>
      </c>
      <c r="D106" s="3">
        <v>0.0</v>
      </c>
      <c r="H106" s="3">
        <v>200.0</v>
      </c>
      <c r="I106" s="3" t="b">
        <v>0</v>
      </c>
      <c r="J106" s="3" t="s">
        <v>183</v>
      </c>
      <c r="K106" s="3" t="b">
        <v>0</v>
      </c>
    </row>
    <row r="107" ht="15.75" hidden="1" customHeight="1">
      <c r="A107" s="2" t="s">
        <v>194</v>
      </c>
      <c r="D107" s="3">
        <v>0.0</v>
      </c>
      <c r="H107" s="3">
        <v>301.0</v>
      </c>
      <c r="I107" s="3" t="b">
        <v>0</v>
      </c>
      <c r="J107" s="3" t="s">
        <v>13</v>
      </c>
      <c r="K107" s="3" t="b">
        <v>0</v>
      </c>
    </row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</sheetData>
  <autoFilter ref="$A$1:$V$1106">
    <filterColumn colId="2">
      <customFilters>
        <customFilter operator="greaterThan" val="60"/>
      </customFilters>
    </filterColumn>
    <filterColumn colId="8">
      <filters blank="1">
        <filter val="TRU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69.0</v>
      </c>
      <c r="D2" s="3">
        <v>1.0</v>
      </c>
      <c r="E2" s="3">
        <v>2.0</v>
      </c>
      <c r="F2" s="3">
        <v>3.0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hidden="1" customHeight="1">
      <c r="A3" s="2" t="s">
        <v>14</v>
      </c>
      <c r="B3" s="3" t="s">
        <v>15</v>
      </c>
      <c r="C3" s="3">
        <v>40.0</v>
      </c>
      <c r="D3" s="3">
        <v>1.0</v>
      </c>
      <c r="E3" s="3">
        <v>1.0</v>
      </c>
      <c r="F3" s="3">
        <v>1.0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hidden="1" customHeight="1">
      <c r="A4" s="2" t="s">
        <v>16</v>
      </c>
      <c r="B4" s="3" t="s">
        <v>17</v>
      </c>
      <c r="C4" s="3">
        <v>29.0</v>
      </c>
      <c r="D4" s="3">
        <v>1.0</v>
      </c>
      <c r="E4" s="3">
        <v>1.0</v>
      </c>
      <c r="F4" s="3">
        <v>1.0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hidden="1" customHeight="1">
      <c r="A5" s="2" t="s">
        <v>18</v>
      </c>
      <c r="B5" s="3" t="s">
        <v>19</v>
      </c>
      <c r="C5" s="3">
        <v>38.0</v>
      </c>
      <c r="D5" s="3">
        <v>1.0</v>
      </c>
      <c r="E5" s="3">
        <v>1.0</v>
      </c>
      <c r="F5" s="3">
        <v>1.0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hidden="1" customHeight="1">
      <c r="A6" s="2" t="s">
        <v>20</v>
      </c>
      <c r="B6" s="3" t="s">
        <v>21</v>
      </c>
      <c r="C6" s="3">
        <v>36.0</v>
      </c>
      <c r="D6" s="3">
        <v>1.0</v>
      </c>
      <c r="E6" s="3">
        <v>1.0</v>
      </c>
      <c r="F6" s="3">
        <v>1.0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hidden="1" customHeight="1">
      <c r="A7" s="2" t="s">
        <v>22</v>
      </c>
      <c r="B7" s="3" t="s">
        <v>23</v>
      </c>
      <c r="C7" s="3">
        <v>33.0</v>
      </c>
      <c r="D7" s="3">
        <v>1.0</v>
      </c>
      <c r="E7" s="3">
        <v>1.0</v>
      </c>
      <c r="F7" s="3">
        <v>1.0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hidden="1" customHeight="1">
      <c r="A8" s="2" t="s">
        <v>24</v>
      </c>
      <c r="B8" s="3" t="s">
        <v>25</v>
      </c>
      <c r="C8" s="3">
        <v>34.0</v>
      </c>
      <c r="D8" s="3">
        <v>1.0</v>
      </c>
      <c r="E8" s="3">
        <v>1.0</v>
      </c>
      <c r="F8" s="3">
        <v>1.0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hidden="1" customHeight="1">
      <c r="A9" s="2" t="s">
        <v>26</v>
      </c>
      <c r="B9" s="3" t="s">
        <v>27</v>
      </c>
      <c r="C9" s="3">
        <v>40.0</v>
      </c>
      <c r="D9" s="3">
        <v>1.0</v>
      </c>
      <c r="E9" s="3">
        <v>1.0</v>
      </c>
      <c r="F9" s="3">
        <v>1.0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hidden="1" customHeight="1">
      <c r="A10" s="2" t="s">
        <v>28</v>
      </c>
      <c r="B10" s="3" t="s">
        <v>29</v>
      </c>
      <c r="C10" s="3">
        <v>42.0</v>
      </c>
      <c r="D10" s="3">
        <v>1.0</v>
      </c>
      <c r="E10" s="3">
        <v>1.0</v>
      </c>
      <c r="F10" s="3">
        <v>1.0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hidden="1" customHeight="1">
      <c r="A11" s="2" t="s">
        <v>30</v>
      </c>
      <c r="B11" s="3" t="s">
        <v>31</v>
      </c>
      <c r="C11" s="3">
        <v>48.0</v>
      </c>
      <c r="D11" s="3">
        <v>1.0</v>
      </c>
      <c r="E11" s="3">
        <v>1.0</v>
      </c>
      <c r="F11" s="3">
        <v>1.0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hidden="1" customHeight="1">
      <c r="A12" s="2" t="s">
        <v>32</v>
      </c>
      <c r="B12" s="3" t="s">
        <v>33</v>
      </c>
      <c r="C12" s="3">
        <v>55.0</v>
      </c>
      <c r="D12" s="3">
        <v>1.0</v>
      </c>
      <c r="E12" s="3">
        <v>1.0</v>
      </c>
      <c r="F12" s="3">
        <v>1.0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hidden="1" customHeight="1">
      <c r="A13" s="2" t="s">
        <v>34</v>
      </c>
      <c r="B13" s="3" t="s">
        <v>35</v>
      </c>
      <c r="C13" s="3">
        <v>54.0</v>
      </c>
      <c r="D13" s="3">
        <v>1.0</v>
      </c>
      <c r="E13" s="3">
        <v>1.0</v>
      </c>
      <c r="F13" s="3">
        <v>1.0</v>
      </c>
      <c r="H13" s="3">
        <v>200.0</v>
      </c>
      <c r="I13" s="3" t="b">
        <v>1</v>
      </c>
      <c r="J13" s="3" t="s">
        <v>13</v>
      </c>
      <c r="K13" s="3" t="b">
        <v>1</v>
      </c>
    </row>
    <row r="14" ht="15.75" hidden="1" customHeight="1">
      <c r="A14" s="2" t="s">
        <v>36</v>
      </c>
      <c r="B14" s="3" t="s">
        <v>37</v>
      </c>
      <c r="C14" s="3">
        <v>48.0</v>
      </c>
      <c r="D14" s="3">
        <v>1.0</v>
      </c>
      <c r="E14" s="3">
        <v>1.0</v>
      </c>
      <c r="F14" s="3">
        <v>1.0</v>
      </c>
      <c r="H14" s="3">
        <v>200.0</v>
      </c>
      <c r="I14" s="3" t="b">
        <v>1</v>
      </c>
      <c r="J14" s="3" t="s">
        <v>13</v>
      </c>
      <c r="K14" s="3" t="b">
        <v>1</v>
      </c>
    </row>
    <row r="15" ht="15.75" hidden="1" customHeight="1">
      <c r="A15" s="2" t="s">
        <v>38</v>
      </c>
      <c r="B15" s="3" t="s">
        <v>39</v>
      </c>
      <c r="C15" s="3">
        <v>55.0</v>
      </c>
      <c r="D15" s="3">
        <v>1.0</v>
      </c>
      <c r="E15" s="3">
        <v>1.0</v>
      </c>
      <c r="F15" s="3">
        <v>1.0</v>
      </c>
      <c r="H15" s="3">
        <v>200.0</v>
      </c>
      <c r="I15" s="3" t="b">
        <v>1</v>
      </c>
      <c r="J15" s="3" t="s">
        <v>13</v>
      </c>
      <c r="K15" s="3" t="b">
        <v>1</v>
      </c>
    </row>
    <row r="16" ht="15.75" customHeight="1">
      <c r="A16" s="2" t="s">
        <v>40</v>
      </c>
      <c r="B16" s="3" t="s">
        <v>41</v>
      </c>
      <c r="C16" s="3">
        <v>82.0</v>
      </c>
      <c r="D16" s="3">
        <v>1.0</v>
      </c>
      <c r="E16" s="3">
        <v>2.0</v>
      </c>
      <c r="F16" s="3">
        <v>2.0</v>
      </c>
      <c r="H16" s="3">
        <v>200.0</v>
      </c>
      <c r="I16" s="3" t="b">
        <v>1</v>
      </c>
      <c r="J16" s="3" t="s">
        <v>13</v>
      </c>
      <c r="K16" s="3" t="b">
        <v>1</v>
      </c>
    </row>
    <row r="17" ht="15.75" hidden="1" customHeight="1">
      <c r="A17" s="2" t="s">
        <v>42</v>
      </c>
      <c r="B17" s="3" t="s">
        <v>43</v>
      </c>
      <c r="C17" s="3">
        <v>40.0</v>
      </c>
      <c r="D17" s="3">
        <v>1.0</v>
      </c>
      <c r="E17" s="3">
        <v>1.0</v>
      </c>
      <c r="F17" s="3">
        <v>1.0</v>
      </c>
      <c r="H17" s="3">
        <v>200.0</v>
      </c>
      <c r="I17" s="3" t="b">
        <v>0</v>
      </c>
      <c r="J17" s="3" t="s">
        <v>13</v>
      </c>
      <c r="K17" s="3" t="b">
        <v>1</v>
      </c>
    </row>
    <row r="18" ht="15.75" hidden="1" customHeight="1">
      <c r="A18" s="2" t="s">
        <v>44</v>
      </c>
      <c r="B18" s="3" t="s">
        <v>45</v>
      </c>
      <c r="C18" s="3">
        <v>34.0</v>
      </c>
      <c r="D18" s="3">
        <v>1.0</v>
      </c>
      <c r="E18" s="3">
        <v>1.0</v>
      </c>
      <c r="F18" s="3">
        <v>1.0</v>
      </c>
      <c r="H18" s="3">
        <v>200.0</v>
      </c>
      <c r="I18" s="3" t="b">
        <v>0</v>
      </c>
      <c r="J18" s="3" t="s">
        <v>13</v>
      </c>
      <c r="K18" s="3" t="b">
        <v>1</v>
      </c>
    </row>
    <row r="19" ht="15.75" hidden="1" customHeight="1">
      <c r="A19" s="2" t="s">
        <v>46</v>
      </c>
      <c r="B19" s="3" t="s">
        <v>47</v>
      </c>
      <c r="C19" s="3">
        <v>38.0</v>
      </c>
      <c r="D19" s="3">
        <v>1.0</v>
      </c>
      <c r="E19" s="3">
        <v>1.0</v>
      </c>
      <c r="F19" s="3">
        <v>1.0</v>
      </c>
      <c r="H19" s="3">
        <v>200.0</v>
      </c>
      <c r="I19" s="3" t="b">
        <v>0</v>
      </c>
      <c r="J19" s="3" t="s">
        <v>13</v>
      </c>
      <c r="K19" s="3" t="b">
        <v>1</v>
      </c>
    </row>
    <row r="20" ht="15.75" hidden="1" customHeight="1">
      <c r="A20" s="2" t="s">
        <v>48</v>
      </c>
      <c r="B20" s="3" t="s">
        <v>49</v>
      </c>
      <c r="C20" s="3">
        <v>36.0</v>
      </c>
      <c r="D20" s="3">
        <v>1.0</v>
      </c>
      <c r="E20" s="3">
        <v>1.0</v>
      </c>
      <c r="F20" s="3">
        <v>1.0</v>
      </c>
      <c r="H20" s="3">
        <v>200.0</v>
      </c>
      <c r="I20" s="3" t="b">
        <v>0</v>
      </c>
      <c r="J20" s="3" t="s">
        <v>13</v>
      </c>
      <c r="K20" s="3" t="b">
        <v>1</v>
      </c>
    </row>
    <row r="21" ht="15.75" hidden="1" customHeight="1">
      <c r="A21" s="2" t="s">
        <v>50</v>
      </c>
      <c r="B21" s="3" t="s">
        <v>51</v>
      </c>
      <c r="C21" s="3">
        <v>38.0</v>
      </c>
      <c r="D21" s="3">
        <v>1.0</v>
      </c>
      <c r="E21" s="3">
        <v>1.0</v>
      </c>
      <c r="F21" s="3">
        <v>1.0</v>
      </c>
      <c r="H21" s="3">
        <v>200.0</v>
      </c>
      <c r="I21" s="3" t="b">
        <v>0</v>
      </c>
      <c r="J21" s="3" t="s">
        <v>13</v>
      </c>
      <c r="K21" s="3" t="b">
        <v>1</v>
      </c>
    </row>
    <row r="22" ht="15.75" hidden="1" customHeight="1">
      <c r="A22" s="2" t="s">
        <v>52</v>
      </c>
      <c r="B22" s="3" t="s">
        <v>53</v>
      </c>
      <c r="C22" s="3">
        <v>36.0</v>
      </c>
      <c r="D22" s="3">
        <v>1.0</v>
      </c>
      <c r="E22" s="3">
        <v>1.0</v>
      </c>
      <c r="F22" s="3">
        <v>1.0</v>
      </c>
      <c r="H22" s="3">
        <v>200.0</v>
      </c>
      <c r="I22" s="3" t="b">
        <v>0</v>
      </c>
      <c r="J22" s="3" t="s">
        <v>13</v>
      </c>
      <c r="K22" s="3" t="b">
        <v>1</v>
      </c>
    </row>
    <row r="23" ht="15.75" hidden="1" customHeight="1">
      <c r="A23" s="2" t="s">
        <v>54</v>
      </c>
      <c r="B23" s="3" t="s">
        <v>55</v>
      </c>
      <c r="C23" s="3">
        <v>40.0</v>
      </c>
      <c r="D23" s="3">
        <v>1.0</v>
      </c>
      <c r="E23" s="3">
        <v>1.0</v>
      </c>
      <c r="F23" s="3">
        <v>1.0</v>
      </c>
      <c r="H23" s="3">
        <v>200.0</v>
      </c>
      <c r="I23" s="3" t="b">
        <v>0</v>
      </c>
      <c r="J23" s="3" t="s">
        <v>13</v>
      </c>
      <c r="K23" s="3" t="b">
        <v>1</v>
      </c>
    </row>
    <row r="24" ht="15.75" hidden="1" customHeight="1">
      <c r="A24" s="2" t="s">
        <v>56</v>
      </c>
      <c r="B24" s="3" t="s">
        <v>57</v>
      </c>
      <c r="C24" s="3">
        <v>39.0</v>
      </c>
      <c r="D24" s="3">
        <v>1.0</v>
      </c>
      <c r="E24" s="3">
        <v>1.0</v>
      </c>
      <c r="F24" s="3">
        <v>1.0</v>
      </c>
      <c r="H24" s="3">
        <v>200.0</v>
      </c>
      <c r="I24" s="3" t="b">
        <v>0</v>
      </c>
      <c r="J24" s="3" t="s">
        <v>13</v>
      </c>
      <c r="K24" s="3" t="b">
        <v>1</v>
      </c>
    </row>
    <row r="25" ht="15.75" hidden="1" customHeight="1">
      <c r="A25" s="2" t="s">
        <v>58</v>
      </c>
      <c r="B25" s="3" t="s">
        <v>59</v>
      </c>
      <c r="C25" s="3">
        <v>37.0</v>
      </c>
      <c r="D25" s="3">
        <v>1.0</v>
      </c>
      <c r="E25" s="3">
        <v>1.0</v>
      </c>
      <c r="F25" s="3">
        <v>1.0</v>
      </c>
      <c r="H25" s="3">
        <v>200.0</v>
      </c>
      <c r="I25" s="3" t="b">
        <v>0</v>
      </c>
      <c r="J25" s="3" t="s">
        <v>13</v>
      </c>
      <c r="K25" s="3" t="b">
        <v>1</v>
      </c>
    </row>
    <row r="26" ht="15.75" hidden="1" customHeight="1">
      <c r="A26" s="2" t="s">
        <v>60</v>
      </c>
      <c r="D26" s="3">
        <v>0.0</v>
      </c>
      <c r="H26" s="3">
        <v>404.0</v>
      </c>
      <c r="I26" s="3" t="b">
        <v>0</v>
      </c>
      <c r="J26" s="3" t="s">
        <v>13</v>
      </c>
      <c r="K26" s="3" t="b">
        <v>0</v>
      </c>
    </row>
    <row r="27" ht="15.75" hidden="1" customHeight="1">
      <c r="A27" s="2" t="s">
        <v>61</v>
      </c>
      <c r="B27" s="3" t="s">
        <v>62</v>
      </c>
      <c r="C27" s="3">
        <v>62.0</v>
      </c>
      <c r="D27" s="3">
        <v>1.0</v>
      </c>
      <c r="E27" s="3">
        <v>1.0</v>
      </c>
      <c r="F27" s="3">
        <v>1.0</v>
      </c>
      <c r="H27" s="3">
        <v>200.0</v>
      </c>
      <c r="I27" s="3" t="b">
        <v>1</v>
      </c>
      <c r="J27" s="3" t="s">
        <v>13</v>
      </c>
      <c r="K27" s="3" t="b">
        <v>1</v>
      </c>
    </row>
    <row r="28" ht="15.75" hidden="1" customHeight="1">
      <c r="A28" s="2" t="s">
        <v>63</v>
      </c>
      <c r="B28" s="3" t="s">
        <v>64</v>
      </c>
      <c r="C28" s="3">
        <v>111.0</v>
      </c>
      <c r="D28" s="3">
        <v>1.0</v>
      </c>
      <c r="E28" s="3">
        <v>1.0</v>
      </c>
      <c r="F28" s="3">
        <v>1.0</v>
      </c>
      <c r="H28" s="3">
        <v>200.0</v>
      </c>
      <c r="I28" s="3" t="b">
        <v>1</v>
      </c>
      <c r="J28" s="3" t="s">
        <v>13</v>
      </c>
      <c r="K28" s="3" t="b">
        <v>1</v>
      </c>
    </row>
    <row r="29" ht="15.75" hidden="1" customHeight="1">
      <c r="A29" s="2" t="s">
        <v>65</v>
      </c>
      <c r="B29" s="3" t="s">
        <v>66</v>
      </c>
      <c r="C29" s="3">
        <v>102.0</v>
      </c>
      <c r="D29" s="3">
        <v>1.0</v>
      </c>
      <c r="E29" s="3">
        <v>1.0</v>
      </c>
      <c r="F29" s="3">
        <v>1.0</v>
      </c>
      <c r="H29" s="3">
        <v>200.0</v>
      </c>
      <c r="I29" s="3" t="b">
        <v>1</v>
      </c>
      <c r="J29" s="3" t="s">
        <v>13</v>
      </c>
      <c r="K29" s="3" t="b">
        <v>1</v>
      </c>
    </row>
    <row r="30" ht="15.75" hidden="1" customHeight="1">
      <c r="A30" s="2" t="s">
        <v>67</v>
      </c>
      <c r="B30" s="3" t="s">
        <v>68</v>
      </c>
      <c r="C30" s="3">
        <v>105.0</v>
      </c>
      <c r="D30" s="3">
        <v>1.0</v>
      </c>
      <c r="E30" s="3">
        <v>1.0</v>
      </c>
      <c r="F30" s="3">
        <v>1.0</v>
      </c>
      <c r="H30" s="3">
        <v>200.0</v>
      </c>
      <c r="I30" s="3" t="b">
        <v>1</v>
      </c>
      <c r="J30" s="3" t="s">
        <v>13</v>
      </c>
      <c r="K30" s="3" t="b">
        <v>1</v>
      </c>
    </row>
    <row r="31" ht="15.75" hidden="1" customHeight="1">
      <c r="A31" s="2" t="s">
        <v>69</v>
      </c>
      <c r="B31" s="3" t="s">
        <v>70</v>
      </c>
      <c r="C31" s="3">
        <v>53.0</v>
      </c>
      <c r="D31" s="3">
        <v>1.0</v>
      </c>
      <c r="E31" s="3">
        <v>1.0</v>
      </c>
      <c r="F31" s="3">
        <v>1.0</v>
      </c>
      <c r="H31" s="3">
        <v>200.0</v>
      </c>
      <c r="I31" s="3" t="b">
        <v>1</v>
      </c>
      <c r="J31" s="3" t="s">
        <v>13</v>
      </c>
      <c r="K31" s="3" t="b">
        <v>1</v>
      </c>
    </row>
    <row r="32" ht="15.75" hidden="1" customHeight="1">
      <c r="A32" s="2" t="s">
        <v>71</v>
      </c>
      <c r="B32" s="3" t="s">
        <v>72</v>
      </c>
      <c r="C32" s="3">
        <v>103.0</v>
      </c>
      <c r="D32" s="3">
        <v>1.0</v>
      </c>
      <c r="E32" s="3">
        <v>1.0</v>
      </c>
      <c r="F32" s="3">
        <v>1.0</v>
      </c>
      <c r="H32" s="3">
        <v>200.0</v>
      </c>
      <c r="I32" s="3" t="b">
        <v>1</v>
      </c>
      <c r="J32" s="3" t="s">
        <v>13</v>
      </c>
      <c r="K32" s="3" t="b">
        <v>1</v>
      </c>
    </row>
    <row r="33" ht="15.75" hidden="1" customHeight="1">
      <c r="A33" s="2" t="s">
        <v>73</v>
      </c>
      <c r="B33" s="3" t="s">
        <v>74</v>
      </c>
      <c r="C33" s="3">
        <v>73.0</v>
      </c>
      <c r="D33" s="3">
        <v>1.0</v>
      </c>
      <c r="E33" s="3">
        <v>1.0</v>
      </c>
      <c r="F33" s="3">
        <v>1.0</v>
      </c>
      <c r="H33" s="3">
        <v>200.0</v>
      </c>
      <c r="I33" s="3" t="b">
        <v>1</v>
      </c>
      <c r="J33" s="3" t="s">
        <v>13</v>
      </c>
      <c r="K33" s="3" t="b">
        <v>1</v>
      </c>
    </row>
    <row r="34" ht="15.75" hidden="1" customHeight="1">
      <c r="A34" s="2" t="s">
        <v>75</v>
      </c>
      <c r="B34" s="3" t="s">
        <v>76</v>
      </c>
      <c r="C34" s="3">
        <v>76.0</v>
      </c>
      <c r="D34" s="3">
        <v>1.0</v>
      </c>
      <c r="E34" s="3">
        <v>1.0</v>
      </c>
      <c r="F34" s="3">
        <v>1.0</v>
      </c>
      <c r="H34" s="3">
        <v>200.0</v>
      </c>
      <c r="I34" s="3" t="b">
        <v>1</v>
      </c>
      <c r="J34" s="3" t="s">
        <v>13</v>
      </c>
      <c r="K34" s="3" t="b">
        <v>1</v>
      </c>
    </row>
    <row r="35" ht="15.75" hidden="1" customHeight="1">
      <c r="A35" s="2" t="s">
        <v>77</v>
      </c>
      <c r="B35" s="3" t="s">
        <v>78</v>
      </c>
      <c r="C35" s="3">
        <v>123.0</v>
      </c>
      <c r="D35" s="3">
        <v>1.0</v>
      </c>
      <c r="E35" s="3">
        <v>1.0</v>
      </c>
      <c r="F35" s="3">
        <v>1.0</v>
      </c>
      <c r="H35" s="3">
        <v>200.0</v>
      </c>
      <c r="I35" s="3" t="b">
        <v>1</v>
      </c>
      <c r="J35" s="3" t="s">
        <v>13</v>
      </c>
      <c r="K35" s="3" t="b">
        <v>1</v>
      </c>
    </row>
    <row r="36" ht="15.75" hidden="1" customHeight="1">
      <c r="A36" s="2" t="s">
        <v>79</v>
      </c>
      <c r="B36" s="3" t="s">
        <v>80</v>
      </c>
      <c r="C36" s="3">
        <v>109.0</v>
      </c>
      <c r="D36" s="3">
        <v>1.0</v>
      </c>
      <c r="E36" s="3">
        <v>1.0</v>
      </c>
      <c r="F36" s="3">
        <v>1.0</v>
      </c>
      <c r="H36" s="3">
        <v>200.0</v>
      </c>
      <c r="I36" s="3" t="b">
        <v>1</v>
      </c>
      <c r="J36" s="3" t="s">
        <v>13</v>
      </c>
      <c r="K36" s="3" t="b">
        <v>1</v>
      </c>
    </row>
    <row r="37" ht="15.75" hidden="1" customHeight="1">
      <c r="A37" s="2" t="s">
        <v>81</v>
      </c>
      <c r="B37" s="3" t="s">
        <v>82</v>
      </c>
      <c r="C37" s="3">
        <v>122.0</v>
      </c>
      <c r="D37" s="3">
        <v>1.0</v>
      </c>
      <c r="E37" s="3">
        <v>1.0</v>
      </c>
      <c r="F37" s="3">
        <v>1.0</v>
      </c>
      <c r="H37" s="3">
        <v>200.0</v>
      </c>
      <c r="I37" s="3" t="b">
        <v>1</v>
      </c>
      <c r="J37" s="3" t="s">
        <v>13</v>
      </c>
      <c r="K37" s="3" t="b">
        <v>1</v>
      </c>
    </row>
    <row r="38" ht="15.75" hidden="1" customHeight="1">
      <c r="A38" s="2" t="s">
        <v>83</v>
      </c>
      <c r="B38" s="3" t="s">
        <v>84</v>
      </c>
      <c r="C38" s="3">
        <v>102.0</v>
      </c>
      <c r="D38" s="3">
        <v>1.0</v>
      </c>
      <c r="E38" s="3">
        <v>1.0</v>
      </c>
      <c r="F38" s="3">
        <v>1.0</v>
      </c>
      <c r="H38" s="3">
        <v>200.0</v>
      </c>
      <c r="I38" s="3" t="b">
        <v>1</v>
      </c>
      <c r="J38" s="3" t="s">
        <v>13</v>
      </c>
      <c r="K38" s="3" t="b">
        <v>1</v>
      </c>
    </row>
    <row r="39" ht="15.75" hidden="1" customHeight="1">
      <c r="A39" s="2" t="s">
        <v>85</v>
      </c>
      <c r="B39" s="3" t="s">
        <v>86</v>
      </c>
      <c r="C39" s="3">
        <v>131.0</v>
      </c>
      <c r="D39" s="3">
        <v>1.0</v>
      </c>
      <c r="E39" s="3">
        <v>1.0</v>
      </c>
      <c r="F39" s="3">
        <v>1.0</v>
      </c>
      <c r="H39" s="3">
        <v>200.0</v>
      </c>
      <c r="I39" s="3" t="b">
        <v>1</v>
      </c>
      <c r="J39" s="3" t="s">
        <v>13</v>
      </c>
      <c r="K39" s="3" t="b">
        <v>1</v>
      </c>
    </row>
    <row r="40" ht="15.75" hidden="1" customHeight="1">
      <c r="A40" s="2" t="s">
        <v>87</v>
      </c>
      <c r="B40" s="3" t="s">
        <v>88</v>
      </c>
      <c r="C40" s="3">
        <v>106.0</v>
      </c>
      <c r="D40" s="3">
        <v>1.0</v>
      </c>
      <c r="E40" s="3">
        <v>1.0</v>
      </c>
      <c r="F40" s="3">
        <v>1.0</v>
      </c>
      <c r="H40" s="3">
        <v>200.0</v>
      </c>
      <c r="I40" s="3" t="b">
        <v>1</v>
      </c>
      <c r="J40" s="3" t="s">
        <v>13</v>
      </c>
      <c r="K40" s="3" t="b">
        <v>1</v>
      </c>
    </row>
    <row r="41" ht="15.75" hidden="1" customHeight="1">
      <c r="A41" s="2" t="s">
        <v>89</v>
      </c>
      <c r="B41" s="3" t="s">
        <v>90</v>
      </c>
      <c r="C41" s="3">
        <v>79.0</v>
      </c>
      <c r="D41" s="3">
        <v>1.0</v>
      </c>
      <c r="E41" s="3">
        <v>1.0</v>
      </c>
      <c r="F41" s="3">
        <v>1.0</v>
      </c>
      <c r="H41" s="3">
        <v>200.0</v>
      </c>
      <c r="I41" s="3" t="b">
        <v>1</v>
      </c>
      <c r="J41" s="3" t="s">
        <v>13</v>
      </c>
      <c r="K41" s="3" t="b">
        <v>1</v>
      </c>
    </row>
    <row r="42" ht="15.75" hidden="1" customHeight="1">
      <c r="A42" s="2" t="s">
        <v>91</v>
      </c>
      <c r="B42" s="3" t="s">
        <v>92</v>
      </c>
      <c r="C42" s="3">
        <v>137.0</v>
      </c>
      <c r="D42" s="3">
        <v>1.0</v>
      </c>
      <c r="E42" s="3">
        <v>1.0</v>
      </c>
      <c r="F42" s="3">
        <v>1.0</v>
      </c>
      <c r="H42" s="3">
        <v>200.0</v>
      </c>
      <c r="I42" s="3" t="b">
        <v>1</v>
      </c>
      <c r="J42" s="3" t="s">
        <v>13</v>
      </c>
      <c r="K42" s="3" t="b">
        <v>1</v>
      </c>
    </row>
    <row r="43" ht="15.75" hidden="1" customHeight="1">
      <c r="A43" s="2" t="s">
        <v>93</v>
      </c>
      <c r="B43" s="3" t="s">
        <v>94</v>
      </c>
      <c r="C43" s="3">
        <v>88.0</v>
      </c>
      <c r="D43" s="3">
        <v>1.0</v>
      </c>
      <c r="E43" s="3">
        <v>1.0</v>
      </c>
      <c r="F43" s="3">
        <v>1.0</v>
      </c>
      <c r="H43" s="3">
        <v>200.0</v>
      </c>
      <c r="I43" s="3" t="b">
        <v>1</v>
      </c>
      <c r="J43" s="3" t="s">
        <v>13</v>
      </c>
      <c r="K43" s="3" t="b">
        <v>1</v>
      </c>
    </row>
    <row r="44" ht="15.75" hidden="1" customHeight="1">
      <c r="A44" s="2" t="s">
        <v>95</v>
      </c>
      <c r="B44" s="3" t="s">
        <v>96</v>
      </c>
      <c r="C44" s="3">
        <v>78.0</v>
      </c>
      <c r="D44" s="3">
        <v>1.0</v>
      </c>
      <c r="E44" s="3">
        <v>1.0</v>
      </c>
      <c r="F44" s="3">
        <v>1.0</v>
      </c>
      <c r="H44" s="3">
        <v>200.0</v>
      </c>
      <c r="I44" s="3" t="b">
        <v>1</v>
      </c>
      <c r="J44" s="3" t="s">
        <v>13</v>
      </c>
      <c r="K44" s="3" t="b">
        <v>1</v>
      </c>
    </row>
    <row r="45" ht="15.75" hidden="1" customHeight="1">
      <c r="A45" s="2" t="s">
        <v>97</v>
      </c>
      <c r="B45" s="3" t="s">
        <v>98</v>
      </c>
      <c r="C45" s="3">
        <v>85.0</v>
      </c>
      <c r="D45" s="3">
        <v>1.0</v>
      </c>
      <c r="E45" s="3">
        <v>1.0</v>
      </c>
      <c r="F45" s="3">
        <v>1.0</v>
      </c>
      <c r="H45" s="3">
        <v>200.0</v>
      </c>
      <c r="I45" s="3" t="b">
        <v>1</v>
      </c>
      <c r="J45" s="3" t="s">
        <v>13</v>
      </c>
      <c r="K45" s="3" t="b">
        <v>1</v>
      </c>
    </row>
    <row r="46" ht="15.75" hidden="1" customHeight="1">
      <c r="A46" s="2" t="s">
        <v>99</v>
      </c>
      <c r="B46" s="3" t="s">
        <v>100</v>
      </c>
      <c r="C46" s="3">
        <v>30.0</v>
      </c>
      <c r="D46" s="3">
        <v>1.0</v>
      </c>
      <c r="E46" s="3">
        <v>1.0</v>
      </c>
      <c r="F46" s="3">
        <v>3.0</v>
      </c>
      <c r="H46" s="3">
        <v>200.0</v>
      </c>
      <c r="I46" s="3" t="b">
        <v>1</v>
      </c>
      <c r="J46" s="3" t="s">
        <v>13</v>
      </c>
      <c r="K46" s="3" t="b">
        <v>1</v>
      </c>
    </row>
    <row r="47" ht="15.75" hidden="1" customHeight="1">
      <c r="A47" s="2" t="s">
        <v>101</v>
      </c>
      <c r="B47" s="3" t="s">
        <v>102</v>
      </c>
      <c r="C47" s="3">
        <v>93.0</v>
      </c>
      <c r="D47" s="3">
        <v>1.0</v>
      </c>
      <c r="E47" s="3">
        <v>1.0</v>
      </c>
      <c r="F47" s="3">
        <v>1.0</v>
      </c>
      <c r="H47" s="3">
        <v>200.0</v>
      </c>
      <c r="I47" s="3" t="b">
        <v>1</v>
      </c>
      <c r="J47" s="3" t="s">
        <v>13</v>
      </c>
      <c r="K47" s="3" t="b">
        <v>1</v>
      </c>
    </row>
    <row r="48" ht="15.75" hidden="1" customHeight="1">
      <c r="A48" s="2" t="s">
        <v>103</v>
      </c>
      <c r="B48" s="3" t="s">
        <v>104</v>
      </c>
      <c r="C48" s="3">
        <v>114.0</v>
      </c>
      <c r="D48" s="3">
        <v>1.0</v>
      </c>
      <c r="E48" s="3">
        <v>1.0</v>
      </c>
      <c r="F48" s="3">
        <v>1.0</v>
      </c>
      <c r="H48" s="3">
        <v>200.0</v>
      </c>
      <c r="I48" s="3" t="b">
        <v>1</v>
      </c>
      <c r="J48" s="3" t="s">
        <v>13</v>
      </c>
      <c r="K48" s="3" t="b">
        <v>1</v>
      </c>
    </row>
    <row r="49" ht="15.75" hidden="1" customHeight="1">
      <c r="A49" s="2" t="s">
        <v>105</v>
      </c>
      <c r="B49" s="3" t="s">
        <v>106</v>
      </c>
      <c r="C49" s="3">
        <v>126.0</v>
      </c>
      <c r="D49" s="3">
        <v>1.0</v>
      </c>
      <c r="E49" s="3">
        <v>1.0</v>
      </c>
      <c r="F49" s="3">
        <v>1.0</v>
      </c>
      <c r="H49" s="3">
        <v>200.0</v>
      </c>
      <c r="I49" s="3" t="b">
        <v>1</v>
      </c>
      <c r="J49" s="3" t="s">
        <v>13</v>
      </c>
      <c r="K49" s="3" t="b">
        <v>1</v>
      </c>
    </row>
    <row r="50" ht="15.75" hidden="1" customHeight="1">
      <c r="A50" s="2" t="s">
        <v>107</v>
      </c>
      <c r="B50" s="3" t="s">
        <v>108</v>
      </c>
      <c r="C50" s="3">
        <v>92.0</v>
      </c>
      <c r="D50" s="3">
        <v>1.0</v>
      </c>
      <c r="E50" s="3">
        <v>1.0</v>
      </c>
      <c r="F50" s="3">
        <v>1.0</v>
      </c>
      <c r="H50" s="3">
        <v>200.0</v>
      </c>
      <c r="I50" s="3" t="b">
        <v>1</v>
      </c>
      <c r="J50" s="3" t="s">
        <v>13</v>
      </c>
      <c r="K50" s="3" t="b">
        <v>1</v>
      </c>
    </row>
    <row r="51" ht="15.75" hidden="1" customHeight="1">
      <c r="A51" s="2" t="s">
        <v>109</v>
      </c>
      <c r="B51" s="3" t="s">
        <v>110</v>
      </c>
      <c r="C51" s="3">
        <v>102.0</v>
      </c>
      <c r="D51" s="3">
        <v>1.0</v>
      </c>
      <c r="E51" s="3">
        <v>1.0</v>
      </c>
      <c r="F51" s="3">
        <v>1.0</v>
      </c>
      <c r="H51" s="3">
        <v>200.0</v>
      </c>
      <c r="I51" s="3" t="b">
        <v>1</v>
      </c>
      <c r="J51" s="3" t="s">
        <v>13</v>
      </c>
      <c r="K51" s="3" t="b">
        <v>1</v>
      </c>
    </row>
    <row r="52" ht="15.75" hidden="1" customHeight="1">
      <c r="A52" s="2" t="s">
        <v>111</v>
      </c>
      <c r="B52" s="3" t="s">
        <v>112</v>
      </c>
      <c r="C52" s="3">
        <v>45.0</v>
      </c>
      <c r="D52" s="3">
        <v>1.0</v>
      </c>
      <c r="E52" s="3">
        <v>1.0</v>
      </c>
      <c r="F52" s="3">
        <v>1.0</v>
      </c>
      <c r="H52" s="3">
        <v>200.0</v>
      </c>
      <c r="I52" s="3" t="b">
        <v>1</v>
      </c>
      <c r="J52" s="3" t="s">
        <v>13</v>
      </c>
      <c r="K52" s="3" t="b">
        <v>1</v>
      </c>
    </row>
    <row r="53" ht="15.75" hidden="1" customHeight="1">
      <c r="A53" s="2" t="s">
        <v>113</v>
      </c>
      <c r="B53" s="3" t="s">
        <v>114</v>
      </c>
      <c r="C53" s="3">
        <v>100.0</v>
      </c>
      <c r="D53" s="3">
        <v>1.0</v>
      </c>
      <c r="E53" s="3">
        <v>1.0</v>
      </c>
      <c r="F53" s="3">
        <v>1.0</v>
      </c>
      <c r="H53" s="3">
        <v>200.0</v>
      </c>
      <c r="I53" s="3" t="b">
        <v>1</v>
      </c>
      <c r="J53" s="3" t="s">
        <v>13</v>
      </c>
      <c r="K53" s="3" t="b">
        <v>1</v>
      </c>
    </row>
    <row r="54" ht="15.75" hidden="1" customHeight="1">
      <c r="A54" s="2" t="s">
        <v>115</v>
      </c>
      <c r="B54" s="3" t="s">
        <v>116</v>
      </c>
      <c r="C54" s="3">
        <v>49.0</v>
      </c>
      <c r="D54" s="3">
        <v>1.0</v>
      </c>
      <c r="E54" s="3">
        <v>1.0</v>
      </c>
      <c r="F54" s="3">
        <v>1.0</v>
      </c>
      <c r="H54" s="3">
        <v>200.0</v>
      </c>
      <c r="I54" s="3" t="b">
        <v>1</v>
      </c>
      <c r="J54" s="3" t="s">
        <v>13</v>
      </c>
      <c r="K54" s="3" t="b">
        <v>1</v>
      </c>
    </row>
    <row r="55" ht="15.75" hidden="1" customHeight="1">
      <c r="A55" s="2" t="s">
        <v>117</v>
      </c>
      <c r="B55" s="3" t="s">
        <v>118</v>
      </c>
      <c r="C55" s="3">
        <v>99.0</v>
      </c>
      <c r="D55" s="3">
        <v>1.0</v>
      </c>
      <c r="E55" s="3">
        <v>1.0</v>
      </c>
      <c r="F55" s="3">
        <v>1.0</v>
      </c>
      <c r="H55" s="3">
        <v>200.0</v>
      </c>
      <c r="I55" s="3" t="b">
        <v>1</v>
      </c>
      <c r="J55" s="3" t="s">
        <v>13</v>
      </c>
      <c r="K55" s="3" t="b">
        <v>1</v>
      </c>
    </row>
    <row r="56" ht="15.75" hidden="1" customHeight="1">
      <c r="A56" s="2" t="s">
        <v>119</v>
      </c>
      <c r="B56" s="3" t="s">
        <v>120</v>
      </c>
      <c r="C56" s="3">
        <v>53.0</v>
      </c>
      <c r="D56" s="3">
        <v>1.0</v>
      </c>
      <c r="E56" s="3">
        <v>1.0</v>
      </c>
      <c r="F56" s="3">
        <v>1.0</v>
      </c>
      <c r="H56" s="3">
        <v>200.0</v>
      </c>
      <c r="I56" s="3" t="b">
        <v>1</v>
      </c>
      <c r="J56" s="3" t="s">
        <v>13</v>
      </c>
      <c r="K56" s="3" t="b">
        <v>1</v>
      </c>
    </row>
    <row r="57" ht="15.75" hidden="1" customHeight="1">
      <c r="A57" s="2" t="s">
        <v>121</v>
      </c>
      <c r="B57" s="3" t="s">
        <v>122</v>
      </c>
      <c r="C57" s="3">
        <v>126.0</v>
      </c>
      <c r="D57" s="3">
        <v>1.0</v>
      </c>
      <c r="E57" s="3">
        <v>1.0</v>
      </c>
      <c r="F57" s="3">
        <v>1.0</v>
      </c>
      <c r="H57" s="3">
        <v>200.0</v>
      </c>
      <c r="I57" s="3" t="b">
        <v>1</v>
      </c>
      <c r="J57" s="3" t="s">
        <v>13</v>
      </c>
      <c r="K57" s="3" t="b">
        <v>1</v>
      </c>
    </row>
    <row r="58" ht="15.75" hidden="1" customHeight="1">
      <c r="A58" s="2" t="s">
        <v>123</v>
      </c>
      <c r="B58" s="3" t="s">
        <v>124</v>
      </c>
      <c r="C58" s="3">
        <v>118.0</v>
      </c>
      <c r="D58" s="3">
        <v>1.0</v>
      </c>
      <c r="E58" s="3">
        <v>1.0</v>
      </c>
      <c r="F58" s="3">
        <v>1.0</v>
      </c>
      <c r="H58" s="3">
        <v>200.0</v>
      </c>
      <c r="I58" s="3" t="b">
        <v>1</v>
      </c>
      <c r="J58" s="3" t="s">
        <v>13</v>
      </c>
      <c r="K58" s="3" t="b">
        <v>1</v>
      </c>
    </row>
    <row r="59" ht="15.75" hidden="1" customHeight="1">
      <c r="A59" s="2" t="s">
        <v>125</v>
      </c>
      <c r="B59" s="3" t="s">
        <v>126</v>
      </c>
      <c r="C59" s="3">
        <v>61.0</v>
      </c>
      <c r="D59" s="3">
        <v>1.0</v>
      </c>
      <c r="E59" s="3">
        <v>1.0</v>
      </c>
      <c r="F59" s="3">
        <v>1.0</v>
      </c>
      <c r="H59" s="3">
        <v>200.0</v>
      </c>
      <c r="I59" s="3" t="b">
        <v>1</v>
      </c>
      <c r="J59" s="3" t="s">
        <v>13</v>
      </c>
      <c r="K59" s="3" t="b">
        <v>1</v>
      </c>
    </row>
    <row r="60" ht="15.75" hidden="1" customHeight="1">
      <c r="A60" s="2" t="s">
        <v>127</v>
      </c>
      <c r="B60" s="3" t="s">
        <v>128</v>
      </c>
      <c r="C60" s="3">
        <v>128.0</v>
      </c>
      <c r="D60" s="3">
        <v>1.0</v>
      </c>
      <c r="E60" s="3">
        <v>1.0</v>
      </c>
      <c r="F60" s="3">
        <v>1.0</v>
      </c>
      <c r="H60" s="3">
        <v>200.0</v>
      </c>
      <c r="I60" s="3" t="b">
        <v>1</v>
      </c>
      <c r="J60" s="3" t="s">
        <v>13</v>
      </c>
      <c r="K60" s="3" t="b">
        <v>1</v>
      </c>
    </row>
    <row r="61" ht="15.75" hidden="1" customHeight="1">
      <c r="A61" s="2" t="s">
        <v>129</v>
      </c>
      <c r="B61" s="3" t="s">
        <v>130</v>
      </c>
      <c r="C61" s="3">
        <v>64.0</v>
      </c>
      <c r="D61" s="3">
        <v>1.0</v>
      </c>
      <c r="E61" s="3">
        <v>1.0</v>
      </c>
      <c r="F61" s="3">
        <v>1.0</v>
      </c>
      <c r="H61" s="3">
        <v>200.0</v>
      </c>
      <c r="I61" s="3" t="b">
        <v>1</v>
      </c>
      <c r="J61" s="3" t="s">
        <v>13</v>
      </c>
      <c r="K61" s="3" t="b">
        <v>1</v>
      </c>
    </row>
    <row r="62" ht="15.75" hidden="1" customHeight="1">
      <c r="A62" s="2" t="s">
        <v>131</v>
      </c>
      <c r="B62" s="3" t="s">
        <v>132</v>
      </c>
      <c r="C62" s="3">
        <v>77.0</v>
      </c>
      <c r="D62" s="3">
        <v>1.0</v>
      </c>
      <c r="E62" s="3">
        <v>1.0</v>
      </c>
      <c r="F62" s="3">
        <v>1.0</v>
      </c>
      <c r="H62" s="3">
        <v>200.0</v>
      </c>
      <c r="I62" s="3" t="b">
        <v>1</v>
      </c>
      <c r="J62" s="3" t="s">
        <v>13</v>
      </c>
      <c r="K62" s="3" t="b">
        <v>1</v>
      </c>
    </row>
    <row r="63" ht="15.75" hidden="1" customHeight="1">
      <c r="A63" s="2" t="s">
        <v>133</v>
      </c>
      <c r="B63" s="3" t="s">
        <v>134</v>
      </c>
      <c r="C63" s="3">
        <v>62.0</v>
      </c>
      <c r="D63" s="3">
        <v>1.0</v>
      </c>
      <c r="E63" s="3">
        <v>1.0</v>
      </c>
      <c r="F63" s="3">
        <v>1.0</v>
      </c>
      <c r="H63" s="3">
        <v>200.0</v>
      </c>
      <c r="I63" s="3" t="b">
        <v>1</v>
      </c>
      <c r="J63" s="3" t="s">
        <v>13</v>
      </c>
      <c r="K63" s="3" t="b">
        <v>1</v>
      </c>
    </row>
    <row r="64" ht="15.75" customHeight="1">
      <c r="A64" s="2" t="s">
        <v>135</v>
      </c>
      <c r="B64" s="3" t="s">
        <v>136</v>
      </c>
      <c r="C64" s="3">
        <v>104.0</v>
      </c>
      <c r="D64" s="3">
        <v>1.0</v>
      </c>
      <c r="E64" s="3">
        <v>2.0</v>
      </c>
      <c r="F64" s="3">
        <v>10.0</v>
      </c>
      <c r="H64" s="3">
        <v>200.0</v>
      </c>
      <c r="I64" s="3" t="b">
        <v>1</v>
      </c>
      <c r="J64" s="3" t="s">
        <v>13</v>
      </c>
      <c r="K64" s="3" t="b">
        <v>1</v>
      </c>
    </row>
    <row r="65" ht="15.75" hidden="1" customHeight="1">
      <c r="A65" s="2" t="s">
        <v>137</v>
      </c>
      <c r="B65" s="3" t="s">
        <v>138</v>
      </c>
      <c r="C65" s="3">
        <v>62.0</v>
      </c>
      <c r="D65" s="3">
        <v>1.0</v>
      </c>
      <c r="E65" s="3">
        <v>1.0</v>
      </c>
      <c r="F65" s="3">
        <v>1.0</v>
      </c>
      <c r="H65" s="3">
        <v>200.0</v>
      </c>
      <c r="I65" s="3" t="b">
        <v>1</v>
      </c>
      <c r="J65" s="3" t="s">
        <v>13</v>
      </c>
      <c r="K65" s="3" t="b">
        <v>1</v>
      </c>
    </row>
    <row r="66" ht="15.75" hidden="1" customHeight="1">
      <c r="A66" s="2" t="s">
        <v>139</v>
      </c>
      <c r="B66" s="3" t="s">
        <v>140</v>
      </c>
      <c r="C66" s="3">
        <v>38.0</v>
      </c>
      <c r="D66" s="3">
        <v>1.0</v>
      </c>
      <c r="E66" s="3">
        <v>1.0</v>
      </c>
      <c r="F66" s="3">
        <v>1.0</v>
      </c>
      <c r="H66" s="3">
        <v>200.0</v>
      </c>
      <c r="I66" s="3" t="b">
        <v>1</v>
      </c>
      <c r="J66" s="3" t="s">
        <v>13</v>
      </c>
      <c r="K66" s="3" t="b">
        <v>1</v>
      </c>
    </row>
    <row r="67" ht="15.75" customHeight="1">
      <c r="A67" s="2" t="s">
        <v>141</v>
      </c>
      <c r="B67" s="3" t="s">
        <v>12</v>
      </c>
      <c r="C67" s="3">
        <v>69.0</v>
      </c>
      <c r="D67" s="3">
        <v>1.0</v>
      </c>
      <c r="E67" s="3">
        <v>2.0</v>
      </c>
      <c r="F67" s="3">
        <v>3.0</v>
      </c>
      <c r="H67" s="3">
        <v>200.0</v>
      </c>
      <c r="I67" s="3" t="b">
        <v>1</v>
      </c>
      <c r="J67" s="3" t="s">
        <v>13</v>
      </c>
      <c r="K67" s="3" t="b">
        <v>1</v>
      </c>
    </row>
    <row r="68" ht="15.75" customHeight="1">
      <c r="A68" s="2" t="s">
        <v>142</v>
      </c>
      <c r="B68" s="3" t="s">
        <v>136</v>
      </c>
      <c r="C68" s="3">
        <v>104.0</v>
      </c>
      <c r="D68" s="3">
        <v>1.0</v>
      </c>
      <c r="E68" s="3">
        <v>2.0</v>
      </c>
      <c r="F68" s="3">
        <v>10.0</v>
      </c>
      <c r="H68" s="3">
        <v>200.0</v>
      </c>
      <c r="I68" s="3" t="b">
        <v>1</v>
      </c>
      <c r="J68" s="3" t="s">
        <v>13</v>
      </c>
      <c r="K68" s="3" t="b">
        <v>1</v>
      </c>
    </row>
    <row r="69" ht="15.75" customHeight="1">
      <c r="A69" s="2" t="s">
        <v>143</v>
      </c>
      <c r="B69" s="3" t="s">
        <v>136</v>
      </c>
      <c r="C69" s="3">
        <v>104.0</v>
      </c>
      <c r="D69" s="3">
        <v>1.0</v>
      </c>
      <c r="E69" s="3">
        <v>2.0</v>
      </c>
      <c r="F69" s="3">
        <v>10.0</v>
      </c>
      <c r="H69" s="3">
        <v>200.0</v>
      </c>
      <c r="I69" s="3" t="b">
        <v>1</v>
      </c>
      <c r="J69" s="3" t="s">
        <v>13</v>
      </c>
      <c r="K69" s="3" t="b">
        <v>1</v>
      </c>
    </row>
    <row r="70" ht="15.75" customHeight="1">
      <c r="A70" s="2" t="s">
        <v>144</v>
      </c>
      <c r="B70" s="3" t="s">
        <v>41</v>
      </c>
      <c r="C70" s="3">
        <v>82.0</v>
      </c>
      <c r="D70" s="3">
        <v>1.0</v>
      </c>
      <c r="E70" s="3">
        <v>2.0</v>
      </c>
      <c r="F70" s="3">
        <v>2.0</v>
      </c>
      <c r="H70" s="3">
        <v>200.0</v>
      </c>
      <c r="I70" s="3" t="b">
        <v>1</v>
      </c>
      <c r="J70" s="3" t="s">
        <v>13</v>
      </c>
      <c r="K70" s="3" t="b">
        <v>1</v>
      </c>
    </row>
    <row r="71" ht="15.75" customHeight="1">
      <c r="A71" s="2" t="s">
        <v>145</v>
      </c>
      <c r="B71" s="3" t="s">
        <v>136</v>
      </c>
      <c r="C71" s="3">
        <v>104.0</v>
      </c>
      <c r="D71" s="3">
        <v>1.0</v>
      </c>
      <c r="E71" s="3">
        <v>2.0</v>
      </c>
      <c r="F71" s="3">
        <v>10.0</v>
      </c>
      <c r="H71" s="3">
        <v>200.0</v>
      </c>
      <c r="I71" s="3" t="b">
        <v>1</v>
      </c>
      <c r="J71" s="3" t="s">
        <v>13</v>
      </c>
      <c r="K71" s="3" t="b">
        <v>1</v>
      </c>
    </row>
    <row r="72" ht="15.75" hidden="1" customHeight="1">
      <c r="A72" s="2" t="s">
        <v>146</v>
      </c>
      <c r="B72" s="3" t="s">
        <v>147</v>
      </c>
      <c r="C72" s="3">
        <v>38.0</v>
      </c>
      <c r="D72" s="3">
        <v>1.0</v>
      </c>
      <c r="E72" s="3">
        <v>1.0</v>
      </c>
      <c r="F72" s="3">
        <v>1.0</v>
      </c>
      <c r="H72" s="3">
        <v>200.0</v>
      </c>
      <c r="I72" s="3" t="b">
        <v>1</v>
      </c>
      <c r="J72" s="3" t="s">
        <v>13</v>
      </c>
      <c r="K72" s="3" t="b">
        <v>1</v>
      </c>
    </row>
    <row r="73" ht="15.75" customHeight="1">
      <c r="A73" s="2" t="s">
        <v>148</v>
      </c>
      <c r="B73" s="3" t="s">
        <v>136</v>
      </c>
      <c r="C73" s="3">
        <v>104.0</v>
      </c>
      <c r="D73" s="3">
        <v>1.0</v>
      </c>
      <c r="E73" s="3">
        <v>2.0</v>
      </c>
      <c r="F73" s="3">
        <v>10.0</v>
      </c>
      <c r="H73" s="3">
        <v>200.0</v>
      </c>
      <c r="I73" s="3" t="b">
        <v>1</v>
      </c>
      <c r="J73" s="3" t="s">
        <v>13</v>
      </c>
      <c r="K73" s="3" t="b">
        <v>1</v>
      </c>
    </row>
    <row r="74" ht="15.75" customHeight="1">
      <c r="A74" s="2" t="s">
        <v>149</v>
      </c>
      <c r="B74" s="3" t="s">
        <v>136</v>
      </c>
      <c r="C74" s="3">
        <v>104.0</v>
      </c>
      <c r="D74" s="3">
        <v>1.0</v>
      </c>
      <c r="E74" s="3">
        <v>2.0</v>
      </c>
      <c r="F74" s="3">
        <v>10.0</v>
      </c>
      <c r="H74" s="3">
        <v>200.0</v>
      </c>
      <c r="I74" s="3" t="b">
        <v>1</v>
      </c>
      <c r="J74" s="3" t="s">
        <v>13</v>
      </c>
      <c r="K74" s="3" t="b">
        <v>1</v>
      </c>
    </row>
    <row r="75" ht="15.75" customHeight="1">
      <c r="A75" s="2" t="s">
        <v>150</v>
      </c>
      <c r="B75" s="3" t="s">
        <v>136</v>
      </c>
      <c r="C75" s="3">
        <v>104.0</v>
      </c>
      <c r="D75" s="3">
        <v>1.0</v>
      </c>
      <c r="E75" s="3">
        <v>2.0</v>
      </c>
      <c r="F75" s="3">
        <v>10.0</v>
      </c>
      <c r="H75" s="3">
        <v>200.0</v>
      </c>
      <c r="I75" s="3" t="b">
        <v>1</v>
      </c>
      <c r="J75" s="3" t="s">
        <v>13</v>
      </c>
      <c r="K75" s="3" t="b">
        <v>1</v>
      </c>
    </row>
    <row r="76" ht="15.75" hidden="1" customHeight="1">
      <c r="A76" s="2" t="s">
        <v>151</v>
      </c>
      <c r="B76" s="3" t="s">
        <v>152</v>
      </c>
      <c r="C76" s="3">
        <v>52.0</v>
      </c>
      <c r="D76" s="3">
        <v>1.0</v>
      </c>
      <c r="E76" s="3">
        <v>1.0</v>
      </c>
      <c r="F76" s="3">
        <v>1.0</v>
      </c>
      <c r="H76" s="3">
        <v>200.0</v>
      </c>
      <c r="I76" s="3" t="b">
        <v>1</v>
      </c>
      <c r="J76" s="3" t="s">
        <v>13</v>
      </c>
      <c r="K76" s="3" t="b">
        <v>1</v>
      </c>
    </row>
    <row r="77" ht="15.75" customHeight="1">
      <c r="A77" s="2" t="s">
        <v>153</v>
      </c>
      <c r="B77" s="3" t="s">
        <v>154</v>
      </c>
      <c r="C77" s="3">
        <v>35.0</v>
      </c>
      <c r="D77" s="3">
        <v>1.0</v>
      </c>
      <c r="E77" s="3">
        <v>2.0</v>
      </c>
      <c r="F77" s="3">
        <v>2.0</v>
      </c>
      <c r="H77" s="3">
        <v>200.0</v>
      </c>
      <c r="I77" s="3" t="b">
        <v>1</v>
      </c>
      <c r="J77" s="3" t="s">
        <v>13</v>
      </c>
      <c r="K77" s="3" t="b">
        <v>1</v>
      </c>
    </row>
    <row r="78" ht="15.75" customHeight="1">
      <c r="A78" s="2" t="s">
        <v>155</v>
      </c>
      <c r="B78" s="3" t="s">
        <v>136</v>
      </c>
      <c r="C78" s="3">
        <v>104.0</v>
      </c>
      <c r="D78" s="3">
        <v>1.0</v>
      </c>
      <c r="E78" s="3">
        <v>2.0</v>
      </c>
      <c r="F78" s="3">
        <v>10.0</v>
      </c>
      <c r="H78" s="3">
        <v>200.0</v>
      </c>
      <c r="I78" s="3" t="b">
        <v>1</v>
      </c>
      <c r="J78" s="3" t="s">
        <v>13</v>
      </c>
      <c r="K78" s="3" t="b">
        <v>1</v>
      </c>
    </row>
    <row r="79" ht="15.75" hidden="1" customHeight="1">
      <c r="A79" s="2" t="s">
        <v>156</v>
      </c>
      <c r="B79" s="3" t="s">
        <v>157</v>
      </c>
      <c r="C79" s="3">
        <v>43.0</v>
      </c>
      <c r="D79" s="3">
        <v>1.0</v>
      </c>
      <c r="E79" s="3">
        <v>1.0</v>
      </c>
      <c r="F79" s="3">
        <v>1.0</v>
      </c>
      <c r="H79" s="3">
        <v>200.0</v>
      </c>
      <c r="I79" s="3" t="b">
        <v>1</v>
      </c>
      <c r="J79" s="3" t="s">
        <v>13</v>
      </c>
      <c r="K79" s="3" t="b">
        <v>1</v>
      </c>
    </row>
    <row r="80" ht="15.75" customHeight="1">
      <c r="A80" s="2" t="s">
        <v>158</v>
      </c>
      <c r="B80" s="3" t="s">
        <v>136</v>
      </c>
      <c r="C80" s="3">
        <v>104.0</v>
      </c>
      <c r="D80" s="3">
        <v>1.0</v>
      </c>
      <c r="E80" s="3">
        <v>2.0</v>
      </c>
      <c r="F80" s="3">
        <v>10.0</v>
      </c>
      <c r="H80" s="3">
        <v>200.0</v>
      </c>
      <c r="I80" s="3" t="b">
        <v>1</v>
      </c>
      <c r="J80" s="3" t="s">
        <v>13</v>
      </c>
      <c r="K80" s="3" t="b">
        <v>1</v>
      </c>
    </row>
    <row r="81" ht="15.75" hidden="1" customHeight="1">
      <c r="A81" s="2" t="s">
        <v>159</v>
      </c>
      <c r="B81" s="3" t="s">
        <v>160</v>
      </c>
      <c r="C81" s="3">
        <v>56.0</v>
      </c>
      <c r="D81" s="3">
        <v>1.0</v>
      </c>
      <c r="E81" s="3">
        <v>1.0</v>
      </c>
      <c r="F81" s="3">
        <v>1.0</v>
      </c>
      <c r="H81" s="3">
        <v>200.0</v>
      </c>
      <c r="I81" s="3" t="b">
        <v>1</v>
      </c>
      <c r="J81" s="3" t="s">
        <v>13</v>
      </c>
      <c r="K81" s="3" t="b">
        <v>1</v>
      </c>
    </row>
    <row r="82" ht="15.75" customHeight="1">
      <c r="A82" s="2" t="s">
        <v>161</v>
      </c>
      <c r="B82" s="3" t="s">
        <v>136</v>
      </c>
      <c r="C82" s="3">
        <v>104.0</v>
      </c>
      <c r="D82" s="3">
        <v>1.0</v>
      </c>
      <c r="E82" s="3">
        <v>2.0</v>
      </c>
      <c r="F82" s="3">
        <v>10.0</v>
      </c>
      <c r="H82" s="3">
        <v>200.0</v>
      </c>
      <c r="I82" s="3" t="b">
        <v>1</v>
      </c>
      <c r="J82" s="3" t="s">
        <v>13</v>
      </c>
      <c r="K82" s="3" t="b">
        <v>1</v>
      </c>
    </row>
    <row r="83" ht="15.75" hidden="1" customHeight="1">
      <c r="A83" s="2" t="s">
        <v>162</v>
      </c>
      <c r="B83" s="3" t="s">
        <v>163</v>
      </c>
      <c r="C83" s="3">
        <v>33.0</v>
      </c>
      <c r="D83" s="3">
        <v>1.0</v>
      </c>
      <c r="E83" s="3">
        <v>1.0</v>
      </c>
      <c r="F83" s="3">
        <v>1.0</v>
      </c>
      <c r="H83" s="3">
        <v>200.0</v>
      </c>
      <c r="I83" s="3" t="b">
        <v>1</v>
      </c>
      <c r="J83" s="3" t="s">
        <v>13</v>
      </c>
      <c r="K83" s="3" t="b">
        <v>1</v>
      </c>
    </row>
    <row r="84" ht="15.75" hidden="1" customHeight="1">
      <c r="A84" s="2" t="s">
        <v>164</v>
      </c>
      <c r="B84" s="3" t="s">
        <v>165</v>
      </c>
      <c r="C84" s="3">
        <v>46.0</v>
      </c>
      <c r="D84" s="3">
        <v>1.0</v>
      </c>
      <c r="E84" s="3">
        <v>1.0</v>
      </c>
      <c r="F84" s="3">
        <v>1.0</v>
      </c>
      <c r="H84" s="3">
        <v>200.0</v>
      </c>
      <c r="I84" s="3" t="b">
        <v>1</v>
      </c>
      <c r="J84" s="3" t="s">
        <v>13</v>
      </c>
      <c r="K84" s="3" t="b">
        <v>1</v>
      </c>
    </row>
    <row r="85" ht="15.75" customHeight="1">
      <c r="A85" s="2" t="s">
        <v>166</v>
      </c>
      <c r="B85" s="3" t="s">
        <v>154</v>
      </c>
      <c r="C85" s="3">
        <v>35.0</v>
      </c>
      <c r="D85" s="3">
        <v>1.0</v>
      </c>
      <c r="E85" s="3">
        <v>2.0</v>
      </c>
      <c r="F85" s="3">
        <v>2.0</v>
      </c>
      <c r="H85" s="3">
        <v>200.0</v>
      </c>
      <c r="I85" s="3" t="b">
        <v>1</v>
      </c>
      <c r="J85" s="3" t="s">
        <v>13</v>
      </c>
      <c r="K85" s="3" t="b">
        <v>1</v>
      </c>
    </row>
    <row r="86" ht="15.75" hidden="1" customHeight="1">
      <c r="A86" s="2" t="s">
        <v>167</v>
      </c>
      <c r="B86" s="3" t="s">
        <v>168</v>
      </c>
      <c r="C86" s="3">
        <v>39.0</v>
      </c>
      <c r="D86" s="3">
        <v>1.0</v>
      </c>
      <c r="E86" s="3">
        <v>1.0</v>
      </c>
      <c r="F86" s="3">
        <v>1.0</v>
      </c>
      <c r="H86" s="3">
        <v>200.0</v>
      </c>
      <c r="I86" s="3" t="b">
        <v>0</v>
      </c>
      <c r="J86" s="3" t="s">
        <v>13</v>
      </c>
      <c r="K86" s="3" t="b">
        <v>1</v>
      </c>
    </row>
    <row r="87" ht="15.75" hidden="1" customHeight="1">
      <c r="A87" s="2" t="s">
        <v>169</v>
      </c>
      <c r="B87" s="3" t="s">
        <v>170</v>
      </c>
      <c r="C87" s="3">
        <v>52.0</v>
      </c>
      <c r="D87" s="3">
        <v>1.0</v>
      </c>
      <c r="E87" s="3">
        <v>1.0</v>
      </c>
      <c r="F87" s="3">
        <v>1.0</v>
      </c>
      <c r="H87" s="3">
        <v>200.0</v>
      </c>
      <c r="I87" s="3" t="b">
        <v>0</v>
      </c>
      <c r="J87" s="3" t="s">
        <v>13</v>
      </c>
      <c r="K87" s="3" t="b">
        <v>1</v>
      </c>
    </row>
    <row r="88" ht="15.75" hidden="1" customHeight="1">
      <c r="A88" s="2" t="s">
        <v>171</v>
      </c>
      <c r="B88" s="3" t="s">
        <v>172</v>
      </c>
      <c r="C88" s="3">
        <v>44.0</v>
      </c>
      <c r="D88" s="3">
        <v>1.0</v>
      </c>
      <c r="E88" s="3">
        <v>1.0</v>
      </c>
      <c r="F88" s="3">
        <v>1.0</v>
      </c>
      <c r="H88" s="3">
        <v>200.0</v>
      </c>
      <c r="I88" s="3" t="b">
        <v>0</v>
      </c>
      <c r="J88" s="3" t="s">
        <v>13</v>
      </c>
      <c r="K88" s="3" t="b">
        <v>1</v>
      </c>
    </row>
    <row r="89" ht="15.75" hidden="1" customHeight="1">
      <c r="A89" s="2" t="s">
        <v>173</v>
      </c>
      <c r="B89" s="3" t="s">
        <v>174</v>
      </c>
      <c r="C89" s="3">
        <v>42.0</v>
      </c>
      <c r="D89" s="3">
        <v>1.0</v>
      </c>
      <c r="E89" s="3">
        <v>1.0</v>
      </c>
      <c r="F89" s="3">
        <v>1.0</v>
      </c>
      <c r="H89" s="3">
        <v>200.0</v>
      </c>
      <c r="I89" s="3" t="b">
        <v>0</v>
      </c>
      <c r="J89" s="3" t="s">
        <v>13</v>
      </c>
      <c r="K89" s="3" t="b">
        <v>1</v>
      </c>
    </row>
    <row r="90" ht="15.75" hidden="1" customHeight="1">
      <c r="A90" s="2" t="s">
        <v>175</v>
      </c>
      <c r="B90" s="3" t="s">
        <v>100</v>
      </c>
      <c r="C90" s="3">
        <v>30.0</v>
      </c>
      <c r="D90" s="3">
        <v>1.0</v>
      </c>
      <c r="E90" s="3">
        <v>1.0</v>
      </c>
      <c r="F90" s="3">
        <v>3.0</v>
      </c>
      <c r="H90" s="3">
        <v>200.0</v>
      </c>
      <c r="I90" s="3" t="b">
        <v>0</v>
      </c>
      <c r="J90" s="3" t="s">
        <v>13</v>
      </c>
      <c r="K90" s="3" t="b">
        <v>1</v>
      </c>
    </row>
    <row r="91" ht="15.75" hidden="1" customHeight="1">
      <c r="A91" s="2" t="s">
        <v>176</v>
      </c>
      <c r="D91" s="3">
        <v>0.0</v>
      </c>
      <c r="H91" s="3">
        <v>404.0</v>
      </c>
      <c r="I91" s="3" t="b">
        <v>0</v>
      </c>
      <c r="J91" s="3" t="s">
        <v>13</v>
      </c>
      <c r="K91" s="3" t="b">
        <v>0</v>
      </c>
    </row>
    <row r="92" ht="15.75" hidden="1" customHeight="1">
      <c r="A92" s="2" t="s">
        <v>177</v>
      </c>
      <c r="D92" s="3">
        <v>0.0</v>
      </c>
      <c r="H92" s="3">
        <v>301.0</v>
      </c>
      <c r="I92" s="3" t="b">
        <v>0</v>
      </c>
      <c r="J92" s="3" t="s">
        <v>13</v>
      </c>
      <c r="K92" s="3" t="b">
        <v>0</v>
      </c>
    </row>
    <row r="93" ht="15.75" hidden="1" customHeight="1">
      <c r="A93" s="2" t="s">
        <v>178</v>
      </c>
      <c r="D93" s="3">
        <v>0.0</v>
      </c>
      <c r="H93" s="3">
        <v>301.0</v>
      </c>
      <c r="I93" s="3" t="b">
        <v>0</v>
      </c>
      <c r="J93" s="3" t="s">
        <v>13</v>
      </c>
      <c r="K93" s="3" t="b">
        <v>0</v>
      </c>
    </row>
    <row r="94" ht="15.75" hidden="1" customHeight="1">
      <c r="A94" s="2" t="s">
        <v>179</v>
      </c>
      <c r="D94" s="3">
        <v>0.0</v>
      </c>
      <c r="H94" s="3">
        <v>301.0</v>
      </c>
      <c r="I94" s="3" t="b">
        <v>0</v>
      </c>
      <c r="J94" s="3" t="s">
        <v>13</v>
      </c>
      <c r="K94" s="3" t="b">
        <v>0</v>
      </c>
    </row>
    <row r="95" ht="15.75" hidden="1" customHeight="1">
      <c r="A95" s="2" t="s">
        <v>180</v>
      </c>
      <c r="B95" s="3" t="s">
        <v>100</v>
      </c>
      <c r="C95" s="3">
        <v>30.0</v>
      </c>
      <c r="D95" s="3">
        <v>1.0</v>
      </c>
      <c r="H95" s="3">
        <v>200.0</v>
      </c>
      <c r="I95" s="3" t="b">
        <v>0</v>
      </c>
      <c r="J95" s="3" t="s">
        <v>13</v>
      </c>
      <c r="K95" s="3" t="b">
        <v>1</v>
      </c>
    </row>
    <row r="96" ht="15.75" hidden="1" customHeight="1">
      <c r="A96" s="2" t="s">
        <v>181</v>
      </c>
      <c r="D96" s="3">
        <v>0.0</v>
      </c>
      <c r="H96" s="3">
        <v>301.0</v>
      </c>
      <c r="I96" s="3" t="b">
        <v>0</v>
      </c>
      <c r="J96" s="3" t="s">
        <v>13</v>
      </c>
      <c r="K96" s="3" t="b">
        <v>0</v>
      </c>
    </row>
    <row r="97" ht="15.75" hidden="1" customHeight="1">
      <c r="A97" s="2" t="s">
        <v>182</v>
      </c>
      <c r="D97" s="3">
        <v>0.0</v>
      </c>
      <c r="H97" s="3">
        <v>200.0</v>
      </c>
      <c r="I97" s="3" t="b">
        <v>0</v>
      </c>
      <c r="J97" s="3" t="s">
        <v>183</v>
      </c>
      <c r="K97" s="3" t="b">
        <v>0</v>
      </c>
    </row>
    <row r="98" ht="15.75" hidden="1" customHeight="1">
      <c r="A98" s="2" t="s">
        <v>184</v>
      </c>
      <c r="D98" s="3">
        <v>0.0</v>
      </c>
      <c r="H98" s="3">
        <v>301.0</v>
      </c>
      <c r="I98" s="3" t="b">
        <v>0</v>
      </c>
      <c r="J98" s="3" t="s">
        <v>13</v>
      </c>
      <c r="K98" s="3" t="b">
        <v>0</v>
      </c>
    </row>
    <row r="99" ht="15.75" hidden="1" customHeight="1">
      <c r="A99" s="2" t="s">
        <v>185</v>
      </c>
      <c r="D99" s="3">
        <v>0.0</v>
      </c>
      <c r="H99" s="3">
        <v>301.0</v>
      </c>
      <c r="I99" s="3" t="b">
        <v>0</v>
      </c>
      <c r="J99" s="3" t="s">
        <v>13</v>
      </c>
      <c r="K99" s="3" t="b">
        <v>0</v>
      </c>
    </row>
    <row r="100" ht="15.75" hidden="1" customHeight="1">
      <c r="A100" s="2" t="s">
        <v>186</v>
      </c>
      <c r="D100" s="3">
        <v>0.0</v>
      </c>
      <c r="H100" s="3">
        <v>404.0</v>
      </c>
      <c r="I100" s="3" t="b">
        <v>0</v>
      </c>
      <c r="J100" s="3" t="s">
        <v>13</v>
      </c>
      <c r="K100" s="3" t="b">
        <v>0</v>
      </c>
    </row>
    <row r="101" ht="15.75" hidden="1" customHeight="1">
      <c r="A101" s="2" t="s">
        <v>187</v>
      </c>
      <c r="D101" s="3">
        <v>0.0</v>
      </c>
      <c r="H101" s="3">
        <v>301.0</v>
      </c>
      <c r="I101" s="3" t="b">
        <v>0</v>
      </c>
      <c r="J101" s="3" t="s">
        <v>13</v>
      </c>
      <c r="K101" s="3" t="b">
        <v>0</v>
      </c>
    </row>
    <row r="102" ht="15.75" hidden="1" customHeight="1">
      <c r="A102" s="2" t="s">
        <v>188</v>
      </c>
      <c r="D102" s="3">
        <v>0.0</v>
      </c>
      <c r="H102" s="3">
        <v>301.0</v>
      </c>
      <c r="I102" s="3" t="b">
        <v>0</v>
      </c>
      <c r="J102" s="3" t="s">
        <v>189</v>
      </c>
      <c r="K102" s="3" t="b">
        <v>0</v>
      </c>
    </row>
    <row r="103" ht="15.75" hidden="1" customHeight="1">
      <c r="A103" s="2" t="s">
        <v>190</v>
      </c>
      <c r="B103" s="3" t="s">
        <v>100</v>
      </c>
      <c r="C103" s="3">
        <v>30.0</v>
      </c>
      <c r="D103" s="3">
        <v>1.0</v>
      </c>
      <c r="E103" s="3">
        <v>1.0</v>
      </c>
      <c r="F103" s="3">
        <v>3.0</v>
      </c>
      <c r="H103" s="3">
        <v>200.0</v>
      </c>
      <c r="I103" s="3" t="b">
        <v>0</v>
      </c>
      <c r="J103" s="3" t="s">
        <v>13</v>
      </c>
      <c r="K103" s="3" t="b">
        <v>1</v>
      </c>
    </row>
    <row r="104" ht="15.75" hidden="1" customHeight="1">
      <c r="A104" s="2" t="s">
        <v>191</v>
      </c>
      <c r="D104" s="3">
        <v>0.0</v>
      </c>
      <c r="H104" s="3">
        <v>301.0</v>
      </c>
      <c r="I104" s="3" t="b">
        <v>0</v>
      </c>
      <c r="J104" s="3" t="s">
        <v>13</v>
      </c>
      <c r="K104" s="3" t="b">
        <v>0</v>
      </c>
    </row>
    <row r="105" ht="15.75" hidden="1" customHeight="1">
      <c r="A105" s="2" t="s">
        <v>192</v>
      </c>
      <c r="B105" s="3" t="s">
        <v>12</v>
      </c>
      <c r="C105" s="3">
        <v>69.0</v>
      </c>
      <c r="D105" s="3">
        <v>1.0</v>
      </c>
      <c r="E105" s="3">
        <v>2.0</v>
      </c>
      <c r="F105" s="3">
        <v>3.0</v>
      </c>
      <c r="H105" s="3">
        <v>200.0</v>
      </c>
      <c r="I105" s="3" t="b">
        <v>0</v>
      </c>
      <c r="J105" s="3" t="s">
        <v>13</v>
      </c>
      <c r="K105" s="3" t="b">
        <v>1</v>
      </c>
    </row>
    <row r="106" ht="15.75" hidden="1" customHeight="1">
      <c r="A106" s="2" t="s">
        <v>193</v>
      </c>
      <c r="D106" s="3">
        <v>0.0</v>
      </c>
      <c r="H106" s="3">
        <v>200.0</v>
      </c>
      <c r="I106" s="3" t="b">
        <v>0</v>
      </c>
      <c r="J106" s="3" t="s">
        <v>183</v>
      </c>
      <c r="K106" s="3" t="b">
        <v>0</v>
      </c>
    </row>
    <row r="107" ht="15.75" hidden="1" customHeight="1">
      <c r="A107" s="2" t="s">
        <v>194</v>
      </c>
      <c r="D107" s="3">
        <v>0.0</v>
      </c>
      <c r="H107" s="3">
        <v>301.0</v>
      </c>
      <c r="I107" s="3" t="b">
        <v>0</v>
      </c>
      <c r="J107" s="3" t="s">
        <v>13</v>
      </c>
      <c r="K107" s="3" t="b">
        <v>0</v>
      </c>
    </row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</sheetData>
  <autoFilter ref="$A$1:$V$1106">
    <filterColumn colId="4">
      <filters>
        <filter val="2"/>
      </filters>
    </filterColumn>
    <filterColumn colId="8">
      <filters blank="1">
        <filter val="TRU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195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69.0</v>
      </c>
      <c r="D2" s="3">
        <v>1.0</v>
      </c>
      <c r="E2" s="3">
        <v>2.0</v>
      </c>
      <c r="F2" s="3">
        <v>3.0</v>
      </c>
      <c r="H2" s="3">
        <v>200.0</v>
      </c>
      <c r="I2" s="3" t="b">
        <v>1</v>
      </c>
      <c r="J2" s="3" t="s">
        <v>13</v>
      </c>
      <c r="K2" s="3" t="b">
        <v>1</v>
      </c>
      <c r="L2" s="5" t="str">
        <f>IFERROR(__xludf.DUMMYFUNCTION("IFNA(REGEXEXTRACT(B2,""[\-|–][^–|\-]+$""))"),"- We Buy Houses for Cash")</f>
        <v>- We Buy Houses for Cash</v>
      </c>
    </row>
    <row r="3" ht="15.75" customHeight="1">
      <c r="A3" s="2" t="s">
        <v>14</v>
      </c>
      <c r="B3" s="3" t="s">
        <v>15</v>
      </c>
      <c r="C3" s="3">
        <v>40.0</v>
      </c>
      <c r="D3" s="3">
        <v>1.0</v>
      </c>
      <c r="E3" s="3">
        <v>1.0</v>
      </c>
      <c r="F3" s="3">
        <v>1.0</v>
      </c>
      <c r="H3" s="3">
        <v>200.0</v>
      </c>
      <c r="I3" s="3" t="b">
        <v>1</v>
      </c>
      <c r="J3" s="3" t="s">
        <v>13</v>
      </c>
      <c r="K3" s="3" t="b">
        <v>1</v>
      </c>
      <c r="L3" s="5" t="str">
        <f>IFERROR(__xludf.DUMMYFUNCTION("IFNA(REGEXEXTRACT(B3,""[\-|–][^–|\-]+$""))"),"- Pikeland Property Group")</f>
        <v>- Pikeland Property Group</v>
      </c>
    </row>
    <row r="4" ht="15.75" customHeight="1">
      <c r="A4" s="2" t="s">
        <v>16</v>
      </c>
      <c r="B4" s="3" t="s">
        <v>17</v>
      </c>
      <c r="C4" s="3">
        <v>29.0</v>
      </c>
      <c r="D4" s="3">
        <v>1.0</v>
      </c>
      <c r="E4" s="3">
        <v>1.0</v>
      </c>
      <c r="F4" s="3">
        <v>1.0</v>
      </c>
      <c r="H4" s="3">
        <v>200.0</v>
      </c>
      <c r="I4" s="3" t="b">
        <v>1</v>
      </c>
      <c r="J4" s="3" t="s">
        <v>13</v>
      </c>
      <c r="K4" s="3" t="b">
        <v>1</v>
      </c>
      <c r="L4" s="5" t="str">
        <f>IFERROR(__xludf.DUMMYFUNCTION("IFNA(REGEXEXTRACT(B4,""[\-|–][^–|\-]+$""))"),"- Pikeland Property Group")</f>
        <v>- Pikeland Property Group</v>
      </c>
    </row>
    <row r="5" ht="15.75" customHeight="1">
      <c r="A5" s="2" t="s">
        <v>18</v>
      </c>
      <c r="B5" s="3" t="s">
        <v>19</v>
      </c>
      <c r="C5" s="3">
        <v>38.0</v>
      </c>
      <c r="D5" s="3">
        <v>1.0</v>
      </c>
      <c r="E5" s="3">
        <v>1.0</v>
      </c>
      <c r="F5" s="3">
        <v>1.0</v>
      </c>
      <c r="H5" s="3">
        <v>200.0</v>
      </c>
      <c r="I5" s="3" t="b">
        <v>1</v>
      </c>
      <c r="J5" s="3" t="s">
        <v>13</v>
      </c>
      <c r="K5" s="3" t="b">
        <v>1</v>
      </c>
      <c r="L5" s="5" t="str">
        <f>IFERROR(__xludf.DUMMYFUNCTION("IFNA(REGEXEXTRACT(B5,""[\-|–][^–|\-]+$""))"),"- Pikeland Property Group")</f>
        <v>- Pikeland Property Group</v>
      </c>
    </row>
    <row r="6" ht="15.75" customHeight="1">
      <c r="A6" s="2" t="s">
        <v>20</v>
      </c>
      <c r="B6" s="3" t="s">
        <v>21</v>
      </c>
      <c r="C6" s="3">
        <v>36.0</v>
      </c>
      <c r="D6" s="3">
        <v>1.0</v>
      </c>
      <c r="E6" s="3">
        <v>1.0</v>
      </c>
      <c r="F6" s="3">
        <v>1.0</v>
      </c>
      <c r="H6" s="3">
        <v>200.0</v>
      </c>
      <c r="I6" s="3" t="b">
        <v>1</v>
      </c>
      <c r="J6" s="3" t="s">
        <v>13</v>
      </c>
      <c r="K6" s="3" t="b">
        <v>1</v>
      </c>
      <c r="L6" s="5" t="str">
        <f>IFERROR(__xludf.DUMMYFUNCTION("IFNA(REGEXEXTRACT(B6,""[\-|–][^–|\-]+$""))"),"- Pikeland Property Group")</f>
        <v>- Pikeland Property Group</v>
      </c>
    </row>
    <row r="7" ht="15.75" customHeight="1">
      <c r="A7" s="2" t="s">
        <v>22</v>
      </c>
      <c r="B7" s="3" t="s">
        <v>23</v>
      </c>
      <c r="C7" s="3">
        <v>33.0</v>
      </c>
      <c r="D7" s="3">
        <v>1.0</v>
      </c>
      <c r="E7" s="3">
        <v>1.0</v>
      </c>
      <c r="F7" s="3">
        <v>1.0</v>
      </c>
      <c r="H7" s="3">
        <v>200.0</v>
      </c>
      <c r="I7" s="3" t="b">
        <v>1</v>
      </c>
      <c r="J7" s="3" t="s">
        <v>13</v>
      </c>
      <c r="K7" s="3" t="b">
        <v>1</v>
      </c>
      <c r="L7" s="5" t="str">
        <f>IFERROR(__xludf.DUMMYFUNCTION("IFNA(REGEXEXTRACT(B7,""[\-|–][^–|\-]+$""))"),"- Pikeland Property Group")</f>
        <v>- Pikeland Property Group</v>
      </c>
    </row>
    <row r="8" ht="15.75" customHeight="1">
      <c r="A8" s="2" t="s">
        <v>24</v>
      </c>
      <c r="B8" s="3" t="s">
        <v>25</v>
      </c>
      <c r="C8" s="3">
        <v>34.0</v>
      </c>
      <c r="D8" s="3">
        <v>1.0</v>
      </c>
      <c r="E8" s="3">
        <v>1.0</v>
      </c>
      <c r="F8" s="3">
        <v>1.0</v>
      </c>
      <c r="H8" s="3">
        <v>200.0</v>
      </c>
      <c r="I8" s="3" t="b">
        <v>1</v>
      </c>
      <c r="J8" s="3" t="s">
        <v>13</v>
      </c>
      <c r="K8" s="3" t="b">
        <v>1</v>
      </c>
      <c r="L8" s="5" t="str">
        <f>IFERROR(__xludf.DUMMYFUNCTION("IFNA(REGEXEXTRACT(B8,""[\-|–][^–|\-]+$""))"),"- Pikeland Property Group")</f>
        <v>- Pikeland Property Group</v>
      </c>
    </row>
    <row r="9" ht="15.75" customHeight="1">
      <c r="A9" s="2" t="s">
        <v>26</v>
      </c>
      <c r="B9" s="3" t="s">
        <v>27</v>
      </c>
      <c r="C9" s="3">
        <v>40.0</v>
      </c>
      <c r="D9" s="3">
        <v>1.0</v>
      </c>
      <c r="E9" s="3">
        <v>1.0</v>
      </c>
      <c r="F9" s="3">
        <v>1.0</v>
      </c>
      <c r="H9" s="3">
        <v>200.0</v>
      </c>
      <c r="I9" s="3" t="b">
        <v>1</v>
      </c>
      <c r="J9" s="3" t="s">
        <v>13</v>
      </c>
      <c r="K9" s="3" t="b">
        <v>1</v>
      </c>
      <c r="L9" s="5" t="str">
        <f>IFERROR(__xludf.DUMMYFUNCTION("IFNA(REGEXEXTRACT(B9,""[\-|–][^–|\-]+$""))"),"- Pikeland Property Group")</f>
        <v>- Pikeland Property Group</v>
      </c>
    </row>
    <row r="10" ht="15.75" customHeight="1">
      <c r="A10" s="2" t="s">
        <v>28</v>
      </c>
      <c r="B10" s="3" t="s">
        <v>29</v>
      </c>
      <c r="C10" s="3">
        <v>42.0</v>
      </c>
      <c r="D10" s="3">
        <v>1.0</v>
      </c>
      <c r="E10" s="3">
        <v>1.0</v>
      </c>
      <c r="F10" s="3">
        <v>1.0</v>
      </c>
      <c r="H10" s="3">
        <v>200.0</v>
      </c>
      <c r="I10" s="3" t="b">
        <v>1</v>
      </c>
      <c r="J10" s="3" t="s">
        <v>13</v>
      </c>
      <c r="K10" s="3" t="b">
        <v>1</v>
      </c>
      <c r="L10" s="5" t="str">
        <f>IFERROR(__xludf.DUMMYFUNCTION("IFNA(REGEXEXTRACT(B10,""[\-|–][^–|\-]+$""))"),"- Pikeland Property Group")</f>
        <v>- Pikeland Property Group</v>
      </c>
    </row>
    <row r="11" ht="15.75" customHeight="1">
      <c r="A11" s="2" t="s">
        <v>30</v>
      </c>
      <c r="B11" s="3" t="s">
        <v>31</v>
      </c>
      <c r="C11" s="3">
        <v>48.0</v>
      </c>
      <c r="D11" s="3">
        <v>1.0</v>
      </c>
      <c r="E11" s="3">
        <v>1.0</v>
      </c>
      <c r="F11" s="3">
        <v>1.0</v>
      </c>
      <c r="H11" s="3">
        <v>200.0</v>
      </c>
      <c r="I11" s="3" t="b">
        <v>1</v>
      </c>
      <c r="J11" s="3" t="s">
        <v>13</v>
      </c>
      <c r="K11" s="3" t="b">
        <v>1</v>
      </c>
      <c r="L11" s="5" t="str">
        <f>IFERROR(__xludf.DUMMYFUNCTION("IFNA(REGEXEXTRACT(B11,""[\-|–][^–|\-]+$""))"),"")</f>
        <v/>
      </c>
    </row>
    <row r="12" ht="15.75" customHeight="1">
      <c r="A12" s="2" t="s">
        <v>32</v>
      </c>
      <c r="B12" s="3" t="s">
        <v>33</v>
      </c>
      <c r="C12" s="3">
        <v>55.0</v>
      </c>
      <c r="D12" s="3">
        <v>1.0</v>
      </c>
      <c r="E12" s="3">
        <v>1.0</v>
      </c>
      <c r="F12" s="3">
        <v>1.0</v>
      </c>
      <c r="H12" s="3">
        <v>200.0</v>
      </c>
      <c r="I12" s="3" t="b">
        <v>1</v>
      </c>
      <c r="J12" s="3" t="s">
        <v>13</v>
      </c>
      <c r="K12" s="3" t="b">
        <v>1</v>
      </c>
      <c r="L12" s="5" t="str">
        <f>IFERROR(__xludf.DUMMYFUNCTION("IFNA(REGEXEXTRACT(B12,""[\-|–][^–|\-]+$""))"),"- Pikeland Property Group")</f>
        <v>- Pikeland Property Group</v>
      </c>
    </row>
    <row r="13" ht="15.75" customHeight="1">
      <c r="A13" s="2" t="s">
        <v>34</v>
      </c>
      <c r="B13" s="3" t="s">
        <v>35</v>
      </c>
      <c r="C13" s="3">
        <v>54.0</v>
      </c>
      <c r="D13" s="3">
        <v>1.0</v>
      </c>
      <c r="E13" s="3">
        <v>1.0</v>
      </c>
      <c r="F13" s="3">
        <v>1.0</v>
      </c>
      <c r="H13" s="3">
        <v>200.0</v>
      </c>
      <c r="I13" s="3" t="b">
        <v>1</v>
      </c>
      <c r="J13" s="3" t="s">
        <v>13</v>
      </c>
      <c r="K13" s="3" t="b">
        <v>1</v>
      </c>
      <c r="L13" s="5" t="str">
        <f>IFERROR(__xludf.DUMMYFUNCTION("IFNA(REGEXEXTRACT(B13,""[\-|–][^–|\-]+$""))"),"- Pikeland Property Group")</f>
        <v>- Pikeland Property Group</v>
      </c>
    </row>
    <row r="14" ht="15.75" customHeight="1">
      <c r="A14" s="2" t="s">
        <v>36</v>
      </c>
      <c r="B14" s="3" t="s">
        <v>37</v>
      </c>
      <c r="C14" s="3">
        <v>48.0</v>
      </c>
      <c r="D14" s="3">
        <v>1.0</v>
      </c>
      <c r="E14" s="3">
        <v>1.0</v>
      </c>
      <c r="F14" s="3">
        <v>1.0</v>
      </c>
      <c r="H14" s="3">
        <v>200.0</v>
      </c>
      <c r="I14" s="3" t="b">
        <v>1</v>
      </c>
      <c r="J14" s="3" t="s">
        <v>13</v>
      </c>
      <c r="K14" s="3" t="b">
        <v>1</v>
      </c>
      <c r="L14" s="5" t="str">
        <f>IFERROR(__xludf.DUMMYFUNCTION("IFNA(REGEXEXTRACT(B14,""[\-|–][^–|\-]+$""))"),"- Pikeland Property Group")</f>
        <v>- Pikeland Property Group</v>
      </c>
    </row>
    <row r="15" ht="15.75" customHeight="1">
      <c r="A15" s="2" t="s">
        <v>38</v>
      </c>
      <c r="B15" s="3" t="s">
        <v>39</v>
      </c>
      <c r="C15" s="3">
        <v>55.0</v>
      </c>
      <c r="D15" s="3">
        <v>1.0</v>
      </c>
      <c r="E15" s="3">
        <v>1.0</v>
      </c>
      <c r="F15" s="3">
        <v>1.0</v>
      </c>
      <c r="H15" s="3">
        <v>200.0</v>
      </c>
      <c r="I15" s="3" t="b">
        <v>1</v>
      </c>
      <c r="J15" s="3" t="s">
        <v>13</v>
      </c>
      <c r="K15" s="3" t="b">
        <v>1</v>
      </c>
      <c r="L15" s="5" t="str">
        <f>IFERROR(__xludf.DUMMYFUNCTION("IFNA(REGEXEXTRACT(B15,""[\-|–][^–|\-]+$""))"),"- Pikeland Property Group")</f>
        <v>- Pikeland Property Group</v>
      </c>
    </row>
    <row r="16" ht="15.75" customHeight="1">
      <c r="A16" s="2" t="s">
        <v>40</v>
      </c>
      <c r="B16" s="3" t="s">
        <v>41</v>
      </c>
      <c r="C16" s="3">
        <v>82.0</v>
      </c>
      <c r="D16" s="3">
        <v>1.0</v>
      </c>
      <c r="E16" s="3">
        <v>2.0</v>
      </c>
      <c r="F16" s="3">
        <v>2.0</v>
      </c>
      <c r="H16" s="3">
        <v>200.0</v>
      </c>
      <c r="I16" s="3" t="b">
        <v>1</v>
      </c>
      <c r="J16" s="3" t="s">
        <v>13</v>
      </c>
      <c r="K16" s="3" t="b">
        <v>1</v>
      </c>
      <c r="L16" s="5" t="str">
        <f>IFERROR(__xludf.DUMMYFUNCTION("IFNA(REGEXEXTRACT(B16,""[\-|–][^–|\-]+$""))"),"- Pikeland Property Group")</f>
        <v>- Pikeland Property Group</v>
      </c>
    </row>
    <row r="17" ht="15.75" hidden="1" customHeight="1">
      <c r="A17" s="2" t="s">
        <v>42</v>
      </c>
      <c r="B17" s="3" t="s">
        <v>43</v>
      </c>
      <c r="C17" s="3">
        <v>40.0</v>
      </c>
      <c r="D17" s="3">
        <v>1.0</v>
      </c>
      <c r="E17" s="3">
        <v>1.0</v>
      </c>
      <c r="F17" s="3">
        <v>1.0</v>
      </c>
      <c r="H17" s="3">
        <v>200.0</v>
      </c>
      <c r="I17" s="3" t="b">
        <v>0</v>
      </c>
      <c r="J17" s="3" t="s">
        <v>13</v>
      </c>
      <c r="K17" s="3" t="b">
        <v>1</v>
      </c>
      <c r="L17" s="5" t="str">
        <f>IFERROR(__xludf.DUMMYFUNCTION("IFNA(REGEXEXTRACT(B17,""[\-|–][^–|\-]+$""))"),"")</f>
        <v/>
      </c>
    </row>
    <row r="18" ht="15.75" hidden="1" customHeight="1">
      <c r="A18" s="2" t="s">
        <v>44</v>
      </c>
      <c r="B18" s="3" t="s">
        <v>45</v>
      </c>
      <c r="C18" s="3">
        <v>34.0</v>
      </c>
      <c r="D18" s="3">
        <v>1.0</v>
      </c>
      <c r="E18" s="3">
        <v>1.0</v>
      </c>
      <c r="F18" s="3">
        <v>1.0</v>
      </c>
      <c r="H18" s="3">
        <v>200.0</v>
      </c>
      <c r="I18" s="3" t="b">
        <v>0</v>
      </c>
      <c r="J18" s="3" t="s">
        <v>13</v>
      </c>
      <c r="K18" s="3" t="b">
        <v>1</v>
      </c>
      <c r="L18" s="5" t="str">
        <f>IFERROR(__xludf.DUMMYFUNCTION("IFNA(REGEXEXTRACT(B18,""[\-|–][^–|\-]+$""))"),"- Pikeland Property Group")</f>
        <v>- Pikeland Property Group</v>
      </c>
    </row>
    <row r="19" ht="15.75" hidden="1" customHeight="1">
      <c r="A19" s="2" t="s">
        <v>46</v>
      </c>
      <c r="B19" s="3" t="s">
        <v>47</v>
      </c>
      <c r="C19" s="3">
        <v>38.0</v>
      </c>
      <c r="D19" s="3">
        <v>1.0</v>
      </c>
      <c r="E19" s="3">
        <v>1.0</v>
      </c>
      <c r="F19" s="3">
        <v>1.0</v>
      </c>
      <c r="H19" s="3">
        <v>200.0</v>
      </c>
      <c r="I19" s="3" t="b">
        <v>0</v>
      </c>
      <c r="J19" s="3" t="s">
        <v>13</v>
      </c>
      <c r="K19" s="3" t="b">
        <v>1</v>
      </c>
      <c r="L19" s="5" t="str">
        <f>IFERROR(__xludf.DUMMYFUNCTION("IFNA(REGEXEXTRACT(B19,""[\-|–][^–|\-]+$""))"),"- Pikeland Property Group")</f>
        <v>- Pikeland Property Group</v>
      </c>
    </row>
    <row r="20" ht="15.75" hidden="1" customHeight="1">
      <c r="A20" s="2" t="s">
        <v>48</v>
      </c>
      <c r="B20" s="3" t="s">
        <v>49</v>
      </c>
      <c r="C20" s="3">
        <v>36.0</v>
      </c>
      <c r="D20" s="3">
        <v>1.0</v>
      </c>
      <c r="E20" s="3">
        <v>1.0</v>
      </c>
      <c r="F20" s="3">
        <v>1.0</v>
      </c>
      <c r="H20" s="3">
        <v>200.0</v>
      </c>
      <c r="I20" s="3" t="b">
        <v>0</v>
      </c>
      <c r="J20" s="3" t="s">
        <v>13</v>
      </c>
      <c r="K20" s="3" t="b">
        <v>1</v>
      </c>
      <c r="L20" s="5" t="str">
        <f>IFERROR(__xludf.DUMMYFUNCTION("IFNA(REGEXEXTRACT(B20,""[\-|–][^–|\-]+$""))"),"- Pikeland Property Group")</f>
        <v>- Pikeland Property Group</v>
      </c>
    </row>
    <row r="21" ht="15.75" hidden="1" customHeight="1">
      <c r="A21" s="2" t="s">
        <v>50</v>
      </c>
      <c r="B21" s="3" t="s">
        <v>51</v>
      </c>
      <c r="C21" s="3">
        <v>38.0</v>
      </c>
      <c r="D21" s="3">
        <v>1.0</v>
      </c>
      <c r="E21" s="3">
        <v>1.0</v>
      </c>
      <c r="F21" s="3">
        <v>1.0</v>
      </c>
      <c r="H21" s="3">
        <v>200.0</v>
      </c>
      <c r="I21" s="3" t="b">
        <v>0</v>
      </c>
      <c r="J21" s="3" t="s">
        <v>13</v>
      </c>
      <c r="K21" s="3" t="b">
        <v>1</v>
      </c>
      <c r="L21" s="5" t="str">
        <f>IFERROR(__xludf.DUMMYFUNCTION("IFNA(REGEXEXTRACT(B21,""[\-|–][^–|\-]+$""))"),"- Pikeland Property Group")</f>
        <v>- Pikeland Property Group</v>
      </c>
    </row>
    <row r="22" ht="15.75" hidden="1" customHeight="1">
      <c r="A22" s="2" t="s">
        <v>52</v>
      </c>
      <c r="B22" s="3" t="s">
        <v>53</v>
      </c>
      <c r="C22" s="3">
        <v>36.0</v>
      </c>
      <c r="D22" s="3">
        <v>1.0</v>
      </c>
      <c r="E22" s="3">
        <v>1.0</v>
      </c>
      <c r="F22" s="3">
        <v>1.0</v>
      </c>
      <c r="H22" s="3">
        <v>200.0</v>
      </c>
      <c r="I22" s="3" t="b">
        <v>0</v>
      </c>
      <c r="J22" s="3" t="s">
        <v>13</v>
      </c>
      <c r="K22" s="3" t="b">
        <v>1</v>
      </c>
      <c r="L22" s="5" t="str">
        <f>IFERROR(__xludf.DUMMYFUNCTION("IFNA(REGEXEXTRACT(B22,""[\-|–][^–|\-]+$""))"),"- Pikeland Property Group")</f>
        <v>- Pikeland Property Group</v>
      </c>
    </row>
    <row r="23" ht="15.75" hidden="1" customHeight="1">
      <c r="A23" s="2" t="s">
        <v>54</v>
      </c>
      <c r="B23" s="3" t="s">
        <v>55</v>
      </c>
      <c r="C23" s="3">
        <v>40.0</v>
      </c>
      <c r="D23" s="3">
        <v>1.0</v>
      </c>
      <c r="E23" s="3">
        <v>1.0</v>
      </c>
      <c r="F23" s="3">
        <v>1.0</v>
      </c>
      <c r="H23" s="3">
        <v>200.0</v>
      </c>
      <c r="I23" s="3" t="b">
        <v>0</v>
      </c>
      <c r="J23" s="3" t="s">
        <v>13</v>
      </c>
      <c r="K23" s="3" t="b">
        <v>1</v>
      </c>
      <c r="L23" s="5" t="str">
        <f>IFERROR(__xludf.DUMMYFUNCTION("IFNA(REGEXEXTRACT(B23,""[\-|–][^–|\-]+$""))"),"- Pikeland Property Group")</f>
        <v>- Pikeland Property Group</v>
      </c>
    </row>
    <row r="24" ht="15.75" hidden="1" customHeight="1">
      <c r="A24" s="2" t="s">
        <v>56</v>
      </c>
      <c r="B24" s="3" t="s">
        <v>57</v>
      </c>
      <c r="C24" s="3">
        <v>39.0</v>
      </c>
      <c r="D24" s="3">
        <v>1.0</v>
      </c>
      <c r="E24" s="3">
        <v>1.0</v>
      </c>
      <c r="F24" s="3">
        <v>1.0</v>
      </c>
      <c r="H24" s="3">
        <v>200.0</v>
      </c>
      <c r="I24" s="3" t="b">
        <v>0</v>
      </c>
      <c r="J24" s="3" t="s">
        <v>13</v>
      </c>
      <c r="K24" s="3" t="b">
        <v>1</v>
      </c>
      <c r="L24" s="5" t="str">
        <f>IFERROR(__xludf.DUMMYFUNCTION("IFNA(REGEXEXTRACT(B24,""[\-|–][^–|\-]+$""))"),"- Pikeland Property Group")</f>
        <v>- Pikeland Property Group</v>
      </c>
    </row>
    <row r="25" ht="15.75" hidden="1" customHeight="1">
      <c r="A25" s="2" t="s">
        <v>58</v>
      </c>
      <c r="B25" s="3" t="s">
        <v>59</v>
      </c>
      <c r="C25" s="3">
        <v>37.0</v>
      </c>
      <c r="D25" s="3">
        <v>1.0</v>
      </c>
      <c r="E25" s="3">
        <v>1.0</v>
      </c>
      <c r="F25" s="3">
        <v>1.0</v>
      </c>
      <c r="H25" s="3">
        <v>200.0</v>
      </c>
      <c r="I25" s="3" t="b">
        <v>0</v>
      </c>
      <c r="J25" s="3" t="s">
        <v>13</v>
      </c>
      <c r="K25" s="3" t="b">
        <v>1</v>
      </c>
      <c r="L25" s="5" t="str">
        <f>IFERROR(__xludf.DUMMYFUNCTION("IFNA(REGEXEXTRACT(B25,""[\-|–][^–|\-]+$""))"),"- Pikeland Property Group")</f>
        <v>- Pikeland Property Group</v>
      </c>
    </row>
    <row r="26" ht="15.75" hidden="1" customHeight="1">
      <c r="A26" s="2" t="s">
        <v>60</v>
      </c>
      <c r="D26" s="3">
        <v>0.0</v>
      </c>
      <c r="H26" s="3">
        <v>404.0</v>
      </c>
      <c r="I26" s="3" t="b">
        <v>0</v>
      </c>
      <c r="J26" s="3" t="s">
        <v>13</v>
      </c>
      <c r="K26" s="3" t="b">
        <v>0</v>
      </c>
      <c r="L26" s="5" t="str">
        <f>IFERROR(__xludf.DUMMYFUNCTION("IFNA(REGEXEXTRACT(B26,""[\-|–][^–|\-]+$""))"),"")</f>
        <v/>
      </c>
    </row>
    <row r="27" ht="15.75" customHeight="1">
      <c r="A27" s="2" t="s">
        <v>61</v>
      </c>
      <c r="B27" s="3" t="s">
        <v>62</v>
      </c>
      <c r="C27" s="3">
        <v>62.0</v>
      </c>
      <c r="D27" s="3">
        <v>1.0</v>
      </c>
      <c r="E27" s="3">
        <v>1.0</v>
      </c>
      <c r="F27" s="3">
        <v>1.0</v>
      </c>
      <c r="H27" s="3">
        <v>200.0</v>
      </c>
      <c r="I27" s="3" t="b">
        <v>1</v>
      </c>
      <c r="J27" s="3" t="s">
        <v>13</v>
      </c>
      <c r="K27" s="3" t="b">
        <v>1</v>
      </c>
      <c r="L27" s="5" t="str">
        <f>IFERROR(__xludf.DUMMYFUNCTION("IFNA(REGEXEXTRACT(B27,""[\-|–][^–|\-]+$""))"),"- Pikeland Property Group")</f>
        <v>- Pikeland Property Group</v>
      </c>
    </row>
    <row r="28" ht="15.75" customHeight="1">
      <c r="A28" s="2" t="s">
        <v>63</v>
      </c>
      <c r="B28" s="3" t="s">
        <v>64</v>
      </c>
      <c r="C28" s="3">
        <v>111.0</v>
      </c>
      <c r="D28" s="3">
        <v>1.0</v>
      </c>
      <c r="E28" s="3">
        <v>1.0</v>
      </c>
      <c r="F28" s="3">
        <v>1.0</v>
      </c>
      <c r="H28" s="3">
        <v>200.0</v>
      </c>
      <c r="I28" s="3" t="b">
        <v>1</v>
      </c>
      <c r="J28" s="3" t="s">
        <v>13</v>
      </c>
      <c r="K28" s="3" t="b">
        <v>1</v>
      </c>
      <c r="L28" s="5" t="str">
        <f>IFERROR(__xludf.DUMMYFUNCTION("IFNA(REGEXEXTRACT(B28,""[\-|–][^–|\-]+$""))"),"- Pikeland Property Group")</f>
        <v>- Pikeland Property Group</v>
      </c>
    </row>
    <row r="29" ht="15.75" customHeight="1">
      <c r="A29" s="2" t="s">
        <v>65</v>
      </c>
      <c r="B29" s="3" t="s">
        <v>66</v>
      </c>
      <c r="C29" s="3">
        <v>102.0</v>
      </c>
      <c r="D29" s="3">
        <v>1.0</v>
      </c>
      <c r="E29" s="3">
        <v>1.0</v>
      </c>
      <c r="F29" s="3">
        <v>1.0</v>
      </c>
      <c r="H29" s="3">
        <v>200.0</v>
      </c>
      <c r="I29" s="3" t="b">
        <v>1</v>
      </c>
      <c r="J29" s="3" t="s">
        <v>13</v>
      </c>
      <c r="K29" s="3" t="b">
        <v>1</v>
      </c>
      <c r="L29" s="5" t="str">
        <f>IFERROR(__xludf.DUMMYFUNCTION("IFNA(REGEXEXTRACT(B29,""[\-|–][^–|\-]+$""))"),"- Pikeland Property Group")</f>
        <v>- Pikeland Property Group</v>
      </c>
    </row>
    <row r="30" ht="15.75" customHeight="1">
      <c r="A30" s="2" t="s">
        <v>67</v>
      </c>
      <c r="B30" s="3" t="s">
        <v>68</v>
      </c>
      <c r="C30" s="3">
        <v>105.0</v>
      </c>
      <c r="D30" s="3">
        <v>1.0</v>
      </c>
      <c r="E30" s="3">
        <v>1.0</v>
      </c>
      <c r="F30" s="3">
        <v>1.0</v>
      </c>
      <c r="H30" s="3">
        <v>200.0</v>
      </c>
      <c r="I30" s="3" t="b">
        <v>1</v>
      </c>
      <c r="J30" s="3" t="s">
        <v>13</v>
      </c>
      <c r="K30" s="3" t="b">
        <v>1</v>
      </c>
      <c r="L30" s="5" t="str">
        <f>IFERROR(__xludf.DUMMYFUNCTION("IFNA(REGEXEXTRACT(B30,""[\-|–][^–|\-]+$""))"),"- Pikeland Property Group")</f>
        <v>- Pikeland Property Group</v>
      </c>
    </row>
    <row r="31" ht="15.75" customHeight="1">
      <c r="A31" s="2" t="s">
        <v>69</v>
      </c>
      <c r="B31" s="3" t="s">
        <v>70</v>
      </c>
      <c r="C31" s="3">
        <v>53.0</v>
      </c>
      <c r="D31" s="3">
        <v>1.0</v>
      </c>
      <c r="E31" s="3">
        <v>1.0</v>
      </c>
      <c r="F31" s="3">
        <v>1.0</v>
      </c>
      <c r="H31" s="3">
        <v>200.0</v>
      </c>
      <c r="I31" s="3" t="b">
        <v>1</v>
      </c>
      <c r="J31" s="3" t="s">
        <v>13</v>
      </c>
      <c r="K31" s="3" t="b">
        <v>1</v>
      </c>
      <c r="L31" s="5" t="str">
        <f>IFERROR(__xludf.DUMMYFUNCTION("IFNA(REGEXEXTRACT(B31,""[\-|–][^–|\-]+$""))"),"- Pikeland Property Group")</f>
        <v>- Pikeland Property Group</v>
      </c>
    </row>
    <row r="32" ht="15.75" customHeight="1">
      <c r="A32" s="2" t="s">
        <v>71</v>
      </c>
      <c r="B32" s="3" t="s">
        <v>72</v>
      </c>
      <c r="C32" s="3">
        <v>103.0</v>
      </c>
      <c r="D32" s="3">
        <v>1.0</v>
      </c>
      <c r="E32" s="3">
        <v>1.0</v>
      </c>
      <c r="F32" s="3">
        <v>1.0</v>
      </c>
      <c r="H32" s="3">
        <v>200.0</v>
      </c>
      <c r="I32" s="3" t="b">
        <v>1</v>
      </c>
      <c r="J32" s="3" t="s">
        <v>13</v>
      </c>
      <c r="K32" s="3" t="b">
        <v>1</v>
      </c>
      <c r="L32" s="5" t="str">
        <f>IFERROR(__xludf.DUMMYFUNCTION("IFNA(REGEXEXTRACT(B32,""[\-|–][^–|\-]+$""))"),"- Pikeland Property Group")</f>
        <v>- Pikeland Property Group</v>
      </c>
    </row>
    <row r="33" ht="15.75" customHeight="1">
      <c r="A33" s="2" t="s">
        <v>73</v>
      </c>
      <c r="B33" s="3" t="s">
        <v>74</v>
      </c>
      <c r="C33" s="3">
        <v>73.0</v>
      </c>
      <c r="D33" s="3">
        <v>1.0</v>
      </c>
      <c r="E33" s="3">
        <v>1.0</v>
      </c>
      <c r="F33" s="3">
        <v>1.0</v>
      </c>
      <c r="H33" s="3">
        <v>200.0</v>
      </c>
      <c r="I33" s="3" t="b">
        <v>1</v>
      </c>
      <c r="J33" s="3" t="s">
        <v>13</v>
      </c>
      <c r="K33" s="3" t="b">
        <v>1</v>
      </c>
      <c r="L33" s="5" t="str">
        <f>IFERROR(__xludf.DUMMYFUNCTION("IFNA(REGEXEXTRACT(B33,""[\-|–][^–|\-]+$""))"),"- Pikeland Property Group")</f>
        <v>- Pikeland Property Group</v>
      </c>
    </row>
    <row r="34" ht="15.75" customHeight="1">
      <c r="A34" s="2" t="s">
        <v>75</v>
      </c>
      <c r="B34" s="3" t="s">
        <v>76</v>
      </c>
      <c r="C34" s="3">
        <v>76.0</v>
      </c>
      <c r="D34" s="3">
        <v>1.0</v>
      </c>
      <c r="E34" s="3">
        <v>1.0</v>
      </c>
      <c r="F34" s="3">
        <v>1.0</v>
      </c>
      <c r="H34" s="3">
        <v>200.0</v>
      </c>
      <c r="I34" s="3" t="b">
        <v>1</v>
      </c>
      <c r="J34" s="3" t="s">
        <v>13</v>
      </c>
      <c r="K34" s="3" t="b">
        <v>1</v>
      </c>
      <c r="L34" s="5" t="str">
        <f>IFERROR(__xludf.DUMMYFUNCTION("IFNA(REGEXEXTRACT(B34,""[\-|–][^–|\-]+$""))"),"- Pikeland Property Group")</f>
        <v>- Pikeland Property Group</v>
      </c>
    </row>
    <row r="35" ht="15.75" customHeight="1">
      <c r="A35" s="2" t="s">
        <v>77</v>
      </c>
      <c r="B35" s="3" t="s">
        <v>78</v>
      </c>
      <c r="C35" s="3">
        <v>123.0</v>
      </c>
      <c r="D35" s="3">
        <v>1.0</v>
      </c>
      <c r="E35" s="3">
        <v>1.0</v>
      </c>
      <c r="F35" s="3">
        <v>1.0</v>
      </c>
      <c r="H35" s="3">
        <v>200.0</v>
      </c>
      <c r="I35" s="3" t="b">
        <v>1</v>
      </c>
      <c r="J35" s="3" t="s">
        <v>13</v>
      </c>
      <c r="K35" s="3" t="b">
        <v>1</v>
      </c>
      <c r="L35" s="5" t="str">
        <f>IFERROR(__xludf.DUMMYFUNCTION("IFNA(REGEXEXTRACT(B35,""[\-|–][^–|\-]+$""))"),"- Pikeland Property Group")</f>
        <v>- Pikeland Property Group</v>
      </c>
    </row>
    <row r="36" ht="15.75" customHeight="1">
      <c r="A36" s="2" t="s">
        <v>79</v>
      </c>
      <c r="B36" s="3" t="s">
        <v>80</v>
      </c>
      <c r="C36" s="3">
        <v>109.0</v>
      </c>
      <c r="D36" s="3">
        <v>1.0</v>
      </c>
      <c r="E36" s="3">
        <v>1.0</v>
      </c>
      <c r="F36" s="3">
        <v>1.0</v>
      </c>
      <c r="H36" s="3">
        <v>200.0</v>
      </c>
      <c r="I36" s="3" t="b">
        <v>1</v>
      </c>
      <c r="J36" s="3" t="s">
        <v>13</v>
      </c>
      <c r="K36" s="3" t="b">
        <v>1</v>
      </c>
      <c r="L36" s="5" t="str">
        <f>IFERROR(__xludf.DUMMYFUNCTION("IFNA(REGEXEXTRACT(B36,""[\-|–][^–|\-]+$""))"),"- Pikeland Property Group")</f>
        <v>- Pikeland Property Group</v>
      </c>
    </row>
    <row r="37" ht="15.75" customHeight="1">
      <c r="A37" s="2" t="s">
        <v>81</v>
      </c>
      <c r="B37" s="3" t="s">
        <v>82</v>
      </c>
      <c r="C37" s="3">
        <v>122.0</v>
      </c>
      <c r="D37" s="3">
        <v>1.0</v>
      </c>
      <c r="E37" s="3">
        <v>1.0</v>
      </c>
      <c r="F37" s="3">
        <v>1.0</v>
      </c>
      <c r="H37" s="3">
        <v>200.0</v>
      </c>
      <c r="I37" s="3" t="b">
        <v>1</v>
      </c>
      <c r="J37" s="3" t="s">
        <v>13</v>
      </c>
      <c r="K37" s="3" t="b">
        <v>1</v>
      </c>
      <c r="L37" s="5" t="str">
        <f>IFERROR(__xludf.DUMMYFUNCTION("IFNA(REGEXEXTRACT(B37,""[\-|–][^–|\-]+$""))"),"- Pikeland Property Group")</f>
        <v>- Pikeland Property Group</v>
      </c>
    </row>
    <row r="38" ht="15.75" customHeight="1">
      <c r="A38" s="2" t="s">
        <v>83</v>
      </c>
      <c r="B38" s="3" t="s">
        <v>84</v>
      </c>
      <c r="C38" s="3">
        <v>102.0</v>
      </c>
      <c r="D38" s="3">
        <v>1.0</v>
      </c>
      <c r="E38" s="3">
        <v>1.0</v>
      </c>
      <c r="F38" s="3">
        <v>1.0</v>
      </c>
      <c r="H38" s="3">
        <v>200.0</v>
      </c>
      <c r="I38" s="3" t="b">
        <v>1</v>
      </c>
      <c r="J38" s="3" t="s">
        <v>13</v>
      </c>
      <c r="K38" s="3" t="b">
        <v>1</v>
      </c>
      <c r="L38" s="5" t="str">
        <f>IFERROR(__xludf.DUMMYFUNCTION("IFNA(REGEXEXTRACT(B38,""[\-|–][^–|\-]+$""))"),"- Pikeland Property Group")</f>
        <v>- Pikeland Property Group</v>
      </c>
    </row>
    <row r="39" ht="15.75" customHeight="1">
      <c r="A39" s="2" t="s">
        <v>85</v>
      </c>
      <c r="B39" s="3" t="s">
        <v>86</v>
      </c>
      <c r="C39" s="3">
        <v>131.0</v>
      </c>
      <c r="D39" s="3">
        <v>1.0</v>
      </c>
      <c r="E39" s="3">
        <v>1.0</v>
      </c>
      <c r="F39" s="3">
        <v>1.0</v>
      </c>
      <c r="H39" s="3">
        <v>200.0</v>
      </c>
      <c r="I39" s="3" t="b">
        <v>1</v>
      </c>
      <c r="J39" s="3" t="s">
        <v>13</v>
      </c>
      <c r="K39" s="3" t="b">
        <v>1</v>
      </c>
      <c r="L39" s="5" t="str">
        <f>IFERROR(__xludf.DUMMYFUNCTION("IFNA(REGEXEXTRACT(B39,""[\-|–][^–|\-]+$""))"),"- Pikeland Property Group")</f>
        <v>- Pikeland Property Group</v>
      </c>
    </row>
    <row r="40" ht="15.75" customHeight="1">
      <c r="A40" s="2" t="s">
        <v>87</v>
      </c>
      <c r="B40" s="3" t="s">
        <v>88</v>
      </c>
      <c r="C40" s="3">
        <v>106.0</v>
      </c>
      <c r="D40" s="3">
        <v>1.0</v>
      </c>
      <c r="E40" s="3">
        <v>1.0</v>
      </c>
      <c r="F40" s="3">
        <v>1.0</v>
      </c>
      <c r="H40" s="3">
        <v>200.0</v>
      </c>
      <c r="I40" s="3" t="b">
        <v>1</v>
      </c>
      <c r="J40" s="3" t="s">
        <v>13</v>
      </c>
      <c r="K40" s="3" t="b">
        <v>1</v>
      </c>
      <c r="L40" s="5" t="str">
        <f>IFERROR(__xludf.DUMMYFUNCTION("IFNA(REGEXEXTRACT(B40,""[\-|–][^–|\-]+$""))"),"- Pikeland Property Group")</f>
        <v>- Pikeland Property Group</v>
      </c>
    </row>
    <row r="41" ht="15.75" customHeight="1">
      <c r="A41" s="2" t="s">
        <v>89</v>
      </c>
      <c r="B41" s="3" t="s">
        <v>90</v>
      </c>
      <c r="C41" s="3">
        <v>79.0</v>
      </c>
      <c r="D41" s="3">
        <v>1.0</v>
      </c>
      <c r="E41" s="3">
        <v>1.0</v>
      </c>
      <c r="F41" s="3">
        <v>1.0</v>
      </c>
      <c r="H41" s="3">
        <v>200.0</v>
      </c>
      <c r="I41" s="3" t="b">
        <v>1</v>
      </c>
      <c r="J41" s="3" t="s">
        <v>13</v>
      </c>
      <c r="K41" s="3" t="b">
        <v>1</v>
      </c>
      <c r="L41" s="5" t="str">
        <f>IFERROR(__xludf.DUMMYFUNCTION("IFNA(REGEXEXTRACT(B41,""[\-|–][^–|\-]+$""))"),"- Pikeland Property Group")</f>
        <v>- Pikeland Property Group</v>
      </c>
    </row>
    <row r="42" ht="15.75" customHeight="1">
      <c r="A42" s="2" t="s">
        <v>91</v>
      </c>
      <c r="B42" s="3" t="s">
        <v>92</v>
      </c>
      <c r="C42" s="3">
        <v>137.0</v>
      </c>
      <c r="D42" s="3">
        <v>1.0</v>
      </c>
      <c r="E42" s="3">
        <v>1.0</v>
      </c>
      <c r="F42" s="3">
        <v>1.0</v>
      </c>
      <c r="H42" s="3">
        <v>200.0</v>
      </c>
      <c r="I42" s="3" t="b">
        <v>1</v>
      </c>
      <c r="J42" s="3" t="s">
        <v>13</v>
      </c>
      <c r="K42" s="3" t="b">
        <v>1</v>
      </c>
      <c r="L42" s="5" t="str">
        <f>IFERROR(__xludf.DUMMYFUNCTION("IFNA(REGEXEXTRACT(B42,""[\-|–][^–|\-]+$""))"),"- Pikeland Property Group")</f>
        <v>- Pikeland Property Group</v>
      </c>
    </row>
    <row r="43" ht="15.75" customHeight="1">
      <c r="A43" s="2" t="s">
        <v>93</v>
      </c>
      <c r="B43" s="3" t="s">
        <v>94</v>
      </c>
      <c r="C43" s="3">
        <v>88.0</v>
      </c>
      <c r="D43" s="3">
        <v>1.0</v>
      </c>
      <c r="E43" s="3">
        <v>1.0</v>
      </c>
      <c r="F43" s="3">
        <v>1.0</v>
      </c>
      <c r="H43" s="3">
        <v>200.0</v>
      </c>
      <c r="I43" s="3" t="b">
        <v>1</v>
      </c>
      <c r="J43" s="3" t="s">
        <v>13</v>
      </c>
      <c r="K43" s="3" t="b">
        <v>1</v>
      </c>
      <c r="L43" s="5" t="str">
        <f>IFERROR(__xludf.DUMMYFUNCTION("IFNA(REGEXEXTRACT(B43,""[\-|–][^–|\-]+$""))"),"- Pikeland Property Group")</f>
        <v>- Pikeland Property Group</v>
      </c>
    </row>
    <row r="44" ht="15.75" customHeight="1">
      <c r="A44" s="2" t="s">
        <v>95</v>
      </c>
      <c r="B44" s="3" t="s">
        <v>96</v>
      </c>
      <c r="C44" s="3">
        <v>78.0</v>
      </c>
      <c r="D44" s="3">
        <v>1.0</v>
      </c>
      <c r="E44" s="3">
        <v>1.0</v>
      </c>
      <c r="F44" s="3">
        <v>1.0</v>
      </c>
      <c r="H44" s="3">
        <v>200.0</v>
      </c>
      <c r="I44" s="3" t="b">
        <v>1</v>
      </c>
      <c r="J44" s="3" t="s">
        <v>13</v>
      </c>
      <c r="K44" s="3" t="b">
        <v>1</v>
      </c>
      <c r="L44" s="5" t="str">
        <f>IFERROR(__xludf.DUMMYFUNCTION("IFNA(REGEXEXTRACT(B44,""[\-|–][^–|\-]+$""))"),"- Pikeland Property Group")</f>
        <v>- Pikeland Property Group</v>
      </c>
    </row>
    <row r="45" ht="15.75" customHeight="1">
      <c r="A45" s="2" t="s">
        <v>97</v>
      </c>
      <c r="B45" s="3" t="s">
        <v>98</v>
      </c>
      <c r="C45" s="3">
        <v>85.0</v>
      </c>
      <c r="D45" s="3">
        <v>1.0</v>
      </c>
      <c r="E45" s="3">
        <v>1.0</v>
      </c>
      <c r="F45" s="3">
        <v>1.0</v>
      </c>
      <c r="H45" s="3">
        <v>200.0</v>
      </c>
      <c r="I45" s="3" t="b">
        <v>1</v>
      </c>
      <c r="J45" s="3" t="s">
        <v>13</v>
      </c>
      <c r="K45" s="3" t="b">
        <v>1</v>
      </c>
      <c r="L45" s="5" t="str">
        <f>IFERROR(__xludf.DUMMYFUNCTION("IFNA(REGEXEXTRACT(B45,""[\-|–][^–|\-]+$""))"),"- Pikeland Property Group")</f>
        <v>- Pikeland Property Group</v>
      </c>
    </row>
    <row r="46" ht="15.75" customHeight="1">
      <c r="A46" s="2" t="s">
        <v>99</v>
      </c>
      <c r="B46" s="3" t="s">
        <v>100</v>
      </c>
      <c r="C46" s="3">
        <v>30.0</v>
      </c>
      <c r="D46" s="3">
        <v>1.0</v>
      </c>
      <c r="E46" s="3">
        <v>1.0</v>
      </c>
      <c r="F46" s="3">
        <v>3.0</v>
      </c>
      <c r="H46" s="3">
        <v>200.0</v>
      </c>
      <c r="I46" s="3" t="b">
        <v>1</v>
      </c>
      <c r="J46" s="3" t="s">
        <v>13</v>
      </c>
      <c r="K46" s="3" t="b">
        <v>1</v>
      </c>
      <c r="L46" s="5" t="str">
        <f>IFERROR(__xludf.DUMMYFUNCTION("IFNA(REGEXEXTRACT(B46,""[\-|–][^–|\-]+$""))"),"- Pikeland Property Group")</f>
        <v>- Pikeland Property Group</v>
      </c>
    </row>
    <row r="47" ht="15.75" customHeight="1">
      <c r="A47" s="2" t="s">
        <v>101</v>
      </c>
      <c r="B47" s="3" t="s">
        <v>102</v>
      </c>
      <c r="C47" s="3">
        <v>93.0</v>
      </c>
      <c r="D47" s="3">
        <v>1.0</v>
      </c>
      <c r="E47" s="3">
        <v>1.0</v>
      </c>
      <c r="F47" s="3">
        <v>1.0</v>
      </c>
      <c r="H47" s="3">
        <v>200.0</v>
      </c>
      <c r="I47" s="3" t="b">
        <v>1</v>
      </c>
      <c r="J47" s="3" t="s">
        <v>13</v>
      </c>
      <c r="K47" s="3" t="b">
        <v>1</v>
      </c>
      <c r="L47" s="5" t="str">
        <f>IFERROR(__xludf.DUMMYFUNCTION("IFNA(REGEXEXTRACT(B47,""[\-|–][^–|\-]+$""))"),"- Pikeland Property Group")</f>
        <v>- Pikeland Property Group</v>
      </c>
    </row>
    <row r="48" ht="15.75" customHeight="1">
      <c r="A48" s="2" t="s">
        <v>103</v>
      </c>
      <c r="B48" s="3" t="s">
        <v>104</v>
      </c>
      <c r="C48" s="3">
        <v>114.0</v>
      </c>
      <c r="D48" s="3">
        <v>1.0</v>
      </c>
      <c r="E48" s="3">
        <v>1.0</v>
      </c>
      <c r="F48" s="3">
        <v>1.0</v>
      </c>
      <c r="H48" s="3">
        <v>200.0</v>
      </c>
      <c r="I48" s="3" t="b">
        <v>1</v>
      </c>
      <c r="J48" s="3" t="s">
        <v>13</v>
      </c>
      <c r="K48" s="3" t="b">
        <v>1</v>
      </c>
      <c r="L48" s="5" t="str">
        <f>IFERROR(__xludf.DUMMYFUNCTION("IFNA(REGEXEXTRACT(B48,""[\-|–][^–|\-]+$""))"),"- Pikeland Property Group")</f>
        <v>- Pikeland Property Group</v>
      </c>
    </row>
    <row r="49" ht="15.75" customHeight="1">
      <c r="A49" s="2" t="s">
        <v>105</v>
      </c>
      <c r="B49" s="3" t="s">
        <v>106</v>
      </c>
      <c r="C49" s="3">
        <v>126.0</v>
      </c>
      <c r="D49" s="3">
        <v>1.0</v>
      </c>
      <c r="E49" s="3">
        <v>1.0</v>
      </c>
      <c r="F49" s="3">
        <v>1.0</v>
      </c>
      <c r="H49" s="3">
        <v>200.0</v>
      </c>
      <c r="I49" s="3" t="b">
        <v>1</v>
      </c>
      <c r="J49" s="3" t="s">
        <v>13</v>
      </c>
      <c r="K49" s="3" t="b">
        <v>1</v>
      </c>
      <c r="L49" s="5" t="str">
        <f>IFERROR(__xludf.DUMMYFUNCTION("IFNA(REGEXEXTRACT(B49,""[\-|–][^–|\-]+$""))"),"- Pikeland Property Group")</f>
        <v>- Pikeland Property Group</v>
      </c>
    </row>
    <row r="50" ht="15.75" customHeight="1">
      <c r="A50" s="2" t="s">
        <v>107</v>
      </c>
      <c r="B50" s="3" t="s">
        <v>108</v>
      </c>
      <c r="C50" s="3">
        <v>92.0</v>
      </c>
      <c r="D50" s="3">
        <v>1.0</v>
      </c>
      <c r="E50" s="3">
        <v>1.0</v>
      </c>
      <c r="F50" s="3">
        <v>1.0</v>
      </c>
      <c r="H50" s="3">
        <v>200.0</v>
      </c>
      <c r="I50" s="3" t="b">
        <v>1</v>
      </c>
      <c r="J50" s="3" t="s">
        <v>13</v>
      </c>
      <c r="K50" s="3" t="b">
        <v>1</v>
      </c>
      <c r="L50" s="5" t="str">
        <f>IFERROR(__xludf.DUMMYFUNCTION("IFNA(REGEXEXTRACT(B50,""[\-|–][^–|\-]+$""))"),"- Pikeland Property Group")</f>
        <v>- Pikeland Property Group</v>
      </c>
    </row>
    <row r="51" ht="15.75" customHeight="1">
      <c r="A51" s="2" t="s">
        <v>109</v>
      </c>
      <c r="B51" s="3" t="s">
        <v>110</v>
      </c>
      <c r="C51" s="3">
        <v>102.0</v>
      </c>
      <c r="D51" s="3">
        <v>1.0</v>
      </c>
      <c r="E51" s="3">
        <v>1.0</v>
      </c>
      <c r="F51" s="3">
        <v>1.0</v>
      </c>
      <c r="H51" s="3">
        <v>200.0</v>
      </c>
      <c r="I51" s="3" t="b">
        <v>1</v>
      </c>
      <c r="J51" s="3" t="s">
        <v>13</v>
      </c>
      <c r="K51" s="3" t="b">
        <v>1</v>
      </c>
      <c r="L51" s="5" t="str">
        <f>IFERROR(__xludf.DUMMYFUNCTION("IFNA(REGEXEXTRACT(B51,""[\-|–][^–|\-]+$""))"),"- Pikeland Property Group")</f>
        <v>- Pikeland Property Group</v>
      </c>
    </row>
    <row r="52" ht="15.75" customHeight="1">
      <c r="A52" s="2" t="s">
        <v>111</v>
      </c>
      <c r="B52" s="3" t="s">
        <v>112</v>
      </c>
      <c r="C52" s="3">
        <v>45.0</v>
      </c>
      <c r="D52" s="3">
        <v>1.0</v>
      </c>
      <c r="E52" s="3">
        <v>1.0</v>
      </c>
      <c r="F52" s="3">
        <v>1.0</v>
      </c>
      <c r="H52" s="3">
        <v>200.0</v>
      </c>
      <c r="I52" s="3" t="b">
        <v>1</v>
      </c>
      <c r="J52" s="3" t="s">
        <v>13</v>
      </c>
      <c r="K52" s="3" t="b">
        <v>1</v>
      </c>
      <c r="L52" s="5" t="str">
        <f>IFERROR(__xludf.DUMMYFUNCTION("IFNA(REGEXEXTRACT(B52,""[\-|–][^–|\-]+$""))"),"- Pikeland Property Group")</f>
        <v>- Pikeland Property Group</v>
      </c>
    </row>
    <row r="53" ht="15.75" customHeight="1">
      <c r="A53" s="2" t="s">
        <v>113</v>
      </c>
      <c r="B53" s="3" t="s">
        <v>114</v>
      </c>
      <c r="C53" s="3">
        <v>100.0</v>
      </c>
      <c r="D53" s="3">
        <v>1.0</v>
      </c>
      <c r="E53" s="3">
        <v>1.0</v>
      </c>
      <c r="F53" s="3">
        <v>1.0</v>
      </c>
      <c r="H53" s="3">
        <v>200.0</v>
      </c>
      <c r="I53" s="3" t="b">
        <v>1</v>
      </c>
      <c r="J53" s="3" t="s">
        <v>13</v>
      </c>
      <c r="K53" s="3" t="b">
        <v>1</v>
      </c>
      <c r="L53" s="5" t="str">
        <f>IFERROR(__xludf.DUMMYFUNCTION("IFNA(REGEXEXTRACT(B53,""[\-|–][^–|\-]+$""))"),"- Pikeland Property Group")</f>
        <v>- Pikeland Property Group</v>
      </c>
    </row>
    <row r="54" ht="15.75" customHeight="1">
      <c r="A54" s="2" t="s">
        <v>115</v>
      </c>
      <c r="B54" s="3" t="s">
        <v>116</v>
      </c>
      <c r="C54" s="3">
        <v>49.0</v>
      </c>
      <c r="D54" s="3">
        <v>1.0</v>
      </c>
      <c r="E54" s="3">
        <v>1.0</v>
      </c>
      <c r="F54" s="3">
        <v>1.0</v>
      </c>
      <c r="H54" s="3">
        <v>200.0</v>
      </c>
      <c r="I54" s="3" t="b">
        <v>1</v>
      </c>
      <c r="J54" s="3" t="s">
        <v>13</v>
      </c>
      <c r="K54" s="3" t="b">
        <v>1</v>
      </c>
      <c r="L54" s="5" t="str">
        <f>IFERROR(__xludf.DUMMYFUNCTION("IFNA(REGEXEXTRACT(B54,""[\-|–][^–|\-]+$""))"),"- Pikeland Property Group")</f>
        <v>- Pikeland Property Group</v>
      </c>
    </row>
    <row r="55" ht="15.75" customHeight="1">
      <c r="A55" s="2" t="s">
        <v>117</v>
      </c>
      <c r="B55" s="3" t="s">
        <v>118</v>
      </c>
      <c r="C55" s="3">
        <v>99.0</v>
      </c>
      <c r="D55" s="3">
        <v>1.0</v>
      </c>
      <c r="E55" s="3">
        <v>1.0</v>
      </c>
      <c r="F55" s="3">
        <v>1.0</v>
      </c>
      <c r="H55" s="3">
        <v>200.0</v>
      </c>
      <c r="I55" s="3" t="b">
        <v>1</v>
      </c>
      <c r="J55" s="3" t="s">
        <v>13</v>
      </c>
      <c r="K55" s="3" t="b">
        <v>1</v>
      </c>
      <c r="L55" s="5" t="str">
        <f>IFERROR(__xludf.DUMMYFUNCTION("IFNA(REGEXEXTRACT(B55,""[\-|–][^–|\-]+$""))"),"- Pikeland Property Group")</f>
        <v>- Pikeland Property Group</v>
      </c>
    </row>
    <row r="56" ht="15.75" customHeight="1">
      <c r="A56" s="2" t="s">
        <v>119</v>
      </c>
      <c r="B56" s="3" t="s">
        <v>120</v>
      </c>
      <c r="C56" s="3">
        <v>53.0</v>
      </c>
      <c r="D56" s="3">
        <v>1.0</v>
      </c>
      <c r="E56" s="3">
        <v>1.0</v>
      </c>
      <c r="F56" s="3">
        <v>1.0</v>
      </c>
      <c r="H56" s="3">
        <v>200.0</v>
      </c>
      <c r="I56" s="3" t="b">
        <v>1</v>
      </c>
      <c r="J56" s="3" t="s">
        <v>13</v>
      </c>
      <c r="K56" s="3" t="b">
        <v>1</v>
      </c>
      <c r="L56" s="5" t="str">
        <f>IFERROR(__xludf.DUMMYFUNCTION("IFNA(REGEXEXTRACT(B56,""[\-|–][^–|\-]+$""))"),"- Pikeland Property Group")</f>
        <v>- Pikeland Property Group</v>
      </c>
    </row>
    <row r="57" ht="15.75" customHeight="1">
      <c r="A57" s="2" t="s">
        <v>121</v>
      </c>
      <c r="B57" s="3" t="s">
        <v>122</v>
      </c>
      <c r="C57" s="3">
        <v>126.0</v>
      </c>
      <c r="D57" s="3">
        <v>1.0</v>
      </c>
      <c r="E57" s="3">
        <v>1.0</v>
      </c>
      <c r="F57" s="3">
        <v>1.0</v>
      </c>
      <c r="H57" s="3">
        <v>200.0</v>
      </c>
      <c r="I57" s="3" t="b">
        <v>1</v>
      </c>
      <c r="J57" s="3" t="s">
        <v>13</v>
      </c>
      <c r="K57" s="3" t="b">
        <v>1</v>
      </c>
      <c r="L57" s="5" t="str">
        <f>IFERROR(__xludf.DUMMYFUNCTION("IFNA(REGEXEXTRACT(B57,""[\-|–][^–|\-]+$""))"),"- Pikeland Property Group")</f>
        <v>- Pikeland Property Group</v>
      </c>
    </row>
    <row r="58" ht="15.75" customHeight="1">
      <c r="A58" s="2" t="s">
        <v>123</v>
      </c>
      <c r="B58" s="3" t="s">
        <v>124</v>
      </c>
      <c r="C58" s="3">
        <v>118.0</v>
      </c>
      <c r="D58" s="3">
        <v>1.0</v>
      </c>
      <c r="E58" s="3">
        <v>1.0</v>
      </c>
      <c r="F58" s="3">
        <v>1.0</v>
      </c>
      <c r="H58" s="3">
        <v>200.0</v>
      </c>
      <c r="I58" s="3" t="b">
        <v>1</v>
      </c>
      <c r="J58" s="3" t="s">
        <v>13</v>
      </c>
      <c r="K58" s="3" t="b">
        <v>1</v>
      </c>
      <c r="L58" s="5" t="str">
        <f>IFERROR(__xludf.DUMMYFUNCTION("IFNA(REGEXEXTRACT(B58,""[\-|–][^–|\-]+$""))"),"- Pikeland Property Group")</f>
        <v>- Pikeland Property Group</v>
      </c>
    </row>
    <row r="59" ht="15.75" customHeight="1">
      <c r="A59" s="2" t="s">
        <v>125</v>
      </c>
      <c r="B59" s="3" t="s">
        <v>126</v>
      </c>
      <c r="C59" s="3">
        <v>61.0</v>
      </c>
      <c r="D59" s="3">
        <v>1.0</v>
      </c>
      <c r="E59" s="3">
        <v>1.0</v>
      </c>
      <c r="F59" s="3">
        <v>1.0</v>
      </c>
      <c r="H59" s="3">
        <v>200.0</v>
      </c>
      <c r="I59" s="3" t="b">
        <v>1</v>
      </c>
      <c r="J59" s="3" t="s">
        <v>13</v>
      </c>
      <c r="K59" s="3" t="b">
        <v>1</v>
      </c>
      <c r="L59" s="5" t="str">
        <f>IFERROR(__xludf.DUMMYFUNCTION("IFNA(REGEXEXTRACT(B59,""[\-|–][^–|\-]+$""))"),"- Pikeland Property Group")</f>
        <v>- Pikeland Property Group</v>
      </c>
    </row>
    <row r="60" ht="15.75" customHeight="1">
      <c r="A60" s="2" t="s">
        <v>127</v>
      </c>
      <c r="B60" s="3" t="s">
        <v>128</v>
      </c>
      <c r="C60" s="3">
        <v>128.0</v>
      </c>
      <c r="D60" s="3">
        <v>1.0</v>
      </c>
      <c r="E60" s="3">
        <v>1.0</v>
      </c>
      <c r="F60" s="3">
        <v>1.0</v>
      </c>
      <c r="H60" s="3">
        <v>200.0</v>
      </c>
      <c r="I60" s="3" t="b">
        <v>1</v>
      </c>
      <c r="J60" s="3" t="s">
        <v>13</v>
      </c>
      <c r="K60" s="3" t="b">
        <v>1</v>
      </c>
      <c r="L60" s="5" t="str">
        <f>IFERROR(__xludf.DUMMYFUNCTION("IFNA(REGEXEXTRACT(B60,""[\-|–][^–|\-]+$""))"),"- Pikeland Property Group")</f>
        <v>- Pikeland Property Group</v>
      </c>
    </row>
    <row r="61" ht="15.75" customHeight="1">
      <c r="A61" s="2" t="s">
        <v>129</v>
      </c>
      <c r="B61" s="3" t="s">
        <v>130</v>
      </c>
      <c r="C61" s="3">
        <v>64.0</v>
      </c>
      <c r="D61" s="3">
        <v>1.0</v>
      </c>
      <c r="E61" s="3">
        <v>1.0</v>
      </c>
      <c r="F61" s="3">
        <v>1.0</v>
      </c>
      <c r="H61" s="3">
        <v>200.0</v>
      </c>
      <c r="I61" s="3" t="b">
        <v>1</v>
      </c>
      <c r="J61" s="3" t="s">
        <v>13</v>
      </c>
      <c r="K61" s="3" t="b">
        <v>1</v>
      </c>
      <c r="L61" s="5" t="str">
        <f>IFERROR(__xludf.DUMMYFUNCTION("IFNA(REGEXEXTRACT(B61,""[\-|–][^–|\-]+$""))"),"- Pikeland Property Group")</f>
        <v>- Pikeland Property Group</v>
      </c>
    </row>
    <row r="62" ht="15.75" customHeight="1">
      <c r="A62" s="2" t="s">
        <v>131</v>
      </c>
      <c r="B62" s="3" t="s">
        <v>132</v>
      </c>
      <c r="C62" s="3">
        <v>77.0</v>
      </c>
      <c r="D62" s="3">
        <v>1.0</v>
      </c>
      <c r="E62" s="3">
        <v>1.0</v>
      </c>
      <c r="F62" s="3">
        <v>1.0</v>
      </c>
      <c r="H62" s="3">
        <v>200.0</v>
      </c>
      <c r="I62" s="3" t="b">
        <v>1</v>
      </c>
      <c r="J62" s="3" t="s">
        <v>13</v>
      </c>
      <c r="K62" s="3" t="b">
        <v>1</v>
      </c>
      <c r="L62" s="5" t="str">
        <f>IFERROR(__xludf.DUMMYFUNCTION("IFNA(REGEXEXTRACT(B62,""[\-|–][^–|\-]+$""))"),"- Pikeland Property Group")</f>
        <v>- Pikeland Property Group</v>
      </c>
    </row>
    <row r="63" ht="15.75" customHeight="1">
      <c r="A63" s="2" t="s">
        <v>133</v>
      </c>
      <c r="B63" s="3" t="s">
        <v>134</v>
      </c>
      <c r="C63" s="3">
        <v>62.0</v>
      </c>
      <c r="D63" s="3">
        <v>1.0</v>
      </c>
      <c r="E63" s="3">
        <v>1.0</v>
      </c>
      <c r="F63" s="3">
        <v>1.0</v>
      </c>
      <c r="H63" s="3">
        <v>200.0</v>
      </c>
      <c r="I63" s="3" t="b">
        <v>1</v>
      </c>
      <c r="J63" s="3" t="s">
        <v>13</v>
      </c>
      <c r="K63" s="3" t="b">
        <v>1</v>
      </c>
      <c r="L63" s="5" t="str">
        <f>IFERROR(__xludf.DUMMYFUNCTION("IFNA(REGEXEXTRACT(B63,""[\-|–][^–|\-]+$""))"),"- Pikeland Property Group")</f>
        <v>- Pikeland Property Group</v>
      </c>
    </row>
    <row r="64" ht="15.75" customHeight="1">
      <c r="A64" s="2" t="s">
        <v>135</v>
      </c>
      <c r="B64" s="3" t="s">
        <v>136</v>
      </c>
      <c r="C64" s="3">
        <v>104.0</v>
      </c>
      <c r="D64" s="3">
        <v>1.0</v>
      </c>
      <c r="E64" s="3">
        <v>2.0</v>
      </c>
      <c r="F64" s="3">
        <v>10.0</v>
      </c>
      <c r="H64" s="3">
        <v>200.0</v>
      </c>
      <c r="I64" s="3" t="b">
        <v>1</v>
      </c>
      <c r="J64" s="3" t="s">
        <v>13</v>
      </c>
      <c r="K64" s="3" t="b">
        <v>1</v>
      </c>
      <c r="L64" s="5" t="str">
        <f>IFERROR(__xludf.DUMMYFUNCTION("IFNA(REGEXEXTRACT(B64,""[\-|–][^–|\-]+$""))"),"- Pikeland Property Group")</f>
        <v>- Pikeland Property Group</v>
      </c>
    </row>
    <row r="65" ht="15.75" customHeight="1">
      <c r="A65" s="2" t="s">
        <v>137</v>
      </c>
      <c r="B65" s="3" t="s">
        <v>138</v>
      </c>
      <c r="C65" s="3">
        <v>62.0</v>
      </c>
      <c r="D65" s="3">
        <v>1.0</v>
      </c>
      <c r="E65" s="3">
        <v>1.0</v>
      </c>
      <c r="F65" s="3">
        <v>1.0</v>
      </c>
      <c r="H65" s="3">
        <v>200.0</v>
      </c>
      <c r="I65" s="3" t="b">
        <v>1</v>
      </c>
      <c r="J65" s="3" t="s">
        <v>13</v>
      </c>
      <c r="K65" s="3" t="b">
        <v>1</v>
      </c>
      <c r="L65" s="5" t="str">
        <f>IFERROR(__xludf.DUMMYFUNCTION("IFNA(REGEXEXTRACT(B65,""[\-|–][^–|\-]+$""))"),"- Page 2 of 2")</f>
        <v>- Page 2 of 2</v>
      </c>
    </row>
    <row r="66" ht="15.75" customHeight="1">
      <c r="A66" s="2" t="s">
        <v>139</v>
      </c>
      <c r="B66" s="3" t="s">
        <v>140</v>
      </c>
      <c r="C66" s="3">
        <v>38.0</v>
      </c>
      <c r="D66" s="3">
        <v>1.0</v>
      </c>
      <c r="E66" s="3">
        <v>1.0</v>
      </c>
      <c r="F66" s="3">
        <v>1.0</v>
      </c>
      <c r="H66" s="3">
        <v>200.0</v>
      </c>
      <c r="I66" s="3" t="b">
        <v>1</v>
      </c>
      <c r="J66" s="3" t="s">
        <v>13</v>
      </c>
      <c r="K66" s="3" t="b">
        <v>1</v>
      </c>
      <c r="L66" s="5" t="str">
        <f>IFERROR(__xludf.DUMMYFUNCTION("IFNA(REGEXEXTRACT(B66,""[\-|–][^–|\-]+$""))"),"- Pikeland Property Group")</f>
        <v>- Pikeland Property Group</v>
      </c>
    </row>
    <row r="67" ht="15.75" customHeight="1">
      <c r="A67" s="2" t="s">
        <v>141</v>
      </c>
      <c r="B67" s="3" t="s">
        <v>12</v>
      </c>
      <c r="C67" s="3">
        <v>69.0</v>
      </c>
      <c r="D67" s="3">
        <v>1.0</v>
      </c>
      <c r="E67" s="3">
        <v>2.0</v>
      </c>
      <c r="F67" s="3">
        <v>3.0</v>
      </c>
      <c r="H67" s="3">
        <v>200.0</v>
      </c>
      <c r="I67" s="3" t="b">
        <v>1</v>
      </c>
      <c r="J67" s="3" t="s">
        <v>13</v>
      </c>
      <c r="K67" s="3" t="b">
        <v>1</v>
      </c>
      <c r="L67" s="5" t="str">
        <f>IFERROR(__xludf.DUMMYFUNCTION("IFNA(REGEXEXTRACT(B67,""[\-|–][^–|\-]+$""))"),"- We Buy Houses for Cash")</f>
        <v>- We Buy Houses for Cash</v>
      </c>
    </row>
    <row r="68" ht="15.75" customHeight="1">
      <c r="A68" s="2" t="s">
        <v>142</v>
      </c>
      <c r="B68" s="3" t="s">
        <v>136</v>
      </c>
      <c r="C68" s="3">
        <v>104.0</v>
      </c>
      <c r="D68" s="3">
        <v>1.0</v>
      </c>
      <c r="E68" s="3">
        <v>2.0</v>
      </c>
      <c r="F68" s="3">
        <v>10.0</v>
      </c>
      <c r="H68" s="3">
        <v>200.0</v>
      </c>
      <c r="I68" s="3" t="b">
        <v>1</v>
      </c>
      <c r="J68" s="3" t="s">
        <v>13</v>
      </c>
      <c r="K68" s="3" t="b">
        <v>1</v>
      </c>
      <c r="L68" s="5" t="str">
        <f>IFERROR(__xludf.DUMMYFUNCTION("IFNA(REGEXEXTRACT(B68,""[\-|–][^–|\-]+$""))"),"- Pikeland Property Group")</f>
        <v>- Pikeland Property Group</v>
      </c>
    </row>
    <row r="69" ht="15.75" customHeight="1">
      <c r="A69" s="2" t="s">
        <v>143</v>
      </c>
      <c r="B69" s="3" t="s">
        <v>136</v>
      </c>
      <c r="C69" s="3">
        <v>104.0</v>
      </c>
      <c r="D69" s="3">
        <v>1.0</v>
      </c>
      <c r="E69" s="3">
        <v>2.0</v>
      </c>
      <c r="F69" s="3">
        <v>10.0</v>
      </c>
      <c r="H69" s="3">
        <v>200.0</v>
      </c>
      <c r="I69" s="3" t="b">
        <v>1</v>
      </c>
      <c r="J69" s="3" t="s">
        <v>13</v>
      </c>
      <c r="K69" s="3" t="b">
        <v>1</v>
      </c>
      <c r="L69" s="5" t="str">
        <f>IFERROR(__xludf.DUMMYFUNCTION("IFNA(REGEXEXTRACT(B69,""[\-|–][^–|\-]+$""))"),"- Pikeland Property Group")</f>
        <v>- Pikeland Property Group</v>
      </c>
    </row>
    <row r="70" ht="15.75" customHeight="1">
      <c r="A70" s="2" t="s">
        <v>144</v>
      </c>
      <c r="B70" s="3" t="s">
        <v>41</v>
      </c>
      <c r="C70" s="3">
        <v>82.0</v>
      </c>
      <c r="D70" s="3">
        <v>1.0</v>
      </c>
      <c r="E70" s="3">
        <v>2.0</v>
      </c>
      <c r="F70" s="3">
        <v>2.0</v>
      </c>
      <c r="H70" s="3">
        <v>200.0</v>
      </c>
      <c r="I70" s="3" t="b">
        <v>1</v>
      </c>
      <c r="J70" s="3" t="s">
        <v>13</v>
      </c>
      <c r="K70" s="3" t="b">
        <v>1</v>
      </c>
      <c r="L70" s="5" t="str">
        <f>IFERROR(__xludf.DUMMYFUNCTION("IFNA(REGEXEXTRACT(B70,""[\-|–][^–|\-]+$""))"),"- Pikeland Property Group")</f>
        <v>- Pikeland Property Group</v>
      </c>
    </row>
    <row r="71" ht="15.75" customHeight="1">
      <c r="A71" s="2" t="s">
        <v>145</v>
      </c>
      <c r="B71" s="3" t="s">
        <v>136</v>
      </c>
      <c r="C71" s="3">
        <v>104.0</v>
      </c>
      <c r="D71" s="3">
        <v>1.0</v>
      </c>
      <c r="E71" s="3">
        <v>2.0</v>
      </c>
      <c r="F71" s="3">
        <v>10.0</v>
      </c>
      <c r="H71" s="3">
        <v>200.0</v>
      </c>
      <c r="I71" s="3" t="b">
        <v>1</v>
      </c>
      <c r="J71" s="3" t="s">
        <v>13</v>
      </c>
      <c r="K71" s="3" t="b">
        <v>1</v>
      </c>
      <c r="L71" s="5" t="str">
        <f>IFERROR(__xludf.DUMMYFUNCTION("IFNA(REGEXEXTRACT(B71,""[\-|–][^–|\-]+$""))"),"- Pikeland Property Group")</f>
        <v>- Pikeland Property Group</v>
      </c>
    </row>
    <row r="72" ht="15.75" customHeight="1">
      <c r="A72" s="2" t="s">
        <v>146</v>
      </c>
      <c r="B72" s="3" t="s">
        <v>147</v>
      </c>
      <c r="C72" s="3">
        <v>38.0</v>
      </c>
      <c r="D72" s="3">
        <v>1.0</v>
      </c>
      <c r="E72" s="3">
        <v>1.0</v>
      </c>
      <c r="F72" s="3">
        <v>1.0</v>
      </c>
      <c r="H72" s="3">
        <v>200.0</v>
      </c>
      <c r="I72" s="3" t="b">
        <v>1</v>
      </c>
      <c r="J72" s="3" t="s">
        <v>13</v>
      </c>
      <c r="K72" s="3" t="b">
        <v>1</v>
      </c>
      <c r="L72" s="5" t="str">
        <f>IFERROR(__xludf.DUMMYFUNCTION("IFNA(REGEXEXTRACT(B72,""[\-|–][^–|\-]+$""))"),"- Pikeland Property Group")</f>
        <v>- Pikeland Property Group</v>
      </c>
    </row>
    <row r="73" ht="15.75" customHeight="1">
      <c r="A73" s="2" t="s">
        <v>148</v>
      </c>
      <c r="B73" s="3" t="s">
        <v>136</v>
      </c>
      <c r="C73" s="3">
        <v>104.0</v>
      </c>
      <c r="D73" s="3">
        <v>1.0</v>
      </c>
      <c r="E73" s="3">
        <v>2.0</v>
      </c>
      <c r="F73" s="3">
        <v>10.0</v>
      </c>
      <c r="H73" s="3">
        <v>200.0</v>
      </c>
      <c r="I73" s="3" t="b">
        <v>1</v>
      </c>
      <c r="J73" s="3" t="s">
        <v>13</v>
      </c>
      <c r="K73" s="3" t="b">
        <v>1</v>
      </c>
      <c r="L73" s="5" t="str">
        <f>IFERROR(__xludf.DUMMYFUNCTION("IFNA(REGEXEXTRACT(B73,""[\-|–][^–|\-]+$""))"),"- Pikeland Property Group")</f>
        <v>- Pikeland Property Group</v>
      </c>
    </row>
    <row r="74" ht="15.75" customHeight="1">
      <c r="A74" s="2" t="s">
        <v>149</v>
      </c>
      <c r="B74" s="3" t="s">
        <v>136</v>
      </c>
      <c r="C74" s="3">
        <v>104.0</v>
      </c>
      <c r="D74" s="3">
        <v>1.0</v>
      </c>
      <c r="E74" s="3">
        <v>2.0</v>
      </c>
      <c r="F74" s="3">
        <v>10.0</v>
      </c>
      <c r="H74" s="3">
        <v>200.0</v>
      </c>
      <c r="I74" s="3" t="b">
        <v>1</v>
      </c>
      <c r="J74" s="3" t="s">
        <v>13</v>
      </c>
      <c r="K74" s="3" t="b">
        <v>1</v>
      </c>
      <c r="L74" s="5" t="str">
        <f>IFERROR(__xludf.DUMMYFUNCTION("IFNA(REGEXEXTRACT(B74,""[\-|–][^–|\-]+$""))"),"- Pikeland Property Group")</f>
        <v>- Pikeland Property Group</v>
      </c>
    </row>
    <row r="75" ht="15.75" customHeight="1">
      <c r="A75" s="2" t="s">
        <v>150</v>
      </c>
      <c r="B75" s="3" t="s">
        <v>136</v>
      </c>
      <c r="C75" s="3">
        <v>104.0</v>
      </c>
      <c r="D75" s="3">
        <v>1.0</v>
      </c>
      <c r="E75" s="3">
        <v>2.0</v>
      </c>
      <c r="F75" s="3">
        <v>10.0</v>
      </c>
      <c r="H75" s="3">
        <v>200.0</v>
      </c>
      <c r="I75" s="3" t="b">
        <v>1</v>
      </c>
      <c r="J75" s="3" t="s">
        <v>13</v>
      </c>
      <c r="K75" s="3" t="b">
        <v>1</v>
      </c>
      <c r="L75" s="5" t="str">
        <f>IFERROR(__xludf.DUMMYFUNCTION("IFNA(REGEXEXTRACT(B75,""[\-|–][^–|\-]+$""))"),"- Pikeland Property Group")</f>
        <v>- Pikeland Property Group</v>
      </c>
    </row>
    <row r="76" ht="15.75" customHeight="1">
      <c r="A76" s="2" t="s">
        <v>151</v>
      </c>
      <c r="B76" s="3" t="s">
        <v>152</v>
      </c>
      <c r="C76" s="3">
        <v>52.0</v>
      </c>
      <c r="D76" s="3">
        <v>1.0</v>
      </c>
      <c r="E76" s="3">
        <v>1.0</v>
      </c>
      <c r="F76" s="3">
        <v>1.0</v>
      </c>
      <c r="H76" s="3">
        <v>200.0</v>
      </c>
      <c r="I76" s="3" t="b">
        <v>1</v>
      </c>
      <c r="J76" s="3" t="s">
        <v>13</v>
      </c>
      <c r="K76" s="3" t="b">
        <v>1</v>
      </c>
      <c r="L76" s="5" t="str">
        <f>IFERROR(__xludf.DUMMYFUNCTION("IFNA(REGEXEXTRACT(B76,""[\-|–][^–|\-]+$""))"),"- Pikeland Property Group")</f>
        <v>- Pikeland Property Group</v>
      </c>
    </row>
    <row r="77" ht="15.75" customHeight="1">
      <c r="A77" s="2" t="s">
        <v>153</v>
      </c>
      <c r="B77" s="3" t="s">
        <v>154</v>
      </c>
      <c r="C77" s="3">
        <v>35.0</v>
      </c>
      <c r="D77" s="3">
        <v>1.0</v>
      </c>
      <c r="E77" s="3">
        <v>2.0</v>
      </c>
      <c r="F77" s="3">
        <v>2.0</v>
      </c>
      <c r="H77" s="3">
        <v>200.0</v>
      </c>
      <c r="I77" s="3" t="b">
        <v>1</v>
      </c>
      <c r="J77" s="3" t="s">
        <v>13</v>
      </c>
      <c r="K77" s="3" t="b">
        <v>1</v>
      </c>
      <c r="L77" s="5" t="str">
        <f>IFERROR(__xludf.DUMMYFUNCTION("IFNA(REGEXEXTRACT(B77,""[\-|–][^–|\-]+$""))"),"- Pikeland Property Group")</f>
        <v>- Pikeland Property Group</v>
      </c>
    </row>
    <row r="78" ht="15.75" customHeight="1">
      <c r="A78" s="2" t="s">
        <v>155</v>
      </c>
      <c r="B78" s="3" t="s">
        <v>136</v>
      </c>
      <c r="C78" s="3">
        <v>104.0</v>
      </c>
      <c r="D78" s="3">
        <v>1.0</v>
      </c>
      <c r="E78" s="3">
        <v>2.0</v>
      </c>
      <c r="F78" s="3">
        <v>10.0</v>
      </c>
      <c r="H78" s="3">
        <v>200.0</v>
      </c>
      <c r="I78" s="3" t="b">
        <v>1</v>
      </c>
      <c r="J78" s="3" t="s">
        <v>13</v>
      </c>
      <c r="K78" s="3" t="b">
        <v>1</v>
      </c>
      <c r="L78" s="5" t="str">
        <f>IFERROR(__xludf.DUMMYFUNCTION("IFNA(REGEXEXTRACT(B78,""[\-|–][^–|\-]+$""))"),"- Pikeland Property Group")</f>
        <v>- Pikeland Property Group</v>
      </c>
    </row>
    <row r="79" ht="15.75" customHeight="1">
      <c r="A79" s="2" t="s">
        <v>156</v>
      </c>
      <c r="B79" s="3" t="s">
        <v>157</v>
      </c>
      <c r="C79" s="3">
        <v>43.0</v>
      </c>
      <c r="D79" s="3">
        <v>1.0</v>
      </c>
      <c r="E79" s="3">
        <v>1.0</v>
      </c>
      <c r="F79" s="3">
        <v>1.0</v>
      </c>
      <c r="H79" s="3">
        <v>200.0</v>
      </c>
      <c r="I79" s="3" t="b">
        <v>1</v>
      </c>
      <c r="J79" s="3" t="s">
        <v>13</v>
      </c>
      <c r="K79" s="3" t="b">
        <v>1</v>
      </c>
      <c r="L79" s="5" t="str">
        <f>IFERROR(__xludf.DUMMYFUNCTION("IFNA(REGEXEXTRACT(B79,""[\-|–][^–|\-]+$""))"),"- Pikeland Property Group")</f>
        <v>- Pikeland Property Group</v>
      </c>
    </row>
    <row r="80" ht="15.75" customHeight="1">
      <c r="A80" s="2" t="s">
        <v>158</v>
      </c>
      <c r="B80" s="3" t="s">
        <v>136</v>
      </c>
      <c r="C80" s="3">
        <v>104.0</v>
      </c>
      <c r="D80" s="3">
        <v>1.0</v>
      </c>
      <c r="E80" s="3">
        <v>2.0</v>
      </c>
      <c r="F80" s="3">
        <v>10.0</v>
      </c>
      <c r="H80" s="3">
        <v>200.0</v>
      </c>
      <c r="I80" s="3" t="b">
        <v>1</v>
      </c>
      <c r="J80" s="3" t="s">
        <v>13</v>
      </c>
      <c r="K80" s="3" t="b">
        <v>1</v>
      </c>
      <c r="L80" s="5" t="str">
        <f>IFERROR(__xludf.DUMMYFUNCTION("IFNA(REGEXEXTRACT(B80,""[\-|–][^–|\-]+$""))"),"- Pikeland Property Group")</f>
        <v>- Pikeland Property Group</v>
      </c>
    </row>
    <row r="81" ht="15.75" customHeight="1">
      <c r="A81" s="2" t="s">
        <v>159</v>
      </c>
      <c r="B81" s="3" t="s">
        <v>160</v>
      </c>
      <c r="C81" s="3">
        <v>56.0</v>
      </c>
      <c r="D81" s="3">
        <v>1.0</v>
      </c>
      <c r="E81" s="3">
        <v>1.0</v>
      </c>
      <c r="F81" s="3">
        <v>1.0</v>
      </c>
      <c r="H81" s="3">
        <v>200.0</v>
      </c>
      <c r="I81" s="3" t="b">
        <v>1</v>
      </c>
      <c r="J81" s="3" t="s">
        <v>13</v>
      </c>
      <c r="K81" s="3" t="b">
        <v>1</v>
      </c>
      <c r="L81" s="5" t="str">
        <f>IFERROR(__xludf.DUMMYFUNCTION("IFNA(REGEXEXTRACT(B81,""[\-|–][^–|\-]+$""))"),"- Pikeland Property Group")</f>
        <v>- Pikeland Property Group</v>
      </c>
    </row>
    <row r="82" ht="15.75" customHeight="1">
      <c r="A82" s="2" t="s">
        <v>161</v>
      </c>
      <c r="B82" s="3" t="s">
        <v>136</v>
      </c>
      <c r="C82" s="3">
        <v>104.0</v>
      </c>
      <c r="D82" s="3">
        <v>1.0</v>
      </c>
      <c r="E82" s="3">
        <v>2.0</v>
      </c>
      <c r="F82" s="3">
        <v>10.0</v>
      </c>
      <c r="H82" s="3">
        <v>200.0</v>
      </c>
      <c r="I82" s="3" t="b">
        <v>1</v>
      </c>
      <c r="J82" s="3" t="s">
        <v>13</v>
      </c>
      <c r="K82" s="3" t="b">
        <v>1</v>
      </c>
      <c r="L82" s="5" t="str">
        <f>IFERROR(__xludf.DUMMYFUNCTION("IFNA(REGEXEXTRACT(B82,""[\-|–][^–|\-]+$""))"),"- Pikeland Property Group")</f>
        <v>- Pikeland Property Group</v>
      </c>
    </row>
    <row r="83" ht="15.75" customHeight="1">
      <c r="A83" s="2" t="s">
        <v>162</v>
      </c>
      <c r="B83" s="3" t="s">
        <v>163</v>
      </c>
      <c r="C83" s="3">
        <v>33.0</v>
      </c>
      <c r="D83" s="3">
        <v>1.0</v>
      </c>
      <c r="E83" s="3">
        <v>1.0</v>
      </c>
      <c r="F83" s="3">
        <v>1.0</v>
      </c>
      <c r="H83" s="3">
        <v>200.0</v>
      </c>
      <c r="I83" s="3" t="b">
        <v>1</v>
      </c>
      <c r="J83" s="3" t="s">
        <v>13</v>
      </c>
      <c r="K83" s="3" t="b">
        <v>1</v>
      </c>
      <c r="L83" s="5" t="str">
        <f>IFERROR(__xludf.DUMMYFUNCTION("IFNA(REGEXEXTRACT(B83,""[\-|–][^–|\-]+$""))"),"- Pikeland Property Group")</f>
        <v>- Pikeland Property Group</v>
      </c>
    </row>
    <row r="84" ht="15.75" customHeight="1">
      <c r="A84" s="2" t="s">
        <v>164</v>
      </c>
      <c r="B84" s="3" t="s">
        <v>165</v>
      </c>
      <c r="C84" s="3">
        <v>46.0</v>
      </c>
      <c r="D84" s="3">
        <v>1.0</v>
      </c>
      <c r="E84" s="3">
        <v>1.0</v>
      </c>
      <c r="F84" s="3">
        <v>1.0</v>
      </c>
      <c r="H84" s="3">
        <v>200.0</v>
      </c>
      <c r="I84" s="3" t="b">
        <v>1</v>
      </c>
      <c r="J84" s="3" t="s">
        <v>13</v>
      </c>
      <c r="K84" s="3" t="b">
        <v>1</v>
      </c>
      <c r="L84" s="5" t="str">
        <f>IFERROR(__xludf.DUMMYFUNCTION("IFNA(REGEXEXTRACT(B84,""[\-|–][^–|\-]+$""))"),"- Pikeland Property Group")</f>
        <v>- Pikeland Property Group</v>
      </c>
    </row>
    <row r="85" ht="15.75" customHeight="1">
      <c r="A85" s="2" t="s">
        <v>166</v>
      </c>
      <c r="B85" s="3" t="s">
        <v>154</v>
      </c>
      <c r="C85" s="3">
        <v>35.0</v>
      </c>
      <c r="D85" s="3">
        <v>1.0</v>
      </c>
      <c r="E85" s="3">
        <v>2.0</v>
      </c>
      <c r="F85" s="3">
        <v>2.0</v>
      </c>
      <c r="H85" s="3">
        <v>200.0</v>
      </c>
      <c r="I85" s="3" t="b">
        <v>1</v>
      </c>
      <c r="J85" s="3" t="s">
        <v>13</v>
      </c>
      <c r="K85" s="3" t="b">
        <v>1</v>
      </c>
      <c r="L85" s="5" t="str">
        <f>IFERROR(__xludf.DUMMYFUNCTION("IFNA(REGEXEXTRACT(B85,""[\-|–][^–|\-]+$""))"),"- Pikeland Property Group")</f>
        <v>- Pikeland Property Group</v>
      </c>
    </row>
    <row r="86" ht="15.75" hidden="1" customHeight="1">
      <c r="A86" s="2" t="s">
        <v>167</v>
      </c>
      <c r="B86" s="3" t="s">
        <v>168</v>
      </c>
      <c r="C86" s="3">
        <v>39.0</v>
      </c>
      <c r="D86" s="3">
        <v>1.0</v>
      </c>
      <c r="E86" s="3">
        <v>1.0</v>
      </c>
      <c r="F86" s="3">
        <v>1.0</v>
      </c>
      <c r="H86" s="3">
        <v>200.0</v>
      </c>
      <c r="I86" s="3" t="b">
        <v>0</v>
      </c>
      <c r="J86" s="3" t="s">
        <v>13</v>
      </c>
      <c r="K86" s="3" t="b">
        <v>1</v>
      </c>
      <c r="L86" s="5" t="str">
        <f>IFERROR(__xludf.DUMMYFUNCTION("IFNA(REGEXEXTRACT(B86,""[\-|–][^–|\-]+$""))"),"- Pikeland Property Group")</f>
        <v>- Pikeland Property Group</v>
      </c>
    </row>
    <row r="87" ht="15.75" hidden="1" customHeight="1">
      <c r="A87" s="2" t="s">
        <v>169</v>
      </c>
      <c r="B87" s="3" t="s">
        <v>170</v>
      </c>
      <c r="C87" s="3">
        <v>52.0</v>
      </c>
      <c r="D87" s="3">
        <v>1.0</v>
      </c>
      <c r="E87" s="3">
        <v>1.0</v>
      </c>
      <c r="F87" s="3">
        <v>1.0</v>
      </c>
      <c r="H87" s="3">
        <v>200.0</v>
      </c>
      <c r="I87" s="3" t="b">
        <v>0</v>
      </c>
      <c r="J87" s="3" t="s">
        <v>13</v>
      </c>
      <c r="K87" s="3" t="b">
        <v>1</v>
      </c>
      <c r="L87" s="5" t="str">
        <f>IFERROR(__xludf.DUMMYFUNCTION("IFNA(REGEXEXTRACT(B87,""[\-|–][^–|\-]+$""))"),"- Pikeland Property Group")</f>
        <v>- Pikeland Property Group</v>
      </c>
    </row>
    <row r="88" ht="15.75" hidden="1" customHeight="1">
      <c r="A88" s="2" t="s">
        <v>171</v>
      </c>
      <c r="B88" s="3" t="s">
        <v>172</v>
      </c>
      <c r="C88" s="3">
        <v>44.0</v>
      </c>
      <c r="D88" s="3">
        <v>1.0</v>
      </c>
      <c r="E88" s="3">
        <v>1.0</v>
      </c>
      <c r="F88" s="3">
        <v>1.0</v>
      </c>
      <c r="H88" s="3">
        <v>200.0</v>
      </c>
      <c r="I88" s="3" t="b">
        <v>0</v>
      </c>
      <c r="J88" s="3" t="s">
        <v>13</v>
      </c>
      <c r="K88" s="3" t="b">
        <v>1</v>
      </c>
      <c r="L88" s="5" t="str">
        <f>IFERROR(__xludf.DUMMYFUNCTION("IFNA(REGEXEXTRACT(B88,""[\-|–][^–|\-]+$""))"),"")</f>
        <v/>
      </c>
    </row>
    <row r="89" ht="15.75" hidden="1" customHeight="1">
      <c r="A89" s="2" t="s">
        <v>173</v>
      </c>
      <c r="B89" s="3" t="s">
        <v>174</v>
      </c>
      <c r="C89" s="3">
        <v>42.0</v>
      </c>
      <c r="D89" s="3">
        <v>1.0</v>
      </c>
      <c r="E89" s="3">
        <v>1.0</v>
      </c>
      <c r="F89" s="3">
        <v>1.0</v>
      </c>
      <c r="H89" s="3">
        <v>200.0</v>
      </c>
      <c r="I89" s="3" t="b">
        <v>0</v>
      </c>
      <c r="J89" s="3" t="s">
        <v>13</v>
      </c>
      <c r="K89" s="3" t="b">
        <v>1</v>
      </c>
      <c r="L89" s="5" t="str">
        <f>IFERROR(__xludf.DUMMYFUNCTION("IFNA(REGEXEXTRACT(B89,""[\-|–][^–|\-]+$""))"),"- Pikeland Property Group")</f>
        <v>- Pikeland Property Group</v>
      </c>
    </row>
    <row r="90" ht="15.75" hidden="1" customHeight="1">
      <c r="A90" s="2" t="s">
        <v>175</v>
      </c>
      <c r="B90" s="3" t="s">
        <v>100</v>
      </c>
      <c r="C90" s="3">
        <v>30.0</v>
      </c>
      <c r="D90" s="3">
        <v>1.0</v>
      </c>
      <c r="E90" s="3">
        <v>1.0</v>
      </c>
      <c r="F90" s="3">
        <v>3.0</v>
      </c>
      <c r="H90" s="3">
        <v>200.0</v>
      </c>
      <c r="I90" s="3" t="b">
        <v>0</v>
      </c>
      <c r="J90" s="3" t="s">
        <v>13</v>
      </c>
      <c r="K90" s="3" t="b">
        <v>1</v>
      </c>
      <c r="L90" s="5" t="str">
        <f>IFERROR(__xludf.DUMMYFUNCTION("IFNA(REGEXEXTRACT(B90,""[\-|–][^–|\-]+$""))"),"- Pikeland Property Group")</f>
        <v>- Pikeland Property Group</v>
      </c>
    </row>
    <row r="91" ht="15.75" hidden="1" customHeight="1">
      <c r="A91" s="2" t="s">
        <v>176</v>
      </c>
      <c r="D91" s="3">
        <v>0.0</v>
      </c>
      <c r="H91" s="3">
        <v>404.0</v>
      </c>
      <c r="I91" s="3" t="b">
        <v>0</v>
      </c>
      <c r="J91" s="3" t="s">
        <v>13</v>
      </c>
      <c r="K91" s="3" t="b">
        <v>0</v>
      </c>
      <c r="L91" s="5" t="str">
        <f>IFERROR(__xludf.DUMMYFUNCTION("IFNA(REGEXEXTRACT(B91,""[\-|–][^–|\-]+$""))"),"")</f>
        <v/>
      </c>
    </row>
    <row r="92" ht="15.75" hidden="1" customHeight="1">
      <c r="A92" s="2" t="s">
        <v>177</v>
      </c>
      <c r="D92" s="3">
        <v>0.0</v>
      </c>
      <c r="H92" s="3">
        <v>301.0</v>
      </c>
      <c r="I92" s="3" t="b">
        <v>0</v>
      </c>
      <c r="J92" s="3" t="s">
        <v>13</v>
      </c>
      <c r="K92" s="3" t="b">
        <v>0</v>
      </c>
      <c r="L92" s="5" t="str">
        <f>IFERROR(__xludf.DUMMYFUNCTION("IFNA(REGEXEXTRACT(B92,""[\-|–][^–|\-]+$""))"),"")</f>
        <v/>
      </c>
    </row>
    <row r="93" ht="15.75" hidden="1" customHeight="1">
      <c r="A93" s="2" t="s">
        <v>178</v>
      </c>
      <c r="D93" s="3">
        <v>0.0</v>
      </c>
      <c r="H93" s="3">
        <v>301.0</v>
      </c>
      <c r="I93" s="3" t="b">
        <v>0</v>
      </c>
      <c r="J93" s="3" t="s">
        <v>13</v>
      </c>
      <c r="K93" s="3" t="b">
        <v>0</v>
      </c>
      <c r="L93" s="5" t="str">
        <f>IFERROR(__xludf.DUMMYFUNCTION("IFNA(REGEXEXTRACT(B93,""[\-|–][^–|\-]+$""))"),"")</f>
        <v/>
      </c>
    </row>
    <row r="94" ht="15.75" hidden="1" customHeight="1">
      <c r="A94" s="2" t="s">
        <v>179</v>
      </c>
      <c r="D94" s="3">
        <v>0.0</v>
      </c>
      <c r="H94" s="3">
        <v>301.0</v>
      </c>
      <c r="I94" s="3" t="b">
        <v>0</v>
      </c>
      <c r="J94" s="3" t="s">
        <v>13</v>
      </c>
      <c r="K94" s="3" t="b">
        <v>0</v>
      </c>
      <c r="L94" s="5" t="str">
        <f>IFERROR(__xludf.DUMMYFUNCTION("IFNA(REGEXEXTRACT(B94,""[\-|–][^–|\-]+$""))"),"")</f>
        <v/>
      </c>
    </row>
    <row r="95" ht="15.75" hidden="1" customHeight="1">
      <c r="A95" s="2" t="s">
        <v>180</v>
      </c>
      <c r="B95" s="3" t="s">
        <v>100</v>
      </c>
      <c r="C95" s="3">
        <v>30.0</v>
      </c>
      <c r="D95" s="3">
        <v>1.0</v>
      </c>
      <c r="H95" s="3">
        <v>200.0</v>
      </c>
      <c r="I95" s="3" t="b">
        <v>0</v>
      </c>
      <c r="J95" s="3" t="s">
        <v>13</v>
      </c>
      <c r="K95" s="3" t="b">
        <v>1</v>
      </c>
      <c r="L95" s="5" t="str">
        <f>IFERROR(__xludf.DUMMYFUNCTION("IFNA(REGEXEXTRACT(B95,""[\-|–][^–|\-]+$""))"),"- Pikeland Property Group")</f>
        <v>- Pikeland Property Group</v>
      </c>
    </row>
    <row r="96" ht="15.75" hidden="1" customHeight="1">
      <c r="A96" s="2" t="s">
        <v>181</v>
      </c>
      <c r="D96" s="3">
        <v>0.0</v>
      </c>
      <c r="H96" s="3">
        <v>301.0</v>
      </c>
      <c r="I96" s="3" t="b">
        <v>0</v>
      </c>
      <c r="J96" s="3" t="s">
        <v>13</v>
      </c>
      <c r="K96" s="3" t="b">
        <v>0</v>
      </c>
      <c r="L96" s="5" t="str">
        <f>IFERROR(__xludf.DUMMYFUNCTION("IFNA(REGEXEXTRACT(B96,""[\-|–][^–|\-]+$""))"),"")</f>
        <v/>
      </c>
    </row>
    <row r="97" ht="15.75" hidden="1" customHeight="1">
      <c r="A97" s="2" t="s">
        <v>182</v>
      </c>
      <c r="D97" s="3">
        <v>0.0</v>
      </c>
      <c r="H97" s="3">
        <v>200.0</v>
      </c>
      <c r="I97" s="3" t="b">
        <v>0</v>
      </c>
      <c r="J97" s="3" t="s">
        <v>183</v>
      </c>
      <c r="K97" s="3" t="b">
        <v>0</v>
      </c>
      <c r="L97" s="5" t="str">
        <f>IFERROR(__xludf.DUMMYFUNCTION("IFNA(REGEXEXTRACT(B97,""[\-|–][^–|\-]+$""))"),"")</f>
        <v/>
      </c>
    </row>
    <row r="98" ht="15.75" hidden="1" customHeight="1">
      <c r="A98" s="2" t="s">
        <v>184</v>
      </c>
      <c r="D98" s="3">
        <v>0.0</v>
      </c>
      <c r="H98" s="3">
        <v>301.0</v>
      </c>
      <c r="I98" s="3" t="b">
        <v>0</v>
      </c>
      <c r="J98" s="3" t="s">
        <v>13</v>
      </c>
      <c r="K98" s="3" t="b">
        <v>0</v>
      </c>
      <c r="L98" s="5" t="str">
        <f>IFERROR(__xludf.DUMMYFUNCTION("IFNA(REGEXEXTRACT(B98,""[\-|–][^–|\-]+$""))"),"")</f>
        <v/>
      </c>
    </row>
    <row r="99" ht="15.75" hidden="1" customHeight="1">
      <c r="A99" s="2" t="s">
        <v>185</v>
      </c>
      <c r="D99" s="3">
        <v>0.0</v>
      </c>
      <c r="H99" s="3">
        <v>301.0</v>
      </c>
      <c r="I99" s="3" t="b">
        <v>0</v>
      </c>
      <c r="J99" s="3" t="s">
        <v>13</v>
      </c>
      <c r="K99" s="3" t="b">
        <v>0</v>
      </c>
      <c r="L99" s="5" t="str">
        <f>IFERROR(__xludf.DUMMYFUNCTION("IFNA(REGEXEXTRACT(B99,""[\-|–][^–|\-]+$""))"),"")</f>
        <v/>
      </c>
    </row>
    <row r="100" ht="15.75" hidden="1" customHeight="1">
      <c r="A100" s="2" t="s">
        <v>186</v>
      </c>
      <c r="D100" s="3">
        <v>0.0</v>
      </c>
      <c r="H100" s="3">
        <v>404.0</v>
      </c>
      <c r="I100" s="3" t="b">
        <v>0</v>
      </c>
      <c r="J100" s="3" t="s">
        <v>13</v>
      </c>
      <c r="K100" s="3" t="b">
        <v>0</v>
      </c>
      <c r="L100" s="5" t="str">
        <f>IFERROR(__xludf.DUMMYFUNCTION("IFNA(REGEXEXTRACT(B100,""[\-|–][^–|\-]+$""))"),"")</f>
        <v/>
      </c>
    </row>
    <row r="101" ht="15.75" hidden="1" customHeight="1">
      <c r="A101" s="2" t="s">
        <v>187</v>
      </c>
      <c r="D101" s="3">
        <v>0.0</v>
      </c>
      <c r="H101" s="3">
        <v>301.0</v>
      </c>
      <c r="I101" s="3" t="b">
        <v>0</v>
      </c>
      <c r="J101" s="3" t="s">
        <v>13</v>
      </c>
      <c r="K101" s="3" t="b">
        <v>0</v>
      </c>
      <c r="L101" s="5" t="str">
        <f>IFERROR(__xludf.DUMMYFUNCTION("IFNA(REGEXEXTRACT(B101,""[\-|–][^–|\-]+$""))"),"")</f>
        <v/>
      </c>
    </row>
    <row r="102" ht="15.75" hidden="1" customHeight="1">
      <c r="A102" s="2" t="s">
        <v>188</v>
      </c>
      <c r="D102" s="3">
        <v>0.0</v>
      </c>
      <c r="H102" s="3">
        <v>301.0</v>
      </c>
      <c r="I102" s="3" t="b">
        <v>0</v>
      </c>
      <c r="J102" s="3" t="s">
        <v>189</v>
      </c>
      <c r="K102" s="3" t="b">
        <v>0</v>
      </c>
      <c r="L102" s="5" t="str">
        <f>IFERROR(__xludf.DUMMYFUNCTION("IFNA(REGEXEXTRACT(B102,""[\-|–][^–|\-]+$""))"),"")</f>
        <v/>
      </c>
    </row>
    <row r="103" ht="15.75" hidden="1" customHeight="1">
      <c r="A103" s="2" t="s">
        <v>190</v>
      </c>
      <c r="B103" s="3" t="s">
        <v>100</v>
      </c>
      <c r="C103" s="3">
        <v>30.0</v>
      </c>
      <c r="D103" s="3">
        <v>1.0</v>
      </c>
      <c r="E103" s="3">
        <v>1.0</v>
      </c>
      <c r="F103" s="3">
        <v>3.0</v>
      </c>
      <c r="H103" s="3">
        <v>200.0</v>
      </c>
      <c r="I103" s="3" t="b">
        <v>0</v>
      </c>
      <c r="J103" s="3" t="s">
        <v>13</v>
      </c>
      <c r="K103" s="3" t="b">
        <v>1</v>
      </c>
      <c r="L103" s="5" t="str">
        <f>IFERROR(__xludf.DUMMYFUNCTION("IFNA(REGEXEXTRACT(B103,""[\-|–][^–|\-]+$""))"),"- Pikeland Property Group")</f>
        <v>- Pikeland Property Group</v>
      </c>
    </row>
    <row r="104" ht="15.75" hidden="1" customHeight="1">
      <c r="A104" s="2" t="s">
        <v>191</v>
      </c>
      <c r="D104" s="3">
        <v>0.0</v>
      </c>
      <c r="H104" s="3">
        <v>301.0</v>
      </c>
      <c r="I104" s="3" t="b">
        <v>0</v>
      </c>
      <c r="J104" s="3" t="s">
        <v>13</v>
      </c>
      <c r="K104" s="3" t="b">
        <v>0</v>
      </c>
      <c r="L104" s="5" t="str">
        <f>IFERROR(__xludf.DUMMYFUNCTION("IFNA(REGEXEXTRACT(B104,""[\-|–][^–|\-]+$""))"),"")</f>
        <v/>
      </c>
    </row>
    <row r="105" ht="15.75" hidden="1" customHeight="1">
      <c r="A105" s="2" t="s">
        <v>192</v>
      </c>
      <c r="B105" s="3" t="s">
        <v>12</v>
      </c>
      <c r="C105" s="3">
        <v>69.0</v>
      </c>
      <c r="D105" s="3">
        <v>1.0</v>
      </c>
      <c r="E105" s="3">
        <v>2.0</v>
      </c>
      <c r="F105" s="3">
        <v>3.0</v>
      </c>
      <c r="H105" s="3">
        <v>200.0</v>
      </c>
      <c r="I105" s="3" t="b">
        <v>0</v>
      </c>
      <c r="J105" s="3" t="s">
        <v>13</v>
      </c>
      <c r="K105" s="3" t="b">
        <v>1</v>
      </c>
      <c r="L105" s="5" t="str">
        <f>IFERROR(__xludf.DUMMYFUNCTION("IFNA(REGEXEXTRACT(B105,""[\-|–][^–|\-]+$""))"),"- We Buy Houses for Cash")</f>
        <v>- We Buy Houses for Cash</v>
      </c>
    </row>
    <row r="106" ht="15.75" hidden="1" customHeight="1">
      <c r="A106" s="2" t="s">
        <v>193</v>
      </c>
      <c r="D106" s="3">
        <v>0.0</v>
      </c>
      <c r="H106" s="3">
        <v>200.0</v>
      </c>
      <c r="I106" s="3" t="b">
        <v>0</v>
      </c>
      <c r="J106" s="3" t="s">
        <v>183</v>
      </c>
      <c r="K106" s="3" t="b">
        <v>0</v>
      </c>
      <c r="L106" s="5" t="str">
        <f>IFERROR(__xludf.DUMMYFUNCTION("IFNA(REGEXEXTRACT(B106,""[\-|–][^–|\-]+$""))"),"")</f>
        <v/>
      </c>
    </row>
    <row r="107" ht="15.75" hidden="1" customHeight="1">
      <c r="A107" s="2" t="s">
        <v>194</v>
      </c>
      <c r="D107" s="3">
        <v>0.0</v>
      </c>
      <c r="H107" s="3">
        <v>301.0</v>
      </c>
      <c r="I107" s="3" t="b">
        <v>0</v>
      </c>
      <c r="J107" s="3" t="s">
        <v>13</v>
      </c>
      <c r="K107" s="3" t="b">
        <v>0</v>
      </c>
      <c r="L107" s="5" t="str">
        <f>IFERROR(__xludf.DUMMYFUNCTION("IFNA(REGEXEXTRACT(B107,""[\-|–][^–|\-]+$""))"),"")</f>
        <v/>
      </c>
    </row>
    <row r="108" ht="15.75" customHeight="1">
      <c r="L108" s="5" t="str">
        <f>IFERROR(__xludf.DUMMYFUNCTION("IFNA(REGEXEXTRACT(B108,""[\-|–][^–|\-]+$""))"),"")</f>
        <v/>
      </c>
    </row>
    <row r="109" ht="15.75" customHeight="1">
      <c r="L109" s="5" t="str">
        <f>IFERROR(__xludf.DUMMYFUNCTION("IFNA(REGEXEXTRACT(B109,""[\-|–][^–|\-]+$""))"),"")</f>
        <v/>
      </c>
    </row>
    <row r="110" ht="15.75" customHeight="1">
      <c r="L110" s="5" t="str">
        <f>IFERROR(__xludf.DUMMYFUNCTION("IFNA(REGEXEXTRACT(B110,""[\-|–][^–|\-]+$""))"),"")</f>
        <v/>
      </c>
    </row>
    <row r="111" ht="15.75" customHeight="1">
      <c r="L111" s="5" t="str">
        <f>IFERROR(__xludf.DUMMYFUNCTION("IFNA(REGEXEXTRACT(B111,""[\-|–][^–|\-]+$""))"),"")</f>
        <v/>
      </c>
    </row>
    <row r="112" ht="15.75" customHeight="1">
      <c r="L112" s="5" t="str">
        <f>IFERROR(__xludf.DUMMYFUNCTION("IFNA(REGEXEXTRACT(B112,""[\-|–][^–|\-]+$""))"),"")</f>
        <v/>
      </c>
    </row>
    <row r="113" ht="15.75" customHeight="1">
      <c r="L113" s="5" t="str">
        <f>IFERROR(__xludf.DUMMYFUNCTION("IFNA(REGEXEXTRACT(B113,""[\-|–][^–|\-]+$""))"),"")</f>
        <v/>
      </c>
    </row>
    <row r="114" ht="15.75" customHeight="1">
      <c r="L114" s="5" t="str">
        <f>IFERROR(__xludf.DUMMYFUNCTION("IFNA(REGEXEXTRACT(B114,""[\-|–][^–|\-]+$""))"),"")</f>
        <v/>
      </c>
    </row>
    <row r="115" ht="15.75" customHeight="1">
      <c r="L115" s="5" t="str">
        <f>IFERROR(__xludf.DUMMYFUNCTION("IFNA(REGEXEXTRACT(B115,""[\-|–][^–|\-]+$""))"),"")</f>
        <v/>
      </c>
    </row>
    <row r="116" ht="15.75" customHeight="1">
      <c r="L116" s="5" t="str">
        <f>IFERROR(__xludf.DUMMYFUNCTION("IFNA(REGEXEXTRACT(B116,""[\-|–][^–|\-]+$""))"),"")</f>
        <v/>
      </c>
    </row>
    <row r="117" ht="15.75" customHeight="1">
      <c r="L117" s="5" t="str">
        <f>IFERROR(__xludf.DUMMYFUNCTION("IFNA(REGEXEXTRACT(B117,""[\-|–][^–|\-]+$""))"),"")</f>
        <v/>
      </c>
    </row>
    <row r="118" ht="15.75" customHeight="1">
      <c r="L118" s="5" t="str">
        <f>IFERROR(__xludf.DUMMYFUNCTION("IFNA(REGEXEXTRACT(B118,""[\-|–][^–|\-]+$""))"),"")</f>
        <v/>
      </c>
    </row>
    <row r="119" ht="15.75" customHeight="1">
      <c r="L119" s="5" t="str">
        <f>IFERROR(__xludf.DUMMYFUNCTION("IFNA(REGEXEXTRACT(B119,""[\-|–][^–|\-]+$""))"),"")</f>
        <v/>
      </c>
    </row>
    <row r="120" ht="15.75" customHeight="1">
      <c r="L120" s="5" t="str">
        <f>IFERROR(__xludf.DUMMYFUNCTION("IFNA(REGEXEXTRACT(B120,""[\-|–][^–|\-]+$""))"),"")</f>
        <v/>
      </c>
    </row>
    <row r="121" ht="15.75" customHeight="1">
      <c r="L121" s="5" t="str">
        <f>IFERROR(__xludf.DUMMYFUNCTION("IFNA(REGEXEXTRACT(B121,""[\-|–][^–|\-]+$""))"),"")</f>
        <v/>
      </c>
    </row>
    <row r="122" ht="15.75" customHeight="1">
      <c r="L122" s="5" t="str">
        <f>IFERROR(__xludf.DUMMYFUNCTION("IFNA(REGEXEXTRACT(B122,""[\-|–][^–|\-]+$""))"),"")</f>
        <v/>
      </c>
    </row>
    <row r="123" ht="15.75" customHeight="1">
      <c r="L123" s="5" t="str">
        <f>IFERROR(__xludf.DUMMYFUNCTION("IFNA(REGEXEXTRACT(B123,""[\-|–][^–|\-]+$""))"),"")</f>
        <v/>
      </c>
    </row>
    <row r="124" ht="15.75" customHeight="1">
      <c r="L124" s="5" t="str">
        <f>IFERROR(__xludf.DUMMYFUNCTION("IFNA(REGEXEXTRACT(B124,""[\-|–][^–|\-]+$""))"),"")</f>
        <v/>
      </c>
    </row>
    <row r="125" ht="15.75" customHeight="1">
      <c r="L125" s="5" t="str">
        <f>IFERROR(__xludf.DUMMYFUNCTION("IFNA(REGEXEXTRACT(B125,""[\-|–][^–|\-]+$""))"),"")</f>
        <v/>
      </c>
    </row>
    <row r="126" ht="15.75" customHeight="1">
      <c r="L126" s="5" t="str">
        <f>IFERROR(__xludf.DUMMYFUNCTION("IFNA(REGEXEXTRACT(B126,""[\-|–][^–|\-]+$""))"),"")</f>
        <v/>
      </c>
    </row>
    <row r="127" ht="15.75" customHeight="1">
      <c r="L127" s="5" t="str">
        <f>IFERROR(__xludf.DUMMYFUNCTION("IFNA(REGEXEXTRACT(B127,""[\-|–][^–|\-]+$""))"),"")</f>
        <v/>
      </c>
    </row>
    <row r="128" ht="15.75" customHeight="1">
      <c r="L128" s="5" t="str">
        <f>IFERROR(__xludf.DUMMYFUNCTION("IFNA(REGEXEXTRACT(B128,""[\-|–][^–|\-]+$""))"),"")</f>
        <v/>
      </c>
    </row>
    <row r="129" ht="15.75" customHeight="1">
      <c r="L129" s="5" t="str">
        <f>IFERROR(__xludf.DUMMYFUNCTION("IFNA(REGEXEXTRACT(B129,""[\-|–][^–|\-]+$""))"),"")</f>
        <v/>
      </c>
    </row>
    <row r="130" ht="15.75" customHeight="1">
      <c r="L130" s="5" t="str">
        <f>IFERROR(__xludf.DUMMYFUNCTION("IFNA(REGEXEXTRACT(B130,""[\-|–][^–|\-]+$""))"),"")</f>
        <v/>
      </c>
    </row>
    <row r="131" ht="15.75" customHeight="1">
      <c r="L131" s="5" t="str">
        <f>IFERROR(__xludf.DUMMYFUNCTION("IFNA(REGEXEXTRACT(B131,""[\-|–][^–|\-]+$""))"),"")</f>
        <v/>
      </c>
    </row>
    <row r="132" ht="15.75" customHeight="1">
      <c r="L132" s="5" t="str">
        <f>IFERROR(__xludf.DUMMYFUNCTION("IFNA(REGEXEXTRACT(B132,""[\-|–][^–|\-]+$""))"),"")</f>
        <v/>
      </c>
    </row>
    <row r="133" ht="15.75" customHeight="1">
      <c r="L133" s="5" t="str">
        <f>IFERROR(__xludf.DUMMYFUNCTION("IFNA(REGEXEXTRACT(B133,""[\-|–][^–|\-]+$""))"),"")</f>
        <v/>
      </c>
    </row>
    <row r="134" ht="15.75" customHeight="1">
      <c r="L134" s="5" t="str">
        <f>IFERROR(__xludf.DUMMYFUNCTION("IFNA(REGEXEXTRACT(B134,""[\-|–][^–|\-]+$""))"),"")</f>
        <v/>
      </c>
    </row>
    <row r="135" ht="15.75" customHeight="1">
      <c r="L135" s="5" t="str">
        <f>IFERROR(__xludf.DUMMYFUNCTION("IFNA(REGEXEXTRACT(B135,""[\-|–][^–|\-]+$""))"),"")</f>
        <v/>
      </c>
    </row>
    <row r="136" ht="15.75" customHeight="1">
      <c r="L136" s="5" t="str">
        <f>IFERROR(__xludf.DUMMYFUNCTION("IFNA(REGEXEXTRACT(B136,""[\-|–][^–|\-]+$""))"),"")</f>
        <v/>
      </c>
    </row>
    <row r="137" ht="15.75" customHeight="1">
      <c r="L137" s="5" t="str">
        <f>IFERROR(__xludf.DUMMYFUNCTION("IFNA(REGEXEXTRACT(B137,""[\-|–][^–|\-]+$""))"),"")</f>
        <v/>
      </c>
    </row>
    <row r="138" ht="15.75" customHeight="1">
      <c r="L138" s="5" t="str">
        <f>IFERROR(__xludf.DUMMYFUNCTION("IFNA(REGEXEXTRACT(B138,""[\-|–][^–|\-]+$""))"),"")</f>
        <v/>
      </c>
    </row>
    <row r="139" ht="15.75" customHeight="1">
      <c r="L139" s="5" t="str">
        <f>IFERROR(__xludf.DUMMYFUNCTION("IFNA(REGEXEXTRACT(B139,""[\-|–][^–|\-]+$""))"),"")</f>
        <v/>
      </c>
    </row>
    <row r="140" ht="15.75" customHeight="1">
      <c r="L140" s="5" t="str">
        <f>IFERROR(__xludf.DUMMYFUNCTION("IFNA(REGEXEXTRACT(B140,""[\-|–][^–|\-]+$""))"),"")</f>
        <v/>
      </c>
    </row>
    <row r="141" ht="15.75" customHeight="1">
      <c r="L141" s="5" t="str">
        <f>IFERROR(__xludf.DUMMYFUNCTION("IFNA(REGEXEXTRACT(B141,""[\-|–][^–|\-]+$""))"),"")</f>
        <v/>
      </c>
    </row>
    <row r="142" ht="15.75" customHeight="1">
      <c r="L142" s="5" t="str">
        <f>IFERROR(__xludf.DUMMYFUNCTION("IFNA(REGEXEXTRACT(B142,""[\-|–][^–|\-]+$""))"),"")</f>
        <v/>
      </c>
    </row>
    <row r="143" ht="15.75" customHeight="1">
      <c r="L143" s="5" t="str">
        <f>IFERROR(__xludf.DUMMYFUNCTION("IFNA(REGEXEXTRACT(B143,""[\-|–][^–|\-]+$""))"),"")</f>
        <v/>
      </c>
    </row>
    <row r="144" ht="15.75" customHeight="1">
      <c r="L144" s="5" t="str">
        <f>IFERROR(__xludf.DUMMYFUNCTION("IFNA(REGEXEXTRACT(B144,""[\-|–][^–|\-]+$""))"),"")</f>
        <v/>
      </c>
    </row>
    <row r="145" ht="15.75" customHeight="1">
      <c r="L145" s="5" t="str">
        <f>IFERROR(__xludf.DUMMYFUNCTION("IFNA(REGEXEXTRACT(B145,""[\-|–][^–|\-]+$""))"),"")</f>
        <v/>
      </c>
    </row>
    <row r="146" ht="15.75" customHeight="1">
      <c r="L146" s="5" t="str">
        <f>IFERROR(__xludf.DUMMYFUNCTION("IFNA(REGEXEXTRACT(B146,""[\-|–][^–|\-]+$""))"),"")</f>
        <v/>
      </c>
    </row>
    <row r="147" ht="15.75" customHeight="1">
      <c r="L147" s="5" t="str">
        <f>IFERROR(__xludf.DUMMYFUNCTION("IFNA(REGEXEXTRACT(B147,""[\-|–][^–|\-]+$""))"),"")</f>
        <v/>
      </c>
    </row>
    <row r="148" ht="15.75" customHeight="1">
      <c r="L148" s="5" t="str">
        <f>IFERROR(__xludf.DUMMYFUNCTION("IFNA(REGEXEXTRACT(B148,""[\-|–][^–|\-]+$""))"),"")</f>
        <v/>
      </c>
    </row>
    <row r="149" ht="15.75" customHeight="1">
      <c r="L149" s="5" t="str">
        <f>IFERROR(__xludf.DUMMYFUNCTION("IFNA(REGEXEXTRACT(B149,""[\-|–][^–|\-]+$""))"),"")</f>
        <v/>
      </c>
    </row>
    <row r="150" ht="15.75" customHeight="1">
      <c r="L150" s="5" t="str">
        <f>IFERROR(__xludf.DUMMYFUNCTION("IFNA(REGEXEXTRACT(B150,""[\-|–][^–|\-]+$""))"),"")</f>
        <v/>
      </c>
    </row>
    <row r="151" ht="15.75" customHeight="1">
      <c r="L151" s="5" t="str">
        <f>IFERROR(__xludf.DUMMYFUNCTION("IFNA(REGEXEXTRACT(B151,""[\-|–][^–|\-]+$""))"),"")</f>
        <v/>
      </c>
    </row>
    <row r="152" ht="15.75" customHeight="1">
      <c r="L152" s="5" t="str">
        <f>IFERROR(__xludf.DUMMYFUNCTION("IFNA(REGEXEXTRACT(B152,""[\-|–][^–|\-]+$""))"),"")</f>
        <v/>
      </c>
    </row>
    <row r="153" ht="15.75" customHeight="1">
      <c r="L153" s="5" t="str">
        <f>IFERROR(__xludf.DUMMYFUNCTION("IFNA(REGEXEXTRACT(B153,""[\-|–][^–|\-]+$""))"),"")</f>
        <v/>
      </c>
    </row>
    <row r="154" ht="15.75" customHeight="1">
      <c r="L154" s="5" t="str">
        <f>IFERROR(__xludf.DUMMYFUNCTION("IFNA(REGEXEXTRACT(B154,""[\-|–][^–|\-]+$""))"),"")</f>
        <v/>
      </c>
    </row>
    <row r="155" ht="15.75" customHeight="1">
      <c r="L155" s="5" t="str">
        <f>IFERROR(__xludf.DUMMYFUNCTION("IFNA(REGEXEXTRACT(B155,""[\-|–][^–|\-]+$""))"),"")</f>
        <v/>
      </c>
    </row>
    <row r="156" ht="15.75" customHeight="1">
      <c r="L156" s="5" t="str">
        <f>IFERROR(__xludf.DUMMYFUNCTION("IFNA(REGEXEXTRACT(B156,""[\-|–][^–|\-]+$""))"),"")</f>
        <v/>
      </c>
    </row>
    <row r="157" ht="15.75" customHeight="1">
      <c r="L157" s="5" t="str">
        <f>IFERROR(__xludf.DUMMYFUNCTION("IFNA(REGEXEXTRACT(B157,""[\-|–][^–|\-]+$""))"),"")</f>
        <v/>
      </c>
    </row>
    <row r="158" ht="15.75" customHeight="1">
      <c r="L158" s="5" t="str">
        <f>IFERROR(__xludf.DUMMYFUNCTION("IFNA(REGEXEXTRACT(B158,""[\-|–][^–|\-]+$""))"),"")</f>
        <v/>
      </c>
    </row>
    <row r="159" ht="15.75" customHeight="1">
      <c r="L159" s="5" t="str">
        <f>IFERROR(__xludf.DUMMYFUNCTION("IFNA(REGEXEXTRACT(B159,""[\-|–][^–|\-]+$""))"),"")</f>
        <v/>
      </c>
    </row>
    <row r="160" ht="15.75" customHeight="1">
      <c r="L160" s="5" t="str">
        <f>IFERROR(__xludf.DUMMYFUNCTION("IFNA(REGEXEXTRACT(B160,""[\-|–][^–|\-]+$""))"),"")</f>
        <v/>
      </c>
    </row>
    <row r="161" ht="15.75" customHeight="1">
      <c r="L161" s="5" t="str">
        <f>IFERROR(__xludf.DUMMYFUNCTION("IFNA(REGEXEXTRACT(B161,""[\-|–][^–|\-]+$""))"),"")</f>
        <v/>
      </c>
    </row>
    <row r="162" ht="15.75" customHeight="1">
      <c r="L162" s="5" t="str">
        <f>IFERROR(__xludf.DUMMYFUNCTION("IFNA(REGEXEXTRACT(B162,""[\-|–][^–|\-]+$""))"),"")</f>
        <v/>
      </c>
    </row>
    <row r="163" ht="15.75" customHeight="1">
      <c r="L163" s="5" t="str">
        <f>IFERROR(__xludf.DUMMYFUNCTION("IFNA(REGEXEXTRACT(B163,""[\-|–][^–|\-]+$""))"),"")</f>
        <v/>
      </c>
    </row>
    <row r="164" ht="15.75" customHeight="1">
      <c r="L164" s="5" t="str">
        <f>IFERROR(__xludf.DUMMYFUNCTION("IFNA(REGEXEXTRACT(B164,""[\-|–][^–|\-]+$""))"),"")</f>
        <v/>
      </c>
    </row>
    <row r="165" ht="15.75" customHeight="1">
      <c r="L165" s="5" t="str">
        <f>IFERROR(__xludf.DUMMYFUNCTION("IFNA(REGEXEXTRACT(B165,""[\-|–][^–|\-]+$""))"),"")</f>
        <v/>
      </c>
    </row>
    <row r="166" ht="15.75" customHeight="1">
      <c r="L166" s="5" t="str">
        <f>IFERROR(__xludf.DUMMYFUNCTION("IFNA(REGEXEXTRACT(B166,""[\-|–][^–|\-]+$""))"),"")</f>
        <v/>
      </c>
    </row>
    <row r="167" ht="15.75" customHeight="1">
      <c r="L167" s="5" t="str">
        <f>IFERROR(__xludf.DUMMYFUNCTION("IFNA(REGEXEXTRACT(B167,""[\-|–][^–|\-]+$""))"),"")</f>
        <v/>
      </c>
    </row>
    <row r="168" ht="15.75" customHeight="1">
      <c r="L168" s="5" t="str">
        <f>IFERROR(__xludf.DUMMYFUNCTION("IFNA(REGEXEXTRACT(B168,""[\-|–][^–|\-]+$""))"),"")</f>
        <v/>
      </c>
    </row>
    <row r="169" ht="15.75" customHeight="1">
      <c r="L169" s="5" t="str">
        <f>IFERROR(__xludf.DUMMYFUNCTION("IFNA(REGEXEXTRACT(B169,""[\-|–][^–|\-]+$""))"),"")</f>
        <v/>
      </c>
    </row>
    <row r="170" ht="15.75" customHeight="1">
      <c r="L170" s="5" t="str">
        <f>IFERROR(__xludf.DUMMYFUNCTION("IFNA(REGEXEXTRACT(B170,""[\-|–][^–|\-]+$""))"),"")</f>
        <v/>
      </c>
    </row>
    <row r="171" ht="15.75" customHeight="1">
      <c r="L171" s="5" t="str">
        <f>IFERROR(__xludf.DUMMYFUNCTION("IFNA(REGEXEXTRACT(B171,""[\-|–][^–|\-]+$""))"),"")</f>
        <v/>
      </c>
    </row>
    <row r="172" ht="15.75" customHeight="1">
      <c r="L172" s="5" t="str">
        <f>IFERROR(__xludf.DUMMYFUNCTION("IFNA(REGEXEXTRACT(B172,""[\-|–][^–|\-]+$""))"),"")</f>
        <v/>
      </c>
    </row>
    <row r="173" ht="15.75" customHeight="1">
      <c r="L173" s="5" t="str">
        <f>IFERROR(__xludf.DUMMYFUNCTION("IFNA(REGEXEXTRACT(B173,""[\-|–][^–|\-]+$""))"),"")</f>
        <v/>
      </c>
    </row>
    <row r="174" ht="15.75" customHeight="1">
      <c r="L174" s="5" t="str">
        <f>IFERROR(__xludf.DUMMYFUNCTION("IFNA(REGEXEXTRACT(B174,""[\-|–][^–|\-]+$""))"),"")</f>
        <v/>
      </c>
    </row>
    <row r="175" ht="15.75" customHeight="1">
      <c r="L175" s="5" t="str">
        <f>IFERROR(__xludf.DUMMYFUNCTION("IFNA(REGEXEXTRACT(B175,""[\-|–][^–|\-]+$""))"),"")</f>
        <v/>
      </c>
    </row>
    <row r="176" ht="15.75" customHeight="1">
      <c r="L176" s="5" t="str">
        <f>IFERROR(__xludf.DUMMYFUNCTION("IFNA(REGEXEXTRACT(B176,""[\-|–][^–|\-]+$""))"),"")</f>
        <v/>
      </c>
    </row>
    <row r="177" ht="15.75" customHeight="1">
      <c r="L177" s="5" t="str">
        <f>IFERROR(__xludf.DUMMYFUNCTION("IFNA(REGEXEXTRACT(B177,""[\-|–][^–|\-]+$""))"),"")</f>
        <v/>
      </c>
    </row>
    <row r="178" ht="15.75" customHeight="1">
      <c r="L178" s="5" t="str">
        <f>IFERROR(__xludf.DUMMYFUNCTION("IFNA(REGEXEXTRACT(B178,""[\-|–][^–|\-]+$""))"),"")</f>
        <v/>
      </c>
    </row>
    <row r="179" ht="15.75" customHeight="1">
      <c r="L179" s="5" t="str">
        <f>IFERROR(__xludf.DUMMYFUNCTION("IFNA(REGEXEXTRACT(B179,""[\-|–][^–|\-]+$""))"),"")</f>
        <v/>
      </c>
    </row>
    <row r="180" ht="15.75" customHeight="1">
      <c r="L180" s="5" t="str">
        <f>IFERROR(__xludf.DUMMYFUNCTION("IFNA(REGEXEXTRACT(B180,""[\-|–][^–|\-]+$""))"),"")</f>
        <v/>
      </c>
    </row>
    <row r="181" ht="15.75" customHeight="1">
      <c r="L181" s="5" t="str">
        <f>IFERROR(__xludf.DUMMYFUNCTION("IFNA(REGEXEXTRACT(B181,""[\-|–][^–|\-]+$""))"),"")</f>
        <v/>
      </c>
    </row>
    <row r="182" ht="15.75" customHeight="1">
      <c r="L182" s="5" t="str">
        <f>IFERROR(__xludf.DUMMYFUNCTION("IFNA(REGEXEXTRACT(B182,""[\-|–][^–|\-]+$""))"),"")</f>
        <v/>
      </c>
    </row>
    <row r="183" ht="15.75" customHeight="1">
      <c r="L183" s="5" t="str">
        <f>IFERROR(__xludf.DUMMYFUNCTION("IFNA(REGEXEXTRACT(B183,""[\-|–][^–|\-]+$""))"),"")</f>
        <v/>
      </c>
    </row>
    <row r="184" ht="15.75" customHeight="1">
      <c r="L184" s="5" t="str">
        <f>IFERROR(__xludf.DUMMYFUNCTION("IFNA(REGEXEXTRACT(B184,""[\-|–][^–|\-]+$""))"),"")</f>
        <v/>
      </c>
    </row>
    <row r="185" ht="15.75" customHeight="1">
      <c r="L185" s="5" t="str">
        <f>IFERROR(__xludf.DUMMYFUNCTION("IFNA(REGEXEXTRACT(B185,""[\-|–][^–|\-]+$""))"),"")</f>
        <v/>
      </c>
    </row>
    <row r="186" ht="15.75" customHeight="1">
      <c r="L186" s="5" t="str">
        <f>IFERROR(__xludf.DUMMYFUNCTION("IFNA(REGEXEXTRACT(B186,""[\-|–][^–|\-]+$""))"),"")</f>
        <v/>
      </c>
    </row>
    <row r="187" ht="15.75" customHeight="1">
      <c r="L187" s="5" t="str">
        <f>IFERROR(__xludf.DUMMYFUNCTION("IFNA(REGEXEXTRACT(B187,""[\-|–][^–|\-]+$""))"),"")</f>
        <v/>
      </c>
    </row>
    <row r="188" ht="15.75" customHeight="1">
      <c r="L188" s="5" t="str">
        <f>IFERROR(__xludf.DUMMYFUNCTION("IFNA(REGEXEXTRACT(B188,""[\-|–][^–|\-]+$""))"),"")</f>
        <v/>
      </c>
    </row>
    <row r="189" ht="15.75" customHeight="1">
      <c r="L189" s="5" t="str">
        <f>IFERROR(__xludf.DUMMYFUNCTION("IFNA(REGEXEXTRACT(B189,""[\-|–][^–|\-]+$""))"),"")</f>
        <v/>
      </c>
    </row>
    <row r="190" ht="15.75" customHeight="1">
      <c r="L190" s="5" t="str">
        <f>IFERROR(__xludf.DUMMYFUNCTION("IFNA(REGEXEXTRACT(B190,""[\-|–][^–|\-]+$""))"),"")</f>
        <v/>
      </c>
    </row>
    <row r="191" ht="15.75" customHeight="1">
      <c r="L191" s="5" t="str">
        <f>IFERROR(__xludf.DUMMYFUNCTION("IFNA(REGEXEXTRACT(B191,""[\-|–][^–|\-]+$""))"),"")</f>
        <v/>
      </c>
    </row>
    <row r="192" ht="15.75" customHeight="1">
      <c r="L192" s="5" t="str">
        <f>IFERROR(__xludf.DUMMYFUNCTION("IFNA(REGEXEXTRACT(B192,""[\-|–][^–|\-]+$""))"),"")</f>
        <v/>
      </c>
    </row>
    <row r="193" ht="15.75" customHeight="1">
      <c r="L193" s="5" t="str">
        <f>IFERROR(__xludf.DUMMYFUNCTION("IFNA(REGEXEXTRACT(B193,""[\-|–][^–|\-]+$""))"),"")</f>
        <v/>
      </c>
    </row>
    <row r="194" ht="15.75" customHeight="1">
      <c r="L194" s="5" t="str">
        <f>IFERROR(__xludf.DUMMYFUNCTION("IFNA(REGEXEXTRACT(B194,""[\-|–][^–|\-]+$""))"),"")</f>
        <v/>
      </c>
    </row>
    <row r="195" ht="15.75" customHeight="1">
      <c r="L195" s="5" t="str">
        <f>IFERROR(__xludf.DUMMYFUNCTION("IFNA(REGEXEXTRACT(B195,""[\-|–][^–|\-]+$""))"),"")</f>
        <v/>
      </c>
    </row>
    <row r="196" ht="15.75" customHeight="1">
      <c r="L196" s="5" t="str">
        <f>IFERROR(__xludf.DUMMYFUNCTION("IFNA(REGEXEXTRACT(B196,""[\-|–][^–|\-]+$""))"),"")</f>
        <v/>
      </c>
    </row>
    <row r="197" ht="15.75" customHeight="1">
      <c r="L197" s="5" t="str">
        <f>IFERROR(__xludf.DUMMYFUNCTION("IFNA(REGEXEXTRACT(B197,""[\-|–][^–|\-]+$""))"),"")</f>
        <v/>
      </c>
    </row>
    <row r="198" ht="15.75" customHeight="1">
      <c r="L198" s="5" t="str">
        <f>IFERROR(__xludf.DUMMYFUNCTION("IFNA(REGEXEXTRACT(B198,""[\-|–][^–|\-]+$""))"),"")</f>
        <v/>
      </c>
    </row>
    <row r="199" ht="15.75" customHeight="1">
      <c r="L199" s="5" t="str">
        <f>IFERROR(__xludf.DUMMYFUNCTION("IFNA(REGEXEXTRACT(B199,""[\-|–][^–|\-]+$""))"),"")</f>
        <v/>
      </c>
    </row>
    <row r="200" ht="15.75" customHeight="1">
      <c r="L200" s="5" t="str">
        <f>IFERROR(__xludf.DUMMYFUNCTION("IFNA(REGEXEXTRACT(B200,""[\-|–][^–|\-]+$""))"),"")</f>
        <v/>
      </c>
    </row>
    <row r="201" ht="15.75" customHeight="1">
      <c r="L201" s="5" t="str">
        <f>IFERROR(__xludf.DUMMYFUNCTION("IFNA(REGEXEXTRACT(B201,""[\-|–][^–|\-]+$""))"),"")</f>
        <v/>
      </c>
    </row>
    <row r="202" ht="15.75" customHeight="1">
      <c r="L202" s="5" t="str">
        <f>IFERROR(__xludf.DUMMYFUNCTION("IFNA(REGEXEXTRACT(B202,""[\-|–][^–|\-]+$""))"),"")</f>
        <v/>
      </c>
    </row>
    <row r="203" ht="15.75" customHeight="1">
      <c r="L203" s="5" t="str">
        <f>IFERROR(__xludf.DUMMYFUNCTION("IFNA(REGEXEXTRACT(B203,""[\-|–][^–|\-]+$""))"),"")</f>
        <v/>
      </c>
    </row>
    <row r="204" ht="15.75" customHeight="1">
      <c r="L204" s="5" t="str">
        <f>IFERROR(__xludf.DUMMYFUNCTION("IFNA(REGEXEXTRACT(B204,""[\-|–][^–|\-]+$""))"),"")</f>
        <v/>
      </c>
    </row>
    <row r="205" ht="15.75" customHeight="1">
      <c r="L205" s="5" t="str">
        <f>IFERROR(__xludf.DUMMYFUNCTION("IFNA(REGEXEXTRACT(B205,""[\-|–][^–|\-]+$""))"),"")</f>
        <v/>
      </c>
    </row>
    <row r="206" ht="15.75" customHeight="1">
      <c r="L206" s="5" t="str">
        <f>IFERROR(__xludf.DUMMYFUNCTION("IFNA(REGEXEXTRACT(B206,""[\-|–][^–|\-]+$""))"),"")</f>
        <v/>
      </c>
    </row>
    <row r="207" ht="15.75" customHeight="1">
      <c r="L207" s="5" t="str">
        <f>IFERROR(__xludf.DUMMYFUNCTION("IFNA(REGEXEXTRACT(B207,""[\-|–][^–|\-]+$""))"),"")</f>
        <v/>
      </c>
    </row>
    <row r="208" ht="15.75" customHeight="1">
      <c r="L208" s="5" t="str">
        <f>IFERROR(__xludf.DUMMYFUNCTION("IFNA(REGEXEXTRACT(B208,""[\-|–][^–|\-]+$""))"),"")</f>
        <v/>
      </c>
    </row>
    <row r="209" ht="15.75" customHeight="1">
      <c r="L209" s="5" t="str">
        <f>IFERROR(__xludf.DUMMYFUNCTION("IFNA(REGEXEXTRACT(B209,""[\-|–][^–|\-]+$""))"),"")</f>
        <v/>
      </c>
    </row>
    <row r="210" ht="15.75" customHeight="1">
      <c r="L210" s="5" t="str">
        <f>IFERROR(__xludf.DUMMYFUNCTION("IFNA(REGEXEXTRACT(B210,""[\-|–][^–|\-]+$""))"),"")</f>
        <v/>
      </c>
    </row>
    <row r="211" ht="15.75" customHeight="1">
      <c r="L211" s="5" t="str">
        <f>IFERROR(__xludf.DUMMYFUNCTION("IFNA(REGEXEXTRACT(B211,""[\-|–][^–|\-]+$""))"),"")</f>
        <v/>
      </c>
    </row>
    <row r="212" ht="15.75" customHeight="1">
      <c r="L212" s="5" t="str">
        <f>IFERROR(__xludf.DUMMYFUNCTION("IFNA(REGEXEXTRACT(B212,""[\-|–][^–|\-]+$""))"),"")</f>
        <v/>
      </c>
    </row>
    <row r="213" ht="15.75" customHeight="1">
      <c r="L213" s="5" t="str">
        <f>IFERROR(__xludf.DUMMYFUNCTION("IFNA(REGEXEXTRACT(B213,""[\-|–][^–|\-]+$""))"),"")</f>
        <v/>
      </c>
    </row>
    <row r="214" ht="15.75" customHeight="1">
      <c r="L214" s="5" t="str">
        <f>IFERROR(__xludf.DUMMYFUNCTION("IFNA(REGEXEXTRACT(B214,""[\-|–][^–|\-]+$""))"),"")</f>
        <v/>
      </c>
    </row>
    <row r="215" ht="15.75" customHeight="1">
      <c r="L215" s="5" t="str">
        <f>IFERROR(__xludf.DUMMYFUNCTION("IFNA(REGEXEXTRACT(B215,""[\-|–][^–|\-]+$""))"),"")</f>
        <v/>
      </c>
    </row>
    <row r="216" ht="15.75" customHeight="1">
      <c r="L216" s="5" t="str">
        <f>IFERROR(__xludf.DUMMYFUNCTION("IFNA(REGEXEXTRACT(B216,""[\-|–][^–|\-]+$""))"),"")</f>
        <v/>
      </c>
    </row>
    <row r="217" ht="15.75" customHeight="1">
      <c r="L217" s="5" t="str">
        <f>IFERROR(__xludf.DUMMYFUNCTION("IFNA(REGEXEXTRACT(B217,""[\-|–][^–|\-]+$""))"),"")</f>
        <v/>
      </c>
    </row>
    <row r="218" ht="15.75" customHeight="1">
      <c r="L218" s="5" t="str">
        <f>IFERROR(__xludf.DUMMYFUNCTION("IFNA(REGEXEXTRACT(B218,""[\-|–][^–|\-]+$""))"),"")</f>
        <v/>
      </c>
    </row>
    <row r="219" ht="15.75" customHeight="1">
      <c r="L219" s="5" t="str">
        <f>IFERROR(__xludf.DUMMYFUNCTION("IFNA(REGEXEXTRACT(B219,""[\-|–][^–|\-]+$""))"),"")</f>
        <v/>
      </c>
    </row>
    <row r="220" ht="15.75" customHeight="1">
      <c r="L220" s="5" t="str">
        <f>IFERROR(__xludf.DUMMYFUNCTION("IFNA(REGEXEXTRACT(B220,""[\-|–][^–|\-]+$""))"),"")</f>
        <v/>
      </c>
    </row>
    <row r="221" ht="15.75" customHeight="1">
      <c r="L221" s="5" t="str">
        <f>IFERROR(__xludf.DUMMYFUNCTION("IFNA(REGEXEXTRACT(B221,""[\-|–][^–|\-]+$""))"),"")</f>
        <v/>
      </c>
    </row>
    <row r="222" ht="15.75" customHeight="1">
      <c r="L222" s="5" t="str">
        <f>IFERROR(__xludf.DUMMYFUNCTION("IFNA(REGEXEXTRACT(B222,""[\-|–][^–|\-]+$""))"),"")</f>
        <v/>
      </c>
    </row>
    <row r="223" ht="15.75" customHeight="1">
      <c r="L223" s="5" t="str">
        <f>IFERROR(__xludf.DUMMYFUNCTION("IFNA(REGEXEXTRACT(B223,""[\-|–][^–|\-]+$""))"),"")</f>
        <v/>
      </c>
    </row>
    <row r="224" ht="15.75" customHeight="1">
      <c r="L224" s="5" t="str">
        <f>IFERROR(__xludf.DUMMYFUNCTION("IFNA(REGEXEXTRACT(B224,""[\-|–][^–|\-]+$""))"),"")</f>
        <v/>
      </c>
    </row>
    <row r="225" ht="15.75" customHeight="1">
      <c r="L225" s="5" t="str">
        <f>IFERROR(__xludf.DUMMYFUNCTION("IFNA(REGEXEXTRACT(B225,""[\-|–][^–|\-]+$""))"),"")</f>
        <v/>
      </c>
    </row>
    <row r="226" ht="15.75" customHeight="1">
      <c r="L226" s="5" t="str">
        <f>IFERROR(__xludf.DUMMYFUNCTION("IFNA(REGEXEXTRACT(B226,""[\-|–][^–|\-]+$""))"),"")</f>
        <v/>
      </c>
    </row>
    <row r="227" ht="15.75" customHeight="1">
      <c r="L227" s="5" t="str">
        <f>IFERROR(__xludf.DUMMYFUNCTION("IFNA(REGEXEXTRACT(B227,""[\-|–][^–|\-]+$""))"),"")</f>
        <v/>
      </c>
    </row>
    <row r="228" ht="15.75" customHeight="1">
      <c r="L228" s="5" t="str">
        <f>IFERROR(__xludf.DUMMYFUNCTION("IFNA(REGEXEXTRACT(B228,""[\-|–][^–|\-]+$""))"),"")</f>
        <v/>
      </c>
    </row>
    <row r="229" ht="15.75" customHeight="1">
      <c r="L229" s="5" t="str">
        <f>IFERROR(__xludf.DUMMYFUNCTION("IFNA(REGEXEXTRACT(B229,""[\-|–][^–|\-]+$""))"),"")</f>
        <v/>
      </c>
    </row>
    <row r="230" ht="15.75" customHeight="1">
      <c r="L230" s="5" t="str">
        <f>IFERROR(__xludf.DUMMYFUNCTION("IFNA(REGEXEXTRACT(B230,""[\-|–][^–|\-]+$""))"),"")</f>
        <v/>
      </c>
    </row>
    <row r="231" ht="15.75" customHeight="1">
      <c r="L231" s="5" t="str">
        <f>IFERROR(__xludf.DUMMYFUNCTION("IFNA(REGEXEXTRACT(B231,""[\-|–][^–|\-]+$""))"),"")</f>
        <v/>
      </c>
    </row>
    <row r="232" ht="15.75" customHeight="1">
      <c r="L232" s="5" t="str">
        <f>IFERROR(__xludf.DUMMYFUNCTION("IFNA(REGEXEXTRACT(B232,""[\-|–][^–|\-]+$""))"),"")</f>
        <v/>
      </c>
    </row>
    <row r="233" ht="15.75" customHeight="1">
      <c r="L233" s="5" t="str">
        <f>IFERROR(__xludf.DUMMYFUNCTION("IFNA(REGEXEXTRACT(B233,""[\-|–][^–|\-]+$""))"),"")</f>
        <v/>
      </c>
    </row>
    <row r="234" ht="15.75" customHeight="1">
      <c r="L234" s="5" t="str">
        <f>IFERROR(__xludf.DUMMYFUNCTION("IFNA(REGEXEXTRACT(B234,""[\-|–][^–|\-]+$""))"),"")</f>
        <v/>
      </c>
    </row>
    <row r="235" ht="15.75" customHeight="1">
      <c r="L235" s="5" t="str">
        <f>IFERROR(__xludf.DUMMYFUNCTION("IFNA(REGEXEXTRACT(B235,""[\-|–][^–|\-]+$""))"),"")</f>
        <v/>
      </c>
    </row>
    <row r="236" ht="15.75" customHeight="1">
      <c r="L236" s="5" t="str">
        <f>IFERROR(__xludf.DUMMYFUNCTION("IFNA(REGEXEXTRACT(B236,""[\-|–][^–|\-]+$""))"),"")</f>
        <v/>
      </c>
    </row>
    <row r="237" ht="15.75" customHeight="1">
      <c r="L237" s="5" t="str">
        <f>IFERROR(__xludf.DUMMYFUNCTION("IFNA(REGEXEXTRACT(B237,""[\-|–][^–|\-]+$""))"),"")</f>
        <v/>
      </c>
    </row>
    <row r="238" ht="15.75" customHeight="1">
      <c r="L238" s="5" t="str">
        <f>IFERROR(__xludf.DUMMYFUNCTION("IFNA(REGEXEXTRACT(B238,""[\-|–][^–|\-]+$""))"),"")</f>
        <v/>
      </c>
    </row>
    <row r="239" ht="15.75" customHeight="1">
      <c r="L239" s="5" t="str">
        <f>IFERROR(__xludf.DUMMYFUNCTION("IFNA(REGEXEXTRACT(B239,""[\-|–][^–|\-]+$""))"),"")</f>
        <v/>
      </c>
    </row>
    <row r="240" ht="15.75" customHeight="1">
      <c r="L240" s="5" t="str">
        <f>IFERROR(__xludf.DUMMYFUNCTION("IFNA(REGEXEXTRACT(B240,""[\-|–][^–|\-]+$""))"),"")</f>
        <v/>
      </c>
    </row>
    <row r="241" ht="15.75" customHeight="1">
      <c r="L241" s="5" t="str">
        <f>IFERROR(__xludf.DUMMYFUNCTION("IFNA(REGEXEXTRACT(B241,""[\-|–][^–|\-]+$""))"),"")</f>
        <v/>
      </c>
    </row>
    <row r="242" ht="15.75" customHeight="1">
      <c r="L242" s="5" t="str">
        <f>IFERROR(__xludf.DUMMYFUNCTION("IFNA(REGEXEXTRACT(B242,""[\-|–][^–|\-]+$""))"),"")</f>
        <v/>
      </c>
    </row>
    <row r="243" ht="15.75" customHeight="1">
      <c r="L243" s="5" t="str">
        <f>IFERROR(__xludf.DUMMYFUNCTION("IFNA(REGEXEXTRACT(B243,""[\-|–][^–|\-]+$""))"),"")</f>
        <v/>
      </c>
    </row>
    <row r="244" ht="15.75" customHeight="1">
      <c r="L244" s="5" t="str">
        <f>IFERROR(__xludf.DUMMYFUNCTION("IFNA(REGEXEXTRACT(B244,""[\-|–][^–|\-]+$""))"),"")</f>
        <v/>
      </c>
    </row>
    <row r="245" ht="15.75" customHeight="1">
      <c r="L245" s="5" t="str">
        <f>IFERROR(__xludf.DUMMYFUNCTION("IFNA(REGEXEXTRACT(B245,""[\-|–][^–|\-]+$""))"),"")</f>
        <v/>
      </c>
    </row>
    <row r="246" ht="15.75" customHeight="1">
      <c r="L246" s="5" t="str">
        <f>IFERROR(__xludf.DUMMYFUNCTION("IFNA(REGEXEXTRACT(B246,""[\-|–][^–|\-]+$""))"),"")</f>
        <v/>
      </c>
    </row>
    <row r="247" ht="15.75" customHeight="1">
      <c r="L247" s="5" t="str">
        <f>IFERROR(__xludf.DUMMYFUNCTION("IFNA(REGEXEXTRACT(B247,""[\-|–][^–|\-]+$""))"),"")</f>
        <v/>
      </c>
    </row>
    <row r="248" ht="15.75" customHeight="1">
      <c r="L248" s="5" t="str">
        <f>IFERROR(__xludf.DUMMYFUNCTION("IFNA(REGEXEXTRACT(B248,""[\-|–][^–|\-]+$""))"),"")</f>
        <v/>
      </c>
    </row>
    <row r="249" ht="15.75" customHeight="1">
      <c r="L249" s="5" t="str">
        <f>IFERROR(__xludf.DUMMYFUNCTION("IFNA(REGEXEXTRACT(B249,""[\-|–][^–|\-]+$""))"),"")</f>
        <v/>
      </c>
    </row>
    <row r="250" ht="15.75" customHeight="1">
      <c r="L250" s="5" t="str">
        <f>IFERROR(__xludf.DUMMYFUNCTION("IFNA(REGEXEXTRACT(B250,""[\-|–][^–|\-]+$""))"),"")</f>
        <v/>
      </c>
    </row>
    <row r="251" ht="15.75" customHeight="1">
      <c r="L251" s="5" t="str">
        <f>IFERROR(__xludf.DUMMYFUNCTION("IFNA(REGEXEXTRACT(B251,""[\-|–][^–|\-]+$""))"),"")</f>
        <v/>
      </c>
    </row>
    <row r="252" ht="15.75" customHeight="1">
      <c r="L252" s="5" t="str">
        <f>IFERROR(__xludf.DUMMYFUNCTION("IFNA(REGEXEXTRACT(B252,""[\-|–][^–|\-]+$""))"),"")</f>
        <v/>
      </c>
    </row>
    <row r="253" ht="15.75" customHeight="1">
      <c r="L253" s="5" t="str">
        <f>IFERROR(__xludf.DUMMYFUNCTION("IFNA(REGEXEXTRACT(B253,""[\-|–][^–|\-]+$""))"),"")</f>
        <v/>
      </c>
    </row>
    <row r="254" ht="15.75" customHeight="1">
      <c r="L254" s="5" t="str">
        <f>IFERROR(__xludf.DUMMYFUNCTION("IFNA(REGEXEXTRACT(B254,""[\-|–][^–|\-]+$""))"),"")</f>
        <v/>
      </c>
    </row>
    <row r="255" ht="15.75" customHeight="1">
      <c r="L255" s="5" t="str">
        <f>IFERROR(__xludf.DUMMYFUNCTION("IFNA(REGEXEXTRACT(B255,""[\-|–][^–|\-]+$""))"),"")</f>
        <v/>
      </c>
    </row>
    <row r="256" ht="15.75" customHeight="1">
      <c r="L256" s="5" t="str">
        <f>IFERROR(__xludf.DUMMYFUNCTION("IFNA(REGEXEXTRACT(B256,""[\-|–][^–|\-]+$""))"),"")</f>
        <v/>
      </c>
    </row>
    <row r="257" ht="15.75" customHeight="1">
      <c r="L257" s="5" t="str">
        <f>IFERROR(__xludf.DUMMYFUNCTION("IFNA(REGEXEXTRACT(B257,""[\-|–][^–|\-]+$""))"),"")</f>
        <v/>
      </c>
    </row>
    <row r="258" ht="15.75" customHeight="1">
      <c r="L258" s="5" t="str">
        <f>IFERROR(__xludf.DUMMYFUNCTION("IFNA(REGEXEXTRACT(B258,""[\-|–][^–|\-]+$""))"),"")</f>
        <v/>
      </c>
    </row>
    <row r="259" ht="15.75" customHeight="1">
      <c r="L259" s="5" t="str">
        <f>IFERROR(__xludf.DUMMYFUNCTION("IFNA(REGEXEXTRACT(B259,""[\-|–][^–|\-]+$""))"),"")</f>
        <v/>
      </c>
    </row>
    <row r="260" ht="15.75" customHeight="1">
      <c r="L260" s="5" t="str">
        <f>IFERROR(__xludf.DUMMYFUNCTION("IFNA(REGEXEXTRACT(B260,""[\-|–][^–|\-]+$""))"),"")</f>
        <v/>
      </c>
    </row>
    <row r="261" ht="15.75" customHeight="1">
      <c r="L261" s="5" t="str">
        <f>IFERROR(__xludf.DUMMYFUNCTION("IFNA(REGEXEXTRACT(B261,""[\-|–][^–|\-]+$""))"),"")</f>
        <v/>
      </c>
    </row>
    <row r="262" ht="15.75" customHeight="1">
      <c r="L262" s="5" t="str">
        <f>IFERROR(__xludf.DUMMYFUNCTION("IFNA(REGEXEXTRACT(B262,""[\-|–][^–|\-]+$""))"),"")</f>
        <v/>
      </c>
    </row>
    <row r="263" ht="15.75" customHeight="1">
      <c r="L263" s="5" t="str">
        <f>IFERROR(__xludf.DUMMYFUNCTION("IFNA(REGEXEXTRACT(B263,""[\-|–][^–|\-]+$""))"),"")</f>
        <v/>
      </c>
    </row>
    <row r="264" ht="15.75" customHeight="1">
      <c r="L264" s="5" t="str">
        <f>IFERROR(__xludf.DUMMYFUNCTION("IFNA(REGEXEXTRACT(B264,""[\-|–][^–|\-]+$""))"),"")</f>
        <v/>
      </c>
    </row>
    <row r="265" ht="15.75" customHeight="1">
      <c r="L265" s="5" t="str">
        <f>IFERROR(__xludf.DUMMYFUNCTION("IFNA(REGEXEXTRACT(B265,""[\-|–][^–|\-]+$""))"),"")</f>
        <v/>
      </c>
    </row>
    <row r="266" ht="15.75" customHeight="1">
      <c r="L266" s="5" t="str">
        <f>IFERROR(__xludf.DUMMYFUNCTION("IFNA(REGEXEXTRACT(B266,""[\-|–][^–|\-]+$""))"),"")</f>
        <v/>
      </c>
    </row>
    <row r="267" ht="15.75" customHeight="1">
      <c r="L267" s="5" t="str">
        <f>IFERROR(__xludf.DUMMYFUNCTION("IFNA(REGEXEXTRACT(B267,""[\-|–][^–|\-]+$""))"),"")</f>
        <v/>
      </c>
    </row>
    <row r="268" ht="15.75" customHeight="1">
      <c r="L268" s="5" t="str">
        <f>IFERROR(__xludf.DUMMYFUNCTION("IFNA(REGEXEXTRACT(B268,""[\-|–][^–|\-]+$""))"),"")</f>
        <v/>
      </c>
    </row>
    <row r="269" ht="15.75" customHeight="1">
      <c r="L269" s="5" t="str">
        <f>IFERROR(__xludf.DUMMYFUNCTION("IFNA(REGEXEXTRACT(B269,""[\-|–][^–|\-]+$""))"),"")</f>
        <v/>
      </c>
    </row>
    <row r="270" ht="15.75" customHeight="1">
      <c r="L270" s="5" t="str">
        <f>IFERROR(__xludf.DUMMYFUNCTION("IFNA(REGEXEXTRACT(B270,""[\-|–][^–|\-]+$""))"),"")</f>
        <v/>
      </c>
    </row>
    <row r="271" ht="15.75" customHeight="1">
      <c r="L271" s="5" t="str">
        <f>IFERROR(__xludf.DUMMYFUNCTION("IFNA(REGEXEXTRACT(B271,""[\-|–][^–|\-]+$""))"),"")</f>
        <v/>
      </c>
    </row>
    <row r="272" ht="15.75" customHeight="1">
      <c r="L272" s="5" t="str">
        <f>IFERROR(__xludf.DUMMYFUNCTION("IFNA(REGEXEXTRACT(B272,""[\-|–][^–|\-]+$""))"),"")</f>
        <v/>
      </c>
    </row>
    <row r="273" ht="15.75" customHeight="1">
      <c r="L273" s="5" t="str">
        <f>IFERROR(__xludf.DUMMYFUNCTION("IFNA(REGEXEXTRACT(B273,""[\-|–][^–|\-]+$""))"),"")</f>
        <v/>
      </c>
    </row>
    <row r="274" ht="15.75" customHeight="1">
      <c r="L274" s="5" t="str">
        <f>IFERROR(__xludf.DUMMYFUNCTION("IFNA(REGEXEXTRACT(B274,""[\-|–][^–|\-]+$""))"),"")</f>
        <v/>
      </c>
    </row>
    <row r="275" ht="15.75" customHeight="1">
      <c r="L275" s="5" t="str">
        <f>IFERROR(__xludf.DUMMYFUNCTION("IFNA(REGEXEXTRACT(B275,""[\-|–][^–|\-]+$""))"),"")</f>
        <v/>
      </c>
    </row>
    <row r="276" ht="15.75" customHeight="1">
      <c r="L276" s="5" t="str">
        <f>IFERROR(__xludf.DUMMYFUNCTION("IFNA(REGEXEXTRACT(B276,""[\-|–][^–|\-]+$""))"),"")</f>
        <v/>
      </c>
    </row>
    <row r="277" ht="15.75" customHeight="1">
      <c r="L277" s="5" t="str">
        <f>IFERROR(__xludf.DUMMYFUNCTION("IFNA(REGEXEXTRACT(B277,""[\-|–][^–|\-]+$""))"),"")</f>
        <v/>
      </c>
    </row>
    <row r="278" ht="15.75" customHeight="1">
      <c r="L278" s="5" t="str">
        <f>IFERROR(__xludf.DUMMYFUNCTION("IFNA(REGEXEXTRACT(B278,""[\-|–][^–|\-]+$""))"),"")</f>
        <v/>
      </c>
    </row>
    <row r="279" ht="15.75" customHeight="1">
      <c r="L279" s="5" t="str">
        <f>IFERROR(__xludf.DUMMYFUNCTION("IFNA(REGEXEXTRACT(B279,""[\-|–][^–|\-]+$""))"),"")</f>
        <v/>
      </c>
    </row>
    <row r="280" ht="15.75" customHeight="1">
      <c r="L280" s="5" t="str">
        <f>IFERROR(__xludf.DUMMYFUNCTION("IFNA(REGEXEXTRACT(B280,""[\-|–][^–|\-]+$""))"),"")</f>
        <v/>
      </c>
    </row>
    <row r="281" ht="15.75" customHeight="1">
      <c r="L281" s="5" t="str">
        <f>IFERROR(__xludf.DUMMYFUNCTION("IFNA(REGEXEXTRACT(B281,""[\-|–][^–|\-]+$""))"),"")</f>
        <v/>
      </c>
    </row>
    <row r="282" ht="15.75" customHeight="1">
      <c r="L282" s="5" t="str">
        <f>IFERROR(__xludf.DUMMYFUNCTION("IFNA(REGEXEXTRACT(B282,""[\-|–][^–|\-]+$""))"),"")</f>
        <v/>
      </c>
    </row>
    <row r="283" ht="15.75" customHeight="1">
      <c r="L283" s="5" t="str">
        <f>IFERROR(__xludf.DUMMYFUNCTION("IFNA(REGEXEXTRACT(B283,""[\-|–][^–|\-]+$""))"),"")</f>
        <v/>
      </c>
    </row>
    <row r="284" ht="15.75" customHeight="1">
      <c r="L284" s="5" t="str">
        <f>IFERROR(__xludf.DUMMYFUNCTION("IFNA(REGEXEXTRACT(B284,""[\-|–][^–|\-]+$""))"),"")</f>
        <v/>
      </c>
    </row>
    <row r="285" ht="15.75" customHeight="1">
      <c r="L285" s="5" t="str">
        <f>IFERROR(__xludf.DUMMYFUNCTION("IFNA(REGEXEXTRACT(B285,""[\-|–][^–|\-]+$""))"),"")</f>
        <v/>
      </c>
    </row>
    <row r="286" ht="15.75" customHeight="1">
      <c r="L286" s="5" t="str">
        <f>IFERROR(__xludf.DUMMYFUNCTION("IFNA(REGEXEXTRACT(B286,""[\-|–][^–|\-]+$""))"),"")</f>
        <v/>
      </c>
    </row>
    <row r="287" ht="15.75" customHeight="1">
      <c r="L287" s="5" t="str">
        <f>IFERROR(__xludf.DUMMYFUNCTION("IFNA(REGEXEXTRACT(B287,""[\-|–][^–|\-]+$""))"),"")</f>
        <v/>
      </c>
    </row>
    <row r="288" ht="15.75" customHeight="1">
      <c r="L288" s="5" t="str">
        <f>IFERROR(__xludf.DUMMYFUNCTION("IFNA(REGEXEXTRACT(B288,""[\-|–][^–|\-]+$""))"),"")</f>
        <v/>
      </c>
    </row>
    <row r="289" ht="15.75" customHeight="1">
      <c r="L289" s="5" t="str">
        <f>IFERROR(__xludf.DUMMYFUNCTION("IFNA(REGEXEXTRACT(B289,""[\-|–][^–|\-]+$""))"),"")</f>
        <v/>
      </c>
    </row>
    <row r="290" ht="15.75" customHeight="1">
      <c r="L290" s="5" t="str">
        <f>IFERROR(__xludf.DUMMYFUNCTION("IFNA(REGEXEXTRACT(B290,""[\-|–][^–|\-]+$""))"),"")</f>
        <v/>
      </c>
    </row>
    <row r="291" ht="15.75" customHeight="1">
      <c r="L291" s="5" t="str">
        <f>IFERROR(__xludf.DUMMYFUNCTION("IFNA(REGEXEXTRACT(B291,""[\-|–][^–|\-]+$""))"),"")</f>
        <v/>
      </c>
    </row>
    <row r="292" ht="15.75" customHeight="1">
      <c r="L292" s="5" t="str">
        <f>IFERROR(__xludf.DUMMYFUNCTION("IFNA(REGEXEXTRACT(B292,""[\-|–][^–|\-]+$""))"),"")</f>
        <v/>
      </c>
    </row>
    <row r="293" ht="15.75" customHeight="1">
      <c r="L293" s="5" t="str">
        <f>IFERROR(__xludf.DUMMYFUNCTION("IFNA(REGEXEXTRACT(B293,""[\-|–][^–|\-]+$""))"),"")</f>
        <v/>
      </c>
    </row>
    <row r="294" ht="15.75" customHeight="1">
      <c r="L294" s="5" t="str">
        <f>IFERROR(__xludf.DUMMYFUNCTION("IFNA(REGEXEXTRACT(B294,""[\-|–][^–|\-]+$""))"),"")</f>
        <v/>
      </c>
    </row>
    <row r="295" ht="15.75" customHeight="1">
      <c r="L295" s="5" t="str">
        <f>IFERROR(__xludf.DUMMYFUNCTION("IFNA(REGEXEXTRACT(B295,""[\-|–][^–|\-]+$""))"),"")</f>
        <v/>
      </c>
    </row>
    <row r="296" ht="15.75" customHeight="1">
      <c r="L296" s="5" t="str">
        <f>IFERROR(__xludf.DUMMYFUNCTION("IFNA(REGEXEXTRACT(B296,""[\-|–][^–|\-]+$""))"),"")</f>
        <v/>
      </c>
    </row>
    <row r="297" ht="15.75" customHeight="1">
      <c r="L297" s="5" t="str">
        <f>IFERROR(__xludf.DUMMYFUNCTION("IFNA(REGEXEXTRACT(B297,""[\-|–][^–|\-]+$""))"),"")</f>
        <v/>
      </c>
    </row>
    <row r="298" ht="15.75" customHeight="1">
      <c r="L298" s="5" t="str">
        <f>IFERROR(__xludf.DUMMYFUNCTION("IFNA(REGEXEXTRACT(B298,""[\-|–][^–|\-]+$""))"),"")</f>
        <v/>
      </c>
    </row>
    <row r="299" ht="15.75" customHeight="1">
      <c r="L299" s="5" t="str">
        <f>IFERROR(__xludf.DUMMYFUNCTION("IFNA(REGEXEXTRACT(B299,""[\-|–][^–|\-]+$""))"),"")</f>
        <v/>
      </c>
    </row>
    <row r="300" ht="15.75" customHeight="1">
      <c r="L300" s="5" t="str">
        <f>IFERROR(__xludf.DUMMYFUNCTION("IFNA(REGEXEXTRACT(B300,""[\-|–][^–|\-]+$""))"),"")</f>
        <v/>
      </c>
    </row>
    <row r="301" ht="15.75" customHeight="1">
      <c r="L301" s="5" t="str">
        <f>IFERROR(__xludf.DUMMYFUNCTION("IFNA(REGEXEXTRACT(B301,""[\-|–][^–|\-]+$""))"),"")</f>
        <v/>
      </c>
    </row>
    <row r="302" ht="15.75" customHeight="1">
      <c r="L302" s="5" t="str">
        <f>IFERROR(__xludf.DUMMYFUNCTION("IFNA(REGEXEXTRACT(B302,""[\-|–][^–|\-]+$""))"),"")</f>
        <v/>
      </c>
    </row>
    <row r="303" ht="15.75" customHeight="1">
      <c r="L303" s="5" t="str">
        <f>IFERROR(__xludf.DUMMYFUNCTION("IFNA(REGEXEXTRACT(B303,""[\-|–][^–|\-]+$""))"),"")</f>
        <v/>
      </c>
    </row>
    <row r="304" ht="15.75" customHeight="1">
      <c r="L304" s="5" t="str">
        <f>IFERROR(__xludf.DUMMYFUNCTION("IFNA(REGEXEXTRACT(B304,""[\-|–][^–|\-]+$""))"),"")</f>
        <v/>
      </c>
    </row>
    <row r="305" ht="15.75" customHeight="1">
      <c r="L305" s="5" t="str">
        <f>IFERROR(__xludf.DUMMYFUNCTION("IFNA(REGEXEXTRACT(B305,""[\-|–][^–|\-]+$""))"),"")</f>
        <v/>
      </c>
    </row>
    <row r="306" ht="15.75" customHeight="1">
      <c r="L306" s="5" t="str">
        <f>IFERROR(__xludf.DUMMYFUNCTION("IFNA(REGEXEXTRACT(B306,""[\-|–][^–|\-]+$""))"),"")</f>
        <v/>
      </c>
    </row>
    <row r="307" ht="15.75" customHeight="1">
      <c r="L307" s="5" t="str">
        <f>IFERROR(__xludf.DUMMYFUNCTION("IFNA(REGEXEXTRACT(B307,""[\-|–][^–|\-]+$""))"),"")</f>
        <v/>
      </c>
    </row>
    <row r="308" ht="15.75" customHeight="1">
      <c r="L308" s="5" t="str">
        <f>IFERROR(__xludf.DUMMYFUNCTION("IFNA(REGEXEXTRACT(B308,""[\-|–][^–|\-]+$""))"),"")</f>
        <v/>
      </c>
    </row>
    <row r="309" ht="15.75" customHeight="1">
      <c r="L309" s="5" t="str">
        <f>IFERROR(__xludf.DUMMYFUNCTION("IFNA(REGEXEXTRACT(B309,""[\-|–][^–|\-]+$""))"),"")</f>
        <v/>
      </c>
    </row>
    <row r="310" ht="15.75" customHeight="1">
      <c r="L310" s="5" t="str">
        <f>IFERROR(__xludf.DUMMYFUNCTION("IFNA(REGEXEXTRACT(B310,""[\-|–][^–|\-]+$""))"),"")</f>
        <v/>
      </c>
    </row>
    <row r="311" ht="15.75" customHeight="1">
      <c r="L311" s="5" t="str">
        <f>IFERROR(__xludf.DUMMYFUNCTION("IFNA(REGEXEXTRACT(B311,""[\-|–][^–|\-]+$""))"),"")</f>
        <v/>
      </c>
    </row>
    <row r="312" ht="15.75" customHeight="1">
      <c r="L312" s="5" t="str">
        <f>IFERROR(__xludf.DUMMYFUNCTION("IFNA(REGEXEXTRACT(B312,""[\-|–][^–|\-]+$""))"),"")</f>
        <v/>
      </c>
    </row>
    <row r="313" ht="15.75" customHeight="1">
      <c r="L313" s="5" t="str">
        <f>IFERROR(__xludf.DUMMYFUNCTION("IFNA(REGEXEXTRACT(B313,""[\-|–][^–|\-]+$""))"),"")</f>
        <v/>
      </c>
    </row>
    <row r="314" ht="15.75" customHeight="1">
      <c r="L314" s="5" t="str">
        <f>IFERROR(__xludf.DUMMYFUNCTION("IFNA(REGEXEXTRACT(B314,""[\-|–][^–|\-]+$""))"),"")</f>
        <v/>
      </c>
    </row>
    <row r="315" ht="15.75" customHeight="1">
      <c r="L315" s="5" t="str">
        <f>IFERROR(__xludf.DUMMYFUNCTION("IFNA(REGEXEXTRACT(B315,""[\-|–][^–|\-]+$""))"),"")</f>
        <v/>
      </c>
    </row>
    <row r="316" ht="15.75" customHeight="1">
      <c r="L316" s="5" t="str">
        <f>IFERROR(__xludf.DUMMYFUNCTION("IFNA(REGEXEXTRACT(B316,""[\-|–][^–|\-]+$""))"),"")</f>
        <v/>
      </c>
    </row>
    <row r="317" ht="15.75" customHeight="1">
      <c r="L317" s="5" t="str">
        <f>IFERROR(__xludf.DUMMYFUNCTION("IFNA(REGEXEXTRACT(B317,""[\-|–][^–|\-]+$""))"),"")</f>
        <v/>
      </c>
    </row>
    <row r="318" ht="15.75" customHeight="1">
      <c r="L318" s="5" t="str">
        <f>IFERROR(__xludf.DUMMYFUNCTION("IFNA(REGEXEXTRACT(B318,""[\-|–][^–|\-]+$""))"),"")</f>
        <v/>
      </c>
    </row>
    <row r="319" ht="15.75" customHeight="1">
      <c r="L319" s="5" t="str">
        <f>IFERROR(__xludf.DUMMYFUNCTION("IFNA(REGEXEXTRACT(B319,""[\-|–][^–|\-]+$""))"),"")</f>
        <v/>
      </c>
    </row>
    <row r="320" ht="15.75" customHeight="1">
      <c r="L320" s="5" t="str">
        <f>IFERROR(__xludf.DUMMYFUNCTION("IFNA(REGEXEXTRACT(B320,""[\-|–][^–|\-]+$""))"),"")</f>
        <v/>
      </c>
    </row>
    <row r="321" ht="15.75" customHeight="1">
      <c r="L321" s="5" t="str">
        <f>IFERROR(__xludf.DUMMYFUNCTION("IFNA(REGEXEXTRACT(B321,""[\-|–][^–|\-]+$""))"),"")</f>
        <v/>
      </c>
    </row>
    <row r="322" ht="15.75" customHeight="1">
      <c r="L322" s="5" t="str">
        <f>IFERROR(__xludf.DUMMYFUNCTION("IFNA(REGEXEXTRACT(B322,""[\-|–][^–|\-]+$""))"),"")</f>
        <v/>
      </c>
    </row>
    <row r="323" ht="15.75" customHeight="1">
      <c r="L323" s="5" t="str">
        <f>IFERROR(__xludf.DUMMYFUNCTION("IFNA(REGEXEXTRACT(B323,""[\-|–][^–|\-]+$""))"),"")</f>
        <v/>
      </c>
    </row>
    <row r="324" ht="15.75" customHeight="1">
      <c r="L324" s="5" t="str">
        <f>IFERROR(__xludf.DUMMYFUNCTION("IFNA(REGEXEXTRACT(B324,""[\-|–][^–|\-]+$""))"),"")</f>
        <v/>
      </c>
    </row>
    <row r="325" ht="15.75" customHeight="1">
      <c r="L325" s="5" t="str">
        <f>IFERROR(__xludf.DUMMYFUNCTION("IFNA(REGEXEXTRACT(B325,""[\-|–][^–|\-]+$""))"),"")</f>
        <v/>
      </c>
    </row>
    <row r="326" ht="15.75" customHeight="1">
      <c r="L326" s="5" t="str">
        <f>IFERROR(__xludf.DUMMYFUNCTION("IFNA(REGEXEXTRACT(B326,""[\-|–][^–|\-]+$""))"),"")</f>
        <v/>
      </c>
    </row>
    <row r="327" ht="15.75" customHeight="1">
      <c r="L327" s="5" t="str">
        <f>IFERROR(__xludf.DUMMYFUNCTION("IFNA(REGEXEXTRACT(B327,""[\-|–][^–|\-]+$""))"),"")</f>
        <v/>
      </c>
    </row>
    <row r="328" ht="15.75" customHeight="1">
      <c r="L328" s="5" t="str">
        <f>IFERROR(__xludf.DUMMYFUNCTION("IFNA(REGEXEXTRACT(B328,""[\-|–][^–|\-]+$""))"),"")</f>
        <v/>
      </c>
    </row>
    <row r="329" ht="15.75" customHeight="1">
      <c r="L329" s="5" t="str">
        <f>IFERROR(__xludf.DUMMYFUNCTION("IFNA(REGEXEXTRACT(B329,""[\-|–][^–|\-]+$""))"),"")</f>
        <v/>
      </c>
    </row>
    <row r="330" ht="15.75" customHeight="1">
      <c r="L330" s="5" t="str">
        <f>IFERROR(__xludf.DUMMYFUNCTION("IFNA(REGEXEXTRACT(B330,""[\-|–][^–|\-]+$""))"),"")</f>
        <v/>
      </c>
    </row>
    <row r="331" ht="15.75" customHeight="1">
      <c r="L331" s="5" t="str">
        <f>IFERROR(__xludf.DUMMYFUNCTION("IFNA(REGEXEXTRACT(B331,""[\-|–][^–|\-]+$""))"),"")</f>
        <v/>
      </c>
    </row>
    <row r="332" ht="15.75" customHeight="1">
      <c r="L332" s="5" t="str">
        <f>IFERROR(__xludf.DUMMYFUNCTION("IFNA(REGEXEXTRACT(B332,""[\-|–][^–|\-]+$""))"),"")</f>
        <v/>
      </c>
    </row>
    <row r="333" ht="15.75" customHeight="1">
      <c r="L333" s="5" t="str">
        <f>IFERROR(__xludf.DUMMYFUNCTION("IFNA(REGEXEXTRACT(B333,""[\-|–][^–|\-]+$""))"),"")</f>
        <v/>
      </c>
    </row>
    <row r="334" ht="15.75" customHeight="1">
      <c r="L334" s="5" t="str">
        <f>IFERROR(__xludf.DUMMYFUNCTION("IFNA(REGEXEXTRACT(B334,""[\-|–][^–|\-]+$""))"),"")</f>
        <v/>
      </c>
    </row>
    <row r="335" ht="15.75" customHeight="1">
      <c r="L335" s="5" t="str">
        <f>IFERROR(__xludf.DUMMYFUNCTION("IFNA(REGEXEXTRACT(B335,""[\-|–][^–|\-]+$""))"),"")</f>
        <v/>
      </c>
    </row>
    <row r="336" ht="15.75" customHeight="1">
      <c r="L336" s="5" t="str">
        <f>IFERROR(__xludf.DUMMYFUNCTION("IFNA(REGEXEXTRACT(B336,""[\-|–][^–|\-]+$""))"),"")</f>
        <v/>
      </c>
    </row>
    <row r="337" ht="15.75" customHeight="1">
      <c r="L337" s="5" t="str">
        <f>IFERROR(__xludf.DUMMYFUNCTION("IFNA(REGEXEXTRACT(B337,""[\-|–][^–|\-]+$""))"),"")</f>
        <v/>
      </c>
    </row>
    <row r="338" ht="15.75" customHeight="1">
      <c r="L338" s="5" t="str">
        <f>IFERROR(__xludf.DUMMYFUNCTION("IFNA(REGEXEXTRACT(B338,""[\-|–][^–|\-]+$""))"),"")</f>
        <v/>
      </c>
    </row>
    <row r="339" ht="15.75" customHeight="1">
      <c r="L339" s="5" t="str">
        <f>IFERROR(__xludf.DUMMYFUNCTION("IFNA(REGEXEXTRACT(B339,""[\-|–][^–|\-]+$""))"),"")</f>
        <v/>
      </c>
    </row>
    <row r="340" ht="15.75" customHeight="1">
      <c r="L340" s="5" t="str">
        <f>IFERROR(__xludf.DUMMYFUNCTION("IFNA(REGEXEXTRACT(B340,""[\-|–][^–|\-]+$""))"),"")</f>
        <v/>
      </c>
    </row>
    <row r="341" ht="15.75" customHeight="1">
      <c r="L341" s="5" t="str">
        <f>IFERROR(__xludf.DUMMYFUNCTION("IFNA(REGEXEXTRACT(B341,""[\-|–][^–|\-]+$""))"),"")</f>
        <v/>
      </c>
    </row>
    <row r="342" ht="15.75" customHeight="1">
      <c r="L342" s="5" t="str">
        <f>IFERROR(__xludf.DUMMYFUNCTION("IFNA(REGEXEXTRACT(B342,""[\-|–][^–|\-]+$""))"),"")</f>
        <v/>
      </c>
    </row>
    <row r="343" ht="15.75" customHeight="1">
      <c r="L343" s="5" t="str">
        <f>IFERROR(__xludf.DUMMYFUNCTION("IFNA(REGEXEXTRACT(B343,""[\-|–][^–|\-]+$""))"),"")</f>
        <v/>
      </c>
    </row>
    <row r="344" ht="15.75" customHeight="1">
      <c r="L344" s="5" t="str">
        <f>IFERROR(__xludf.DUMMYFUNCTION("IFNA(REGEXEXTRACT(B344,""[\-|–][^–|\-]+$""))"),"")</f>
        <v/>
      </c>
    </row>
    <row r="345" ht="15.75" customHeight="1">
      <c r="L345" s="5" t="str">
        <f>IFERROR(__xludf.DUMMYFUNCTION("IFNA(REGEXEXTRACT(B345,""[\-|–][^–|\-]+$""))"),"")</f>
        <v/>
      </c>
    </row>
    <row r="346" ht="15.75" customHeight="1">
      <c r="L346" s="5" t="str">
        <f>IFERROR(__xludf.DUMMYFUNCTION("IFNA(REGEXEXTRACT(B346,""[\-|–][^–|\-]+$""))"),"")</f>
        <v/>
      </c>
    </row>
    <row r="347" ht="15.75" customHeight="1">
      <c r="L347" s="5" t="str">
        <f>IFERROR(__xludf.DUMMYFUNCTION("IFNA(REGEXEXTRACT(B347,""[\-|–][^–|\-]+$""))"),"")</f>
        <v/>
      </c>
    </row>
    <row r="348" ht="15.75" customHeight="1">
      <c r="L348" s="5" t="str">
        <f>IFERROR(__xludf.DUMMYFUNCTION("IFNA(REGEXEXTRACT(B348,""[\-|–][^–|\-]+$""))"),"")</f>
        <v/>
      </c>
    </row>
    <row r="349" ht="15.75" customHeight="1">
      <c r="L349" s="5" t="str">
        <f>IFERROR(__xludf.DUMMYFUNCTION("IFNA(REGEXEXTRACT(B349,""[\-|–][^–|\-]+$""))"),"")</f>
        <v/>
      </c>
    </row>
    <row r="350" ht="15.75" customHeight="1">
      <c r="L350" s="5" t="str">
        <f>IFERROR(__xludf.DUMMYFUNCTION("IFNA(REGEXEXTRACT(B350,""[\-|–][^–|\-]+$""))"),"")</f>
        <v/>
      </c>
    </row>
    <row r="351" ht="15.75" customHeight="1">
      <c r="L351" s="5" t="str">
        <f>IFERROR(__xludf.DUMMYFUNCTION("IFNA(REGEXEXTRACT(B351,""[\-|–][^–|\-]+$""))"),"")</f>
        <v/>
      </c>
    </row>
    <row r="352" ht="15.75" customHeight="1">
      <c r="L352" s="5" t="str">
        <f>IFERROR(__xludf.DUMMYFUNCTION("IFNA(REGEXEXTRACT(B352,""[\-|–][^–|\-]+$""))"),"")</f>
        <v/>
      </c>
    </row>
    <row r="353" ht="15.75" customHeight="1">
      <c r="L353" s="5" t="str">
        <f>IFERROR(__xludf.DUMMYFUNCTION("IFNA(REGEXEXTRACT(B353,""[\-|–][^–|\-]+$""))"),"")</f>
        <v/>
      </c>
    </row>
    <row r="354" ht="15.75" customHeight="1">
      <c r="L354" s="5" t="str">
        <f>IFERROR(__xludf.DUMMYFUNCTION("IFNA(REGEXEXTRACT(B354,""[\-|–][^–|\-]+$""))"),"")</f>
        <v/>
      </c>
    </row>
    <row r="355" ht="15.75" customHeight="1">
      <c r="L355" s="5" t="str">
        <f>IFERROR(__xludf.DUMMYFUNCTION("IFNA(REGEXEXTRACT(B355,""[\-|–][^–|\-]+$""))"),"")</f>
        <v/>
      </c>
    </row>
    <row r="356" ht="15.75" customHeight="1">
      <c r="L356" s="5" t="str">
        <f>IFERROR(__xludf.DUMMYFUNCTION("IFNA(REGEXEXTRACT(B356,""[\-|–][^–|\-]+$""))"),"")</f>
        <v/>
      </c>
    </row>
    <row r="357" ht="15.75" customHeight="1">
      <c r="L357" s="5" t="str">
        <f>IFERROR(__xludf.DUMMYFUNCTION("IFNA(REGEXEXTRACT(B357,""[\-|–][^–|\-]+$""))"),"")</f>
        <v/>
      </c>
    </row>
    <row r="358" ht="15.75" customHeight="1">
      <c r="L358" s="5" t="str">
        <f>IFERROR(__xludf.DUMMYFUNCTION("IFNA(REGEXEXTRACT(B358,""[\-|–][^–|\-]+$""))"),"")</f>
        <v/>
      </c>
    </row>
    <row r="359" ht="15.75" customHeight="1">
      <c r="L359" s="5" t="str">
        <f>IFERROR(__xludf.DUMMYFUNCTION("IFNA(REGEXEXTRACT(B359,""[\-|–][^–|\-]+$""))"),"")</f>
        <v/>
      </c>
    </row>
    <row r="360" ht="15.75" customHeight="1">
      <c r="L360" s="5" t="str">
        <f>IFERROR(__xludf.DUMMYFUNCTION("IFNA(REGEXEXTRACT(B360,""[\-|–][^–|\-]+$""))"),"")</f>
        <v/>
      </c>
    </row>
    <row r="361" ht="15.75" customHeight="1">
      <c r="L361" s="5" t="str">
        <f>IFERROR(__xludf.DUMMYFUNCTION("IFNA(REGEXEXTRACT(B361,""[\-|–][^–|\-]+$""))"),"")</f>
        <v/>
      </c>
    </row>
    <row r="362" ht="15.75" customHeight="1">
      <c r="L362" s="5" t="str">
        <f>IFERROR(__xludf.DUMMYFUNCTION("IFNA(REGEXEXTRACT(B362,""[\-|–][^–|\-]+$""))"),"")</f>
        <v/>
      </c>
    </row>
    <row r="363" ht="15.75" customHeight="1">
      <c r="L363" s="5" t="str">
        <f>IFERROR(__xludf.DUMMYFUNCTION("IFNA(REGEXEXTRACT(B363,""[\-|–][^–|\-]+$""))"),"")</f>
        <v/>
      </c>
    </row>
    <row r="364" ht="15.75" customHeight="1">
      <c r="L364" s="5" t="str">
        <f>IFERROR(__xludf.DUMMYFUNCTION("IFNA(REGEXEXTRACT(B364,""[\-|–][^–|\-]+$""))"),"")</f>
        <v/>
      </c>
    </row>
    <row r="365" ht="15.75" customHeight="1">
      <c r="L365" s="5" t="str">
        <f>IFERROR(__xludf.DUMMYFUNCTION("IFNA(REGEXEXTRACT(B365,""[\-|–][^–|\-]+$""))"),"")</f>
        <v/>
      </c>
    </row>
    <row r="366" ht="15.75" customHeight="1">
      <c r="L366" s="5" t="str">
        <f>IFERROR(__xludf.DUMMYFUNCTION("IFNA(REGEXEXTRACT(B366,""[\-|–][^–|\-]+$""))"),"")</f>
        <v/>
      </c>
    </row>
    <row r="367" ht="15.75" customHeight="1">
      <c r="L367" s="5" t="str">
        <f>IFERROR(__xludf.DUMMYFUNCTION("IFNA(REGEXEXTRACT(B367,""[\-|–][^–|\-]+$""))"),"")</f>
        <v/>
      </c>
    </row>
    <row r="368" ht="15.75" customHeight="1">
      <c r="L368" s="5" t="str">
        <f>IFERROR(__xludf.DUMMYFUNCTION("IFNA(REGEXEXTRACT(B368,""[\-|–][^–|\-]+$""))"),"")</f>
        <v/>
      </c>
    </row>
    <row r="369" ht="15.75" customHeight="1">
      <c r="L369" s="5" t="str">
        <f>IFERROR(__xludf.DUMMYFUNCTION("IFNA(REGEXEXTRACT(B369,""[\-|–][^–|\-]+$""))"),"")</f>
        <v/>
      </c>
    </row>
    <row r="370" ht="15.75" customHeight="1">
      <c r="L370" s="5" t="str">
        <f>IFERROR(__xludf.DUMMYFUNCTION("IFNA(REGEXEXTRACT(B370,""[\-|–][^–|\-]+$""))"),"")</f>
        <v/>
      </c>
    </row>
    <row r="371" ht="15.75" customHeight="1">
      <c r="L371" s="5" t="str">
        <f>IFERROR(__xludf.DUMMYFUNCTION("IFNA(REGEXEXTRACT(B371,""[\-|–][^–|\-]+$""))"),"")</f>
        <v/>
      </c>
    </row>
    <row r="372" ht="15.75" customHeight="1">
      <c r="L372" s="5" t="str">
        <f>IFERROR(__xludf.DUMMYFUNCTION("IFNA(REGEXEXTRACT(B372,""[\-|–][^–|\-]+$""))"),"")</f>
        <v/>
      </c>
    </row>
    <row r="373" ht="15.75" customHeight="1">
      <c r="L373" s="5" t="str">
        <f>IFERROR(__xludf.DUMMYFUNCTION("IFNA(REGEXEXTRACT(B373,""[\-|–][^–|\-]+$""))"),"")</f>
        <v/>
      </c>
    </row>
    <row r="374" ht="15.75" customHeight="1">
      <c r="L374" s="5" t="str">
        <f>IFERROR(__xludf.DUMMYFUNCTION("IFNA(REGEXEXTRACT(B374,""[\-|–][^–|\-]+$""))"),"")</f>
        <v/>
      </c>
    </row>
    <row r="375" ht="15.75" customHeight="1">
      <c r="L375" s="5" t="str">
        <f>IFERROR(__xludf.DUMMYFUNCTION("IFNA(REGEXEXTRACT(B375,""[\-|–][^–|\-]+$""))"),"")</f>
        <v/>
      </c>
    </row>
    <row r="376" ht="15.75" customHeight="1">
      <c r="L376" s="5" t="str">
        <f>IFERROR(__xludf.DUMMYFUNCTION("IFNA(REGEXEXTRACT(B376,""[\-|–][^–|\-]+$""))"),"")</f>
        <v/>
      </c>
    </row>
    <row r="377" ht="15.75" customHeight="1">
      <c r="L377" s="5" t="str">
        <f>IFERROR(__xludf.DUMMYFUNCTION("IFNA(REGEXEXTRACT(B377,""[\-|–][^–|\-]+$""))"),"")</f>
        <v/>
      </c>
    </row>
    <row r="378" ht="15.75" customHeight="1">
      <c r="L378" s="5" t="str">
        <f>IFERROR(__xludf.DUMMYFUNCTION("IFNA(REGEXEXTRACT(B378,""[\-|–][^–|\-]+$""))"),"")</f>
        <v/>
      </c>
    </row>
    <row r="379" ht="15.75" customHeight="1">
      <c r="L379" s="5" t="str">
        <f>IFERROR(__xludf.DUMMYFUNCTION("IFNA(REGEXEXTRACT(B379,""[\-|–][^–|\-]+$""))"),"")</f>
        <v/>
      </c>
    </row>
    <row r="380" ht="15.75" customHeight="1">
      <c r="L380" s="5" t="str">
        <f>IFERROR(__xludf.DUMMYFUNCTION("IFNA(REGEXEXTRACT(B380,""[\-|–][^–|\-]+$""))"),"")</f>
        <v/>
      </c>
    </row>
    <row r="381" ht="15.75" customHeight="1">
      <c r="L381" s="5" t="str">
        <f>IFERROR(__xludf.DUMMYFUNCTION("IFNA(REGEXEXTRACT(B381,""[\-|–][^–|\-]+$""))"),"")</f>
        <v/>
      </c>
    </row>
    <row r="382" ht="15.75" customHeight="1">
      <c r="L382" s="5" t="str">
        <f>IFERROR(__xludf.DUMMYFUNCTION("IFNA(REGEXEXTRACT(B382,""[\-|–][^–|\-]+$""))"),"")</f>
        <v/>
      </c>
    </row>
    <row r="383" ht="15.75" customHeight="1">
      <c r="L383" s="5" t="str">
        <f>IFERROR(__xludf.DUMMYFUNCTION("IFNA(REGEXEXTRACT(B383,""[\-|–][^–|\-]+$""))"),"")</f>
        <v/>
      </c>
    </row>
    <row r="384" ht="15.75" customHeight="1">
      <c r="L384" s="5" t="str">
        <f>IFERROR(__xludf.DUMMYFUNCTION("IFNA(REGEXEXTRACT(B384,""[\-|–][^–|\-]+$""))"),"")</f>
        <v/>
      </c>
    </row>
    <row r="385" ht="15.75" customHeight="1">
      <c r="L385" s="5" t="str">
        <f>IFERROR(__xludf.DUMMYFUNCTION("IFNA(REGEXEXTRACT(B385,""[\-|–][^–|\-]+$""))"),"")</f>
        <v/>
      </c>
    </row>
    <row r="386" ht="15.75" customHeight="1">
      <c r="L386" s="5" t="str">
        <f>IFERROR(__xludf.DUMMYFUNCTION("IFNA(REGEXEXTRACT(B386,""[\-|–][^–|\-]+$""))"),"")</f>
        <v/>
      </c>
    </row>
    <row r="387" ht="15.75" customHeight="1">
      <c r="L387" s="5" t="str">
        <f>IFERROR(__xludf.DUMMYFUNCTION("IFNA(REGEXEXTRACT(B387,""[\-|–][^–|\-]+$""))"),"")</f>
        <v/>
      </c>
    </row>
    <row r="388" ht="15.75" customHeight="1">
      <c r="L388" s="5" t="str">
        <f>IFERROR(__xludf.DUMMYFUNCTION("IFNA(REGEXEXTRACT(B388,""[\-|–][^–|\-]+$""))"),"")</f>
        <v/>
      </c>
    </row>
    <row r="389" ht="15.75" customHeight="1">
      <c r="L389" s="5" t="str">
        <f>IFERROR(__xludf.DUMMYFUNCTION("IFNA(REGEXEXTRACT(B389,""[\-|–][^–|\-]+$""))"),"")</f>
        <v/>
      </c>
    </row>
    <row r="390" ht="15.75" customHeight="1">
      <c r="L390" s="5" t="str">
        <f>IFERROR(__xludf.DUMMYFUNCTION("IFNA(REGEXEXTRACT(B390,""[\-|–][^–|\-]+$""))"),"")</f>
        <v/>
      </c>
    </row>
    <row r="391" ht="15.75" customHeight="1">
      <c r="L391" s="5" t="str">
        <f>IFERROR(__xludf.DUMMYFUNCTION("IFNA(REGEXEXTRACT(B391,""[\-|–][^–|\-]+$""))"),"")</f>
        <v/>
      </c>
    </row>
    <row r="392" ht="15.75" customHeight="1">
      <c r="L392" s="5" t="str">
        <f>IFERROR(__xludf.DUMMYFUNCTION("IFNA(REGEXEXTRACT(B392,""[\-|–][^–|\-]+$""))"),"")</f>
        <v/>
      </c>
    </row>
    <row r="393" ht="15.75" customHeight="1">
      <c r="L393" s="5" t="str">
        <f>IFERROR(__xludf.DUMMYFUNCTION("IFNA(REGEXEXTRACT(B393,""[\-|–][^–|\-]+$""))"),"")</f>
        <v/>
      </c>
    </row>
    <row r="394" ht="15.75" customHeight="1">
      <c r="L394" s="5" t="str">
        <f>IFERROR(__xludf.DUMMYFUNCTION("IFNA(REGEXEXTRACT(B394,""[\-|–][^–|\-]+$""))"),"")</f>
        <v/>
      </c>
    </row>
    <row r="395" ht="15.75" customHeight="1">
      <c r="L395" s="5" t="str">
        <f>IFERROR(__xludf.DUMMYFUNCTION("IFNA(REGEXEXTRACT(B395,""[\-|–][^–|\-]+$""))"),"")</f>
        <v/>
      </c>
    </row>
    <row r="396" ht="15.75" customHeight="1">
      <c r="L396" s="5" t="str">
        <f>IFERROR(__xludf.DUMMYFUNCTION("IFNA(REGEXEXTRACT(B396,""[\-|–][^–|\-]+$""))"),"")</f>
        <v/>
      </c>
    </row>
    <row r="397" ht="15.75" customHeight="1">
      <c r="L397" s="5" t="str">
        <f>IFERROR(__xludf.DUMMYFUNCTION("IFNA(REGEXEXTRACT(B397,""[\-|–][^–|\-]+$""))"),"")</f>
        <v/>
      </c>
    </row>
    <row r="398" ht="15.75" customHeight="1">
      <c r="L398" s="5" t="str">
        <f>IFERROR(__xludf.DUMMYFUNCTION("IFNA(REGEXEXTRACT(B398,""[\-|–][^–|\-]+$""))"),"")</f>
        <v/>
      </c>
    </row>
    <row r="399" ht="15.75" customHeight="1">
      <c r="L399" s="5" t="str">
        <f>IFERROR(__xludf.DUMMYFUNCTION("IFNA(REGEXEXTRACT(B399,""[\-|–][^–|\-]+$""))"),"")</f>
        <v/>
      </c>
    </row>
    <row r="400" ht="15.75" customHeight="1">
      <c r="L400" s="5" t="str">
        <f>IFERROR(__xludf.DUMMYFUNCTION("IFNA(REGEXEXTRACT(B400,""[\-|–][^–|\-]+$""))"),"")</f>
        <v/>
      </c>
    </row>
    <row r="401" ht="15.75" customHeight="1">
      <c r="L401" s="5" t="str">
        <f>IFERROR(__xludf.DUMMYFUNCTION("IFNA(REGEXEXTRACT(B401,""[\-|–][^–|\-]+$""))"),"")</f>
        <v/>
      </c>
    </row>
    <row r="402" ht="15.75" customHeight="1">
      <c r="L402" s="5" t="str">
        <f>IFERROR(__xludf.DUMMYFUNCTION("IFNA(REGEXEXTRACT(B402,""[\-|–][^–|\-]+$""))"),"")</f>
        <v/>
      </c>
    </row>
    <row r="403" ht="15.75" customHeight="1">
      <c r="L403" s="5" t="str">
        <f>IFERROR(__xludf.DUMMYFUNCTION("IFNA(REGEXEXTRACT(B403,""[\-|–][^–|\-]+$""))"),"")</f>
        <v/>
      </c>
    </row>
    <row r="404" ht="15.75" customHeight="1">
      <c r="L404" s="5" t="str">
        <f>IFERROR(__xludf.DUMMYFUNCTION("IFNA(REGEXEXTRACT(B404,""[\-|–][^–|\-]+$""))"),"")</f>
        <v/>
      </c>
    </row>
    <row r="405" ht="15.75" customHeight="1">
      <c r="L405" s="5" t="str">
        <f>IFERROR(__xludf.DUMMYFUNCTION("IFNA(REGEXEXTRACT(B405,""[\-|–][^–|\-]+$""))"),"")</f>
        <v/>
      </c>
    </row>
    <row r="406" ht="15.75" customHeight="1">
      <c r="L406" s="5" t="str">
        <f>IFERROR(__xludf.DUMMYFUNCTION("IFNA(REGEXEXTRACT(B406,""[\-|–][^–|\-]+$""))"),"")</f>
        <v/>
      </c>
    </row>
    <row r="407" ht="15.75" customHeight="1">
      <c r="L407" s="5" t="str">
        <f>IFERROR(__xludf.DUMMYFUNCTION("IFNA(REGEXEXTRACT(B407,""[\-|–][^–|\-]+$""))"),"")</f>
        <v/>
      </c>
    </row>
    <row r="408" ht="15.75" customHeight="1">
      <c r="L408" s="5" t="str">
        <f>IFERROR(__xludf.DUMMYFUNCTION("IFNA(REGEXEXTRACT(B408,""[\-|–][^–|\-]+$""))"),"")</f>
        <v/>
      </c>
    </row>
    <row r="409" ht="15.75" customHeight="1">
      <c r="L409" s="5" t="str">
        <f>IFERROR(__xludf.DUMMYFUNCTION("IFNA(REGEXEXTRACT(B409,""[\-|–][^–|\-]+$""))"),"")</f>
        <v/>
      </c>
    </row>
    <row r="410" ht="15.75" customHeight="1">
      <c r="L410" s="5" t="str">
        <f>IFERROR(__xludf.DUMMYFUNCTION("IFNA(REGEXEXTRACT(B410,""[\-|–][^–|\-]+$""))"),"")</f>
        <v/>
      </c>
    </row>
    <row r="411" ht="15.75" customHeight="1">
      <c r="L411" s="5" t="str">
        <f>IFERROR(__xludf.DUMMYFUNCTION("IFNA(REGEXEXTRACT(B411,""[\-|–][^–|\-]+$""))"),"")</f>
        <v/>
      </c>
    </row>
    <row r="412" ht="15.75" customHeight="1">
      <c r="L412" s="5" t="str">
        <f>IFERROR(__xludf.DUMMYFUNCTION("IFNA(REGEXEXTRACT(B412,""[\-|–][^–|\-]+$""))"),"")</f>
        <v/>
      </c>
    </row>
    <row r="413" ht="15.75" customHeight="1">
      <c r="L413" s="5" t="str">
        <f>IFERROR(__xludf.DUMMYFUNCTION("IFNA(REGEXEXTRACT(B413,""[\-|–][^–|\-]+$""))"),"")</f>
        <v/>
      </c>
    </row>
    <row r="414" ht="15.75" customHeight="1">
      <c r="L414" s="5" t="str">
        <f>IFERROR(__xludf.DUMMYFUNCTION("IFNA(REGEXEXTRACT(B414,""[\-|–][^–|\-]+$""))"),"")</f>
        <v/>
      </c>
    </row>
    <row r="415" ht="15.75" customHeight="1">
      <c r="L415" s="5" t="str">
        <f>IFERROR(__xludf.DUMMYFUNCTION("IFNA(REGEXEXTRACT(B415,""[\-|–][^–|\-]+$""))"),"")</f>
        <v/>
      </c>
    </row>
    <row r="416" ht="15.75" customHeight="1">
      <c r="L416" s="5" t="str">
        <f>IFERROR(__xludf.DUMMYFUNCTION("IFNA(REGEXEXTRACT(B416,""[\-|–][^–|\-]+$""))"),"")</f>
        <v/>
      </c>
    </row>
    <row r="417" ht="15.75" customHeight="1">
      <c r="L417" s="5" t="str">
        <f>IFERROR(__xludf.DUMMYFUNCTION("IFNA(REGEXEXTRACT(B417,""[\-|–][^–|\-]+$""))"),"")</f>
        <v/>
      </c>
    </row>
    <row r="418" ht="15.75" customHeight="1">
      <c r="L418" s="5" t="str">
        <f>IFERROR(__xludf.DUMMYFUNCTION("IFNA(REGEXEXTRACT(B418,""[\-|–][^–|\-]+$""))"),"")</f>
        <v/>
      </c>
    </row>
    <row r="419" ht="15.75" customHeight="1">
      <c r="L419" s="5" t="str">
        <f>IFERROR(__xludf.DUMMYFUNCTION("IFNA(REGEXEXTRACT(B419,""[\-|–][^–|\-]+$""))"),"")</f>
        <v/>
      </c>
    </row>
    <row r="420" ht="15.75" customHeight="1">
      <c r="L420" s="5" t="str">
        <f>IFERROR(__xludf.DUMMYFUNCTION("IFNA(REGEXEXTRACT(B420,""[\-|–][^–|\-]+$""))"),"")</f>
        <v/>
      </c>
    </row>
    <row r="421" ht="15.75" customHeight="1">
      <c r="L421" s="5" t="str">
        <f>IFERROR(__xludf.DUMMYFUNCTION("IFNA(REGEXEXTRACT(B421,""[\-|–][^–|\-]+$""))"),"")</f>
        <v/>
      </c>
    </row>
    <row r="422" ht="15.75" customHeight="1">
      <c r="L422" s="5" t="str">
        <f>IFERROR(__xludf.DUMMYFUNCTION("IFNA(REGEXEXTRACT(B422,""[\-|–][^–|\-]+$""))"),"")</f>
        <v/>
      </c>
    </row>
    <row r="423" ht="15.75" customHeight="1">
      <c r="L423" s="5" t="str">
        <f>IFERROR(__xludf.DUMMYFUNCTION("IFNA(REGEXEXTRACT(B423,""[\-|–][^–|\-]+$""))"),"")</f>
        <v/>
      </c>
    </row>
    <row r="424" ht="15.75" customHeight="1">
      <c r="L424" s="5" t="str">
        <f>IFERROR(__xludf.DUMMYFUNCTION("IFNA(REGEXEXTRACT(B424,""[\-|–][^–|\-]+$""))"),"")</f>
        <v/>
      </c>
    </row>
    <row r="425" ht="15.75" customHeight="1">
      <c r="L425" s="5" t="str">
        <f>IFERROR(__xludf.DUMMYFUNCTION("IFNA(REGEXEXTRACT(B425,""[\-|–][^–|\-]+$""))"),"")</f>
        <v/>
      </c>
    </row>
    <row r="426" ht="15.75" customHeight="1">
      <c r="L426" s="5" t="str">
        <f>IFERROR(__xludf.DUMMYFUNCTION("IFNA(REGEXEXTRACT(B426,""[\-|–][^–|\-]+$""))"),"")</f>
        <v/>
      </c>
    </row>
    <row r="427" ht="15.75" customHeight="1">
      <c r="L427" s="5" t="str">
        <f>IFERROR(__xludf.DUMMYFUNCTION("IFNA(REGEXEXTRACT(B427,""[\-|–][^–|\-]+$""))"),"")</f>
        <v/>
      </c>
    </row>
    <row r="428" ht="15.75" customHeight="1">
      <c r="L428" s="5" t="str">
        <f>IFERROR(__xludf.DUMMYFUNCTION("IFNA(REGEXEXTRACT(B428,""[\-|–][^–|\-]+$""))"),"")</f>
        <v/>
      </c>
    </row>
    <row r="429" ht="15.75" customHeight="1">
      <c r="L429" s="5" t="str">
        <f>IFERROR(__xludf.DUMMYFUNCTION("IFNA(REGEXEXTRACT(B429,""[\-|–][^–|\-]+$""))"),"")</f>
        <v/>
      </c>
    </row>
    <row r="430" ht="15.75" customHeight="1">
      <c r="L430" s="5" t="str">
        <f>IFERROR(__xludf.DUMMYFUNCTION("IFNA(REGEXEXTRACT(B430,""[\-|–][^–|\-]+$""))"),"")</f>
        <v/>
      </c>
    </row>
    <row r="431" ht="15.75" customHeight="1">
      <c r="L431" s="5" t="str">
        <f>IFERROR(__xludf.DUMMYFUNCTION("IFNA(REGEXEXTRACT(B431,""[\-|–][^–|\-]+$""))"),"")</f>
        <v/>
      </c>
    </row>
    <row r="432" ht="15.75" customHeight="1">
      <c r="L432" s="5" t="str">
        <f>IFERROR(__xludf.DUMMYFUNCTION("IFNA(REGEXEXTRACT(B432,""[\-|–][^–|\-]+$""))"),"")</f>
        <v/>
      </c>
    </row>
    <row r="433" ht="15.75" customHeight="1">
      <c r="L433" s="5" t="str">
        <f>IFERROR(__xludf.DUMMYFUNCTION("IFNA(REGEXEXTRACT(B433,""[\-|–][^–|\-]+$""))"),"")</f>
        <v/>
      </c>
    </row>
    <row r="434" ht="15.75" customHeight="1">
      <c r="L434" s="5" t="str">
        <f>IFERROR(__xludf.DUMMYFUNCTION("IFNA(REGEXEXTRACT(B434,""[\-|–][^–|\-]+$""))"),"")</f>
        <v/>
      </c>
    </row>
    <row r="435" ht="15.75" customHeight="1">
      <c r="L435" s="5" t="str">
        <f>IFERROR(__xludf.DUMMYFUNCTION("IFNA(REGEXEXTRACT(B435,""[\-|–][^–|\-]+$""))"),"")</f>
        <v/>
      </c>
    </row>
    <row r="436" ht="15.75" customHeight="1">
      <c r="L436" s="5" t="str">
        <f>IFERROR(__xludf.DUMMYFUNCTION("IFNA(REGEXEXTRACT(B436,""[\-|–][^–|\-]+$""))"),"")</f>
        <v/>
      </c>
    </row>
    <row r="437" ht="15.75" customHeight="1">
      <c r="L437" s="5" t="str">
        <f>IFERROR(__xludf.DUMMYFUNCTION("IFNA(REGEXEXTRACT(B437,""[\-|–][^–|\-]+$""))"),"")</f>
        <v/>
      </c>
    </row>
    <row r="438" ht="15.75" customHeight="1">
      <c r="L438" s="5" t="str">
        <f>IFERROR(__xludf.DUMMYFUNCTION("IFNA(REGEXEXTRACT(B438,""[\-|–][^–|\-]+$""))"),"")</f>
        <v/>
      </c>
    </row>
    <row r="439" ht="15.75" customHeight="1">
      <c r="L439" s="5" t="str">
        <f>IFERROR(__xludf.DUMMYFUNCTION("IFNA(REGEXEXTRACT(B439,""[\-|–][^–|\-]+$""))"),"")</f>
        <v/>
      </c>
    </row>
    <row r="440" ht="15.75" customHeight="1">
      <c r="L440" s="5" t="str">
        <f>IFERROR(__xludf.DUMMYFUNCTION("IFNA(REGEXEXTRACT(B440,""[\-|–][^–|\-]+$""))"),"")</f>
        <v/>
      </c>
    </row>
    <row r="441" ht="15.75" customHeight="1">
      <c r="L441" s="5" t="str">
        <f>IFERROR(__xludf.DUMMYFUNCTION("IFNA(REGEXEXTRACT(B441,""[\-|–][^–|\-]+$""))"),"")</f>
        <v/>
      </c>
    </row>
    <row r="442" ht="15.75" customHeight="1">
      <c r="L442" s="5" t="str">
        <f>IFERROR(__xludf.DUMMYFUNCTION("IFNA(REGEXEXTRACT(B442,""[\-|–][^–|\-]+$""))"),"")</f>
        <v/>
      </c>
    </row>
    <row r="443" ht="15.75" customHeight="1">
      <c r="L443" s="5" t="str">
        <f>IFERROR(__xludf.DUMMYFUNCTION("IFNA(REGEXEXTRACT(B443,""[\-|–][^–|\-]+$""))"),"")</f>
        <v/>
      </c>
    </row>
    <row r="444" ht="15.75" customHeight="1">
      <c r="L444" s="5" t="str">
        <f>IFERROR(__xludf.DUMMYFUNCTION("IFNA(REGEXEXTRACT(B444,""[\-|–][^–|\-]+$""))"),"")</f>
        <v/>
      </c>
    </row>
    <row r="445" ht="15.75" customHeight="1">
      <c r="L445" s="5" t="str">
        <f>IFERROR(__xludf.DUMMYFUNCTION("IFNA(REGEXEXTRACT(B445,""[\-|–][^–|\-]+$""))"),"")</f>
        <v/>
      </c>
    </row>
    <row r="446" ht="15.75" customHeight="1">
      <c r="L446" s="5" t="str">
        <f>IFERROR(__xludf.DUMMYFUNCTION("IFNA(REGEXEXTRACT(B446,""[\-|–][^–|\-]+$""))"),"")</f>
        <v/>
      </c>
    </row>
    <row r="447" ht="15.75" customHeight="1">
      <c r="L447" s="5" t="str">
        <f>IFERROR(__xludf.DUMMYFUNCTION("IFNA(REGEXEXTRACT(B447,""[\-|–][^–|\-]+$""))"),"")</f>
        <v/>
      </c>
    </row>
    <row r="448" ht="15.75" customHeight="1">
      <c r="L448" s="5" t="str">
        <f>IFERROR(__xludf.DUMMYFUNCTION("IFNA(REGEXEXTRACT(B448,""[\-|–][^–|\-]+$""))"),"")</f>
        <v/>
      </c>
    </row>
    <row r="449" ht="15.75" customHeight="1">
      <c r="L449" s="5" t="str">
        <f>IFERROR(__xludf.DUMMYFUNCTION("IFNA(REGEXEXTRACT(B449,""[\-|–][^–|\-]+$""))"),"")</f>
        <v/>
      </c>
    </row>
    <row r="450" ht="15.75" customHeight="1">
      <c r="L450" s="5" t="str">
        <f>IFERROR(__xludf.DUMMYFUNCTION("IFNA(REGEXEXTRACT(B450,""[\-|–][^–|\-]+$""))"),"")</f>
        <v/>
      </c>
    </row>
    <row r="451" ht="15.75" customHeight="1">
      <c r="L451" s="5" t="str">
        <f>IFERROR(__xludf.DUMMYFUNCTION("IFNA(REGEXEXTRACT(B451,""[\-|–][^–|\-]+$""))"),"")</f>
        <v/>
      </c>
    </row>
    <row r="452" ht="15.75" customHeight="1">
      <c r="L452" s="5" t="str">
        <f>IFERROR(__xludf.DUMMYFUNCTION("IFNA(REGEXEXTRACT(B452,""[\-|–][^–|\-]+$""))"),"")</f>
        <v/>
      </c>
    </row>
    <row r="453" ht="15.75" customHeight="1">
      <c r="L453" s="5" t="str">
        <f>IFERROR(__xludf.DUMMYFUNCTION("IFNA(REGEXEXTRACT(B453,""[\-|–][^–|\-]+$""))"),"")</f>
        <v/>
      </c>
    </row>
    <row r="454" ht="15.75" customHeight="1">
      <c r="L454" s="5" t="str">
        <f>IFERROR(__xludf.DUMMYFUNCTION("IFNA(REGEXEXTRACT(B454,""[\-|–][^–|\-]+$""))"),"")</f>
        <v/>
      </c>
    </row>
    <row r="455" ht="15.75" customHeight="1">
      <c r="L455" s="5" t="str">
        <f>IFERROR(__xludf.DUMMYFUNCTION("IFNA(REGEXEXTRACT(B455,""[\-|–][^–|\-]+$""))"),"")</f>
        <v/>
      </c>
    </row>
    <row r="456" ht="15.75" customHeight="1">
      <c r="L456" s="5" t="str">
        <f>IFERROR(__xludf.DUMMYFUNCTION("IFNA(REGEXEXTRACT(B456,""[\-|–][^–|\-]+$""))"),"")</f>
        <v/>
      </c>
    </row>
    <row r="457" ht="15.75" customHeight="1">
      <c r="L457" s="5" t="str">
        <f>IFERROR(__xludf.DUMMYFUNCTION("IFNA(REGEXEXTRACT(B457,""[\-|–][^–|\-]+$""))"),"")</f>
        <v/>
      </c>
    </row>
    <row r="458" ht="15.75" customHeight="1">
      <c r="L458" s="5" t="str">
        <f>IFERROR(__xludf.DUMMYFUNCTION("IFNA(REGEXEXTRACT(B458,""[\-|–][^–|\-]+$""))"),"")</f>
        <v/>
      </c>
    </row>
    <row r="459" ht="15.75" customHeight="1">
      <c r="L459" s="5" t="str">
        <f>IFERROR(__xludf.DUMMYFUNCTION("IFNA(REGEXEXTRACT(B459,""[\-|–][^–|\-]+$""))"),"")</f>
        <v/>
      </c>
    </row>
    <row r="460" ht="15.75" customHeight="1">
      <c r="L460" s="5" t="str">
        <f>IFERROR(__xludf.DUMMYFUNCTION("IFNA(REGEXEXTRACT(B460,""[\-|–][^–|\-]+$""))"),"")</f>
        <v/>
      </c>
    </row>
    <row r="461" ht="15.75" customHeight="1">
      <c r="L461" s="5" t="str">
        <f>IFERROR(__xludf.DUMMYFUNCTION("IFNA(REGEXEXTRACT(B461,""[\-|–][^–|\-]+$""))"),"")</f>
        <v/>
      </c>
    </row>
    <row r="462" ht="15.75" customHeight="1">
      <c r="L462" s="5" t="str">
        <f>IFERROR(__xludf.DUMMYFUNCTION("IFNA(REGEXEXTRACT(B462,""[\-|–][^–|\-]+$""))"),"")</f>
        <v/>
      </c>
    </row>
    <row r="463" ht="15.75" customHeight="1">
      <c r="L463" s="5" t="str">
        <f>IFERROR(__xludf.DUMMYFUNCTION("IFNA(REGEXEXTRACT(B463,""[\-|–][^–|\-]+$""))"),"")</f>
        <v/>
      </c>
    </row>
    <row r="464" ht="15.75" customHeight="1">
      <c r="L464" s="5" t="str">
        <f>IFERROR(__xludf.DUMMYFUNCTION("IFNA(REGEXEXTRACT(B464,""[\-|–][^–|\-]+$""))"),"")</f>
        <v/>
      </c>
    </row>
    <row r="465" ht="15.75" customHeight="1">
      <c r="L465" s="5" t="str">
        <f>IFERROR(__xludf.DUMMYFUNCTION("IFNA(REGEXEXTRACT(B465,""[\-|–][^–|\-]+$""))"),"")</f>
        <v/>
      </c>
    </row>
    <row r="466" ht="15.75" customHeight="1">
      <c r="L466" s="5" t="str">
        <f>IFERROR(__xludf.DUMMYFUNCTION("IFNA(REGEXEXTRACT(B466,""[\-|–][^–|\-]+$""))"),"")</f>
        <v/>
      </c>
    </row>
    <row r="467" ht="15.75" customHeight="1">
      <c r="L467" s="5" t="str">
        <f>IFERROR(__xludf.DUMMYFUNCTION("IFNA(REGEXEXTRACT(B467,""[\-|–][^–|\-]+$""))"),"")</f>
        <v/>
      </c>
    </row>
    <row r="468" ht="15.75" customHeight="1">
      <c r="L468" s="5" t="str">
        <f>IFERROR(__xludf.DUMMYFUNCTION("IFNA(REGEXEXTRACT(B468,""[\-|–][^–|\-]+$""))"),"")</f>
        <v/>
      </c>
    </row>
    <row r="469" ht="15.75" customHeight="1">
      <c r="L469" s="5" t="str">
        <f>IFERROR(__xludf.DUMMYFUNCTION("IFNA(REGEXEXTRACT(B469,""[\-|–][^–|\-]+$""))"),"")</f>
        <v/>
      </c>
    </row>
    <row r="470" ht="15.75" customHeight="1">
      <c r="L470" s="5" t="str">
        <f>IFERROR(__xludf.DUMMYFUNCTION("IFNA(REGEXEXTRACT(B470,""[\-|–][^–|\-]+$""))"),"")</f>
        <v/>
      </c>
    </row>
    <row r="471" ht="15.75" customHeight="1">
      <c r="L471" s="5" t="str">
        <f>IFERROR(__xludf.DUMMYFUNCTION("IFNA(REGEXEXTRACT(B471,""[\-|–][^–|\-]+$""))"),"")</f>
        <v/>
      </c>
    </row>
    <row r="472" ht="15.75" customHeight="1">
      <c r="L472" s="5" t="str">
        <f>IFERROR(__xludf.DUMMYFUNCTION("IFNA(REGEXEXTRACT(B472,""[\-|–][^–|\-]+$""))"),"")</f>
        <v/>
      </c>
    </row>
    <row r="473" ht="15.75" customHeight="1">
      <c r="L473" s="5" t="str">
        <f>IFERROR(__xludf.DUMMYFUNCTION("IFNA(REGEXEXTRACT(B473,""[\-|–][^–|\-]+$""))"),"")</f>
        <v/>
      </c>
    </row>
    <row r="474" ht="15.75" customHeight="1">
      <c r="L474" s="5" t="str">
        <f>IFERROR(__xludf.DUMMYFUNCTION("IFNA(REGEXEXTRACT(B474,""[\-|–][^–|\-]+$""))"),"")</f>
        <v/>
      </c>
    </row>
    <row r="475" ht="15.75" customHeight="1">
      <c r="L475" s="5" t="str">
        <f>IFERROR(__xludf.DUMMYFUNCTION("IFNA(REGEXEXTRACT(B475,""[\-|–][^–|\-]+$""))"),"")</f>
        <v/>
      </c>
    </row>
    <row r="476" ht="15.75" customHeight="1">
      <c r="L476" s="5" t="str">
        <f>IFERROR(__xludf.DUMMYFUNCTION("IFNA(REGEXEXTRACT(B476,""[\-|–][^–|\-]+$""))"),"")</f>
        <v/>
      </c>
    </row>
    <row r="477" ht="15.75" customHeight="1">
      <c r="L477" s="5" t="str">
        <f>IFERROR(__xludf.DUMMYFUNCTION("IFNA(REGEXEXTRACT(B477,""[\-|–][^–|\-]+$""))"),"")</f>
        <v/>
      </c>
    </row>
    <row r="478" ht="15.75" customHeight="1">
      <c r="L478" s="5" t="str">
        <f>IFERROR(__xludf.DUMMYFUNCTION("IFNA(REGEXEXTRACT(B478,""[\-|–][^–|\-]+$""))"),"")</f>
        <v/>
      </c>
    </row>
    <row r="479" ht="15.75" customHeight="1">
      <c r="L479" s="5" t="str">
        <f>IFERROR(__xludf.DUMMYFUNCTION("IFNA(REGEXEXTRACT(B479,""[\-|–][^–|\-]+$""))"),"")</f>
        <v/>
      </c>
    </row>
    <row r="480" ht="15.75" customHeight="1">
      <c r="L480" s="5" t="str">
        <f>IFERROR(__xludf.DUMMYFUNCTION("IFNA(REGEXEXTRACT(B480,""[\-|–][^–|\-]+$""))"),"")</f>
        <v/>
      </c>
    </row>
    <row r="481" ht="15.75" customHeight="1">
      <c r="L481" s="5" t="str">
        <f>IFERROR(__xludf.DUMMYFUNCTION("IFNA(REGEXEXTRACT(B481,""[\-|–][^–|\-]+$""))"),"")</f>
        <v/>
      </c>
    </row>
    <row r="482" ht="15.75" customHeight="1">
      <c r="L482" s="5" t="str">
        <f>IFERROR(__xludf.DUMMYFUNCTION("IFNA(REGEXEXTRACT(B482,""[\-|–][^–|\-]+$""))"),"")</f>
        <v/>
      </c>
    </row>
    <row r="483" ht="15.75" customHeight="1">
      <c r="L483" s="5" t="str">
        <f>IFERROR(__xludf.DUMMYFUNCTION("IFNA(REGEXEXTRACT(B483,""[\-|–][^–|\-]+$""))"),"")</f>
        <v/>
      </c>
    </row>
    <row r="484" ht="15.75" customHeight="1">
      <c r="L484" s="5" t="str">
        <f>IFERROR(__xludf.DUMMYFUNCTION("IFNA(REGEXEXTRACT(B484,""[\-|–][^–|\-]+$""))"),"")</f>
        <v/>
      </c>
    </row>
    <row r="485" ht="15.75" customHeight="1">
      <c r="L485" s="5" t="str">
        <f>IFERROR(__xludf.DUMMYFUNCTION("IFNA(REGEXEXTRACT(B485,""[\-|–][^–|\-]+$""))"),"")</f>
        <v/>
      </c>
    </row>
    <row r="486" ht="15.75" customHeight="1">
      <c r="L486" s="5" t="str">
        <f>IFERROR(__xludf.DUMMYFUNCTION("IFNA(REGEXEXTRACT(B486,""[\-|–][^–|\-]+$""))"),"")</f>
        <v/>
      </c>
    </row>
    <row r="487" ht="15.75" customHeight="1">
      <c r="L487" s="5" t="str">
        <f>IFERROR(__xludf.DUMMYFUNCTION("IFNA(REGEXEXTRACT(B487,""[\-|–][^–|\-]+$""))"),"")</f>
        <v/>
      </c>
    </row>
    <row r="488" ht="15.75" customHeight="1">
      <c r="L488" s="5" t="str">
        <f>IFERROR(__xludf.DUMMYFUNCTION("IFNA(REGEXEXTRACT(B488,""[\-|–][^–|\-]+$""))"),"")</f>
        <v/>
      </c>
    </row>
    <row r="489" ht="15.75" customHeight="1">
      <c r="L489" s="5" t="str">
        <f>IFERROR(__xludf.DUMMYFUNCTION("IFNA(REGEXEXTRACT(B489,""[\-|–][^–|\-]+$""))"),"")</f>
        <v/>
      </c>
    </row>
    <row r="490" ht="15.75" customHeight="1">
      <c r="L490" s="5" t="str">
        <f>IFERROR(__xludf.DUMMYFUNCTION("IFNA(REGEXEXTRACT(B490,""[\-|–][^–|\-]+$""))"),"")</f>
        <v/>
      </c>
    </row>
    <row r="491" ht="15.75" customHeight="1">
      <c r="L491" s="5" t="str">
        <f>IFERROR(__xludf.DUMMYFUNCTION("IFNA(REGEXEXTRACT(B491,""[\-|–][^–|\-]+$""))"),"")</f>
        <v/>
      </c>
    </row>
    <row r="492" ht="15.75" customHeight="1">
      <c r="L492" s="5" t="str">
        <f>IFERROR(__xludf.DUMMYFUNCTION("IFNA(REGEXEXTRACT(B492,""[\-|–][^–|\-]+$""))"),"")</f>
        <v/>
      </c>
    </row>
    <row r="493" ht="15.75" customHeight="1">
      <c r="L493" s="5" t="str">
        <f>IFERROR(__xludf.DUMMYFUNCTION("IFNA(REGEXEXTRACT(B493,""[\-|–][^–|\-]+$""))"),"")</f>
        <v/>
      </c>
    </row>
    <row r="494" ht="15.75" customHeight="1">
      <c r="L494" s="5" t="str">
        <f>IFERROR(__xludf.DUMMYFUNCTION("IFNA(REGEXEXTRACT(B494,""[\-|–][^–|\-]+$""))"),"")</f>
        <v/>
      </c>
    </row>
    <row r="495" ht="15.75" customHeight="1">
      <c r="L495" s="5" t="str">
        <f>IFERROR(__xludf.DUMMYFUNCTION("IFNA(REGEXEXTRACT(B495,""[\-|–][^–|\-]+$""))"),"")</f>
        <v/>
      </c>
    </row>
    <row r="496" ht="15.75" customHeight="1">
      <c r="L496" s="5" t="str">
        <f>IFERROR(__xludf.DUMMYFUNCTION("IFNA(REGEXEXTRACT(B496,""[\-|–][^–|\-]+$""))"),"")</f>
        <v/>
      </c>
    </row>
    <row r="497" ht="15.75" customHeight="1">
      <c r="L497" s="5" t="str">
        <f>IFERROR(__xludf.DUMMYFUNCTION("IFNA(REGEXEXTRACT(B497,""[\-|–][^–|\-]+$""))"),"")</f>
        <v/>
      </c>
    </row>
    <row r="498" ht="15.75" customHeight="1">
      <c r="L498" s="5" t="str">
        <f>IFERROR(__xludf.DUMMYFUNCTION("IFNA(REGEXEXTRACT(B498,""[\-|–][^–|\-]+$""))"),"")</f>
        <v/>
      </c>
    </row>
    <row r="499" ht="15.75" customHeight="1">
      <c r="L499" s="5" t="str">
        <f>IFERROR(__xludf.DUMMYFUNCTION("IFNA(REGEXEXTRACT(B499,""[\-|–][^–|\-]+$""))"),"")</f>
        <v/>
      </c>
    </row>
    <row r="500" ht="15.75" customHeight="1">
      <c r="L500" s="5" t="str">
        <f>IFERROR(__xludf.DUMMYFUNCTION("IFNA(REGEXEXTRACT(B500,""[\-|–][^–|\-]+$""))"),"")</f>
        <v/>
      </c>
    </row>
    <row r="501" ht="15.75" customHeight="1">
      <c r="L501" s="5" t="str">
        <f>IFERROR(__xludf.DUMMYFUNCTION("IFNA(REGEXEXTRACT(B501,""[\-|–][^–|\-]+$""))"),"")</f>
        <v/>
      </c>
    </row>
    <row r="502" ht="15.75" customHeight="1">
      <c r="L502" s="5" t="str">
        <f>IFERROR(__xludf.DUMMYFUNCTION("IFNA(REGEXEXTRACT(B502,""[\-|–][^–|\-]+$""))"),"")</f>
        <v/>
      </c>
    </row>
    <row r="503" ht="15.75" customHeight="1">
      <c r="L503" s="5" t="str">
        <f>IFERROR(__xludf.DUMMYFUNCTION("IFNA(REGEXEXTRACT(B503,""[\-|–][^–|\-]+$""))"),"")</f>
        <v/>
      </c>
    </row>
    <row r="504" ht="15.75" customHeight="1">
      <c r="L504" s="5" t="str">
        <f>IFERROR(__xludf.DUMMYFUNCTION("IFNA(REGEXEXTRACT(B504,""[\-|–][^–|\-]+$""))"),"")</f>
        <v/>
      </c>
    </row>
    <row r="505" ht="15.75" customHeight="1">
      <c r="L505" s="5" t="str">
        <f>IFERROR(__xludf.DUMMYFUNCTION("IFNA(REGEXEXTRACT(B505,""[\-|–][^–|\-]+$""))"),"")</f>
        <v/>
      </c>
    </row>
    <row r="506" ht="15.75" customHeight="1">
      <c r="L506" s="5" t="str">
        <f>IFERROR(__xludf.DUMMYFUNCTION("IFNA(REGEXEXTRACT(B506,""[\-|–][^–|\-]+$""))"),"")</f>
        <v/>
      </c>
    </row>
    <row r="507" ht="15.75" customHeight="1">
      <c r="L507" s="5" t="str">
        <f>IFERROR(__xludf.DUMMYFUNCTION("IFNA(REGEXEXTRACT(B507,""[\-|–][^–|\-]+$""))"),"")</f>
        <v/>
      </c>
    </row>
    <row r="508" ht="15.75" customHeight="1">
      <c r="L508" s="5" t="str">
        <f>IFERROR(__xludf.DUMMYFUNCTION("IFNA(REGEXEXTRACT(B508,""[\-|–][^–|\-]+$""))"),"")</f>
        <v/>
      </c>
    </row>
    <row r="509" ht="15.75" customHeight="1">
      <c r="L509" s="5" t="str">
        <f>IFERROR(__xludf.DUMMYFUNCTION("IFNA(REGEXEXTRACT(B509,""[\-|–][^–|\-]+$""))"),"")</f>
        <v/>
      </c>
    </row>
    <row r="510" ht="15.75" customHeight="1">
      <c r="L510" s="5" t="str">
        <f>IFERROR(__xludf.DUMMYFUNCTION("IFNA(REGEXEXTRACT(B510,""[\-|–][^–|\-]+$""))"),"")</f>
        <v/>
      </c>
    </row>
    <row r="511" ht="15.75" customHeight="1">
      <c r="L511" s="5" t="str">
        <f>IFERROR(__xludf.DUMMYFUNCTION("IFNA(REGEXEXTRACT(B511,""[\-|–][^–|\-]+$""))"),"")</f>
        <v/>
      </c>
    </row>
    <row r="512" ht="15.75" customHeight="1">
      <c r="L512" s="5" t="str">
        <f>IFERROR(__xludf.DUMMYFUNCTION("IFNA(REGEXEXTRACT(B512,""[\-|–][^–|\-]+$""))"),"")</f>
        <v/>
      </c>
    </row>
    <row r="513" ht="15.75" customHeight="1">
      <c r="L513" s="5" t="str">
        <f>IFERROR(__xludf.DUMMYFUNCTION("IFNA(REGEXEXTRACT(B513,""[\-|–][^–|\-]+$""))"),"")</f>
        <v/>
      </c>
    </row>
    <row r="514" ht="15.75" customHeight="1">
      <c r="L514" s="5" t="str">
        <f>IFERROR(__xludf.DUMMYFUNCTION("IFNA(REGEXEXTRACT(B514,""[\-|–][^–|\-]+$""))"),"")</f>
        <v/>
      </c>
    </row>
    <row r="515" ht="15.75" customHeight="1">
      <c r="L515" s="5" t="str">
        <f>IFERROR(__xludf.DUMMYFUNCTION("IFNA(REGEXEXTRACT(B515,""[\-|–][^–|\-]+$""))"),"")</f>
        <v/>
      </c>
    </row>
    <row r="516" ht="15.75" customHeight="1">
      <c r="L516" s="5" t="str">
        <f>IFERROR(__xludf.DUMMYFUNCTION("IFNA(REGEXEXTRACT(B516,""[\-|–][^–|\-]+$""))"),"")</f>
        <v/>
      </c>
    </row>
    <row r="517" ht="15.75" customHeight="1">
      <c r="L517" s="5" t="str">
        <f>IFERROR(__xludf.DUMMYFUNCTION("IFNA(REGEXEXTRACT(B517,""[\-|–][^–|\-]+$""))"),"")</f>
        <v/>
      </c>
    </row>
    <row r="518" ht="15.75" customHeight="1">
      <c r="L518" s="5" t="str">
        <f>IFERROR(__xludf.DUMMYFUNCTION("IFNA(REGEXEXTRACT(B518,""[\-|–][^–|\-]+$""))"),"")</f>
        <v/>
      </c>
    </row>
    <row r="519" ht="15.75" customHeight="1">
      <c r="L519" s="5" t="str">
        <f>IFERROR(__xludf.DUMMYFUNCTION("IFNA(REGEXEXTRACT(B519,""[\-|–][^–|\-]+$""))"),"")</f>
        <v/>
      </c>
    </row>
    <row r="520" ht="15.75" customHeight="1">
      <c r="L520" s="5" t="str">
        <f>IFERROR(__xludf.DUMMYFUNCTION("IFNA(REGEXEXTRACT(B520,""[\-|–][^–|\-]+$""))"),"")</f>
        <v/>
      </c>
    </row>
    <row r="521" ht="15.75" customHeight="1">
      <c r="L521" s="5" t="str">
        <f>IFERROR(__xludf.DUMMYFUNCTION("IFNA(REGEXEXTRACT(B521,""[\-|–][^–|\-]+$""))"),"")</f>
        <v/>
      </c>
    </row>
    <row r="522" ht="15.75" customHeight="1">
      <c r="L522" s="5" t="str">
        <f>IFERROR(__xludf.DUMMYFUNCTION("IFNA(REGEXEXTRACT(B522,""[\-|–][^–|\-]+$""))"),"")</f>
        <v/>
      </c>
    </row>
    <row r="523" ht="15.75" customHeight="1">
      <c r="L523" s="5" t="str">
        <f>IFERROR(__xludf.DUMMYFUNCTION("IFNA(REGEXEXTRACT(B523,""[\-|–][^–|\-]+$""))"),"")</f>
        <v/>
      </c>
    </row>
    <row r="524" ht="15.75" customHeight="1">
      <c r="L524" s="5" t="str">
        <f>IFERROR(__xludf.DUMMYFUNCTION("IFNA(REGEXEXTRACT(B524,""[\-|–][^–|\-]+$""))"),"")</f>
        <v/>
      </c>
    </row>
    <row r="525" ht="15.75" customHeight="1">
      <c r="L525" s="5" t="str">
        <f>IFERROR(__xludf.DUMMYFUNCTION("IFNA(REGEXEXTRACT(B525,""[\-|–][^–|\-]+$""))"),"")</f>
        <v/>
      </c>
    </row>
    <row r="526" ht="15.75" customHeight="1">
      <c r="L526" s="5" t="str">
        <f>IFERROR(__xludf.DUMMYFUNCTION("IFNA(REGEXEXTRACT(B526,""[\-|–][^–|\-]+$""))"),"")</f>
        <v/>
      </c>
    </row>
    <row r="527" ht="15.75" customHeight="1">
      <c r="L527" s="5" t="str">
        <f>IFERROR(__xludf.DUMMYFUNCTION("IFNA(REGEXEXTRACT(B527,""[\-|–][^–|\-]+$""))"),"")</f>
        <v/>
      </c>
    </row>
    <row r="528" ht="15.75" customHeight="1">
      <c r="L528" s="5" t="str">
        <f>IFERROR(__xludf.DUMMYFUNCTION("IFNA(REGEXEXTRACT(B528,""[\-|–][^–|\-]+$""))"),"")</f>
        <v/>
      </c>
    </row>
    <row r="529" ht="15.75" customHeight="1">
      <c r="L529" s="5" t="str">
        <f>IFERROR(__xludf.DUMMYFUNCTION("IFNA(REGEXEXTRACT(B529,""[\-|–][^–|\-]+$""))"),"")</f>
        <v/>
      </c>
    </row>
    <row r="530" ht="15.75" customHeight="1">
      <c r="L530" s="5" t="str">
        <f>IFERROR(__xludf.DUMMYFUNCTION("IFNA(REGEXEXTRACT(B530,""[\-|–][^–|\-]+$""))"),"")</f>
        <v/>
      </c>
    </row>
    <row r="531" ht="15.75" customHeight="1">
      <c r="L531" s="5" t="str">
        <f>IFERROR(__xludf.DUMMYFUNCTION("IFNA(REGEXEXTRACT(B531,""[\-|–][^–|\-]+$""))"),"")</f>
        <v/>
      </c>
    </row>
    <row r="532" ht="15.75" customHeight="1">
      <c r="L532" s="5" t="str">
        <f>IFERROR(__xludf.DUMMYFUNCTION("IFNA(REGEXEXTRACT(B532,""[\-|–][^–|\-]+$""))"),"")</f>
        <v/>
      </c>
    </row>
    <row r="533" ht="15.75" customHeight="1">
      <c r="L533" s="5" t="str">
        <f>IFERROR(__xludf.DUMMYFUNCTION("IFNA(REGEXEXTRACT(B533,""[\-|–][^–|\-]+$""))"),"")</f>
        <v/>
      </c>
    </row>
    <row r="534" ht="15.75" customHeight="1">
      <c r="L534" s="5" t="str">
        <f>IFERROR(__xludf.DUMMYFUNCTION("IFNA(REGEXEXTRACT(B534,""[\-|–][^–|\-]+$""))"),"")</f>
        <v/>
      </c>
    </row>
    <row r="535" ht="15.75" customHeight="1">
      <c r="L535" s="5" t="str">
        <f>IFERROR(__xludf.DUMMYFUNCTION("IFNA(REGEXEXTRACT(B535,""[\-|–][^–|\-]+$""))"),"")</f>
        <v/>
      </c>
    </row>
    <row r="536" ht="15.75" customHeight="1">
      <c r="L536" s="5" t="str">
        <f>IFERROR(__xludf.DUMMYFUNCTION("IFNA(REGEXEXTRACT(B536,""[\-|–][^–|\-]+$""))"),"")</f>
        <v/>
      </c>
    </row>
    <row r="537" ht="15.75" customHeight="1">
      <c r="L537" s="5" t="str">
        <f>IFERROR(__xludf.DUMMYFUNCTION("IFNA(REGEXEXTRACT(B537,""[\-|–][^–|\-]+$""))"),"")</f>
        <v/>
      </c>
    </row>
    <row r="538" ht="15.75" customHeight="1">
      <c r="L538" s="5" t="str">
        <f>IFERROR(__xludf.DUMMYFUNCTION("IFNA(REGEXEXTRACT(B538,""[\-|–][^–|\-]+$""))"),"")</f>
        <v/>
      </c>
    </row>
    <row r="539" ht="15.75" customHeight="1">
      <c r="L539" s="5" t="str">
        <f>IFERROR(__xludf.DUMMYFUNCTION("IFNA(REGEXEXTRACT(B539,""[\-|–][^–|\-]+$""))"),"")</f>
        <v/>
      </c>
    </row>
    <row r="540" ht="15.75" customHeight="1">
      <c r="L540" s="5" t="str">
        <f>IFERROR(__xludf.DUMMYFUNCTION("IFNA(REGEXEXTRACT(B540,""[\-|–][^–|\-]+$""))"),"")</f>
        <v/>
      </c>
    </row>
    <row r="541" ht="15.75" customHeight="1">
      <c r="L541" s="5" t="str">
        <f>IFERROR(__xludf.DUMMYFUNCTION("IFNA(REGEXEXTRACT(B541,""[\-|–][^–|\-]+$""))"),"")</f>
        <v/>
      </c>
    </row>
    <row r="542" ht="15.75" customHeight="1">
      <c r="L542" s="5" t="str">
        <f>IFERROR(__xludf.DUMMYFUNCTION("IFNA(REGEXEXTRACT(B542,""[\-|–][^–|\-]+$""))"),"")</f>
        <v/>
      </c>
    </row>
    <row r="543" ht="15.75" customHeight="1">
      <c r="L543" s="5" t="str">
        <f>IFERROR(__xludf.DUMMYFUNCTION("IFNA(REGEXEXTRACT(B543,""[\-|–][^–|\-]+$""))"),"")</f>
        <v/>
      </c>
    </row>
    <row r="544" ht="15.75" customHeight="1">
      <c r="L544" s="5" t="str">
        <f>IFERROR(__xludf.DUMMYFUNCTION("IFNA(REGEXEXTRACT(B544,""[\-|–][^–|\-]+$""))"),"")</f>
        <v/>
      </c>
    </row>
    <row r="545" ht="15.75" customHeight="1">
      <c r="L545" s="5" t="str">
        <f>IFERROR(__xludf.DUMMYFUNCTION("IFNA(REGEXEXTRACT(B545,""[\-|–][^–|\-]+$""))"),"")</f>
        <v/>
      </c>
    </row>
    <row r="546" ht="15.75" customHeight="1">
      <c r="L546" s="5" t="str">
        <f>IFERROR(__xludf.DUMMYFUNCTION("IFNA(REGEXEXTRACT(B546,""[\-|–][^–|\-]+$""))"),"")</f>
        <v/>
      </c>
    </row>
    <row r="547" ht="15.75" customHeight="1">
      <c r="L547" s="5" t="str">
        <f>IFERROR(__xludf.DUMMYFUNCTION("IFNA(REGEXEXTRACT(B547,""[\-|–][^–|\-]+$""))"),"")</f>
        <v/>
      </c>
    </row>
    <row r="548" ht="15.75" customHeight="1">
      <c r="L548" s="5" t="str">
        <f>IFERROR(__xludf.DUMMYFUNCTION("IFNA(REGEXEXTRACT(B548,""[\-|–][^–|\-]+$""))"),"")</f>
        <v/>
      </c>
    </row>
    <row r="549" ht="15.75" customHeight="1">
      <c r="L549" s="5" t="str">
        <f>IFERROR(__xludf.DUMMYFUNCTION("IFNA(REGEXEXTRACT(B549,""[\-|–][^–|\-]+$""))"),"")</f>
        <v/>
      </c>
    </row>
    <row r="550" ht="15.75" customHeight="1">
      <c r="L550" s="5" t="str">
        <f>IFERROR(__xludf.DUMMYFUNCTION("IFNA(REGEXEXTRACT(B550,""[\-|–][^–|\-]+$""))"),"")</f>
        <v/>
      </c>
    </row>
    <row r="551" ht="15.75" customHeight="1">
      <c r="L551" s="5" t="str">
        <f>IFERROR(__xludf.DUMMYFUNCTION("IFNA(REGEXEXTRACT(B551,""[\-|–][^–|\-]+$""))"),"")</f>
        <v/>
      </c>
    </row>
    <row r="552" ht="15.75" customHeight="1">
      <c r="L552" s="5" t="str">
        <f>IFERROR(__xludf.DUMMYFUNCTION("IFNA(REGEXEXTRACT(B552,""[\-|–][^–|\-]+$""))"),"")</f>
        <v/>
      </c>
    </row>
    <row r="553" ht="15.75" customHeight="1">
      <c r="L553" s="5" t="str">
        <f>IFERROR(__xludf.DUMMYFUNCTION("IFNA(REGEXEXTRACT(B553,""[\-|–][^–|\-]+$""))"),"")</f>
        <v/>
      </c>
    </row>
    <row r="554" ht="15.75" customHeight="1">
      <c r="L554" s="5" t="str">
        <f>IFERROR(__xludf.DUMMYFUNCTION("IFNA(REGEXEXTRACT(B554,""[\-|–][^–|\-]+$""))"),"")</f>
        <v/>
      </c>
    </row>
    <row r="555" ht="15.75" customHeight="1">
      <c r="L555" s="5" t="str">
        <f>IFERROR(__xludf.DUMMYFUNCTION("IFNA(REGEXEXTRACT(B555,""[\-|–][^–|\-]+$""))"),"")</f>
        <v/>
      </c>
    </row>
    <row r="556" ht="15.75" customHeight="1">
      <c r="L556" s="5" t="str">
        <f>IFERROR(__xludf.DUMMYFUNCTION("IFNA(REGEXEXTRACT(B556,""[\-|–][^–|\-]+$""))"),"")</f>
        <v/>
      </c>
    </row>
    <row r="557" ht="15.75" customHeight="1">
      <c r="L557" s="5" t="str">
        <f>IFERROR(__xludf.DUMMYFUNCTION("IFNA(REGEXEXTRACT(B557,""[\-|–][^–|\-]+$""))"),"")</f>
        <v/>
      </c>
    </row>
    <row r="558" ht="15.75" customHeight="1">
      <c r="L558" s="5" t="str">
        <f>IFERROR(__xludf.DUMMYFUNCTION("IFNA(REGEXEXTRACT(B558,""[\-|–][^–|\-]+$""))"),"")</f>
        <v/>
      </c>
    </row>
    <row r="559" ht="15.75" customHeight="1">
      <c r="L559" s="5" t="str">
        <f>IFERROR(__xludf.DUMMYFUNCTION("IFNA(REGEXEXTRACT(B559,""[\-|–][^–|\-]+$""))"),"")</f>
        <v/>
      </c>
    </row>
    <row r="560" ht="15.75" customHeight="1">
      <c r="L560" s="5" t="str">
        <f>IFERROR(__xludf.DUMMYFUNCTION("IFNA(REGEXEXTRACT(B560,""[\-|–][^–|\-]+$""))"),"")</f>
        <v/>
      </c>
    </row>
    <row r="561" ht="15.75" customHeight="1">
      <c r="L561" s="5" t="str">
        <f>IFERROR(__xludf.DUMMYFUNCTION("IFNA(REGEXEXTRACT(B561,""[\-|–][^–|\-]+$""))"),"")</f>
        <v/>
      </c>
    </row>
    <row r="562" ht="15.75" customHeight="1">
      <c r="L562" s="5" t="str">
        <f>IFERROR(__xludf.DUMMYFUNCTION("IFNA(REGEXEXTRACT(B562,""[\-|–][^–|\-]+$""))"),"")</f>
        <v/>
      </c>
    </row>
    <row r="563" ht="15.75" customHeight="1">
      <c r="L563" s="5" t="str">
        <f>IFERROR(__xludf.DUMMYFUNCTION("IFNA(REGEXEXTRACT(B563,""[\-|–][^–|\-]+$""))"),"")</f>
        <v/>
      </c>
    </row>
    <row r="564" ht="15.75" customHeight="1">
      <c r="L564" s="5" t="str">
        <f>IFERROR(__xludf.DUMMYFUNCTION("IFNA(REGEXEXTRACT(B564,""[\-|–][^–|\-]+$""))"),"")</f>
        <v/>
      </c>
    </row>
    <row r="565" ht="15.75" customHeight="1">
      <c r="L565" s="5" t="str">
        <f>IFERROR(__xludf.DUMMYFUNCTION("IFNA(REGEXEXTRACT(B565,""[\-|–][^–|\-]+$""))"),"")</f>
        <v/>
      </c>
    </row>
    <row r="566" ht="15.75" customHeight="1">
      <c r="L566" s="5" t="str">
        <f>IFERROR(__xludf.DUMMYFUNCTION("IFNA(REGEXEXTRACT(B566,""[\-|–][^–|\-]+$""))"),"")</f>
        <v/>
      </c>
    </row>
    <row r="567" ht="15.75" customHeight="1">
      <c r="L567" s="5" t="str">
        <f>IFERROR(__xludf.DUMMYFUNCTION("IFNA(REGEXEXTRACT(B567,""[\-|–][^–|\-]+$""))"),"")</f>
        <v/>
      </c>
    </row>
    <row r="568" ht="15.75" customHeight="1">
      <c r="L568" s="5" t="str">
        <f>IFERROR(__xludf.DUMMYFUNCTION("IFNA(REGEXEXTRACT(B568,""[\-|–][^–|\-]+$""))"),"")</f>
        <v/>
      </c>
    </row>
    <row r="569" ht="15.75" customHeight="1">
      <c r="L569" s="5" t="str">
        <f>IFERROR(__xludf.DUMMYFUNCTION("IFNA(REGEXEXTRACT(B569,""[\-|–][^–|\-]+$""))"),"")</f>
        <v/>
      </c>
    </row>
    <row r="570" ht="15.75" customHeight="1">
      <c r="L570" s="5" t="str">
        <f>IFERROR(__xludf.DUMMYFUNCTION("IFNA(REGEXEXTRACT(B570,""[\-|–][^–|\-]+$""))"),"")</f>
        <v/>
      </c>
    </row>
    <row r="571" ht="15.75" customHeight="1">
      <c r="L571" s="5" t="str">
        <f>IFERROR(__xludf.DUMMYFUNCTION("IFNA(REGEXEXTRACT(B571,""[\-|–][^–|\-]+$""))"),"")</f>
        <v/>
      </c>
    </row>
    <row r="572" ht="15.75" customHeight="1">
      <c r="L572" s="5" t="str">
        <f>IFERROR(__xludf.DUMMYFUNCTION("IFNA(REGEXEXTRACT(B572,""[\-|–][^–|\-]+$""))"),"")</f>
        <v/>
      </c>
    </row>
    <row r="573" ht="15.75" customHeight="1">
      <c r="L573" s="5" t="str">
        <f>IFERROR(__xludf.DUMMYFUNCTION("IFNA(REGEXEXTRACT(B573,""[\-|–][^–|\-]+$""))"),"")</f>
        <v/>
      </c>
    </row>
    <row r="574" ht="15.75" customHeight="1">
      <c r="L574" s="5" t="str">
        <f>IFERROR(__xludf.DUMMYFUNCTION("IFNA(REGEXEXTRACT(B574,""[\-|–][^–|\-]+$""))"),"")</f>
        <v/>
      </c>
    </row>
    <row r="575" ht="15.75" customHeight="1">
      <c r="L575" s="5" t="str">
        <f>IFERROR(__xludf.DUMMYFUNCTION("IFNA(REGEXEXTRACT(B575,""[\-|–][^–|\-]+$""))"),"")</f>
        <v/>
      </c>
    </row>
    <row r="576" ht="15.75" customHeight="1">
      <c r="L576" s="5" t="str">
        <f>IFERROR(__xludf.DUMMYFUNCTION("IFNA(REGEXEXTRACT(B576,""[\-|–][^–|\-]+$""))"),"")</f>
        <v/>
      </c>
    </row>
    <row r="577" ht="15.75" customHeight="1">
      <c r="L577" s="5" t="str">
        <f>IFERROR(__xludf.DUMMYFUNCTION("IFNA(REGEXEXTRACT(B577,""[\-|–][^–|\-]+$""))"),"")</f>
        <v/>
      </c>
    </row>
    <row r="578" ht="15.75" customHeight="1">
      <c r="L578" s="5" t="str">
        <f>IFERROR(__xludf.DUMMYFUNCTION("IFNA(REGEXEXTRACT(B578,""[\-|–][^–|\-]+$""))"),"")</f>
        <v/>
      </c>
    </row>
    <row r="579" ht="15.75" customHeight="1">
      <c r="L579" s="5" t="str">
        <f>IFERROR(__xludf.DUMMYFUNCTION("IFNA(REGEXEXTRACT(B579,""[\-|–][^–|\-]+$""))"),"")</f>
        <v/>
      </c>
    </row>
    <row r="580" ht="15.75" customHeight="1">
      <c r="L580" s="5" t="str">
        <f>IFERROR(__xludf.DUMMYFUNCTION("IFNA(REGEXEXTRACT(B580,""[\-|–][^–|\-]+$""))"),"")</f>
        <v/>
      </c>
    </row>
    <row r="581" ht="15.75" customHeight="1">
      <c r="L581" s="5" t="str">
        <f>IFERROR(__xludf.DUMMYFUNCTION("IFNA(REGEXEXTRACT(B581,""[\-|–][^–|\-]+$""))"),"")</f>
        <v/>
      </c>
    </row>
    <row r="582" ht="15.75" customHeight="1">
      <c r="L582" s="5" t="str">
        <f>IFERROR(__xludf.DUMMYFUNCTION("IFNA(REGEXEXTRACT(B582,""[\-|–][^–|\-]+$""))"),"")</f>
        <v/>
      </c>
    </row>
    <row r="583" ht="15.75" customHeight="1">
      <c r="L583" s="5" t="str">
        <f>IFERROR(__xludf.DUMMYFUNCTION("IFNA(REGEXEXTRACT(B583,""[\-|–][^–|\-]+$""))"),"")</f>
        <v/>
      </c>
    </row>
    <row r="584" ht="15.75" customHeight="1">
      <c r="L584" s="5" t="str">
        <f>IFERROR(__xludf.DUMMYFUNCTION("IFNA(REGEXEXTRACT(B584,""[\-|–][^–|\-]+$""))"),"")</f>
        <v/>
      </c>
    </row>
    <row r="585" ht="15.75" customHeight="1">
      <c r="L585" s="5" t="str">
        <f>IFERROR(__xludf.DUMMYFUNCTION("IFNA(REGEXEXTRACT(B585,""[\-|–][^–|\-]+$""))"),"")</f>
        <v/>
      </c>
    </row>
    <row r="586" ht="15.75" customHeight="1">
      <c r="L586" s="5" t="str">
        <f>IFERROR(__xludf.DUMMYFUNCTION("IFNA(REGEXEXTRACT(B586,""[\-|–][^–|\-]+$""))"),"")</f>
        <v/>
      </c>
    </row>
    <row r="587" ht="15.75" customHeight="1">
      <c r="L587" s="5" t="str">
        <f>IFERROR(__xludf.DUMMYFUNCTION("IFNA(REGEXEXTRACT(B587,""[\-|–][^–|\-]+$""))"),"")</f>
        <v/>
      </c>
    </row>
    <row r="588" ht="15.75" customHeight="1">
      <c r="L588" s="5" t="str">
        <f>IFERROR(__xludf.DUMMYFUNCTION("IFNA(REGEXEXTRACT(B588,""[\-|–][^–|\-]+$""))"),"")</f>
        <v/>
      </c>
    </row>
    <row r="589" ht="15.75" customHeight="1">
      <c r="L589" s="5" t="str">
        <f>IFERROR(__xludf.DUMMYFUNCTION("IFNA(REGEXEXTRACT(B589,""[\-|–][^–|\-]+$""))"),"")</f>
        <v/>
      </c>
    </row>
    <row r="590" ht="15.75" customHeight="1">
      <c r="L590" s="5" t="str">
        <f>IFERROR(__xludf.DUMMYFUNCTION("IFNA(REGEXEXTRACT(B590,""[\-|–][^–|\-]+$""))"),"")</f>
        <v/>
      </c>
    </row>
    <row r="591" ht="15.75" customHeight="1">
      <c r="L591" s="5" t="str">
        <f>IFERROR(__xludf.DUMMYFUNCTION("IFNA(REGEXEXTRACT(B591,""[\-|–][^–|\-]+$""))"),"")</f>
        <v/>
      </c>
    </row>
    <row r="592" ht="15.75" customHeight="1">
      <c r="L592" s="5" t="str">
        <f>IFERROR(__xludf.DUMMYFUNCTION("IFNA(REGEXEXTRACT(B592,""[\-|–][^–|\-]+$""))"),"")</f>
        <v/>
      </c>
    </row>
    <row r="593" ht="15.75" customHeight="1">
      <c r="L593" s="5" t="str">
        <f>IFERROR(__xludf.DUMMYFUNCTION("IFNA(REGEXEXTRACT(B593,""[\-|–][^–|\-]+$""))"),"")</f>
        <v/>
      </c>
    </row>
    <row r="594" ht="15.75" customHeight="1">
      <c r="L594" s="5" t="str">
        <f>IFERROR(__xludf.DUMMYFUNCTION("IFNA(REGEXEXTRACT(B594,""[\-|–][^–|\-]+$""))"),"")</f>
        <v/>
      </c>
    </row>
    <row r="595" ht="15.75" customHeight="1">
      <c r="L595" s="5" t="str">
        <f>IFERROR(__xludf.DUMMYFUNCTION("IFNA(REGEXEXTRACT(B595,""[\-|–][^–|\-]+$""))"),"")</f>
        <v/>
      </c>
    </row>
    <row r="596" ht="15.75" customHeight="1">
      <c r="L596" s="5" t="str">
        <f>IFERROR(__xludf.DUMMYFUNCTION("IFNA(REGEXEXTRACT(B596,""[\-|–][^–|\-]+$""))"),"")</f>
        <v/>
      </c>
    </row>
    <row r="597" ht="15.75" customHeight="1">
      <c r="L597" s="5" t="str">
        <f>IFERROR(__xludf.DUMMYFUNCTION("IFNA(REGEXEXTRACT(B597,""[\-|–][^–|\-]+$""))"),"")</f>
        <v/>
      </c>
    </row>
    <row r="598" ht="15.75" customHeight="1">
      <c r="L598" s="5" t="str">
        <f>IFERROR(__xludf.DUMMYFUNCTION("IFNA(REGEXEXTRACT(B598,""[\-|–][^–|\-]+$""))"),"")</f>
        <v/>
      </c>
    </row>
    <row r="599" ht="15.75" customHeight="1">
      <c r="L599" s="5" t="str">
        <f>IFERROR(__xludf.DUMMYFUNCTION("IFNA(REGEXEXTRACT(B599,""[\-|–][^–|\-]+$""))"),"")</f>
        <v/>
      </c>
    </row>
    <row r="600" ht="15.75" customHeight="1">
      <c r="L600" s="5" t="str">
        <f>IFERROR(__xludf.DUMMYFUNCTION("IFNA(REGEXEXTRACT(B600,""[\-|–][^–|\-]+$""))"),"")</f>
        <v/>
      </c>
    </row>
    <row r="601" ht="15.75" customHeight="1">
      <c r="L601" s="5" t="str">
        <f>IFERROR(__xludf.DUMMYFUNCTION("IFNA(REGEXEXTRACT(B601,""[\-|–][^–|\-]+$""))"),"")</f>
        <v/>
      </c>
    </row>
    <row r="602" ht="15.75" customHeight="1">
      <c r="L602" s="5" t="str">
        <f>IFERROR(__xludf.DUMMYFUNCTION("IFNA(REGEXEXTRACT(B602,""[\-|–][^–|\-]+$""))"),"")</f>
        <v/>
      </c>
    </row>
    <row r="603" ht="15.75" customHeight="1">
      <c r="L603" s="5" t="str">
        <f>IFERROR(__xludf.DUMMYFUNCTION("IFNA(REGEXEXTRACT(B603,""[\-|–][^–|\-]+$""))"),"")</f>
        <v/>
      </c>
    </row>
    <row r="604" ht="15.75" customHeight="1">
      <c r="L604" s="5" t="str">
        <f>IFERROR(__xludf.DUMMYFUNCTION("IFNA(REGEXEXTRACT(B604,""[\-|–][^–|\-]+$""))"),"")</f>
        <v/>
      </c>
    </row>
    <row r="605" ht="15.75" customHeight="1">
      <c r="L605" s="5" t="str">
        <f>IFERROR(__xludf.DUMMYFUNCTION("IFNA(REGEXEXTRACT(B605,""[\-|–][^–|\-]+$""))"),"")</f>
        <v/>
      </c>
    </row>
    <row r="606" ht="15.75" customHeight="1">
      <c r="L606" s="5" t="str">
        <f>IFERROR(__xludf.DUMMYFUNCTION("IFNA(REGEXEXTRACT(B606,""[\-|–][^–|\-]+$""))"),"")</f>
        <v/>
      </c>
    </row>
    <row r="607" ht="15.75" customHeight="1">
      <c r="L607" s="5" t="str">
        <f>IFERROR(__xludf.DUMMYFUNCTION("IFNA(REGEXEXTRACT(B607,""[\-|–][^–|\-]+$""))"),"")</f>
        <v/>
      </c>
    </row>
    <row r="608" ht="15.75" customHeight="1">
      <c r="L608" s="5" t="str">
        <f>IFERROR(__xludf.DUMMYFUNCTION("IFNA(REGEXEXTRACT(B608,""[\-|–][^–|\-]+$""))"),"")</f>
        <v/>
      </c>
    </row>
    <row r="609" ht="15.75" customHeight="1">
      <c r="L609" s="5" t="str">
        <f>IFERROR(__xludf.DUMMYFUNCTION("IFNA(REGEXEXTRACT(B609,""[\-|–][^–|\-]+$""))"),"")</f>
        <v/>
      </c>
    </row>
    <row r="610" ht="15.75" customHeight="1">
      <c r="L610" s="5" t="str">
        <f>IFERROR(__xludf.DUMMYFUNCTION("IFNA(REGEXEXTRACT(B610,""[\-|–][^–|\-]+$""))"),"")</f>
        <v/>
      </c>
    </row>
    <row r="611" ht="15.75" customHeight="1">
      <c r="L611" s="5" t="str">
        <f>IFERROR(__xludf.DUMMYFUNCTION("IFNA(REGEXEXTRACT(B611,""[\-|–][^–|\-]+$""))"),"")</f>
        <v/>
      </c>
    </row>
    <row r="612" ht="15.75" customHeight="1">
      <c r="L612" s="5" t="str">
        <f>IFERROR(__xludf.DUMMYFUNCTION("IFNA(REGEXEXTRACT(B612,""[\-|–][^–|\-]+$""))"),"")</f>
        <v/>
      </c>
    </row>
    <row r="613" ht="15.75" customHeight="1">
      <c r="L613" s="5" t="str">
        <f>IFERROR(__xludf.DUMMYFUNCTION("IFNA(REGEXEXTRACT(B613,""[\-|–][^–|\-]+$""))"),"")</f>
        <v/>
      </c>
    </row>
    <row r="614" ht="15.75" customHeight="1">
      <c r="L614" s="5" t="str">
        <f>IFERROR(__xludf.DUMMYFUNCTION("IFNA(REGEXEXTRACT(B614,""[\-|–][^–|\-]+$""))"),"")</f>
        <v/>
      </c>
    </row>
    <row r="615" ht="15.75" customHeight="1">
      <c r="L615" s="5" t="str">
        <f>IFERROR(__xludf.DUMMYFUNCTION("IFNA(REGEXEXTRACT(B615,""[\-|–][^–|\-]+$""))"),"")</f>
        <v/>
      </c>
    </row>
    <row r="616" ht="15.75" customHeight="1">
      <c r="L616" s="5" t="str">
        <f>IFERROR(__xludf.DUMMYFUNCTION("IFNA(REGEXEXTRACT(B616,""[\-|–][^–|\-]+$""))"),"")</f>
        <v/>
      </c>
    </row>
    <row r="617" ht="15.75" customHeight="1">
      <c r="L617" s="5" t="str">
        <f>IFERROR(__xludf.DUMMYFUNCTION("IFNA(REGEXEXTRACT(B617,""[\-|–][^–|\-]+$""))"),"")</f>
        <v/>
      </c>
    </row>
    <row r="618" ht="15.75" customHeight="1">
      <c r="L618" s="5" t="str">
        <f>IFERROR(__xludf.DUMMYFUNCTION("IFNA(REGEXEXTRACT(B618,""[\-|–][^–|\-]+$""))"),"")</f>
        <v/>
      </c>
    </row>
    <row r="619" ht="15.75" customHeight="1">
      <c r="L619" s="5" t="str">
        <f>IFERROR(__xludf.DUMMYFUNCTION("IFNA(REGEXEXTRACT(B619,""[\-|–][^–|\-]+$""))"),"")</f>
        <v/>
      </c>
    </row>
    <row r="620" ht="15.75" customHeight="1">
      <c r="L620" s="5" t="str">
        <f>IFERROR(__xludf.DUMMYFUNCTION("IFNA(REGEXEXTRACT(B620,""[\-|–][^–|\-]+$""))"),"")</f>
        <v/>
      </c>
    </row>
    <row r="621" ht="15.75" customHeight="1">
      <c r="L621" s="5" t="str">
        <f>IFERROR(__xludf.DUMMYFUNCTION("IFNA(REGEXEXTRACT(B621,""[\-|–][^–|\-]+$""))"),"")</f>
        <v/>
      </c>
    </row>
    <row r="622" ht="15.75" customHeight="1">
      <c r="L622" s="5" t="str">
        <f>IFERROR(__xludf.DUMMYFUNCTION("IFNA(REGEXEXTRACT(B622,""[\-|–][^–|\-]+$""))"),"")</f>
        <v/>
      </c>
    </row>
    <row r="623" ht="15.75" customHeight="1">
      <c r="L623" s="5" t="str">
        <f>IFERROR(__xludf.DUMMYFUNCTION("IFNA(REGEXEXTRACT(B623,""[\-|–][^–|\-]+$""))"),"")</f>
        <v/>
      </c>
    </row>
    <row r="624" ht="15.75" customHeight="1">
      <c r="L624" s="5" t="str">
        <f>IFERROR(__xludf.DUMMYFUNCTION("IFNA(REGEXEXTRACT(B624,""[\-|–][^–|\-]+$""))"),"")</f>
        <v/>
      </c>
    </row>
    <row r="625" ht="15.75" customHeight="1">
      <c r="L625" s="5" t="str">
        <f>IFERROR(__xludf.DUMMYFUNCTION("IFNA(REGEXEXTRACT(B625,""[\-|–][^–|\-]+$""))"),"")</f>
        <v/>
      </c>
    </row>
    <row r="626" ht="15.75" customHeight="1">
      <c r="L626" s="5" t="str">
        <f>IFERROR(__xludf.DUMMYFUNCTION("IFNA(REGEXEXTRACT(B626,""[\-|–][^–|\-]+$""))"),"")</f>
        <v/>
      </c>
    </row>
    <row r="627" ht="15.75" customHeight="1">
      <c r="L627" s="5" t="str">
        <f>IFERROR(__xludf.DUMMYFUNCTION("IFNA(REGEXEXTRACT(B627,""[\-|–][^–|\-]+$""))"),"")</f>
        <v/>
      </c>
    </row>
    <row r="628" ht="15.75" customHeight="1">
      <c r="L628" s="5" t="str">
        <f>IFERROR(__xludf.DUMMYFUNCTION("IFNA(REGEXEXTRACT(B628,""[\-|–][^–|\-]+$""))"),"")</f>
        <v/>
      </c>
    </row>
    <row r="629" ht="15.75" customHeight="1">
      <c r="L629" s="5" t="str">
        <f>IFERROR(__xludf.DUMMYFUNCTION("IFNA(REGEXEXTRACT(B629,""[\-|–][^–|\-]+$""))"),"")</f>
        <v/>
      </c>
    </row>
    <row r="630" ht="15.75" customHeight="1">
      <c r="L630" s="5" t="str">
        <f>IFERROR(__xludf.DUMMYFUNCTION("IFNA(REGEXEXTRACT(B630,""[\-|–][^–|\-]+$""))"),"")</f>
        <v/>
      </c>
    </row>
    <row r="631" ht="15.75" customHeight="1">
      <c r="L631" s="5" t="str">
        <f>IFERROR(__xludf.DUMMYFUNCTION("IFNA(REGEXEXTRACT(B631,""[\-|–][^–|\-]+$""))"),"")</f>
        <v/>
      </c>
    </row>
    <row r="632" ht="15.75" customHeight="1">
      <c r="L632" s="5" t="str">
        <f>IFERROR(__xludf.DUMMYFUNCTION("IFNA(REGEXEXTRACT(B632,""[\-|–][^–|\-]+$""))"),"")</f>
        <v/>
      </c>
    </row>
    <row r="633" ht="15.75" customHeight="1">
      <c r="L633" s="5" t="str">
        <f>IFERROR(__xludf.DUMMYFUNCTION("IFNA(REGEXEXTRACT(B633,""[\-|–][^–|\-]+$""))"),"")</f>
        <v/>
      </c>
    </row>
    <row r="634" ht="15.75" customHeight="1">
      <c r="L634" s="5" t="str">
        <f>IFERROR(__xludf.DUMMYFUNCTION("IFNA(REGEXEXTRACT(B634,""[\-|–][^–|\-]+$""))"),"")</f>
        <v/>
      </c>
    </row>
    <row r="635" ht="15.75" customHeight="1">
      <c r="L635" s="5" t="str">
        <f>IFERROR(__xludf.DUMMYFUNCTION("IFNA(REGEXEXTRACT(B635,""[\-|–][^–|\-]+$""))"),"")</f>
        <v/>
      </c>
    </row>
    <row r="636" ht="15.75" customHeight="1">
      <c r="L636" s="5" t="str">
        <f>IFERROR(__xludf.DUMMYFUNCTION("IFNA(REGEXEXTRACT(B636,""[\-|–][^–|\-]+$""))"),"")</f>
        <v/>
      </c>
    </row>
    <row r="637" ht="15.75" customHeight="1">
      <c r="L637" s="5" t="str">
        <f>IFERROR(__xludf.DUMMYFUNCTION("IFNA(REGEXEXTRACT(B637,""[\-|–][^–|\-]+$""))"),"")</f>
        <v/>
      </c>
    </row>
    <row r="638" ht="15.75" customHeight="1">
      <c r="L638" s="5" t="str">
        <f>IFERROR(__xludf.DUMMYFUNCTION("IFNA(REGEXEXTRACT(B638,""[\-|–][^–|\-]+$""))"),"")</f>
        <v/>
      </c>
    </row>
    <row r="639" ht="15.75" customHeight="1">
      <c r="L639" s="5" t="str">
        <f>IFERROR(__xludf.DUMMYFUNCTION("IFNA(REGEXEXTRACT(B639,""[\-|–][^–|\-]+$""))"),"")</f>
        <v/>
      </c>
    </row>
    <row r="640" ht="15.75" customHeight="1">
      <c r="L640" s="5" t="str">
        <f>IFERROR(__xludf.DUMMYFUNCTION("IFNA(REGEXEXTRACT(B640,""[\-|–][^–|\-]+$""))"),"")</f>
        <v/>
      </c>
    </row>
    <row r="641" ht="15.75" customHeight="1">
      <c r="L641" s="5" t="str">
        <f>IFERROR(__xludf.DUMMYFUNCTION("IFNA(REGEXEXTRACT(B641,""[\-|–][^–|\-]+$""))"),"")</f>
        <v/>
      </c>
    </row>
    <row r="642" ht="15.75" customHeight="1">
      <c r="L642" s="5" t="str">
        <f>IFERROR(__xludf.DUMMYFUNCTION("IFNA(REGEXEXTRACT(B642,""[\-|–][^–|\-]+$""))"),"")</f>
        <v/>
      </c>
    </row>
    <row r="643" ht="15.75" customHeight="1">
      <c r="L643" s="5" t="str">
        <f>IFERROR(__xludf.DUMMYFUNCTION("IFNA(REGEXEXTRACT(B643,""[\-|–][^–|\-]+$""))"),"")</f>
        <v/>
      </c>
    </row>
    <row r="644" ht="15.75" customHeight="1">
      <c r="L644" s="5" t="str">
        <f>IFERROR(__xludf.DUMMYFUNCTION("IFNA(REGEXEXTRACT(B644,""[\-|–][^–|\-]+$""))"),"")</f>
        <v/>
      </c>
    </row>
    <row r="645" ht="15.75" customHeight="1">
      <c r="L645" s="5" t="str">
        <f>IFERROR(__xludf.DUMMYFUNCTION("IFNA(REGEXEXTRACT(B645,""[\-|–][^–|\-]+$""))"),"")</f>
        <v/>
      </c>
    </row>
    <row r="646" ht="15.75" customHeight="1">
      <c r="L646" s="5" t="str">
        <f>IFERROR(__xludf.DUMMYFUNCTION("IFNA(REGEXEXTRACT(B646,""[\-|–][^–|\-]+$""))"),"")</f>
        <v/>
      </c>
    </row>
    <row r="647" ht="15.75" customHeight="1">
      <c r="L647" s="5" t="str">
        <f>IFERROR(__xludf.DUMMYFUNCTION("IFNA(REGEXEXTRACT(B647,""[\-|–][^–|\-]+$""))"),"")</f>
        <v/>
      </c>
    </row>
    <row r="648" ht="15.75" customHeight="1">
      <c r="L648" s="5" t="str">
        <f>IFERROR(__xludf.DUMMYFUNCTION("IFNA(REGEXEXTRACT(B648,""[\-|–][^–|\-]+$""))"),"")</f>
        <v/>
      </c>
    </row>
    <row r="649" ht="15.75" customHeight="1">
      <c r="L649" s="5" t="str">
        <f>IFERROR(__xludf.DUMMYFUNCTION("IFNA(REGEXEXTRACT(B649,""[\-|–][^–|\-]+$""))"),"")</f>
        <v/>
      </c>
    </row>
    <row r="650" ht="15.75" customHeight="1">
      <c r="L650" s="5" t="str">
        <f>IFERROR(__xludf.DUMMYFUNCTION("IFNA(REGEXEXTRACT(B650,""[\-|–][^–|\-]+$""))"),"")</f>
        <v/>
      </c>
    </row>
    <row r="651" ht="15.75" customHeight="1">
      <c r="L651" s="5" t="str">
        <f>IFERROR(__xludf.DUMMYFUNCTION("IFNA(REGEXEXTRACT(B651,""[\-|–][^–|\-]+$""))"),"")</f>
        <v/>
      </c>
    </row>
    <row r="652" ht="15.75" customHeight="1">
      <c r="L652" s="5" t="str">
        <f>IFERROR(__xludf.DUMMYFUNCTION("IFNA(REGEXEXTRACT(B652,""[\-|–][^–|\-]+$""))"),"")</f>
        <v/>
      </c>
    </row>
    <row r="653" ht="15.75" customHeight="1">
      <c r="L653" s="5" t="str">
        <f>IFERROR(__xludf.DUMMYFUNCTION("IFNA(REGEXEXTRACT(B653,""[\-|–][^–|\-]+$""))"),"")</f>
        <v/>
      </c>
    </row>
    <row r="654" ht="15.75" customHeight="1">
      <c r="L654" s="5" t="str">
        <f>IFERROR(__xludf.DUMMYFUNCTION("IFNA(REGEXEXTRACT(B654,""[\-|–][^–|\-]+$""))"),"")</f>
        <v/>
      </c>
    </row>
    <row r="655" ht="15.75" customHeight="1">
      <c r="L655" s="5" t="str">
        <f>IFERROR(__xludf.DUMMYFUNCTION("IFNA(REGEXEXTRACT(B655,""[\-|–][^–|\-]+$""))"),"")</f>
        <v/>
      </c>
    </row>
    <row r="656" ht="15.75" customHeight="1">
      <c r="L656" s="5" t="str">
        <f>IFERROR(__xludf.DUMMYFUNCTION("IFNA(REGEXEXTRACT(B656,""[\-|–][^–|\-]+$""))"),"")</f>
        <v/>
      </c>
    </row>
    <row r="657" ht="15.75" customHeight="1">
      <c r="L657" s="5" t="str">
        <f>IFERROR(__xludf.DUMMYFUNCTION("IFNA(REGEXEXTRACT(B657,""[\-|–][^–|\-]+$""))"),"")</f>
        <v/>
      </c>
    </row>
    <row r="658" ht="15.75" customHeight="1">
      <c r="L658" s="5" t="str">
        <f>IFERROR(__xludf.DUMMYFUNCTION("IFNA(REGEXEXTRACT(B658,""[\-|–][^–|\-]+$""))"),"")</f>
        <v/>
      </c>
    </row>
    <row r="659" ht="15.75" customHeight="1">
      <c r="L659" s="5" t="str">
        <f>IFERROR(__xludf.DUMMYFUNCTION("IFNA(REGEXEXTRACT(B659,""[\-|–][^–|\-]+$""))"),"")</f>
        <v/>
      </c>
    </row>
    <row r="660" ht="15.75" customHeight="1">
      <c r="L660" s="5" t="str">
        <f>IFERROR(__xludf.DUMMYFUNCTION("IFNA(REGEXEXTRACT(B660,""[\-|–][^–|\-]+$""))"),"")</f>
        <v/>
      </c>
    </row>
    <row r="661" ht="15.75" customHeight="1">
      <c r="L661" s="5" t="str">
        <f>IFERROR(__xludf.DUMMYFUNCTION("IFNA(REGEXEXTRACT(B661,""[\-|–][^–|\-]+$""))"),"")</f>
        <v/>
      </c>
    </row>
    <row r="662" ht="15.75" customHeight="1">
      <c r="L662" s="5" t="str">
        <f>IFERROR(__xludf.DUMMYFUNCTION("IFNA(REGEXEXTRACT(B662,""[\-|–][^–|\-]+$""))"),"")</f>
        <v/>
      </c>
    </row>
    <row r="663" ht="15.75" customHeight="1">
      <c r="L663" s="5" t="str">
        <f>IFERROR(__xludf.DUMMYFUNCTION("IFNA(REGEXEXTRACT(B663,""[\-|–][^–|\-]+$""))"),"")</f>
        <v/>
      </c>
    </row>
    <row r="664" ht="15.75" customHeight="1">
      <c r="L664" s="5" t="str">
        <f>IFERROR(__xludf.DUMMYFUNCTION("IFNA(REGEXEXTRACT(B664,""[\-|–][^–|\-]+$""))"),"")</f>
        <v/>
      </c>
    </row>
    <row r="665" ht="15.75" customHeight="1">
      <c r="L665" s="5" t="str">
        <f>IFERROR(__xludf.DUMMYFUNCTION("IFNA(REGEXEXTRACT(B665,""[\-|–][^–|\-]+$""))"),"")</f>
        <v/>
      </c>
    </row>
    <row r="666" ht="15.75" customHeight="1">
      <c r="L666" s="5" t="str">
        <f>IFERROR(__xludf.DUMMYFUNCTION("IFNA(REGEXEXTRACT(B666,""[\-|–][^–|\-]+$""))"),"")</f>
        <v/>
      </c>
    </row>
    <row r="667" ht="15.75" customHeight="1">
      <c r="L667" s="5" t="str">
        <f>IFERROR(__xludf.DUMMYFUNCTION("IFNA(REGEXEXTRACT(B667,""[\-|–][^–|\-]+$""))"),"")</f>
        <v/>
      </c>
    </row>
    <row r="668" ht="15.75" customHeight="1">
      <c r="L668" s="5" t="str">
        <f>IFERROR(__xludf.DUMMYFUNCTION("IFNA(REGEXEXTRACT(B668,""[\-|–][^–|\-]+$""))"),"")</f>
        <v/>
      </c>
    </row>
    <row r="669" ht="15.75" customHeight="1">
      <c r="L669" s="5" t="str">
        <f>IFERROR(__xludf.DUMMYFUNCTION("IFNA(REGEXEXTRACT(B669,""[\-|–][^–|\-]+$""))"),"")</f>
        <v/>
      </c>
    </row>
    <row r="670" ht="15.75" customHeight="1">
      <c r="L670" s="5" t="str">
        <f>IFERROR(__xludf.DUMMYFUNCTION("IFNA(REGEXEXTRACT(B670,""[\-|–][^–|\-]+$""))"),"")</f>
        <v/>
      </c>
    </row>
    <row r="671" ht="15.75" customHeight="1">
      <c r="L671" s="5" t="str">
        <f>IFERROR(__xludf.DUMMYFUNCTION("IFNA(REGEXEXTRACT(B671,""[\-|–][^–|\-]+$""))"),"")</f>
        <v/>
      </c>
    </row>
    <row r="672" ht="15.75" customHeight="1">
      <c r="L672" s="5" t="str">
        <f>IFERROR(__xludf.DUMMYFUNCTION("IFNA(REGEXEXTRACT(B672,""[\-|–][^–|\-]+$""))"),"")</f>
        <v/>
      </c>
    </row>
    <row r="673" ht="15.75" customHeight="1">
      <c r="L673" s="5" t="str">
        <f>IFERROR(__xludf.DUMMYFUNCTION("IFNA(REGEXEXTRACT(B673,""[\-|–][^–|\-]+$""))"),"")</f>
        <v/>
      </c>
    </row>
    <row r="674" ht="15.75" customHeight="1">
      <c r="L674" s="5" t="str">
        <f>IFERROR(__xludf.DUMMYFUNCTION("IFNA(REGEXEXTRACT(B674,""[\-|–][^–|\-]+$""))"),"")</f>
        <v/>
      </c>
    </row>
    <row r="675" ht="15.75" customHeight="1">
      <c r="L675" s="5" t="str">
        <f>IFERROR(__xludf.DUMMYFUNCTION("IFNA(REGEXEXTRACT(B675,""[\-|–][^–|\-]+$""))"),"")</f>
        <v/>
      </c>
    </row>
    <row r="676" ht="15.75" customHeight="1">
      <c r="L676" s="5" t="str">
        <f>IFERROR(__xludf.DUMMYFUNCTION("IFNA(REGEXEXTRACT(B676,""[\-|–][^–|\-]+$""))"),"")</f>
        <v/>
      </c>
    </row>
    <row r="677" ht="15.75" customHeight="1">
      <c r="L677" s="5" t="str">
        <f>IFERROR(__xludf.DUMMYFUNCTION("IFNA(REGEXEXTRACT(B677,""[\-|–][^–|\-]+$""))"),"")</f>
        <v/>
      </c>
    </row>
    <row r="678" ht="15.75" customHeight="1">
      <c r="L678" s="5" t="str">
        <f>IFERROR(__xludf.DUMMYFUNCTION("IFNA(REGEXEXTRACT(B678,""[\-|–][^–|\-]+$""))"),"")</f>
        <v/>
      </c>
    </row>
    <row r="679" ht="15.75" customHeight="1">
      <c r="L679" s="5" t="str">
        <f>IFERROR(__xludf.DUMMYFUNCTION("IFNA(REGEXEXTRACT(B679,""[\-|–][^–|\-]+$""))"),"")</f>
        <v/>
      </c>
    </row>
    <row r="680" ht="15.75" customHeight="1">
      <c r="L680" s="5" t="str">
        <f>IFERROR(__xludf.DUMMYFUNCTION("IFNA(REGEXEXTRACT(B680,""[\-|–][^–|\-]+$""))"),"")</f>
        <v/>
      </c>
    </row>
    <row r="681" ht="15.75" customHeight="1">
      <c r="L681" s="5" t="str">
        <f>IFERROR(__xludf.DUMMYFUNCTION("IFNA(REGEXEXTRACT(B681,""[\-|–][^–|\-]+$""))"),"")</f>
        <v/>
      </c>
    </row>
    <row r="682" ht="15.75" customHeight="1">
      <c r="L682" s="5" t="str">
        <f>IFERROR(__xludf.DUMMYFUNCTION("IFNA(REGEXEXTRACT(B682,""[\-|–][^–|\-]+$""))"),"")</f>
        <v/>
      </c>
    </row>
    <row r="683" ht="15.75" customHeight="1">
      <c r="L683" s="5" t="str">
        <f>IFERROR(__xludf.DUMMYFUNCTION("IFNA(REGEXEXTRACT(B683,""[\-|–][^–|\-]+$""))"),"")</f>
        <v/>
      </c>
    </row>
    <row r="684" ht="15.75" customHeight="1">
      <c r="L684" s="5" t="str">
        <f>IFERROR(__xludf.DUMMYFUNCTION("IFNA(REGEXEXTRACT(B684,""[\-|–][^–|\-]+$""))"),"")</f>
        <v/>
      </c>
    </row>
    <row r="685" ht="15.75" customHeight="1">
      <c r="L685" s="5" t="str">
        <f>IFERROR(__xludf.DUMMYFUNCTION("IFNA(REGEXEXTRACT(B685,""[\-|–][^–|\-]+$""))"),"")</f>
        <v/>
      </c>
    </row>
    <row r="686" ht="15.75" customHeight="1">
      <c r="L686" s="5" t="str">
        <f>IFERROR(__xludf.DUMMYFUNCTION("IFNA(REGEXEXTRACT(B686,""[\-|–][^–|\-]+$""))"),"")</f>
        <v/>
      </c>
    </row>
    <row r="687" ht="15.75" customHeight="1">
      <c r="L687" s="5" t="str">
        <f>IFERROR(__xludf.DUMMYFUNCTION("IFNA(REGEXEXTRACT(B687,""[\-|–][^–|\-]+$""))"),"")</f>
        <v/>
      </c>
    </row>
    <row r="688" ht="15.75" customHeight="1">
      <c r="L688" s="5" t="str">
        <f>IFERROR(__xludf.DUMMYFUNCTION("IFNA(REGEXEXTRACT(B688,""[\-|–][^–|\-]+$""))"),"")</f>
        <v/>
      </c>
    </row>
    <row r="689" ht="15.75" customHeight="1">
      <c r="L689" s="5" t="str">
        <f>IFERROR(__xludf.DUMMYFUNCTION("IFNA(REGEXEXTRACT(B689,""[\-|–][^–|\-]+$""))"),"")</f>
        <v/>
      </c>
    </row>
    <row r="690" ht="15.75" customHeight="1">
      <c r="L690" s="5" t="str">
        <f>IFERROR(__xludf.DUMMYFUNCTION("IFNA(REGEXEXTRACT(B690,""[\-|–][^–|\-]+$""))"),"")</f>
        <v/>
      </c>
    </row>
    <row r="691" ht="15.75" customHeight="1">
      <c r="L691" s="5" t="str">
        <f>IFERROR(__xludf.DUMMYFUNCTION("IFNA(REGEXEXTRACT(B691,""[\-|–][^–|\-]+$""))"),"")</f>
        <v/>
      </c>
    </row>
    <row r="692" ht="15.75" customHeight="1">
      <c r="L692" s="5" t="str">
        <f>IFERROR(__xludf.DUMMYFUNCTION("IFNA(REGEXEXTRACT(B692,""[\-|–][^–|\-]+$""))"),"")</f>
        <v/>
      </c>
    </row>
    <row r="693" ht="15.75" customHeight="1">
      <c r="L693" s="5" t="str">
        <f>IFERROR(__xludf.DUMMYFUNCTION("IFNA(REGEXEXTRACT(B693,""[\-|–][^–|\-]+$""))"),"")</f>
        <v/>
      </c>
    </row>
    <row r="694" ht="15.75" customHeight="1">
      <c r="L694" s="5" t="str">
        <f>IFERROR(__xludf.DUMMYFUNCTION("IFNA(REGEXEXTRACT(B694,""[\-|–][^–|\-]+$""))"),"")</f>
        <v/>
      </c>
    </row>
    <row r="695" ht="15.75" customHeight="1">
      <c r="L695" s="5" t="str">
        <f>IFERROR(__xludf.DUMMYFUNCTION("IFNA(REGEXEXTRACT(B695,""[\-|–][^–|\-]+$""))"),"")</f>
        <v/>
      </c>
    </row>
    <row r="696" ht="15.75" customHeight="1">
      <c r="L696" s="5" t="str">
        <f>IFERROR(__xludf.DUMMYFUNCTION("IFNA(REGEXEXTRACT(B696,""[\-|–][^–|\-]+$""))"),"")</f>
        <v/>
      </c>
    </row>
    <row r="697" ht="15.75" customHeight="1">
      <c r="L697" s="5" t="str">
        <f>IFERROR(__xludf.DUMMYFUNCTION("IFNA(REGEXEXTRACT(B697,""[\-|–][^–|\-]+$""))"),"")</f>
        <v/>
      </c>
    </row>
    <row r="698" ht="15.75" customHeight="1">
      <c r="L698" s="5" t="str">
        <f>IFERROR(__xludf.DUMMYFUNCTION("IFNA(REGEXEXTRACT(B698,""[\-|–][^–|\-]+$""))"),"")</f>
        <v/>
      </c>
    </row>
    <row r="699" ht="15.75" customHeight="1">
      <c r="L699" s="5" t="str">
        <f>IFERROR(__xludf.DUMMYFUNCTION("IFNA(REGEXEXTRACT(B699,""[\-|–][^–|\-]+$""))"),"")</f>
        <v/>
      </c>
    </row>
    <row r="700" ht="15.75" customHeight="1">
      <c r="L700" s="5" t="str">
        <f>IFERROR(__xludf.DUMMYFUNCTION("IFNA(REGEXEXTRACT(B700,""[\-|–][^–|\-]+$""))"),"")</f>
        <v/>
      </c>
    </row>
    <row r="701" ht="15.75" customHeight="1">
      <c r="L701" s="5" t="str">
        <f>IFERROR(__xludf.DUMMYFUNCTION("IFNA(REGEXEXTRACT(B701,""[\-|–][^–|\-]+$""))"),"")</f>
        <v/>
      </c>
    </row>
    <row r="702" ht="15.75" customHeight="1">
      <c r="L702" s="5" t="str">
        <f>IFERROR(__xludf.DUMMYFUNCTION("IFNA(REGEXEXTRACT(B702,""[\-|–][^–|\-]+$""))"),"")</f>
        <v/>
      </c>
    </row>
    <row r="703" ht="15.75" customHeight="1">
      <c r="L703" s="5" t="str">
        <f>IFERROR(__xludf.DUMMYFUNCTION("IFNA(REGEXEXTRACT(B703,""[\-|–][^–|\-]+$""))"),"")</f>
        <v/>
      </c>
    </row>
    <row r="704" ht="15.75" customHeight="1">
      <c r="L704" s="5" t="str">
        <f>IFERROR(__xludf.DUMMYFUNCTION("IFNA(REGEXEXTRACT(B704,""[\-|–][^–|\-]+$""))"),"")</f>
        <v/>
      </c>
    </row>
    <row r="705" ht="15.75" customHeight="1">
      <c r="L705" s="5" t="str">
        <f>IFERROR(__xludf.DUMMYFUNCTION("IFNA(REGEXEXTRACT(B705,""[\-|–][^–|\-]+$""))"),"")</f>
        <v/>
      </c>
    </row>
    <row r="706" ht="15.75" customHeight="1">
      <c r="L706" s="5" t="str">
        <f>IFERROR(__xludf.DUMMYFUNCTION("IFNA(REGEXEXTRACT(B706,""[\-|–][^–|\-]+$""))"),"")</f>
        <v/>
      </c>
    </row>
    <row r="707" ht="15.75" customHeight="1">
      <c r="L707" s="5" t="str">
        <f>IFERROR(__xludf.DUMMYFUNCTION("IFNA(REGEXEXTRACT(B707,""[\-|–][^–|\-]+$""))"),"")</f>
        <v/>
      </c>
    </row>
    <row r="708" ht="15.75" customHeight="1">
      <c r="L708" s="5" t="str">
        <f>IFERROR(__xludf.DUMMYFUNCTION("IFNA(REGEXEXTRACT(B708,""[\-|–][^–|\-]+$""))"),"")</f>
        <v/>
      </c>
    </row>
    <row r="709" ht="15.75" customHeight="1">
      <c r="L709" s="5" t="str">
        <f>IFERROR(__xludf.DUMMYFUNCTION("IFNA(REGEXEXTRACT(B709,""[\-|–][^–|\-]+$""))"),"")</f>
        <v/>
      </c>
    </row>
    <row r="710" ht="15.75" customHeight="1">
      <c r="L710" s="5" t="str">
        <f>IFERROR(__xludf.DUMMYFUNCTION("IFNA(REGEXEXTRACT(B710,""[\-|–][^–|\-]+$""))"),"")</f>
        <v/>
      </c>
    </row>
    <row r="711" ht="15.75" customHeight="1">
      <c r="L711" s="5" t="str">
        <f>IFERROR(__xludf.DUMMYFUNCTION("IFNA(REGEXEXTRACT(B711,""[\-|–][^–|\-]+$""))"),"")</f>
        <v/>
      </c>
    </row>
    <row r="712" ht="15.75" customHeight="1">
      <c r="L712" s="5" t="str">
        <f>IFERROR(__xludf.DUMMYFUNCTION("IFNA(REGEXEXTRACT(B712,""[\-|–][^–|\-]+$""))"),"")</f>
        <v/>
      </c>
    </row>
    <row r="713" ht="15.75" customHeight="1">
      <c r="L713" s="5" t="str">
        <f>IFERROR(__xludf.DUMMYFUNCTION("IFNA(REGEXEXTRACT(B713,""[\-|–][^–|\-]+$""))"),"")</f>
        <v/>
      </c>
    </row>
    <row r="714" ht="15.75" customHeight="1">
      <c r="L714" s="5" t="str">
        <f>IFERROR(__xludf.DUMMYFUNCTION("IFNA(REGEXEXTRACT(B714,""[\-|–][^–|\-]+$""))"),"")</f>
        <v/>
      </c>
    </row>
    <row r="715" ht="15.75" customHeight="1">
      <c r="L715" s="5" t="str">
        <f>IFERROR(__xludf.DUMMYFUNCTION("IFNA(REGEXEXTRACT(B715,""[\-|–][^–|\-]+$""))"),"")</f>
        <v/>
      </c>
    </row>
    <row r="716" ht="15.75" customHeight="1">
      <c r="L716" s="5" t="str">
        <f>IFERROR(__xludf.DUMMYFUNCTION("IFNA(REGEXEXTRACT(B716,""[\-|–][^–|\-]+$""))"),"")</f>
        <v/>
      </c>
    </row>
    <row r="717" ht="15.75" customHeight="1">
      <c r="L717" s="5" t="str">
        <f>IFERROR(__xludf.DUMMYFUNCTION("IFNA(REGEXEXTRACT(B717,""[\-|–][^–|\-]+$""))"),"")</f>
        <v/>
      </c>
    </row>
    <row r="718" ht="15.75" customHeight="1">
      <c r="L718" s="5" t="str">
        <f>IFERROR(__xludf.DUMMYFUNCTION("IFNA(REGEXEXTRACT(B718,""[\-|–][^–|\-]+$""))"),"")</f>
        <v/>
      </c>
    </row>
    <row r="719" ht="15.75" customHeight="1">
      <c r="L719" s="5" t="str">
        <f>IFERROR(__xludf.DUMMYFUNCTION("IFNA(REGEXEXTRACT(B719,""[\-|–][^–|\-]+$""))"),"")</f>
        <v/>
      </c>
    </row>
    <row r="720" ht="15.75" customHeight="1">
      <c r="L720" s="5" t="str">
        <f>IFERROR(__xludf.DUMMYFUNCTION("IFNA(REGEXEXTRACT(B720,""[\-|–][^–|\-]+$""))"),"")</f>
        <v/>
      </c>
    </row>
    <row r="721" ht="15.75" customHeight="1">
      <c r="L721" s="5" t="str">
        <f>IFERROR(__xludf.DUMMYFUNCTION("IFNA(REGEXEXTRACT(B721,""[\-|–][^–|\-]+$""))"),"")</f>
        <v/>
      </c>
    </row>
    <row r="722" ht="15.75" customHeight="1">
      <c r="L722" s="5" t="str">
        <f>IFERROR(__xludf.DUMMYFUNCTION("IFNA(REGEXEXTRACT(B722,""[\-|–][^–|\-]+$""))"),"")</f>
        <v/>
      </c>
    </row>
    <row r="723" ht="15.75" customHeight="1">
      <c r="L723" s="5" t="str">
        <f>IFERROR(__xludf.DUMMYFUNCTION("IFNA(REGEXEXTRACT(B723,""[\-|–][^–|\-]+$""))"),"")</f>
        <v/>
      </c>
    </row>
    <row r="724" ht="15.75" customHeight="1">
      <c r="L724" s="5" t="str">
        <f>IFERROR(__xludf.DUMMYFUNCTION("IFNA(REGEXEXTRACT(B724,""[\-|–][^–|\-]+$""))"),"")</f>
        <v/>
      </c>
    </row>
    <row r="725" ht="15.75" customHeight="1">
      <c r="L725" s="5" t="str">
        <f>IFERROR(__xludf.DUMMYFUNCTION("IFNA(REGEXEXTRACT(B725,""[\-|–][^–|\-]+$""))"),"")</f>
        <v/>
      </c>
    </row>
    <row r="726" ht="15.75" customHeight="1">
      <c r="L726" s="5" t="str">
        <f>IFERROR(__xludf.DUMMYFUNCTION("IFNA(REGEXEXTRACT(B726,""[\-|–][^–|\-]+$""))"),"")</f>
        <v/>
      </c>
    </row>
    <row r="727" ht="15.75" customHeight="1">
      <c r="L727" s="5" t="str">
        <f>IFERROR(__xludf.DUMMYFUNCTION("IFNA(REGEXEXTRACT(B727,""[\-|–][^–|\-]+$""))"),"")</f>
        <v/>
      </c>
    </row>
    <row r="728" ht="15.75" customHeight="1">
      <c r="L728" s="5" t="str">
        <f>IFERROR(__xludf.DUMMYFUNCTION("IFNA(REGEXEXTRACT(B728,""[\-|–][^–|\-]+$""))"),"")</f>
        <v/>
      </c>
    </row>
    <row r="729" ht="15.75" customHeight="1">
      <c r="L729" s="5" t="str">
        <f>IFERROR(__xludf.DUMMYFUNCTION("IFNA(REGEXEXTRACT(B729,""[\-|–][^–|\-]+$""))"),"")</f>
        <v/>
      </c>
    </row>
    <row r="730" ht="15.75" customHeight="1">
      <c r="L730" s="5" t="str">
        <f>IFERROR(__xludf.DUMMYFUNCTION("IFNA(REGEXEXTRACT(B730,""[\-|–][^–|\-]+$""))"),"")</f>
        <v/>
      </c>
    </row>
    <row r="731" ht="15.75" customHeight="1">
      <c r="L731" s="5" t="str">
        <f>IFERROR(__xludf.DUMMYFUNCTION("IFNA(REGEXEXTRACT(B731,""[\-|–][^–|\-]+$""))"),"")</f>
        <v/>
      </c>
    </row>
    <row r="732" ht="15.75" customHeight="1">
      <c r="L732" s="5" t="str">
        <f>IFERROR(__xludf.DUMMYFUNCTION("IFNA(REGEXEXTRACT(B732,""[\-|–][^–|\-]+$""))"),"")</f>
        <v/>
      </c>
    </row>
    <row r="733" ht="15.75" customHeight="1">
      <c r="L733" s="5" t="str">
        <f>IFERROR(__xludf.DUMMYFUNCTION("IFNA(REGEXEXTRACT(B733,""[\-|–][^–|\-]+$""))"),"")</f>
        <v/>
      </c>
    </row>
    <row r="734" ht="15.75" customHeight="1">
      <c r="L734" s="5" t="str">
        <f>IFERROR(__xludf.DUMMYFUNCTION("IFNA(REGEXEXTRACT(B734,""[\-|–][^–|\-]+$""))"),"")</f>
        <v/>
      </c>
    </row>
    <row r="735" ht="15.75" customHeight="1">
      <c r="L735" s="5" t="str">
        <f>IFERROR(__xludf.DUMMYFUNCTION("IFNA(REGEXEXTRACT(B735,""[\-|–][^–|\-]+$""))"),"")</f>
        <v/>
      </c>
    </row>
    <row r="736" ht="15.75" customHeight="1">
      <c r="L736" s="5" t="str">
        <f>IFERROR(__xludf.DUMMYFUNCTION("IFNA(REGEXEXTRACT(B736,""[\-|–][^–|\-]+$""))"),"")</f>
        <v/>
      </c>
    </row>
    <row r="737" ht="15.75" customHeight="1">
      <c r="L737" s="5" t="str">
        <f>IFERROR(__xludf.DUMMYFUNCTION("IFNA(REGEXEXTRACT(B737,""[\-|–][^–|\-]+$""))"),"")</f>
        <v/>
      </c>
    </row>
    <row r="738" ht="15.75" customHeight="1">
      <c r="L738" s="5" t="str">
        <f>IFERROR(__xludf.DUMMYFUNCTION("IFNA(REGEXEXTRACT(B738,""[\-|–][^–|\-]+$""))"),"")</f>
        <v/>
      </c>
    </row>
    <row r="739" ht="15.75" customHeight="1">
      <c r="L739" s="5" t="str">
        <f>IFERROR(__xludf.DUMMYFUNCTION("IFNA(REGEXEXTRACT(B739,""[\-|–][^–|\-]+$""))"),"")</f>
        <v/>
      </c>
    </row>
    <row r="740" ht="15.75" customHeight="1">
      <c r="L740" s="5" t="str">
        <f>IFERROR(__xludf.DUMMYFUNCTION("IFNA(REGEXEXTRACT(B740,""[\-|–][^–|\-]+$""))"),"")</f>
        <v/>
      </c>
    </row>
    <row r="741" ht="15.75" customHeight="1">
      <c r="L741" s="5" t="str">
        <f>IFERROR(__xludf.DUMMYFUNCTION("IFNA(REGEXEXTRACT(B741,""[\-|–][^–|\-]+$""))"),"")</f>
        <v/>
      </c>
    </row>
    <row r="742" ht="15.75" customHeight="1">
      <c r="L742" s="5" t="str">
        <f>IFERROR(__xludf.DUMMYFUNCTION("IFNA(REGEXEXTRACT(B742,""[\-|–][^–|\-]+$""))"),"")</f>
        <v/>
      </c>
    </row>
    <row r="743" ht="15.75" customHeight="1">
      <c r="L743" s="5" t="str">
        <f>IFERROR(__xludf.DUMMYFUNCTION("IFNA(REGEXEXTRACT(B743,""[\-|–][^–|\-]+$""))"),"")</f>
        <v/>
      </c>
    </row>
    <row r="744" ht="15.75" customHeight="1">
      <c r="L744" s="5" t="str">
        <f>IFERROR(__xludf.DUMMYFUNCTION("IFNA(REGEXEXTRACT(B744,""[\-|–][^–|\-]+$""))"),"")</f>
        <v/>
      </c>
    </row>
    <row r="745" ht="15.75" customHeight="1">
      <c r="L745" s="5" t="str">
        <f>IFERROR(__xludf.DUMMYFUNCTION("IFNA(REGEXEXTRACT(B745,""[\-|–][^–|\-]+$""))"),"")</f>
        <v/>
      </c>
    </row>
    <row r="746" ht="15.75" customHeight="1">
      <c r="L746" s="5" t="str">
        <f>IFERROR(__xludf.DUMMYFUNCTION("IFNA(REGEXEXTRACT(B746,""[\-|–][^–|\-]+$""))"),"")</f>
        <v/>
      </c>
    </row>
    <row r="747" ht="15.75" customHeight="1">
      <c r="L747" s="5" t="str">
        <f>IFERROR(__xludf.DUMMYFUNCTION("IFNA(REGEXEXTRACT(B747,""[\-|–][^–|\-]+$""))"),"")</f>
        <v/>
      </c>
    </row>
    <row r="748" ht="15.75" customHeight="1">
      <c r="L748" s="5" t="str">
        <f>IFERROR(__xludf.DUMMYFUNCTION("IFNA(REGEXEXTRACT(B748,""[\-|–][^–|\-]+$""))"),"")</f>
        <v/>
      </c>
    </row>
    <row r="749" ht="15.75" customHeight="1">
      <c r="L749" s="5" t="str">
        <f>IFERROR(__xludf.DUMMYFUNCTION("IFNA(REGEXEXTRACT(B749,""[\-|–][^–|\-]+$""))"),"")</f>
        <v/>
      </c>
    </row>
    <row r="750" ht="15.75" customHeight="1">
      <c r="L750" s="5" t="str">
        <f>IFERROR(__xludf.DUMMYFUNCTION("IFNA(REGEXEXTRACT(B750,""[\-|–][^–|\-]+$""))"),"")</f>
        <v/>
      </c>
    </row>
    <row r="751" ht="15.75" customHeight="1">
      <c r="L751" s="5" t="str">
        <f>IFERROR(__xludf.DUMMYFUNCTION("IFNA(REGEXEXTRACT(B751,""[\-|–][^–|\-]+$""))"),"")</f>
        <v/>
      </c>
    </row>
    <row r="752" ht="15.75" customHeight="1">
      <c r="L752" s="5" t="str">
        <f>IFERROR(__xludf.DUMMYFUNCTION("IFNA(REGEXEXTRACT(B752,""[\-|–][^–|\-]+$""))"),"")</f>
        <v/>
      </c>
    </row>
    <row r="753" ht="15.75" customHeight="1">
      <c r="L753" s="5" t="str">
        <f>IFERROR(__xludf.DUMMYFUNCTION("IFNA(REGEXEXTRACT(B753,""[\-|–][^–|\-]+$""))"),"")</f>
        <v/>
      </c>
    </row>
    <row r="754" ht="15.75" customHeight="1">
      <c r="L754" s="5" t="str">
        <f>IFERROR(__xludf.DUMMYFUNCTION("IFNA(REGEXEXTRACT(B754,""[\-|–][^–|\-]+$""))"),"")</f>
        <v/>
      </c>
    </row>
    <row r="755" ht="15.75" customHeight="1">
      <c r="L755" s="5" t="str">
        <f>IFERROR(__xludf.DUMMYFUNCTION("IFNA(REGEXEXTRACT(B755,""[\-|–][^–|\-]+$""))"),"")</f>
        <v/>
      </c>
    </row>
    <row r="756" ht="15.75" customHeight="1">
      <c r="L756" s="5" t="str">
        <f>IFERROR(__xludf.DUMMYFUNCTION("IFNA(REGEXEXTRACT(B756,""[\-|–][^–|\-]+$""))"),"")</f>
        <v/>
      </c>
    </row>
    <row r="757" ht="15.75" customHeight="1">
      <c r="L757" s="5" t="str">
        <f>IFERROR(__xludf.DUMMYFUNCTION("IFNA(REGEXEXTRACT(B757,""[\-|–][^–|\-]+$""))"),"")</f>
        <v/>
      </c>
    </row>
    <row r="758" ht="15.75" customHeight="1">
      <c r="L758" s="5" t="str">
        <f>IFERROR(__xludf.DUMMYFUNCTION("IFNA(REGEXEXTRACT(B758,""[\-|–][^–|\-]+$""))"),"")</f>
        <v/>
      </c>
    </row>
    <row r="759" ht="15.75" customHeight="1">
      <c r="L759" s="5" t="str">
        <f>IFERROR(__xludf.DUMMYFUNCTION("IFNA(REGEXEXTRACT(B759,""[\-|–][^–|\-]+$""))"),"")</f>
        <v/>
      </c>
    </row>
    <row r="760" ht="15.75" customHeight="1">
      <c r="L760" s="5" t="str">
        <f>IFERROR(__xludf.DUMMYFUNCTION("IFNA(REGEXEXTRACT(B760,""[\-|–][^–|\-]+$""))"),"")</f>
        <v/>
      </c>
    </row>
    <row r="761" ht="15.75" customHeight="1">
      <c r="L761" s="5" t="str">
        <f>IFERROR(__xludf.DUMMYFUNCTION("IFNA(REGEXEXTRACT(B761,""[\-|–][^–|\-]+$""))"),"")</f>
        <v/>
      </c>
    </row>
    <row r="762" ht="15.75" customHeight="1">
      <c r="L762" s="5" t="str">
        <f>IFERROR(__xludf.DUMMYFUNCTION("IFNA(REGEXEXTRACT(B762,""[\-|–][^–|\-]+$""))"),"")</f>
        <v/>
      </c>
    </row>
    <row r="763" ht="15.75" customHeight="1">
      <c r="L763" s="5" t="str">
        <f>IFERROR(__xludf.DUMMYFUNCTION("IFNA(REGEXEXTRACT(B763,""[\-|–][^–|\-]+$""))"),"")</f>
        <v/>
      </c>
    </row>
    <row r="764" ht="15.75" customHeight="1">
      <c r="L764" s="5" t="str">
        <f>IFERROR(__xludf.DUMMYFUNCTION("IFNA(REGEXEXTRACT(B764,""[\-|–][^–|\-]+$""))"),"")</f>
        <v/>
      </c>
    </row>
    <row r="765" ht="15.75" customHeight="1">
      <c r="L765" s="5" t="str">
        <f>IFERROR(__xludf.DUMMYFUNCTION("IFNA(REGEXEXTRACT(B765,""[\-|–][^–|\-]+$""))"),"")</f>
        <v/>
      </c>
    </row>
    <row r="766" ht="15.75" customHeight="1">
      <c r="L766" s="5" t="str">
        <f>IFERROR(__xludf.DUMMYFUNCTION("IFNA(REGEXEXTRACT(B766,""[\-|–][^–|\-]+$""))"),"")</f>
        <v/>
      </c>
    </row>
    <row r="767" ht="15.75" customHeight="1">
      <c r="L767" s="5" t="str">
        <f>IFERROR(__xludf.DUMMYFUNCTION("IFNA(REGEXEXTRACT(B767,""[\-|–][^–|\-]+$""))"),"")</f>
        <v/>
      </c>
    </row>
    <row r="768" ht="15.75" customHeight="1">
      <c r="L768" s="5" t="str">
        <f>IFERROR(__xludf.DUMMYFUNCTION("IFNA(REGEXEXTRACT(B768,""[\-|–][^–|\-]+$""))"),"")</f>
        <v/>
      </c>
    </row>
    <row r="769" ht="15.75" customHeight="1">
      <c r="L769" s="5" t="str">
        <f>IFERROR(__xludf.DUMMYFUNCTION("IFNA(REGEXEXTRACT(B769,""[\-|–][^–|\-]+$""))"),"")</f>
        <v/>
      </c>
    </row>
    <row r="770" ht="15.75" customHeight="1">
      <c r="L770" s="5" t="str">
        <f>IFERROR(__xludf.DUMMYFUNCTION("IFNA(REGEXEXTRACT(B770,""[\-|–][^–|\-]+$""))"),"")</f>
        <v/>
      </c>
    </row>
    <row r="771" ht="15.75" customHeight="1">
      <c r="L771" s="5" t="str">
        <f>IFERROR(__xludf.DUMMYFUNCTION("IFNA(REGEXEXTRACT(B771,""[\-|–][^–|\-]+$""))"),"")</f>
        <v/>
      </c>
    </row>
    <row r="772" ht="15.75" customHeight="1">
      <c r="L772" s="5" t="str">
        <f>IFERROR(__xludf.DUMMYFUNCTION("IFNA(REGEXEXTRACT(B772,""[\-|–][^–|\-]+$""))"),"")</f>
        <v/>
      </c>
    </row>
    <row r="773" ht="15.75" customHeight="1">
      <c r="L773" s="5" t="str">
        <f>IFERROR(__xludf.DUMMYFUNCTION("IFNA(REGEXEXTRACT(B773,""[\-|–][^–|\-]+$""))"),"")</f>
        <v/>
      </c>
    </row>
    <row r="774" ht="15.75" customHeight="1">
      <c r="L774" s="5" t="str">
        <f>IFERROR(__xludf.DUMMYFUNCTION("IFNA(REGEXEXTRACT(B774,""[\-|–][^–|\-]+$""))"),"")</f>
        <v/>
      </c>
    </row>
    <row r="775" ht="15.75" customHeight="1">
      <c r="L775" s="5" t="str">
        <f>IFERROR(__xludf.DUMMYFUNCTION("IFNA(REGEXEXTRACT(B775,""[\-|–][^–|\-]+$""))"),"")</f>
        <v/>
      </c>
    </row>
    <row r="776" ht="15.75" customHeight="1">
      <c r="L776" s="5" t="str">
        <f>IFERROR(__xludf.DUMMYFUNCTION("IFNA(REGEXEXTRACT(B776,""[\-|–][^–|\-]+$""))"),"")</f>
        <v/>
      </c>
    </row>
    <row r="777" ht="15.75" customHeight="1">
      <c r="L777" s="5" t="str">
        <f>IFERROR(__xludf.DUMMYFUNCTION("IFNA(REGEXEXTRACT(B777,""[\-|–][^–|\-]+$""))"),"")</f>
        <v/>
      </c>
    </row>
    <row r="778" ht="15.75" customHeight="1">
      <c r="L778" s="5" t="str">
        <f>IFERROR(__xludf.DUMMYFUNCTION("IFNA(REGEXEXTRACT(B778,""[\-|–][^–|\-]+$""))"),"")</f>
        <v/>
      </c>
    </row>
    <row r="779" ht="15.75" customHeight="1">
      <c r="L779" s="5" t="str">
        <f>IFERROR(__xludf.DUMMYFUNCTION("IFNA(REGEXEXTRACT(B779,""[\-|–][^–|\-]+$""))"),"")</f>
        <v/>
      </c>
    </row>
    <row r="780" ht="15.75" customHeight="1">
      <c r="L780" s="5" t="str">
        <f>IFERROR(__xludf.DUMMYFUNCTION("IFNA(REGEXEXTRACT(B780,""[\-|–][^–|\-]+$""))"),"")</f>
        <v/>
      </c>
    </row>
    <row r="781" ht="15.75" customHeight="1">
      <c r="L781" s="5" t="str">
        <f>IFERROR(__xludf.DUMMYFUNCTION("IFNA(REGEXEXTRACT(B781,""[\-|–][^–|\-]+$""))"),"")</f>
        <v/>
      </c>
    </row>
    <row r="782" ht="15.75" customHeight="1">
      <c r="L782" s="5" t="str">
        <f>IFERROR(__xludf.DUMMYFUNCTION("IFNA(REGEXEXTRACT(B782,""[\-|–][^–|\-]+$""))"),"")</f>
        <v/>
      </c>
    </row>
    <row r="783" ht="15.75" customHeight="1">
      <c r="L783" s="5" t="str">
        <f>IFERROR(__xludf.DUMMYFUNCTION("IFNA(REGEXEXTRACT(B783,""[\-|–][^–|\-]+$""))"),"")</f>
        <v/>
      </c>
    </row>
    <row r="784" ht="15.75" customHeight="1">
      <c r="L784" s="5" t="str">
        <f>IFERROR(__xludf.DUMMYFUNCTION("IFNA(REGEXEXTRACT(B784,""[\-|–][^–|\-]+$""))"),"")</f>
        <v/>
      </c>
    </row>
    <row r="785" ht="15.75" customHeight="1">
      <c r="L785" s="5" t="str">
        <f>IFERROR(__xludf.DUMMYFUNCTION("IFNA(REGEXEXTRACT(B785,""[\-|–][^–|\-]+$""))"),"")</f>
        <v/>
      </c>
    </row>
    <row r="786" ht="15.75" customHeight="1">
      <c r="L786" s="5" t="str">
        <f>IFERROR(__xludf.DUMMYFUNCTION("IFNA(REGEXEXTRACT(B786,""[\-|–][^–|\-]+$""))"),"")</f>
        <v/>
      </c>
    </row>
    <row r="787" ht="15.75" customHeight="1">
      <c r="L787" s="5" t="str">
        <f>IFERROR(__xludf.DUMMYFUNCTION("IFNA(REGEXEXTRACT(B787,""[\-|–][^–|\-]+$""))"),"")</f>
        <v/>
      </c>
    </row>
    <row r="788" ht="15.75" customHeight="1">
      <c r="L788" s="5" t="str">
        <f>IFERROR(__xludf.DUMMYFUNCTION("IFNA(REGEXEXTRACT(B788,""[\-|–][^–|\-]+$""))"),"")</f>
        <v/>
      </c>
    </row>
    <row r="789" ht="15.75" customHeight="1">
      <c r="L789" s="5" t="str">
        <f>IFERROR(__xludf.DUMMYFUNCTION("IFNA(REGEXEXTRACT(B789,""[\-|–][^–|\-]+$""))"),"")</f>
        <v/>
      </c>
    </row>
    <row r="790" ht="15.75" customHeight="1">
      <c r="L790" s="5" t="str">
        <f>IFERROR(__xludf.DUMMYFUNCTION("IFNA(REGEXEXTRACT(B790,""[\-|–][^–|\-]+$""))"),"")</f>
        <v/>
      </c>
    </row>
    <row r="791" ht="15.75" customHeight="1">
      <c r="L791" s="5" t="str">
        <f>IFERROR(__xludf.DUMMYFUNCTION("IFNA(REGEXEXTRACT(B791,""[\-|–][^–|\-]+$""))"),"")</f>
        <v/>
      </c>
    </row>
    <row r="792" ht="15.75" customHeight="1">
      <c r="L792" s="5" t="str">
        <f>IFERROR(__xludf.DUMMYFUNCTION("IFNA(REGEXEXTRACT(B792,""[\-|–][^–|\-]+$""))"),"")</f>
        <v/>
      </c>
    </row>
    <row r="793" ht="15.75" customHeight="1">
      <c r="L793" s="5" t="str">
        <f>IFERROR(__xludf.DUMMYFUNCTION("IFNA(REGEXEXTRACT(B793,""[\-|–][^–|\-]+$""))"),"")</f>
        <v/>
      </c>
    </row>
    <row r="794" ht="15.75" customHeight="1">
      <c r="L794" s="5" t="str">
        <f>IFERROR(__xludf.DUMMYFUNCTION("IFNA(REGEXEXTRACT(B794,""[\-|–][^–|\-]+$""))"),"")</f>
        <v/>
      </c>
    </row>
    <row r="795" ht="15.75" customHeight="1">
      <c r="L795" s="5" t="str">
        <f>IFERROR(__xludf.DUMMYFUNCTION("IFNA(REGEXEXTRACT(B795,""[\-|–][^–|\-]+$""))"),"")</f>
        <v/>
      </c>
    </row>
    <row r="796" ht="15.75" customHeight="1">
      <c r="L796" s="5" t="str">
        <f>IFERROR(__xludf.DUMMYFUNCTION("IFNA(REGEXEXTRACT(B796,""[\-|–][^–|\-]+$""))"),"")</f>
        <v/>
      </c>
    </row>
    <row r="797" ht="15.75" customHeight="1">
      <c r="L797" s="5" t="str">
        <f>IFERROR(__xludf.DUMMYFUNCTION("IFNA(REGEXEXTRACT(B797,""[\-|–][^–|\-]+$""))"),"")</f>
        <v/>
      </c>
    </row>
    <row r="798" ht="15.75" customHeight="1">
      <c r="L798" s="5" t="str">
        <f>IFERROR(__xludf.DUMMYFUNCTION("IFNA(REGEXEXTRACT(B798,""[\-|–][^–|\-]+$""))"),"")</f>
        <v/>
      </c>
    </row>
    <row r="799" ht="15.75" customHeight="1">
      <c r="L799" s="5" t="str">
        <f>IFERROR(__xludf.DUMMYFUNCTION("IFNA(REGEXEXTRACT(B799,""[\-|–][^–|\-]+$""))"),"")</f>
        <v/>
      </c>
    </row>
    <row r="800" ht="15.75" customHeight="1">
      <c r="L800" s="5" t="str">
        <f>IFERROR(__xludf.DUMMYFUNCTION("IFNA(REGEXEXTRACT(B800,""[\-|–][^–|\-]+$""))"),"")</f>
        <v/>
      </c>
    </row>
    <row r="801" ht="15.75" customHeight="1">
      <c r="L801" s="5" t="str">
        <f>IFERROR(__xludf.DUMMYFUNCTION("IFNA(REGEXEXTRACT(B801,""[\-|–][^–|\-]+$""))"),"")</f>
        <v/>
      </c>
    </row>
    <row r="802" ht="15.75" customHeight="1">
      <c r="L802" s="5" t="str">
        <f>IFERROR(__xludf.DUMMYFUNCTION("IFNA(REGEXEXTRACT(B802,""[\-|–][^–|\-]+$""))"),"")</f>
        <v/>
      </c>
    </row>
    <row r="803" ht="15.75" customHeight="1">
      <c r="L803" s="5" t="str">
        <f>IFERROR(__xludf.DUMMYFUNCTION("IFNA(REGEXEXTRACT(B803,""[\-|–][^–|\-]+$""))"),"")</f>
        <v/>
      </c>
    </row>
    <row r="804" ht="15.75" customHeight="1">
      <c r="L804" s="5" t="str">
        <f>IFERROR(__xludf.DUMMYFUNCTION("IFNA(REGEXEXTRACT(B804,""[\-|–][^–|\-]+$""))"),"")</f>
        <v/>
      </c>
    </row>
    <row r="805" ht="15.75" customHeight="1">
      <c r="L805" s="5" t="str">
        <f>IFERROR(__xludf.DUMMYFUNCTION("IFNA(REGEXEXTRACT(B805,""[\-|–][^–|\-]+$""))"),"")</f>
        <v/>
      </c>
    </row>
    <row r="806" ht="15.75" customHeight="1">
      <c r="L806" s="5" t="str">
        <f>IFERROR(__xludf.DUMMYFUNCTION("IFNA(REGEXEXTRACT(B806,""[\-|–][^–|\-]+$""))"),"")</f>
        <v/>
      </c>
    </row>
    <row r="807" ht="15.75" customHeight="1">
      <c r="L807" s="5" t="str">
        <f>IFERROR(__xludf.DUMMYFUNCTION("IFNA(REGEXEXTRACT(B807,""[\-|–][^–|\-]+$""))"),"")</f>
        <v/>
      </c>
    </row>
    <row r="808" ht="15.75" customHeight="1">
      <c r="L808" s="5" t="str">
        <f>IFERROR(__xludf.DUMMYFUNCTION("IFNA(REGEXEXTRACT(B808,""[\-|–][^–|\-]+$""))"),"")</f>
        <v/>
      </c>
    </row>
    <row r="809" ht="15.75" customHeight="1">
      <c r="L809" s="5" t="str">
        <f>IFERROR(__xludf.DUMMYFUNCTION("IFNA(REGEXEXTRACT(B809,""[\-|–][^–|\-]+$""))"),"")</f>
        <v/>
      </c>
    </row>
    <row r="810" ht="15.75" customHeight="1">
      <c r="L810" s="5" t="str">
        <f>IFERROR(__xludf.DUMMYFUNCTION("IFNA(REGEXEXTRACT(B810,""[\-|–][^–|\-]+$""))"),"")</f>
        <v/>
      </c>
    </row>
    <row r="811" ht="15.75" customHeight="1">
      <c r="L811" s="5" t="str">
        <f>IFERROR(__xludf.DUMMYFUNCTION("IFNA(REGEXEXTRACT(B811,""[\-|–][^–|\-]+$""))"),"")</f>
        <v/>
      </c>
    </row>
    <row r="812" ht="15.75" customHeight="1">
      <c r="L812" s="5" t="str">
        <f>IFERROR(__xludf.DUMMYFUNCTION("IFNA(REGEXEXTRACT(B812,""[\-|–][^–|\-]+$""))"),"")</f>
        <v/>
      </c>
    </row>
    <row r="813" ht="15.75" customHeight="1">
      <c r="L813" s="5" t="str">
        <f>IFERROR(__xludf.DUMMYFUNCTION("IFNA(REGEXEXTRACT(B813,""[\-|–][^–|\-]+$""))"),"")</f>
        <v/>
      </c>
    </row>
    <row r="814" ht="15.75" customHeight="1">
      <c r="L814" s="5" t="str">
        <f>IFERROR(__xludf.DUMMYFUNCTION("IFNA(REGEXEXTRACT(B814,""[\-|–][^–|\-]+$""))"),"")</f>
        <v/>
      </c>
    </row>
    <row r="815" ht="15.75" customHeight="1">
      <c r="L815" s="5" t="str">
        <f>IFERROR(__xludf.DUMMYFUNCTION("IFNA(REGEXEXTRACT(B815,""[\-|–][^–|\-]+$""))"),"")</f>
        <v/>
      </c>
    </row>
    <row r="816" ht="15.75" customHeight="1">
      <c r="L816" s="5" t="str">
        <f>IFERROR(__xludf.DUMMYFUNCTION("IFNA(REGEXEXTRACT(B816,""[\-|–][^–|\-]+$""))"),"")</f>
        <v/>
      </c>
    </row>
    <row r="817" ht="15.75" customHeight="1">
      <c r="L817" s="5" t="str">
        <f>IFERROR(__xludf.DUMMYFUNCTION("IFNA(REGEXEXTRACT(B817,""[\-|–][^–|\-]+$""))"),"")</f>
        <v/>
      </c>
    </row>
    <row r="818" ht="15.75" customHeight="1">
      <c r="L818" s="5" t="str">
        <f>IFERROR(__xludf.DUMMYFUNCTION("IFNA(REGEXEXTRACT(B818,""[\-|–][^–|\-]+$""))"),"")</f>
        <v/>
      </c>
    </row>
    <row r="819" ht="15.75" customHeight="1">
      <c r="L819" s="5" t="str">
        <f>IFERROR(__xludf.DUMMYFUNCTION("IFNA(REGEXEXTRACT(B819,""[\-|–][^–|\-]+$""))"),"")</f>
        <v/>
      </c>
    </row>
    <row r="820" ht="15.75" customHeight="1">
      <c r="L820" s="5" t="str">
        <f>IFERROR(__xludf.DUMMYFUNCTION("IFNA(REGEXEXTRACT(B820,""[\-|–][^–|\-]+$""))"),"")</f>
        <v/>
      </c>
    </row>
    <row r="821" ht="15.75" customHeight="1">
      <c r="L821" s="5" t="str">
        <f>IFERROR(__xludf.DUMMYFUNCTION("IFNA(REGEXEXTRACT(B821,""[\-|–][^–|\-]+$""))"),"")</f>
        <v/>
      </c>
    </row>
    <row r="822" ht="15.75" customHeight="1">
      <c r="L822" s="5" t="str">
        <f>IFERROR(__xludf.DUMMYFUNCTION("IFNA(REGEXEXTRACT(B822,""[\-|–][^–|\-]+$""))"),"")</f>
        <v/>
      </c>
    </row>
    <row r="823" ht="15.75" customHeight="1">
      <c r="L823" s="5" t="str">
        <f>IFERROR(__xludf.DUMMYFUNCTION("IFNA(REGEXEXTRACT(B823,""[\-|–][^–|\-]+$""))"),"")</f>
        <v/>
      </c>
    </row>
    <row r="824" ht="15.75" customHeight="1">
      <c r="L824" s="5" t="str">
        <f>IFERROR(__xludf.DUMMYFUNCTION("IFNA(REGEXEXTRACT(B824,""[\-|–][^–|\-]+$""))"),"")</f>
        <v/>
      </c>
    </row>
    <row r="825" ht="15.75" customHeight="1">
      <c r="L825" s="5" t="str">
        <f>IFERROR(__xludf.DUMMYFUNCTION("IFNA(REGEXEXTRACT(B825,""[\-|–][^–|\-]+$""))"),"")</f>
        <v/>
      </c>
    </row>
    <row r="826" ht="15.75" customHeight="1">
      <c r="L826" s="5" t="str">
        <f>IFERROR(__xludf.DUMMYFUNCTION("IFNA(REGEXEXTRACT(B826,""[\-|–][^–|\-]+$""))"),"")</f>
        <v/>
      </c>
    </row>
    <row r="827" ht="15.75" customHeight="1">
      <c r="L827" s="5" t="str">
        <f>IFERROR(__xludf.DUMMYFUNCTION("IFNA(REGEXEXTRACT(B827,""[\-|–][^–|\-]+$""))"),"")</f>
        <v/>
      </c>
    </row>
    <row r="828" ht="15.75" customHeight="1">
      <c r="L828" s="5" t="str">
        <f>IFERROR(__xludf.DUMMYFUNCTION("IFNA(REGEXEXTRACT(B828,""[\-|–][^–|\-]+$""))"),"")</f>
        <v/>
      </c>
    </row>
    <row r="829" ht="15.75" customHeight="1">
      <c r="L829" s="5" t="str">
        <f>IFERROR(__xludf.DUMMYFUNCTION("IFNA(REGEXEXTRACT(B829,""[\-|–][^–|\-]+$""))"),"")</f>
        <v/>
      </c>
    </row>
    <row r="830" ht="15.75" customHeight="1">
      <c r="L830" s="5" t="str">
        <f>IFERROR(__xludf.DUMMYFUNCTION("IFNA(REGEXEXTRACT(B830,""[\-|–][^–|\-]+$""))"),"")</f>
        <v/>
      </c>
    </row>
    <row r="831" ht="15.75" customHeight="1">
      <c r="L831" s="5" t="str">
        <f>IFERROR(__xludf.DUMMYFUNCTION("IFNA(REGEXEXTRACT(B831,""[\-|–][^–|\-]+$""))"),"")</f>
        <v/>
      </c>
    </row>
    <row r="832" ht="15.75" customHeight="1">
      <c r="L832" s="5" t="str">
        <f>IFERROR(__xludf.DUMMYFUNCTION("IFNA(REGEXEXTRACT(B832,""[\-|–][^–|\-]+$""))"),"")</f>
        <v/>
      </c>
    </row>
    <row r="833" ht="15.75" customHeight="1">
      <c r="L833" s="5" t="str">
        <f>IFERROR(__xludf.DUMMYFUNCTION("IFNA(REGEXEXTRACT(B833,""[\-|–][^–|\-]+$""))"),"")</f>
        <v/>
      </c>
    </row>
    <row r="834" ht="15.75" customHeight="1">
      <c r="L834" s="5" t="str">
        <f>IFERROR(__xludf.DUMMYFUNCTION("IFNA(REGEXEXTRACT(B834,""[\-|–][^–|\-]+$""))"),"")</f>
        <v/>
      </c>
    </row>
    <row r="835" ht="15.75" customHeight="1">
      <c r="L835" s="5" t="str">
        <f>IFERROR(__xludf.DUMMYFUNCTION("IFNA(REGEXEXTRACT(B835,""[\-|–][^–|\-]+$""))"),"")</f>
        <v/>
      </c>
    </row>
    <row r="836" ht="15.75" customHeight="1">
      <c r="L836" s="5" t="str">
        <f>IFERROR(__xludf.DUMMYFUNCTION("IFNA(REGEXEXTRACT(B836,""[\-|–][^–|\-]+$""))"),"")</f>
        <v/>
      </c>
    </row>
    <row r="837" ht="15.75" customHeight="1">
      <c r="L837" s="5" t="str">
        <f>IFERROR(__xludf.DUMMYFUNCTION("IFNA(REGEXEXTRACT(B837,""[\-|–][^–|\-]+$""))"),"")</f>
        <v/>
      </c>
    </row>
    <row r="838" ht="15.75" customHeight="1">
      <c r="L838" s="5" t="str">
        <f>IFERROR(__xludf.DUMMYFUNCTION("IFNA(REGEXEXTRACT(B838,""[\-|–][^–|\-]+$""))"),"")</f>
        <v/>
      </c>
    </row>
    <row r="839" ht="15.75" customHeight="1">
      <c r="L839" s="5" t="str">
        <f>IFERROR(__xludf.DUMMYFUNCTION("IFNA(REGEXEXTRACT(B839,""[\-|–][^–|\-]+$""))"),"")</f>
        <v/>
      </c>
    </row>
    <row r="840" ht="15.75" customHeight="1">
      <c r="L840" s="5" t="str">
        <f>IFERROR(__xludf.DUMMYFUNCTION("IFNA(REGEXEXTRACT(B840,""[\-|–][^–|\-]+$""))"),"")</f>
        <v/>
      </c>
    </row>
    <row r="841" ht="15.75" customHeight="1">
      <c r="L841" s="5" t="str">
        <f>IFERROR(__xludf.DUMMYFUNCTION("IFNA(REGEXEXTRACT(B841,""[\-|–][^–|\-]+$""))"),"")</f>
        <v/>
      </c>
    </row>
    <row r="842" ht="15.75" customHeight="1">
      <c r="L842" s="5" t="str">
        <f>IFERROR(__xludf.DUMMYFUNCTION("IFNA(REGEXEXTRACT(B842,""[\-|–][^–|\-]+$""))"),"")</f>
        <v/>
      </c>
    </row>
    <row r="843" ht="15.75" customHeight="1">
      <c r="L843" s="5" t="str">
        <f>IFERROR(__xludf.DUMMYFUNCTION("IFNA(REGEXEXTRACT(B843,""[\-|–][^–|\-]+$""))"),"")</f>
        <v/>
      </c>
    </row>
    <row r="844" ht="15.75" customHeight="1">
      <c r="L844" s="5" t="str">
        <f>IFERROR(__xludf.DUMMYFUNCTION("IFNA(REGEXEXTRACT(B844,""[\-|–][^–|\-]+$""))"),"")</f>
        <v/>
      </c>
    </row>
    <row r="845" ht="15.75" customHeight="1">
      <c r="L845" s="5" t="str">
        <f>IFERROR(__xludf.DUMMYFUNCTION("IFNA(REGEXEXTRACT(B845,""[\-|–][^–|\-]+$""))"),"")</f>
        <v/>
      </c>
    </row>
    <row r="846" ht="15.75" customHeight="1">
      <c r="L846" s="5" t="str">
        <f>IFERROR(__xludf.DUMMYFUNCTION("IFNA(REGEXEXTRACT(B846,""[\-|–][^–|\-]+$""))"),"")</f>
        <v/>
      </c>
    </row>
    <row r="847" ht="15.75" customHeight="1">
      <c r="L847" s="5" t="str">
        <f>IFERROR(__xludf.DUMMYFUNCTION("IFNA(REGEXEXTRACT(B847,""[\-|–][^–|\-]+$""))"),"")</f>
        <v/>
      </c>
    </row>
    <row r="848" ht="15.75" customHeight="1">
      <c r="L848" s="5" t="str">
        <f>IFERROR(__xludf.DUMMYFUNCTION("IFNA(REGEXEXTRACT(B848,""[\-|–][^–|\-]+$""))"),"")</f>
        <v/>
      </c>
    </row>
    <row r="849" ht="15.75" customHeight="1">
      <c r="L849" s="5" t="str">
        <f>IFERROR(__xludf.DUMMYFUNCTION("IFNA(REGEXEXTRACT(B849,""[\-|–][^–|\-]+$""))"),"")</f>
        <v/>
      </c>
    </row>
    <row r="850" ht="15.75" customHeight="1">
      <c r="L850" s="5" t="str">
        <f>IFERROR(__xludf.DUMMYFUNCTION("IFNA(REGEXEXTRACT(B850,""[\-|–][^–|\-]+$""))"),"")</f>
        <v/>
      </c>
    </row>
    <row r="851" ht="15.75" customHeight="1">
      <c r="L851" s="5" t="str">
        <f>IFERROR(__xludf.DUMMYFUNCTION("IFNA(REGEXEXTRACT(B851,""[\-|–][^–|\-]+$""))"),"")</f>
        <v/>
      </c>
    </row>
    <row r="852" ht="15.75" customHeight="1">
      <c r="L852" s="5" t="str">
        <f>IFERROR(__xludf.DUMMYFUNCTION("IFNA(REGEXEXTRACT(B852,""[\-|–][^–|\-]+$""))"),"")</f>
        <v/>
      </c>
    </row>
    <row r="853" ht="15.75" customHeight="1">
      <c r="L853" s="5" t="str">
        <f>IFERROR(__xludf.DUMMYFUNCTION("IFNA(REGEXEXTRACT(B853,""[\-|–][^–|\-]+$""))"),"")</f>
        <v/>
      </c>
    </row>
    <row r="854" ht="15.75" customHeight="1">
      <c r="L854" s="5" t="str">
        <f>IFERROR(__xludf.DUMMYFUNCTION("IFNA(REGEXEXTRACT(B854,""[\-|–][^–|\-]+$""))"),"")</f>
        <v/>
      </c>
    </row>
    <row r="855" ht="15.75" customHeight="1">
      <c r="L855" s="5" t="str">
        <f>IFERROR(__xludf.DUMMYFUNCTION("IFNA(REGEXEXTRACT(B855,""[\-|–][^–|\-]+$""))"),"")</f>
        <v/>
      </c>
    </row>
    <row r="856" ht="15.75" customHeight="1">
      <c r="L856" s="5" t="str">
        <f>IFERROR(__xludf.DUMMYFUNCTION("IFNA(REGEXEXTRACT(B856,""[\-|–][^–|\-]+$""))"),"")</f>
        <v/>
      </c>
    </row>
    <row r="857" ht="15.75" customHeight="1">
      <c r="L857" s="5" t="str">
        <f>IFERROR(__xludf.DUMMYFUNCTION("IFNA(REGEXEXTRACT(B857,""[\-|–][^–|\-]+$""))"),"")</f>
        <v/>
      </c>
    </row>
    <row r="858" ht="15.75" customHeight="1">
      <c r="L858" s="5" t="str">
        <f>IFERROR(__xludf.DUMMYFUNCTION("IFNA(REGEXEXTRACT(B858,""[\-|–][^–|\-]+$""))"),"")</f>
        <v/>
      </c>
    </row>
    <row r="859" ht="15.75" customHeight="1">
      <c r="L859" s="5" t="str">
        <f>IFERROR(__xludf.DUMMYFUNCTION("IFNA(REGEXEXTRACT(B859,""[\-|–][^–|\-]+$""))"),"")</f>
        <v/>
      </c>
    </row>
    <row r="860" ht="15.75" customHeight="1">
      <c r="L860" s="5" t="str">
        <f>IFERROR(__xludf.DUMMYFUNCTION("IFNA(REGEXEXTRACT(B860,""[\-|–][^–|\-]+$""))"),"")</f>
        <v/>
      </c>
    </row>
    <row r="861" ht="15.75" customHeight="1">
      <c r="L861" s="5" t="str">
        <f>IFERROR(__xludf.DUMMYFUNCTION("IFNA(REGEXEXTRACT(B861,""[\-|–][^–|\-]+$""))"),"")</f>
        <v/>
      </c>
    </row>
    <row r="862" ht="15.75" customHeight="1">
      <c r="L862" s="5" t="str">
        <f>IFERROR(__xludf.DUMMYFUNCTION("IFNA(REGEXEXTRACT(B862,""[\-|–][^–|\-]+$""))"),"")</f>
        <v/>
      </c>
    </row>
    <row r="863" ht="15.75" customHeight="1">
      <c r="L863" s="5" t="str">
        <f>IFERROR(__xludf.DUMMYFUNCTION("IFNA(REGEXEXTRACT(B863,""[\-|–][^–|\-]+$""))"),"")</f>
        <v/>
      </c>
    </row>
    <row r="864" ht="15.75" customHeight="1">
      <c r="L864" s="5" t="str">
        <f>IFERROR(__xludf.DUMMYFUNCTION("IFNA(REGEXEXTRACT(B864,""[\-|–][^–|\-]+$""))"),"")</f>
        <v/>
      </c>
    </row>
    <row r="865" ht="15.75" customHeight="1">
      <c r="L865" s="5" t="str">
        <f>IFERROR(__xludf.DUMMYFUNCTION("IFNA(REGEXEXTRACT(B865,""[\-|–][^–|\-]+$""))"),"")</f>
        <v/>
      </c>
    </row>
    <row r="866" ht="15.75" customHeight="1">
      <c r="L866" s="5" t="str">
        <f>IFERROR(__xludf.DUMMYFUNCTION("IFNA(REGEXEXTRACT(B866,""[\-|–][^–|\-]+$""))"),"")</f>
        <v/>
      </c>
    </row>
    <row r="867" ht="15.75" customHeight="1">
      <c r="L867" s="5" t="str">
        <f>IFERROR(__xludf.DUMMYFUNCTION("IFNA(REGEXEXTRACT(B867,""[\-|–][^–|\-]+$""))"),"")</f>
        <v/>
      </c>
    </row>
    <row r="868" ht="15.75" customHeight="1">
      <c r="L868" s="5" t="str">
        <f>IFERROR(__xludf.DUMMYFUNCTION("IFNA(REGEXEXTRACT(B868,""[\-|–][^–|\-]+$""))"),"")</f>
        <v/>
      </c>
    </row>
    <row r="869" ht="15.75" customHeight="1">
      <c r="L869" s="5" t="str">
        <f>IFERROR(__xludf.DUMMYFUNCTION("IFNA(REGEXEXTRACT(B869,""[\-|–][^–|\-]+$""))"),"")</f>
        <v/>
      </c>
    </row>
    <row r="870" ht="15.75" customHeight="1">
      <c r="L870" s="5" t="str">
        <f>IFERROR(__xludf.DUMMYFUNCTION("IFNA(REGEXEXTRACT(B870,""[\-|–][^–|\-]+$""))"),"")</f>
        <v/>
      </c>
    </row>
    <row r="871" ht="15.75" customHeight="1">
      <c r="L871" s="5" t="str">
        <f>IFERROR(__xludf.DUMMYFUNCTION("IFNA(REGEXEXTRACT(B871,""[\-|–][^–|\-]+$""))"),"")</f>
        <v/>
      </c>
    </row>
    <row r="872" ht="15.75" customHeight="1">
      <c r="L872" s="5" t="str">
        <f>IFERROR(__xludf.DUMMYFUNCTION("IFNA(REGEXEXTRACT(B872,""[\-|–][^–|\-]+$""))"),"")</f>
        <v/>
      </c>
    </row>
    <row r="873" ht="15.75" customHeight="1">
      <c r="L873" s="5" t="str">
        <f>IFERROR(__xludf.DUMMYFUNCTION("IFNA(REGEXEXTRACT(B873,""[\-|–][^–|\-]+$""))"),"")</f>
        <v/>
      </c>
    </row>
    <row r="874" ht="15.75" customHeight="1">
      <c r="L874" s="5" t="str">
        <f>IFERROR(__xludf.DUMMYFUNCTION("IFNA(REGEXEXTRACT(B874,""[\-|–][^–|\-]+$""))"),"")</f>
        <v/>
      </c>
    </row>
    <row r="875" ht="15.75" customHeight="1">
      <c r="L875" s="5" t="str">
        <f>IFERROR(__xludf.DUMMYFUNCTION("IFNA(REGEXEXTRACT(B875,""[\-|–][^–|\-]+$""))"),"")</f>
        <v/>
      </c>
    </row>
    <row r="876" ht="15.75" customHeight="1">
      <c r="L876" s="5" t="str">
        <f>IFERROR(__xludf.DUMMYFUNCTION("IFNA(REGEXEXTRACT(B876,""[\-|–][^–|\-]+$""))"),"")</f>
        <v/>
      </c>
    </row>
    <row r="877" ht="15.75" customHeight="1">
      <c r="L877" s="5" t="str">
        <f>IFERROR(__xludf.DUMMYFUNCTION("IFNA(REGEXEXTRACT(B877,""[\-|–][^–|\-]+$""))"),"")</f>
        <v/>
      </c>
    </row>
    <row r="878" ht="15.75" customHeight="1">
      <c r="L878" s="5" t="str">
        <f>IFERROR(__xludf.DUMMYFUNCTION("IFNA(REGEXEXTRACT(B878,""[\-|–][^–|\-]+$""))"),"")</f>
        <v/>
      </c>
    </row>
    <row r="879" ht="15.75" customHeight="1">
      <c r="L879" s="5" t="str">
        <f>IFERROR(__xludf.DUMMYFUNCTION("IFNA(REGEXEXTRACT(B879,""[\-|–][^–|\-]+$""))"),"")</f>
        <v/>
      </c>
    </row>
    <row r="880" ht="15.75" customHeight="1">
      <c r="L880" s="5" t="str">
        <f>IFERROR(__xludf.DUMMYFUNCTION("IFNA(REGEXEXTRACT(B880,""[\-|–][^–|\-]+$""))"),"")</f>
        <v/>
      </c>
    </row>
    <row r="881" ht="15.75" customHeight="1">
      <c r="L881" s="5" t="str">
        <f>IFERROR(__xludf.DUMMYFUNCTION("IFNA(REGEXEXTRACT(B881,""[\-|–][^–|\-]+$""))"),"")</f>
        <v/>
      </c>
    </row>
    <row r="882" ht="15.75" customHeight="1">
      <c r="L882" s="5" t="str">
        <f>IFERROR(__xludf.DUMMYFUNCTION("IFNA(REGEXEXTRACT(B882,""[\-|–][^–|\-]+$""))"),"")</f>
        <v/>
      </c>
    </row>
    <row r="883" ht="15.75" customHeight="1">
      <c r="L883" s="5" t="str">
        <f>IFERROR(__xludf.DUMMYFUNCTION("IFNA(REGEXEXTRACT(B883,""[\-|–][^–|\-]+$""))"),"")</f>
        <v/>
      </c>
    </row>
    <row r="884" ht="15.75" customHeight="1">
      <c r="L884" s="5" t="str">
        <f>IFERROR(__xludf.DUMMYFUNCTION("IFNA(REGEXEXTRACT(B884,""[\-|–][^–|\-]+$""))"),"")</f>
        <v/>
      </c>
    </row>
    <row r="885" ht="15.75" customHeight="1">
      <c r="L885" s="5" t="str">
        <f>IFERROR(__xludf.DUMMYFUNCTION("IFNA(REGEXEXTRACT(B885,""[\-|–][^–|\-]+$""))"),"")</f>
        <v/>
      </c>
    </row>
    <row r="886" ht="15.75" customHeight="1">
      <c r="L886" s="5" t="str">
        <f>IFERROR(__xludf.DUMMYFUNCTION("IFNA(REGEXEXTRACT(B886,""[\-|–][^–|\-]+$""))"),"")</f>
        <v/>
      </c>
    </row>
    <row r="887" ht="15.75" customHeight="1">
      <c r="L887" s="5" t="str">
        <f>IFERROR(__xludf.DUMMYFUNCTION("IFNA(REGEXEXTRACT(B887,""[\-|–][^–|\-]+$""))"),"")</f>
        <v/>
      </c>
    </row>
    <row r="888" ht="15.75" customHeight="1">
      <c r="L888" s="5" t="str">
        <f>IFERROR(__xludf.DUMMYFUNCTION("IFNA(REGEXEXTRACT(B888,""[\-|–][^–|\-]+$""))"),"")</f>
        <v/>
      </c>
    </row>
    <row r="889" ht="15.75" customHeight="1">
      <c r="L889" s="5" t="str">
        <f>IFERROR(__xludf.DUMMYFUNCTION("IFNA(REGEXEXTRACT(B889,""[\-|–][^–|\-]+$""))"),"")</f>
        <v/>
      </c>
    </row>
    <row r="890" ht="15.75" customHeight="1">
      <c r="L890" s="5" t="str">
        <f>IFERROR(__xludf.DUMMYFUNCTION("IFNA(REGEXEXTRACT(B890,""[\-|–][^–|\-]+$""))"),"")</f>
        <v/>
      </c>
    </row>
    <row r="891" ht="15.75" customHeight="1">
      <c r="L891" s="5" t="str">
        <f>IFERROR(__xludf.DUMMYFUNCTION("IFNA(REGEXEXTRACT(B891,""[\-|–][^–|\-]+$""))"),"")</f>
        <v/>
      </c>
    </row>
    <row r="892" ht="15.75" customHeight="1">
      <c r="L892" s="5" t="str">
        <f>IFERROR(__xludf.DUMMYFUNCTION("IFNA(REGEXEXTRACT(B892,""[\-|–][^–|\-]+$""))"),"")</f>
        <v/>
      </c>
    </row>
    <row r="893" ht="15.75" customHeight="1">
      <c r="L893" s="5" t="str">
        <f>IFERROR(__xludf.DUMMYFUNCTION("IFNA(REGEXEXTRACT(B893,""[\-|–][^–|\-]+$""))"),"")</f>
        <v/>
      </c>
    </row>
    <row r="894" ht="15.75" customHeight="1">
      <c r="L894" s="5" t="str">
        <f>IFERROR(__xludf.DUMMYFUNCTION("IFNA(REGEXEXTRACT(B894,""[\-|–][^–|\-]+$""))"),"")</f>
        <v/>
      </c>
    </row>
    <row r="895" ht="15.75" customHeight="1">
      <c r="L895" s="5" t="str">
        <f>IFERROR(__xludf.DUMMYFUNCTION("IFNA(REGEXEXTRACT(B895,""[\-|–][^–|\-]+$""))"),"")</f>
        <v/>
      </c>
    </row>
    <row r="896" ht="15.75" customHeight="1">
      <c r="L896" s="5" t="str">
        <f>IFERROR(__xludf.DUMMYFUNCTION("IFNA(REGEXEXTRACT(B896,""[\-|–][^–|\-]+$""))"),"")</f>
        <v/>
      </c>
    </row>
    <row r="897" ht="15.75" customHeight="1">
      <c r="L897" s="5" t="str">
        <f>IFERROR(__xludf.DUMMYFUNCTION("IFNA(REGEXEXTRACT(B897,""[\-|–][^–|\-]+$""))"),"")</f>
        <v/>
      </c>
    </row>
    <row r="898" ht="15.75" customHeight="1">
      <c r="L898" s="5" t="str">
        <f>IFERROR(__xludf.DUMMYFUNCTION("IFNA(REGEXEXTRACT(B898,""[\-|–][^–|\-]+$""))"),"")</f>
        <v/>
      </c>
    </row>
    <row r="899" ht="15.75" customHeight="1">
      <c r="L899" s="5" t="str">
        <f>IFERROR(__xludf.DUMMYFUNCTION("IFNA(REGEXEXTRACT(B899,""[\-|–][^–|\-]+$""))"),"")</f>
        <v/>
      </c>
    </row>
    <row r="900" ht="15.75" customHeight="1">
      <c r="L900" s="5" t="str">
        <f>IFERROR(__xludf.DUMMYFUNCTION("IFNA(REGEXEXTRACT(B900,""[\-|–][^–|\-]+$""))"),"")</f>
        <v/>
      </c>
    </row>
    <row r="901" ht="15.75" customHeight="1">
      <c r="L901" s="5" t="str">
        <f>IFERROR(__xludf.DUMMYFUNCTION("IFNA(REGEXEXTRACT(B901,""[\-|–][^–|\-]+$""))"),"")</f>
        <v/>
      </c>
    </row>
    <row r="902" ht="15.75" customHeight="1">
      <c r="L902" s="5" t="str">
        <f>IFERROR(__xludf.DUMMYFUNCTION("IFNA(REGEXEXTRACT(B902,""[\-|–][^–|\-]+$""))"),"")</f>
        <v/>
      </c>
    </row>
    <row r="903" ht="15.75" customHeight="1">
      <c r="L903" s="5" t="str">
        <f>IFERROR(__xludf.DUMMYFUNCTION("IFNA(REGEXEXTRACT(B903,""[\-|–][^–|\-]+$""))"),"")</f>
        <v/>
      </c>
    </row>
    <row r="904" ht="15.75" customHeight="1">
      <c r="L904" s="5" t="str">
        <f>IFERROR(__xludf.DUMMYFUNCTION("IFNA(REGEXEXTRACT(B904,""[\-|–][^–|\-]+$""))"),"")</f>
        <v/>
      </c>
    </row>
    <row r="905" ht="15.75" customHeight="1">
      <c r="L905" s="5" t="str">
        <f>IFERROR(__xludf.DUMMYFUNCTION("IFNA(REGEXEXTRACT(B905,""[\-|–][^–|\-]+$""))"),"")</f>
        <v/>
      </c>
    </row>
    <row r="906" ht="15.75" customHeight="1">
      <c r="L906" s="5" t="str">
        <f>IFERROR(__xludf.DUMMYFUNCTION("IFNA(REGEXEXTRACT(B906,""[\-|–][^–|\-]+$""))"),"")</f>
        <v/>
      </c>
    </row>
    <row r="907" ht="15.75" customHeight="1">
      <c r="L907" s="5" t="str">
        <f>IFERROR(__xludf.DUMMYFUNCTION("IFNA(REGEXEXTRACT(B907,""[\-|–][^–|\-]+$""))"),"")</f>
        <v/>
      </c>
    </row>
    <row r="908" ht="15.75" customHeight="1">
      <c r="L908" s="5" t="str">
        <f>IFERROR(__xludf.DUMMYFUNCTION("IFNA(REGEXEXTRACT(B908,""[\-|–][^–|\-]+$""))"),"")</f>
        <v/>
      </c>
    </row>
    <row r="909" ht="15.75" customHeight="1">
      <c r="L909" s="5" t="str">
        <f>IFERROR(__xludf.DUMMYFUNCTION("IFNA(REGEXEXTRACT(B909,""[\-|–][^–|\-]+$""))"),"")</f>
        <v/>
      </c>
    </row>
    <row r="910" ht="15.75" customHeight="1">
      <c r="L910" s="5" t="str">
        <f>IFERROR(__xludf.DUMMYFUNCTION("IFNA(REGEXEXTRACT(B910,""[\-|–][^–|\-]+$""))"),"")</f>
        <v/>
      </c>
    </row>
    <row r="911" ht="15.75" customHeight="1">
      <c r="L911" s="5" t="str">
        <f>IFERROR(__xludf.DUMMYFUNCTION("IFNA(REGEXEXTRACT(B911,""[\-|–][^–|\-]+$""))"),"")</f>
        <v/>
      </c>
    </row>
    <row r="912" ht="15.75" customHeight="1">
      <c r="L912" s="5" t="str">
        <f>IFERROR(__xludf.DUMMYFUNCTION("IFNA(REGEXEXTRACT(B912,""[\-|–][^–|\-]+$""))"),"")</f>
        <v/>
      </c>
    </row>
    <row r="913" ht="15.75" customHeight="1">
      <c r="L913" s="5" t="str">
        <f>IFERROR(__xludf.DUMMYFUNCTION("IFNA(REGEXEXTRACT(B913,""[\-|–][^–|\-]+$""))"),"")</f>
        <v/>
      </c>
    </row>
    <row r="914" ht="15.75" customHeight="1">
      <c r="L914" s="5" t="str">
        <f>IFERROR(__xludf.DUMMYFUNCTION("IFNA(REGEXEXTRACT(B914,""[\-|–][^–|\-]+$""))"),"")</f>
        <v/>
      </c>
    </row>
    <row r="915" ht="15.75" customHeight="1">
      <c r="L915" s="5" t="str">
        <f>IFERROR(__xludf.DUMMYFUNCTION("IFNA(REGEXEXTRACT(B915,""[\-|–][^–|\-]+$""))"),"")</f>
        <v/>
      </c>
    </row>
    <row r="916" ht="15.75" customHeight="1">
      <c r="L916" s="5" t="str">
        <f>IFERROR(__xludf.DUMMYFUNCTION("IFNA(REGEXEXTRACT(B916,""[\-|–][^–|\-]+$""))"),"")</f>
        <v/>
      </c>
    </row>
    <row r="917" ht="15.75" customHeight="1">
      <c r="L917" s="5" t="str">
        <f>IFERROR(__xludf.DUMMYFUNCTION("IFNA(REGEXEXTRACT(B917,""[\-|–][^–|\-]+$""))"),"")</f>
        <v/>
      </c>
    </row>
    <row r="918" ht="15.75" customHeight="1">
      <c r="L918" s="5" t="str">
        <f>IFERROR(__xludf.DUMMYFUNCTION("IFNA(REGEXEXTRACT(B918,""[\-|–][^–|\-]+$""))"),"")</f>
        <v/>
      </c>
    </row>
    <row r="919" ht="15.75" customHeight="1">
      <c r="L919" s="5" t="str">
        <f>IFERROR(__xludf.DUMMYFUNCTION("IFNA(REGEXEXTRACT(B919,""[\-|–][^–|\-]+$""))"),"")</f>
        <v/>
      </c>
    </row>
    <row r="920" ht="15.75" customHeight="1">
      <c r="L920" s="5" t="str">
        <f>IFERROR(__xludf.DUMMYFUNCTION("IFNA(REGEXEXTRACT(B920,""[\-|–][^–|\-]+$""))"),"")</f>
        <v/>
      </c>
    </row>
    <row r="921" ht="15.75" customHeight="1">
      <c r="L921" s="5" t="str">
        <f>IFERROR(__xludf.DUMMYFUNCTION("IFNA(REGEXEXTRACT(B921,""[\-|–][^–|\-]+$""))"),"")</f>
        <v/>
      </c>
    </row>
    <row r="922" ht="15.75" customHeight="1">
      <c r="L922" s="5" t="str">
        <f>IFERROR(__xludf.DUMMYFUNCTION("IFNA(REGEXEXTRACT(B922,""[\-|–][^–|\-]+$""))"),"")</f>
        <v/>
      </c>
    </row>
    <row r="923" ht="15.75" customHeight="1">
      <c r="L923" s="5" t="str">
        <f>IFERROR(__xludf.DUMMYFUNCTION("IFNA(REGEXEXTRACT(B923,""[\-|–][^–|\-]+$""))"),"")</f>
        <v/>
      </c>
    </row>
    <row r="924" ht="15.75" customHeight="1">
      <c r="L924" s="5" t="str">
        <f>IFERROR(__xludf.DUMMYFUNCTION("IFNA(REGEXEXTRACT(B924,""[\-|–][^–|\-]+$""))"),"")</f>
        <v/>
      </c>
    </row>
    <row r="925" ht="15.75" customHeight="1">
      <c r="L925" s="5" t="str">
        <f>IFERROR(__xludf.DUMMYFUNCTION("IFNA(REGEXEXTRACT(B925,""[\-|–][^–|\-]+$""))"),"")</f>
        <v/>
      </c>
    </row>
    <row r="926" ht="15.75" customHeight="1">
      <c r="L926" s="5" t="str">
        <f>IFERROR(__xludf.DUMMYFUNCTION("IFNA(REGEXEXTRACT(B926,""[\-|–][^–|\-]+$""))"),"")</f>
        <v/>
      </c>
    </row>
    <row r="927" ht="15.75" customHeight="1">
      <c r="L927" s="5" t="str">
        <f>IFERROR(__xludf.DUMMYFUNCTION("IFNA(REGEXEXTRACT(B927,""[\-|–][^–|\-]+$""))"),"")</f>
        <v/>
      </c>
    </row>
    <row r="928" ht="15.75" customHeight="1">
      <c r="L928" s="5" t="str">
        <f>IFERROR(__xludf.DUMMYFUNCTION("IFNA(REGEXEXTRACT(B928,""[\-|–][^–|\-]+$""))"),"")</f>
        <v/>
      </c>
    </row>
    <row r="929" ht="15.75" customHeight="1">
      <c r="L929" s="5" t="str">
        <f>IFERROR(__xludf.DUMMYFUNCTION("IFNA(REGEXEXTRACT(B929,""[\-|–][^–|\-]+$""))"),"")</f>
        <v/>
      </c>
    </row>
    <row r="930" ht="15.75" customHeight="1">
      <c r="L930" s="5" t="str">
        <f>IFERROR(__xludf.DUMMYFUNCTION("IFNA(REGEXEXTRACT(B930,""[\-|–][^–|\-]+$""))"),"")</f>
        <v/>
      </c>
    </row>
    <row r="931" ht="15.75" customHeight="1">
      <c r="L931" s="5" t="str">
        <f>IFERROR(__xludf.DUMMYFUNCTION("IFNA(REGEXEXTRACT(B931,""[\-|–][^–|\-]+$""))"),"")</f>
        <v/>
      </c>
    </row>
    <row r="932" ht="15.75" customHeight="1">
      <c r="L932" s="5" t="str">
        <f>IFERROR(__xludf.DUMMYFUNCTION("IFNA(REGEXEXTRACT(B932,""[\-|–][^–|\-]+$""))"),"")</f>
        <v/>
      </c>
    </row>
    <row r="933" ht="15.75" customHeight="1">
      <c r="L933" s="5" t="str">
        <f>IFERROR(__xludf.DUMMYFUNCTION("IFNA(REGEXEXTRACT(B933,""[\-|–][^–|\-]+$""))"),"")</f>
        <v/>
      </c>
    </row>
    <row r="934" ht="15.75" customHeight="1">
      <c r="L934" s="5" t="str">
        <f>IFERROR(__xludf.DUMMYFUNCTION("IFNA(REGEXEXTRACT(B934,""[\-|–][^–|\-]+$""))"),"")</f>
        <v/>
      </c>
    </row>
    <row r="935" ht="15.75" customHeight="1">
      <c r="L935" s="5" t="str">
        <f>IFERROR(__xludf.DUMMYFUNCTION("IFNA(REGEXEXTRACT(B935,""[\-|–][^–|\-]+$""))"),"")</f>
        <v/>
      </c>
    </row>
    <row r="936" ht="15.75" customHeight="1">
      <c r="L936" s="5" t="str">
        <f>IFERROR(__xludf.DUMMYFUNCTION("IFNA(REGEXEXTRACT(B936,""[\-|–][^–|\-]+$""))"),"")</f>
        <v/>
      </c>
    </row>
    <row r="937" ht="15.75" customHeight="1">
      <c r="L937" s="5" t="str">
        <f>IFERROR(__xludf.DUMMYFUNCTION("IFNA(REGEXEXTRACT(B937,""[\-|–][^–|\-]+$""))"),"")</f>
        <v/>
      </c>
    </row>
    <row r="938" ht="15.75" customHeight="1">
      <c r="L938" s="5" t="str">
        <f>IFERROR(__xludf.DUMMYFUNCTION("IFNA(REGEXEXTRACT(B938,""[\-|–][^–|\-]+$""))"),"")</f>
        <v/>
      </c>
    </row>
    <row r="939" ht="15.75" customHeight="1">
      <c r="L939" s="5" t="str">
        <f>IFERROR(__xludf.DUMMYFUNCTION("IFNA(REGEXEXTRACT(B939,""[\-|–][^–|\-]+$""))"),"")</f>
        <v/>
      </c>
    </row>
    <row r="940" ht="15.75" customHeight="1">
      <c r="L940" s="5" t="str">
        <f>IFERROR(__xludf.DUMMYFUNCTION("IFNA(REGEXEXTRACT(B940,""[\-|–][^–|\-]+$""))"),"")</f>
        <v/>
      </c>
    </row>
    <row r="941" ht="15.75" customHeight="1">
      <c r="L941" s="5" t="str">
        <f>IFERROR(__xludf.DUMMYFUNCTION("IFNA(REGEXEXTRACT(B941,""[\-|–][^–|\-]+$""))"),"")</f>
        <v/>
      </c>
    </row>
    <row r="942" ht="15.75" customHeight="1">
      <c r="L942" s="5" t="str">
        <f>IFERROR(__xludf.DUMMYFUNCTION("IFNA(REGEXEXTRACT(B942,""[\-|–][^–|\-]+$""))"),"")</f>
        <v/>
      </c>
    </row>
    <row r="943" ht="15.75" customHeight="1">
      <c r="L943" s="5" t="str">
        <f>IFERROR(__xludf.DUMMYFUNCTION("IFNA(REGEXEXTRACT(B943,""[\-|–][^–|\-]+$""))"),"")</f>
        <v/>
      </c>
    </row>
    <row r="944" ht="15.75" customHeight="1">
      <c r="L944" s="5" t="str">
        <f>IFERROR(__xludf.DUMMYFUNCTION("IFNA(REGEXEXTRACT(B944,""[\-|–][^–|\-]+$""))"),"")</f>
        <v/>
      </c>
    </row>
    <row r="945" ht="15.75" customHeight="1">
      <c r="L945" s="5" t="str">
        <f>IFERROR(__xludf.DUMMYFUNCTION("IFNA(REGEXEXTRACT(B945,""[\-|–][^–|\-]+$""))"),"")</f>
        <v/>
      </c>
    </row>
    <row r="946" ht="15.75" customHeight="1">
      <c r="L946" s="5" t="str">
        <f>IFERROR(__xludf.DUMMYFUNCTION("IFNA(REGEXEXTRACT(B946,""[\-|–][^–|\-]+$""))"),"")</f>
        <v/>
      </c>
    </row>
    <row r="947" ht="15.75" customHeight="1">
      <c r="L947" s="5" t="str">
        <f>IFERROR(__xludf.DUMMYFUNCTION("IFNA(REGEXEXTRACT(B947,""[\-|–][^–|\-]+$""))"),"")</f>
        <v/>
      </c>
    </row>
    <row r="948" ht="15.75" customHeight="1">
      <c r="L948" s="5" t="str">
        <f>IFERROR(__xludf.DUMMYFUNCTION("IFNA(REGEXEXTRACT(B948,""[\-|–][^–|\-]+$""))"),"")</f>
        <v/>
      </c>
    </row>
    <row r="949" ht="15.75" customHeight="1">
      <c r="L949" s="5" t="str">
        <f>IFERROR(__xludf.DUMMYFUNCTION("IFNA(REGEXEXTRACT(B949,""[\-|–][^–|\-]+$""))"),"")</f>
        <v/>
      </c>
    </row>
    <row r="950" ht="15.75" customHeight="1">
      <c r="L950" s="5" t="str">
        <f>IFERROR(__xludf.DUMMYFUNCTION("IFNA(REGEXEXTRACT(B950,""[\-|–][^–|\-]+$""))"),"")</f>
        <v/>
      </c>
    </row>
    <row r="951" ht="15.75" customHeight="1">
      <c r="L951" s="5" t="str">
        <f>IFERROR(__xludf.DUMMYFUNCTION("IFNA(REGEXEXTRACT(B951,""[\-|–][^–|\-]+$""))"),"")</f>
        <v/>
      </c>
    </row>
    <row r="952" ht="15.75" customHeight="1">
      <c r="L952" s="5" t="str">
        <f>IFERROR(__xludf.DUMMYFUNCTION("IFNA(REGEXEXTRACT(B952,""[\-|–][^–|\-]+$""))"),"")</f>
        <v/>
      </c>
    </row>
    <row r="953" ht="15.75" customHeight="1">
      <c r="L953" s="5" t="str">
        <f>IFERROR(__xludf.DUMMYFUNCTION("IFNA(REGEXEXTRACT(B953,""[\-|–][^–|\-]+$""))"),"")</f>
        <v/>
      </c>
    </row>
    <row r="954" ht="15.75" customHeight="1">
      <c r="L954" s="5" t="str">
        <f>IFERROR(__xludf.DUMMYFUNCTION("IFNA(REGEXEXTRACT(B954,""[\-|–][^–|\-]+$""))"),"")</f>
        <v/>
      </c>
    </row>
    <row r="955" ht="15.75" customHeight="1">
      <c r="L955" s="5" t="str">
        <f>IFERROR(__xludf.DUMMYFUNCTION("IFNA(REGEXEXTRACT(B955,""[\-|–][^–|\-]+$""))"),"")</f>
        <v/>
      </c>
    </row>
    <row r="956" ht="15.75" customHeight="1">
      <c r="L956" s="5" t="str">
        <f>IFERROR(__xludf.DUMMYFUNCTION("IFNA(REGEXEXTRACT(B956,""[\-|–][^–|\-]+$""))"),"")</f>
        <v/>
      </c>
    </row>
    <row r="957" ht="15.75" customHeight="1">
      <c r="L957" s="5" t="str">
        <f>IFERROR(__xludf.DUMMYFUNCTION("IFNA(REGEXEXTRACT(B957,""[\-|–][^–|\-]+$""))"),"")</f>
        <v/>
      </c>
    </row>
    <row r="958" ht="15.75" customHeight="1">
      <c r="L958" s="5" t="str">
        <f>IFERROR(__xludf.DUMMYFUNCTION("IFNA(REGEXEXTRACT(B958,""[\-|–][^–|\-]+$""))"),"")</f>
        <v/>
      </c>
    </row>
    <row r="959" ht="15.75" customHeight="1">
      <c r="L959" s="5" t="str">
        <f>IFERROR(__xludf.DUMMYFUNCTION("IFNA(REGEXEXTRACT(B959,""[\-|–][^–|\-]+$""))"),"")</f>
        <v/>
      </c>
    </row>
    <row r="960" ht="15.75" customHeight="1">
      <c r="L960" s="5" t="str">
        <f>IFERROR(__xludf.DUMMYFUNCTION("IFNA(REGEXEXTRACT(B960,""[\-|–][^–|\-]+$""))"),"")</f>
        <v/>
      </c>
    </row>
    <row r="961" ht="15.75" customHeight="1">
      <c r="L961" s="5" t="str">
        <f>IFERROR(__xludf.DUMMYFUNCTION("IFNA(REGEXEXTRACT(B961,""[\-|–][^–|\-]+$""))"),"")</f>
        <v/>
      </c>
    </row>
    <row r="962" ht="15.75" customHeight="1">
      <c r="L962" s="5" t="str">
        <f>IFERROR(__xludf.DUMMYFUNCTION("IFNA(REGEXEXTRACT(B962,""[\-|–][^–|\-]+$""))"),"")</f>
        <v/>
      </c>
    </row>
    <row r="963" ht="15.75" customHeight="1">
      <c r="L963" s="5" t="str">
        <f>IFERROR(__xludf.DUMMYFUNCTION("IFNA(REGEXEXTRACT(B963,""[\-|–][^–|\-]+$""))"),"")</f>
        <v/>
      </c>
    </row>
    <row r="964" ht="15.75" customHeight="1">
      <c r="L964" s="5" t="str">
        <f>IFERROR(__xludf.DUMMYFUNCTION("IFNA(REGEXEXTRACT(B964,""[\-|–][^–|\-]+$""))"),"")</f>
        <v/>
      </c>
    </row>
    <row r="965" ht="15.75" customHeight="1">
      <c r="L965" s="5" t="str">
        <f>IFERROR(__xludf.DUMMYFUNCTION("IFNA(REGEXEXTRACT(B965,""[\-|–][^–|\-]+$""))"),"")</f>
        <v/>
      </c>
    </row>
    <row r="966" ht="15.75" customHeight="1">
      <c r="L966" s="5" t="str">
        <f>IFERROR(__xludf.DUMMYFUNCTION("IFNA(REGEXEXTRACT(B966,""[\-|–][^–|\-]+$""))"),"")</f>
        <v/>
      </c>
    </row>
    <row r="967" ht="15.75" customHeight="1">
      <c r="L967" s="5" t="str">
        <f>IFERROR(__xludf.DUMMYFUNCTION("IFNA(REGEXEXTRACT(B967,""[\-|–][^–|\-]+$""))"),"")</f>
        <v/>
      </c>
    </row>
    <row r="968" ht="15.75" customHeight="1">
      <c r="L968" s="5" t="str">
        <f>IFERROR(__xludf.DUMMYFUNCTION("IFNA(REGEXEXTRACT(B968,""[\-|–][^–|\-]+$""))"),"")</f>
        <v/>
      </c>
    </row>
    <row r="969" ht="15.75" customHeight="1">
      <c r="L969" s="5" t="str">
        <f>IFERROR(__xludf.DUMMYFUNCTION("IFNA(REGEXEXTRACT(B969,""[\-|–][^–|\-]+$""))"),"")</f>
        <v/>
      </c>
    </row>
    <row r="970" ht="15.75" customHeight="1">
      <c r="L970" s="5" t="str">
        <f>IFERROR(__xludf.DUMMYFUNCTION("IFNA(REGEXEXTRACT(B970,""[\-|–][^–|\-]+$""))"),"")</f>
        <v/>
      </c>
    </row>
    <row r="971" ht="15.75" customHeight="1">
      <c r="L971" s="5" t="str">
        <f>IFERROR(__xludf.DUMMYFUNCTION("IFNA(REGEXEXTRACT(B971,""[\-|–][^–|\-]+$""))"),"")</f>
        <v/>
      </c>
    </row>
    <row r="972" ht="15.75" customHeight="1">
      <c r="L972" s="5" t="str">
        <f>IFERROR(__xludf.DUMMYFUNCTION("IFNA(REGEXEXTRACT(B972,""[\-|–][^–|\-]+$""))"),"")</f>
        <v/>
      </c>
    </row>
    <row r="973" ht="15.75" customHeight="1">
      <c r="L973" s="5" t="str">
        <f>IFERROR(__xludf.DUMMYFUNCTION("IFNA(REGEXEXTRACT(B973,""[\-|–][^–|\-]+$""))"),"")</f>
        <v/>
      </c>
    </row>
    <row r="974" ht="15.75" customHeight="1">
      <c r="L974" s="5" t="str">
        <f>IFERROR(__xludf.DUMMYFUNCTION("IFNA(REGEXEXTRACT(B974,""[\-|–][^–|\-]+$""))"),"")</f>
        <v/>
      </c>
    </row>
    <row r="975" ht="15.75" customHeight="1">
      <c r="L975" s="5" t="str">
        <f>IFERROR(__xludf.DUMMYFUNCTION("IFNA(REGEXEXTRACT(B975,""[\-|–][^–|\-]+$""))"),"")</f>
        <v/>
      </c>
    </row>
    <row r="976" ht="15.75" customHeight="1">
      <c r="L976" s="5" t="str">
        <f>IFERROR(__xludf.DUMMYFUNCTION("IFNA(REGEXEXTRACT(B976,""[\-|–][^–|\-]+$""))"),"")</f>
        <v/>
      </c>
    </row>
    <row r="977" ht="15.75" customHeight="1">
      <c r="L977" s="5" t="str">
        <f>IFERROR(__xludf.DUMMYFUNCTION("IFNA(REGEXEXTRACT(B977,""[\-|–][^–|\-]+$""))"),"")</f>
        <v/>
      </c>
    </row>
    <row r="978" ht="15.75" customHeight="1">
      <c r="L978" s="5" t="str">
        <f>IFERROR(__xludf.DUMMYFUNCTION("IFNA(REGEXEXTRACT(B978,""[\-|–][^–|\-]+$""))"),"")</f>
        <v/>
      </c>
    </row>
    <row r="979" ht="15.75" customHeight="1">
      <c r="L979" s="5" t="str">
        <f>IFERROR(__xludf.DUMMYFUNCTION("IFNA(REGEXEXTRACT(B979,""[\-|–][^–|\-]+$""))"),"")</f>
        <v/>
      </c>
    </row>
    <row r="980" ht="15.75" customHeight="1">
      <c r="L980" s="5" t="str">
        <f>IFERROR(__xludf.DUMMYFUNCTION("IFNA(REGEXEXTRACT(B980,""[\-|–][^–|\-]+$""))"),"")</f>
        <v/>
      </c>
    </row>
    <row r="981" ht="15.75" customHeight="1">
      <c r="L981" s="5" t="str">
        <f>IFERROR(__xludf.DUMMYFUNCTION("IFNA(REGEXEXTRACT(B981,""[\-|–][^–|\-]+$""))"),"")</f>
        <v/>
      </c>
    </row>
    <row r="982" ht="15.75" customHeight="1">
      <c r="L982" s="5" t="str">
        <f>IFERROR(__xludf.DUMMYFUNCTION("IFNA(REGEXEXTRACT(B982,""[\-|–][^–|\-]+$""))"),"")</f>
        <v/>
      </c>
    </row>
    <row r="983" ht="15.75" customHeight="1">
      <c r="L983" s="5" t="str">
        <f>IFERROR(__xludf.DUMMYFUNCTION("IFNA(REGEXEXTRACT(B983,""[\-|–][^–|\-]+$""))"),"")</f>
        <v/>
      </c>
    </row>
    <row r="984" ht="15.75" customHeight="1">
      <c r="L984" s="5" t="str">
        <f>IFERROR(__xludf.DUMMYFUNCTION("IFNA(REGEXEXTRACT(B984,""[\-|–][^–|\-]+$""))"),"")</f>
        <v/>
      </c>
    </row>
    <row r="985" ht="15.75" customHeight="1">
      <c r="L985" s="5" t="str">
        <f>IFERROR(__xludf.DUMMYFUNCTION("IFNA(REGEXEXTRACT(B985,""[\-|–][^–|\-]+$""))"),"")</f>
        <v/>
      </c>
    </row>
    <row r="986" ht="15.75" customHeight="1">
      <c r="L986" s="5" t="str">
        <f>IFERROR(__xludf.DUMMYFUNCTION("IFNA(REGEXEXTRACT(B986,""[\-|–][^–|\-]+$""))"),"")</f>
        <v/>
      </c>
    </row>
    <row r="987" ht="15.75" customHeight="1">
      <c r="L987" s="5" t="str">
        <f>IFERROR(__xludf.DUMMYFUNCTION("IFNA(REGEXEXTRACT(B987,""[\-|–][^–|\-]+$""))"),"")</f>
        <v/>
      </c>
    </row>
    <row r="988" ht="15.75" customHeight="1">
      <c r="L988" s="5" t="str">
        <f>IFERROR(__xludf.DUMMYFUNCTION("IFNA(REGEXEXTRACT(B988,""[\-|–][^–|\-]+$""))"),"")</f>
        <v/>
      </c>
    </row>
    <row r="989" ht="15.75" customHeight="1">
      <c r="L989" s="5" t="str">
        <f>IFERROR(__xludf.DUMMYFUNCTION("IFNA(REGEXEXTRACT(B989,""[\-|–][^–|\-]+$""))"),"")</f>
        <v/>
      </c>
    </row>
    <row r="990" ht="15.75" customHeight="1">
      <c r="L990" s="5" t="str">
        <f>IFERROR(__xludf.DUMMYFUNCTION("IFNA(REGEXEXTRACT(B990,""[\-|–][^–|\-]+$""))"),"")</f>
        <v/>
      </c>
    </row>
    <row r="991" ht="15.75" customHeight="1">
      <c r="L991" s="5" t="str">
        <f>IFERROR(__xludf.DUMMYFUNCTION("IFNA(REGEXEXTRACT(B991,""[\-|–][^–|\-]+$""))"),"")</f>
        <v/>
      </c>
    </row>
    <row r="992" ht="15.75" customHeight="1">
      <c r="L992" s="5" t="str">
        <f>IFERROR(__xludf.DUMMYFUNCTION("IFNA(REGEXEXTRACT(B992,""[\-|–][^–|\-]+$""))"),"")</f>
        <v/>
      </c>
    </row>
    <row r="993" ht="15.75" customHeight="1">
      <c r="L993" s="5" t="str">
        <f>IFERROR(__xludf.DUMMYFUNCTION("IFNA(REGEXEXTRACT(B993,""[\-|–][^–|\-]+$""))"),"")</f>
        <v/>
      </c>
    </row>
    <row r="994" ht="15.75" customHeight="1">
      <c r="L994" s="5" t="str">
        <f>IFERROR(__xludf.DUMMYFUNCTION("IFNA(REGEXEXTRACT(B994,""[\-|–][^–|\-]+$""))"),"")</f>
        <v/>
      </c>
    </row>
    <row r="995" ht="15.75" customHeight="1">
      <c r="L995" s="5" t="str">
        <f>IFERROR(__xludf.DUMMYFUNCTION("IFNA(REGEXEXTRACT(B995,""[\-|–][^–|\-]+$""))"),"")</f>
        <v/>
      </c>
    </row>
    <row r="996" ht="15.75" customHeight="1">
      <c r="L996" s="5" t="str">
        <f>IFERROR(__xludf.DUMMYFUNCTION("IFNA(REGEXEXTRACT(B996,""[\-|–][^–|\-]+$""))"),"")</f>
        <v/>
      </c>
    </row>
    <row r="997" ht="15.75" customHeight="1">
      <c r="L997" s="5" t="str">
        <f>IFERROR(__xludf.DUMMYFUNCTION("IFNA(REGEXEXTRACT(B997,""[\-|–][^–|\-]+$""))"),"")</f>
        <v/>
      </c>
    </row>
    <row r="998" ht="15.75" customHeight="1">
      <c r="L998" s="5" t="str">
        <f>IFERROR(__xludf.DUMMYFUNCTION("IFNA(REGEXEXTRACT(B998,""[\-|–][^–|\-]+$""))"),"")</f>
        <v/>
      </c>
    </row>
    <row r="999" ht="15.75" customHeight="1">
      <c r="L999" s="5" t="str">
        <f>IFERROR(__xludf.DUMMYFUNCTION("IFNA(REGEXEXTRACT(B999,""[\-|–][^–|\-]+$""))"),"")</f>
        <v/>
      </c>
    </row>
    <row r="1000" ht="15.75" customHeight="1">
      <c r="L1000" s="5" t="str">
        <f>IFERROR(__xludf.DUMMYFUNCTION("IFNA(REGEXEXTRACT(B1000,""[\-|–][^–|\-]+$""))"),"")</f>
        <v/>
      </c>
    </row>
    <row r="1001" ht="15.75" customHeight="1">
      <c r="L1001" s="5" t="str">
        <f>IFERROR(__xludf.DUMMYFUNCTION("IFNA(REGEXEXTRACT(B1001,""[\-|–][^–|\-]+$""))"),"")</f>
        <v/>
      </c>
    </row>
    <row r="1002" ht="15.75" customHeight="1">
      <c r="L1002" s="5" t="str">
        <f>IFERROR(__xludf.DUMMYFUNCTION("IFNA(REGEXEXTRACT(B1002,""[\-|–][^–|\-]+$""))"),"")</f>
        <v/>
      </c>
    </row>
    <row r="1003" ht="15.75" customHeight="1">
      <c r="L1003" s="5" t="str">
        <f>IFERROR(__xludf.DUMMYFUNCTION("IFNA(REGEXEXTRACT(B1003,""[\-|–][^–|\-]+$""))"),"")</f>
        <v/>
      </c>
    </row>
    <row r="1004" ht="15.75" customHeight="1">
      <c r="L1004" s="5" t="str">
        <f>IFERROR(__xludf.DUMMYFUNCTION("IFNA(REGEXEXTRACT(B1004,""[\-|–][^–|\-]+$""))"),"")</f>
        <v/>
      </c>
    </row>
    <row r="1005" ht="15.75" customHeight="1">
      <c r="L1005" s="5" t="str">
        <f>IFERROR(__xludf.DUMMYFUNCTION("IFNA(REGEXEXTRACT(B1005,""[\-|–][^–|\-]+$""))"),"")</f>
        <v/>
      </c>
    </row>
    <row r="1006" ht="15.75" customHeight="1">
      <c r="L1006" s="5" t="str">
        <f>IFERROR(__xludf.DUMMYFUNCTION("IFNA(REGEXEXTRACT(B1006,""[\-|–][^–|\-]+$""))"),"")</f>
        <v/>
      </c>
    </row>
    <row r="1007" ht="15.75" customHeight="1">
      <c r="L1007" s="5" t="str">
        <f>IFERROR(__xludf.DUMMYFUNCTION("IFNA(REGEXEXTRACT(B1007,""[\-|–][^–|\-]+$""))"),"")</f>
        <v/>
      </c>
    </row>
    <row r="1008" ht="15.75" customHeight="1">
      <c r="L1008" s="5" t="str">
        <f>IFERROR(__xludf.DUMMYFUNCTION("IFNA(REGEXEXTRACT(B1008,""[\-|–][^–|\-]+$""))"),"")</f>
        <v/>
      </c>
    </row>
    <row r="1009" ht="15.75" customHeight="1">
      <c r="L1009" s="5" t="str">
        <f>IFERROR(__xludf.DUMMYFUNCTION("IFNA(REGEXEXTRACT(B1009,""[\-|–][^–|\-]+$""))"),"")</f>
        <v/>
      </c>
    </row>
    <row r="1010" ht="15.75" customHeight="1">
      <c r="L1010" s="5" t="str">
        <f>IFERROR(__xludf.DUMMYFUNCTION("IFNA(REGEXEXTRACT(B1010,""[\-|–][^–|\-]+$""))"),"")</f>
        <v/>
      </c>
    </row>
    <row r="1011" ht="15.75" customHeight="1">
      <c r="L1011" s="5" t="str">
        <f>IFERROR(__xludf.DUMMYFUNCTION("IFNA(REGEXEXTRACT(B1011,""[\-|–][^–|\-]+$""))"),"")</f>
        <v/>
      </c>
    </row>
    <row r="1012" ht="15.75" customHeight="1">
      <c r="L1012" s="5" t="str">
        <f>IFERROR(__xludf.DUMMYFUNCTION("IFNA(REGEXEXTRACT(B1012,""[\-|–][^–|\-]+$""))"),"")</f>
        <v/>
      </c>
    </row>
    <row r="1013" ht="15.75" customHeight="1">
      <c r="L1013" s="5" t="str">
        <f>IFERROR(__xludf.DUMMYFUNCTION("IFNA(REGEXEXTRACT(B1013,""[\-|–][^–|\-]+$""))"),"")</f>
        <v/>
      </c>
    </row>
    <row r="1014" ht="15.75" customHeight="1">
      <c r="L1014" s="5" t="str">
        <f>IFERROR(__xludf.DUMMYFUNCTION("IFNA(REGEXEXTRACT(B1014,""[\-|–][^–|\-]+$""))"),"")</f>
        <v/>
      </c>
    </row>
    <row r="1015" ht="15.75" customHeight="1">
      <c r="L1015" s="5" t="str">
        <f>IFERROR(__xludf.DUMMYFUNCTION("IFNA(REGEXEXTRACT(B1015,""[\-|–][^–|\-]+$""))"),"")</f>
        <v/>
      </c>
    </row>
    <row r="1016" ht="15.75" customHeight="1">
      <c r="L1016" s="5" t="str">
        <f>IFERROR(__xludf.DUMMYFUNCTION("IFNA(REGEXEXTRACT(B1016,""[\-|–][^–|\-]+$""))"),"")</f>
        <v/>
      </c>
    </row>
    <row r="1017" ht="15.75" customHeight="1">
      <c r="L1017" s="5" t="str">
        <f>IFERROR(__xludf.DUMMYFUNCTION("IFNA(REGEXEXTRACT(B1017,""[\-|–][^–|\-]+$""))"),"")</f>
        <v/>
      </c>
    </row>
    <row r="1018" ht="15.75" customHeight="1">
      <c r="L1018" s="5" t="str">
        <f>IFERROR(__xludf.DUMMYFUNCTION("IFNA(REGEXEXTRACT(B1018,""[\-|–][^–|\-]+$""))"),"")</f>
        <v/>
      </c>
    </row>
    <row r="1019" ht="15.75" customHeight="1">
      <c r="L1019" s="5" t="str">
        <f>IFERROR(__xludf.DUMMYFUNCTION("IFNA(REGEXEXTRACT(B1019,""[\-|–][^–|\-]+$""))"),"")</f>
        <v/>
      </c>
    </row>
    <row r="1020" ht="15.75" customHeight="1">
      <c r="L1020" s="5" t="str">
        <f>IFERROR(__xludf.DUMMYFUNCTION("IFNA(REGEXEXTRACT(B1020,""[\-|–][^–|\-]+$""))"),"")</f>
        <v/>
      </c>
    </row>
    <row r="1021" ht="15.75" customHeight="1">
      <c r="L1021" s="5" t="str">
        <f>IFERROR(__xludf.DUMMYFUNCTION("IFNA(REGEXEXTRACT(B1021,""[\-|–][^–|\-]+$""))"),"")</f>
        <v/>
      </c>
    </row>
    <row r="1022" ht="15.75" customHeight="1">
      <c r="L1022" s="5" t="str">
        <f>IFERROR(__xludf.DUMMYFUNCTION("IFNA(REGEXEXTRACT(B1022,""[\-|–][^–|\-]+$""))"),"")</f>
        <v/>
      </c>
    </row>
    <row r="1023" ht="15.75" customHeight="1">
      <c r="L1023" s="5" t="str">
        <f>IFERROR(__xludf.DUMMYFUNCTION("IFNA(REGEXEXTRACT(B1023,""[\-|–][^–|\-]+$""))"),"")</f>
        <v/>
      </c>
    </row>
    <row r="1024" ht="15.75" customHeight="1">
      <c r="L1024" s="5" t="str">
        <f>IFERROR(__xludf.DUMMYFUNCTION("IFNA(REGEXEXTRACT(B1024,""[\-|–][^–|\-]+$""))"),"")</f>
        <v/>
      </c>
    </row>
    <row r="1025" ht="15.75" customHeight="1">
      <c r="L1025" s="5" t="str">
        <f>IFERROR(__xludf.DUMMYFUNCTION("IFNA(REGEXEXTRACT(B1025,""[\-|–][^–|\-]+$""))"),"")</f>
        <v/>
      </c>
    </row>
    <row r="1026" ht="15.75" customHeight="1">
      <c r="L1026" s="5" t="str">
        <f>IFERROR(__xludf.DUMMYFUNCTION("IFNA(REGEXEXTRACT(B1026,""[\-|–][^–|\-]+$""))"),"")</f>
        <v/>
      </c>
    </row>
    <row r="1027" ht="15.75" customHeight="1">
      <c r="L1027" s="5" t="str">
        <f>IFERROR(__xludf.DUMMYFUNCTION("IFNA(REGEXEXTRACT(B1027,""[\-|–][^–|\-]+$""))"),"")</f>
        <v/>
      </c>
    </row>
    <row r="1028" ht="15.75" customHeight="1">
      <c r="L1028" s="5" t="str">
        <f>IFERROR(__xludf.DUMMYFUNCTION("IFNA(REGEXEXTRACT(B1028,""[\-|–][^–|\-]+$""))"),"")</f>
        <v/>
      </c>
    </row>
    <row r="1029" ht="15.75" customHeight="1">
      <c r="L1029" s="5" t="str">
        <f>IFERROR(__xludf.DUMMYFUNCTION("IFNA(REGEXEXTRACT(B1029,""[\-|–][^–|\-]+$""))"),"")</f>
        <v/>
      </c>
    </row>
    <row r="1030" ht="15.75" customHeight="1">
      <c r="L1030" s="5" t="str">
        <f>IFERROR(__xludf.DUMMYFUNCTION("IFNA(REGEXEXTRACT(B1030,""[\-|–][^–|\-]+$""))"),"")</f>
        <v/>
      </c>
    </row>
    <row r="1031" ht="15.75" customHeight="1">
      <c r="L1031" s="5" t="str">
        <f>IFERROR(__xludf.DUMMYFUNCTION("IFNA(REGEXEXTRACT(B1031,""[\-|–][^–|\-]+$""))"),"")</f>
        <v/>
      </c>
    </row>
    <row r="1032" ht="15.75" customHeight="1">
      <c r="L1032" s="5" t="str">
        <f>IFERROR(__xludf.DUMMYFUNCTION("IFNA(REGEXEXTRACT(B1032,""[\-|–][^–|\-]+$""))"),"")</f>
        <v/>
      </c>
    </row>
    <row r="1033" ht="15.75" customHeight="1">
      <c r="L1033" s="5" t="str">
        <f>IFERROR(__xludf.DUMMYFUNCTION("IFNA(REGEXEXTRACT(B1033,""[\-|–][^–|\-]+$""))"),"")</f>
        <v/>
      </c>
    </row>
    <row r="1034" ht="15.75" customHeight="1">
      <c r="L1034" s="5" t="str">
        <f>IFERROR(__xludf.DUMMYFUNCTION("IFNA(REGEXEXTRACT(B1034,""[\-|–][^–|\-]+$""))"),"")</f>
        <v/>
      </c>
    </row>
    <row r="1035" ht="15.75" customHeight="1">
      <c r="L1035" s="5" t="str">
        <f>IFERROR(__xludf.DUMMYFUNCTION("IFNA(REGEXEXTRACT(B1035,""[\-|–][^–|\-]+$""))"),"")</f>
        <v/>
      </c>
    </row>
    <row r="1036" ht="15.75" customHeight="1">
      <c r="L1036" s="5" t="str">
        <f>IFERROR(__xludf.DUMMYFUNCTION("IFNA(REGEXEXTRACT(B1036,""[\-|–][^–|\-]+$""))"),"")</f>
        <v/>
      </c>
    </row>
    <row r="1037" ht="15.75" customHeight="1">
      <c r="L1037" s="5" t="str">
        <f>IFERROR(__xludf.DUMMYFUNCTION("IFNA(REGEXEXTRACT(B1037,""[\-|–][^–|\-]+$""))"),"")</f>
        <v/>
      </c>
    </row>
    <row r="1038" ht="15.75" customHeight="1">
      <c r="L1038" s="5" t="str">
        <f>IFERROR(__xludf.DUMMYFUNCTION("IFNA(REGEXEXTRACT(B1038,""[\-|–][^–|\-]+$""))"),"")</f>
        <v/>
      </c>
    </row>
    <row r="1039" ht="15.75" customHeight="1">
      <c r="L1039" s="5" t="str">
        <f>IFERROR(__xludf.DUMMYFUNCTION("IFNA(REGEXEXTRACT(B1039,""[\-|–][^–|\-]+$""))"),"")</f>
        <v/>
      </c>
    </row>
    <row r="1040" ht="15.75" customHeight="1">
      <c r="L1040" s="5" t="str">
        <f>IFERROR(__xludf.DUMMYFUNCTION("IFNA(REGEXEXTRACT(B1040,""[\-|–][^–|\-]+$""))"),"")</f>
        <v/>
      </c>
    </row>
    <row r="1041" ht="15.75" customHeight="1">
      <c r="L1041" s="5" t="str">
        <f>IFERROR(__xludf.DUMMYFUNCTION("IFNA(REGEXEXTRACT(B1041,""[\-|–][^–|\-]+$""))"),"")</f>
        <v/>
      </c>
    </row>
    <row r="1042" ht="15.75" customHeight="1">
      <c r="L1042" s="5" t="str">
        <f>IFERROR(__xludf.DUMMYFUNCTION("IFNA(REGEXEXTRACT(B1042,""[\-|–][^–|\-]+$""))"),"")</f>
        <v/>
      </c>
    </row>
    <row r="1043" ht="15.75" customHeight="1">
      <c r="L1043" s="5" t="str">
        <f>IFERROR(__xludf.DUMMYFUNCTION("IFNA(REGEXEXTRACT(B1043,""[\-|–][^–|\-]+$""))"),"")</f>
        <v/>
      </c>
    </row>
    <row r="1044" ht="15.75" customHeight="1">
      <c r="L1044" s="5" t="str">
        <f>IFERROR(__xludf.DUMMYFUNCTION("IFNA(REGEXEXTRACT(B1044,""[\-|–][^–|\-]+$""))"),"")</f>
        <v/>
      </c>
    </row>
    <row r="1045" ht="15.75" customHeight="1">
      <c r="L1045" s="5" t="str">
        <f>IFERROR(__xludf.DUMMYFUNCTION("IFNA(REGEXEXTRACT(B1045,""[\-|–][^–|\-]+$""))"),"")</f>
        <v/>
      </c>
    </row>
    <row r="1046" ht="15.75" customHeight="1">
      <c r="L1046" s="5" t="str">
        <f>IFERROR(__xludf.DUMMYFUNCTION("IFNA(REGEXEXTRACT(B1046,""[\-|–][^–|\-]+$""))"),"")</f>
        <v/>
      </c>
    </row>
    <row r="1047" ht="15.75" customHeight="1">
      <c r="L1047" s="5" t="str">
        <f>IFERROR(__xludf.DUMMYFUNCTION("IFNA(REGEXEXTRACT(B1047,""[\-|–][^–|\-]+$""))"),"")</f>
        <v/>
      </c>
    </row>
    <row r="1048" ht="15.75" customHeight="1">
      <c r="L1048" s="5" t="str">
        <f>IFERROR(__xludf.DUMMYFUNCTION("IFNA(REGEXEXTRACT(B1048,""[\-|–][^–|\-]+$""))"),"")</f>
        <v/>
      </c>
    </row>
    <row r="1049" ht="15.75" customHeight="1">
      <c r="L1049" s="5" t="str">
        <f>IFERROR(__xludf.DUMMYFUNCTION("IFNA(REGEXEXTRACT(B1049,""[\-|–][^–|\-]+$""))"),"")</f>
        <v/>
      </c>
    </row>
    <row r="1050" ht="15.75" customHeight="1">
      <c r="L1050" s="5" t="str">
        <f>IFERROR(__xludf.DUMMYFUNCTION("IFNA(REGEXEXTRACT(B1050,""[\-|–][^–|\-]+$""))"),"")</f>
        <v/>
      </c>
    </row>
    <row r="1051" ht="15.75" customHeight="1">
      <c r="L1051" s="5" t="str">
        <f>IFERROR(__xludf.DUMMYFUNCTION("IFNA(REGEXEXTRACT(B1051,""[\-|–][^–|\-]+$""))"),"")</f>
        <v/>
      </c>
    </row>
    <row r="1052" ht="15.75" customHeight="1">
      <c r="L1052" s="5" t="str">
        <f>IFERROR(__xludf.DUMMYFUNCTION("IFNA(REGEXEXTRACT(B1052,""[\-|–][^–|\-]+$""))"),"")</f>
        <v/>
      </c>
    </row>
    <row r="1053" ht="15.75" customHeight="1">
      <c r="L1053" s="5" t="str">
        <f>IFERROR(__xludf.DUMMYFUNCTION("IFNA(REGEXEXTRACT(B1053,""[\-|–][^–|\-]+$""))"),"")</f>
        <v/>
      </c>
    </row>
    <row r="1054" ht="15.75" customHeight="1">
      <c r="L1054" s="5" t="str">
        <f>IFERROR(__xludf.DUMMYFUNCTION("IFNA(REGEXEXTRACT(B1054,""[\-|–][^–|\-]+$""))"),"")</f>
        <v/>
      </c>
    </row>
    <row r="1055" ht="15.75" customHeight="1">
      <c r="L1055" s="5" t="str">
        <f>IFERROR(__xludf.DUMMYFUNCTION("IFNA(REGEXEXTRACT(B1055,""[\-|–][^–|\-]+$""))"),"")</f>
        <v/>
      </c>
    </row>
    <row r="1056" ht="15.75" customHeight="1">
      <c r="L1056" s="5" t="str">
        <f>IFERROR(__xludf.DUMMYFUNCTION("IFNA(REGEXEXTRACT(B1056,""[\-|–][^–|\-]+$""))"),"")</f>
        <v/>
      </c>
    </row>
    <row r="1057" ht="15.75" customHeight="1">
      <c r="L1057" s="5" t="str">
        <f>IFERROR(__xludf.DUMMYFUNCTION("IFNA(REGEXEXTRACT(B1057,""[\-|–][^–|\-]+$""))"),"")</f>
        <v/>
      </c>
    </row>
    <row r="1058" ht="15.75" customHeight="1">
      <c r="L1058" s="5" t="str">
        <f>IFERROR(__xludf.DUMMYFUNCTION("IFNA(REGEXEXTRACT(B1058,""[\-|–][^–|\-]+$""))"),"")</f>
        <v/>
      </c>
    </row>
    <row r="1059" ht="15.75" customHeight="1">
      <c r="L1059" s="5" t="str">
        <f>IFERROR(__xludf.DUMMYFUNCTION("IFNA(REGEXEXTRACT(B1059,""[\-|–][^–|\-]+$""))"),"")</f>
        <v/>
      </c>
    </row>
    <row r="1060" ht="15.75" customHeight="1">
      <c r="L1060" s="5" t="str">
        <f>IFERROR(__xludf.DUMMYFUNCTION("IFNA(REGEXEXTRACT(B1060,""[\-|–][^–|\-]+$""))"),"")</f>
        <v/>
      </c>
    </row>
    <row r="1061" ht="15.75" customHeight="1">
      <c r="L1061" s="5" t="str">
        <f>IFERROR(__xludf.DUMMYFUNCTION("IFNA(REGEXEXTRACT(B1061,""[\-|–][^–|\-]+$""))"),"")</f>
        <v/>
      </c>
    </row>
    <row r="1062" ht="15.75" customHeight="1">
      <c r="L1062" s="5" t="str">
        <f>IFERROR(__xludf.DUMMYFUNCTION("IFNA(REGEXEXTRACT(B1062,""[\-|–][^–|\-]+$""))"),"")</f>
        <v/>
      </c>
    </row>
    <row r="1063" ht="15.75" customHeight="1">
      <c r="L1063" s="5" t="str">
        <f>IFERROR(__xludf.DUMMYFUNCTION("IFNA(REGEXEXTRACT(B1063,""[\-|–][^–|\-]+$""))"),"")</f>
        <v/>
      </c>
    </row>
    <row r="1064" ht="15.75" customHeight="1">
      <c r="L1064" s="5" t="str">
        <f>IFERROR(__xludf.DUMMYFUNCTION("IFNA(REGEXEXTRACT(B1064,""[\-|–][^–|\-]+$""))"),"")</f>
        <v/>
      </c>
    </row>
    <row r="1065" ht="15.75" customHeight="1">
      <c r="L1065" s="5" t="str">
        <f>IFERROR(__xludf.DUMMYFUNCTION("IFNA(REGEXEXTRACT(B1065,""[\-|–][^–|\-]+$""))"),"")</f>
        <v/>
      </c>
    </row>
    <row r="1066" ht="15.75" customHeight="1">
      <c r="L1066" s="5" t="str">
        <f>IFERROR(__xludf.DUMMYFUNCTION("IFNA(REGEXEXTRACT(B1066,""[\-|–][^–|\-]+$""))"),"")</f>
        <v/>
      </c>
    </row>
    <row r="1067" ht="15.75" customHeight="1">
      <c r="L1067" s="5" t="str">
        <f>IFERROR(__xludf.DUMMYFUNCTION("IFNA(REGEXEXTRACT(B1067,""[\-|–][^–|\-]+$""))"),"")</f>
        <v/>
      </c>
    </row>
    <row r="1068" ht="15.75" customHeight="1">
      <c r="L1068" s="5" t="str">
        <f>IFERROR(__xludf.DUMMYFUNCTION("IFNA(REGEXEXTRACT(B1068,""[\-|–][^–|\-]+$""))"),"")</f>
        <v/>
      </c>
    </row>
    <row r="1069" ht="15.75" customHeight="1">
      <c r="L1069" s="5" t="str">
        <f>IFERROR(__xludf.DUMMYFUNCTION("IFNA(REGEXEXTRACT(B1069,""[\-|–][^–|\-]+$""))"),"")</f>
        <v/>
      </c>
    </row>
    <row r="1070" ht="15.75" customHeight="1">
      <c r="L1070" s="5" t="str">
        <f>IFERROR(__xludf.DUMMYFUNCTION("IFNA(REGEXEXTRACT(B1070,""[\-|–][^–|\-]+$""))"),"")</f>
        <v/>
      </c>
    </row>
    <row r="1071" ht="15.75" customHeight="1">
      <c r="L1071" s="5" t="str">
        <f>IFERROR(__xludf.DUMMYFUNCTION("IFNA(REGEXEXTRACT(B1071,""[\-|–][^–|\-]+$""))"),"")</f>
        <v/>
      </c>
    </row>
    <row r="1072" ht="15.75" customHeight="1">
      <c r="L1072" s="5" t="str">
        <f>IFERROR(__xludf.DUMMYFUNCTION("IFNA(REGEXEXTRACT(B1072,""[\-|–][^–|\-]+$""))"),"")</f>
        <v/>
      </c>
    </row>
    <row r="1073" ht="15.75" customHeight="1">
      <c r="L1073" s="5" t="str">
        <f>IFERROR(__xludf.DUMMYFUNCTION("IFNA(REGEXEXTRACT(B1073,""[\-|–][^–|\-]+$""))"),"")</f>
        <v/>
      </c>
    </row>
    <row r="1074" ht="15.75" customHeight="1">
      <c r="L1074" s="5" t="str">
        <f>IFERROR(__xludf.DUMMYFUNCTION("IFNA(REGEXEXTRACT(B1074,""[\-|–][^–|\-]+$""))"),"")</f>
        <v/>
      </c>
    </row>
    <row r="1075" ht="15.75" customHeight="1">
      <c r="L1075" s="5" t="str">
        <f>IFERROR(__xludf.DUMMYFUNCTION("IFNA(REGEXEXTRACT(B1075,""[\-|–][^–|\-]+$""))"),"")</f>
        <v/>
      </c>
    </row>
    <row r="1076" ht="15.75" customHeight="1">
      <c r="L1076" s="5" t="str">
        <f>IFERROR(__xludf.DUMMYFUNCTION("IFNA(REGEXEXTRACT(B1076,""[\-|–][^–|\-]+$""))"),"")</f>
        <v/>
      </c>
    </row>
    <row r="1077" ht="15.75" customHeight="1">
      <c r="L1077" s="5" t="str">
        <f>IFERROR(__xludf.DUMMYFUNCTION("IFNA(REGEXEXTRACT(B1077,""[\-|–][^–|\-]+$""))"),"")</f>
        <v/>
      </c>
    </row>
    <row r="1078" ht="15.75" customHeight="1">
      <c r="L1078" s="5" t="str">
        <f>IFERROR(__xludf.DUMMYFUNCTION("IFNA(REGEXEXTRACT(B1078,""[\-|–][^–|\-]+$""))"),"")</f>
        <v/>
      </c>
    </row>
    <row r="1079" ht="15.75" customHeight="1">
      <c r="L1079" s="5" t="str">
        <f>IFERROR(__xludf.DUMMYFUNCTION("IFNA(REGEXEXTRACT(B1079,""[\-|–][^–|\-]+$""))"),"")</f>
        <v/>
      </c>
    </row>
    <row r="1080" ht="15.75" customHeight="1">
      <c r="L1080" s="5" t="str">
        <f>IFERROR(__xludf.DUMMYFUNCTION("IFNA(REGEXEXTRACT(B1080,""[\-|–][^–|\-]+$""))"),"")</f>
        <v/>
      </c>
    </row>
    <row r="1081" ht="15.75" customHeight="1">
      <c r="L1081" s="5" t="str">
        <f>IFERROR(__xludf.DUMMYFUNCTION("IFNA(REGEXEXTRACT(B1081,""[\-|–][^–|\-]+$""))"),"")</f>
        <v/>
      </c>
    </row>
    <row r="1082" ht="15.75" customHeight="1">
      <c r="L1082" s="5" t="str">
        <f>IFERROR(__xludf.DUMMYFUNCTION("IFNA(REGEXEXTRACT(B1082,""[\-|–][^–|\-]+$""))"),"")</f>
        <v/>
      </c>
    </row>
    <row r="1083" ht="15.75" customHeight="1">
      <c r="L1083" s="5" t="str">
        <f>IFERROR(__xludf.DUMMYFUNCTION("IFNA(REGEXEXTRACT(B1083,""[\-|–][^–|\-]+$""))"),"")</f>
        <v/>
      </c>
    </row>
    <row r="1084" ht="15.75" customHeight="1">
      <c r="L1084" s="5" t="str">
        <f>IFERROR(__xludf.DUMMYFUNCTION("IFNA(REGEXEXTRACT(B1084,""[\-|–][^–|\-]+$""))"),"")</f>
        <v/>
      </c>
    </row>
    <row r="1085" ht="15.75" customHeight="1">
      <c r="L1085" s="5" t="str">
        <f>IFERROR(__xludf.DUMMYFUNCTION("IFNA(REGEXEXTRACT(B1085,""[\-|–][^–|\-]+$""))"),"")</f>
        <v/>
      </c>
    </row>
    <row r="1086" ht="15.75" customHeight="1">
      <c r="L1086" s="5" t="str">
        <f>IFERROR(__xludf.DUMMYFUNCTION("IFNA(REGEXEXTRACT(B1086,""[\-|–][^–|\-]+$""))"),"")</f>
        <v/>
      </c>
    </row>
    <row r="1087" ht="15.75" customHeight="1">
      <c r="L1087" s="5" t="str">
        <f>IFERROR(__xludf.DUMMYFUNCTION("IFNA(REGEXEXTRACT(B1087,""[\-|–][^–|\-]+$""))"),"")</f>
        <v/>
      </c>
    </row>
    <row r="1088" ht="15.75" customHeight="1">
      <c r="L1088" s="5" t="str">
        <f>IFERROR(__xludf.DUMMYFUNCTION("IFNA(REGEXEXTRACT(B1088,""[\-|–][^–|\-]+$""))"),"")</f>
        <v/>
      </c>
    </row>
    <row r="1089" ht="15.75" customHeight="1">
      <c r="L1089" s="5" t="str">
        <f>IFERROR(__xludf.DUMMYFUNCTION("IFNA(REGEXEXTRACT(B1089,""[\-|–][^–|\-]+$""))"),"")</f>
        <v/>
      </c>
    </row>
    <row r="1090" ht="15.75" customHeight="1">
      <c r="L1090" s="5" t="str">
        <f>IFERROR(__xludf.DUMMYFUNCTION("IFNA(REGEXEXTRACT(B1090,""[\-|–][^–|\-]+$""))"),"")</f>
        <v/>
      </c>
    </row>
    <row r="1091" ht="15.75" customHeight="1">
      <c r="L1091" s="5" t="str">
        <f>IFERROR(__xludf.DUMMYFUNCTION("IFNA(REGEXEXTRACT(B1091,""[\-|–][^–|\-]+$""))"),"")</f>
        <v/>
      </c>
    </row>
    <row r="1092" ht="15.75" customHeight="1">
      <c r="L1092" s="5" t="str">
        <f>IFERROR(__xludf.DUMMYFUNCTION("IFNA(REGEXEXTRACT(B1092,""[\-|–][^–|\-]+$""))"),"")</f>
        <v/>
      </c>
    </row>
    <row r="1093" ht="15.75" customHeight="1">
      <c r="L1093" s="5" t="str">
        <f>IFERROR(__xludf.DUMMYFUNCTION("IFNA(REGEXEXTRACT(B1093,""[\-|–][^–|\-]+$""))"),"")</f>
        <v/>
      </c>
    </row>
    <row r="1094" ht="15.75" customHeight="1">
      <c r="L1094" s="5" t="str">
        <f>IFERROR(__xludf.DUMMYFUNCTION("IFNA(REGEXEXTRACT(B1094,""[\-|–][^–|\-]+$""))"),"")</f>
        <v/>
      </c>
    </row>
    <row r="1095" ht="15.75" customHeight="1">
      <c r="L1095" s="5" t="str">
        <f>IFERROR(__xludf.DUMMYFUNCTION("IFNA(REGEXEXTRACT(B1095,""[\-|–][^–|\-]+$""))"),"")</f>
        <v/>
      </c>
    </row>
    <row r="1096" ht="15.75" customHeight="1">
      <c r="L1096" s="5" t="str">
        <f>IFERROR(__xludf.DUMMYFUNCTION("IFNA(REGEXEXTRACT(B1096,""[\-|–][^–|\-]+$""))"),"")</f>
        <v/>
      </c>
    </row>
    <row r="1097" ht="15.75" customHeight="1">
      <c r="L1097" s="5" t="str">
        <f>IFERROR(__xludf.DUMMYFUNCTION("IFNA(REGEXEXTRACT(B1097,""[\-|–][^–|\-]+$""))"),"")</f>
        <v/>
      </c>
    </row>
    <row r="1098" ht="15.75" customHeight="1">
      <c r="L1098" s="5" t="str">
        <f>IFERROR(__xludf.DUMMYFUNCTION("IFNA(REGEXEXTRACT(B1098,""[\-|–][^–|\-]+$""))"),"")</f>
        <v/>
      </c>
    </row>
    <row r="1099" ht="15.75" customHeight="1">
      <c r="L1099" s="5" t="str">
        <f>IFERROR(__xludf.DUMMYFUNCTION("IFNA(REGEXEXTRACT(B1099,""[\-|–][^–|\-]+$""))"),"")</f>
        <v/>
      </c>
    </row>
    <row r="1100" ht="15.75" customHeight="1">
      <c r="L1100" s="5" t="str">
        <f>IFERROR(__xludf.DUMMYFUNCTION("IFNA(REGEXEXTRACT(B1100,""[\-|–][^–|\-]+$""))"),"")</f>
        <v/>
      </c>
    </row>
    <row r="1101" ht="15.75" customHeight="1">
      <c r="L1101" s="5" t="str">
        <f>IFERROR(__xludf.DUMMYFUNCTION("IFNA(REGEXEXTRACT(B1101,""[\-|–][^–|\-]+$""))"),"")</f>
        <v/>
      </c>
    </row>
    <row r="1102" ht="15.75" customHeight="1">
      <c r="L1102" s="5" t="str">
        <f>IFERROR(__xludf.DUMMYFUNCTION("IFNA(REGEXEXTRACT(B1102,""[\-|–][^–|\-]+$""))"),"")</f>
        <v/>
      </c>
    </row>
    <row r="1103" ht="15.75" customHeight="1">
      <c r="L1103" s="5" t="str">
        <f>IFERROR(__xludf.DUMMYFUNCTION("IFNA(REGEXEXTRACT(B1103,""[\-|–][^–|\-]+$""))"),"")</f>
        <v/>
      </c>
    </row>
    <row r="1104" ht="15.75" customHeight="1">
      <c r="L1104" s="5" t="str">
        <f>IFERROR(__xludf.DUMMYFUNCTION("IFNA(REGEXEXTRACT(B1104,""[\-|–][^–|\-]+$""))"),"")</f>
        <v/>
      </c>
    </row>
    <row r="1105" ht="15.75" customHeight="1">
      <c r="L1105" s="5" t="str">
        <f>IFERROR(__xludf.DUMMYFUNCTION("IFNA(REGEXEXTRACT(B1105,""[\-|–][^–|\-]+$""))"),"")</f>
        <v/>
      </c>
    </row>
    <row r="1106" ht="15.75" customHeight="1">
      <c r="L1106" s="5" t="str">
        <f>IFERROR(__xludf.DUMMYFUNCTION("IFNA(REGEXEXTRACT(B1106,""[\-|–][^–|\-]+$""))"),"")</f>
        <v/>
      </c>
    </row>
    <row r="1107" ht="15.75" customHeight="1">
      <c r="L1107" s="5" t="str">
        <f>IFERROR(__xludf.DUMMYFUNCTION("IFNA(REGEXEXTRACT(B1107,""[\-|–][^–|\-]+$""))"),"")</f>
        <v/>
      </c>
    </row>
  </sheetData>
  <autoFilter ref="$A$1:$V$1107">
    <filterColumn colId="8">
      <filters blank="1">
        <filter val="TRU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4" t="b">
        <v>0</v>
      </c>
    </row>
    <row r="2">
      <c r="A2" s="4" t="b">
        <v>0</v>
      </c>
    </row>
    <row r="3">
      <c r="A3" s="4" t="b">
        <v>0</v>
      </c>
    </row>
    <row r="4">
      <c r="A4" s="4" t="b">
        <v>0</v>
      </c>
    </row>
    <row r="5">
      <c r="A5" s="4" t="b">
        <v>0</v>
      </c>
    </row>
    <row r="6">
      <c r="A6" s="4" t="b">
        <v>0</v>
      </c>
    </row>
    <row r="7">
      <c r="A7" s="4" t="b">
        <v>0</v>
      </c>
    </row>
    <row r="8">
      <c r="A8" s="4" t="b">
        <v>0</v>
      </c>
    </row>
    <row r="9">
      <c r="A9" s="4" t="b">
        <v>0</v>
      </c>
    </row>
    <row r="10">
      <c r="A10" s="4" t="b">
        <v>0</v>
      </c>
    </row>
    <row r="11">
      <c r="A11" s="4" t="b">
        <v>0</v>
      </c>
    </row>
    <row r="12">
      <c r="A12" s="4" t="b">
        <v>0</v>
      </c>
    </row>
    <row r="13">
      <c r="A13" s="4" t="b">
        <v>0</v>
      </c>
    </row>
    <row r="14">
      <c r="A14" s="4" t="b">
        <v>0</v>
      </c>
    </row>
    <row r="15">
      <c r="A15" s="4" t="b">
        <v>0</v>
      </c>
    </row>
    <row r="16">
      <c r="A16" s="4" t="b">
        <v>0</v>
      </c>
    </row>
    <row r="17">
      <c r="A17" s="4" t="b">
        <v>0</v>
      </c>
    </row>
    <row r="18">
      <c r="A18" s="4" t="b">
        <v>0</v>
      </c>
    </row>
    <row r="19">
      <c r="A19" s="4" t="b">
        <v>0</v>
      </c>
    </row>
    <row r="20">
      <c r="A20" s="4" t="b">
        <v>0</v>
      </c>
    </row>
    <row r="21" ht="15.75" customHeight="1">
      <c r="A21" s="4" t="b">
        <v>0</v>
      </c>
    </row>
    <row r="22" ht="15.75" customHeight="1">
      <c r="A22" s="4" t="b">
        <v>0</v>
      </c>
    </row>
    <row r="23" ht="15.75" customHeight="1">
      <c r="A23" s="4" t="b">
        <v>0</v>
      </c>
    </row>
    <row r="24" ht="15.75" customHeight="1">
      <c r="A24" s="4" t="b">
        <v>0</v>
      </c>
    </row>
    <row r="25" ht="15.75" customHeight="1">
      <c r="A25" s="4" t="b">
        <v>0</v>
      </c>
    </row>
    <row r="26" ht="15.75" customHeight="1">
      <c r="A26" s="4" t="b">
        <v>0</v>
      </c>
    </row>
    <row r="27" ht="15.75" customHeight="1">
      <c r="A27" s="4" t="b">
        <v>0</v>
      </c>
    </row>
    <row r="28" ht="15.75" customHeight="1">
      <c r="A28" s="4" t="b">
        <v>0</v>
      </c>
    </row>
    <row r="29" ht="15.75" customHeight="1">
      <c r="A29" s="4" t="b">
        <v>0</v>
      </c>
    </row>
    <row r="30" ht="15.75" customHeight="1">
      <c r="A30" s="4" t="b">
        <v>0</v>
      </c>
    </row>
    <row r="31" ht="15.75" customHeight="1">
      <c r="A31" s="4" t="b">
        <v>0</v>
      </c>
    </row>
    <row r="32" ht="15.75" customHeight="1">
      <c r="A32" s="4" t="b">
        <v>0</v>
      </c>
    </row>
    <row r="33" ht="15.75" customHeight="1">
      <c r="A33" s="4" t="b">
        <v>0</v>
      </c>
    </row>
    <row r="34" ht="15.75" customHeight="1">
      <c r="A34" s="4" t="b">
        <v>0</v>
      </c>
    </row>
    <row r="35" ht="15.75" customHeight="1">
      <c r="A35" s="4" t="b">
        <v>0</v>
      </c>
    </row>
    <row r="36" ht="15.75" customHeight="1">
      <c r="A36" s="4" t="b">
        <v>0</v>
      </c>
    </row>
    <row r="37" ht="15.75" customHeight="1">
      <c r="A37" s="4" t="b">
        <v>0</v>
      </c>
    </row>
    <row r="38" ht="15.75" customHeight="1">
      <c r="A38" s="4" t="b">
        <v>0</v>
      </c>
    </row>
    <row r="39" ht="15.75" customHeight="1">
      <c r="A39" s="4" t="b">
        <v>0</v>
      </c>
    </row>
    <row r="40" ht="15.75" customHeight="1">
      <c r="A40" s="4" t="b">
        <v>0</v>
      </c>
    </row>
    <row r="41" ht="15.75" customHeight="1">
      <c r="A41" s="4" t="b">
        <v>0</v>
      </c>
    </row>
    <row r="42" ht="15.75" customHeight="1">
      <c r="A42" s="4" t="b">
        <v>0</v>
      </c>
    </row>
    <row r="43" ht="15.75" customHeight="1">
      <c r="A43" s="4" t="b">
        <v>0</v>
      </c>
    </row>
    <row r="44" ht="15.75" customHeight="1">
      <c r="A44" s="4" t="b">
        <v>0</v>
      </c>
    </row>
    <row r="45" ht="15.75" customHeight="1">
      <c r="A45" s="4" t="b">
        <v>0</v>
      </c>
    </row>
    <row r="46" ht="15.75" customHeight="1">
      <c r="A46" s="4" t="b">
        <v>0</v>
      </c>
    </row>
    <row r="47" ht="15.75" customHeight="1">
      <c r="A47" s="4" t="b">
        <v>0</v>
      </c>
    </row>
    <row r="48" ht="15.75" customHeight="1">
      <c r="A48" s="4" t="b">
        <v>0</v>
      </c>
    </row>
    <row r="49" ht="15.75" customHeight="1">
      <c r="A49" s="4" t="b">
        <v>0</v>
      </c>
    </row>
    <row r="50" ht="15.75" customHeight="1">
      <c r="A50" s="4" t="b">
        <v>0</v>
      </c>
    </row>
    <row r="51" ht="15.75" customHeight="1">
      <c r="A51" s="4" t="b">
        <v>0</v>
      </c>
    </row>
    <row r="52" ht="15.75" customHeight="1">
      <c r="A52" s="4" t="b">
        <v>0</v>
      </c>
    </row>
    <row r="53" ht="15.75" customHeight="1">
      <c r="A53" s="4" t="b">
        <v>0</v>
      </c>
    </row>
    <row r="54" ht="15.75" customHeight="1">
      <c r="A54" s="4" t="b">
        <v>0</v>
      </c>
    </row>
    <row r="55" ht="15.75" customHeight="1">
      <c r="A55" s="4" t="b">
        <v>0</v>
      </c>
    </row>
    <row r="56" ht="15.75" customHeight="1">
      <c r="A56" s="4" t="b">
        <v>0</v>
      </c>
    </row>
    <row r="57" ht="15.75" customHeight="1">
      <c r="A57" s="4" t="b">
        <v>0</v>
      </c>
    </row>
    <row r="58" ht="15.75" customHeight="1">
      <c r="A58" s="4" t="b">
        <v>0</v>
      </c>
    </row>
    <row r="59" ht="15.75" customHeight="1">
      <c r="A59" s="4" t="b">
        <v>0</v>
      </c>
    </row>
    <row r="60" ht="15.75" customHeight="1">
      <c r="A60" s="4" t="b">
        <v>0</v>
      </c>
    </row>
    <row r="61" ht="15.75" customHeight="1">
      <c r="A61" s="4" t="b">
        <v>0</v>
      </c>
    </row>
    <row r="62" ht="15.75" customHeight="1">
      <c r="A62" s="4" t="b">
        <v>0</v>
      </c>
    </row>
    <row r="63" ht="15.75" customHeight="1">
      <c r="A63" s="4" t="b">
        <v>0</v>
      </c>
    </row>
    <row r="64" ht="15.75" customHeight="1">
      <c r="A64" s="4" t="b">
        <v>0</v>
      </c>
    </row>
    <row r="65" ht="15.75" customHeight="1">
      <c r="A65" s="4" t="b">
        <v>0</v>
      </c>
    </row>
    <row r="66" ht="15.75" customHeight="1">
      <c r="A66" s="4" t="b">
        <v>0</v>
      </c>
    </row>
    <row r="67" ht="15.75" customHeight="1">
      <c r="A67" s="4" t="b">
        <v>0</v>
      </c>
    </row>
    <row r="68" ht="15.75" customHeight="1">
      <c r="A68" s="4" t="b">
        <v>0</v>
      </c>
    </row>
    <row r="69" ht="15.75" customHeight="1">
      <c r="A69" s="4" t="b">
        <v>0</v>
      </c>
    </row>
    <row r="70" ht="15.75" customHeight="1">
      <c r="A70" s="4" t="b">
        <v>0</v>
      </c>
    </row>
    <row r="71" ht="15.75" customHeight="1">
      <c r="A71" s="4" t="b">
        <v>0</v>
      </c>
    </row>
    <row r="72" ht="15.75" customHeight="1">
      <c r="A72" s="4" t="b">
        <v>0</v>
      </c>
    </row>
    <row r="73" ht="15.75" customHeight="1">
      <c r="A73" s="4" t="b">
        <v>0</v>
      </c>
    </row>
    <row r="74" ht="15.75" customHeight="1">
      <c r="A74" s="4" t="b">
        <v>0</v>
      </c>
    </row>
    <row r="75" ht="15.75" customHeight="1">
      <c r="A75" s="4" t="b">
        <v>0</v>
      </c>
    </row>
    <row r="76" ht="15.75" customHeight="1">
      <c r="A76" s="4" t="b">
        <v>0</v>
      </c>
    </row>
    <row r="77" ht="15.75" customHeight="1">
      <c r="A77" s="4" t="b">
        <v>0</v>
      </c>
    </row>
    <row r="78" ht="15.75" customHeight="1">
      <c r="A78" s="4" t="b">
        <v>0</v>
      </c>
    </row>
    <row r="79" ht="15.75" customHeight="1">
      <c r="A79" s="4" t="b">
        <v>0</v>
      </c>
    </row>
    <row r="80" ht="15.75" customHeight="1">
      <c r="A80" s="4" t="b">
        <v>0</v>
      </c>
    </row>
    <row r="81" ht="15.75" customHeight="1">
      <c r="A81" s="4" t="b">
        <v>0</v>
      </c>
    </row>
    <row r="82" ht="15.75" customHeight="1">
      <c r="A82" s="4" t="b">
        <v>0</v>
      </c>
    </row>
    <row r="83" ht="15.75" customHeight="1">
      <c r="A83" s="4" t="b">
        <v>0</v>
      </c>
    </row>
    <row r="84" ht="15.75" customHeight="1">
      <c r="A84" s="4" t="b">
        <v>0</v>
      </c>
    </row>
    <row r="85" ht="15.75" customHeight="1">
      <c r="A85" s="4" t="b">
        <v>0</v>
      </c>
    </row>
    <row r="86" ht="15.75" customHeight="1">
      <c r="A86" s="4" t="b">
        <v>0</v>
      </c>
    </row>
    <row r="87" ht="15.75" customHeight="1">
      <c r="A87" s="4" t="b">
        <v>0</v>
      </c>
    </row>
    <row r="88" ht="15.75" customHeight="1">
      <c r="A88" s="4" t="b">
        <v>0</v>
      </c>
    </row>
    <row r="89" ht="15.75" customHeight="1">
      <c r="A89" s="4" t="b">
        <v>0</v>
      </c>
    </row>
    <row r="90" ht="15.75" customHeight="1">
      <c r="A90" s="4" t="b">
        <v>0</v>
      </c>
    </row>
    <row r="91" ht="15.75" customHeight="1">
      <c r="A91" s="4" t="b">
        <v>0</v>
      </c>
    </row>
    <row r="92" ht="15.75" customHeight="1">
      <c r="A92" s="4" t="b">
        <v>0</v>
      </c>
    </row>
    <row r="93" ht="15.75" customHeight="1">
      <c r="A93" s="4" t="b">
        <v>0</v>
      </c>
    </row>
    <row r="94" ht="15.75" customHeight="1">
      <c r="A94" s="4" t="b">
        <v>0</v>
      </c>
    </row>
    <row r="95" ht="15.75" customHeight="1">
      <c r="A95" s="4" t="b">
        <v>0</v>
      </c>
    </row>
    <row r="96" ht="15.75" customHeight="1">
      <c r="A96" s="4" t="b">
        <v>0</v>
      </c>
    </row>
    <row r="97" ht="15.75" customHeight="1">
      <c r="A97" s="4" t="b">
        <v>0</v>
      </c>
    </row>
    <row r="98" ht="15.75" customHeight="1">
      <c r="A98" s="4" t="b">
        <v>0</v>
      </c>
    </row>
    <row r="99" ht="15.75" customHeight="1">
      <c r="A99" s="4" t="b">
        <v>0</v>
      </c>
    </row>
    <row r="100" ht="15.75" customHeight="1">
      <c r="A100" s="4" t="b">
        <v>0</v>
      </c>
    </row>
    <row r="101" ht="15.75" customHeight="1">
      <c r="A101" s="4" t="b">
        <v>0</v>
      </c>
    </row>
    <row r="102" ht="15.75" customHeight="1">
      <c r="A102" s="4" t="b">
        <v>0</v>
      </c>
    </row>
    <row r="103" ht="15.75" customHeight="1">
      <c r="A103" s="4" t="b">
        <v>0</v>
      </c>
    </row>
    <row r="104" ht="15.75" customHeight="1">
      <c r="A104" s="4" t="b">
        <v>0</v>
      </c>
    </row>
    <row r="105" ht="15.75" customHeight="1">
      <c r="A105" s="4" t="b">
        <v>0</v>
      </c>
    </row>
    <row r="106" ht="15.75" customHeight="1">
      <c r="A106" s="4" t="b">
        <v>0</v>
      </c>
    </row>
    <row r="107" ht="15.75" customHeight="1">
      <c r="A107" s="4" t="b">
        <v>0</v>
      </c>
    </row>
    <row r="108" ht="15.75" customHeight="1">
      <c r="A108" s="4" t="b">
        <v>0</v>
      </c>
    </row>
    <row r="109" ht="15.75" customHeight="1">
      <c r="A109" s="4" t="b">
        <v>0</v>
      </c>
    </row>
    <row r="110" ht="15.75" customHeight="1">
      <c r="A110" s="4" t="b">
        <v>0</v>
      </c>
    </row>
    <row r="111" ht="15.75" customHeight="1">
      <c r="A111" s="4" t="b">
        <v>0</v>
      </c>
    </row>
    <row r="112" ht="15.75" customHeight="1">
      <c r="A112" s="4" t="b">
        <v>0</v>
      </c>
    </row>
    <row r="113" ht="15.75" customHeight="1">
      <c r="A113" s="4" t="b">
        <v>0</v>
      </c>
    </row>
    <row r="114" ht="15.75" customHeight="1">
      <c r="A114" s="4" t="b">
        <v>0</v>
      </c>
    </row>
    <row r="115" ht="15.75" customHeight="1">
      <c r="A115" s="4" t="b">
        <v>0</v>
      </c>
    </row>
    <row r="116" ht="15.75" customHeight="1">
      <c r="A116" s="4" t="b">
        <v>0</v>
      </c>
    </row>
    <row r="117" ht="15.75" customHeight="1">
      <c r="A117" s="4" t="b">
        <v>0</v>
      </c>
    </row>
    <row r="118" ht="15.75" customHeight="1">
      <c r="A118" s="4" t="b">
        <v>0</v>
      </c>
    </row>
    <row r="119" ht="15.75" customHeight="1">
      <c r="A119" s="4" t="b">
        <v>0</v>
      </c>
    </row>
    <row r="120" ht="15.75" customHeight="1">
      <c r="A120" s="4" t="b">
        <v>0</v>
      </c>
    </row>
    <row r="121" ht="15.75" customHeight="1">
      <c r="A121" s="4" t="b">
        <v>0</v>
      </c>
    </row>
    <row r="122" ht="15.75" customHeight="1">
      <c r="A122" s="4" t="b">
        <v>0</v>
      </c>
    </row>
    <row r="123" ht="15.75" customHeight="1">
      <c r="A123" s="4" t="b">
        <v>0</v>
      </c>
    </row>
    <row r="124" ht="15.75" customHeight="1">
      <c r="A124" s="4" t="b">
        <v>0</v>
      </c>
    </row>
    <row r="125" ht="15.75" customHeight="1">
      <c r="A125" s="4" t="b">
        <v>0</v>
      </c>
    </row>
    <row r="126" ht="15.75" customHeight="1">
      <c r="A126" s="4" t="b">
        <v>0</v>
      </c>
    </row>
    <row r="127" ht="15.75" customHeight="1">
      <c r="A127" s="4" t="b">
        <v>0</v>
      </c>
    </row>
    <row r="128" ht="15.75" customHeight="1">
      <c r="A128" s="4" t="b">
        <v>0</v>
      </c>
    </row>
    <row r="129" ht="15.75" customHeight="1">
      <c r="A129" s="4" t="b">
        <v>0</v>
      </c>
    </row>
    <row r="130" ht="15.75" customHeight="1">
      <c r="A130" s="4" t="b">
        <v>0</v>
      </c>
    </row>
    <row r="131" ht="15.75" customHeight="1">
      <c r="A131" s="4" t="b">
        <v>0</v>
      </c>
    </row>
    <row r="132" ht="15.75" customHeight="1">
      <c r="A132" s="4" t="b">
        <v>0</v>
      </c>
    </row>
    <row r="133" ht="15.75" customHeight="1">
      <c r="A133" s="4" t="b">
        <v>0</v>
      </c>
    </row>
    <row r="134" ht="15.75" customHeight="1">
      <c r="A134" s="4" t="b">
        <v>0</v>
      </c>
    </row>
    <row r="135" ht="15.75" customHeight="1">
      <c r="A135" s="4" t="b">
        <v>0</v>
      </c>
    </row>
    <row r="136" ht="15.75" customHeight="1">
      <c r="A136" s="4" t="b">
        <v>0</v>
      </c>
    </row>
    <row r="137" ht="15.75" customHeight="1">
      <c r="A137" s="4" t="b">
        <v>0</v>
      </c>
    </row>
    <row r="138" ht="15.75" customHeight="1">
      <c r="A138" s="4" t="b">
        <v>0</v>
      </c>
    </row>
    <row r="139" ht="15.75" customHeight="1">
      <c r="A139" s="4" t="b">
        <v>0</v>
      </c>
    </row>
    <row r="140" ht="15.75" customHeight="1">
      <c r="A140" s="4" t="b">
        <v>0</v>
      </c>
    </row>
    <row r="141" ht="15.75" customHeight="1">
      <c r="A141" s="4" t="b">
        <v>0</v>
      </c>
    </row>
    <row r="142" ht="15.75" customHeight="1">
      <c r="A142" s="4" t="b">
        <v>0</v>
      </c>
    </row>
    <row r="143" ht="15.75" customHeight="1">
      <c r="A143" s="4" t="b">
        <v>0</v>
      </c>
    </row>
    <row r="144" ht="15.75" customHeight="1">
      <c r="A144" s="4" t="b">
        <v>0</v>
      </c>
    </row>
    <row r="145" ht="15.75" customHeight="1">
      <c r="A145" s="4" t="b">
        <v>0</v>
      </c>
    </row>
    <row r="146" ht="15.75" customHeight="1">
      <c r="A146" s="4" t="b">
        <v>0</v>
      </c>
    </row>
    <row r="147" ht="15.75" customHeight="1">
      <c r="A147" s="4" t="b">
        <v>0</v>
      </c>
    </row>
    <row r="148" ht="15.75" customHeight="1">
      <c r="A148" s="4" t="b">
        <v>0</v>
      </c>
    </row>
    <row r="149" ht="15.75" customHeight="1">
      <c r="A149" s="4" t="b">
        <v>0</v>
      </c>
    </row>
    <row r="150" ht="15.75" customHeight="1">
      <c r="A150" s="4" t="b">
        <v>0</v>
      </c>
    </row>
    <row r="151" ht="15.75" customHeight="1">
      <c r="A151" s="4" t="b">
        <v>0</v>
      </c>
    </row>
    <row r="152" ht="15.75" customHeight="1">
      <c r="A152" s="4" t="b">
        <v>0</v>
      </c>
    </row>
    <row r="153" ht="15.75" customHeight="1">
      <c r="A153" s="4" t="b">
        <v>0</v>
      </c>
    </row>
    <row r="154" ht="15.75" customHeight="1">
      <c r="A154" s="4" t="b">
        <v>0</v>
      </c>
    </row>
    <row r="155" ht="15.75" customHeight="1">
      <c r="A155" s="4" t="b">
        <v>0</v>
      </c>
    </row>
    <row r="156" ht="15.75" customHeight="1">
      <c r="A156" s="4" t="b">
        <v>0</v>
      </c>
    </row>
    <row r="157" ht="15.75" customHeight="1">
      <c r="A157" s="4" t="b">
        <v>0</v>
      </c>
    </row>
    <row r="158" ht="15.75" customHeight="1">
      <c r="A158" s="4" t="b">
        <v>0</v>
      </c>
    </row>
    <row r="159" ht="15.75" customHeight="1">
      <c r="A159" s="4" t="b">
        <v>0</v>
      </c>
    </row>
    <row r="160" ht="15.75" customHeight="1">
      <c r="A160" s="4" t="b">
        <v>0</v>
      </c>
    </row>
    <row r="161" ht="15.75" customHeight="1">
      <c r="A161" s="4" t="b">
        <v>0</v>
      </c>
    </row>
    <row r="162" ht="15.75" customHeight="1">
      <c r="A162" s="4" t="b">
        <v>0</v>
      </c>
    </row>
    <row r="163" ht="15.75" customHeight="1">
      <c r="A163" s="4" t="b">
        <v>0</v>
      </c>
    </row>
    <row r="164" ht="15.75" customHeight="1">
      <c r="A164" s="4" t="b">
        <v>0</v>
      </c>
    </row>
    <row r="165" ht="15.75" customHeight="1">
      <c r="A165" s="4" t="b">
        <v>0</v>
      </c>
    </row>
    <row r="166" ht="15.75" customHeight="1">
      <c r="A166" s="4" t="b">
        <v>0</v>
      </c>
    </row>
    <row r="167" ht="15.75" customHeight="1">
      <c r="A167" s="4" t="b">
        <v>0</v>
      </c>
    </row>
    <row r="168" ht="15.75" customHeight="1">
      <c r="A168" s="4" t="b">
        <v>0</v>
      </c>
    </row>
    <row r="169" ht="15.75" customHeight="1">
      <c r="A169" s="4" t="b">
        <v>0</v>
      </c>
    </row>
    <row r="170" ht="15.75" customHeight="1">
      <c r="A170" s="4" t="b">
        <v>0</v>
      </c>
    </row>
    <row r="171" ht="15.75" customHeight="1">
      <c r="A171" s="4" t="b">
        <v>0</v>
      </c>
    </row>
    <row r="172" ht="15.75" customHeight="1">
      <c r="A172" s="4" t="b">
        <v>0</v>
      </c>
    </row>
    <row r="173" ht="15.75" customHeight="1">
      <c r="A173" s="4" t="b">
        <v>0</v>
      </c>
    </row>
    <row r="174" ht="15.75" customHeight="1">
      <c r="A174" s="4" t="b">
        <v>0</v>
      </c>
    </row>
    <row r="175" ht="15.75" customHeight="1">
      <c r="A175" s="4" t="b">
        <v>0</v>
      </c>
    </row>
    <row r="176" ht="15.75" customHeight="1">
      <c r="A176" s="4" t="b">
        <v>0</v>
      </c>
    </row>
    <row r="177" ht="15.75" customHeight="1">
      <c r="A177" s="4" t="b">
        <v>0</v>
      </c>
    </row>
    <row r="178" ht="15.75" customHeight="1">
      <c r="A178" s="4" t="b">
        <v>0</v>
      </c>
    </row>
    <row r="179" ht="15.75" customHeight="1">
      <c r="A179" s="4" t="b">
        <v>0</v>
      </c>
    </row>
    <row r="180" ht="15.75" customHeight="1">
      <c r="A180" s="4" t="b">
        <v>0</v>
      </c>
    </row>
    <row r="181" ht="15.75" customHeight="1">
      <c r="A181" s="4" t="b">
        <v>0</v>
      </c>
    </row>
    <row r="182" ht="15.75" customHeight="1">
      <c r="A182" s="4" t="b">
        <v>0</v>
      </c>
    </row>
    <row r="183" ht="15.75" customHeight="1">
      <c r="A183" s="4" t="b">
        <v>0</v>
      </c>
    </row>
    <row r="184" ht="15.75" customHeight="1">
      <c r="A184" s="4" t="b">
        <v>0</v>
      </c>
    </row>
    <row r="185" ht="15.75" customHeight="1">
      <c r="A185" s="4" t="b">
        <v>0</v>
      </c>
    </row>
    <row r="186" ht="15.75" customHeight="1">
      <c r="A186" s="4" t="b">
        <v>0</v>
      </c>
    </row>
    <row r="187" ht="15.75" customHeight="1">
      <c r="A187" s="4" t="b">
        <v>0</v>
      </c>
    </row>
    <row r="188" ht="15.75" customHeight="1">
      <c r="A188" s="4" t="b">
        <v>0</v>
      </c>
    </row>
    <row r="189" ht="15.75" customHeight="1">
      <c r="A189" s="4" t="b">
        <v>0</v>
      </c>
    </row>
    <row r="190" ht="15.75" customHeight="1">
      <c r="A190" s="4" t="b">
        <v>0</v>
      </c>
    </row>
    <row r="191" ht="15.75" customHeight="1">
      <c r="A191" s="4" t="b">
        <v>0</v>
      </c>
    </row>
    <row r="192" ht="15.75" customHeight="1">
      <c r="A192" s="4" t="b">
        <v>0</v>
      </c>
    </row>
    <row r="193" ht="15.75" customHeight="1">
      <c r="A193" s="4" t="b">
        <v>0</v>
      </c>
    </row>
    <row r="194" ht="15.75" customHeight="1">
      <c r="A194" s="4" t="b">
        <v>0</v>
      </c>
    </row>
    <row r="195" ht="15.75" customHeight="1">
      <c r="A195" s="4" t="b">
        <v>0</v>
      </c>
    </row>
    <row r="196" ht="15.75" customHeight="1">
      <c r="A196" s="4" t="b">
        <v>0</v>
      </c>
    </row>
    <row r="197" ht="15.75" customHeight="1">
      <c r="A197" s="4" t="b">
        <v>0</v>
      </c>
    </row>
    <row r="198" ht="15.75" customHeight="1">
      <c r="A198" s="4" t="b">
        <v>0</v>
      </c>
    </row>
    <row r="199" ht="15.75" customHeight="1">
      <c r="A199" s="4" t="b">
        <v>0</v>
      </c>
    </row>
    <row r="200" ht="15.75" customHeight="1">
      <c r="A200" s="4" t="b">
        <v>0</v>
      </c>
    </row>
    <row r="201" ht="15.75" customHeight="1">
      <c r="A201" s="4" t="b">
        <v>0</v>
      </c>
    </row>
    <row r="202" ht="15.75" customHeight="1">
      <c r="A202" s="4" t="b">
        <v>0</v>
      </c>
    </row>
    <row r="203" ht="15.75" customHeight="1">
      <c r="A203" s="4" t="b">
        <v>0</v>
      </c>
    </row>
    <row r="204" ht="15.75" customHeight="1">
      <c r="A204" s="4" t="b">
        <v>0</v>
      </c>
    </row>
    <row r="205" ht="15.75" customHeight="1">
      <c r="A205" s="4" t="b">
        <v>0</v>
      </c>
    </row>
    <row r="206" ht="15.75" customHeight="1">
      <c r="A206" s="4" t="b">
        <v>0</v>
      </c>
    </row>
    <row r="207" ht="15.75" customHeight="1">
      <c r="A207" s="4" t="b">
        <v>0</v>
      </c>
    </row>
    <row r="208" ht="15.75" customHeight="1">
      <c r="A208" s="4" t="b">
        <v>0</v>
      </c>
    </row>
    <row r="209" ht="15.75" customHeight="1">
      <c r="A209" s="4" t="b">
        <v>0</v>
      </c>
    </row>
    <row r="210" ht="15.75" customHeight="1">
      <c r="A210" s="4" t="b">
        <v>0</v>
      </c>
    </row>
    <row r="211" ht="15.75" customHeight="1">
      <c r="A211" s="4" t="b">
        <v>0</v>
      </c>
    </row>
    <row r="212" ht="15.75" customHeight="1">
      <c r="A212" s="4" t="b">
        <v>0</v>
      </c>
    </row>
    <row r="213" ht="15.75" customHeight="1">
      <c r="A213" s="4" t="b">
        <v>0</v>
      </c>
    </row>
    <row r="214" ht="15.75" customHeight="1">
      <c r="A214" s="4" t="b">
        <v>0</v>
      </c>
    </row>
    <row r="215" ht="15.75" customHeight="1">
      <c r="A215" s="4" t="b">
        <v>0</v>
      </c>
    </row>
    <row r="216" ht="15.75" customHeight="1">
      <c r="A216" s="4" t="b">
        <v>0</v>
      </c>
    </row>
    <row r="217" ht="15.75" customHeight="1">
      <c r="A217" s="4" t="b">
        <v>0</v>
      </c>
    </row>
    <row r="218" ht="15.75" customHeight="1">
      <c r="A218" s="4" t="b">
        <v>0</v>
      </c>
    </row>
    <row r="219" ht="15.75" customHeight="1">
      <c r="A219" s="4" t="b">
        <v>0</v>
      </c>
    </row>
    <row r="220" ht="15.75" customHeight="1">
      <c r="A220" s="4" t="b">
        <v>0</v>
      </c>
    </row>
    <row r="221" ht="15.75" customHeight="1">
      <c r="A221" s="4" t="b">
        <v>0</v>
      </c>
    </row>
    <row r="222" ht="15.75" customHeight="1">
      <c r="A222" s="4" t="b">
        <v>0</v>
      </c>
    </row>
    <row r="223" ht="15.75" customHeight="1">
      <c r="A223" s="4" t="b">
        <v>0</v>
      </c>
    </row>
    <row r="224" ht="15.75" customHeight="1">
      <c r="A224" s="4" t="b">
        <v>0</v>
      </c>
    </row>
    <row r="225" ht="15.75" customHeight="1">
      <c r="A225" s="4" t="b">
        <v>0</v>
      </c>
    </row>
    <row r="226" ht="15.75" customHeight="1">
      <c r="A226" s="4" t="b">
        <v>0</v>
      </c>
    </row>
    <row r="227" ht="15.75" customHeight="1">
      <c r="A227" s="4" t="b">
        <v>0</v>
      </c>
    </row>
    <row r="228" ht="15.75" customHeight="1">
      <c r="A228" s="4" t="b">
        <v>0</v>
      </c>
    </row>
    <row r="229" ht="15.75" customHeight="1">
      <c r="A229" s="4" t="b">
        <v>0</v>
      </c>
    </row>
    <row r="230" ht="15.75" customHeight="1">
      <c r="A230" s="4" t="b">
        <v>0</v>
      </c>
    </row>
    <row r="231" ht="15.75" customHeight="1">
      <c r="A231" s="4" t="b">
        <v>0</v>
      </c>
    </row>
    <row r="232" ht="15.75" customHeight="1">
      <c r="A232" s="4" t="b">
        <v>0</v>
      </c>
    </row>
    <row r="233" ht="15.75" customHeight="1">
      <c r="A233" s="4" t="b">
        <v>0</v>
      </c>
    </row>
    <row r="234" ht="15.75" customHeight="1">
      <c r="A234" s="4" t="b">
        <v>0</v>
      </c>
    </row>
    <row r="235" ht="15.75" customHeight="1">
      <c r="A235" s="4" t="b">
        <v>0</v>
      </c>
    </row>
    <row r="236" ht="15.75" customHeight="1">
      <c r="A236" s="4" t="b">
        <v>0</v>
      </c>
    </row>
    <row r="237" ht="15.75" customHeight="1">
      <c r="A237" s="4" t="b">
        <v>0</v>
      </c>
    </row>
    <row r="238" ht="15.75" customHeight="1">
      <c r="A238" s="4" t="b">
        <v>0</v>
      </c>
    </row>
    <row r="239" ht="15.75" customHeight="1">
      <c r="A239" s="4" t="b">
        <v>0</v>
      </c>
    </row>
    <row r="240" ht="15.75" customHeight="1">
      <c r="A240" s="4" t="b">
        <v>0</v>
      </c>
    </row>
    <row r="241" ht="15.75" customHeight="1">
      <c r="A241" s="4" t="b">
        <v>0</v>
      </c>
    </row>
    <row r="242" ht="15.75" customHeight="1">
      <c r="A242" s="4" t="b">
        <v>0</v>
      </c>
    </row>
    <row r="243" ht="15.75" customHeight="1">
      <c r="A243" s="4" t="b">
        <v>0</v>
      </c>
    </row>
    <row r="244" ht="15.75" customHeight="1">
      <c r="A244" s="4" t="b">
        <v>0</v>
      </c>
    </row>
    <row r="245" ht="15.75" customHeight="1">
      <c r="A245" s="4" t="b">
        <v>0</v>
      </c>
    </row>
    <row r="246" ht="15.75" customHeight="1">
      <c r="A246" s="4" t="b">
        <v>0</v>
      </c>
    </row>
    <row r="247" ht="15.75" customHeight="1">
      <c r="A247" s="4" t="b">
        <v>0</v>
      </c>
    </row>
    <row r="248" ht="15.75" customHeight="1">
      <c r="A248" s="4" t="b">
        <v>0</v>
      </c>
    </row>
    <row r="249" ht="15.75" customHeight="1">
      <c r="A249" s="4" t="b">
        <v>0</v>
      </c>
    </row>
    <row r="250" ht="15.75" customHeight="1">
      <c r="A250" s="4" t="b">
        <v>0</v>
      </c>
    </row>
    <row r="251" ht="15.75" customHeight="1">
      <c r="A251" s="4" t="b">
        <v>0</v>
      </c>
    </row>
    <row r="252" ht="15.75" customHeight="1">
      <c r="A252" s="4" t="b">
        <v>0</v>
      </c>
    </row>
    <row r="253" ht="15.75" customHeight="1">
      <c r="A253" s="4" t="b">
        <v>0</v>
      </c>
    </row>
    <row r="254" ht="15.75" customHeight="1">
      <c r="A254" s="4" t="b">
        <v>0</v>
      </c>
    </row>
    <row r="255" ht="15.75" customHeight="1">
      <c r="A255" s="4" t="b">
        <v>0</v>
      </c>
    </row>
    <row r="256" ht="15.75" customHeight="1">
      <c r="A256" s="4" t="b">
        <v>0</v>
      </c>
    </row>
    <row r="257" ht="15.75" customHeight="1">
      <c r="A257" s="4" t="b">
        <v>0</v>
      </c>
    </row>
    <row r="258" ht="15.75" customHeight="1">
      <c r="A258" s="4" t="b">
        <v>0</v>
      </c>
    </row>
    <row r="259" ht="15.75" customHeight="1">
      <c r="A259" s="4" t="b">
        <v>0</v>
      </c>
    </row>
    <row r="260" ht="15.75" customHeight="1">
      <c r="A260" s="4" t="b">
        <v>0</v>
      </c>
    </row>
    <row r="261" ht="15.75" customHeight="1">
      <c r="A261" s="4" t="b">
        <v>0</v>
      </c>
    </row>
    <row r="262" ht="15.75" customHeight="1">
      <c r="A262" s="4" t="b">
        <v>0</v>
      </c>
    </row>
    <row r="263" ht="15.75" customHeight="1">
      <c r="A263" s="4" t="b">
        <v>0</v>
      </c>
    </row>
    <row r="264" ht="15.75" customHeight="1">
      <c r="A264" s="4" t="b">
        <v>0</v>
      </c>
    </row>
    <row r="265" ht="15.75" customHeight="1">
      <c r="A265" s="4" t="b">
        <v>0</v>
      </c>
    </row>
    <row r="266" ht="15.75" customHeight="1">
      <c r="A266" s="4" t="b">
        <v>0</v>
      </c>
    </row>
    <row r="267" ht="15.75" customHeight="1">
      <c r="A267" s="4" t="b">
        <v>0</v>
      </c>
    </row>
    <row r="268" ht="15.75" customHeight="1">
      <c r="A268" s="4" t="b">
        <v>0</v>
      </c>
    </row>
    <row r="269" ht="15.75" customHeight="1">
      <c r="A269" s="4" t="b">
        <v>0</v>
      </c>
    </row>
    <row r="270" ht="15.75" customHeight="1">
      <c r="A270" s="4" t="b">
        <v>0</v>
      </c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13"/>
    <col customWidth="1" min="2" max="6" width="12.63"/>
  </cols>
  <sheetData>
    <row r="1" ht="15.75" customHeight="1">
      <c r="A1" s="6"/>
      <c r="B1" s="6" t="s">
        <v>196</v>
      </c>
      <c r="C1" s="6"/>
      <c r="D1" s="6"/>
      <c r="E1" s="6"/>
    </row>
    <row r="2" ht="15.75" customHeight="1">
      <c r="A2" s="4" t="str">
        <f t="array" ref="A2:A5">UNIQUE(suffixes!L2:L107)</f>
        <v>- We Buy Houses for Cash</v>
      </c>
      <c r="B2" s="7">
        <f>COUNTIF(suffixes!L2:L107,"="&amp;A2)</f>
        <v>3</v>
      </c>
    </row>
    <row r="3" ht="15.75" customHeight="1">
      <c r="A3" s="4" t="s">
        <v>197</v>
      </c>
      <c r="B3" s="7">
        <f>COUNTIF(suffixes!L3:L108,"="&amp;A3)</f>
        <v>84</v>
      </c>
    </row>
    <row r="4" ht="15.75" customHeight="1">
      <c r="A4" s="4"/>
      <c r="B4" s="7">
        <f>COUNTIF(suffixes!L4:L109,"="&amp;A4)</f>
        <v>20</v>
      </c>
    </row>
    <row r="5" ht="15.75" customHeight="1">
      <c r="A5" s="4" t="s">
        <v>198</v>
      </c>
      <c r="B5" s="7">
        <f>COUNTIF(suffixes!L5:L110,"="&amp;A5)</f>
        <v>1</v>
      </c>
    </row>
    <row r="6" ht="15.75" customHeight="1">
      <c r="A6" s="4"/>
      <c r="B6" s="7"/>
    </row>
    <row r="7" ht="15.75" customHeight="1">
      <c r="A7" s="4"/>
      <c r="B7" s="7"/>
      <c r="C7" s="4"/>
    </row>
    <row r="8" ht="15.75" customHeight="1">
      <c r="A8" s="4"/>
      <c r="B8" s="7"/>
    </row>
    <row r="9" ht="15.75" customHeight="1">
      <c r="A9" s="4"/>
      <c r="B9" s="7"/>
    </row>
    <row r="10" ht="15.75" customHeight="1">
      <c r="A10" s="4"/>
      <c r="B10" s="7"/>
      <c r="C10" s="4"/>
    </row>
    <row r="11" ht="15.75" customHeight="1">
      <c r="A11" s="4"/>
      <c r="B11" s="7"/>
    </row>
    <row r="12" ht="15.75" customHeight="1">
      <c r="A12" s="4"/>
      <c r="B12" s="7"/>
    </row>
    <row r="13" ht="15.75" customHeight="1">
      <c r="A13" s="4"/>
      <c r="B13" s="7"/>
    </row>
    <row r="14" ht="15.75" customHeight="1">
      <c r="A14" s="4"/>
      <c r="B14" s="7"/>
    </row>
    <row r="15" ht="15.75" customHeight="1">
      <c r="A15" s="4"/>
      <c r="B15" s="7"/>
    </row>
    <row r="16" ht="15.75" customHeight="1">
      <c r="A16" s="4"/>
      <c r="B16" s="7"/>
    </row>
    <row r="17" ht="15.75" customHeight="1">
      <c r="A17" s="4"/>
      <c r="B17" s="7"/>
    </row>
    <row r="18" ht="15.75" customHeight="1">
      <c r="A18" s="4"/>
      <c r="B18" s="7"/>
    </row>
    <row r="19" ht="15.75" customHeight="1">
      <c r="A19" s="4"/>
      <c r="B19" s="4"/>
    </row>
    <row r="20" ht="15.75" customHeight="1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drawing r:id="rId1"/>
</worksheet>
</file>