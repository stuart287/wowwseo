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domains" sheetId="1" r:id="rId5"/>
    <sheet state="visible" name="Summary" sheetId="2" r:id="rId6"/>
    <sheet state="visible" name="Intersect" sheetId="3" r:id="rId7"/>
    <sheet state="hidden" name="(pet insurance) Keyword interse" sheetId="4" r:id="rId8"/>
  </sheets>
  <definedNames>
    <definedName hidden="1" localSheetId="2" name="_xlnm._FilterDatabase">Intersect!$A$1:$DC$1000</definedName>
    <definedName hidden="1" localSheetId="3" name="_xlnm._FilterDatabase">'(pet insurance) Keyword interse'!$A$1:$AU$16</definedName>
  </definedNames>
  <calcPr/>
</workbook>
</file>

<file path=xl/sharedStrings.xml><?xml version="1.0" encoding="utf-8"?>
<sst xmlns="http://schemas.openxmlformats.org/spreadsheetml/2006/main" count="1211" uniqueCount="521">
  <si>
    <t>Keyword</t>
  </si>
  <si>
    <t>Domain</t>
  </si>
  <si>
    <t>Island Luck</t>
  </si>
  <si>
    <t>Intersect</t>
  </si>
  <si>
    <t>https://www.islandluck.com/</t>
  </si>
  <si>
    <t>Volume</t>
  </si>
  <si>
    <t>KD</t>
  </si>
  <si>
    <t>CPC</t>
  </si>
  <si>
    <t>pggames.com/</t>
  </si>
  <si>
    <t>medipet.co.za/: Traffic</t>
  </si>
  <si>
    <t>SERP features</t>
  </si>
  <si>
    <t>pggames.com/: URL</t>
  </si>
  <si>
    <t>pggames.com/: Organic Position</t>
  </si>
  <si>
    <t>By client</t>
  </si>
  <si>
    <t>pggames.com/: Organic Traffic</t>
  </si>
  <si>
    <t>pggames.com/: Ad title</t>
  </si>
  <si>
    <t>pggames.com/: Ad display URL</t>
  </si>
  <si>
    <t>www.islandluck.com/</t>
  </si>
  <si>
    <t>pggames.com/: Ad description</t>
  </si>
  <si>
    <t>pggames.com/: Ad block</t>
  </si>
  <si>
    <t>pggames.com/: Ad position</t>
  </si>
  <si>
    <t>Chances</t>
  </si>
  <si>
    <t>pggames.com/: Paid traffic</t>
  </si>
  <si>
    <t>www.islandluck.com/: URL</t>
  </si>
  <si>
    <t>www.islandluck.com/: Organic Position</t>
  </si>
  <si>
    <t>https://www.chancesgames.com/</t>
  </si>
  <si>
    <t>www.islandluck.com/: Organic Traffic</t>
  </si>
  <si>
    <t>www.islandluck.com/: Ad title</t>
  </si>
  <si>
    <t>www.islandluck.com/: Ad display URL</t>
  </si>
  <si>
    <t>www.islandluck.com/: Ad description</t>
  </si>
  <si>
    <t>www.islandluck.com/: Ad block</t>
  </si>
  <si>
    <t>www.islandluck.com/: Ad position</t>
  </si>
  <si>
    <t>www.islandluck.com/: Paid traffic</t>
  </si>
  <si>
    <t>www.chancesgames.com/: URL</t>
  </si>
  <si>
    <t>medipet.co.za/: Position</t>
  </si>
  <si>
    <t>medipet.co.za/: URL</t>
  </si>
  <si>
    <t>www.chancesgames.com/: Organic Position</t>
  </si>
  <si>
    <t>www.dotsure.co.za/: Traffic</t>
  </si>
  <si>
    <t>www.chancesgames.com/: Organic Traffic</t>
  </si>
  <si>
    <t>www.chancesgames.com/: Ad title</t>
  </si>
  <si>
    <t>www.dotsure.co.za/: Position</t>
  </si>
  <si>
    <t>www.chancesgames.com/: Ad display URL</t>
  </si>
  <si>
    <t>www.chancesgames.com/</t>
  </si>
  <si>
    <t>www.chancesgames.com/: Ad description</t>
  </si>
  <si>
    <t>www.dotsure.co.za/: URL</t>
  </si>
  <si>
    <t>www.chancesgames.com/: Ad block</t>
  </si>
  <si>
    <t>pawpawpets.co.za/: Traffic</t>
  </si>
  <si>
    <t>pawpawpets.co.za/: Position</t>
  </si>
  <si>
    <t>www.chancesgames.com/: Ad position</t>
  </si>
  <si>
    <t>pawpawpets.co.za/: URL</t>
  </si>
  <si>
    <t>www.chancesgames.com/: Paid traffic</t>
  </si>
  <si>
    <t>www.oneplan.co.za/: Traffic</t>
  </si>
  <si>
    <t>ultragames.com/: URL</t>
  </si>
  <si>
    <t>www.oneplan.co.za/: Position</t>
  </si>
  <si>
    <t>ultragames.com/: Organic Position</t>
  </si>
  <si>
    <t>www.oneplan.co.za/: URL</t>
  </si>
  <si>
    <t>ultragames.com/: Organic Traffic</t>
  </si>
  <si>
    <t>ultragames.com/: Ad title</t>
  </si>
  <si>
    <t>www.outsurance.co.za/: Traffic</t>
  </si>
  <si>
    <t>ultragames.com/: Ad display URL</t>
  </si>
  <si>
    <t>ultragames.com/: Ad description</t>
  </si>
  <si>
    <t>ultragames.com/: Ad block</t>
  </si>
  <si>
    <t>ultragames.com/: Ad position</t>
  </si>
  <si>
    <t>ultragames.com/: Paid traffic</t>
  </si>
  <si>
    <t>everybodywinslive.com/: URL</t>
  </si>
  <si>
    <t>everybodywinslive.com/: Organic Position</t>
  </si>
  <si>
    <t>everybodywinslive.com/: Organic Traffic</t>
  </si>
  <si>
    <t>everybodywinslive.com/: Ad title</t>
  </si>
  <si>
    <t>everybodywinslive.com/: Ad display URL</t>
  </si>
  <si>
    <t>everybodywinslive.com/: Ad description</t>
  </si>
  <si>
    <t>everybodywinslive.com/: Ad block</t>
  </si>
  <si>
    <t>everybodywinslive.com/: Ad position</t>
  </si>
  <si>
    <t>everybodywinslive.com/: Paid traffic</t>
  </si>
  <si>
    <t>asurewin.com/: URL</t>
  </si>
  <si>
    <t>asurewin.com/: Organic Position</t>
  </si>
  <si>
    <t>asurewin.com/: Organic Traffic</t>
  </si>
  <si>
    <t>asurewin.com/: Ad title</t>
  </si>
  <si>
    <t>asurewin.com/: Ad display URL</t>
  </si>
  <si>
    <t>Ultra Games</t>
  </si>
  <si>
    <t>asurewin.com/: Ad description</t>
  </si>
  <si>
    <t>asurewin.com/: Ad block</t>
  </si>
  <si>
    <t>https://ultragames.com/</t>
  </si>
  <si>
    <t>asurewin.com/: Ad position</t>
  </si>
  <si>
    <t>asurewin.com/: Paid traffic</t>
  </si>
  <si>
    <t>ultragames.com/</t>
  </si>
  <si>
    <t>theislandgame.com/default.aspx: URL</t>
  </si>
  <si>
    <t>theislandgame.com/default.aspx: Organic Position</t>
  </si>
  <si>
    <t>theislandgame.com/default.aspx: Organic Traffic</t>
  </si>
  <si>
    <t>theislandgame.com/default.aspx: Ad title</t>
  </si>
  <si>
    <t>theislandgame.com/default.aspx: Ad display URL</t>
  </si>
  <si>
    <t>theislandgame.com/default.aspx: Ad description</t>
  </si>
  <si>
    <t>theislandgame.com/default.aspx: Ad block</t>
  </si>
  <si>
    <t>theislandgame.com/default.aspx: Ad position</t>
  </si>
  <si>
    <t>theislandgame.com/default.aspx: Paid traffic</t>
  </si>
  <si>
    <t>www.lotterybahamas.com/: URL</t>
  </si>
  <si>
    <t>www.lotterybahamas.com/: Organic Position</t>
  </si>
  <si>
    <t>www.outsurance.co.za/: Position</t>
  </si>
  <si>
    <t>www.lotterybahamas.com/: Organic Traffic</t>
  </si>
  <si>
    <t>www.lotterybahamas.com/: Ad title</t>
  </si>
  <si>
    <t>www.lotterybahamas.com/: Ad display URL</t>
  </si>
  <si>
    <t>www.outsurance.co.za/: URL</t>
  </si>
  <si>
    <t>www.lotterybahamas.com/: Ad description</t>
  </si>
  <si>
    <t>catanddogsure.co.za/: Traffic</t>
  </si>
  <si>
    <t>www.lotterybahamas.com/: Ad block</t>
  </si>
  <si>
    <t>catanddogsure.co.za/: Position</t>
  </si>
  <si>
    <t>www.lotterybahamas.com/: Ad position</t>
  </si>
  <si>
    <t>www.lotterybahamas.com/: Paid traffic</t>
  </si>
  <si>
    <t>catanddogsure.co.za/: URL</t>
  </si>
  <si>
    <t>Updated</t>
  </si>
  <si>
    <t>www.firstforwomen.co.za/: Traffic</t>
  </si>
  <si>
    <t>everybodywinslive.com/</t>
  </si>
  <si>
    <t>www.firstforwomen.co.za/: Position</t>
  </si>
  <si>
    <t>www.firstforwomen.co.za/: URL</t>
  </si>
  <si>
    <t xml:space="preserve">Everybody Wins Live </t>
  </si>
  <si>
    <t>https://everybodywinslive.com/</t>
  </si>
  <si>
    <t>asurewin.com/</t>
  </si>
  <si>
    <t>chances winning numbers</t>
  </si>
  <si>
    <t>one plan pet insurance</t>
  </si>
  <si>
    <t xml:space="preserve">A Sure Win </t>
  </si>
  <si>
    <t>https://asurewin.com/</t>
  </si>
  <si>
    <t>theislandgame.com/default.aspx</t>
  </si>
  <si>
    <t xml:space="preserve">The Island Game </t>
  </si>
  <si>
    <t>https://theislandgame.com/default.aspx</t>
  </si>
  <si>
    <t>www.lotterybahamas.com/</t>
  </si>
  <si>
    <t>AI Overview, Thumbnail</t>
  </si>
  <si>
    <t>https://www.islandluck.com/winningnumbers</t>
  </si>
  <si>
    <t>Bahamas Lotto</t>
  </si>
  <si>
    <t>https://www.lotterybahamas.com/</t>
  </si>
  <si>
    <t>https://www.oneplan.co.za/plans/PetPlans</t>
  </si>
  <si>
    <t>https://www.chancesgames.com/WinningNumbers/WinningList</t>
  </si>
  <si>
    <t>Woww</t>
  </si>
  <si>
    <t>https://www.ultragames.com:890/Winnings.aspx</t>
  </si>
  <si>
    <t>-</t>
  </si>
  <si>
    <t>https://www.outsurance.co.za/comprehensive-pet-insurance/</t>
  </si>
  <si>
    <t>https://everybodywinslive.com/en/lotto/LotteryGamesWinningNumbers/</t>
  </si>
  <si>
    <t>https://asurewin.com/winning-numbers</t>
  </si>
  <si>
    <t>dotsure pet insurance</t>
  </si>
  <si>
    <t>island luck winning number</t>
  </si>
  <si>
    <t>https://www.dotsure.co.za/pet-insurance</t>
  </si>
  <si>
    <t>https://catanddogsure.co.za/</t>
  </si>
  <si>
    <t>winnings numbers</t>
  </si>
  <si>
    <t>oneplan pet insurance</t>
  </si>
  <si>
    <t>flowers winning number</t>
  </si>
  <si>
    <t>Sitelinks</t>
  </si>
  <si>
    <t>outsurance pet insurance reviews</t>
  </si>
  <si>
    <t>bahamas lottery</t>
  </si>
  <si>
    <t>Video preview, People also ask</t>
  </si>
  <si>
    <t>https://www.outsurance.co.za/pet-insurance/</t>
  </si>
  <si>
    <t>https://catanddogsure.co.za/reviews/</t>
  </si>
  <si>
    <t>https://www.firstforwomen.co.za/</t>
  </si>
  <si>
    <t>winning number today live</t>
  </si>
  <si>
    <t>outsurance pet insurance</t>
  </si>
  <si>
    <t>johnson's winning number</t>
  </si>
  <si>
    <t>https://www.firstforwomen.co.za/pet-insurance/</t>
  </si>
  <si>
    <t>winning numbers winning numbers yesterday</t>
  </si>
  <si>
    <t>People also ask</t>
  </si>
  <si>
    <t>paw paw pet insurance</t>
  </si>
  <si>
    <t>winning number</t>
  </si>
  <si>
    <t>https://pawpawpets.co.za/</t>
  </si>
  <si>
    <t>nassau games winning numbers</t>
  </si>
  <si>
    <t>dotsure pet insurance plans</t>
  </si>
  <si>
    <t>winning number winning number</t>
  </si>
  <si>
    <t>checkers pet insurance</t>
  </si>
  <si>
    <t>https://www.outsurance.co.za/checkers-pet</t>
  </si>
  <si>
    <t>nassaugame</t>
  </si>
  <si>
    <t>dotsure pet insurance reviews</t>
  </si>
  <si>
    <t>dotsure pet insurance contact number</t>
  </si>
  <si>
    <t>https://www.dotsure.co.za/rogz</t>
  </si>
  <si>
    <t>lucky winning numbers today</t>
  </si>
  <si>
    <t>oneplan pet insurance reviews</t>
  </si>
  <si>
    <t>bet vegas winning numbers</t>
  </si>
  <si>
    <t>https://www.oneplan.co.za/</t>
  </si>
  <si>
    <t>flowers winning numbers</t>
  </si>
  <si>
    <t>pet insurance outsurance</t>
  </si>
  <si>
    <t>flowers games winning numbers</t>
  </si>
  <si>
    <t>outsurance pet insurance price</t>
  </si>
  <si>
    <t>island winning numbers</t>
  </si>
  <si>
    <t>dotsure pet insurance login</t>
  </si>
  <si>
    <t>https://www.dotsure.co.za/</t>
  </si>
  <si>
    <t>island luck winning login</t>
  </si>
  <si>
    <t>outsurance pet insurance review</t>
  </si>
  <si>
    <t>late miami winning numbers</t>
  </si>
  <si>
    <t>asurewin</t>
  </si>
  <si>
    <t>island luck winning</t>
  </si>
  <si>
    <t>lottery results</t>
  </si>
  <si>
    <t>Sitelinks, Video preview</t>
  </si>
  <si>
    <t>https://www.islandluck.com:10078/Winning.aspx/1000</t>
  </si>
  <si>
    <t>ultra games web cafe</t>
  </si>
  <si>
    <t>Sitelinks, People also ask</t>
  </si>
  <si>
    <t>https://www.ultragames.com/</t>
  </si>
  <si>
    <t>ultragames web cafe</t>
  </si>
  <si>
    <t>winning number today</t>
  </si>
  <si>
    <t>island luck numbers</t>
  </si>
  <si>
    <t>pirate revenge demo</t>
  </si>
  <si>
    <t>https://everybodywinslive.com/en/casino-games/games/slot/pi2d/</t>
  </si>
  <si>
    <t>https://asurewin.com/demo-dgs</t>
  </si>
  <si>
    <t>chances numbers</t>
  </si>
  <si>
    <t>asurewin demo</t>
  </si>
  <si>
    <t>islandluck.com winning numbers</t>
  </si>
  <si>
    <t>mobile island luck</t>
  </si>
  <si>
    <t>chance winning numbers</t>
  </si>
  <si>
    <t>chances winning numbers for today</t>
  </si>
  <si>
    <t>Video preview</t>
  </si>
  <si>
    <t>sure win winning numbers</t>
  </si>
  <si>
    <t>winning lottery numbers</t>
  </si>
  <si>
    <t>Top stories, Thumbnail, People also ask</t>
  </si>
  <si>
    <t>fml winning numbers</t>
  </si>
  <si>
    <t>www.chances winning numbers</t>
  </si>
  <si>
    <t>People also ask, Video preview</t>
  </si>
  <si>
    <t>www chances games com winning numbers</t>
  </si>
  <si>
    <t>unlock winning numbers</t>
  </si>
  <si>
    <t>www.lottery results today</t>
  </si>
  <si>
    <t>freeport games</t>
  </si>
  <si>
    <t>https://www.chancesgames.com/AboutChances/AboutChances</t>
  </si>
  <si>
    <t>https://everybodywinslive.com/en/support/Locations/</t>
  </si>
  <si>
    <t>island luck results</t>
  </si>
  <si>
    <t>islandluck</t>
  </si>
  <si>
    <t>island luck winning numbers island luck winning numbers</t>
  </si>
  <si>
    <t>ultra game winning numbers</t>
  </si>
  <si>
    <t>ultra games winning number</t>
  </si>
  <si>
    <t>lottery result</t>
  </si>
  <si>
    <t>Top stories, Thumbnail</t>
  </si>
  <si>
    <t>pirates revenge demo</t>
  </si>
  <si>
    <t>chances web shop</t>
  </si>
  <si>
    <t>quick draw winning numbers</t>
  </si>
  <si>
    <t>winner take chances</t>
  </si>
  <si>
    <t>Sitelinks, People also ask, Video preview</t>
  </si>
  <si>
    <t>island luck casino</t>
  </si>
  <si>
    <t>chances games winning numbers</t>
  </si>
  <si>
    <t>ultra game winning number</t>
  </si>
  <si>
    <t>chances winning numbers island luck winning numbers</t>
  </si>
  <si>
    <t>island luck casino lobby - demo play</t>
  </si>
  <si>
    <t>chances website</t>
  </si>
  <si>
    <t>chances winning numbers login</t>
  </si>
  <si>
    <t>miami 3 ball</t>
  </si>
  <si>
    <t>casino lobby - demo pirate revenge</t>
  </si>
  <si>
    <t>chances winning number chances winning number</t>
  </si>
  <si>
    <t>AI Overview, People also ask</t>
  </si>
  <si>
    <t>island luck mobile winning numbers</t>
  </si>
  <si>
    <t>chances winning</t>
  </si>
  <si>
    <t>AI Overview</t>
  </si>
  <si>
    <t>chances winning numbers island luck</t>
  </si>
  <si>
    <t>island luck island luck winning number</t>
  </si>
  <si>
    <t>island luck island luck island luck</t>
  </si>
  <si>
    <t>Sitelinks, Video preview, Local teaser, People also ask</t>
  </si>
  <si>
    <t>chance games winning numbers</t>
  </si>
  <si>
    <t>islandluck.com login account login</t>
  </si>
  <si>
    <t>island luck winning numbers please</t>
  </si>
  <si>
    <t>pirate revenge slot demo</t>
  </si>
  <si>
    <t>island luck web cafe winning numbers</t>
  </si>
  <si>
    <t>island luck please</t>
  </si>
  <si>
    <t>early miami 3 ball</t>
  </si>
  <si>
    <t>island luck</t>
  </si>
  <si>
    <t>chances</t>
  </si>
  <si>
    <t>island</t>
  </si>
  <si>
    <t>chance games</t>
  </si>
  <si>
    <t>sure win</t>
  </si>
  <si>
    <t>chances login</t>
  </si>
  <si>
    <t>chances of winning the lottery</t>
  </si>
  <si>
    <t>demo casino</t>
  </si>
  <si>
    <t>island game</t>
  </si>
  <si>
    <t>casino demo</t>
  </si>
  <si>
    <t>People also ask, Thumbnail</t>
  </si>
  <si>
    <t>ultra games</t>
  </si>
  <si>
    <t>islandluck.com</t>
  </si>
  <si>
    <t>asure login</t>
  </si>
  <si>
    <t>chance games online</t>
  </si>
  <si>
    <t>asure win login</t>
  </si>
  <si>
    <t>www.lottery results</t>
  </si>
  <si>
    <t>island luck island luck</t>
  </si>
  <si>
    <t>chances demo games</t>
  </si>
  <si>
    <t>ultra games.com</t>
  </si>
  <si>
    <t>winning numbers winning numbers today florida</t>
  </si>
  <si>
    <t>island luck demo games</t>
  </si>
  <si>
    <t>fml</t>
  </si>
  <si>
    <t>island luck casino demo play 2</t>
  </si>
  <si>
    <t>chance casino login</t>
  </si>
  <si>
    <t>chance casino</t>
  </si>
  <si>
    <t>Local teaser</t>
  </si>
  <si>
    <t>island lock</t>
  </si>
  <si>
    <t>island luck southwest plaza</t>
  </si>
  <si>
    <t>Knowledge panel, People also ask</t>
  </si>
  <si>
    <t>https://www.islandluck.com/?modal=locations</t>
  </si>
  <si>
    <t>chances games login</t>
  </si>
  <si>
    <t>islandluck demo</t>
  </si>
  <si>
    <t>fml group of companies</t>
  </si>
  <si>
    <t>chances login in</t>
  </si>
  <si>
    <t>casino lobby - demo</t>
  </si>
  <si>
    <t>lotto results</t>
  </si>
  <si>
    <t>fml login</t>
  </si>
  <si>
    <t>island luck web cafe</t>
  </si>
  <si>
    <t>www.theislandgame.com bahamas</t>
  </si>
  <si>
    <t>island luck bahamas</t>
  </si>
  <si>
    <t>Sitelinks, Local teaser, People also ask, Video preview</t>
  </si>
  <si>
    <t>island look</t>
  </si>
  <si>
    <t>Sitelinks, Local teaser, Video preview</t>
  </si>
  <si>
    <t>www island luck</t>
  </si>
  <si>
    <t>ultra games - nassau</t>
  </si>
  <si>
    <t>chances casino demo</t>
  </si>
  <si>
    <t>island.luck</t>
  </si>
  <si>
    <t>island game online</t>
  </si>
  <si>
    <t>island luck - nassau</t>
  </si>
  <si>
    <t>Sitelinks, Local teaser, People also ask</t>
  </si>
  <si>
    <t>slot demo</t>
  </si>
  <si>
    <t>www.ultragames</t>
  </si>
  <si>
    <t>Sitelinks, Video preview, People also ask</t>
  </si>
  <si>
    <t>altura games</t>
  </si>
  <si>
    <t>Sitelinks, People also ask, Knowledge panel</t>
  </si>
  <si>
    <t>island luck webcafe nassau</t>
  </si>
  <si>
    <t>Sitelinks, Local teaser</t>
  </si>
  <si>
    <t>ultra games locations</t>
  </si>
  <si>
    <t>island luck casino demo</t>
  </si>
  <si>
    <t>island luck freeport</t>
  </si>
  <si>
    <t>island luck cable beach</t>
  </si>
  <si>
    <t>Sitelinks, Knowledge panel</t>
  </si>
  <si>
    <t>aland luck</t>
  </si>
  <si>
    <t>island luck game</t>
  </si>
  <si>
    <t>ultra games demo</t>
  </si>
  <si>
    <t>island demo</t>
  </si>
  <si>
    <t>chances web</t>
  </si>
  <si>
    <t>surewin casino</t>
  </si>
  <si>
    <t>ilan luck</t>
  </si>
  <si>
    <t>island luck demo game</t>
  </si>
  <si>
    <t>Videos</t>
  </si>
  <si>
    <t>chances demo slots</t>
  </si>
  <si>
    <t>a sure win</t>
  </si>
  <si>
    <t>Sitelinks, People also ask, Video preview, Knowledge panel</t>
  </si>
  <si>
    <t>lottery numbers</t>
  </si>
  <si>
    <t>island luck locations</t>
  </si>
  <si>
    <t>https://www.islandluck.com/legal</t>
  </si>
  <si>
    <t>casinodemo</t>
  </si>
  <si>
    <t>chance game</t>
  </si>
  <si>
    <t>island luck collins avenue</t>
  </si>
  <si>
    <t>https://www.islandluck.com/CustomerSupport</t>
  </si>
  <si>
    <t>casino lobby demo play</t>
  </si>
  <si>
    <t>island luck carmichael road</t>
  </si>
  <si>
    <t>demo lobby</t>
  </si>
  <si>
    <t>island luck paradise island</t>
  </si>
  <si>
    <t>People also ask, Knowledge panel, Sitelinks</t>
  </si>
  <si>
    <t>chances freeport</t>
  </si>
  <si>
    <t>island luck marsh harbour</t>
  </si>
  <si>
    <t>fruity fortune plus demo</t>
  </si>
  <si>
    <t>demo slot</t>
  </si>
  <si>
    <t>Thumbnail, People also ask</t>
  </si>
  <si>
    <t>casino lobby - demo play 1</t>
  </si>
  <si>
    <t>winners take chances</t>
  </si>
  <si>
    <t>chances winning lottery random numbers</t>
  </si>
  <si>
    <t>People also ask, Sitelinks</t>
  </si>
  <si>
    <t>lottery winning numbers</t>
  </si>
  <si>
    <t>www.chances</t>
  </si>
  <si>
    <t>casino lobby - demo multi slots</t>
  </si>
  <si>
    <t>kansas winning numbers</t>
  </si>
  <si>
    <t>everybody wins login</t>
  </si>
  <si>
    <t>island luck web</t>
  </si>
  <si>
    <t>island login</t>
  </si>
  <si>
    <t>www island</t>
  </si>
  <si>
    <t>island luck prince charles</t>
  </si>
  <si>
    <t>Sitelinks, Knowledge panel, People also ask</t>
  </si>
  <si>
    <t>isluck luck</t>
  </si>
  <si>
    <t>casino demo play 2</t>
  </si>
  <si>
    <t>island luck hours</t>
  </si>
  <si>
    <t>island luck app</t>
  </si>
  <si>
    <t>everybody wins winning numbers</t>
  </si>
  <si>
    <t>chances casinos</t>
  </si>
  <si>
    <t>https://www.chancesgames.com/Casino/CasinoGames</t>
  </si>
  <si>
    <t>island luck customer service number</t>
  </si>
  <si>
    <t>island luck website</t>
  </si>
  <si>
    <t>island luck demo login</t>
  </si>
  <si>
    <t>lobby casino</t>
  </si>
  <si>
    <t>https://everybodywinslive.com/en/rules/lobby/</t>
  </si>
  <si>
    <t>ultra games careers</t>
  </si>
  <si>
    <t>ultra game cafe</t>
  </si>
  <si>
    <t>Sitelinks, People also ask, Local teaser</t>
  </si>
  <si>
    <t>sure</t>
  </si>
  <si>
    <t>Knowledge card, People also ask, Video preview</t>
  </si>
  <si>
    <t>lotto winning numbers</t>
  </si>
  <si>
    <t>island luck robinson road</t>
  </si>
  <si>
    <t>chances games and casino</t>
  </si>
  <si>
    <t>chances of winning lottery</t>
  </si>
  <si>
    <t>islan</t>
  </si>
  <si>
    <t>Image pack, People also ask</t>
  </si>
  <si>
    <t>island luck login in</t>
  </si>
  <si>
    <t>island luck cafe</t>
  </si>
  <si>
    <t>island luck cowpen road</t>
  </si>
  <si>
    <t>island luck number nassau</t>
  </si>
  <si>
    <t>island luck winning numbers for the day today and tomorrow</t>
  </si>
  <si>
    <t>island luck login account login</t>
  </si>
  <si>
    <t>islandluck.com login</t>
  </si>
  <si>
    <t>island luck near me</t>
  </si>
  <si>
    <t>Local teaser, Sitelinks, People also ask</t>
  </si>
  <si>
    <t>island luck coral harbour</t>
  </si>
  <si>
    <t>www.chancesgames.com</t>
  </si>
  <si>
    <t>asure win nassau</t>
  </si>
  <si>
    <t>ilandluck</t>
  </si>
  <si>
    <t>island luck free demo games</t>
  </si>
  <si>
    <t>asurewin number</t>
  </si>
  <si>
    <t>www.islandluck.com log in</t>
  </si>
  <si>
    <t>island luck phone number</t>
  </si>
  <si>
    <t>Knowledge card, People also ask, Knowledge panel</t>
  </si>
  <si>
    <t>island luck closing time</t>
  </si>
  <si>
    <t>island mobile</t>
  </si>
  <si>
    <t>island l</t>
  </si>
  <si>
    <t>island luck customer service</t>
  </si>
  <si>
    <t>island luck southwest plaza number</t>
  </si>
  <si>
    <t>Knowledge card, Knowledge panel</t>
  </si>
  <si>
    <t>sure win casino</t>
  </si>
  <si>
    <t>Sitelinks, Video preview, People also ask, Knowledge panel</t>
  </si>
  <si>
    <t>island luck head office</t>
  </si>
  <si>
    <t>island luck sportsbook</t>
  </si>
  <si>
    <t>https://www.islandluck.com/sports</t>
  </si>
  <si>
    <t>chances payout</t>
  </si>
  <si>
    <t>https://www.chancesgames.com/CalculatePayouts/CalculatePayouts</t>
  </si>
  <si>
    <t>island luck the winning number</t>
  </si>
  <si>
    <t>everybody wins lottery</t>
  </si>
  <si>
    <t>https://everybodywinslive.com/en/lotto/</t>
  </si>
  <si>
    <t>asue</t>
  </si>
  <si>
    <t>chancegame</t>
  </si>
  <si>
    <t>island island</t>
  </si>
  <si>
    <t>everybody wins live winning numbers</t>
  </si>
  <si>
    <t>island luck contact number</t>
  </si>
  <si>
    <t>lotto numbers</t>
  </si>
  <si>
    <t>raven online lucky numbers</t>
  </si>
  <si>
    <t>island luck login full site</t>
  </si>
  <si>
    <t>fml games</t>
  </si>
  <si>
    <t>island luck nassau winning numbers</t>
  </si>
  <si>
    <t>island luck exuma</t>
  </si>
  <si>
    <t>chances chances</t>
  </si>
  <si>
    <t>www.island</t>
  </si>
  <si>
    <t>island luck fox hill</t>
  </si>
  <si>
    <t>www.island luck web cafe.com</t>
  </si>
  <si>
    <t>chances payout calculator</t>
  </si>
  <si>
    <t>ultra game demo</t>
  </si>
  <si>
    <t>chances casino login</t>
  </si>
  <si>
    <t>the island luck</t>
  </si>
  <si>
    <t>surewin today</t>
  </si>
  <si>
    <t>island luck freeport number</t>
  </si>
  <si>
    <t>chances games locations</t>
  </si>
  <si>
    <t>Local teaser, People also ask, Sitelinks</t>
  </si>
  <si>
    <t>chances sign up</t>
  </si>
  <si>
    <t>https://www.chancesgames.com/SignUp/SignUpToday</t>
  </si>
  <si>
    <t>resultat borlette chicago</t>
  </si>
  <si>
    <t>https://everybodywinslive.com/en/lotto/LotteryBorletteWinningNumbers/</t>
  </si>
  <si>
    <t>island number</t>
  </si>
  <si>
    <t>island luck eleuthera</t>
  </si>
  <si>
    <t>island luck abaco</t>
  </si>
  <si>
    <t>island luck contact numbers</t>
  </si>
  <si>
    <t>Local teaser, People also ask</t>
  </si>
  <si>
    <t>chances casino online</t>
  </si>
  <si>
    <t>borlette miami</t>
  </si>
  <si>
    <t>island luck winning number please</t>
  </si>
  <si>
    <t>chances head office number</t>
  </si>
  <si>
    <t>Local pack</t>
  </si>
  <si>
    <t>www.theislandgame.com</t>
  </si>
  <si>
    <t>tci world lucky dreams</t>
  </si>
  <si>
    <t>island luck.</t>
  </si>
  <si>
    <t>lsland luck</t>
  </si>
  <si>
    <t>island luck sports betting</t>
  </si>
  <si>
    <t>island luck multi demo</t>
  </si>
  <si>
    <t>mobile islandluck</t>
  </si>
  <si>
    <t>www.ultra</t>
  </si>
  <si>
    <t>island luck application form</t>
  </si>
  <si>
    <t>https://www.islandluck.com:10086/frm/exclusion_app.pdf</t>
  </si>
  <si>
    <t>chancesgame</t>
  </si>
  <si>
    <t>chances web cafe</t>
  </si>
  <si>
    <t>islandluck.com web cafe</t>
  </si>
  <si>
    <t>island luck fantasy 5</t>
  </si>
  <si>
    <t>islandluckdemo</t>
  </si>
  <si>
    <t>island luck web cafe login</t>
  </si>
  <si>
    <t>islande luck</t>
  </si>
  <si>
    <t>www.island.com</t>
  </si>
  <si>
    <t>island luck sign in</t>
  </si>
  <si>
    <t>www.everybodywinslive.com</t>
  </si>
  <si>
    <t>island lick</t>
  </si>
  <si>
    <t>islandluck number</t>
  </si>
  <si>
    <t>ultra games kemp road</t>
  </si>
  <si>
    <t>chances gaming</t>
  </si>
  <si>
    <t>island game locations</t>
  </si>
  <si>
    <t>https://www.islandluck.com/locations</t>
  </si>
  <si>
    <t>www.islandluck mobile .com</t>
  </si>
  <si>
    <t>island luck contact</t>
  </si>
  <si>
    <t>chances games.com</t>
  </si>
  <si>
    <t>tiraj chicago</t>
  </si>
  <si>
    <t>islandluck mobile login</t>
  </si>
  <si>
    <t>ísland luck</t>
  </si>
  <si>
    <t>Local teaser, Video preview, Sitelinks</t>
  </si>
  <si>
    <t>chances phone number</t>
  </si>
  <si>
    <t>island luck opening hours</t>
  </si>
  <si>
    <t>ultra games number</t>
  </si>
  <si>
    <t>https://www.ultragames.com:890/Support.aspx</t>
  </si>
  <si>
    <t>theislandgame.com</t>
  </si>
  <si>
    <t>island luck webcafe</t>
  </si>
  <si>
    <t>early california lottery</t>
  </si>
  <si>
    <t>www everybodywinslive.com</t>
  </si>
  <si>
    <t>islandluck customer service</t>
  </si>
  <si>
    <t>iland luck</t>
  </si>
  <si>
    <t>raven lucky number online</t>
  </si>
  <si>
    <t>iland lok</t>
  </si>
  <si>
    <t>www.asure.com login</t>
  </si>
  <si>
    <t>chicago lotto winning numbers</t>
  </si>
  <si>
    <t>www.casino demo</t>
  </si>
  <si>
    <t>chances com</t>
  </si>
  <si>
    <t>everybody win</t>
  </si>
  <si>
    <t>chances casino locations</t>
  </si>
  <si>
    <t>island luck account</t>
  </si>
  <si>
    <t>lucky pick for today</t>
  </si>
  <si>
    <t>chance hoy</t>
  </si>
  <si>
    <t>island luck wulff road number</t>
  </si>
  <si>
    <t>everybodywinslive winning numbers</t>
  </si>
  <si>
    <t>island luck fantasy 5 winning numbers</t>
  </si>
  <si>
    <t>island. luck</t>
  </si>
  <si>
    <t>islandluck web cafe</t>
  </si>
  <si>
    <t>chanses</t>
  </si>
  <si>
    <t>chances account login</t>
  </si>
  <si>
    <t>the island games</t>
  </si>
  <si>
    <t>chicago cash 3</t>
  </si>
  <si>
    <t>chances head office</t>
  </si>
  <si>
    <t>island game number</t>
  </si>
  <si>
    <t>island luck locations in nassau</t>
  </si>
  <si>
    <t>island luck head office number</t>
  </si>
  <si>
    <t>casino slots demo</t>
  </si>
  <si>
    <t>winning number today florida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</si>
</sst>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1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FFFFFF"/>
      <name val="Arial"/>
    </font>
    <font>
      <u/>
      <color rgb="FF0000FF"/>
      <name val="Arial"/>
    </font>
    <font>
      <u/>
      <color rgb="FFFFFFFF"/>
      <name val="Arial"/>
    </font>
    <font>
      <u/>
      <color rgb="FFFFFFFF"/>
      <name val="Arial"/>
    </font>
    <font>
      <u/>
      <color rgb="FF0000FF"/>
      <name val="Arial"/>
    </font>
    <font>
      <u/>
      <color rgb="FFFFFFFF"/>
      <name val="Arial"/>
    </font>
    <font>
      <b/>
      <u/>
      <color rgb="FFFFFFFF"/>
      <name val="Arial"/>
    </font>
    <font>
      <color theme="1"/>
      <name val="Arial"/>
      <scheme val="minor"/>
    </font>
    <font>
      <u/>
      <color rgb="FF1155CC"/>
      <name val="Arial"/>
    </font>
    <font>
      <sz val="9.0"/>
      <color rgb="FF000000"/>
      <name val="Arial"/>
    </font>
    <font>
      <u/>
      <color rgb="FF0000FF"/>
    </font>
    <font>
      <u/>
      <color rgb="FF1155CC"/>
      <name val="Arial"/>
    </font>
    <font>
      <u/>
      <color rgb="FF0000FF"/>
    </font>
    <font>
      <color rgb="FF1155CC"/>
      <name val="Arial"/>
    </font>
    <font>
      <u/>
      <color rgb="FF1155CC"/>
    </font>
    <font>
      <u/>
      <color rgb="FF1155CC"/>
      <name val="Arial"/>
    </font>
    <font>
      <u/>
      <color theme="1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1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999999"/>
      </top>
      <bottom style="thin">
        <color rgb="FF999999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000000"/>
      </top>
    </border>
    <border>
      <right style="dotted">
        <color rgb="FF000000"/>
      </right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dotted">
        <color rgb="FF000000"/>
      </left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99999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shrinkToFit="0" vertical="bottom" wrapText="1"/>
    </xf>
    <xf borderId="2" fillId="3" fontId="2" numFmtId="0" xfId="0" applyAlignment="1" applyBorder="1" applyFill="1" applyFont="1">
      <alignment vertical="bottom"/>
    </xf>
    <xf borderId="3" fillId="2" fontId="1" numFmtId="0" xfId="0" applyAlignment="1" applyBorder="1" applyFont="1">
      <alignment shrinkToFit="0" vertical="bottom" wrapText="1"/>
    </xf>
    <xf borderId="4" fillId="2" fontId="3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5" fillId="3" fontId="4" numFmtId="0" xfId="0" applyAlignment="1" applyBorder="1" applyFont="1">
      <alignment vertical="bottom"/>
    </xf>
    <xf borderId="6" fillId="2" fontId="5" numFmtId="0" xfId="0" applyAlignment="1" applyBorder="1" applyFont="1">
      <alignment readingOrder="0"/>
    </xf>
    <xf borderId="7" fillId="3" fontId="2" numFmtId="0" xfId="0" applyAlignment="1" applyBorder="1" applyFont="1">
      <alignment vertical="bottom"/>
    </xf>
    <xf borderId="3" fillId="3" fontId="2" numFmtId="0" xfId="0" applyAlignment="1" applyBorder="1" applyFont="1">
      <alignment vertical="bottom"/>
    </xf>
    <xf borderId="8" fillId="2" fontId="1" numFmtId="0" xfId="0" applyAlignment="1" applyBorder="1" applyFont="1">
      <alignment shrinkToFit="0" wrapText="1"/>
    </xf>
    <xf borderId="9" fillId="2" fontId="6" numFmtId="0" xfId="0" applyAlignment="1" applyBorder="1" applyFont="1">
      <alignment readingOrder="0"/>
    </xf>
    <xf borderId="0" fillId="3" fontId="7" numFmtId="0" xfId="0" applyAlignment="1" applyFont="1">
      <alignment vertical="bottom"/>
    </xf>
    <xf borderId="1" fillId="3" fontId="2" numFmtId="0" xfId="0" applyAlignment="1" applyBorder="1" applyFont="1">
      <alignment vertical="bottom"/>
    </xf>
    <xf borderId="10" fillId="2" fontId="8" numFmtId="0" xfId="0" applyAlignment="1" applyBorder="1" applyFont="1">
      <alignment readingOrder="0"/>
    </xf>
    <xf borderId="11" fillId="2" fontId="1" numFmtId="0" xfId="0" applyAlignment="1" applyBorder="1" applyFont="1">
      <alignment shrinkToFit="0" wrapText="1"/>
    </xf>
    <xf borderId="3" fillId="0" fontId="2" numFmtId="0" xfId="0" applyAlignment="1" applyBorder="1" applyFont="1">
      <alignment vertical="bottom"/>
    </xf>
    <xf borderId="0" fillId="2" fontId="9" numFmtId="0" xfId="0" applyAlignment="1" applyFont="1">
      <alignment shrinkToFit="0" vertical="bottom" wrapText="1"/>
    </xf>
    <xf borderId="3" fillId="2" fontId="1" numFmtId="164" xfId="0" applyAlignment="1" applyBorder="1" applyFont="1" applyNumberFormat="1">
      <alignment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2" numFmtId="0" xfId="0" applyFont="1"/>
    <xf borderId="1" fillId="0" fontId="2" numFmtId="0" xfId="0" applyAlignment="1" applyBorder="1" applyFont="1">
      <alignment vertical="bottom"/>
    </xf>
    <xf borderId="3" fillId="4" fontId="12" numFmtId="0" xfId="0" applyBorder="1" applyFill="1" applyFont="1"/>
    <xf borderId="3" fillId="0" fontId="2" numFmtId="0" xfId="0" applyAlignment="1" applyBorder="1" applyFont="1">
      <alignment horizontal="left"/>
    </xf>
    <xf borderId="0" fillId="4" fontId="12" numFmtId="0" xfId="0" applyFont="1"/>
    <xf borderId="0" fillId="0" fontId="2" numFmtId="0" xfId="0" applyAlignment="1" applyFont="1">
      <alignment horizontal="right"/>
    </xf>
    <xf borderId="1" fillId="0" fontId="2" numFmtId="0" xfId="0" applyBorder="1" applyFont="1"/>
    <xf borderId="8" fillId="0" fontId="2" numFmtId="0" xfId="0" applyBorder="1" applyFont="1"/>
    <xf borderId="10" fillId="2" fontId="3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12" fillId="2" fontId="3" numFmtId="0" xfId="0" applyAlignment="1" applyBorder="1" applyFont="1">
      <alignment readingOrder="0"/>
    </xf>
    <xf borderId="0" fillId="2" fontId="3" numFmtId="0" xfId="0" applyFont="1"/>
    <xf borderId="13" fillId="0" fontId="14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0" fillId="0" fontId="15" numFmtId="0" xfId="0" applyFont="1"/>
    <xf borderId="0" fillId="0" fontId="16" numFmtId="0" xfId="0" applyAlignment="1" applyFont="1">
      <alignment readingOrder="0" vertical="bottom"/>
    </xf>
    <xf borderId="4" fillId="0" fontId="17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Border="1" applyFont="1"/>
    <xf borderId="0" fillId="0" fontId="2" numFmtId="0" xfId="0" applyAlignment="1" applyFont="1">
      <alignment readingOrder="0" shrinkToFit="0" wrapText="1"/>
    </xf>
    <xf borderId="12" fillId="0" fontId="2" numFmtId="0" xfId="0" applyAlignment="1" applyBorder="1" applyFont="1">
      <alignment readingOrder="0"/>
    </xf>
    <xf borderId="0" fillId="0" fontId="2" numFmtId="164" xfId="0" applyFont="1" applyNumberFormat="1"/>
    <xf borderId="0" fillId="0" fontId="10" numFmtId="164" xfId="0" applyAlignment="1" applyFont="1" applyNumberFormat="1">
      <alignment readingOrder="0"/>
    </xf>
    <xf borderId="3" fillId="0" fontId="2" numFmtId="164" xfId="0" applyBorder="1" applyFont="1" applyNumberFormat="1"/>
    <xf borderId="4" fillId="0" fontId="18" numFmtId="0" xfId="0" applyAlignment="1" applyBorder="1" applyFont="1">
      <alignment readingOrder="0" shrinkToFit="0" wrapText="1"/>
    </xf>
    <xf borderId="0" fillId="0" fontId="19" numFmtId="0" xfId="0" applyFont="1"/>
    <xf borderId="4" fillId="0" fontId="16" numFmtId="0" xfId="0" applyAlignment="1" applyBorder="1" applyFont="1">
      <alignment readingOrder="0" shrinkToFit="0" wrapText="1"/>
    </xf>
    <xf borderId="15" fillId="0" fontId="16" numFmtId="0" xfId="0" applyAlignment="1" applyBorder="1" applyFont="1">
      <alignment readingOrder="0" shrinkToFit="0" wrapText="1"/>
    </xf>
    <xf borderId="16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/>
    </xf>
    <xf borderId="18" fillId="0" fontId="2" numFmtId="0" xfId="0" applyAlignment="1" applyBorder="1" applyFont="1">
      <alignment readingOrder="0"/>
    </xf>
    <xf borderId="19" fillId="0" fontId="2" numFmtId="0" xfId="0" applyAlignment="1" applyBorder="1" applyFont="1">
      <alignment readingOrder="0"/>
    </xf>
    <xf borderId="20" fillId="0" fontId="16" numFmtId="0" xfId="0" applyAlignment="1" applyBorder="1" applyFont="1">
      <alignment readingOrder="0" shrinkToFit="0" wrapText="1"/>
    </xf>
    <xf borderId="20" fillId="0" fontId="2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20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slandluck.com/" TargetMode="External"/><Relationship Id="rId2" Type="http://schemas.openxmlformats.org/officeDocument/2006/relationships/hyperlink" Target="https://www.chancesgames.com/" TargetMode="External"/><Relationship Id="rId3" Type="http://schemas.openxmlformats.org/officeDocument/2006/relationships/hyperlink" Target="https://ultragames.com/Default.aspx" TargetMode="External"/><Relationship Id="rId4" Type="http://schemas.openxmlformats.org/officeDocument/2006/relationships/hyperlink" Target="https://everybodywinslive.com/" TargetMode="External"/><Relationship Id="rId5" Type="http://schemas.openxmlformats.org/officeDocument/2006/relationships/hyperlink" Target="https://asurewin.com/" TargetMode="External"/><Relationship Id="rId6" Type="http://schemas.openxmlformats.org/officeDocument/2006/relationships/hyperlink" Target="https://theislandgame.com/default.aspx" TargetMode="External"/><Relationship Id="rId7" Type="http://schemas.openxmlformats.org/officeDocument/2006/relationships/hyperlink" Target="https://www.lotterybahamas.com/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www.chancesgames.com/" TargetMode="External"/><Relationship Id="rId10" Type="http://schemas.openxmlformats.org/officeDocument/2006/relationships/hyperlink" Target="http://www.islandluck.com/" TargetMode="External"/><Relationship Id="rId13" Type="http://schemas.openxmlformats.org/officeDocument/2006/relationships/hyperlink" Target="http://everybodywinslive.com/" TargetMode="External"/><Relationship Id="rId12" Type="http://schemas.openxmlformats.org/officeDocument/2006/relationships/hyperlink" Target="http://ultragames.com/" TargetMode="External"/><Relationship Id="rId1" Type="http://schemas.openxmlformats.org/officeDocument/2006/relationships/hyperlink" Target="http://pggames.com/" TargetMode="External"/><Relationship Id="rId2" Type="http://schemas.openxmlformats.org/officeDocument/2006/relationships/hyperlink" Target="http://www.islandluck.com/" TargetMode="External"/><Relationship Id="rId3" Type="http://schemas.openxmlformats.org/officeDocument/2006/relationships/hyperlink" Target="http://www.chancesgames.com/" TargetMode="External"/><Relationship Id="rId4" Type="http://schemas.openxmlformats.org/officeDocument/2006/relationships/hyperlink" Target="http://ultragames.com/" TargetMode="External"/><Relationship Id="rId9" Type="http://schemas.openxmlformats.org/officeDocument/2006/relationships/hyperlink" Target="http://pggames.com/" TargetMode="External"/><Relationship Id="rId15" Type="http://schemas.openxmlformats.org/officeDocument/2006/relationships/hyperlink" Target="http://theislandgame.com/default.aspx" TargetMode="External"/><Relationship Id="rId14" Type="http://schemas.openxmlformats.org/officeDocument/2006/relationships/hyperlink" Target="http://asurewin.com/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://www.lotterybahamas.com/" TargetMode="External"/><Relationship Id="rId5" Type="http://schemas.openxmlformats.org/officeDocument/2006/relationships/hyperlink" Target="http://everybodywinslive.com/" TargetMode="External"/><Relationship Id="rId6" Type="http://schemas.openxmlformats.org/officeDocument/2006/relationships/hyperlink" Target="http://asurewin.com/" TargetMode="External"/><Relationship Id="rId7" Type="http://schemas.openxmlformats.org/officeDocument/2006/relationships/hyperlink" Target="http://theislandgame.com/default.aspx" TargetMode="External"/><Relationship Id="rId8" Type="http://schemas.openxmlformats.org/officeDocument/2006/relationships/hyperlink" Target="http://www.lotterybahamas.com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hancesgames.com/WinningNumbers/WinningList" TargetMode="External"/><Relationship Id="rId194" Type="http://schemas.openxmlformats.org/officeDocument/2006/relationships/hyperlink" Target="https://www.chancesgames.com/WinningNumbers/WinningList" TargetMode="External"/><Relationship Id="rId193" Type="http://schemas.openxmlformats.org/officeDocument/2006/relationships/hyperlink" Target="https://www.islandluck.com/winningnumbers" TargetMode="External"/><Relationship Id="rId192" Type="http://schemas.openxmlformats.org/officeDocument/2006/relationships/hyperlink" Target="https://www.ultragames.com:890/Winnings.aspx" TargetMode="External"/><Relationship Id="rId191" Type="http://schemas.openxmlformats.org/officeDocument/2006/relationships/hyperlink" Target="https://www.islandluck.com/winningnumbers" TargetMode="External"/><Relationship Id="rId187" Type="http://schemas.openxmlformats.org/officeDocument/2006/relationships/hyperlink" Target="https://www.islandluck.com/" TargetMode="External"/><Relationship Id="rId186" Type="http://schemas.openxmlformats.org/officeDocument/2006/relationships/hyperlink" Target="https://everybodywinslive.com/en/lotto/LotteryGamesWinningNumbers/" TargetMode="External"/><Relationship Id="rId185" Type="http://schemas.openxmlformats.org/officeDocument/2006/relationships/hyperlink" Target="https://www.chancesgames.com/WinningNumbers/WinningList" TargetMode="External"/><Relationship Id="rId184" Type="http://schemas.openxmlformats.org/officeDocument/2006/relationships/hyperlink" Target="https://www.chancesgames.com/" TargetMode="External"/><Relationship Id="rId189" Type="http://schemas.openxmlformats.org/officeDocument/2006/relationships/hyperlink" Target="https://www.islandluck.com/winningnumbers" TargetMode="External"/><Relationship Id="rId188" Type="http://schemas.openxmlformats.org/officeDocument/2006/relationships/hyperlink" Target="https://asurewin.com/demo-dgs" TargetMode="External"/><Relationship Id="rId183" Type="http://schemas.openxmlformats.org/officeDocument/2006/relationships/hyperlink" Target="https://www.islandluck.com/winningnumbers" TargetMode="External"/><Relationship Id="rId182" Type="http://schemas.openxmlformats.org/officeDocument/2006/relationships/hyperlink" Target="https://www.chancesgames.com/" TargetMode="External"/><Relationship Id="rId181" Type="http://schemas.openxmlformats.org/officeDocument/2006/relationships/hyperlink" Target="https://www.islandluck.com/" TargetMode="External"/><Relationship Id="rId180" Type="http://schemas.openxmlformats.org/officeDocument/2006/relationships/hyperlink" Target="https://www.chancesgames.com/" TargetMode="External"/><Relationship Id="rId176" Type="http://schemas.openxmlformats.org/officeDocument/2006/relationships/hyperlink" Target="https://www.ultragames.com:890/Winnings.aspx" TargetMode="External"/><Relationship Id="rId297" Type="http://schemas.openxmlformats.org/officeDocument/2006/relationships/hyperlink" Target="https://www.chancesgames.com/WinningNumbers/WinningList" TargetMode="External"/><Relationship Id="rId175" Type="http://schemas.openxmlformats.org/officeDocument/2006/relationships/hyperlink" Target="https://www.islandluck.com/winningnumbers" TargetMode="External"/><Relationship Id="rId296" Type="http://schemas.openxmlformats.org/officeDocument/2006/relationships/hyperlink" Target="https://www.islandluck.com/" TargetMode="External"/><Relationship Id="rId174" Type="http://schemas.openxmlformats.org/officeDocument/2006/relationships/hyperlink" Target="https://everybodywinslive.com/en/lotto/LotteryGamesWinningNumbers/" TargetMode="External"/><Relationship Id="rId295" Type="http://schemas.openxmlformats.org/officeDocument/2006/relationships/hyperlink" Target="https://www.chancesgames.com/" TargetMode="External"/><Relationship Id="rId173" Type="http://schemas.openxmlformats.org/officeDocument/2006/relationships/hyperlink" Target="https://www.chancesgames.com/WinningNumbers/WinningList" TargetMode="External"/><Relationship Id="rId294" Type="http://schemas.openxmlformats.org/officeDocument/2006/relationships/hyperlink" Target="https://www.islandluck.com/winningnumbers" TargetMode="External"/><Relationship Id="rId179" Type="http://schemas.openxmlformats.org/officeDocument/2006/relationships/hyperlink" Target="https://www.islandluck.com/" TargetMode="External"/><Relationship Id="rId178" Type="http://schemas.openxmlformats.org/officeDocument/2006/relationships/hyperlink" Target="https://www.chancesgames.com/WinningNumbers/WinningList" TargetMode="External"/><Relationship Id="rId299" Type="http://schemas.openxmlformats.org/officeDocument/2006/relationships/hyperlink" Target="https://www.islandluck.com/" TargetMode="External"/><Relationship Id="rId177" Type="http://schemas.openxmlformats.org/officeDocument/2006/relationships/hyperlink" Target="https://www.islandluck.com/winningnumbers" TargetMode="External"/><Relationship Id="rId298" Type="http://schemas.openxmlformats.org/officeDocument/2006/relationships/hyperlink" Target="https://everybodywinslive.com/" TargetMode="External"/><Relationship Id="rId198" Type="http://schemas.openxmlformats.org/officeDocument/2006/relationships/hyperlink" Target="https://www.ultragames.com:890/Winnings.aspx" TargetMode="External"/><Relationship Id="rId197" Type="http://schemas.openxmlformats.org/officeDocument/2006/relationships/hyperlink" Target="https://www.islandluck.com/winningnumbers" TargetMode="External"/><Relationship Id="rId196" Type="http://schemas.openxmlformats.org/officeDocument/2006/relationships/hyperlink" Target="https://www.chancesgames.com/WinningNumbers/WinningList" TargetMode="External"/><Relationship Id="rId195" Type="http://schemas.openxmlformats.org/officeDocument/2006/relationships/hyperlink" Target="https://www.islandluck.com/winningnumbers" TargetMode="External"/><Relationship Id="rId199" Type="http://schemas.openxmlformats.org/officeDocument/2006/relationships/hyperlink" Target="https://www.islandluck.com/" TargetMode="External"/><Relationship Id="rId150" Type="http://schemas.openxmlformats.org/officeDocument/2006/relationships/hyperlink" Target="https://www.islandluck.com/winningnumbers" TargetMode="External"/><Relationship Id="rId271" Type="http://schemas.openxmlformats.org/officeDocument/2006/relationships/hyperlink" Target="https://www.islandluck.com/" TargetMode="External"/><Relationship Id="rId392" Type="http://schemas.openxmlformats.org/officeDocument/2006/relationships/hyperlink" Target="https://www.chancesgames.com/" TargetMode="External"/><Relationship Id="rId270" Type="http://schemas.openxmlformats.org/officeDocument/2006/relationships/hyperlink" Target="https://ultragames.com/" TargetMode="External"/><Relationship Id="rId391" Type="http://schemas.openxmlformats.org/officeDocument/2006/relationships/hyperlink" Target="https://www.chancesgames.com/" TargetMode="External"/><Relationship Id="rId390" Type="http://schemas.openxmlformats.org/officeDocument/2006/relationships/hyperlink" Target="https://www.islandluck.com:10086/frm/exclusion_app.pdf" TargetMode="External"/><Relationship Id="rId1" Type="http://schemas.openxmlformats.org/officeDocument/2006/relationships/hyperlink" Target="https://www.islandluck.com/winningnumbers" TargetMode="External"/><Relationship Id="rId2" Type="http://schemas.openxmlformats.org/officeDocument/2006/relationships/hyperlink" Target="https://www.chancesgames.com/WinningNumbers/WinningList" TargetMode="External"/><Relationship Id="rId3" Type="http://schemas.openxmlformats.org/officeDocument/2006/relationships/hyperlink" Target="https://www.ultragames.com:890/Winnings.aspx" TargetMode="External"/><Relationship Id="rId149" Type="http://schemas.openxmlformats.org/officeDocument/2006/relationships/hyperlink" Target="https://everybodywinslive.com/en/support/Locations/" TargetMode="External"/><Relationship Id="rId4" Type="http://schemas.openxmlformats.org/officeDocument/2006/relationships/hyperlink" Target="https://everybodywinslive.com/en/lotto/LotteryGamesWinningNumbers/" TargetMode="External"/><Relationship Id="rId148" Type="http://schemas.openxmlformats.org/officeDocument/2006/relationships/hyperlink" Target="https://www.chancesgames.com/AboutChances/AboutChances" TargetMode="External"/><Relationship Id="rId269" Type="http://schemas.openxmlformats.org/officeDocument/2006/relationships/hyperlink" Target="https://www.islandluck.com/" TargetMode="External"/><Relationship Id="rId9" Type="http://schemas.openxmlformats.org/officeDocument/2006/relationships/hyperlink" Target="https://everybodywinslive.com/en/lotto/LotteryGamesWinningNumbers/" TargetMode="External"/><Relationship Id="rId143" Type="http://schemas.openxmlformats.org/officeDocument/2006/relationships/hyperlink" Target="https://everybodywinslive.com/en/lotto/LotteryGamesWinningNumbers/" TargetMode="External"/><Relationship Id="rId264" Type="http://schemas.openxmlformats.org/officeDocument/2006/relationships/hyperlink" Target="https://ultragames.com/" TargetMode="External"/><Relationship Id="rId385" Type="http://schemas.openxmlformats.org/officeDocument/2006/relationships/hyperlink" Target="https://www.islandluck.com/" TargetMode="External"/><Relationship Id="rId142" Type="http://schemas.openxmlformats.org/officeDocument/2006/relationships/hyperlink" Target="https://www.ultragames.com:890/Winnings.aspx" TargetMode="External"/><Relationship Id="rId263" Type="http://schemas.openxmlformats.org/officeDocument/2006/relationships/hyperlink" Target="https://www.islandluck.com/" TargetMode="External"/><Relationship Id="rId384" Type="http://schemas.openxmlformats.org/officeDocument/2006/relationships/hyperlink" Target="https://www.islandluck.com/" TargetMode="External"/><Relationship Id="rId141" Type="http://schemas.openxmlformats.org/officeDocument/2006/relationships/hyperlink" Target="https://www.islandluck.com/winningnumbers" TargetMode="External"/><Relationship Id="rId262" Type="http://schemas.openxmlformats.org/officeDocument/2006/relationships/hyperlink" Target="https://ultragames.com/" TargetMode="External"/><Relationship Id="rId383" Type="http://schemas.openxmlformats.org/officeDocument/2006/relationships/hyperlink" Target="https://everybodywinslive.com/en/lotto/LotteryGamesWinningNumbers/" TargetMode="External"/><Relationship Id="rId140" Type="http://schemas.openxmlformats.org/officeDocument/2006/relationships/hyperlink" Target="https://asurewin.com/winning-numbers" TargetMode="External"/><Relationship Id="rId261" Type="http://schemas.openxmlformats.org/officeDocument/2006/relationships/hyperlink" Target="https://ultragames.com/" TargetMode="External"/><Relationship Id="rId382" Type="http://schemas.openxmlformats.org/officeDocument/2006/relationships/hyperlink" Target="https://www.islandluck.com/" TargetMode="External"/><Relationship Id="rId5" Type="http://schemas.openxmlformats.org/officeDocument/2006/relationships/hyperlink" Target="https://asurewin.com/winning-numbers" TargetMode="External"/><Relationship Id="rId147" Type="http://schemas.openxmlformats.org/officeDocument/2006/relationships/hyperlink" Target="https://www.islandluck.com/" TargetMode="External"/><Relationship Id="rId268" Type="http://schemas.openxmlformats.org/officeDocument/2006/relationships/hyperlink" Target="https://www.islandluck.com/" TargetMode="External"/><Relationship Id="rId389" Type="http://schemas.openxmlformats.org/officeDocument/2006/relationships/hyperlink" Target="https://ultragames.com/" TargetMode="External"/><Relationship Id="rId6" Type="http://schemas.openxmlformats.org/officeDocument/2006/relationships/hyperlink" Target="https://www.islandluck.com/winningnumbers" TargetMode="External"/><Relationship Id="rId146" Type="http://schemas.openxmlformats.org/officeDocument/2006/relationships/hyperlink" Target="https://everybodywinslive.com/en/lotto/LotteryGamesWinningNumbers/" TargetMode="External"/><Relationship Id="rId267" Type="http://schemas.openxmlformats.org/officeDocument/2006/relationships/hyperlink" Target="https://www.islandluck.com/" TargetMode="External"/><Relationship Id="rId388" Type="http://schemas.openxmlformats.org/officeDocument/2006/relationships/hyperlink" Target="https://www.islandluck.com/" TargetMode="External"/><Relationship Id="rId7" Type="http://schemas.openxmlformats.org/officeDocument/2006/relationships/hyperlink" Target="https://www.chancesgames.com/WinningNumbers/WinningList" TargetMode="External"/><Relationship Id="rId145" Type="http://schemas.openxmlformats.org/officeDocument/2006/relationships/hyperlink" Target="https://www.ultragames.com:890/Winnings.aspx" TargetMode="External"/><Relationship Id="rId266" Type="http://schemas.openxmlformats.org/officeDocument/2006/relationships/hyperlink" Target="https://www.islandluck.com/" TargetMode="External"/><Relationship Id="rId387" Type="http://schemas.openxmlformats.org/officeDocument/2006/relationships/hyperlink" Target="https://www.islandluck.com/" TargetMode="External"/><Relationship Id="rId8" Type="http://schemas.openxmlformats.org/officeDocument/2006/relationships/hyperlink" Target="https://www.ultragames.com:890/Winnings.aspx" TargetMode="External"/><Relationship Id="rId144" Type="http://schemas.openxmlformats.org/officeDocument/2006/relationships/hyperlink" Target="https://www.islandluck.com/winningnumbers" TargetMode="External"/><Relationship Id="rId265" Type="http://schemas.openxmlformats.org/officeDocument/2006/relationships/hyperlink" Target="https://www.islandluck.com/" TargetMode="External"/><Relationship Id="rId386" Type="http://schemas.openxmlformats.org/officeDocument/2006/relationships/hyperlink" Target="https://www.islandluck.com/sports" TargetMode="External"/><Relationship Id="rId260" Type="http://schemas.openxmlformats.org/officeDocument/2006/relationships/hyperlink" Target="https://asurewin.com/demo-dgs" TargetMode="External"/><Relationship Id="rId381" Type="http://schemas.openxmlformats.org/officeDocument/2006/relationships/hyperlink" Target="http://www.theislandgame.com" TargetMode="External"/><Relationship Id="rId380" Type="http://schemas.openxmlformats.org/officeDocument/2006/relationships/hyperlink" Target="https://www.chancesgames.com/AboutChances/AboutChances" TargetMode="External"/><Relationship Id="rId139" Type="http://schemas.openxmlformats.org/officeDocument/2006/relationships/hyperlink" Target="https://www.chancesgames.com/WinningNumbers/WinningList" TargetMode="External"/><Relationship Id="rId138" Type="http://schemas.openxmlformats.org/officeDocument/2006/relationships/hyperlink" Target="https://www.islandluck.com/winningnumbers" TargetMode="External"/><Relationship Id="rId259" Type="http://schemas.openxmlformats.org/officeDocument/2006/relationships/hyperlink" Target="https://www.islandluck.com/" TargetMode="External"/><Relationship Id="rId137" Type="http://schemas.openxmlformats.org/officeDocument/2006/relationships/hyperlink" Target="https://everybodywinslive.com/en/lotto/LotteryGamesWinningNumbers/" TargetMode="External"/><Relationship Id="rId258" Type="http://schemas.openxmlformats.org/officeDocument/2006/relationships/hyperlink" Target="https://www.islandluck.com/" TargetMode="External"/><Relationship Id="rId379" Type="http://schemas.openxmlformats.org/officeDocument/2006/relationships/hyperlink" Target="https://www.islandluck.com/winningnumbers" TargetMode="External"/><Relationship Id="rId132" Type="http://schemas.openxmlformats.org/officeDocument/2006/relationships/hyperlink" Target="https://www.ultragames.com:890/Winnings.aspx" TargetMode="External"/><Relationship Id="rId253" Type="http://schemas.openxmlformats.org/officeDocument/2006/relationships/hyperlink" Target="https://www.islandluck.com/" TargetMode="External"/><Relationship Id="rId374" Type="http://schemas.openxmlformats.org/officeDocument/2006/relationships/hyperlink" Target="https://www.islandluck.com/" TargetMode="External"/><Relationship Id="rId131" Type="http://schemas.openxmlformats.org/officeDocument/2006/relationships/hyperlink" Target="https://everybodywinslive.com/en/lotto/LotteryGamesWinningNumbers/" TargetMode="External"/><Relationship Id="rId252" Type="http://schemas.openxmlformats.org/officeDocument/2006/relationships/hyperlink" Target="https://www.islandluck.com/" TargetMode="External"/><Relationship Id="rId373" Type="http://schemas.openxmlformats.org/officeDocument/2006/relationships/hyperlink" Target="https://www.ultragames.com:890/Winnings.aspx" TargetMode="External"/><Relationship Id="rId130" Type="http://schemas.openxmlformats.org/officeDocument/2006/relationships/hyperlink" Target="https://www.ultragames.com:890/Winnings.aspx" TargetMode="External"/><Relationship Id="rId251" Type="http://schemas.openxmlformats.org/officeDocument/2006/relationships/hyperlink" Target="https://www.islandluck.com/" TargetMode="External"/><Relationship Id="rId372" Type="http://schemas.openxmlformats.org/officeDocument/2006/relationships/hyperlink" Target="https://everybodywinslive.com/en/lotto/LotteryBorletteWinningNumbers/" TargetMode="External"/><Relationship Id="rId250" Type="http://schemas.openxmlformats.org/officeDocument/2006/relationships/hyperlink" Target="https://www.islandluck.com/" TargetMode="External"/><Relationship Id="rId371" Type="http://schemas.openxmlformats.org/officeDocument/2006/relationships/hyperlink" Target="https://www.chancesgames.com/SignUp/SignUpToday" TargetMode="External"/><Relationship Id="rId136" Type="http://schemas.openxmlformats.org/officeDocument/2006/relationships/hyperlink" Target="https://www.chancesgames.com/WinningNumbers/WinningList" TargetMode="External"/><Relationship Id="rId257" Type="http://schemas.openxmlformats.org/officeDocument/2006/relationships/hyperlink" Target="https://www.islandluck.com/" TargetMode="External"/><Relationship Id="rId378" Type="http://schemas.openxmlformats.org/officeDocument/2006/relationships/hyperlink" Target="https://everybodywinslive.com/en/lotto/LotteryBorletteWinningNumbers/" TargetMode="External"/><Relationship Id="rId135" Type="http://schemas.openxmlformats.org/officeDocument/2006/relationships/hyperlink" Target="https://www.islandluck.com/winningnumbers" TargetMode="External"/><Relationship Id="rId256" Type="http://schemas.openxmlformats.org/officeDocument/2006/relationships/hyperlink" Target="https://www.chancesgames.com/" TargetMode="External"/><Relationship Id="rId377" Type="http://schemas.openxmlformats.org/officeDocument/2006/relationships/hyperlink" Target="https://www.chancesgames.com/Casino/CasinoGames" TargetMode="External"/><Relationship Id="rId134" Type="http://schemas.openxmlformats.org/officeDocument/2006/relationships/hyperlink" Target="https://asurewin.com/winning-numbers" TargetMode="External"/><Relationship Id="rId255" Type="http://schemas.openxmlformats.org/officeDocument/2006/relationships/hyperlink" Target="https://ultragames.com/" TargetMode="External"/><Relationship Id="rId376" Type="http://schemas.openxmlformats.org/officeDocument/2006/relationships/hyperlink" Target="https://www.islandluck.com/CustomerSupport" TargetMode="External"/><Relationship Id="rId133" Type="http://schemas.openxmlformats.org/officeDocument/2006/relationships/hyperlink" Target="https://everybodywinslive.com/en/lotto/LotteryGamesWinningNumbers/" TargetMode="External"/><Relationship Id="rId254" Type="http://schemas.openxmlformats.org/officeDocument/2006/relationships/hyperlink" Target="https://www.islandluck.com/" TargetMode="External"/><Relationship Id="rId375" Type="http://schemas.openxmlformats.org/officeDocument/2006/relationships/hyperlink" Target="https://www.islandluck.com/" TargetMode="External"/><Relationship Id="rId172" Type="http://schemas.openxmlformats.org/officeDocument/2006/relationships/hyperlink" Target="https://everybodywinslive.com/en/lotto/LotteryGamesWinningNumbers/" TargetMode="External"/><Relationship Id="rId293" Type="http://schemas.openxmlformats.org/officeDocument/2006/relationships/hyperlink" Target="https://www.chancesgames.com/WinningNumbers/WinningList" TargetMode="External"/><Relationship Id="rId171" Type="http://schemas.openxmlformats.org/officeDocument/2006/relationships/hyperlink" Target="https://www.islandluck.com/" TargetMode="External"/><Relationship Id="rId292" Type="http://schemas.openxmlformats.org/officeDocument/2006/relationships/hyperlink" Target="https://www.chancesgames.com/" TargetMode="External"/><Relationship Id="rId170" Type="http://schemas.openxmlformats.org/officeDocument/2006/relationships/hyperlink" Target="https://everybodywinslive.com/en/lotto/LotteryGamesWinningNumbers/" TargetMode="External"/><Relationship Id="rId291" Type="http://schemas.openxmlformats.org/officeDocument/2006/relationships/hyperlink" Target="https://asurewin.com/demo-dgs" TargetMode="External"/><Relationship Id="rId290" Type="http://schemas.openxmlformats.org/officeDocument/2006/relationships/hyperlink" Target="https://asurewin.com/demo-dgs" TargetMode="External"/><Relationship Id="rId165" Type="http://schemas.openxmlformats.org/officeDocument/2006/relationships/hyperlink" Target="https://www.islandluck.com/winningnumbers" TargetMode="External"/><Relationship Id="rId286" Type="http://schemas.openxmlformats.org/officeDocument/2006/relationships/hyperlink" Target="https://www.islandluck.com/" TargetMode="External"/><Relationship Id="rId164" Type="http://schemas.openxmlformats.org/officeDocument/2006/relationships/hyperlink" Target="https://asurewin.com/demo-dgs" TargetMode="External"/><Relationship Id="rId285" Type="http://schemas.openxmlformats.org/officeDocument/2006/relationships/hyperlink" Target="https://asurewin.com/demo-dgs" TargetMode="External"/><Relationship Id="rId163" Type="http://schemas.openxmlformats.org/officeDocument/2006/relationships/hyperlink" Target="https://everybodywinslive.com/en/casino-games/games/slot/pi2d/" TargetMode="External"/><Relationship Id="rId284" Type="http://schemas.openxmlformats.org/officeDocument/2006/relationships/hyperlink" Target="https://www.islandluck.com/?modal=locations" TargetMode="External"/><Relationship Id="rId162" Type="http://schemas.openxmlformats.org/officeDocument/2006/relationships/hyperlink" Target="https://everybodywinslive.com/en/lotto/LotteryGamesWinningNumbers/" TargetMode="External"/><Relationship Id="rId283" Type="http://schemas.openxmlformats.org/officeDocument/2006/relationships/hyperlink" Target="https://www.islandluck.com/" TargetMode="External"/><Relationship Id="rId169" Type="http://schemas.openxmlformats.org/officeDocument/2006/relationships/hyperlink" Target="https://www.chancesgames.com/" TargetMode="External"/><Relationship Id="rId168" Type="http://schemas.openxmlformats.org/officeDocument/2006/relationships/hyperlink" Target="https://www.ultragames.com:890/Winnings.aspx" TargetMode="External"/><Relationship Id="rId289" Type="http://schemas.openxmlformats.org/officeDocument/2006/relationships/hyperlink" Target="https://asurewin.com/demo-dgs" TargetMode="External"/><Relationship Id="rId167" Type="http://schemas.openxmlformats.org/officeDocument/2006/relationships/hyperlink" Target="https://www.islandluck.com/winningnumbers" TargetMode="External"/><Relationship Id="rId288" Type="http://schemas.openxmlformats.org/officeDocument/2006/relationships/hyperlink" Target="https://www.islandluck.com/" TargetMode="External"/><Relationship Id="rId166" Type="http://schemas.openxmlformats.org/officeDocument/2006/relationships/hyperlink" Target="https://www.chancesgames.com/" TargetMode="External"/><Relationship Id="rId287" Type="http://schemas.openxmlformats.org/officeDocument/2006/relationships/hyperlink" Target="https://www.chancesgames.com/" TargetMode="External"/><Relationship Id="rId161" Type="http://schemas.openxmlformats.org/officeDocument/2006/relationships/hyperlink" Target="https://www.islandluck.com/winningnumbers" TargetMode="External"/><Relationship Id="rId282" Type="http://schemas.openxmlformats.org/officeDocument/2006/relationships/hyperlink" Target="https://www.islandluck.com/CustomerSupport" TargetMode="External"/><Relationship Id="rId160" Type="http://schemas.openxmlformats.org/officeDocument/2006/relationships/hyperlink" Target="https://www.ultragames.com:890/Winnings.aspx" TargetMode="External"/><Relationship Id="rId281" Type="http://schemas.openxmlformats.org/officeDocument/2006/relationships/hyperlink" Target="https://www.chancesgames.com/" TargetMode="External"/><Relationship Id="rId280" Type="http://schemas.openxmlformats.org/officeDocument/2006/relationships/hyperlink" Target="https://asurewin.com/demo-dgs" TargetMode="External"/><Relationship Id="rId159" Type="http://schemas.openxmlformats.org/officeDocument/2006/relationships/hyperlink" Target="https://www.islandluck.com/winningnumbers" TargetMode="External"/><Relationship Id="rId154" Type="http://schemas.openxmlformats.org/officeDocument/2006/relationships/hyperlink" Target="https://www.ultragames.com:890/Winnings.aspx" TargetMode="External"/><Relationship Id="rId275" Type="http://schemas.openxmlformats.org/officeDocument/2006/relationships/hyperlink" Target="https://www.islandluck.com/" TargetMode="External"/><Relationship Id="rId396" Type="http://schemas.openxmlformats.org/officeDocument/2006/relationships/hyperlink" Target="https://www.islandluck.com/" TargetMode="External"/><Relationship Id="rId153" Type="http://schemas.openxmlformats.org/officeDocument/2006/relationships/hyperlink" Target="https://www.islandluck.com/" TargetMode="External"/><Relationship Id="rId274" Type="http://schemas.openxmlformats.org/officeDocument/2006/relationships/hyperlink" Target="https://www.islandluck.com/" TargetMode="External"/><Relationship Id="rId395" Type="http://schemas.openxmlformats.org/officeDocument/2006/relationships/hyperlink" Target="https://www.islandluck.com/" TargetMode="External"/><Relationship Id="rId152" Type="http://schemas.openxmlformats.org/officeDocument/2006/relationships/hyperlink" Target="https://everybodywinslive.com/en/lotto/LotteryGamesWinningNumbers/" TargetMode="External"/><Relationship Id="rId273" Type="http://schemas.openxmlformats.org/officeDocument/2006/relationships/hyperlink" Target="https://asurewin.com/" TargetMode="External"/><Relationship Id="rId394" Type="http://schemas.openxmlformats.org/officeDocument/2006/relationships/hyperlink" Target="https://www.islandluck.com/winningnumbers" TargetMode="External"/><Relationship Id="rId151" Type="http://schemas.openxmlformats.org/officeDocument/2006/relationships/hyperlink" Target="https://www.ultragames.com:890/Winnings.aspx" TargetMode="External"/><Relationship Id="rId272" Type="http://schemas.openxmlformats.org/officeDocument/2006/relationships/hyperlink" Target="https://www.chancesgames.com/" TargetMode="External"/><Relationship Id="rId393" Type="http://schemas.openxmlformats.org/officeDocument/2006/relationships/hyperlink" Target="https://www.islandluck.com/" TargetMode="External"/><Relationship Id="rId158" Type="http://schemas.openxmlformats.org/officeDocument/2006/relationships/hyperlink" Target="https://www.ultragames.com:890/Winnings.aspx" TargetMode="External"/><Relationship Id="rId279" Type="http://schemas.openxmlformats.org/officeDocument/2006/relationships/hyperlink" Target="https://www.islandluck.com/legal" TargetMode="External"/><Relationship Id="rId157" Type="http://schemas.openxmlformats.org/officeDocument/2006/relationships/hyperlink" Target="https://www.islandluck.com/winningnumbers" TargetMode="External"/><Relationship Id="rId278" Type="http://schemas.openxmlformats.org/officeDocument/2006/relationships/hyperlink" Target="https://everybodywinslive.com/en/lotto/LotteryGamesWinningNumbers/" TargetMode="External"/><Relationship Id="rId399" Type="http://schemas.openxmlformats.org/officeDocument/2006/relationships/hyperlink" Target="https://www.islandluck.com/" TargetMode="External"/><Relationship Id="rId156" Type="http://schemas.openxmlformats.org/officeDocument/2006/relationships/hyperlink" Target="https://www.ultragames.com:890/Winnings.aspx" TargetMode="External"/><Relationship Id="rId277" Type="http://schemas.openxmlformats.org/officeDocument/2006/relationships/hyperlink" Target="https://asurewin.com/" TargetMode="External"/><Relationship Id="rId398" Type="http://schemas.openxmlformats.org/officeDocument/2006/relationships/hyperlink" Target="http://www.island.com" TargetMode="External"/><Relationship Id="rId155" Type="http://schemas.openxmlformats.org/officeDocument/2006/relationships/hyperlink" Target="https://www.islandluck.com/winningnumbers" TargetMode="External"/><Relationship Id="rId276" Type="http://schemas.openxmlformats.org/officeDocument/2006/relationships/hyperlink" Target="https://www.chancesgames.com/" TargetMode="External"/><Relationship Id="rId397" Type="http://schemas.openxmlformats.org/officeDocument/2006/relationships/hyperlink" Target="https://www.islandluck.com/" TargetMode="External"/><Relationship Id="rId40" Type="http://schemas.openxmlformats.org/officeDocument/2006/relationships/hyperlink" Target="https://www.islandluck.com/winningnumbers" TargetMode="External"/><Relationship Id="rId42" Type="http://schemas.openxmlformats.org/officeDocument/2006/relationships/hyperlink" Target="https://www.ultragames.com:890/Winnings.aspx" TargetMode="External"/><Relationship Id="rId41" Type="http://schemas.openxmlformats.org/officeDocument/2006/relationships/hyperlink" Target="https://www.chancesgames.com/WinningNumbers/WinningList" TargetMode="External"/><Relationship Id="rId44" Type="http://schemas.openxmlformats.org/officeDocument/2006/relationships/hyperlink" Target="https://www.islandluck.com/winningnumbers" TargetMode="External"/><Relationship Id="rId43" Type="http://schemas.openxmlformats.org/officeDocument/2006/relationships/hyperlink" Target="https://everybodywinslive.com/en/lotto/LotteryGamesWinningNumbers/" TargetMode="External"/><Relationship Id="rId46" Type="http://schemas.openxmlformats.org/officeDocument/2006/relationships/hyperlink" Target="https://www.ultragames.com:890/Winnings.aspx" TargetMode="External"/><Relationship Id="rId45" Type="http://schemas.openxmlformats.org/officeDocument/2006/relationships/hyperlink" Target="https://www.chancesgames.com/WinningNumbers/WinningList" TargetMode="External"/><Relationship Id="rId48" Type="http://schemas.openxmlformats.org/officeDocument/2006/relationships/hyperlink" Target="https://www.islandluck.com/winningnumbers" TargetMode="External"/><Relationship Id="rId47" Type="http://schemas.openxmlformats.org/officeDocument/2006/relationships/hyperlink" Target="https://everybodywinslive.com/en/lotto/LotteryGamesWinningNumbers/" TargetMode="External"/><Relationship Id="rId49" Type="http://schemas.openxmlformats.org/officeDocument/2006/relationships/hyperlink" Target="https://www.chancesgames.com/WinningNumbers/WinningList" TargetMode="External"/><Relationship Id="rId31" Type="http://schemas.openxmlformats.org/officeDocument/2006/relationships/hyperlink" Target="https://www.islandluck.com/winningnumbers" TargetMode="External"/><Relationship Id="rId30" Type="http://schemas.openxmlformats.org/officeDocument/2006/relationships/hyperlink" Target="https://asurewin.com/winning-numbers" TargetMode="External"/><Relationship Id="rId33" Type="http://schemas.openxmlformats.org/officeDocument/2006/relationships/hyperlink" Target="https://www.ultragames.com:890/Winnings.aspx" TargetMode="External"/><Relationship Id="rId32" Type="http://schemas.openxmlformats.org/officeDocument/2006/relationships/hyperlink" Target="https://www.chancesgames.com/WinningNumbers/WinningList" TargetMode="External"/><Relationship Id="rId35" Type="http://schemas.openxmlformats.org/officeDocument/2006/relationships/hyperlink" Target="https://asurewin.com/winning-numbers" TargetMode="External"/><Relationship Id="rId34" Type="http://schemas.openxmlformats.org/officeDocument/2006/relationships/hyperlink" Target="https://everybodywinslive.com/en/lotto/LotteryGamesWinningNumbers/" TargetMode="External"/><Relationship Id="rId37" Type="http://schemas.openxmlformats.org/officeDocument/2006/relationships/hyperlink" Target="https://www.chancesgames.com/WinningNumbers/WinningList" TargetMode="External"/><Relationship Id="rId36" Type="http://schemas.openxmlformats.org/officeDocument/2006/relationships/hyperlink" Target="https://www.islandluck.com/winningnumbers" TargetMode="External"/><Relationship Id="rId39" Type="http://schemas.openxmlformats.org/officeDocument/2006/relationships/hyperlink" Target="https://everybodywinslive.com/en/lotto/LotteryGamesWinningNumbers/" TargetMode="External"/><Relationship Id="rId38" Type="http://schemas.openxmlformats.org/officeDocument/2006/relationships/hyperlink" Target="https://www.ultragames.com:890/Winnings.aspx" TargetMode="External"/><Relationship Id="rId20" Type="http://schemas.openxmlformats.org/officeDocument/2006/relationships/hyperlink" Target="https://asurewin.com/winning-numbers" TargetMode="External"/><Relationship Id="rId22" Type="http://schemas.openxmlformats.org/officeDocument/2006/relationships/hyperlink" Target="https://www.chancesgames.com/WinningNumbers/WinningList" TargetMode="External"/><Relationship Id="rId21" Type="http://schemas.openxmlformats.org/officeDocument/2006/relationships/hyperlink" Target="https://www.islandluck.com/winningnumbers" TargetMode="External"/><Relationship Id="rId24" Type="http://schemas.openxmlformats.org/officeDocument/2006/relationships/hyperlink" Target="https://everybodywinslive.com/en/lotto/LotteryGamesWinningNumbers/" TargetMode="External"/><Relationship Id="rId23" Type="http://schemas.openxmlformats.org/officeDocument/2006/relationships/hyperlink" Target="https://www.ultragames.com:890/Winnings.aspx" TargetMode="External"/><Relationship Id="rId409" Type="http://schemas.openxmlformats.org/officeDocument/2006/relationships/hyperlink" Target="https://www.islandluck.com/CustomerSupport" TargetMode="External"/><Relationship Id="rId404" Type="http://schemas.openxmlformats.org/officeDocument/2006/relationships/hyperlink" Target="https://www.islandluck.com/winningnumbers" TargetMode="External"/><Relationship Id="rId403" Type="http://schemas.openxmlformats.org/officeDocument/2006/relationships/hyperlink" Target="https://www.islandluck.com/" TargetMode="External"/><Relationship Id="rId402" Type="http://schemas.openxmlformats.org/officeDocument/2006/relationships/hyperlink" Target="https://everybodywinslive.com/" TargetMode="External"/><Relationship Id="rId401" Type="http://schemas.openxmlformats.org/officeDocument/2006/relationships/hyperlink" Target="http://www.everybodywinslive.com" TargetMode="External"/><Relationship Id="rId408" Type="http://schemas.openxmlformats.org/officeDocument/2006/relationships/hyperlink" Target="https://www.islandluck.com/" TargetMode="External"/><Relationship Id="rId407" Type="http://schemas.openxmlformats.org/officeDocument/2006/relationships/hyperlink" Target="https://www.islandluck.com/locations" TargetMode="External"/><Relationship Id="rId406" Type="http://schemas.openxmlformats.org/officeDocument/2006/relationships/hyperlink" Target="https://www.chancesgames.com/" TargetMode="External"/><Relationship Id="rId405" Type="http://schemas.openxmlformats.org/officeDocument/2006/relationships/hyperlink" Target="https://ultragames.com/" TargetMode="External"/><Relationship Id="rId26" Type="http://schemas.openxmlformats.org/officeDocument/2006/relationships/hyperlink" Target="https://www.islandluck.com/winningnumbers" TargetMode="External"/><Relationship Id="rId25" Type="http://schemas.openxmlformats.org/officeDocument/2006/relationships/hyperlink" Target="https://www.lotterybahamas.com/" TargetMode="External"/><Relationship Id="rId28" Type="http://schemas.openxmlformats.org/officeDocument/2006/relationships/hyperlink" Target="https://www.ultragames.com:890/Winnings.aspx" TargetMode="External"/><Relationship Id="rId27" Type="http://schemas.openxmlformats.org/officeDocument/2006/relationships/hyperlink" Target="https://www.chancesgames.com/WinningNumbers/WinningList" TargetMode="External"/><Relationship Id="rId400" Type="http://schemas.openxmlformats.org/officeDocument/2006/relationships/hyperlink" Target="https://www.islandluck.com/" TargetMode="External"/><Relationship Id="rId29" Type="http://schemas.openxmlformats.org/officeDocument/2006/relationships/hyperlink" Target="https://everybodywinslive.com/en/lotto/LotteryGamesWinningNumbers/" TargetMode="External"/><Relationship Id="rId11" Type="http://schemas.openxmlformats.org/officeDocument/2006/relationships/hyperlink" Target="https://www.islandluck.com/winningnumbers" TargetMode="External"/><Relationship Id="rId10" Type="http://schemas.openxmlformats.org/officeDocument/2006/relationships/hyperlink" Target="https://asurewin.com/winning-numbers" TargetMode="External"/><Relationship Id="rId13" Type="http://schemas.openxmlformats.org/officeDocument/2006/relationships/hyperlink" Target="https://www.ultragames.com:890/Winnings.aspx" TargetMode="External"/><Relationship Id="rId12" Type="http://schemas.openxmlformats.org/officeDocument/2006/relationships/hyperlink" Target="https://www.chancesgames.com/WinningNumbers/WinningList" TargetMode="External"/><Relationship Id="rId15" Type="http://schemas.openxmlformats.org/officeDocument/2006/relationships/hyperlink" Target="https://asurewin.com/winning-numbers" TargetMode="External"/><Relationship Id="rId14" Type="http://schemas.openxmlformats.org/officeDocument/2006/relationships/hyperlink" Target="https://everybodywinslive.com/en/lotto/LotteryGamesWinningNumbers/" TargetMode="External"/><Relationship Id="rId17" Type="http://schemas.openxmlformats.org/officeDocument/2006/relationships/hyperlink" Target="https://www.chancesgames.com/WinningNumbers/WinningList" TargetMode="External"/><Relationship Id="rId16" Type="http://schemas.openxmlformats.org/officeDocument/2006/relationships/hyperlink" Target="https://www.islandluck.com/winningnumbers" TargetMode="External"/><Relationship Id="rId19" Type="http://schemas.openxmlformats.org/officeDocument/2006/relationships/hyperlink" Target="https://everybodywinslive.com/en/lotto/LotteryGamesWinningNumbers/" TargetMode="External"/><Relationship Id="rId18" Type="http://schemas.openxmlformats.org/officeDocument/2006/relationships/hyperlink" Target="https://www.ultragames.com:890/Winnings.aspx" TargetMode="External"/><Relationship Id="rId84" Type="http://schemas.openxmlformats.org/officeDocument/2006/relationships/hyperlink" Target="https://www.islandluck.com/winningnumbers" TargetMode="External"/><Relationship Id="rId83" Type="http://schemas.openxmlformats.org/officeDocument/2006/relationships/hyperlink" Target="https://asurewin.com/winning-numbers" TargetMode="External"/><Relationship Id="rId86" Type="http://schemas.openxmlformats.org/officeDocument/2006/relationships/hyperlink" Target="https://asurewin.com/" TargetMode="External"/><Relationship Id="rId85" Type="http://schemas.openxmlformats.org/officeDocument/2006/relationships/hyperlink" Target="https://www.ultragames.com:890/Winnings.aspx" TargetMode="External"/><Relationship Id="rId88" Type="http://schemas.openxmlformats.org/officeDocument/2006/relationships/hyperlink" Target="https://www.ultragames.com:890/Winnings.aspx" TargetMode="External"/><Relationship Id="rId87" Type="http://schemas.openxmlformats.org/officeDocument/2006/relationships/hyperlink" Target="https://www.islandluck.com/winningnumbers" TargetMode="External"/><Relationship Id="rId89" Type="http://schemas.openxmlformats.org/officeDocument/2006/relationships/hyperlink" Target="https://asurewin.com/winning-numbers" TargetMode="External"/><Relationship Id="rId80" Type="http://schemas.openxmlformats.org/officeDocument/2006/relationships/hyperlink" Target="https://www.islandluck.com/winningnumbers" TargetMode="External"/><Relationship Id="rId82" Type="http://schemas.openxmlformats.org/officeDocument/2006/relationships/hyperlink" Target="https://everybodywinslive.com/en/lotto/LotteryGamesWinningNumbers/" TargetMode="External"/><Relationship Id="rId81" Type="http://schemas.openxmlformats.org/officeDocument/2006/relationships/hyperlink" Target="https://www.chancesgames.com/WinningNumbers/WinningList" TargetMode="External"/><Relationship Id="rId73" Type="http://schemas.openxmlformats.org/officeDocument/2006/relationships/hyperlink" Target="https://www.chancesgames.com/WinningNumbers/WinningList" TargetMode="External"/><Relationship Id="rId72" Type="http://schemas.openxmlformats.org/officeDocument/2006/relationships/hyperlink" Target="https://www.islandluck.com/winningnumbers" TargetMode="External"/><Relationship Id="rId75" Type="http://schemas.openxmlformats.org/officeDocument/2006/relationships/hyperlink" Target="https://asurewin.com/winning-numbers" TargetMode="External"/><Relationship Id="rId74" Type="http://schemas.openxmlformats.org/officeDocument/2006/relationships/hyperlink" Target="https://www.ultragames.com:890/Winnings.aspx" TargetMode="External"/><Relationship Id="rId77" Type="http://schemas.openxmlformats.org/officeDocument/2006/relationships/hyperlink" Target="https://www.chancesgames.com/WinningNumbers/WinningList" TargetMode="External"/><Relationship Id="rId76" Type="http://schemas.openxmlformats.org/officeDocument/2006/relationships/hyperlink" Target="https://www.islandluck.com/" TargetMode="External"/><Relationship Id="rId79" Type="http://schemas.openxmlformats.org/officeDocument/2006/relationships/hyperlink" Target="https://asurewin.com/winning-numbers" TargetMode="External"/><Relationship Id="rId78" Type="http://schemas.openxmlformats.org/officeDocument/2006/relationships/hyperlink" Target="https://www.ultragames.com:890/Winnings.aspx" TargetMode="External"/><Relationship Id="rId71" Type="http://schemas.openxmlformats.org/officeDocument/2006/relationships/hyperlink" Target="https://asurewin.com/winning-numbers" TargetMode="External"/><Relationship Id="rId70" Type="http://schemas.openxmlformats.org/officeDocument/2006/relationships/hyperlink" Target="https://everybodywinslive.com/en/lotto/LotteryGamesWinningNumbers/" TargetMode="External"/><Relationship Id="rId62" Type="http://schemas.openxmlformats.org/officeDocument/2006/relationships/hyperlink" Target="https://everybodywinslive.com/en/lotto/LotteryGamesWinningNumbers/" TargetMode="External"/><Relationship Id="rId61" Type="http://schemas.openxmlformats.org/officeDocument/2006/relationships/hyperlink" Target="https://www.ultragames.com:890/Winnings.aspx" TargetMode="External"/><Relationship Id="rId64" Type="http://schemas.openxmlformats.org/officeDocument/2006/relationships/hyperlink" Target="https://www.chancesgames.com/WinningNumbers/WinningList" TargetMode="External"/><Relationship Id="rId63" Type="http://schemas.openxmlformats.org/officeDocument/2006/relationships/hyperlink" Target="https://asurewin.com/winning-numbers" TargetMode="External"/><Relationship Id="rId66" Type="http://schemas.openxmlformats.org/officeDocument/2006/relationships/hyperlink" Target="https://everybodywinslive.com/en/lotto/LotteryGamesWinningNumbers/" TargetMode="External"/><Relationship Id="rId65" Type="http://schemas.openxmlformats.org/officeDocument/2006/relationships/hyperlink" Target="https://www.ultragames.com:890/Winnings.aspx" TargetMode="External"/><Relationship Id="rId68" Type="http://schemas.openxmlformats.org/officeDocument/2006/relationships/hyperlink" Target="https://www.islandluck.com/winningnumbers" TargetMode="External"/><Relationship Id="rId67" Type="http://schemas.openxmlformats.org/officeDocument/2006/relationships/hyperlink" Target="https://asurewin.com/winning-numbers" TargetMode="External"/><Relationship Id="rId60" Type="http://schemas.openxmlformats.org/officeDocument/2006/relationships/hyperlink" Target="https://www.islandluck.com/" TargetMode="External"/><Relationship Id="rId69" Type="http://schemas.openxmlformats.org/officeDocument/2006/relationships/hyperlink" Target="https://www.ultragames.com:890/Winnings.aspx" TargetMode="External"/><Relationship Id="rId51" Type="http://schemas.openxmlformats.org/officeDocument/2006/relationships/hyperlink" Target="https://everybodywinslive.com/en/lotto/LotteryGamesWinningNumbers/" TargetMode="External"/><Relationship Id="rId50" Type="http://schemas.openxmlformats.org/officeDocument/2006/relationships/hyperlink" Target="https://www.ultragames.com:890/Winnings.aspx" TargetMode="External"/><Relationship Id="rId53" Type="http://schemas.openxmlformats.org/officeDocument/2006/relationships/hyperlink" Target="https://www.ultragames.com:890/Winnings.aspx" TargetMode="External"/><Relationship Id="rId52" Type="http://schemas.openxmlformats.org/officeDocument/2006/relationships/hyperlink" Target="https://www.islandluck.com/" TargetMode="External"/><Relationship Id="rId55" Type="http://schemas.openxmlformats.org/officeDocument/2006/relationships/hyperlink" Target="https://asurewin.com/winning-numbers" TargetMode="External"/><Relationship Id="rId54" Type="http://schemas.openxmlformats.org/officeDocument/2006/relationships/hyperlink" Target="https://everybodywinslive.com/" TargetMode="External"/><Relationship Id="rId57" Type="http://schemas.openxmlformats.org/officeDocument/2006/relationships/hyperlink" Target="https://www.chancesgames.com/WinningNumbers/WinningList" TargetMode="External"/><Relationship Id="rId56" Type="http://schemas.openxmlformats.org/officeDocument/2006/relationships/hyperlink" Target="https://www.islandluck.com/winningnumbers" TargetMode="External"/><Relationship Id="rId59" Type="http://schemas.openxmlformats.org/officeDocument/2006/relationships/hyperlink" Target="https://asurewin.com/winning-numbers" TargetMode="External"/><Relationship Id="rId58" Type="http://schemas.openxmlformats.org/officeDocument/2006/relationships/hyperlink" Target="https://www.ultragames.com:890/Winnings.aspx" TargetMode="External"/><Relationship Id="rId107" Type="http://schemas.openxmlformats.org/officeDocument/2006/relationships/hyperlink" Target="https://asurewin.com/demo-dgs" TargetMode="External"/><Relationship Id="rId228" Type="http://schemas.openxmlformats.org/officeDocument/2006/relationships/hyperlink" Target="https://asurewin.com/" TargetMode="External"/><Relationship Id="rId349" Type="http://schemas.openxmlformats.org/officeDocument/2006/relationships/hyperlink" Target="https://asurewin.com/" TargetMode="External"/><Relationship Id="rId106" Type="http://schemas.openxmlformats.org/officeDocument/2006/relationships/hyperlink" Target="https://everybodywinslive.com/en/casino-games/games/slot/pi2d/" TargetMode="External"/><Relationship Id="rId227" Type="http://schemas.openxmlformats.org/officeDocument/2006/relationships/hyperlink" Target="https://www.islandluck.com/" TargetMode="External"/><Relationship Id="rId348" Type="http://schemas.openxmlformats.org/officeDocument/2006/relationships/hyperlink" Target="https://everybodywinslive.com/en/lotto/" TargetMode="External"/><Relationship Id="rId105" Type="http://schemas.openxmlformats.org/officeDocument/2006/relationships/hyperlink" Target="https://www.islandluck.com/" TargetMode="External"/><Relationship Id="rId226" Type="http://schemas.openxmlformats.org/officeDocument/2006/relationships/hyperlink" Target="http://islandluck.com" TargetMode="External"/><Relationship Id="rId347" Type="http://schemas.openxmlformats.org/officeDocument/2006/relationships/hyperlink" Target="https://www.islandluck.com/winningnumbers" TargetMode="External"/><Relationship Id="rId104" Type="http://schemas.openxmlformats.org/officeDocument/2006/relationships/hyperlink" Target="https://www.ultragames.com:890/Winnings.aspx" TargetMode="External"/><Relationship Id="rId225" Type="http://schemas.openxmlformats.org/officeDocument/2006/relationships/hyperlink" Target="https://ultragames.com/" TargetMode="External"/><Relationship Id="rId346" Type="http://schemas.openxmlformats.org/officeDocument/2006/relationships/hyperlink" Target="https://www.chancesgames.com/CalculatePayouts/CalculatePayouts" TargetMode="External"/><Relationship Id="rId109" Type="http://schemas.openxmlformats.org/officeDocument/2006/relationships/hyperlink" Target="https://www.chancesgames.com/WinningNumbers/WinningList" TargetMode="External"/><Relationship Id="rId108" Type="http://schemas.openxmlformats.org/officeDocument/2006/relationships/hyperlink" Target="https://www.islandluck.com/winningnumbers" TargetMode="External"/><Relationship Id="rId229" Type="http://schemas.openxmlformats.org/officeDocument/2006/relationships/hyperlink" Target="https://www.chancesgames.com/" TargetMode="External"/><Relationship Id="rId220" Type="http://schemas.openxmlformats.org/officeDocument/2006/relationships/hyperlink" Target="https://www.chancesgames.com/" TargetMode="External"/><Relationship Id="rId341" Type="http://schemas.openxmlformats.org/officeDocument/2006/relationships/hyperlink" Target="https://www.islandluck.com/CustomerSupport" TargetMode="External"/><Relationship Id="rId340" Type="http://schemas.openxmlformats.org/officeDocument/2006/relationships/hyperlink" Target="https://www.islandluck.com/" TargetMode="External"/><Relationship Id="rId103" Type="http://schemas.openxmlformats.org/officeDocument/2006/relationships/hyperlink" Target="https://www.chancesgames.com/WinningNumbers/WinningList" TargetMode="External"/><Relationship Id="rId224" Type="http://schemas.openxmlformats.org/officeDocument/2006/relationships/hyperlink" Target="https://asurewin.com/demo-dgs" TargetMode="External"/><Relationship Id="rId345" Type="http://schemas.openxmlformats.org/officeDocument/2006/relationships/hyperlink" Target="https://www.islandluck.com/sports" TargetMode="External"/><Relationship Id="rId102" Type="http://schemas.openxmlformats.org/officeDocument/2006/relationships/hyperlink" Target="https://www.islandluck.com/winningnumbers" TargetMode="External"/><Relationship Id="rId223" Type="http://schemas.openxmlformats.org/officeDocument/2006/relationships/hyperlink" Target="https://www.islandluck.com/" TargetMode="External"/><Relationship Id="rId344" Type="http://schemas.openxmlformats.org/officeDocument/2006/relationships/hyperlink" Target="https://www.islandluck.com/CustomerSupport" TargetMode="External"/><Relationship Id="rId101" Type="http://schemas.openxmlformats.org/officeDocument/2006/relationships/hyperlink" Target="https://everybodywinslive.com/en/lotto/LotteryGamesWinningNumbers/" TargetMode="External"/><Relationship Id="rId222" Type="http://schemas.openxmlformats.org/officeDocument/2006/relationships/hyperlink" Target="https://asurewin.com/demo-dgs" TargetMode="External"/><Relationship Id="rId343" Type="http://schemas.openxmlformats.org/officeDocument/2006/relationships/hyperlink" Target="https://asurewin.com/" TargetMode="External"/><Relationship Id="rId100" Type="http://schemas.openxmlformats.org/officeDocument/2006/relationships/hyperlink" Target="https://www.chancesgames.com/WinningNumbers/WinningList" TargetMode="External"/><Relationship Id="rId221" Type="http://schemas.openxmlformats.org/officeDocument/2006/relationships/hyperlink" Target="https://www.chancesgames.com/WinningNumbers/WinningList" TargetMode="External"/><Relationship Id="rId342" Type="http://schemas.openxmlformats.org/officeDocument/2006/relationships/hyperlink" Target="https://www.islandluck.com/CustomerSupport" TargetMode="External"/><Relationship Id="rId217" Type="http://schemas.openxmlformats.org/officeDocument/2006/relationships/hyperlink" Target="https://www.islandluck.com/" TargetMode="External"/><Relationship Id="rId338" Type="http://schemas.openxmlformats.org/officeDocument/2006/relationships/hyperlink" Target="https://www.islandluck.com/?modal=locations" TargetMode="External"/><Relationship Id="rId216" Type="http://schemas.openxmlformats.org/officeDocument/2006/relationships/hyperlink" Target="https://www.chancesgames.com/" TargetMode="External"/><Relationship Id="rId337" Type="http://schemas.openxmlformats.org/officeDocument/2006/relationships/hyperlink" Target="https://www.islandluck.com/CustomerSupport" TargetMode="External"/><Relationship Id="rId215" Type="http://schemas.openxmlformats.org/officeDocument/2006/relationships/hyperlink" Target="https://www.islandluck.com/" TargetMode="External"/><Relationship Id="rId336" Type="http://schemas.openxmlformats.org/officeDocument/2006/relationships/hyperlink" Target="https://www.islandluck.com/" TargetMode="External"/><Relationship Id="rId214" Type="http://schemas.openxmlformats.org/officeDocument/2006/relationships/hyperlink" Target="https://everybodywinslive.com/en/lotto/LotteryGamesWinningNumbers/" TargetMode="External"/><Relationship Id="rId335" Type="http://schemas.openxmlformats.org/officeDocument/2006/relationships/hyperlink" Target="https://asurewin.com/winning-numbers" TargetMode="External"/><Relationship Id="rId219" Type="http://schemas.openxmlformats.org/officeDocument/2006/relationships/hyperlink" Target="https://asurewin.com/" TargetMode="External"/><Relationship Id="rId218" Type="http://schemas.openxmlformats.org/officeDocument/2006/relationships/hyperlink" Target="https://www.chancesgames.com/" TargetMode="External"/><Relationship Id="rId339" Type="http://schemas.openxmlformats.org/officeDocument/2006/relationships/hyperlink" Target="https://www.islandluck.com/" TargetMode="External"/><Relationship Id="rId330" Type="http://schemas.openxmlformats.org/officeDocument/2006/relationships/hyperlink" Target="http://www.chancesgames.com" TargetMode="External"/><Relationship Id="rId450" Type="http://schemas.openxmlformats.org/officeDocument/2006/relationships/drawing" Target="../drawings/drawing3.xml"/><Relationship Id="rId213" Type="http://schemas.openxmlformats.org/officeDocument/2006/relationships/hyperlink" Target="https://www.chancesgames.com/WinningNumbers/WinningList" TargetMode="External"/><Relationship Id="rId334" Type="http://schemas.openxmlformats.org/officeDocument/2006/relationships/hyperlink" Target="https://www.islandluck.com/" TargetMode="External"/><Relationship Id="rId212" Type="http://schemas.openxmlformats.org/officeDocument/2006/relationships/hyperlink" Target="https://www.ultragames.com:890/Winnings.aspx" TargetMode="External"/><Relationship Id="rId333" Type="http://schemas.openxmlformats.org/officeDocument/2006/relationships/hyperlink" Target="https://www.islandluck.com/" TargetMode="External"/><Relationship Id="rId211" Type="http://schemas.openxmlformats.org/officeDocument/2006/relationships/hyperlink" Target="https://www.islandluck.com/" TargetMode="External"/><Relationship Id="rId332" Type="http://schemas.openxmlformats.org/officeDocument/2006/relationships/hyperlink" Target="https://asurewin.com/" TargetMode="External"/><Relationship Id="rId210" Type="http://schemas.openxmlformats.org/officeDocument/2006/relationships/hyperlink" Target="https://everybodywinslive.com/en/lotto/LotteryGamesWinningNumbers/" TargetMode="External"/><Relationship Id="rId331" Type="http://schemas.openxmlformats.org/officeDocument/2006/relationships/hyperlink" Target="https://www.chancesgames.com/" TargetMode="External"/><Relationship Id="rId370" Type="http://schemas.openxmlformats.org/officeDocument/2006/relationships/hyperlink" Target="https://www.chancesgames.com/" TargetMode="External"/><Relationship Id="rId129" Type="http://schemas.openxmlformats.org/officeDocument/2006/relationships/hyperlink" Target="https://www.islandluck.com/winningnumbers" TargetMode="External"/><Relationship Id="rId128" Type="http://schemas.openxmlformats.org/officeDocument/2006/relationships/hyperlink" Target="https://asurewin.com/winning-numbers" TargetMode="External"/><Relationship Id="rId249" Type="http://schemas.openxmlformats.org/officeDocument/2006/relationships/hyperlink" Target="https://everybodywinslive.com/" TargetMode="External"/><Relationship Id="rId127" Type="http://schemas.openxmlformats.org/officeDocument/2006/relationships/hyperlink" Target="https://www.chancesgames.com/WinningNumbers/WinningList" TargetMode="External"/><Relationship Id="rId248" Type="http://schemas.openxmlformats.org/officeDocument/2006/relationships/hyperlink" Target="https://everybodywinslive.com/en/lotto/LotteryGamesWinningNumbers/" TargetMode="External"/><Relationship Id="rId369" Type="http://schemas.openxmlformats.org/officeDocument/2006/relationships/hyperlink" Target="https://www.islandluck.com/" TargetMode="External"/><Relationship Id="rId126" Type="http://schemas.openxmlformats.org/officeDocument/2006/relationships/hyperlink" Target="https://www.islandluck.com/winningnumbers" TargetMode="External"/><Relationship Id="rId247" Type="http://schemas.openxmlformats.org/officeDocument/2006/relationships/hyperlink" Target="https://www.islandluck.com/" TargetMode="External"/><Relationship Id="rId368" Type="http://schemas.openxmlformats.org/officeDocument/2006/relationships/hyperlink" Target="https://asurewin.com/winning-numbers" TargetMode="External"/><Relationship Id="rId121" Type="http://schemas.openxmlformats.org/officeDocument/2006/relationships/hyperlink" Target="https://www.chancesgames.com/WinningNumbers/WinningList" TargetMode="External"/><Relationship Id="rId242" Type="http://schemas.openxmlformats.org/officeDocument/2006/relationships/hyperlink" Target="https://www.islandluck.com/?modal=locations" TargetMode="External"/><Relationship Id="rId363" Type="http://schemas.openxmlformats.org/officeDocument/2006/relationships/hyperlink" Target="https://www.islandluck.com/" TargetMode="External"/><Relationship Id="rId120" Type="http://schemas.openxmlformats.org/officeDocument/2006/relationships/hyperlink" Target="https://www.islandluck.com/winningnumbers" TargetMode="External"/><Relationship Id="rId241" Type="http://schemas.openxmlformats.org/officeDocument/2006/relationships/hyperlink" Target="https://www.islandluck.com/" TargetMode="External"/><Relationship Id="rId362" Type="http://schemas.openxmlformats.org/officeDocument/2006/relationships/hyperlink" Target="https://www.islandluck.com/" TargetMode="External"/><Relationship Id="rId240" Type="http://schemas.openxmlformats.org/officeDocument/2006/relationships/hyperlink" Target="https://www.chancesgames.com/" TargetMode="External"/><Relationship Id="rId361" Type="http://schemas.openxmlformats.org/officeDocument/2006/relationships/hyperlink" Target="https://www.islandluck.com/" TargetMode="External"/><Relationship Id="rId360" Type="http://schemas.openxmlformats.org/officeDocument/2006/relationships/hyperlink" Target="https://www.chancesgames.com/" TargetMode="External"/><Relationship Id="rId125" Type="http://schemas.openxmlformats.org/officeDocument/2006/relationships/hyperlink" Target="https://everybodywinslive.com/en/lotto/LotteryGamesWinningNumbers/" TargetMode="External"/><Relationship Id="rId246" Type="http://schemas.openxmlformats.org/officeDocument/2006/relationships/hyperlink" Target="https://www.chancesgames.com/" TargetMode="External"/><Relationship Id="rId367" Type="http://schemas.openxmlformats.org/officeDocument/2006/relationships/hyperlink" Target="https://www.islandluck.com/" TargetMode="External"/><Relationship Id="rId124" Type="http://schemas.openxmlformats.org/officeDocument/2006/relationships/hyperlink" Target="https://www.ultragames.com:890/Winnings.aspx" TargetMode="External"/><Relationship Id="rId245" Type="http://schemas.openxmlformats.org/officeDocument/2006/relationships/hyperlink" Target="https://everybodywinslive.com/" TargetMode="External"/><Relationship Id="rId366" Type="http://schemas.openxmlformats.org/officeDocument/2006/relationships/hyperlink" Target="https://www.chancesgames.com/" TargetMode="External"/><Relationship Id="rId123" Type="http://schemas.openxmlformats.org/officeDocument/2006/relationships/hyperlink" Target="https://www.chancesgames.com/WinningNumbers/WinningList" TargetMode="External"/><Relationship Id="rId244" Type="http://schemas.openxmlformats.org/officeDocument/2006/relationships/hyperlink" Target="https://www.islandluck.com/" TargetMode="External"/><Relationship Id="rId365" Type="http://schemas.openxmlformats.org/officeDocument/2006/relationships/hyperlink" Target="https://ultragames.com/" TargetMode="External"/><Relationship Id="rId122" Type="http://schemas.openxmlformats.org/officeDocument/2006/relationships/hyperlink" Target="https://www.ultragames.com:890/Winnings.aspx" TargetMode="External"/><Relationship Id="rId243" Type="http://schemas.openxmlformats.org/officeDocument/2006/relationships/hyperlink" Target="https://www.chancesgames.com/" TargetMode="External"/><Relationship Id="rId364" Type="http://schemas.openxmlformats.org/officeDocument/2006/relationships/hyperlink" Target="https://www.chancesgames.com/CalculatePayouts/CalculatePayouts" TargetMode="External"/><Relationship Id="rId95" Type="http://schemas.openxmlformats.org/officeDocument/2006/relationships/hyperlink" Target="https://asurewin.com/" TargetMode="External"/><Relationship Id="rId94" Type="http://schemas.openxmlformats.org/officeDocument/2006/relationships/hyperlink" Target="https://www.ultragames.com/" TargetMode="External"/><Relationship Id="rId97" Type="http://schemas.openxmlformats.org/officeDocument/2006/relationships/hyperlink" Target="https://www.chancesgames.com/" TargetMode="External"/><Relationship Id="rId96" Type="http://schemas.openxmlformats.org/officeDocument/2006/relationships/hyperlink" Target="https://www.islandluck.com/" TargetMode="External"/><Relationship Id="rId99" Type="http://schemas.openxmlformats.org/officeDocument/2006/relationships/hyperlink" Target="https://www.islandluck.com/winningnumbers" TargetMode="External"/><Relationship Id="rId98" Type="http://schemas.openxmlformats.org/officeDocument/2006/relationships/hyperlink" Target="https://ultragames.com/" TargetMode="External"/><Relationship Id="rId91" Type="http://schemas.openxmlformats.org/officeDocument/2006/relationships/hyperlink" Target="https://www.ultragames.com:890/Winnings.aspx" TargetMode="External"/><Relationship Id="rId90" Type="http://schemas.openxmlformats.org/officeDocument/2006/relationships/hyperlink" Target="https://www.islandluck.com:10078/Winning.aspx/1000" TargetMode="External"/><Relationship Id="rId93" Type="http://schemas.openxmlformats.org/officeDocument/2006/relationships/hyperlink" Target="https://www.chancesgames.com/" TargetMode="External"/><Relationship Id="rId92" Type="http://schemas.openxmlformats.org/officeDocument/2006/relationships/hyperlink" Target="https://everybodywinslive.com/en/lotto/LotteryGamesWinningNumbers/" TargetMode="External"/><Relationship Id="rId118" Type="http://schemas.openxmlformats.org/officeDocument/2006/relationships/hyperlink" Target="https://www.ultragames.com:890/Winnings.aspx" TargetMode="External"/><Relationship Id="rId239" Type="http://schemas.openxmlformats.org/officeDocument/2006/relationships/hyperlink" Target="https://www.chancesgames.com/" TargetMode="External"/><Relationship Id="rId117" Type="http://schemas.openxmlformats.org/officeDocument/2006/relationships/hyperlink" Target="https://www.islandluck.com/" TargetMode="External"/><Relationship Id="rId238" Type="http://schemas.openxmlformats.org/officeDocument/2006/relationships/hyperlink" Target="https://www.islandluck.com/" TargetMode="External"/><Relationship Id="rId359" Type="http://schemas.openxmlformats.org/officeDocument/2006/relationships/hyperlink" Target="https://www.islandluck.com/" TargetMode="External"/><Relationship Id="rId116" Type="http://schemas.openxmlformats.org/officeDocument/2006/relationships/hyperlink" Target="https://www.ultragames.com:890/Winnings.aspx" TargetMode="External"/><Relationship Id="rId237" Type="http://schemas.openxmlformats.org/officeDocument/2006/relationships/hyperlink" Target="https://everybodywinslive.com/en/support/Locations/" TargetMode="External"/><Relationship Id="rId358" Type="http://schemas.openxmlformats.org/officeDocument/2006/relationships/hyperlink" Target="https://www.islandluck.com/winningnumbers" TargetMode="External"/><Relationship Id="rId115" Type="http://schemas.openxmlformats.org/officeDocument/2006/relationships/hyperlink" Target="https://www.chancesgames.com/WinningNumbers/WinningList" TargetMode="External"/><Relationship Id="rId236" Type="http://schemas.openxmlformats.org/officeDocument/2006/relationships/hyperlink" Target="https://www.islandluck.com/" TargetMode="External"/><Relationship Id="rId357" Type="http://schemas.openxmlformats.org/officeDocument/2006/relationships/hyperlink" Target="https://everybodywinslive.com/" TargetMode="External"/><Relationship Id="rId119" Type="http://schemas.openxmlformats.org/officeDocument/2006/relationships/hyperlink" Target="https://everybodywinslive.com/en/lotto/LotteryGamesWinningNumbers/" TargetMode="External"/><Relationship Id="rId110" Type="http://schemas.openxmlformats.org/officeDocument/2006/relationships/hyperlink" Target="https://www.ultragames.com:890/Winnings.aspx" TargetMode="External"/><Relationship Id="rId231" Type="http://schemas.openxmlformats.org/officeDocument/2006/relationships/hyperlink" Target="https://everybodywinslive.com/en/lotto/LotteryGamesWinningNumbers/" TargetMode="External"/><Relationship Id="rId352" Type="http://schemas.openxmlformats.org/officeDocument/2006/relationships/hyperlink" Target="https://everybodywinslive.com/en/lotto/LotteryGamesWinningNumbers/" TargetMode="External"/><Relationship Id="rId230" Type="http://schemas.openxmlformats.org/officeDocument/2006/relationships/hyperlink" Target="https://asurewin.com/" TargetMode="External"/><Relationship Id="rId351" Type="http://schemas.openxmlformats.org/officeDocument/2006/relationships/hyperlink" Target="https://www.islandluck.com/" TargetMode="External"/><Relationship Id="rId350" Type="http://schemas.openxmlformats.org/officeDocument/2006/relationships/hyperlink" Target="https://www.chancesgames.com/" TargetMode="External"/><Relationship Id="rId114" Type="http://schemas.openxmlformats.org/officeDocument/2006/relationships/hyperlink" Target="https://www.islandluck.com/winningnumbers" TargetMode="External"/><Relationship Id="rId235" Type="http://schemas.openxmlformats.org/officeDocument/2006/relationships/hyperlink" Target="https://www.islandluck.com/winningnumbers" TargetMode="External"/><Relationship Id="rId356" Type="http://schemas.openxmlformats.org/officeDocument/2006/relationships/hyperlink" Target="https://www.islandluck.com/" TargetMode="External"/><Relationship Id="rId113" Type="http://schemas.openxmlformats.org/officeDocument/2006/relationships/hyperlink" Target="https://asurewin.com/demo-dgs" TargetMode="External"/><Relationship Id="rId234" Type="http://schemas.openxmlformats.org/officeDocument/2006/relationships/hyperlink" Target="https://ultragames.com/" TargetMode="External"/><Relationship Id="rId355" Type="http://schemas.openxmlformats.org/officeDocument/2006/relationships/hyperlink" Target="https://www.chancesgames.com/WinningNumbers/WinningList" TargetMode="External"/><Relationship Id="rId112" Type="http://schemas.openxmlformats.org/officeDocument/2006/relationships/hyperlink" Target="https://www.ultragames.com:890/Winnings.aspx" TargetMode="External"/><Relationship Id="rId233" Type="http://schemas.openxmlformats.org/officeDocument/2006/relationships/hyperlink" Target="https://www.chancesgames.com/" TargetMode="External"/><Relationship Id="rId354" Type="http://schemas.openxmlformats.org/officeDocument/2006/relationships/hyperlink" Target="https://everybodywinslive.com/en/lotto/LotteryGamesWinningNumbers/" TargetMode="External"/><Relationship Id="rId111" Type="http://schemas.openxmlformats.org/officeDocument/2006/relationships/hyperlink" Target="https://www.islandluck.com/winningnumbers" TargetMode="External"/><Relationship Id="rId232" Type="http://schemas.openxmlformats.org/officeDocument/2006/relationships/hyperlink" Target="https://www.islandluck.com/" TargetMode="External"/><Relationship Id="rId353" Type="http://schemas.openxmlformats.org/officeDocument/2006/relationships/hyperlink" Target="https://www.islandluck.com/CustomerSupport" TargetMode="External"/><Relationship Id="rId305" Type="http://schemas.openxmlformats.org/officeDocument/2006/relationships/hyperlink" Target="https://www.islandluck.com/" TargetMode="External"/><Relationship Id="rId426" Type="http://schemas.openxmlformats.org/officeDocument/2006/relationships/hyperlink" Target="https://asurewin.com/" TargetMode="External"/><Relationship Id="rId304" Type="http://schemas.openxmlformats.org/officeDocument/2006/relationships/hyperlink" Target="https://asurewin.com/demo-dgs" TargetMode="External"/><Relationship Id="rId425" Type="http://schemas.openxmlformats.org/officeDocument/2006/relationships/hyperlink" Target="https://www.islandluck.com/" TargetMode="External"/><Relationship Id="rId303" Type="http://schemas.openxmlformats.org/officeDocument/2006/relationships/hyperlink" Target="https://www.islandluck.com/" TargetMode="External"/><Relationship Id="rId424" Type="http://schemas.openxmlformats.org/officeDocument/2006/relationships/hyperlink" Target="https://www.chancesgames.com/WinningNumbers/WinningList" TargetMode="External"/><Relationship Id="rId302" Type="http://schemas.openxmlformats.org/officeDocument/2006/relationships/hyperlink" Target="https://www.islandluck.com/" TargetMode="External"/><Relationship Id="rId423" Type="http://schemas.openxmlformats.org/officeDocument/2006/relationships/hyperlink" Target="https://www.islandluck.com/" TargetMode="External"/><Relationship Id="rId309" Type="http://schemas.openxmlformats.org/officeDocument/2006/relationships/hyperlink" Target="https://www.islandluck.com/" TargetMode="External"/><Relationship Id="rId308" Type="http://schemas.openxmlformats.org/officeDocument/2006/relationships/hyperlink" Target="https://www.chancesgames.com/Casino/CasinoGames" TargetMode="External"/><Relationship Id="rId429" Type="http://schemas.openxmlformats.org/officeDocument/2006/relationships/hyperlink" Target="https://www.chancesgames.com/" TargetMode="External"/><Relationship Id="rId307" Type="http://schemas.openxmlformats.org/officeDocument/2006/relationships/hyperlink" Target="https://everybodywinslive.com/en/lotto/LotteryGamesWinningNumbers/" TargetMode="External"/><Relationship Id="rId428" Type="http://schemas.openxmlformats.org/officeDocument/2006/relationships/hyperlink" Target="https://asurewin.com/demo-dgs" TargetMode="External"/><Relationship Id="rId306" Type="http://schemas.openxmlformats.org/officeDocument/2006/relationships/hyperlink" Target="https://www.islandluck.com/" TargetMode="External"/><Relationship Id="rId427" Type="http://schemas.openxmlformats.org/officeDocument/2006/relationships/hyperlink" Target="https://asurewin.com/winning-numbers" TargetMode="External"/><Relationship Id="rId301" Type="http://schemas.openxmlformats.org/officeDocument/2006/relationships/hyperlink" Target="https://www.islandluck.com/" TargetMode="External"/><Relationship Id="rId422" Type="http://schemas.openxmlformats.org/officeDocument/2006/relationships/hyperlink" Target="https://www.islandluck.com/CustomerSupport" TargetMode="External"/><Relationship Id="rId300" Type="http://schemas.openxmlformats.org/officeDocument/2006/relationships/hyperlink" Target="https://www.islandluck.com/" TargetMode="External"/><Relationship Id="rId421" Type="http://schemas.openxmlformats.org/officeDocument/2006/relationships/hyperlink" Target="https://everybodywinslive.com/" TargetMode="External"/><Relationship Id="rId420" Type="http://schemas.openxmlformats.org/officeDocument/2006/relationships/hyperlink" Target="https://www.chancesgames.com/WinningNumbers/WinningList" TargetMode="External"/><Relationship Id="rId415" Type="http://schemas.openxmlformats.org/officeDocument/2006/relationships/hyperlink" Target="https://www.islandluck.com/" TargetMode="External"/><Relationship Id="rId414" Type="http://schemas.openxmlformats.org/officeDocument/2006/relationships/hyperlink" Target="https://www.chancesgames.com/AboutChances/AboutChances" TargetMode="External"/><Relationship Id="rId413" Type="http://schemas.openxmlformats.org/officeDocument/2006/relationships/hyperlink" Target="https://www.islandluck.com/" TargetMode="External"/><Relationship Id="rId412" Type="http://schemas.openxmlformats.org/officeDocument/2006/relationships/hyperlink" Target="https://www.islandluck.com/" TargetMode="External"/><Relationship Id="rId419" Type="http://schemas.openxmlformats.org/officeDocument/2006/relationships/hyperlink" Target="https://www.islandluck.com/" TargetMode="External"/><Relationship Id="rId418" Type="http://schemas.openxmlformats.org/officeDocument/2006/relationships/hyperlink" Target="https://www.islandluck.com/" TargetMode="External"/><Relationship Id="rId417" Type="http://schemas.openxmlformats.org/officeDocument/2006/relationships/hyperlink" Target="http://theislandgame.com" TargetMode="External"/><Relationship Id="rId416" Type="http://schemas.openxmlformats.org/officeDocument/2006/relationships/hyperlink" Target="https://www.ultragames.com:890/Support.aspx" TargetMode="External"/><Relationship Id="rId411" Type="http://schemas.openxmlformats.org/officeDocument/2006/relationships/hyperlink" Target="https://www.islandluck.com/winningnumbers" TargetMode="External"/><Relationship Id="rId410" Type="http://schemas.openxmlformats.org/officeDocument/2006/relationships/hyperlink" Target="https://www.chancesgames.com/" TargetMode="External"/><Relationship Id="rId206" Type="http://schemas.openxmlformats.org/officeDocument/2006/relationships/hyperlink" Target="https://www.ultragames.com:890/Winnings.aspx" TargetMode="External"/><Relationship Id="rId327" Type="http://schemas.openxmlformats.org/officeDocument/2006/relationships/hyperlink" Target="https://www.islandluck.com/" TargetMode="External"/><Relationship Id="rId448" Type="http://schemas.openxmlformats.org/officeDocument/2006/relationships/hyperlink" Target="https://asurewin.com/demo-dgs" TargetMode="External"/><Relationship Id="rId205" Type="http://schemas.openxmlformats.org/officeDocument/2006/relationships/hyperlink" Target="https://www.islandluck.com/winningnumbers" TargetMode="External"/><Relationship Id="rId326" Type="http://schemas.openxmlformats.org/officeDocument/2006/relationships/hyperlink" Target="https://www.islandluck.com/" TargetMode="External"/><Relationship Id="rId447" Type="http://schemas.openxmlformats.org/officeDocument/2006/relationships/hyperlink" Target="https://www.islandluck.com/CustomerSupport" TargetMode="External"/><Relationship Id="rId204" Type="http://schemas.openxmlformats.org/officeDocument/2006/relationships/hyperlink" Target="https://asurewin.com/" TargetMode="External"/><Relationship Id="rId325" Type="http://schemas.openxmlformats.org/officeDocument/2006/relationships/hyperlink" Target="https://www.islandluck.com/winningnumbers" TargetMode="External"/><Relationship Id="rId446" Type="http://schemas.openxmlformats.org/officeDocument/2006/relationships/hyperlink" Target="https://www.islandluck.com/" TargetMode="External"/><Relationship Id="rId203" Type="http://schemas.openxmlformats.org/officeDocument/2006/relationships/hyperlink" Target="https://www.islandluck.com/" TargetMode="External"/><Relationship Id="rId324" Type="http://schemas.openxmlformats.org/officeDocument/2006/relationships/hyperlink" Target="https://www.islandluck.com/winningnumbers" TargetMode="External"/><Relationship Id="rId445" Type="http://schemas.openxmlformats.org/officeDocument/2006/relationships/hyperlink" Target="https://www.islandluck.com/winningnumbers" TargetMode="External"/><Relationship Id="rId209" Type="http://schemas.openxmlformats.org/officeDocument/2006/relationships/hyperlink" Target="https://www.islandluck.com/" TargetMode="External"/><Relationship Id="rId208" Type="http://schemas.openxmlformats.org/officeDocument/2006/relationships/hyperlink" Target="https://asurewin.com/demo-dgs" TargetMode="External"/><Relationship Id="rId329" Type="http://schemas.openxmlformats.org/officeDocument/2006/relationships/hyperlink" Target="https://www.islandluck.com/" TargetMode="External"/><Relationship Id="rId207" Type="http://schemas.openxmlformats.org/officeDocument/2006/relationships/hyperlink" Target="https://everybodywinslive.com/en/casino-games/games/slot/pi2d/" TargetMode="External"/><Relationship Id="rId328" Type="http://schemas.openxmlformats.org/officeDocument/2006/relationships/hyperlink" Target="https://www.islandluck.com/" TargetMode="External"/><Relationship Id="rId449" Type="http://schemas.openxmlformats.org/officeDocument/2006/relationships/hyperlink" Target="https://www.islandluck.com/winningnumbers" TargetMode="External"/><Relationship Id="rId440" Type="http://schemas.openxmlformats.org/officeDocument/2006/relationships/hyperlink" Target="https://www.chancesgames.com/" TargetMode="External"/><Relationship Id="rId202" Type="http://schemas.openxmlformats.org/officeDocument/2006/relationships/hyperlink" Target="https://www.chancesgames.com/WinningNumbers/WinningList" TargetMode="External"/><Relationship Id="rId323" Type="http://schemas.openxmlformats.org/officeDocument/2006/relationships/hyperlink" Target="https://www.islandluck.com/" TargetMode="External"/><Relationship Id="rId444" Type="http://schemas.openxmlformats.org/officeDocument/2006/relationships/hyperlink" Target="https://www.chancesgames.com/AboutChances/AboutChances" TargetMode="External"/><Relationship Id="rId201" Type="http://schemas.openxmlformats.org/officeDocument/2006/relationships/hyperlink" Target="https://www.islandluck.com/winningnumbers" TargetMode="External"/><Relationship Id="rId322" Type="http://schemas.openxmlformats.org/officeDocument/2006/relationships/hyperlink" Target="https://www.islandluck.com/" TargetMode="External"/><Relationship Id="rId443" Type="http://schemas.openxmlformats.org/officeDocument/2006/relationships/hyperlink" Target="https://everybodywinslive.com/en/lotto/LotteryGamesWinningNumbers/" TargetMode="External"/><Relationship Id="rId200" Type="http://schemas.openxmlformats.org/officeDocument/2006/relationships/hyperlink" Target="https://www.ultragames.com:890/Winnings.aspx" TargetMode="External"/><Relationship Id="rId321" Type="http://schemas.openxmlformats.org/officeDocument/2006/relationships/hyperlink" Target="https://www.islandluck.com/" TargetMode="External"/><Relationship Id="rId442" Type="http://schemas.openxmlformats.org/officeDocument/2006/relationships/hyperlink" Target="https://www.islandluck.com/" TargetMode="External"/><Relationship Id="rId320" Type="http://schemas.openxmlformats.org/officeDocument/2006/relationships/hyperlink" Target="https://www.islandluck.com/" TargetMode="External"/><Relationship Id="rId441" Type="http://schemas.openxmlformats.org/officeDocument/2006/relationships/hyperlink" Target="https://www.chancesgames.com/" TargetMode="External"/><Relationship Id="rId316" Type="http://schemas.openxmlformats.org/officeDocument/2006/relationships/hyperlink" Target="https://www.chancesgames.com/WinningNumbers/WinningList" TargetMode="External"/><Relationship Id="rId437" Type="http://schemas.openxmlformats.org/officeDocument/2006/relationships/hyperlink" Target="https://www.islandluck.com/winningnumbers" TargetMode="External"/><Relationship Id="rId315" Type="http://schemas.openxmlformats.org/officeDocument/2006/relationships/hyperlink" Target="https://asurewin.com/" TargetMode="External"/><Relationship Id="rId436" Type="http://schemas.openxmlformats.org/officeDocument/2006/relationships/hyperlink" Target="https://everybodywinslive.com/en/lotto/LotteryGamesWinningNumbers/" TargetMode="External"/><Relationship Id="rId314" Type="http://schemas.openxmlformats.org/officeDocument/2006/relationships/hyperlink" Target="https://www.ultragames.com/" TargetMode="External"/><Relationship Id="rId435" Type="http://schemas.openxmlformats.org/officeDocument/2006/relationships/hyperlink" Target="https://www.islandluck.com/" TargetMode="External"/><Relationship Id="rId313" Type="http://schemas.openxmlformats.org/officeDocument/2006/relationships/hyperlink" Target="https://ultragames.com/" TargetMode="External"/><Relationship Id="rId434" Type="http://schemas.openxmlformats.org/officeDocument/2006/relationships/hyperlink" Target="https://www.chancesgames.com/WinningNumbers/WinningList" TargetMode="External"/><Relationship Id="rId319" Type="http://schemas.openxmlformats.org/officeDocument/2006/relationships/hyperlink" Target="https://www.chancesgames.com/WinningNumbers/WinningList" TargetMode="External"/><Relationship Id="rId318" Type="http://schemas.openxmlformats.org/officeDocument/2006/relationships/hyperlink" Target="https://www.chancesgames.com/Casino/CasinoGames" TargetMode="External"/><Relationship Id="rId439" Type="http://schemas.openxmlformats.org/officeDocument/2006/relationships/hyperlink" Target="https://www.islandluck.com/" TargetMode="External"/><Relationship Id="rId317" Type="http://schemas.openxmlformats.org/officeDocument/2006/relationships/hyperlink" Target="https://www.islandluck.com/" TargetMode="External"/><Relationship Id="rId438" Type="http://schemas.openxmlformats.org/officeDocument/2006/relationships/hyperlink" Target="https://www.islandluck.com/" TargetMode="External"/><Relationship Id="rId312" Type="http://schemas.openxmlformats.org/officeDocument/2006/relationships/hyperlink" Target="https://everybodywinslive.com/en/rules/lobby/" TargetMode="External"/><Relationship Id="rId433" Type="http://schemas.openxmlformats.org/officeDocument/2006/relationships/hyperlink" Target="https://www.islandluck.com/winningnumbers" TargetMode="External"/><Relationship Id="rId311" Type="http://schemas.openxmlformats.org/officeDocument/2006/relationships/hyperlink" Target="https://www.islandluck.com/" TargetMode="External"/><Relationship Id="rId432" Type="http://schemas.openxmlformats.org/officeDocument/2006/relationships/hyperlink" Target="https://www.islandluck.com/" TargetMode="External"/><Relationship Id="rId310" Type="http://schemas.openxmlformats.org/officeDocument/2006/relationships/hyperlink" Target="https://www.islandluck.com/" TargetMode="External"/><Relationship Id="rId431" Type="http://schemas.openxmlformats.org/officeDocument/2006/relationships/hyperlink" Target="https://www.chancesgames.com/AboutChances/AboutChances" TargetMode="External"/><Relationship Id="rId430" Type="http://schemas.openxmlformats.org/officeDocument/2006/relationships/hyperlink" Target="https://everybodywinslive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eplan.co.za/plans/PetPlans" TargetMode="External"/><Relationship Id="rId2" Type="http://schemas.openxmlformats.org/officeDocument/2006/relationships/hyperlink" Target="https://www.outsurance.co.za/comprehensive-pet-insurance/" TargetMode="External"/><Relationship Id="rId3" Type="http://schemas.openxmlformats.org/officeDocument/2006/relationships/hyperlink" Target="https://www.dotsure.co.za/pet-insurance" TargetMode="External"/><Relationship Id="rId4" Type="http://schemas.openxmlformats.org/officeDocument/2006/relationships/hyperlink" Target="https://catanddogsure.co.za/" TargetMode="External"/><Relationship Id="rId9" Type="http://schemas.openxmlformats.org/officeDocument/2006/relationships/hyperlink" Target="https://www.firstforwomen.co.za/" TargetMode="External"/><Relationship Id="rId5" Type="http://schemas.openxmlformats.org/officeDocument/2006/relationships/hyperlink" Target="https://www.oneplan.co.za/plans/PetPlans" TargetMode="External"/><Relationship Id="rId6" Type="http://schemas.openxmlformats.org/officeDocument/2006/relationships/hyperlink" Target="https://www.dotsure.co.za/pet-insurance" TargetMode="External"/><Relationship Id="rId7" Type="http://schemas.openxmlformats.org/officeDocument/2006/relationships/hyperlink" Target="https://www.outsurance.co.za/pet-insurance/" TargetMode="External"/><Relationship Id="rId8" Type="http://schemas.openxmlformats.org/officeDocument/2006/relationships/hyperlink" Target="https://catanddogsure.co.za/reviews/" TargetMode="External"/><Relationship Id="rId40" Type="http://schemas.openxmlformats.org/officeDocument/2006/relationships/hyperlink" Target="https://www.firstforwomen.co.za/" TargetMode="External"/><Relationship Id="rId41" Type="http://schemas.openxmlformats.org/officeDocument/2006/relationships/drawing" Target="../drawings/drawing4.xml"/><Relationship Id="rId31" Type="http://schemas.openxmlformats.org/officeDocument/2006/relationships/hyperlink" Target="https://www.dotsure.co.za/pet-insurance" TargetMode="External"/><Relationship Id="rId30" Type="http://schemas.openxmlformats.org/officeDocument/2006/relationships/hyperlink" Target="https://www.firstforwomen.co.za/pet-insurance/" TargetMode="External"/><Relationship Id="rId33" Type="http://schemas.openxmlformats.org/officeDocument/2006/relationships/hyperlink" Target="https://www.outsurance.co.za/pet-insurance/" TargetMode="External"/><Relationship Id="rId32" Type="http://schemas.openxmlformats.org/officeDocument/2006/relationships/hyperlink" Target="https://www.oneplan.co.za/plans/PetPlans" TargetMode="External"/><Relationship Id="rId35" Type="http://schemas.openxmlformats.org/officeDocument/2006/relationships/hyperlink" Target="https://www.dotsure.co.za/" TargetMode="External"/><Relationship Id="rId34" Type="http://schemas.openxmlformats.org/officeDocument/2006/relationships/hyperlink" Target="https://www.firstforwomen.co.za/pet-insurance/" TargetMode="External"/><Relationship Id="rId37" Type="http://schemas.openxmlformats.org/officeDocument/2006/relationships/hyperlink" Target="https://www.dotsure.co.za/pet-insurance" TargetMode="External"/><Relationship Id="rId36" Type="http://schemas.openxmlformats.org/officeDocument/2006/relationships/hyperlink" Target="https://www.outsurance.co.za/pet-insurance/" TargetMode="External"/><Relationship Id="rId39" Type="http://schemas.openxmlformats.org/officeDocument/2006/relationships/hyperlink" Target="https://catanddogsure.co.za/reviews/" TargetMode="External"/><Relationship Id="rId38" Type="http://schemas.openxmlformats.org/officeDocument/2006/relationships/hyperlink" Target="https://www.outsurance.co.za/pet-insurance/" TargetMode="External"/><Relationship Id="rId20" Type="http://schemas.openxmlformats.org/officeDocument/2006/relationships/hyperlink" Target="https://www.dotsure.co.za/pet-insurance" TargetMode="External"/><Relationship Id="rId22" Type="http://schemas.openxmlformats.org/officeDocument/2006/relationships/hyperlink" Target="https://www.firstforwomen.co.za/pet-insurance/" TargetMode="External"/><Relationship Id="rId21" Type="http://schemas.openxmlformats.org/officeDocument/2006/relationships/hyperlink" Target="https://www.outsurance.co.za/checkers-pet" TargetMode="External"/><Relationship Id="rId24" Type="http://schemas.openxmlformats.org/officeDocument/2006/relationships/hyperlink" Target="https://catanddogsure.co.za/reviews/" TargetMode="External"/><Relationship Id="rId23" Type="http://schemas.openxmlformats.org/officeDocument/2006/relationships/hyperlink" Target="https://www.dotsure.co.za/pet-insurance" TargetMode="External"/><Relationship Id="rId26" Type="http://schemas.openxmlformats.org/officeDocument/2006/relationships/hyperlink" Target="https://www.outsurance.co.za/pet-insurance/" TargetMode="External"/><Relationship Id="rId25" Type="http://schemas.openxmlformats.org/officeDocument/2006/relationships/hyperlink" Target="https://www.dotsure.co.za/rogz" TargetMode="External"/><Relationship Id="rId28" Type="http://schemas.openxmlformats.org/officeDocument/2006/relationships/hyperlink" Target="https://www.dotsure.co.za/pet-insurance" TargetMode="External"/><Relationship Id="rId27" Type="http://schemas.openxmlformats.org/officeDocument/2006/relationships/hyperlink" Target="https://www.oneplan.co.za/" TargetMode="External"/><Relationship Id="rId29" Type="http://schemas.openxmlformats.org/officeDocument/2006/relationships/hyperlink" Target="https://www.outsurance.co.za/pet-insurance/" TargetMode="External"/><Relationship Id="rId11" Type="http://schemas.openxmlformats.org/officeDocument/2006/relationships/hyperlink" Target="https://www.outsurance.co.za/pet-insurance/" TargetMode="External"/><Relationship Id="rId10" Type="http://schemas.openxmlformats.org/officeDocument/2006/relationships/hyperlink" Target="https://www.dotsure.co.za/pet-insurance" TargetMode="External"/><Relationship Id="rId13" Type="http://schemas.openxmlformats.org/officeDocument/2006/relationships/hyperlink" Target="https://pawpawpets.co.za/" TargetMode="External"/><Relationship Id="rId12" Type="http://schemas.openxmlformats.org/officeDocument/2006/relationships/hyperlink" Target="https://www.firstforwomen.co.za/pet-insurance/" TargetMode="External"/><Relationship Id="rId15" Type="http://schemas.openxmlformats.org/officeDocument/2006/relationships/hyperlink" Target="https://www.firstforwomen.co.za/pet-insurance/" TargetMode="External"/><Relationship Id="rId14" Type="http://schemas.openxmlformats.org/officeDocument/2006/relationships/hyperlink" Target="https://www.oneplan.co.za/plans/PetPlans" TargetMode="External"/><Relationship Id="rId17" Type="http://schemas.openxmlformats.org/officeDocument/2006/relationships/hyperlink" Target="https://www.oneplan.co.za/plans/PetPlans" TargetMode="External"/><Relationship Id="rId16" Type="http://schemas.openxmlformats.org/officeDocument/2006/relationships/hyperlink" Target="https://www.dotsure.co.za/pet-insurance" TargetMode="External"/><Relationship Id="rId19" Type="http://schemas.openxmlformats.org/officeDocument/2006/relationships/hyperlink" Target="https://catanddogsure.co.za/" TargetMode="External"/><Relationship Id="rId18" Type="http://schemas.openxmlformats.org/officeDocument/2006/relationships/hyperlink" Target="https://www.outsurance.co.za/pet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  <col customWidth="1" min="2" max="6" width="12.63"/>
  </cols>
  <sheetData>
    <row r="1">
      <c r="A1" s="2" t="s">
        <v>1</v>
      </c>
    </row>
    <row r="2">
      <c r="A2" s="4" t="s">
        <v>2</v>
      </c>
      <c r="B2" s="10" t="s">
        <v>4</v>
      </c>
      <c r="C2" s="12" t="s">
        <v>13</v>
      </c>
    </row>
    <row r="3">
      <c r="A3" s="13" t="s">
        <v>21</v>
      </c>
      <c r="B3" s="16" t="s">
        <v>25</v>
      </c>
      <c r="C3" s="17" t="s">
        <v>13</v>
      </c>
    </row>
    <row r="4">
      <c r="A4" s="13" t="s">
        <v>78</v>
      </c>
      <c r="B4" s="16" t="s">
        <v>81</v>
      </c>
      <c r="C4" s="17" t="s">
        <v>13</v>
      </c>
    </row>
    <row r="5">
      <c r="A5" s="20" t="s">
        <v>113</v>
      </c>
      <c r="B5" s="24" t="s">
        <v>114</v>
      </c>
      <c r="C5" s="26" t="s">
        <v>13</v>
      </c>
    </row>
    <row r="6">
      <c r="A6" s="20" t="s">
        <v>118</v>
      </c>
      <c r="B6" s="24" t="s">
        <v>119</v>
      </c>
      <c r="C6" s="26" t="s">
        <v>13</v>
      </c>
    </row>
    <row r="7">
      <c r="A7" s="20" t="s">
        <v>121</v>
      </c>
      <c r="B7" s="24" t="s">
        <v>122</v>
      </c>
      <c r="C7" s="26" t="s">
        <v>13</v>
      </c>
    </row>
    <row r="8">
      <c r="A8" s="20" t="s">
        <v>126</v>
      </c>
      <c r="B8" s="37" t="s">
        <v>127</v>
      </c>
      <c r="C8" s="38" t="s">
        <v>130</v>
      </c>
    </row>
    <row r="9">
      <c r="A9" s="39"/>
    </row>
    <row r="10">
      <c r="A10" s="41"/>
    </row>
    <row r="11">
      <c r="A11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0.38"/>
    <col customWidth="1" min="3" max="12" width="17.63"/>
  </cols>
  <sheetData>
    <row r="1" ht="29.25" customHeight="1">
      <c r="A1" s="6"/>
      <c r="B1" s="11" t="s">
        <v>8</v>
      </c>
      <c r="C1" s="15" t="s">
        <v>17</v>
      </c>
      <c r="D1" s="18" t="s">
        <v>42</v>
      </c>
      <c r="E1" s="18" t="s">
        <v>84</v>
      </c>
      <c r="F1" s="18" t="s">
        <v>110</v>
      </c>
      <c r="G1" s="18" t="s">
        <v>115</v>
      </c>
      <c r="H1" s="18" t="s">
        <v>120</v>
      </c>
      <c r="I1" s="18" t="s">
        <v>123</v>
      </c>
      <c r="J1" s="33"/>
      <c r="K1" s="33"/>
      <c r="L1" s="35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42" t="s">
        <v>8</v>
      </c>
      <c r="B2" s="43" t="s">
        <v>132</v>
      </c>
      <c r="C2" s="44">
        <v>11.0</v>
      </c>
      <c r="D2" s="45">
        <v>2.0</v>
      </c>
      <c r="E2" s="45">
        <v>7.0</v>
      </c>
      <c r="F2" s="45">
        <v>3.0</v>
      </c>
      <c r="G2" s="45">
        <v>3.0</v>
      </c>
      <c r="H2" s="45">
        <v>0.0</v>
      </c>
      <c r="I2" s="45">
        <v>0.0</v>
      </c>
      <c r="J2" s="45"/>
      <c r="K2" s="45"/>
      <c r="L2" s="48"/>
    </row>
    <row r="3">
      <c r="A3" s="42" t="s">
        <v>17</v>
      </c>
      <c r="B3" s="43">
        <v>11.0</v>
      </c>
      <c r="C3" s="44" t="s">
        <v>132</v>
      </c>
      <c r="D3" s="45">
        <v>36.0</v>
      </c>
      <c r="E3" s="45">
        <v>46.0</v>
      </c>
      <c r="F3" s="45">
        <v>31.0</v>
      </c>
      <c r="G3" s="45">
        <v>23.0</v>
      </c>
      <c r="H3" s="45">
        <v>0.0</v>
      </c>
      <c r="I3" s="45">
        <v>1.0</v>
      </c>
      <c r="J3" s="45"/>
      <c r="K3" s="45"/>
      <c r="L3" s="48"/>
    </row>
    <row r="4">
      <c r="A4" s="42" t="s">
        <v>42</v>
      </c>
      <c r="B4" s="43">
        <v>2.0</v>
      </c>
      <c r="C4" s="44">
        <v>36.0</v>
      </c>
      <c r="D4" s="45" t="s">
        <v>132</v>
      </c>
      <c r="E4" s="45">
        <v>24.0</v>
      </c>
      <c r="F4" s="45">
        <v>23.0</v>
      </c>
      <c r="G4" s="45">
        <v>15.0</v>
      </c>
      <c r="H4" s="45">
        <v>0.0</v>
      </c>
      <c r="I4" s="45">
        <v>1.0</v>
      </c>
      <c r="J4" s="45"/>
      <c r="K4" s="45"/>
      <c r="L4" s="48"/>
    </row>
    <row r="5">
      <c r="A5" s="42" t="s">
        <v>84</v>
      </c>
      <c r="B5" s="43">
        <v>7.0</v>
      </c>
      <c r="C5" s="44">
        <v>46.0</v>
      </c>
      <c r="D5" s="45">
        <v>24.0</v>
      </c>
      <c r="E5" s="45" t="s">
        <v>132</v>
      </c>
      <c r="F5" s="45">
        <v>25.0</v>
      </c>
      <c r="G5" s="45">
        <v>19.0</v>
      </c>
      <c r="H5" s="45">
        <v>0.0</v>
      </c>
      <c r="I5" s="45">
        <v>1.0</v>
      </c>
      <c r="J5" s="45"/>
      <c r="K5" s="45"/>
      <c r="L5" s="48"/>
    </row>
    <row r="6">
      <c r="A6" s="42" t="s">
        <v>110</v>
      </c>
      <c r="B6" s="43">
        <v>3.0</v>
      </c>
      <c r="C6" s="44">
        <v>31.0</v>
      </c>
      <c r="D6" s="45">
        <v>23.0</v>
      </c>
      <c r="E6" s="45">
        <v>25.0</v>
      </c>
      <c r="F6" s="45" t="s">
        <v>132</v>
      </c>
      <c r="G6" s="45">
        <v>17.0</v>
      </c>
      <c r="H6" s="45">
        <v>0.0</v>
      </c>
      <c r="I6" s="45">
        <v>1.0</v>
      </c>
      <c r="J6" s="45"/>
      <c r="K6" s="45"/>
      <c r="L6" s="48"/>
    </row>
    <row r="7">
      <c r="A7" s="52" t="s">
        <v>115</v>
      </c>
      <c r="B7" s="43">
        <v>3.0</v>
      </c>
      <c r="C7" s="44">
        <v>23.0</v>
      </c>
      <c r="D7" s="45">
        <v>15.0</v>
      </c>
      <c r="E7" s="45">
        <v>19.0</v>
      </c>
      <c r="F7" s="45">
        <v>17.0</v>
      </c>
      <c r="G7" s="45" t="s">
        <v>132</v>
      </c>
      <c r="H7" s="45">
        <v>0.0</v>
      </c>
      <c r="I7" s="45">
        <v>0.0</v>
      </c>
      <c r="J7" s="45"/>
      <c r="K7" s="45"/>
      <c r="L7" s="48"/>
    </row>
    <row r="8">
      <c r="A8" s="42" t="s">
        <v>120</v>
      </c>
      <c r="B8" s="43">
        <v>0.0</v>
      </c>
      <c r="C8" s="44">
        <v>0.0</v>
      </c>
      <c r="D8" s="45">
        <v>0.0</v>
      </c>
      <c r="E8" s="45">
        <v>0.0</v>
      </c>
      <c r="F8" s="45">
        <v>0.0</v>
      </c>
      <c r="G8" s="45">
        <v>0.0</v>
      </c>
      <c r="H8" s="45" t="s">
        <v>132</v>
      </c>
      <c r="I8" s="45">
        <v>0.0</v>
      </c>
      <c r="J8" s="45"/>
      <c r="K8" s="45"/>
      <c r="L8" s="48"/>
    </row>
    <row r="9">
      <c r="A9" s="42" t="s">
        <v>123</v>
      </c>
      <c r="B9" s="43">
        <v>0.0</v>
      </c>
      <c r="C9" s="44">
        <v>1.0</v>
      </c>
      <c r="D9" s="45">
        <v>1.0</v>
      </c>
      <c r="E9" s="45">
        <v>1.0</v>
      </c>
      <c r="F9" s="45">
        <v>1.0</v>
      </c>
      <c r="G9" s="45">
        <v>0.0</v>
      </c>
      <c r="H9" s="45">
        <v>0.0</v>
      </c>
      <c r="I9" s="45" t="s">
        <v>132</v>
      </c>
      <c r="J9" s="45"/>
      <c r="K9" s="45"/>
      <c r="L9" s="48"/>
    </row>
    <row r="10">
      <c r="A10" s="54"/>
      <c r="B10" s="43"/>
      <c r="C10" s="44"/>
      <c r="D10" s="45"/>
      <c r="E10" s="45"/>
      <c r="F10" s="45"/>
      <c r="G10" s="45"/>
      <c r="H10" s="45"/>
      <c r="I10" s="45"/>
      <c r="J10" s="45"/>
      <c r="K10" s="45"/>
      <c r="L10" s="48"/>
    </row>
    <row r="11">
      <c r="A11" s="55"/>
      <c r="B11" s="56"/>
      <c r="C11" s="57"/>
      <c r="D11" s="58"/>
      <c r="E11" s="58"/>
      <c r="F11" s="58"/>
      <c r="G11" s="58"/>
      <c r="H11" s="58"/>
      <c r="I11" s="58"/>
      <c r="J11" s="58"/>
      <c r="K11" s="58"/>
      <c r="L11" s="59"/>
    </row>
    <row r="12">
      <c r="A12" s="60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</row>
    <row r="13">
      <c r="A13" s="62"/>
    </row>
    <row r="14">
      <c r="A14" s="62"/>
    </row>
    <row r="15">
      <c r="A15" s="62"/>
    </row>
    <row r="16">
      <c r="A16" s="62"/>
    </row>
    <row r="17">
      <c r="A17" s="62"/>
    </row>
    <row r="18">
      <c r="A18" s="62"/>
    </row>
    <row r="19">
      <c r="A19" s="62"/>
    </row>
    <row r="20">
      <c r="A20" s="62"/>
    </row>
    <row r="21" ht="15.75" customHeight="1">
      <c r="A21" s="62"/>
    </row>
    <row r="22" ht="15.75" customHeight="1">
      <c r="A22" s="62"/>
    </row>
    <row r="23" ht="15.75" customHeight="1">
      <c r="A23" s="62"/>
    </row>
    <row r="24" ht="15.75" customHeight="1">
      <c r="A24" s="62"/>
    </row>
    <row r="25" ht="15.75" customHeight="1">
      <c r="A25" s="62"/>
    </row>
    <row r="26" ht="15.75" customHeight="1">
      <c r="A26" s="62"/>
    </row>
    <row r="27" ht="15.75" customHeight="1">
      <c r="A27" s="62"/>
    </row>
    <row r="28" ht="15.75" customHeight="1">
      <c r="A28" s="62"/>
    </row>
    <row r="29" ht="15.75" customHeight="1">
      <c r="A29" s="62"/>
    </row>
    <row r="30" ht="15.75" customHeight="1">
      <c r="A30" s="62"/>
    </row>
    <row r="31" ht="15.75" customHeight="1">
      <c r="A31" s="62"/>
    </row>
    <row r="32" ht="15.75" customHeight="1">
      <c r="A32" s="62"/>
    </row>
    <row r="33" ht="15.75" customHeight="1">
      <c r="A33" s="62"/>
    </row>
    <row r="34" ht="15.75" customHeight="1">
      <c r="A34" s="62"/>
    </row>
    <row r="35" ht="15.75" customHeight="1">
      <c r="A35" s="62"/>
    </row>
    <row r="36" ht="15.75" customHeight="1">
      <c r="A36" s="62"/>
    </row>
    <row r="37" ht="15.75" customHeight="1">
      <c r="A37" s="62"/>
    </row>
    <row r="38" ht="15.75" customHeight="1">
      <c r="A38" s="62"/>
    </row>
    <row r="39" ht="15.75" customHeight="1">
      <c r="A39" s="62"/>
    </row>
    <row r="40" ht="15.75" customHeight="1">
      <c r="A40" s="62"/>
    </row>
    <row r="41" ht="15.75" customHeight="1">
      <c r="A41" s="62"/>
    </row>
    <row r="42" ht="15.75" customHeight="1">
      <c r="A42" s="62"/>
    </row>
    <row r="43" ht="15.75" customHeight="1">
      <c r="A43" s="62"/>
    </row>
    <row r="44" ht="15.75" customHeight="1">
      <c r="A44" s="62"/>
    </row>
    <row r="45" ht="15.75" customHeight="1">
      <c r="A45" s="62"/>
    </row>
    <row r="46" ht="15.75" customHeight="1">
      <c r="A46" s="62"/>
    </row>
    <row r="47" ht="15.75" customHeight="1">
      <c r="A47" s="62"/>
    </row>
    <row r="48" ht="15.75" customHeight="1">
      <c r="A48" s="62"/>
    </row>
    <row r="49" ht="15.75" customHeight="1">
      <c r="A49" s="62"/>
    </row>
    <row r="50" ht="15.75" customHeight="1">
      <c r="A50" s="62"/>
    </row>
    <row r="51" ht="15.75" customHeight="1">
      <c r="A51" s="62"/>
    </row>
    <row r="52" ht="15.75" customHeight="1">
      <c r="A52" s="62"/>
    </row>
    <row r="53" ht="15.75" customHeight="1">
      <c r="A53" s="62"/>
    </row>
    <row r="54" ht="15.75" customHeight="1">
      <c r="A54" s="62"/>
    </row>
    <row r="55" ht="15.75" customHeight="1">
      <c r="A55" s="62"/>
    </row>
    <row r="56" ht="15.75" customHeight="1">
      <c r="A56" s="62"/>
    </row>
    <row r="57" ht="15.75" customHeight="1">
      <c r="A57" s="62"/>
    </row>
    <row r="58" ht="15.75" customHeight="1">
      <c r="A58" s="62"/>
    </row>
    <row r="59" ht="15.75" customHeight="1">
      <c r="A59" s="62"/>
    </row>
    <row r="60" ht="15.75" customHeight="1">
      <c r="A60" s="62"/>
    </row>
    <row r="61" ht="15.75" customHeight="1">
      <c r="A61" s="62"/>
    </row>
    <row r="62" ht="15.75" customHeight="1">
      <c r="A62" s="62"/>
    </row>
    <row r="63" ht="15.75" customHeight="1">
      <c r="A63" s="62"/>
    </row>
    <row r="64" ht="15.75" customHeight="1">
      <c r="A64" s="62"/>
    </row>
    <row r="65" ht="15.75" customHeight="1">
      <c r="A65" s="62"/>
    </row>
    <row r="66" ht="15.75" customHeight="1">
      <c r="A66" s="62"/>
    </row>
    <row r="67" ht="15.75" customHeight="1">
      <c r="A67" s="62"/>
    </row>
    <row r="68" ht="15.75" customHeight="1">
      <c r="A68" s="62"/>
    </row>
    <row r="69" ht="15.75" customHeight="1">
      <c r="A69" s="62"/>
    </row>
    <row r="70" ht="15.75" customHeight="1">
      <c r="A70" s="62"/>
    </row>
    <row r="71" ht="15.75" customHeight="1">
      <c r="A71" s="62"/>
    </row>
    <row r="72" ht="15.75" customHeight="1">
      <c r="A72" s="62"/>
    </row>
    <row r="73" ht="15.75" customHeight="1">
      <c r="A73" s="62"/>
    </row>
    <row r="74" ht="15.75" customHeight="1">
      <c r="A74" s="62"/>
    </row>
    <row r="75" ht="15.75" customHeight="1">
      <c r="A75" s="62"/>
    </row>
    <row r="76" ht="15.75" customHeight="1">
      <c r="A76" s="62"/>
    </row>
    <row r="77" ht="15.75" customHeight="1">
      <c r="A77" s="62"/>
    </row>
    <row r="78" ht="15.75" customHeight="1">
      <c r="A78" s="62"/>
    </row>
    <row r="79" ht="15.75" customHeight="1">
      <c r="A79" s="62"/>
    </row>
    <row r="80" ht="15.75" customHeight="1">
      <c r="A80" s="62"/>
    </row>
    <row r="81" ht="15.75" customHeight="1">
      <c r="A81" s="62"/>
    </row>
    <row r="82" ht="15.75" customHeight="1">
      <c r="A82" s="62"/>
    </row>
    <row r="83" ht="15.75" customHeight="1">
      <c r="A83" s="62"/>
    </row>
    <row r="84" ht="15.75" customHeight="1">
      <c r="A84" s="62"/>
    </row>
    <row r="85" ht="15.75" customHeight="1">
      <c r="A85" s="62"/>
    </row>
    <row r="86" ht="15.75" customHeight="1">
      <c r="A86" s="62"/>
    </row>
    <row r="87" ht="15.75" customHeight="1">
      <c r="A87" s="62"/>
    </row>
    <row r="88" ht="15.75" customHeight="1">
      <c r="A88" s="62"/>
    </row>
    <row r="89" ht="15.75" customHeight="1">
      <c r="A89" s="62"/>
    </row>
    <row r="90" ht="15.75" customHeight="1">
      <c r="A90" s="62"/>
    </row>
    <row r="91" ht="15.75" customHeight="1">
      <c r="A91" s="62"/>
    </row>
    <row r="92" ht="15.75" customHeight="1">
      <c r="A92" s="62"/>
    </row>
    <row r="93" ht="15.75" customHeight="1">
      <c r="A93" s="62"/>
    </row>
    <row r="94" ht="15.75" customHeight="1">
      <c r="A94" s="62"/>
    </row>
    <row r="95" ht="15.75" customHeight="1">
      <c r="A95" s="62"/>
    </row>
    <row r="96" ht="15.75" customHeight="1">
      <c r="A96" s="62"/>
    </row>
    <row r="97" ht="15.75" customHeight="1">
      <c r="A97" s="62"/>
    </row>
    <row r="98" ht="15.75" customHeight="1">
      <c r="A98" s="62"/>
    </row>
    <row r="99" ht="15.75" customHeight="1">
      <c r="A99" s="62"/>
    </row>
    <row r="100" ht="15.75" customHeight="1">
      <c r="A100" s="62"/>
    </row>
    <row r="101" ht="15.75" customHeight="1">
      <c r="A101" s="62"/>
    </row>
    <row r="102" ht="15.75" customHeight="1">
      <c r="A102" s="62"/>
    </row>
    <row r="103" ht="15.75" customHeight="1">
      <c r="A103" s="62"/>
    </row>
    <row r="104" ht="15.75" customHeight="1">
      <c r="A104" s="62"/>
    </row>
    <row r="105" ht="15.75" customHeight="1">
      <c r="A105" s="62"/>
    </row>
    <row r="106" ht="15.75" customHeight="1">
      <c r="A106" s="62"/>
    </row>
    <row r="107" ht="15.75" customHeight="1">
      <c r="A107" s="62"/>
    </row>
    <row r="108" ht="15.75" customHeight="1">
      <c r="A108" s="62"/>
    </row>
    <row r="109" ht="15.75" customHeight="1">
      <c r="A109" s="62"/>
    </row>
    <row r="110" ht="15.75" customHeight="1">
      <c r="A110" s="62"/>
    </row>
    <row r="111" ht="15.75" customHeight="1">
      <c r="A111" s="62"/>
    </row>
    <row r="112" ht="15.75" customHeight="1">
      <c r="A112" s="62"/>
    </row>
    <row r="113" ht="15.75" customHeight="1">
      <c r="A113" s="62"/>
    </row>
    <row r="114" ht="15.75" customHeight="1">
      <c r="A114" s="62"/>
    </row>
    <row r="115" ht="15.75" customHeight="1">
      <c r="A115" s="62"/>
    </row>
    <row r="116" ht="15.75" customHeight="1">
      <c r="A116" s="62"/>
    </row>
    <row r="117" ht="15.75" customHeight="1">
      <c r="A117" s="62"/>
    </row>
    <row r="118" ht="15.75" customHeight="1">
      <c r="A118" s="62"/>
    </row>
    <row r="119" ht="15.75" customHeight="1">
      <c r="A119" s="62"/>
    </row>
    <row r="120" ht="15.75" customHeight="1">
      <c r="A120" s="62"/>
    </row>
    <row r="121" ht="15.75" customHeight="1">
      <c r="A121" s="62"/>
    </row>
    <row r="122" ht="15.75" customHeight="1">
      <c r="A122" s="62"/>
    </row>
    <row r="123" ht="15.75" customHeight="1">
      <c r="A123" s="62"/>
    </row>
    <row r="124" ht="15.75" customHeight="1">
      <c r="A124" s="62"/>
    </row>
    <row r="125" ht="15.75" customHeight="1">
      <c r="A125" s="62"/>
    </row>
    <row r="126" ht="15.75" customHeight="1">
      <c r="A126" s="62"/>
    </row>
    <row r="127" ht="15.75" customHeight="1">
      <c r="A127" s="62"/>
    </row>
    <row r="128" ht="15.75" customHeight="1">
      <c r="A128" s="62"/>
    </row>
    <row r="129" ht="15.75" customHeight="1">
      <c r="A129" s="62"/>
    </row>
    <row r="130" ht="15.75" customHeight="1">
      <c r="A130" s="62"/>
    </row>
    <row r="131" ht="15.75" customHeight="1">
      <c r="A131" s="62"/>
    </row>
    <row r="132" ht="15.75" customHeight="1">
      <c r="A132" s="62"/>
    </row>
    <row r="133" ht="15.75" customHeight="1">
      <c r="A133" s="62"/>
    </row>
    <row r="134" ht="15.75" customHeight="1">
      <c r="A134" s="62"/>
    </row>
    <row r="135" ht="15.75" customHeight="1">
      <c r="A135" s="62"/>
    </row>
    <row r="136" ht="15.75" customHeight="1">
      <c r="A136" s="62"/>
    </row>
    <row r="137" ht="15.75" customHeight="1">
      <c r="A137" s="62"/>
    </row>
    <row r="138" ht="15.75" customHeight="1">
      <c r="A138" s="62"/>
    </row>
    <row r="139" ht="15.75" customHeight="1">
      <c r="A139" s="62"/>
    </row>
    <row r="140" ht="15.75" customHeight="1">
      <c r="A140" s="62"/>
    </row>
    <row r="141" ht="15.75" customHeight="1">
      <c r="A141" s="62"/>
    </row>
    <row r="142" ht="15.75" customHeight="1">
      <c r="A142" s="62"/>
    </row>
    <row r="143" ht="15.75" customHeight="1">
      <c r="A143" s="62"/>
    </row>
    <row r="144" ht="15.75" customHeight="1">
      <c r="A144" s="62"/>
    </row>
    <row r="145" ht="15.75" customHeight="1">
      <c r="A145" s="62"/>
    </row>
    <row r="146" ht="15.75" customHeight="1">
      <c r="A146" s="62"/>
    </row>
    <row r="147" ht="15.75" customHeight="1">
      <c r="A147" s="62"/>
    </row>
    <row r="148" ht="15.75" customHeight="1">
      <c r="A148" s="62"/>
    </row>
    <row r="149" ht="15.75" customHeight="1">
      <c r="A149" s="62"/>
    </row>
    <row r="150" ht="15.75" customHeight="1">
      <c r="A150" s="62"/>
    </row>
    <row r="151" ht="15.75" customHeight="1">
      <c r="A151" s="62"/>
    </row>
    <row r="152" ht="15.75" customHeight="1">
      <c r="A152" s="62"/>
    </row>
    <row r="153" ht="15.75" customHeight="1">
      <c r="A153" s="62"/>
    </row>
    <row r="154" ht="15.75" customHeight="1">
      <c r="A154" s="62"/>
    </row>
    <row r="155" ht="15.75" customHeight="1">
      <c r="A155" s="62"/>
    </row>
    <row r="156" ht="15.75" customHeight="1">
      <c r="A156" s="62"/>
    </row>
    <row r="157" ht="15.75" customHeight="1">
      <c r="A157" s="62"/>
    </row>
    <row r="158" ht="15.75" customHeight="1">
      <c r="A158" s="62"/>
    </row>
    <row r="159" ht="15.75" customHeight="1">
      <c r="A159" s="62"/>
    </row>
    <row r="160" ht="15.75" customHeight="1">
      <c r="A160" s="62"/>
    </row>
    <row r="161" ht="15.75" customHeight="1">
      <c r="A161" s="62"/>
    </row>
    <row r="162" ht="15.75" customHeight="1">
      <c r="A162" s="62"/>
    </row>
    <row r="163" ht="15.75" customHeight="1">
      <c r="A163" s="62"/>
    </row>
    <row r="164" ht="15.75" customHeight="1">
      <c r="A164" s="62"/>
    </row>
    <row r="165" ht="15.75" customHeight="1">
      <c r="A165" s="62"/>
    </row>
    <row r="166" ht="15.75" customHeight="1">
      <c r="A166" s="62"/>
    </row>
    <row r="167" ht="15.75" customHeight="1">
      <c r="A167" s="62"/>
    </row>
    <row r="168" ht="15.75" customHeight="1">
      <c r="A168" s="62"/>
    </row>
    <row r="169" ht="15.75" customHeight="1">
      <c r="A169" s="62"/>
    </row>
    <row r="170" ht="15.75" customHeight="1">
      <c r="A170" s="62"/>
    </row>
    <row r="171" ht="15.75" customHeight="1">
      <c r="A171" s="62"/>
    </row>
    <row r="172" ht="15.75" customHeight="1">
      <c r="A172" s="62"/>
    </row>
    <row r="173" ht="15.75" customHeight="1">
      <c r="A173" s="62"/>
    </row>
    <row r="174" ht="15.75" customHeight="1">
      <c r="A174" s="62"/>
    </row>
    <row r="175" ht="15.75" customHeight="1">
      <c r="A175" s="62"/>
    </row>
    <row r="176" ht="15.75" customHeight="1">
      <c r="A176" s="62"/>
    </row>
    <row r="177" ht="15.75" customHeight="1">
      <c r="A177" s="62"/>
    </row>
    <row r="178" ht="15.75" customHeight="1">
      <c r="A178" s="62"/>
    </row>
    <row r="179" ht="15.75" customHeight="1">
      <c r="A179" s="62"/>
    </row>
    <row r="180" ht="15.75" customHeight="1">
      <c r="A180" s="62"/>
    </row>
    <row r="181" ht="15.75" customHeight="1">
      <c r="A181" s="62"/>
    </row>
    <row r="182" ht="15.75" customHeight="1">
      <c r="A182" s="62"/>
    </row>
    <row r="183" ht="15.75" customHeight="1">
      <c r="A183" s="62"/>
    </row>
    <row r="184" ht="15.75" customHeight="1">
      <c r="A184" s="62"/>
    </row>
    <row r="185" ht="15.75" customHeight="1">
      <c r="A185" s="62"/>
    </row>
    <row r="186" ht="15.75" customHeight="1">
      <c r="A186" s="62"/>
    </row>
    <row r="187" ht="15.75" customHeight="1">
      <c r="A187" s="62"/>
    </row>
    <row r="188" ht="15.75" customHeight="1">
      <c r="A188" s="62"/>
    </row>
    <row r="189" ht="15.75" customHeight="1">
      <c r="A189" s="62"/>
    </row>
    <row r="190" ht="15.75" customHeight="1">
      <c r="A190" s="62"/>
    </row>
    <row r="191" ht="15.75" customHeight="1">
      <c r="A191" s="62"/>
    </row>
    <row r="192" ht="15.75" customHeight="1">
      <c r="A192" s="62"/>
    </row>
    <row r="193" ht="15.75" customHeight="1">
      <c r="A193" s="62"/>
    </row>
    <row r="194" ht="15.75" customHeight="1">
      <c r="A194" s="62"/>
    </row>
    <row r="195" ht="15.75" customHeight="1">
      <c r="A195" s="62"/>
    </row>
    <row r="196" ht="15.75" customHeight="1">
      <c r="A196" s="62"/>
    </row>
    <row r="197" ht="15.75" customHeight="1">
      <c r="A197" s="62"/>
    </row>
    <row r="198" ht="15.75" customHeight="1">
      <c r="A198" s="62"/>
    </row>
    <row r="199" ht="15.75" customHeight="1">
      <c r="A199" s="62"/>
    </row>
    <row r="200" ht="15.75" customHeight="1">
      <c r="A200" s="62"/>
    </row>
    <row r="201" ht="15.75" customHeight="1">
      <c r="A201" s="62"/>
    </row>
    <row r="202" ht="15.75" customHeight="1">
      <c r="A202" s="62"/>
    </row>
    <row r="203" ht="15.75" customHeight="1">
      <c r="A203" s="62"/>
    </row>
    <row r="204" ht="15.75" customHeight="1">
      <c r="A204" s="62"/>
    </row>
    <row r="205" ht="15.75" customHeight="1">
      <c r="A205" s="62"/>
    </row>
    <row r="206" ht="15.75" customHeight="1">
      <c r="A206" s="62"/>
    </row>
    <row r="207" ht="15.75" customHeight="1">
      <c r="A207" s="62"/>
    </row>
    <row r="208" ht="15.75" customHeight="1">
      <c r="A208" s="62"/>
    </row>
    <row r="209" ht="15.75" customHeight="1">
      <c r="A209" s="62"/>
    </row>
    <row r="210" ht="15.75" customHeight="1">
      <c r="A210" s="62"/>
    </row>
    <row r="211" ht="15.75" customHeight="1">
      <c r="A211" s="62"/>
    </row>
    <row r="212" ht="15.75" customHeight="1">
      <c r="A212" s="62"/>
    </row>
    <row r="213" ht="15.75" customHeight="1">
      <c r="A213" s="62"/>
    </row>
    <row r="214" ht="15.75" customHeight="1">
      <c r="A214" s="62"/>
    </row>
    <row r="215" ht="15.75" customHeight="1">
      <c r="A215" s="62"/>
    </row>
    <row r="216" ht="15.75" customHeight="1">
      <c r="A216" s="62"/>
    </row>
    <row r="217" ht="15.75" customHeight="1">
      <c r="A217" s="62"/>
    </row>
    <row r="218" ht="15.75" customHeight="1">
      <c r="A218" s="62"/>
    </row>
    <row r="219" ht="15.75" customHeight="1">
      <c r="A219" s="62"/>
    </row>
    <row r="220" ht="15.75" customHeight="1">
      <c r="A220" s="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  <hyperlink r:id="rId2" ref="C1"/>
    <hyperlink r:id="rId3" ref="D1"/>
    <hyperlink r:id="rId4" ref="E1"/>
    <hyperlink r:id="rId5" ref="F1"/>
    <hyperlink r:id="rId6" ref="G1"/>
    <hyperlink r:id="rId7" ref="H1"/>
    <hyperlink r:id="rId8" ref="I1"/>
    <hyperlink r:id="rId9" ref="A2"/>
    <hyperlink r:id="rId10" ref="A3"/>
    <hyperlink r:id="rId11" ref="A4"/>
    <hyperlink r:id="rId12" ref="A5"/>
    <hyperlink r:id="rId13" ref="A6"/>
    <hyperlink r:id="rId14" ref="A7"/>
    <hyperlink r:id="rId15" ref="A8"/>
    <hyperlink r:id="rId16" ref="A9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13"/>
  </cols>
  <sheetData>
    <row r="1" ht="46.5" customHeight="1">
      <c r="A1" s="8" t="s">
        <v>0</v>
      </c>
      <c r="B1" s="8" t="s">
        <v>5</v>
      </c>
      <c r="C1" s="8" t="s">
        <v>6</v>
      </c>
      <c r="D1" s="9" t="s">
        <v>3</v>
      </c>
      <c r="E1" s="8" t="s">
        <v>10</v>
      </c>
      <c r="F1" s="8" t="s">
        <v>7</v>
      </c>
      <c r="G1" s="8" t="s">
        <v>11</v>
      </c>
      <c r="H1" s="8" t="s">
        <v>12</v>
      </c>
      <c r="I1" s="8" t="s">
        <v>14</v>
      </c>
      <c r="J1" s="8" t="s">
        <v>15</v>
      </c>
      <c r="K1" s="8" t="s">
        <v>16</v>
      </c>
      <c r="L1" s="8" t="s">
        <v>18</v>
      </c>
      <c r="M1" s="8" t="s">
        <v>19</v>
      </c>
      <c r="N1" s="8" t="s">
        <v>20</v>
      </c>
      <c r="O1" s="8" t="s">
        <v>22</v>
      </c>
      <c r="P1" s="8" t="s">
        <v>23</v>
      </c>
      <c r="Q1" s="8" t="s">
        <v>24</v>
      </c>
      <c r="R1" s="8" t="s">
        <v>26</v>
      </c>
      <c r="S1" s="8" t="s">
        <v>27</v>
      </c>
      <c r="T1" s="8" t="s">
        <v>28</v>
      </c>
      <c r="U1" s="8" t="s">
        <v>29</v>
      </c>
      <c r="V1" s="8" t="s">
        <v>30</v>
      </c>
      <c r="W1" s="8" t="s">
        <v>31</v>
      </c>
      <c r="X1" s="8" t="s">
        <v>32</v>
      </c>
      <c r="Y1" s="8" t="s">
        <v>33</v>
      </c>
      <c r="Z1" s="8" t="s">
        <v>36</v>
      </c>
      <c r="AA1" s="8" t="s">
        <v>38</v>
      </c>
      <c r="AB1" s="8" t="s">
        <v>39</v>
      </c>
      <c r="AC1" s="8" t="s">
        <v>41</v>
      </c>
      <c r="AD1" s="8" t="s">
        <v>43</v>
      </c>
      <c r="AE1" s="8" t="s">
        <v>45</v>
      </c>
      <c r="AF1" s="8" t="s">
        <v>48</v>
      </c>
      <c r="AG1" s="8" t="s">
        <v>50</v>
      </c>
      <c r="AH1" s="8" t="s">
        <v>52</v>
      </c>
      <c r="AI1" s="8" t="s">
        <v>54</v>
      </c>
      <c r="AJ1" s="8" t="s">
        <v>56</v>
      </c>
      <c r="AK1" s="8" t="s">
        <v>57</v>
      </c>
      <c r="AL1" s="8" t="s">
        <v>59</v>
      </c>
      <c r="AM1" s="8" t="s">
        <v>60</v>
      </c>
      <c r="AN1" s="8" t="s">
        <v>61</v>
      </c>
      <c r="AO1" s="8" t="s">
        <v>62</v>
      </c>
      <c r="AP1" s="8" t="s">
        <v>63</v>
      </c>
      <c r="AQ1" s="8" t="s">
        <v>64</v>
      </c>
      <c r="AR1" s="8" t="s">
        <v>65</v>
      </c>
      <c r="AS1" s="8" t="s">
        <v>66</v>
      </c>
      <c r="AT1" s="8" t="s">
        <v>67</v>
      </c>
      <c r="AU1" s="8" t="s">
        <v>68</v>
      </c>
      <c r="AV1" s="8" t="s">
        <v>69</v>
      </c>
      <c r="AW1" s="8" t="s">
        <v>70</v>
      </c>
      <c r="AX1" s="8" t="s">
        <v>71</v>
      </c>
      <c r="AY1" s="8" t="s">
        <v>72</v>
      </c>
      <c r="AZ1" s="8" t="s">
        <v>73</v>
      </c>
      <c r="BA1" s="8" t="s">
        <v>74</v>
      </c>
      <c r="BB1" s="8" t="s">
        <v>75</v>
      </c>
      <c r="BC1" s="8" t="s">
        <v>76</v>
      </c>
      <c r="BD1" s="8" t="s">
        <v>77</v>
      </c>
      <c r="BE1" s="8" t="s">
        <v>79</v>
      </c>
      <c r="BF1" s="8" t="s">
        <v>80</v>
      </c>
      <c r="BG1" s="8" t="s">
        <v>82</v>
      </c>
      <c r="BH1" s="8" t="s">
        <v>83</v>
      </c>
      <c r="BI1" s="8" t="s">
        <v>85</v>
      </c>
      <c r="BJ1" s="8" t="s">
        <v>86</v>
      </c>
      <c r="BK1" s="8" t="s">
        <v>87</v>
      </c>
      <c r="BL1" s="8" t="s">
        <v>88</v>
      </c>
      <c r="BM1" s="8" t="s">
        <v>89</v>
      </c>
      <c r="BN1" s="8" t="s">
        <v>90</v>
      </c>
      <c r="BO1" s="8" t="s">
        <v>91</v>
      </c>
      <c r="BP1" s="8" t="s">
        <v>92</v>
      </c>
      <c r="BQ1" s="8" t="s">
        <v>93</v>
      </c>
      <c r="BR1" s="8" t="s">
        <v>94</v>
      </c>
      <c r="BS1" s="8" t="s">
        <v>95</v>
      </c>
      <c r="BT1" s="8" t="s">
        <v>97</v>
      </c>
      <c r="BU1" s="8" t="s">
        <v>98</v>
      </c>
      <c r="BV1" s="8" t="s">
        <v>99</v>
      </c>
      <c r="BW1" s="8" t="s">
        <v>101</v>
      </c>
      <c r="BX1" s="8" t="s">
        <v>103</v>
      </c>
      <c r="BY1" s="8" t="s">
        <v>105</v>
      </c>
      <c r="BZ1" s="8" t="s">
        <v>106</v>
      </c>
      <c r="CA1" s="8" t="s">
        <v>108</v>
      </c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</row>
    <row r="2">
      <c r="A2" s="23" t="s">
        <v>116</v>
      </c>
      <c r="B2" s="23">
        <v>6800.0</v>
      </c>
      <c r="C2" s="23">
        <v>17.0</v>
      </c>
      <c r="D2" s="29">
        <f t="shared" ref="D2:D303" si="1">COUNT(H2,Q2,Z2,AI2,AR2,BA2,BJ2,BS2,CB2,CK2,CT2)</f>
        <v>5</v>
      </c>
      <c r="E2" s="23" t="s">
        <v>124</v>
      </c>
      <c r="F2" s="23">
        <v>1.61</v>
      </c>
      <c r="P2" s="34" t="s">
        <v>125</v>
      </c>
      <c r="Q2" s="23">
        <v>4.0</v>
      </c>
      <c r="R2" s="23">
        <v>0.0</v>
      </c>
      <c r="Y2" s="34" t="s">
        <v>129</v>
      </c>
      <c r="Z2" s="23">
        <v>1.0</v>
      </c>
      <c r="AA2" s="23">
        <v>7339.0</v>
      </c>
      <c r="AH2" s="34" t="s">
        <v>131</v>
      </c>
      <c r="AI2" s="23">
        <v>7.0</v>
      </c>
      <c r="AJ2" s="23">
        <v>0.0</v>
      </c>
      <c r="AQ2" s="34" t="s">
        <v>134</v>
      </c>
      <c r="AR2" s="23">
        <v>8.0</v>
      </c>
      <c r="AS2" s="23">
        <v>0.0</v>
      </c>
      <c r="AZ2" s="34" t="s">
        <v>135</v>
      </c>
      <c r="BA2" s="23">
        <v>6.0</v>
      </c>
      <c r="BB2" s="23">
        <v>0.0</v>
      </c>
      <c r="CA2" s="50">
        <v>46149.37458333333</v>
      </c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  <c r="CW2" s="50"/>
      <c r="CX2" s="50"/>
      <c r="CY2" s="50"/>
      <c r="CZ2" s="50"/>
      <c r="DA2" s="50"/>
      <c r="DB2" s="50"/>
      <c r="DC2" s="50"/>
    </row>
    <row r="3">
      <c r="A3" s="23" t="s">
        <v>137</v>
      </c>
      <c r="B3" s="23">
        <v>3300.0</v>
      </c>
      <c r="C3" s="23">
        <v>0.0</v>
      </c>
      <c r="D3" s="29">
        <f t="shared" si="1"/>
        <v>5</v>
      </c>
      <c r="E3" s="23" t="s">
        <v>124</v>
      </c>
      <c r="F3" s="23">
        <v>0.62</v>
      </c>
      <c r="P3" s="34" t="s">
        <v>125</v>
      </c>
      <c r="Q3" s="23">
        <v>1.0</v>
      </c>
      <c r="R3" s="23">
        <v>2874.0</v>
      </c>
      <c r="Y3" s="34" t="s">
        <v>129</v>
      </c>
      <c r="Z3" s="23">
        <v>23.0</v>
      </c>
      <c r="AA3" s="23">
        <v>0.0</v>
      </c>
      <c r="AH3" s="34" t="s">
        <v>131</v>
      </c>
      <c r="AI3" s="23">
        <v>12.0</v>
      </c>
      <c r="AJ3" s="23">
        <v>0.0</v>
      </c>
      <c r="AQ3" s="34" t="s">
        <v>134</v>
      </c>
      <c r="AR3" s="23">
        <v>28.0</v>
      </c>
      <c r="AS3" s="23">
        <v>0.0</v>
      </c>
      <c r="AZ3" s="34" t="s">
        <v>135</v>
      </c>
      <c r="BA3" s="23">
        <v>25.0</v>
      </c>
      <c r="BB3" s="23">
        <v>0.0</v>
      </c>
      <c r="CA3" s="50">
        <v>46149.36494212963</v>
      </c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</row>
    <row r="4">
      <c r="A4" s="23" t="s">
        <v>140</v>
      </c>
      <c r="B4" s="23">
        <v>100.0</v>
      </c>
      <c r="C4" s="23">
        <v>78.0</v>
      </c>
      <c r="D4" s="29">
        <f t="shared" si="1"/>
        <v>5</v>
      </c>
      <c r="P4" s="34" t="s">
        <v>125</v>
      </c>
      <c r="Q4" s="23">
        <v>1.0</v>
      </c>
      <c r="R4" s="23">
        <v>42.0</v>
      </c>
      <c r="Y4" s="34" t="s">
        <v>129</v>
      </c>
      <c r="Z4" s="23">
        <v>9.0</v>
      </c>
      <c r="AA4" s="23">
        <v>3.0</v>
      </c>
      <c r="AH4" s="34" t="s">
        <v>131</v>
      </c>
      <c r="AI4" s="23">
        <v>2.0</v>
      </c>
      <c r="AJ4" s="23">
        <v>14.0</v>
      </c>
      <c r="AQ4" s="34" t="s">
        <v>134</v>
      </c>
      <c r="AR4" s="23">
        <v>10.0</v>
      </c>
      <c r="AS4" s="23">
        <v>2.0</v>
      </c>
      <c r="AZ4" s="34" t="s">
        <v>135</v>
      </c>
      <c r="BA4" s="23">
        <v>3.0</v>
      </c>
      <c r="BB4" s="23">
        <v>11.0</v>
      </c>
      <c r="CA4" s="50">
        <v>46156.33909722222</v>
      </c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</row>
    <row r="5">
      <c r="A5" s="23" t="s">
        <v>142</v>
      </c>
      <c r="B5" s="23">
        <v>10.0</v>
      </c>
      <c r="C5" s="23">
        <v>74.0</v>
      </c>
      <c r="D5" s="29">
        <f t="shared" si="1"/>
        <v>5</v>
      </c>
      <c r="E5" s="23" t="s">
        <v>143</v>
      </c>
      <c r="P5" s="34" t="s">
        <v>125</v>
      </c>
      <c r="Q5" s="23">
        <v>5.0</v>
      </c>
      <c r="R5" s="23">
        <v>1.0</v>
      </c>
      <c r="Y5" s="34" t="s">
        <v>129</v>
      </c>
      <c r="Z5" s="23">
        <v>4.0</v>
      </c>
      <c r="AA5" s="23">
        <v>1.0</v>
      </c>
      <c r="AH5" s="34" t="s">
        <v>131</v>
      </c>
      <c r="AI5" s="23">
        <v>2.0</v>
      </c>
      <c r="AJ5" s="23">
        <v>1.0</v>
      </c>
      <c r="AQ5" s="34" t="s">
        <v>134</v>
      </c>
      <c r="AR5" s="23">
        <v>1.0</v>
      </c>
      <c r="AS5" s="23">
        <v>4.0</v>
      </c>
      <c r="AZ5" s="34" t="s">
        <v>135</v>
      </c>
      <c r="BA5" s="23">
        <v>8.0</v>
      </c>
      <c r="BB5" s="23">
        <v>0.0</v>
      </c>
      <c r="CA5" s="50">
        <v>46122.60019675926</v>
      </c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</row>
    <row r="6">
      <c r="A6" s="23" t="s">
        <v>145</v>
      </c>
      <c r="B6" s="23">
        <v>0.0</v>
      </c>
      <c r="C6" s="23">
        <v>74.0</v>
      </c>
      <c r="D6" s="29">
        <f t="shared" si="1"/>
        <v>5</v>
      </c>
      <c r="E6" s="23" t="s">
        <v>146</v>
      </c>
      <c r="P6" s="34" t="s">
        <v>125</v>
      </c>
      <c r="Q6" s="23">
        <v>1.0</v>
      </c>
      <c r="R6" s="23">
        <v>0.0</v>
      </c>
      <c r="Y6" s="34" t="s">
        <v>129</v>
      </c>
      <c r="Z6" s="23">
        <v>6.0</v>
      </c>
      <c r="AA6" s="23">
        <v>0.0</v>
      </c>
      <c r="AH6" s="34" t="s">
        <v>131</v>
      </c>
      <c r="AI6" s="23">
        <v>4.0</v>
      </c>
      <c r="AJ6" s="23">
        <v>0.0</v>
      </c>
      <c r="AQ6" s="34" t="s">
        <v>134</v>
      </c>
      <c r="AR6" s="23">
        <v>2.0</v>
      </c>
      <c r="AS6" s="23">
        <v>0.0</v>
      </c>
      <c r="BR6" s="34" t="s">
        <v>127</v>
      </c>
      <c r="BS6" s="23">
        <v>11.0</v>
      </c>
      <c r="BT6" s="23">
        <v>0.0</v>
      </c>
      <c r="CA6" s="50">
        <v>46101.21471064815</v>
      </c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</row>
    <row r="7">
      <c r="A7" s="23" t="s">
        <v>150</v>
      </c>
      <c r="B7" s="23">
        <v>0.0</v>
      </c>
      <c r="C7" s="23">
        <v>79.0</v>
      </c>
      <c r="D7" s="29">
        <f t="shared" si="1"/>
        <v>5</v>
      </c>
      <c r="P7" s="34" t="s">
        <v>125</v>
      </c>
      <c r="Q7" s="23">
        <v>1.0</v>
      </c>
      <c r="R7" s="23">
        <v>0.0</v>
      </c>
      <c r="Y7" s="34" t="s">
        <v>129</v>
      </c>
      <c r="Z7" s="23">
        <v>9.0</v>
      </c>
      <c r="AA7" s="23">
        <v>0.0</v>
      </c>
      <c r="AH7" s="34" t="s">
        <v>131</v>
      </c>
      <c r="AI7" s="23">
        <v>3.0</v>
      </c>
      <c r="AJ7" s="23">
        <v>0.0</v>
      </c>
      <c r="AQ7" s="34" t="s">
        <v>134</v>
      </c>
      <c r="AR7" s="23">
        <v>2.0</v>
      </c>
      <c r="AS7" s="23">
        <v>0.0</v>
      </c>
      <c r="AZ7" s="34" t="s">
        <v>135</v>
      </c>
      <c r="BA7" s="23">
        <v>4.0</v>
      </c>
      <c r="BB7" s="23">
        <v>0.0</v>
      </c>
      <c r="CA7" s="50">
        <v>46146.99271990741</v>
      </c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</row>
    <row r="8">
      <c r="A8" s="23" t="s">
        <v>152</v>
      </c>
      <c r="B8" s="23">
        <v>0.0</v>
      </c>
      <c r="C8" s="23">
        <v>72.0</v>
      </c>
      <c r="D8" s="29">
        <f t="shared" si="1"/>
        <v>5</v>
      </c>
      <c r="P8" s="34" t="s">
        <v>125</v>
      </c>
      <c r="Q8" s="23">
        <v>2.0</v>
      </c>
      <c r="R8" s="23">
        <v>0.0</v>
      </c>
      <c r="Y8" s="34" t="s">
        <v>129</v>
      </c>
      <c r="Z8" s="23">
        <v>1.0</v>
      </c>
      <c r="AA8" s="23">
        <v>0.0</v>
      </c>
      <c r="AH8" s="34" t="s">
        <v>131</v>
      </c>
      <c r="AI8" s="23">
        <v>7.0</v>
      </c>
      <c r="AJ8" s="23">
        <v>0.0</v>
      </c>
      <c r="AQ8" s="34" t="s">
        <v>134</v>
      </c>
      <c r="AR8" s="23">
        <v>3.0</v>
      </c>
      <c r="AS8" s="23">
        <v>0.0</v>
      </c>
      <c r="AZ8" s="34" t="s">
        <v>135</v>
      </c>
      <c r="BA8" s="23">
        <v>9.0</v>
      </c>
      <c r="BB8" s="23">
        <v>0.0</v>
      </c>
      <c r="CA8" s="50">
        <v>46149.419907407406</v>
      </c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</row>
    <row r="9">
      <c r="A9" s="23" t="s">
        <v>154</v>
      </c>
      <c r="B9" s="23">
        <v>150.0</v>
      </c>
      <c r="C9" s="23">
        <v>75.0</v>
      </c>
      <c r="D9" s="29">
        <f t="shared" si="1"/>
        <v>4</v>
      </c>
      <c r="E9" s="23" t="s">
        <v>155</v>
      </c>
      <c r="P9" s="34" t="s">
        <v>125</v>
      </c>
      <c r="Q9" s="23">
        <v>1.0</v>
      </c>
      <c r="R9" s="23">
        <v>79.0</v>
      </c>
      <c r="Y9" s="34" t="s">
        <v>129</v>
      </c>
      <c r="Z9" s="23">
        <v>4.0</v>
      </c>
      <c r="AA9" s="23">
        <v>16.0</v>
      </c>
      <c r="AH9" s="34" t="s">
        <v>131</v>
      </c>
      <c r="AI9" s="23">
        <v>2.0</v>
      </c>
      <c r="AJ9" s="23">
        <v>25.0</v>
      </c>
      <c r="AQ9" s="34" t="s">
        <v>134</v>
      </c>
      <c r="AR9" s="23">
        <v>11.0</v>
      </c>
      <c r="AS9" s="23">
        <v>3.0</v>
      </c>
      <c r="CA9" s="50">
        <v>46125.94479166667</v>
      </c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</row>
    <row r="10">
      <c r="A10" s="23" t="s">
        <v>157</v>
      </c>
      <c r="B10" s="23">
        <v>150.0</v>
      </c>
      <c r="C10" s="23">
        <v>78.0</v>
      </c>
      <c r="D10" s="29">
        <f t="shared" si="1"/>
        <v>4</v>
      </c>
      <c r="E10" s="23" t="s">
        <v>155</v>
      </c>
      <c r="F10" s="23">
        <v>0.61</v>
      </c>
      <c r="P10" s="34" t="s">
        <v>125</v>
      </c>
      <c r="Q10" s="23">
        <v>1.0</v>
      </c>
      <c r="R10" s="23">
        <v>52.0</v>
      </c>
      <c r="Y10" s="34" t="s">
        <v>129</v>
      </c>
      <c r="Z10" s="23">
        <v>5.0</v>
      </c>
      <c r="AA10" s="23">
        <v>11.0</v>
      </c>
      <c r="AH10" s="34" t="s">
        <v>131</v>
      </c>
      <c r="AI10" s="23">
        <v>2.0</v>
      </c>
      <c r="AJ10" s="23">
        <v>21.0</v>
      </c>
      <c r="AQ10" s="34" t="s">
        <v>134</v>
      </c>
      <c r="AR10" s="23">
        <v>10.0</v>
      </c>
      <c r="AS10" s="23">
        <v>3.0</v>
      </c>
      <c r="CA10" s="50">
        <v>46089.097291666665</v>
      </c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</row>
    <row r="11">
      <c r="A11" s="23" t="s">
        <v>159</v>
      </c>
      <c r="B11" s="23">
        <v>90.0</v>
      </c>
      <c r="C11" s="23">
        <v>74.0</v>
      </c>
      <c r="D11" s="29">
        <f t="shared" si="1"/>
        <v>4</v>
      </c>
      <c r="P11" s="34" t="s">
        <v>125</v>
      </c>
      <c r="Q11" s="23">
        <v>1.0</v>
      </c>
      <c r="R11" s="23">
        <v>34.0</v>
      </c>
      <c r="Y11" s="34" t="s">
        <v>129</v>
      </c>
      <c r="Z11" s="23">
        <v>5.0</v>
      </c>
      <c r="AA11" s="23">
        <v>8.0</v>
      </c>
      <c r="AH11" s="34" t="s">
        <v>131</v>
      </c>
      <c r="AI11" s="23">
        <v>3.0</v>
      </c>
      <c r="AJ11" s="23">
        <v>12.0</v>
      </c>
      <c r="AQ11" s="34" t="s">
        <v>134</v>
      </c>
      <c r="AR11" s="23">
        <v>2.0</v>
      </c>
      <c r="AS11" s="23">
        <v>22.0</v>
      </c>
      <c r="CA11" s="50">
        <v>46146.18368055556</v>
      </c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</row>
    <row r="12">
      <c r="A12" s="23" t="s">
        <v>161</v>
      </c>
      <c r="B12" s="23">
        <v>40.0</v>
      </c>
      <c r="C12" s="23">
        <v>77.0</v>
      </c>
      <c r="D12" s="29">
        <f t="shared" si="1"/>
        <v>4</v>
      </c>
      <c r="F12" s="23">
        <v>0.55</v>
      </c>
      <c r="P12" s="34" t="s">
        <v>125</v>
      </c>
      <c r="Q12" s="23">
        <v>1.0</v>
      </c>
      <c r="R12" s="23">
        <v>14.0</v>
      </c>
      <c r="Y12" s="34" t="s">
        <v>129</v>
      </c>
      <c r="Z12" s="23">
        <v>6.0</v>
      </c>
      <c r="AA12" s="23">
        <v>2.0</v>
      </c>
      <c r="AH12" s="34" t="s">
        <v>131</v>
      </c>
      <c r="AI12" s="23">
        <v>2.0</v>
      </c>
      <c r="AJ12" s="23">
        <v>6.0</v>
      </c>
      <c r="AQ12" s="34" t="s">
        <v>134</v>
      </c>
      <c r="AR12" s="23">
        <v>7.0</v>
      </c>
      <c r="AS12" s="23">
        <v>2.0</v>
      </c>
      <c r="CA12" s="50">
        <v>46155.123125</v>
      </c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</row>
    <row r="13">
      <c r="A13" s="23" t="s">
        <v>164</v>
      </c>
      <c r="B13" s="23">
        <v>40.0</v>
      </c>
      <c r="C13" s="23">
        <v>62.0</v>
      </c>
      <c r="D13" s="29">
        <f t="shared" si="1"/>
        <v>4</v>
      </c>
      <c r="E13" s="23" t="s">
        <v>155</v>
      </c>
      <c r="P13" s="34" t="s">
        <v>4</v>
      </c>
      <c r="Q13" s="23">
        <v>4.0</v>
      </c>
      <c r="R13" s="23">
        <v>0.0</v>
      </c>
      <c r="AH13" s="34" t="s">
        <v>131</v>
      </c>
      <c r="AI13" s="23">
        <v>3.0</v>
      </c>
      <c r="AJ13" s="23">
        <v>0.0</v>
      </c>
      <c r="AQ13" s="34" t="s">
        <v>114</v>
      </c>
      <c r="AR13" s="23">
        <v>1.0</v>
      </c>
      <c r="AS13" s="23">
        <v>37.0</v>
      </c>
      <c r="AZ13" s="34" t="s">
        <v>135</v>
      </c>
      <c r="BA13" s="23">
        <v>8.0</v>
      </c>
      <c r="BB13" s="23">
        <v>0.0</v>
      </c>
      <c r="CA13" s="50">
        <v>46077.41422453704</v>
      </c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</row>
    <row r="14">
      <c r="A14" s="23" t="s">
        <v>168</v>
      </c>
      <c r="B14" s="23">
        <v>40.0</v>
      </c>
      <c r="C14" s="23">
        <v>75.0</v>
      </c>
      <c r="D14" s="29">
        <f t="shared" si="1"/>
        <v>4</v>
      </c>
      <c r="E14" s="23" t="s">
        <v>155</v>
      </c>
      <c r="F14" s="23">
        <v>0.28</v>
      </c>
      <c r="P14" s="34" t="s">
        <v>125</v>
      </c>
      <c r="Q14" s="23">
        <v>1.0</v>
      </c>
      <c r="R14" s="23">
        <v>26.0</v>
      </c>
      <c r="Y14" s="34" t="s">
        <v>129</v>
      </c>
      <c r="Z14" s="23">
        <v>4.0</v>
      </c>
      <c r="AA14" s="23">
        <v>4.0</v>
      </c>
      <c r="AH14" s="34" t="s">
        <v>131</v>
      </c>
      <c r="AI14" s="23">
        <v>3.0</v>
      </c>
      <c r="AJ14" s="23">
        <v>5.0</v>
      </c>
      <c r="AZ14" s="34" t="s">
        <v>135</v>
      </c>
      <c r="BA14" s="23">
        <v>9.0</v>
      </c>
      <c r="BB14" s="23">
        <v>1.0</v>
      </c>
      <c r="CA14" s="50">
        <v>46143.560902777775</v>
      </c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</row>
    <row r="15">
      <c r="A15" s="23" t="s">
        <v>170</v>
      </c>
      <c r="B15" s="23">
        <v>30.0</v>
      </c>
      <c r="C15" s="23">
        <v>74.0</v>
      </c>
      <c r="D15" s="29">
        <f t="shared" si="1"/>
        <v>4</v>
      </c>
      <c r="P15" s="34" t="s">
        <v>4</v>
      </c>
      <c r="Q15" s="23">
        <v>3.0</v>
      </c>
      <c r="R15" s="23">
        <v>5.0</v>
      </c>
      <c r="AH15" s="34" t="s">
        <v>131</v>
      </c>
      <c r="AI15" s="23">
        <v>2.0</v>
      </c>
      <c r="AJ15" s="23">
        <v>4.0</v>
      </c>
      <c r="AQ15" s="34" t="s">
        <v>134</v>
      </c>
      <c r="AR15" s="23">
        <v>1.0</v>
      </c>
      <c r="AS15" s="23">
        <v>11.0</v>
      </c>
      <c r="AZ15" s="34" t="s">
        <v>135</v>
      </c>
      <c r="BA15" s="23">
        <v>9.0</v>
      </c>
      <c r="BB15" s="23">
        <v>1.0</v>
      </c>
      <c r="CA15" s="50">
        <v>46147.80061342593</v>
      </c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</row>
    <row r="16">
      <c r="A16" s="23" t="s">
        <v>172</v>
      </c>
      <c r="B16" s="23">
        <v>20.0</v>
      </c>
      <c r="C16" s="23">
        <v>66.0</v>
      </c>
      <c r="D16" s="29">
        <f t="shared" si="1"/>
        <v>4</v>
      </c>
      <c r="Y16" s="34" t="s">
        <v>129</v>
      </c>
      <c r="Z16" s="23">
        <v>7.0</v>
      </c>
      <c r="AA16" s="23">
        <v>1.0</v>
      </c>
      <c r="AH16" s="34" t="s">
        <v>131</v>
      </c>
      <c r="AI16" s="23">
        <v>3.0</v>
      </c>
      <c r="AJ16" s="23">
        <v>2.0</v>
      </c>
      <c r="AQ16" s="34" t="s">
        <v>134</v>
      </c>
      <c r="AR16" s="23">
        <v>1.0</v>
      </c>
      <c r="AS16" s="23">
        <v>11.0</v>
      </c>
      <c r="AZ16" s="34" t="s">
        <v>135</v>
      </c>
      <c r="BA16" s="23">
        <v>6.0</v>
      </c>
      <c r="BB16" s="23">
        <v>1.0</v>
      </c>
      <c r="CA16" s="50">
        <v>46147.56422453704</v>
      </c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</row>
    <row r="17">
      <c r="A17" s="23" t="s">
        <v>174</v>
      </c>
      <c r="B17" s="23">
        <v>10.0</v>
      </c>
      <c r="C17" s="23">
        <v>50.0</v>
      </c>
      <c r="D17" s="29">
        <f t="shared" si="1"/>
        <v>4</v>
      </c>
      <c r="P17" s="34" t="s">
        <v>125</v>
      </c>
      <c r="Q17" s="23">
        <v>7.0</v>
      </c>
      <c r="R17" s="23">
        <v>0.0</v>
      </c>
      <c r="AH17" s="34" t="s">
        <v>131</v>
      </c>
      <c r="AI17" s="23">
        <v>10.0</v>
      </c>
      <c r="AJ17" s="23">
        <v>0.0</v>
      </c>
      <c r="AQ17" s="34" t="s">
        <v>134</v>
      </c>
      <c r="AR17" s="23">
        <v>1.0</v>
      </c>
      <c r="AS17" s="23">
        <v>4.0</v>
      </c>
      <c r="AZ17" s="34" t="s">
        <v>135</v>
      </c>
      <c r="BA17" s="23">
        <v>9.0</v>
      </c>
      <c r="BB17" s="23">
        <v>0.0</v>
      </c>
      <c r="CA17" s="50">
        <v>46084.94326388889</v>
      </c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</row>
    <row r="18">
      <c r="A18" s="23" t="s">
        <v>176</v>
      </c>
      <c r="B18" s="23">
        <v>0.0</v>
      </c>
      <c r="C18" s="23">
        <v>68.0</v>
      </c>
      <c r="D18" s="29">
        <f t="shared" si="1"/>
        <v>4</v>
      </c>
      <c r="P18" s="34" t="s">
        <v>125</v>
      </c>
      <c r="Q18" s="23">
        <v>1.0</v>
      </c>
      <c r="R18" s="23">
        <v>3.0</v>
      </c>
      <c r="Y18" s="34" t="s">
        <v>129</v>
      </c>
      <c r="Z18" s="23">
        <v>6.0</v>
      </c>
      <c r="AA18" s="23">
        <v>0.0</v>
      </c>
      <c r="AH18" s="34" t="s">
        <v>131</v>
      </c>
      <c r="AI18" s="23">
        <v>4.0</v>
      </c>
      <c r="AJ18" s="23">
        <v>0.0</v>
      </c>
      <c r="AZ18" s="34" t="s">
        <v>135</v>
      </c>
      <c r="BA18" s="23">
        <v>10.0</v>
      </c>
      <c r="BB18" s="23">
        <v>0.0</v>
      </c>
      <c r="CA18" s="50">
        <v>46141.85229166667</v>
      </c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</row>
    <row r="19">
      <c r="A19" s="23" t="s">
        <v>179</v>
      </c>
      <c r="B19" s="23">
        <v>0.0</v>
      </c>
      <c r="C19" s="23">
        <v>63.0</v>
      </c>
      <c r="D19" s="29">
        <f t="shared" si="1"/>
        <v>4</v>
      </c>
      <c r="E19" s="23" t="s">
        <v>143</v>
      </c>
      <c r="P19" s="34" t="s">
        <v>4</v>
      </c>
      <c r="Q19" s="23">
        <v>1.0</v>
      </c>
      <c r="R19" s="23">
        <v>1.0</v>
      </c>
      <c r="Y19" s="34" t="s">
        <v>129</v>
      </c>
      <c r="Z19" s="23">
        <v>5.0</v>
      </c>
      <c r="AA19" s="23">
        <v>0.0</v>
      </c>
      <c r="AH19" s="34" t="s">
        <v>131</v>
      </c>
      <c r="AI19" s="23">
        <v>7.0</v>
      </c>
      <c r="AJ19" s="23">
        <v>0.0</v>
      </c>
      <c r="AZ19" s="34" t="s">
        <v>135</v>
      </c>
      <c r="BA19" s="23">
        <v>6.0</v>
      </c>
      <c r="BB19" s="23">
        <v>0.0</v>
      </c>
      <c r="CA19" s="50">
        <v>46143.552465277775</v>
      </c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</row>
    <row r="20">
      <c r="A20" s="23" t="s">
        <v>181</v>
      </c>
      <c r="B20" s="23">
        <v>0.0</v>
      </c>
      <c r="C20" s="23">
        <v>77.0</v>
      </c>
      <c r="D20" s="29">
        <f t="shared" si="1"/>
        <v>4</v>
      </c>
      <c r="P20" s="34" t="s">
        <v>125</v>
      </c>
      <c r="Q20" s="23">
        <v>5.0</v>
      </c>
      <c r="R20" s="23">
        <v>0.0</v>
      </c>
      <c r="Y20" s="34" t="s">
        <v>129</v>
      </c>
      <c r="Z20" s="23">
        <v>4.0</v>
      </c>
      <c r="AA20" s="23">
        <v>0.0</v>
      </c>
      <c r="AQ20" s="34" t="s">
        <v>134</v>
      </c>
      <c r="AR20" s="23">
        <v>8.0</v>
      </c>
      <c r="AS20" s="23">
        <v>0.0</v>
      </c>
      <c r="AZ20" s="34" t="s">
        <v>135</v>
      </c>
      <c r="BA20" s="23">
        <v>7.0</v>
      </c>
      <c r="BB20" s="23">
        <v>0.0</v>
      </c>
      <c r="CA20" s="50">
        <v>46125.045219907406</v>
      </c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</row>
    <row r="21">
      <c r="A21" s="23" t="s">
        <v>182</v>
      </c>
      <c r="B21" s="23">
        <v>9200.0</v>
      </c>
      <c r="C21" s="23">
        <v>12.0</v>
      </c>
      <c r="D21" s="29">
        <f t="shared" si="1"/>
        <v>3</v>
      </c>
      <c r="E21" s="23" t="s">
        <v>124</v>
      </c>
      <c r="F21" s="23">
        <v>0.27</v>
      </c>
      <c r="P21" s="34" t="s">
        <v>125</v>
      </c>
      <c r="Q21" s="23">
        <v>13.0</v>
      </c>
      <c r="R21" s="23">
        <v>0.0</v>
      </c>
      <c r="AH21" s="34" t="s">
        <v>131</v>
      </c>
      <c r="AI21" s="23">
        <v>18.0</v>
      </c>
      <c r="AJ21" s="23">
        <v>0.0</v>
      </c>
      <c r="AZ21" s="34" t="s">
        <v>119</v>
      </c>
      <c r="BA21" s="23">
        <v>1.0</v>
      </c>
      <c r="BB21" s="23">
        <v>9358.0</v>
      </c>
      <c r="CA21" s="50">
        <v>46149.34805555556</v>
      </c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</row>
    <row r="22">
      <c r="A22" s="23" t="s">
        <v>183</v>
      </c>
      <c r="B22" s="23">
        <v>3700.0</v>
      </c>
      <c r="C22" s="23">
        <v>0.0</v>
      </c>
      <c r="D22" s="29">
        <f t="shared" si="1"/>
        <v>3</v>
      </c>
      <c r="E22" s="23" t="s">
        <v>124</v>
      </c>
      <c r="F22" s="23">
        <v>0.6</v>
      </c>
      <c r="P22" s="34" t="s">
        <v>125</v>
      </c>
      <c r="Q22" s="23">
        <v>1.0</v>
      </c>
      <c r="R22" s="23">
        <v>3459.0</v>
      </c>
      <c r="AH22" s="34" t="s">
        <v>131</v>
      </c>
      <c r="AI22" s="23">
        <v>14.0</v>
      </c>
      <c r="AJ22" s="23">
        <v>0.0</v>
      </c>
      <c r="AZ22" s="34" t="s">
        <v>135</v>
      </c>
      <c r="BA22" s="23">
        <v>28.0</v>
      </c>
      <c r="BB22" s="23">
        <v>0.0</v>
      </c>
      <c r="CA22" s="50">
        <v>46149.376435185186</v>
      </c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</row>
    <row r="23">
      <c r="A23" s="23" t="s">
        <v>184</v>
      </c>
      <c r="B23" s="23">
        <v>3300.0</v>
      </c>
      <c r="C23" s="23">
        <v>80.0</v>
      </c>
      <c r="D23" s="29">
        <f t="shared" si="1"/>
        <v>3</v>
      </c>
      <c r="E23" s="23" t="s">
        <v>185</v>
      </c>
      <c r="P23" s="34" t="s">
        <v>186</v>
      </c>
      <c r="Q23" s="23">
        <v>28.0</v>
      </c>
      <c r="R23" s="23">
        <v>1.0</v>
      </c>
      <c r="AH23" s="34" t="s">
        <v>131</v>
      </c>
      <c r="AI23" s="23">
        <v>25.0</v>
      </c>
      <c r="AJ23" s="23">
        <v>3.0</v>
      </c>
      <c r="AQ23" s="34" t="s">
        <v>134</v>
      </c>
      <c r="AR23" s="23">
        <v>9.0</v>
      </c>
      <c r="AS23" s="23">
        <v>103.0</v>
      </c>
      <c r="CA23" s="50">
        <v>46149.24853009259</v>
      </c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</row>
    <row r="24">
      <c r="A24" s="23" t="s">
        <v>187</v>
      </c>
      <c r="B24" s="23">
        <v>1100.0</v>
      </c>
      <c r="C24" s="23">
        <v>18.0</v>
      </c>
      <c r="D24" s="29">
        <f t="shared" si="1"/>
        <v>3</v>
      </c>
      <c r="E24" s="23" t="s">
        <v>188</v>
      </c>
      <c r="Y24" s="34" t="s">
        <v>25</v>
      </c>
      <c r="Z24" s="23">
        <v>6.0</v>
      </c>
      <c r="AA24" s="23">
        <v>66.0</v>
      </c>
      <c r="AH24" s="34" t="s">
        <v>189</v>
      </c>
      <c r="AI24" s="23">
        <v>1.0</v>
      </c>
      <c r="AJ24" s="23">
        <v>397.0</v>
      </c>
      <c r="AZ24" s="34" t="s">
        <v>119</v>
      </c>
      <c r="BA24" s="23">
        <v>5.0</v>
      </c>
      <c r="BB24" s="23">
        <v>82.0</v>
      </c>
      <c r="CA24" s="50">
        <v>46082.88240740741</v>
      </c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</row>
    <row r="25">
      <c r="A25" s="23" t="s">
        <v>190</v>
      </c>
      <c r="B25" s="23">
        <v>150.0</v>
      </c>
      <c r="C25" s="23">
        <v>45.0</v>
      </c>
      <c r="D25" s="29">
        <f t="shared" si="1"/>
        <v>3</v>
      </c>
      <c r="E25" s="23" t="s">
        <v>188</v>
      </c>
      <c r="P25" s="34" t="s">
        <v>4</v>
      </c>
      <c r="Q25" s="23">
        <v>5.0</v>
      </c>
      <c r="R25" s="23">
        <v>12.0</v>
      </c>
      <c r="Y25" s="34" t="s">
        <v>25</v>
      </c>
      <c r="Z25" s="23">
        <v>8.0</v>
      </c>
      <c r="AA25" s="23">
        <v>6.0</v>
      </c>
      <c r="AH25" s="34" t="s">
        <v>81</v>
      </c>
      <c r="AI25" s="23">
        <v>1.0</v>
      </c>
      <c r="AJ25" s="23">
        <v>57.0</v>
      </c>
      <c r="CA25" s="50">
        <v>46146.58459490741</v>
      </c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</row>
    <row r="26">
      <c r="A26" s="23" t="s">
        <v>191</v>
      </c>
      <c r="B26" s="23">
        <v>100.0</v>
      </c>
      <c r="C26" s="23">
        <v>78.0</v>
      </c>
      <c r="D26" s="29">
        <f t="shared" si="1"/>
        <v>3</v>
      </c>
      <c r="P26" s="34" t="s">
        <v>125</v>
      </c>
      <c r="Q26" s="23">
        <v>1.0</v>
      </c>
      <c r="R26" s="23">
        <v>47.0</v>
      </c>
      <c r="Y26" s="34" t="s">
        <v>129</v>
      </c>
      <c r="Z26" s="23">
        <v>3.0</v>
      </c>
      <c r="AA26" s="23">
        <v>13.0</v>
      </c>
      <c r="AQ26" s="34" t="s">
        <v>134</v>
      </c>
      <c r="AR26" s="23">
        <v>10.0</v>
      </c>
      <c r="AS26" s="23">
        <v>3.0</v>
      </c>
      <c r="CA26" s="50">
        <v>46088.12480324074</v>
      </c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</row>
    <row r="27">
      <c r="A27" s="23" t="s">
        <v>192</v>
      </c>
      <c r="B27" s="23">
        <v>80.0</v>
      </c>
      <c r="C27" s="23">
        <v>54.0</v>
      </c>
      <c r="D27" s="29">
        <f t="shared" si="1"/>
        <v>3</v>
      </c>
      <c r="E27" s="23" t="s">
        <v>185</v>
      </c>
      <c r="P27" s="34" t="s">
        <v>125</v>
      </c>
      <c r="Q27" s="23">
        <v>1.0</v>
      </c>
      <c r="R27" s="23">
        <v>56.0</v>
      </c>
      <c r="Y27" s="34" t="s">
        <v>129</v>
      </c>
      <c r="Z27" s="23">
        <v>9.0</v>
      </c>
      <c r="AA27" s="23">
        <v>3.0</v>
      </c>
      <c r="AH27" s="34" t="s">
        <v>131</v>
      </c>
      <c r="AI27" s="23">
        <v>6.0</v>
      </c>
      <c r="AJ27" s="23">
        <v>5.0</v>
      </c>
      <c r="CA27" s="50">
        <v>46161.75342592593</v>
      </c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  <c r="CQ27" s="50"/>
      <c r="CR27" s="50"/>
      <c r="CS27" s="50"/>
      <c r="CT27" s="50"/>
      <c r="CU27" s="50"/>
      <c r="CV27" s="50"/>
      <c r="CW27" s="50"/>
      <c r="CX27" s="50"/>
      <c r="CY27" s="50"/>
      <c r="CZ27" s="50"/>
      <c r="DA27" s="50"/>
      <c r="DB27" s="50"/>
      <c r="DC27" s="50"/>
    </row>
    <row r="28">
      <c r="A28" s="23" t="s">
        <v>193</v>
      </c>
      <c r="B28" s="23">
        <v>80.0</v>
      </c>
      <c r="C28" s="23">
        <v>58.0</v>
      </c>
      <c r="D28" s="29">
        <f t="shared" si="1"/>
        <v>3</v>
      </c>
      <c r="E28" s="23" t="s">
        <v>155</v>
      </c>
      <c r="P28" s="34" t="s">
        <v>4</v>
      </c>
      <c r="Q28" s="23">
        <v>9.0</v>
      </c>
      <c r="R28" s="23">
        <v>2.0</v>
      </c>
      <c r="AQ28" s="34" t="s">
        <v>194</v>
      </c>
      <c r="AR28" s="23">
        <v>5.0</v>
      </c>
      <c r="AS28" s="23">
        <v>6.0</v>
      </c>
      <c r="AZ28" s="34" t="s">
        <v>195</v>
      </c>
      <c r="BA28" s="23">
        <v>2.0</v>
      </c>
      <c r="BB28" s="23">
        <v>12.0</v>
      </c>
      <c r="CA28" s="50">
        <v>46077.05436342592</v>
      </c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  <c r="CQ28" s="50"/>
      <c r="CR28" s="50"/>
      <c r="CS28" s="50"/>
      <c r="CT28" s="50"/>
      <c r="CU28" s="50"/>
      <c r="CV28" s="50"/>
      <c r="CW28" s="50"/>
      <c r="CX28" s="50"/>
      <c r="CY28" s="50"/>
      <c r="CZ28" s="50"/>
      <c r="DA28" s="50"/>
      <c r="DB28" s="50"/>
      <c r="DC28" s="50"/>
    </row>
    <row r="29">
      <c r="A29" s="23" t="s">
        <v>196</v>
      </c>
      <c r="B29" s="23">
        <v>70.0</v>
      </c>
      <c r="C29" s="23">
        <v>55.0</v>
      </c>
      <c r="D29" s="29">
        <f t="shared" si="1"/>
        <v>3</v>
      </c>
      <c r="E29" s="23" t="s">
        <v>155</v>
      </c>
      <c r="P29" s="34" t="s">
        <v>125</v>
      </c>
      <c r="Q29" s="23">
        <v>7.0</v>
      </c>
      <c r="R29" s="23">
        <v>4.0</v>
      </c>
      <c r="Y29" s="34" t="s">
        <v>129</v>
      </c>
      <c r="Z29" s="23">
        <v>1.0</v>
      </c>
      <c r="AA29" s="23">
        <v>55.0</v>
      </c>
      <c r="AH29" s="34" t="s">
        <v>131</v>
      </c>
      <c r="AI29" s="23">
        <v>9.0</v>
      </c>
      <c r="AJ29" s="23">
        <v>2.0</v>
      </c>
      <c r="CA29" s="50">
        <v>46145.49365740741</v>
      </c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  <c r="CQ29" s="50"/>
      <c r="CR29" s="50"/>
      <c r="CS29" s="50"/>
      <c r="CT29" s="50"/>
      <c r="CU29" s="50"/>
      <c r="CV29" s="50"/>
      <c r="CW29" s="50"/>
      <c r="CX29" s="50"/>
      <c r="CY29" s="50"/>
      <c r="CZ29" s="50"/>
      <c r="DA29" s="50"/>
      <c r="DB29" s="50"/>
      <c r="DC29" s="50"/>
    </row>
    <row r="30">
      <c r="A30" s="23" t="s">
        <v>197</v>
      </c>
      <c r="B30" s="23">
        <v>60.0</v>
      </c>
      <c r="C30" s="23">
        <v>66.0</v>
      </c>
      <c r="D30" s="29">
        <f t="shared" si="1"/>
        <v>3</v>
      </c>
      <c r="F30" s="23">
        <v>0.1</v>
      </c>
      <c r="P30" s="34" t="s">
        <v>125</v>
      </c>
      <c r="Q30" s="23">
        <v>7.0</v>
      </c>
      <c r="R30" s="23">
        <v>3.0</v>
      </c>
      <c r="AH30" s="34" t="s">
        <v>131</v>
      </c>
      <c r="AI30" s="23">
        <v>9.0</v>
      </c>
      <c r="AJ30" s="23">
        <v>2.0</v>
      </c>
      <c r="AZ30" s="34" t="s">
        <v>195</v>
      </c>
      <c r="BA30" s="23">
        <v>1.0</v>
      </c>
      <c r="BB30" s="23">
        <v>46.0</v>
      </c>
      <c r="CA30" s="50">
        <v>46147.08127314815</v>
      </c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  <c r="CQ30" s="50"/>
      <c r="CR30" s="50"/>
      <c r="CS30" s="50"/>
      <c r="CT30" s="50"/>
      <c r="CU30" s="50"/>
      <c r="CV30" s="50"/>
      <c r="CW30" s="50"/>
      <c r="CX30" s="50"/>
      <c r="CY30" s="50"/>
      <c r="CZ30" s="50"/>
      <c r="DA30" s="50"/>
      <c r="DB30" s="50"/>
      <c r="DC30" s="50"/>
    </row>
    <row r="31">
      <c r="A31" s="23" t="s">
        <v>198</v>
      </c>
      <c r="B31" s="23">
        <v>60.0</v>
      </c>
      <c r="C31" s="23">
        <v>43.0</v>
      </c>
      <c r="D31" s="29">
        <f t="shared" si="1"/>
        <v>3</v>
      </c>
      <c r="E31" s="23" t="s">
        <v>185</v>
      </c>
      <c r="P31" s="34" t="s">
        <v>125</v>
      </c>
      <c r="Q31" s="23">
        <v>1.0</v>
      </c>
      <c r="R31" s="23">
        <v>51.0</v>
      </c>
      <c r="Y31" s="34" t="s">
        <v>129</v>
      </c>
      <c r="Z31" s="23">
        <v>7.0</v>
      </c>
      <c r="AA31" s="23">
        <v>0.0</v>
      </c>
      <c r="AH31" s="34" t="s">
        <v>131</v>
      </c>
      <c r="AI31" s="23">
        <v>8.0</v>
      </c>
      <c r="AJ31" s="23">
        <v>0.0</v>
      </c>
      <c r="CA31" s="50">
        <v>46126.21601851852</v>
      </c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  <c r="CQ31" s="50"/>
      <c r="CR31" s="50"/>
      <c r="CS31" s="50"/>
      <c r="CT31" s="50"/>
      <c r="CU31" s="50"/>
      <c r="CV31" s="50"/>
      <c r="CW31" s="50"/>
      <c r="CX31" s="50"/>
      <c r="CY31" s="50"/>
      <c r="CZ31" s="50"/>
      <c r="DA31" s="50"/>
      <c r="DB31" s="50"/>
      <c r="DC31" s="50"/>
    </row>
    <row r="32">
      <c r="A32" s="23" t="s">
        <v>199</v>
      </c>
      <c r="B32" s="23">
        <v>50.0</v>
      </c>
      <c r="C32" s="23">
        <v>46.0</v>
      </c>
      <c r="D32" s="29">
        <f t="shared" si="1"/>
        <v>3</v>
      </c>
      <c r="E32" s="23" t="s">
        <v>188</v>
      </c>
      <c r="F32" s="23">
        <v>10.94</v>
      </c>
      <c r="P32" s="34" t="s">
        <v>4</v>
      </c>
      <c r="Q32" s="23">
        <v>1.0</v>
      </c>
      <c r="R32" s="23">
        <v>53.0</v>
      </c>
      <c r="AH32" s="34" t="s">
        <v>131</v>
      </c>
      <c r="AI32" s="23">
        <v>8.0</v>
      </c>
      <c r="AJ32" s="23">
        <v>0.0</v>
      </c>
      <c r="AQ32" s="34" t="s">
        <v>134</v>
      </c>
      <c r="AR32" s="23">
        <v>7.0</v>
      </c>
      <c r="AS32" s="23">
        <v>0.0</v>
      </c>
      <c r="CA32" s="50">
        <v>46144.419641203705</v>
      </c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  <c r="CQ32" s="50"/>
      <c r="CR32" s="50"/>
      <c r="CS32" s="50"/>
      <c r="CT32" s="50"/>
      <c r="CU32" s="50"/>
      <c r="CV32" s="50"/>
      <c r="CW32" s="50"/>
      <c r="CX32" s="50"/>
      <c r="CY32" s="50"/>
      <c r="CZ32" s="50"/>
      <c r="DA32" s="50"/>
      <c r="DB32" s="50"/>
      <c r="DC32" s="50"/>
    </row>
    <row r="33">
      <c r="A33" s="23" t="s">
        <v>200</v>
      </c>
      <c r="B33" s="23">
        <v>50.0</v>
      </c>
      <c r="C33" s="23">
        <v>73.0</v>
      </c>
      <c r="D33" s="29">
        <f t="shared" si="1"/>
        <v>3</v>
      </c>
      <c r="E33" s="23" t="s">
        <v>155</v>
      </c>
      <c r="P33" s="34" t="s">
        <v>125</v>
      </c>
      <c r="Q33" s="23">
        <v>3.0</v>
      </c>
      <c r="R33" s="23">
        <v>8.0</v>
      </c>
      <c r="Y33" s="34" t="s">
        <v>129</v>
      </c>
      <c r="Z33" s="23">
        <v>1.0</v>
      </c>
      <c r="AA33" s="23">
        <v>31.0</v>
      </c>
      <c r="AH33" s="34" t="s">
        <v>131</v>
      </c>
      <c r="AI33" s="23">
        <v>6.0</v>
      </c>
      <c r="AJ33" s="23">
        <v>3.0</v>
      </c>
      <c r="CA33" s="50">
        <v>46085.18225694444</v>
      </c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  <c r="CQ33" s="50"/>
      <c r="CR33" s="50"/>
      <c r="CS33" s="50"/>
      <c r="CT33" s="50"/>
      <c r="CU33" s="50"/>
      <c r="CV33" s="50"/>
      <c r="CW33" s="50"/>
      <c r="CX33" s="50"/>
      <c r="CY33" s="50"/>
      <c r="CZ33" s="50"/>
      <c r="DA33" s="50"/>
      <c r="DB33" s="50"/>
      <c r="DC33" s="50"/>
    </row>
    <row r="34">
      <c r="A34" s="23" t="s">
        <v>201</v>
      </c>
      <c r="B34" s="23">
        <v>40.0</v>
      </c>
      <c r="C34" s="23">
        <v>63.0</v>
      </c>
      <c r="D34" s="29">
        <f t="shared" si="1"/>
        <v>3</v>
      </c>
      <c r="E34" s="23" t="s">
        <v>202</v>
      </c>
      <c r="Y34" s="34" t="s">
        <v>129</v>
      </c>
      <c r="Z34" s="23">
        <v>1.0</v>
      </c>
      <c r="AA34" s="23">
        <v>29.0</v>
      </c>
      <c r="AH34" s="34" t="s">
        <v>131</v>
      </c>
      <c r="AI34" s="23">
        <v>9.0</v>
      </c>
      <c r="AJ34" s="23">
        <v>1.0</v>
      </c>
      <c r="AQ34" s="34" t="s">
        <v>134</v>
      </c>
      <c r="AR34" s="23">
        <v>8.0</v>
      </c>
      <c r="AS34" s="23">
        <v>2.0</v>
      </c>
      <c r="CA34" s="50">
        <v>46127.30511574074</v>
      </c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50"/>
      <c r="DB34" s="50"/>
      <c r="DC34" s="50"/>
    </row>
    <row r="35">
      <c r="A35" s="23" t="s">
        <v>203</v>
      </c>
      <c r="B35" s="23">
        <v>30.0</v>
      </c>
      <c r="C35" s="23">
        <v>58.0</v>
      </c>
      <c r="D35" s="29">
        <f t="shared" si="1"/>
        <v>3</v>
      </c>
      <c r="E35" s="23" t="s">
        <v>155</v>
      </c>
      <c r="P35" s="34" t="s">
        <v>125</v>
      </c>
      <c r="Q35" s="23">
        <v>10.0</v>
      </c>
      <c r="R35" s="23">
        <v>1.0</v>
      </c>
      <c r="Y35" s="34" t="s">
        <v>129</v>
      </c>
      <c r="Z35" s="23">
        <v>7.0</v>
      </c>
      <c r="AA35" s="23">
        <v>1.0</v>
      </c>
      <c r="AZ35" s="34" t="s">
        <v>135</v>
      </c>
      <c r="BA35" s="23">
        <v>1.0</v>
      </c>
      <c r="BB35" s="23">
        <v>22.0</v>
      </c>
      <c r="CA35" s="50">
        <v>46144.80913194444</v>
      </c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  <c r="CQ35" s="50"/>
      <c r="CR35" s="50"/>
      <c r="CS35" s="50"/>
      <c r="CT35" s="50"/>
      <c r="CU35" s="50"/>
      <c r="CV35" s="50"/>
      <c r="CW35" s="50"/>
      <c r="CX35" s="50"/>
      <c r="CY35" s="50"/>
      <c r="CZ35" s="50"/>
      <c r="DA35" s="50"/>
      <c r="DB35" s="50"/>
      <c r="DC35" s="50"/>
    </row>
    <row r="36">
      <c r="A36" s="23" t="s">
        <v>204</v>
      </c>
      <c r="B36" s="23">
        <v>20.0</v>
      </c>
      <c r="C36" s="23">
        <v>76.0</v>
      </c>
      <c r="D36" s="29">
        <f t="shared" si="1"/>
        <v>3</v>
      </c>
      <c r="E36" s="23" t="s">
        <v>205</v>
      </c>
      <c r="P36" s="34" t="s">
        <v>125</v>
      </c>
      <c r="Q36" s="23">
        <v>2.0</v>
      </c>
      <c r="R36" s="23">
        <v>3.0</v>
      </c>
      <c r="AH36" s="34" t="s">
        <v>131</v>
      </c>
      <c r="AI36" s="23">
        <v>6.0</v>
      </c>
      <c r="AJ36" s="23">
        <v>1.0</v>
      </c>
      <c r="AQ36" s="34" t="s">
        <v>134</v>
      </c>
      <c r="AR36" s="23">
        <v>4.0</v>
      </c>
      <c r="AS36" s="23">
        <v>2.0</v>
      </c>
      <c r="CA36" s="50">
        <v>46099.89270833333</v>
      </c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  <c r="CQ36" s="50"/>
      <c r="CR36" s="50"/>
      <c r="CS36" s="50"/>
      <c r="CT36" s="50"/>
      <c r="CU36" s="50"/>
      <c r="CV36" s="50"/>
      <c r="CW36" s="50"/>
      <c r="CX36" s="50"/>
      <c r="CY36" s="50"/>
      <c r="CZ36" s="50"/>
      <c r="DA36" s="50"/>
      <c r="DB36" s="50"/>
      <c r="DC36" s="50"/>
    </row>
    <row r="37">
      <c r="A37" s="23" t="s">
        <v>206</v>
      </c>
      <c r="B37" s="23">
        <v>10.0</v>
      </c>
      <c r="C37" s="23">
        <v>56.0</v>
      </c>
      <c r="D37" s="29">
        <f t="shared" si="1"/>
        <v>3</v>
      </c>
      <c r="AH37" s="34" t="s">
        <v>131</v>
      </c>
      <c r="AI37" s="23">
        <v>8.0</v>
      </c>
      <c r="AJ37" s="23">
        <v>0.0</v>
      </c>
      <c r="AQ37" s="34" t="s">
        <v>134</v>
      </c>
      <c r="AR37" s="23">
        <v>1.0</v>
      </c>
      <c r="AS37" s="23">
        <v>5.0</v>
      </c>
      <c r="AZ37" s="34" t="s">
        <v>135</v>
      </c>
      <c r="BA37" s="23">
        <v>9.0</v>
      </c>
      <c r="BB37" s="23">
        <v>0.0</v>
      </c>
      <c r="CA37" s="50">
        <v>46142.385347222225</v>
      </c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  <c r="CQ37" s="50"/>
      <c r="CR37" s="50"/>
      <c r="CS37" s="50"/>
      <c r="CT37" s="50"/>
      <c r="CU37" s="50"/>
      <c r="CV37" s="50"/>
      <c r="CW37" s="50"/>
      <c r="CX37" s="50"/>
      <c r="CY37" s="50"/>
      <c r="CZ37" s="50"/>
      <c r="DA37" s="50"/>
      <c r="DB37" s="50"/>
      <c r="DC37" s="50"/>
    </row>
    <row r="38">
      <c r="A38" s="23" t="s">
        <v>207</v>
      </c>
      <c r="B38" s="23">
        <v>10.0</v>
      </c>
      <c r="C38" s="23">
        <v>68.0</v>
      </c>
      <c r="D38" s="29">
        <f t="shared" si="1"/>
        <v>3</v>
      </c>
      <c r="E38" s="23" t="s">
        <v>208</v>
      </c>
      <c r="P38" s="34" t="s">
        <v>125</v>
      </c>
      <c r="Q38" s="23">
        <v>7.0</v>
      </c>
      <c r="R38" s="23">
        <v>0.0</v>
      </c>
      <c r="Y38" s="34" t="s">
        <v>129</v>
      </c>
      <c r="Z38" s="23">
        <v>1.0</v>
      </c>
      <c r="AA38" s="23">
        <v>7.0</v>
      </c>
      <c r="AQ38" s="34" t="s">
        <v>134</v>
      </c>
      <c r="AR38" s="23">
        <v>9.0</v>
      </c>
      <c r="AS38" s="23">
        <v>0.0</v>
      </c>
      <c r="CA38" s="50">
        <v>46088.11755787037</v>
      </c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  <c r="CQ38" s="50"/>
      <c r="CR38" s="50"/>
      <c r="CS38" s="50"/>
      <c r="CT38" s="50"/>
      <c r="CU38" s="50"/>
      <c r="CV38" s="50"/>
      <c r="CW38" s="50"/>
      <c r="CX38" s="50"/>
      <c r="CY38" s="50"/>
      <c r="CZ38" s="50"/>
      <c r="DA38" s="50"/>
      <c r="DB38" s="50"/>
      <c r="DC38" s="50"/>
    </row>
    <row r="39">
      <c r="A39" s="23" t="s">
        <v>209</v>
      </c>
      <c r="B39" s="23">
        <v>10.0</v>
      </c>
      <c r="C39" s="23">
        <v>59.0</v>
      </c>
      <c r="D39" s="29">
        <f t="shared" si="1"/>
        <v>3</v>
      </c>
      <c r="E39" s="23" t="s">
        <v>202</v>
      </c>
      <c r="P39" s="34" t="s">
        <v>125</v>
      </c>
      <c r="Q39" s="23">
        <v>9.0</v>
      </c>
      <c r="R39" s="23">
        <v>0.0</v>
      </c>
      <c r="Y39" s="34" t="s">
        <v>129</v>
      </c>
      <c r="Z39" s="23">
        <v>1.0</v>
      </c>
      <c r="AA39" s="23">
        <v>5.0</v>
      </c>
      <c r="AZ39" s="34" t="s">
        <v>135</v>
      </c>
      <c r="BA39" s="23">
        <v>8.0</v>
      </c>
      <c r="BB39" s="23">
        <v>0.0</v>
      </c>
      <c r="CA39" s="50">
        <v>46126.97677083333</v>
      </c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  <c r="CQ39" s="50"/>
      <c r="CR39" s="50"/>
      <c r="CS39" s="50"/>
      <c r="CT39" s="50"/>
      <c r="CU39" s="50"/>
      <c r="CV39" s="50"/>
      <c r="CW39" s="50"/>
      <c r="CX39" s="50"/>
      <c r="CY39" s="50"/>
      <c r="CZ39" s="50"/>
      <c r="DA39" s="50"/>
      <c r="DB39" s="50"/>
      <c r="DC39" s="50"/>
    </row>
    <row r="40">
      <c r="A40" s="23" t="s">
        <v>210</v>
      </c>
      <c r="B40" s="23">
        <v>10.0</v>
      </c>
      <c r="C40" s="23">
        <v>62.0</v>
      </c>
      <c r="D40" s="29">
        <f t="shared" si="1"/>
        <v>3</v>
      </c>
      <c r="E40" s="23" t="s">
        <v>185</v>
      </c>
      <c r="P40" s="34" t="s">
        <v>125</v>
      </c>
      <c r="Q40" s="23">
        <v>1.0</v>
      </c>
      <c r="R40" s="23">
        <v>4.0</v>
      </c>
      <c r="AH40" s="34" t="s">
        <v>131</v>
      </c>
      <c r="AI40" s="23">
        <v>4.0</v>
      </c>
      <c r="AJ40" s="23">
        <v>1.0</v>
      </c>
      <c r="AQ40" s="34" t="s">
        <v>134</v>
      </c>
      <c r="AR40" s="23">
        <v>9.0</v>
      </c>
      <c r="AS40" s="23">
        <v>0.0</v>
      </c>
      <c r="CA40" s="50">
        <v>46161.25476851852</v>
      </c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  <c r="CQ40" s="50"/>
      <c r="CR40" s="50"/>
      <c r="CS40" s="50"/>
      <c r="CT40" s="50"/>
      <c r="CU40" s="50"/>
      <c r="CV40" s="50"/>
      <c r="CW40" s="50"/>
      <c r="CX40" s="50"/>
      <c r="CY40" s="50"/>
      <c r="CZ40" s="50"/>
      <c r="DA40" s="50"/>
      <c r="DB40" s="50"/>
      <c r="DC40" s="50"/>
    </row>
    <row r="41">
      <c r="A41" s="23" t="s">
        <v>211</v>
      </c>
      <c r="B41" s="23">
        <v>0.0</v>
      </c>
      <c r="C41" s="23">
        <v>77.0</v>
      </c>
      <c r="D41" s="29">
        <f t="shared" si="1"/>
        <v>3</v>
      </c>
      <c r="P41" s="34" t="s">
        <v>125</v>
      </c>
      <c r="Q41" s="23">
        <v>4.0</v>
      </c>
      <c r="R41" s="23">
        <v>0.0</v>
      </c>
      <c r="AH41" s="34" t="s">
        <v>131</v>
      </c>
      <c r="AI41" s="23">
        <v>5.0</v>
      </c>
      <c r="AJ41" s="23">
        <v>0.0</v>
      </c>
      <c r="AQ41" s="34" t="s">
        <v>134</v>
      </c>
      <c r="AR41" s="23">
        <v>2.0</v>
      </c>
      <c r="AS41" s="23">
        <v>0.0</v>
      </c>
      <c r="CA41" s="50">
        <v>46149.09587962963</v>
      </c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  <c r="CQ41" s="50"/>
      <c r="CR41" s="50"/>
      <c r="CS41" s="50"/>
      <c r="CT41" s="50"/>
      <c r="CU41" s="50"/>
      <c r="CV41" s="50"/>
      <c r="CW41" s="50"/>
      <c r="CX41" s="50"/>
      <c r="CY41" s="50"/>
      <c r="CZ41" s="50"/>
      <c r="DA41" s="50"/>
      <c r="DB41" s="50"/>
      <c r="DC41" s="50"/>
    </row>
    <row r="42">
      <c r="A42" s="23" t="s">
        <v>212</v>
      </c>
      <c r="B42" s="23">
        <v>0.0</v>
      </c>
      <c r="C42" s="23">
        <v>17.0</v>
      </c>
      <c r="D42" s="29">
        <f t="shared" si="1"/>
        <v>3</v>
      </c>
      <c r="E42" s="23" t="s">
        <v>188</v>
      </c>
      <c r="P42" s="34" t="s">
        <v>4</v>
      </c>
      <c r="Q42" s="23">
        <v>1.0</v>
      </c>
      <c r="R42" s="23">
        <v>2.0</v>
      </c>
      <c r="Y42" s="34" t="s">
        <v>213</v>
      </c>
      <c r="Z42" s="23">
        <v>7.0</v>
      </c>
      <c r="AA42" s="23">
        <v>0.0</v>
      </c>
      <c r="AQ42" s="34" t="s">
        <v>214</v>
      </c>
      <c r="AR42" s="23">
        <v>6.0</v>
      </c>
      <c r="AS42" s="23">
        <v>0.0</v>
      </c>
      <c r="CA42" s="50">
        <v>46085.61929398148</v>
      </c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</row>
    <row r="43">
      <c r="A43" s="23" t="s">
        <v>215</v>
      </c>
      <c r="B43" s="23">
        <v>0.0</v>
      </c>
      <c r="C43" s="23">
        <v>33.0</v>
      </c>
      <c r="D43" s="29">
        <f t="shared" si="1"/>
        <v>3</v>
      </c>
      <c r="E43" s="23" t="s">
        <v>208</v>
      </c>
      <c r="P43" s="34" t="s">
        <v>125</v>
      </c>
      <c r="Q43" s="23">
        <v>1.0</v>
      </c>
      <c r="R43" s="23">
        <v>2.0</v>
      </c>
      <c r="AH43" s="34" t="s">
        <v>131</v>
      </c>
      <c r="AI43" s="23">
        <v>4.0</v>
      </c>
      <c r="AJ43" s="23">
        <v>0.0</v>
      </c>
      <c r="AQ43" s="34" t="s">
        <v>134</v>
      </c>
      <c r="AR43" s="23">
        <v>7.0</v>
      </c>
      <c r="AS43" s="23">
        <v>0.0</v>
      </c>
      <c r="CA43" s="50">
        <v>46082.39158564815</v>
      </c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  <c r="CQ43" s="50"/>
      <c r="CR43" s="50"/>
      <c r="CS43" s="50"/>
      <c r="CT43" s="50"/>
      <c r="CU43" s="50"/>
      <c r="CV43" s="50"/>
      <c r="CW43" s="50"/>
      <c r="CX43" s="50"/>
      <c r="CY43" s="50"/>
      <c r="CZ43" s="50"/>
      <c r="DA43" s="50"/>
      <c r="DB43" s="50"/>
      <c r="DC43" s="50"/>
    </row>
    <row r="44">
      <c r="A44" s="23" t="s">
        <v>216</v>
      </c>
      <c r="B44" s="23">
        <v>6400.0</v>
      </c>
      <c r="C44" s="23">
        <v>0.0</v>
      </c>
      <c r="D44" s="29">
        <f t="shared" si="1"/>
        <v>2</v>
      </c>
      <c r="E44" s="23" t="s">
        <v>124</v>
      </c>
      <c r="F44" s="23">
        <v>0.09</v>
      </c>
      <c r="P44" s="34" t="s">
        <v>4</v>
      </c>
      <c r="Q44" s="23">
        <v>1.0</v>
      </c>
      <c r="R44" s="23">
        <v>6856.0</v>
      </c>
      <c r="AH44" s="34" t="s">
        <v>131</v>
      </c>
      <c r="AI44" s="23">
        <v>17.0</v>
      </c>
      <c r="AJ44" s="23">
        <v>0.0</v>
      </c>
      <c r="CA44" s="50">
        <v>46149.40655092592</v>
      </c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  <c r="CQ44" s="50"/>
      <c r="CR44" s="50"/>
      <c r="CS44" s="50"/>
      <c r="CT44" s="50"/>
      <c r="CU44" s="50"/>
      <c r="CV44" s="50"/>
      <c r="CW44" s="50"/>
      <c r="CX44" s="50"/>
      <c r="CY44" s="50"/>
      <c r="CZ44" s="50"/>
      <c r="DA44" s="50"/>
      <c r="DB44" s="50"/>
      <c r="DC44" s="50"/>
    </row>
    <row r="45">
      <c r="A45" s="23" t="s">
        <v>217</v>
      </c>
      <c r="B45" s="23">
        <v>150.0</v>
      </c>
      <c r="C45" s="23">
        <v>19.0</v>
      </c>
      <c r="D45" s="29">
        <f t="shared" si="1"/>
        <v>2</v>
      </c>
      <c r="E45" s="23" t="s">
        <v>185</v>
      </c>
      <c r="P45" s="34" t="s">
        <v>125</v>
      </c>
      <c r="Q45" s="23">
        <v>1.0</v>
      </c>
      <c r="R45" s="23">
        <v>81.0</v>
      </c>
      <c r="AH45" s="34" t="s">
        <v>131</v>
      </c>
      <c r="AI45" s="23">
        <v>8.0</v>
      </c>
      <c r="AJ45" s="23">
        <v>6.0</v>
      </c>
      <c r="CA45" s="50">
        <v>46156.209710648145</v>
      </c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  <c r="CQ45" s="50"/>
      <c r="CR45" s="50"/>
      <c r="CS45" s="50"/>
      <c r="CT45" s="50"/>
      <c r="CU45" s="50"/>
      <c r="CV45" s="50"/>
      <c r="CW45" s="50"/>
      <c r="CX45" s="50"/>
      <c r="CY45" s="50"/>
      <c r="CZ45" s="50"/>
      <c r="DA45" s="50"/>
      <c r="DB45" s="50"/>
      <c r="DC45" s="50"/>
    </row>
    <row r="46">
      <c r="A46" s="23" t="s">
        <v>218</v>
      </c>
      <c r="B46" s="23">
        <v>100.0</v>
      </c>
      <c r="C46" s="23">
        <v>17.0</v>
      </c>
      <c r="D46" s="29">
        <f t="shared" si="1"/>
        <v>2</v>
      </c>
      <c r="E46" s="23" t="s">
        <v>188</v>
      </c>
      <c r="P46" s="34" t="s">
        <v>125</v>
      </c>
      <c r="Q46" s="23">
        <v>10.0</v>
      </c>
      <c r="R46" s="23">
        <v>3.0</v>
      </c>
      <c r="AH46" s="34" t="s">
        <v>131</v>
      </c>
      <c r="AI46" s="23">
        <v>1.0</v>
      </c>
      <c r="AJ46" s="23">
        <v>99.0</v>
      </c>
      <c r="CA46" s="50">
        <v>46126.708136574074</v>
      </c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  <c r="CQ46" s="50"/>
      <c r="CR46" s="50"/>
      <c r="CS46" s="50"/>
      <c r="CT46" s="50"/>
      <c r="CU46" s="50"/>
      <c r="CV46" s="50"/>
      <c r="CW46" s="50"/>
      <c r="CX46" s="50"/>
      <c r="CY46" s="50"/>
      <c r="CZ46" s="50"/>
      <c r="DA46" s="50"/>
      <c r="DB46" s="50"/>
      <c r="DC46" s="50"/>
    </row>
    <row r="47">
      <c r="A47" s="23" t="s">
        <v>219</v>
      </c>
      <c r="B47" s="23">
        <v>90.0</v>
      </c>
      <c r="C47" s="23">
        <v>16.0</v>
      </c>
      <c r="D47" s="29">
        <f t="shared" si="1"/>
        <v>2</v>
      </c>
      <c r="E47" s="23" t="s">
        <v>143</v>
      </c>
      <c r="P47" s="34" t="s">
        <v>125</v>
      </c>
      <c r="Q47" s="23">
        <v>7.0</v>
      </c>
      <c r="R47" s="23">
        <v>4.0</v>
      </c>
      <c r="AH47" s="34" t="s">
        <v>131</v>
      </c>
      <c r="AI47" s="23">
        <v>1.0</v>
      </c>
      <c r="AJ47" s="23">
        <v>83.0</v>
      </c>
      <c r="CA47" s="50">
        <v>46142.77353009259</v>
      </c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  <c r="CQ47" s="50"/>
      <c r="CR47" s="50"/>
      <c r="CS47" s="50"/>
      <c r="CT47" s="50"/>
      <c r="CU47" s="50"/>
      <c r="CV47" s="50"/>
      <c r="CW47" s="50"/>
      <c r="CX47" s="50"/>
      <c r="CY47" s="50"/>
      <c r="CZ47" s="50"/>
      <c r="DA47" s="50"/>
      <c r="DB47" s="50"/>
      <c r="DC47" s="50"/>
    </row>
    <row r="48">
      <c r="A48" s="23" t="s">
        <v>220</v>
      </c>
      <c r="B48" s="23">
        <v>70.0</v>
      </c>
      <c r="C48" s="23">
        <v>77.0</v>
      </c>
      <c r="D48" s="29">
        <f t="shared" si="1"/>
        <v>2</v>
      </c>
      <c r="E48" s="23" t="s">
        <v>221</v>
      </c>
      <c r="P48" s="34" t="s">
        <v>125</v>
      </c>
      <c r="Q48" s="23">
        <v>2.0</v>
      </c>
      <c r="R48" s="23">
        <v>10.0</v>
      </c>
      <c r="AQ48" s="34" t="s">
        <v>134</v>
      </c>
      <c r="AR48" s="23">
        <v>3.0</v>
      </c>
      <c r="AS48" s="23">
        <v>8.0</v>
      </c>
      <c r="CA48" s="50">
        <v>46144.19924768519</v>
      </c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  <c r="CQ48" s="50"/>
      <c r="CR48" s="50"/>
      <c r="CS48" s="50"/>
      <c r="CT48" s="50"/>
      <c r="CU48" s="50"/>
      <c r="CV48" s="50"/>
      <c r="CW48" s="50"/>
      <c r="CX48" s="50"/>
      <c r="CY48" s="50"/>
      <c r="CZ48" s="50"/>
      <c r="DA48" s="50"/>
      <c r="DB48" s="50"/>
      <c r="DC48" s="50"/>
    </row>
    <row r="49">
      <c r="A49" s="23" t="s">
        <v>222</v>
      </c>
      <c r="B49" s="23">
        <v>60.0</v>
      </c>
      <c r="C49" s="23">
        <v>74.0</v>
      </c>
      <c r="D49" s="29">
        <f t="shared" si="1"/>
        <v>2</v>
      </c>
      <c r="E49" s="23" t="s">
        <v>155</v>
      </c>
      <c r="AQ49" s="34" t="s">
        <v>194</v>
      </c>
      <c r="AR49" s="23">
        <v>5.0</v>
      </c>
      <c r="AS49" s="23">
        <v>4.0</v>
      </c>
      <c r="AZ49" s="34" t="s">
        <v>195</v>
      </c>
      <c r="BA49" s="23">
        <v>3.0</v>
      </c>
      <c r="BB49" s="23">
        <v>7.0</v>
      </c>
      <c r="CA49" s="50">
        <v>46124.87150462963</v>
      </c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</row>
    <row r="50">
      <c r="A50" s="23" t="s">
        <v>223</v>
      </c>
      <c r="B50" s="23">
        <v>50.0</v>
      </c>
      <c r="C50" s="23">
        <v>34.0</v>
      </c>
      <c r="D50" s="29">
        <f t="shared" si="1"/>
        <v>2</v>
      </c>
      <c r="E50" s="23" t="s">
        <v>188</v>
      </c>
      <c r="P50" s="34" t="s">
        <v>125</v>
      </c>
      <c r="Q50" s="23">
        <v>6.0</v>
      </c>
      <c r="R50" s="23">
        <v>3.0</v>
      </c>
      <c r="Y50" s="34" t="s">
        <v>25</v>
      </c>
      <c r="Z50" s="23">
        <v>1.0</v>
      </c>
      <c r="AA50" s="23">
        <v>17.0</v>
      </c>
      <c r="CA50" s="50">
        <v>46155.67854166667</v>
      </c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  <c r="CQ50" s="50"/>
      <c r="CR50" s="50"/>
      <c r="CS50" s="50"/>
      <c r="CT50" s="50"/>
      <c r="CU50" s="50"/>
      <c r="CV50" s="50"/>
      <c r="CW50" s="50"/>
      <c r="CX50" s="50"/>
      <c r="CY50" s="50"/>
      <c r="CZ50" s="50"/>
      <c r="DA50" s="50"/>
      <c r="DB50" s="50"/>
      <c r="DC50" s="50"/>
    </row>
    <row r="51">
      <c r="A51" s="23" t="s">
        <v>224</v>
      </c>
      <c r="B51" s="23">
        <v>50.0</v>
      </c>
      <c r="C51" s="23">
        <v>65.0</v>
      </c>
      <c r="D51" s="29">
        <f t="shared" si="1"/>
        <v>2</v>
      </c>
      <c r="E51" s="23" t="s">
        <v>155</v>
      </c>
      <c r="P51" s="34" t="s">
        <v>125</v>
      </c>
      <c r="Q51" s="23">
        <v>1.0</v>
      </c>
      <c r="R51" s="23">
        <v>20.0</v>
      </c>
      <c r="AH51" s="34" t="s">
        <v>131</v>
      </c>
      <c r="AI51" s="23">
        <v>3.0</v>
      </c>
      <c r="AJ51" s="23">
        <v>6.0</v>
      </c>
      <c r="CA51" s="50">
        <v>46163.15423611111</v>
      </c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</row>
    <row r="52">
      <c r="A52" s="23" t="s">
        <v>225</v>
      </c>
      <c r="B52" s="23">
        <v>40.0</v>
      </c>
      <c r="C52" s="23">
        <v>51.0</v>
      </c>
      <c r="D52" s="29">
        <f t="shared" si="1"/>
        <v>2</v>
      </c>
      <c r="E52" s="23" t="s">
        <v>226</v>
      </c>
      <c r="Y52" s="34" t="s">
        <v>25</v>
      </c>
      <c r="Z52" s="23">
        <v>1.0</v>
      </c>
      <c r="AA52" s="23">
        <v>13.0</v>
      </c>
      <c r="AQ52" s="34" t="s">
        <v>134</v>
      </c>
      <c r="AR52" s="23">
        <v>7.0</v>
      </c>
      <c r="AS52" s="23">
        <v>2.0</v>
      </c>
      <c r="CA52" s="50">
        <v>46123.50219907407</v>
      </c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  <c r="CQ52" s="50"/>
      <c r="CR52" s="50"/>
      <c r="CS52" s="50"/>
      <c r="CT52" s="50"/>
      <c r="CU52" s="50"/>
      <c r="CV52" s="50"/>
      <c r="CW52" s="50"/>
      <c r="CX52" s="50"/>
      <c r="CY52" s="50"/>
      <c r="CZ52" s="50"/>
      <c r="DA52" s="50"/>
      <c r="DB52" s="50"/>
      <c r="DC52" s="50"/>
    </row>
    <row r="53">
      <c r="A53" s="23" t="s">
        <v>227</v>
      </c>
      <c r="B53" s="23">
        <v>30.0</v>
      </c>
      <c r="C53" s="23">
        <v>38.0</v>
      </c>
      <c r="D53" s="29">
        <f t="shared" si="1"/>
        <v>2</v>
      </c>
      <c r="E53" s="23" t="s">
        <v>143</v>
      </c>
      <c r="F53" s="23">
        <v>1.02</v>
      </c>
      <c r="P53" s="34" t="s">
        <v>4</v>
      </c>
      <c r="Q53" s="23">
        <v>1.0</v>
      </c>
      <c r="R53" s="23">
        <v>11.0</v>
      </c>
      <c r="AQ53" s="34" t="s">
        <v>134</v>
      </c>
      <c r="AR53" s="23">
        <v>7.0</v>
      </c>
      <c r="AS53" s="23">
        <v>2.0</v>
      </c>
      <c r="CA53" s="50">
        <v>46147.089155092595</v>
      </c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  <c r="CQ53" s="50"/>
      <c r="CR53" s="50"/>
      <c r="CS53" s="50"/>
      <c r="CT53" s="50"/>
      <c r="CU53" s="50"/>
      <c r="CV53" s="50"/>
      <c r="CW53" s="50"/>
      <c r="CX53" s="50"/>
      <c r="CY53" s="50"/>
      <c r="CZ53" s="50"/>
      <c r="DA53" s="50"/>
      <c r="DB53" s="50"/>
      <c r="DC53" s="50"/>
    </row>
    <row r="54">
      <c r="A54" s="23" t="s">
        <v>228</v>
      </c>
      <c r="B54" s="23">
        <v>20.0</v>
      </c>
      <c r="C54" s="23">
        <v>49.0</v>
      </c>
      <c r="D54" s="29">
        <f t="shared" si="1"/>
        <v>2</v>
      </c>
      <c r="E54" s="23" t="s">
        <v>208</v>
      </c>
      <c r="Y54" s="34" t="s">
        <v>129</v>
      </c>
      <c r="Z54" s="23">
        <v>1.0</v>
      </c>
      <c r="AA54" s="23">
        <v>23.0</v>
      </c>
      <c r="AQ54" s="34" t="s">
        <v>134</v>
      </c>
      <c r="AR54" s="23">
        <v>10.0</v>
      </c>
      <c r="AS54" s="23">
        <v>0.0</v>
      </c>
      <c r="CA54" s="50">
        <v>46106.59496527778</v>
      </c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  <c r="CQ54" s="50"/>
      <c r="CR54" s="50"/>
      <c r="CS54" s="50"/>
      <c r="CT54" s="50"/>
      <c r="CU54" s="50"/>
      <c r="CV54" s="50"/>
      <c r="CW54" s="50"/>
      <c r="CX54" s="50"/>
      <c r="CY54" s="50"/>
      <c r="CZ54" s="50"/>
      <c r="DA54" s="50"/>
      <c r="DB54" s="50"/>
      <c r="DC54" s="50"/>
    </row>
    <row r="55">
      <c r="A55" s="23" t="s">
        <v>229</v>
      </c>
      <c r="B55" s="23">
        <v>20.0</v>
      </c>
      <c r="C55" s="23">
        <v>16.0</v>
      </c>
      <c r="D55" s="29">
        <f t="shared" si="1"/>
        <v>2</v>
      </c>
      <c r="E55" s="23" t="s">
        <v>155</v>
      </c>
      <c r="P55" s="34" t="s">
        <v>125</v>
      </c>
      <c r="Q55" s="23">
        <v>11.0</v>
      </c>
      <c r="R55" s="23">
        <v>0.0</v>
      </c>
      <c r="AH55" s="34" t="s">
        <v>131</v>
      </c>
      <c r="AI55" s="23">
        <v>1.0</v>
      </c>
      <c r="AJ55" s="23">
        <v>17.0</v>
      </c>
      <c r="CA55" s="50">
        <v>46147.2680787037</v>
      </c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  <c r="CQ55" s="50"/>
      <c r="CR55" s="50"/>
      <c r="CS55" s="50"/>
      <c r="CT55" s="50"/>
      <c r="CU55" s="50"/>
      <c r="CV55" s="50"/>
      <c r="CW55" s="50"/>
      <c r="CX55" s="50"/>
      <c r="CY55" s="50"/>
      <c r="CZ55" s="50"/>
      <c r="DA55" s="50"/>
      <c r="DB55" s="50"/>
      <c r="DC55" s="50"/>
    </row>
    <row r="56">
      <c r="A56" s="23" t="s">
        <v>230</v>
      </c>
      <c r="B56" s="23">
        <v>20.0</v>
      </c>
      <c r="C56" s="23">
        <v>46.0</v>
      </c>
      <c r="D56" s="29">
        <f t="shared" si="1"/>
        <v>2</v>
      </c>
      <c r="E56" s="23" t="s">
        <v>155</v>
      </c>
      <c r="P56" s="34" t="s">
        <v>125</v>
      </c>
      <c r="Q56" s="23">
        <v>2.0</v>
      </c>
      <c r="R56" s="23">
        <v>6.0</v>
      </c>
      <c r="Y56" s="34" t="s">
        <v>129</v>
      </c>
      <c r="Z56" s="23">
        <v>1.0</v>
      </c>
      <c r="AA56" s="23">
        <v>10.0</v>
      </c>
      <c r="CA56" s="50">
        <v>46098.58577546296</v>
      </c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  <c r="CQ56" s="50"/>
      <c r="CR56" s="50"/>
      <c r="CS56" s="50"/>
      <c r="CT56" s="50"/>
      <c r="CU56" s="50"/>
      <c r="CV56" s="50"/>
      <c r="CW56" s="50"/>
      <c r="CX56" s="50"/>
      <c r="CY56" s="50"/>
      <c r="CZ56" s="50"/>
      <c r="DA56" s="50"/>
      <c r="DB56" s="50"/>
      <c r="DC56" s="50"/>
    </row>
    <row r="57">
      <c r="A57" s="23" t="s">
        <v>231</v>
      </c>
      <c r="B57" s="23">
        <v>20.0</v>
      </c>
      <c r="C57" s="23">
        <v>63.0</v>
      </c>
      <c r="D57" s="29">
        <f t="shared" si="1"/>
        <v>2</v>
      </c>
      <c r="E57" s="23" t="s">
        <v>155</v>
      </c>
      <c r="P57" s="34" t="s">
        <v>4</v>
      </c>
      <c r="Q57" s="23">
        <v>3.0</v>
      </c>
      <c r="R57" s="23">
        <v>3.0</v>
      </c>
      <c r="Y57" s="34" t="s">
        <v>25</v>
      </c>
      <c r="Z57" s="23">
        <v>10.0</v>
      </c>
      <c r="AA57" s="23">
        <v>0.0</v>
      </c>
      <c r="CA57" s="50">
        <v>46082.531180555554</v>
      </c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  <c r="CQ57" s="50"/>
      <c r="CR57" s="50"/>
      <c r="CS57" s="50"/>
      <c r="CT57" s="50"/>
      <c r="CU57" s="50"/>
      <c r="CV57" s="50"/>
      <c r="CW57" s="50"/>
      <c r="CX57" s="50"/>
      <c r="CY57" s="50"/>
      <c r="CZ57" s="50"/>
      <c r="DA57" s="50"/>
      <c r="DB57" s="50"/>
      <c r="DC57" s="50"/>
    </row>
    <row r="58">
      <c r="A58" s="23" t="s">
        <v>232</v>
      </c>
      <c r="B58" s="23">
        <v>20.0</v>
      </c>
      <c r="C58" s="23">
        <v>54.0</v>
      </c>
      <c r="D58" s="29">
        <f t="shared" si="1"/>
        <v>2</v>
      </c>
      <c r="E58" s="23" t="s">
        <v>143</v>
      </c>
      <c r="P58" s="34" t="s">
        <v>4</v>
      </c>
      <c r="Q58" s="23">
        <v>7.0</v>
      </c>
      <c r="R58" s="23">
        <v>1.0</v>
      </c>
      <c r="Y58" s="34" t="s">
        <v>25</v>
      </c>
      <c r="Z58" s="23">
        <v>1.0</v>
      </c>
      <c r="AA58" s="23">
        <v>7.0</v>
      </c>
      <c r="CA58" s="50">
        <v>46155.6808912037</v>
      </c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  <c r="CQ58" s="50"/>
      <c r="CR58" s="50"/>
      <c r="CS58" s="50"/>
      <c r="CT58" s="50"/>
      <c r="CU58" s="50"/>
      <c r="CV58" s="50"/>
      <c r="CW58" s="50"/>
      <c r="CX58" s="50"/>
      <c r="CY58" s="50"/>
      <c r="CZ58" s="50"/>
      <c r="DA58" s="50"/>
      <c r="DB58" s="50"/>
      <c r="DC58" s="50"/>
    </row>
    <row r="59">
      <c r="A59" s="23" t="s">
        <v>233</v>
      </c>
      <c r="B59" s="23">
        <v>20.0</v>
      </c>
      <c r="C59" s="23">
        <v>49.0</v>
      </c>
      <c r="D59" s="29">
        <f t="shared" si="1"/>
        <v>2</v>
      </c>
      <c r="E59" s="23" t="s">
        <v>202</v>
      </c>
      <c r="P59" s="34" t="s">
        <v>125</v>
      </c>
      <c r="Q59" s="23">
        <v>9.0</v>
      </c>
      <c r="R59" s="23">
        <v>0.0</v>
      </c>
      <c r="Y59" s="34" t="s">
        <v>25</v>
      </c>
      <c r="Z59" s="23">
        <v>1.0</v>
      </c>
      <c r="AA59" s="23">
        <v>14.0</v>
      </c>
      <c r="CA59" s="50">
        <v>46107.386828703704</v>
      </c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  <c r="CQ59" s="50"/>
      <c r="CR59" s="50"/>
      <c r="CS59" s="50"/>
      <c r="CT59" s="50"/>
      <c r="CU59" s="50"/>
      <c r="CV59" s="50"/>
      <c r="CW59" s="50"/>
      <c r="CX59" s="50"/>
      <c r="CY59" s="50"/>
      <c r="CZ59" s="50"/>
      <c r="DA59" s="50"/>
      <c r="DB59" s="50"/>
      <c r="DC59" s="50"/>
    </row>
    <row r="60">
      <c r="A60" s="23" t="s">
        <v>234</v>
      </c>
      <c r="B60" s="23">
        <v>20.0</v>
      </c>
      <c r="C60" s="23">
        <v>76.0</v>
      </c>
      <c r="D60" s="29">
        <f t="shared" si="1"/>
        <v>2</v>
      </c>
      <c r="E60" s="23" t="s">
        <v>188</v>
      </c>
      <c r="Y60" s="34" t="s">
        <v>129</v>
      </c>
      <c r="Z60" s="23">
        <v>10.0</v>
      </c>
      <c r="AA60" s="23">
        <v>0.0</v>
      </c>
      <c r="AQ60" s="34" t="s">
        <v>134</v>
      </c>
      <c r="AR60" s="23">
        <v>5.0</v>
      </c>
      <c r="AS60" s="23">
        <v>2.0</v>
      </c>
      <c r="CA60" s="50">
        <v>46107.10548611111</v>
      </c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  <c r="CQ60" s="50"/>
      <c r="CR60" s="50"/>
      <c r="CS60" s="50"/>
      <c r="CT60" s="50"/>
      <c r="CU60" s="50"/>
      <c r="CV60" s="50"/>
      <c r="CW60" s="50"/>
      <c r="CX60" s="50"/>
      <c r="CY60" s="50"/>
      <c r="CZ60" s="50"/>
      <c r="DA60" s="50"/>
      <c r="DB60" s="50"/>
      <c r="DC60" s="50"/>
    </row>
    <row r="61">
      <c r="A61" s="23" t="s">
        <v>235</v>
      </c>
      <c r="B61" s="23">
        <v>20.0</v>
      </c>
      <c r="C61" s="23">
        <v>71.0</v>
      </c>
      <c r="D61" s="29">
        <f t="shared" si="1"/>
        <v>2</v>
      </c>
      <c r="E61" s="23" t="s">
        <v>155</v>
      </c>
      <c r="P61" s="34" t="s">
        <v>4</v>
      </c>
      <c r="Q61" s="23">
        <v>7.0</v>
      </c>
      <c r="R61" s="23">
        <v>1.0</v>
      </c>
      <c r="AZ61" s="34" t="s">
        <v>195</v>
      </c>
      <c r="BA61" s="23">
        <v>4.0</v>
      </c>
      <c r="BB61" s="23">
        <v>2.0</v>
      </c>
      <c r="CA61" s="50">
        <v>46142.56380787037</v>
      </c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  <c r="CQ61" s="50"/>
      <c r="CR61" s="50"/>
      <c r="CS61" s="50"/>
      <c r="CT61" s="50"/>
      <c r="CU61" s="50"/>
      <c r="CV61" s="50"/>
      <c r="CW61" s="50"/>
      <c r="CX61" s="50"/>
      <c r="CY61" s="50"/>
      <c r="CZ61" s="50"/>
      <c r="DA61" s="50"/>
      <c r="DB61" s="50"/>
      <c r="DC61" s="50"/>
    </row>
    <row r="62">
      <c r="A62" s="23" t="s">
        <v>236</v>
      </c>
      <c r="B62" s="23">
        <v>20.0</v>
      </c>
      <c r="C62" s="23">
        <v>69.0</v>
      </c>
      <c r="D62" s="29">
        <f t="shared" si="1"/>
        <v>2</v>
      </c>
      <c r="E62" s="23" t="s">
        <v>237</v>
      </c>
      <c r="P62" s="34" t="s">
        <v>125</v>
      </c>
      <c r="Q62" s="23">
        <v>6.0</v>
      </c>
      <c r="R62" s="23">
        <v>1.0</v>
      </c>
      <c r="Y62" s="34" t="s">
        <v>129</v>
      </c>
      <c r="Z62" s="23">
        <v>1.0</v>
      </c>
      <c r="AA62" s="23">
        <v>11.0</v>
      </c>
      <c r="CA62" s="50">
        <v>46071.851064814815</v>
      </c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  <c r="CQ62" s="50"/>
      <c r="CR62" s="50"/>
      <c r="CS62" s="50"/>
      <c r="CT62" s="50"/>
      <c r="CU62" s="50"/>
      <c r="CV62" s="50"/>
      <c r="CW62" s="50"/>
      <c r="CX62" s="50"/>
      <c r="CY62" s="50"/>
      <c r="CZ62" s="50"/>
      <c r="DA62" s="50"/>
      <c r="DB62" s="50"/>
      <c r="DC62" s="50"/>
    </row>
    <row r="63">
      <c r="A63" s="23" t="s">
        <v>238</v>
      </c>
      <c r="B63" s="23">
        <v>10.0</v>
      </c>
      <c r="C63" s="23">
        <v>53.0</v>
      </c>
      <c r="D63" s="29">
        <f t="shared" si="1"/>
        <v>2</v>
      </c>
      <c r="E63" s="23" t="s">
        <v>143</v>
      </c>
      <c r="P63" s="34" t="s">
        <v>125</v>
      </c>
      <c r="Q63" s="23">
        <v>1.0</v>
      </c>
      <c r="R63" s="23">
        <v>9.0</v>
      </c>
      <c r="AH63" s="34" t="s">
        <v>131</v>
      </c>
      <c r="AI63" s="23">
        <v>8.0</v>
      </c>
      <c r="AJ63" s="23">
        <v>0.0</v>
      </c>
      <c r="CA63" s="50">
        <v>46148.04377314815</v>
      </c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  <c r="CQ63" s="50"/>
      <c r="CR63" s="50"/>
      <c r="CS63" s="50"/>
      <c r="CT63" s="50"/>
      <c r="CU63" s="50"/>
      <c r="CV63" s="50"/>
      <c r="CW63" s="50"/>
      <c r="CX63" s="50"/>
      <c r="CY63" s="50"/>
      <c r="CZ63" s="50"/>
      <c r="DA63" s="50"/>
      <c r="DB63" s="50"/>
      <c r="DC63" s="50"/>
    </row>
    <row r="64">
      <c r="A64" s="23" t="s">
        <v>239</v>
      </c>
      <c r="B64" s="23">
        <v>10.0</v>
      </c>
      <c r="C64" s="23">
        <v>58.0</v>
      </c>
      <c r="D64" s="29">
        <f t="shared" si="1"/>
        <v>2</v>
      </c>
      <c r="E64" s="23" t="s">
        <v>240</v>
      </c>
      <c r="P64" s="34" t="s">
        <v>125</v>
      </c>
      <c r="Q64" s="23">
        <v>6.0</v>
      </c>
      <c r="R64" s="23">
        <v>0.0</v>
      </c>
      <c r="Y64" s="34" t="s">
        <v>129</v>
      </c>
      <c r="Z64" s="23">
        <v>1.0</v>
      </c>
      <c r="AA64" s="23">
        <v>13.0</v>
      </c>
      <c r="CA64" s="50">
        <v>46083.777974537035</v>
      </c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  <c r="CQ64" s="50"/>
      <c r="CR64" s="50"/>
      <c r="CS64" s="50"/>
      <c r="CT64" s="50"/>
      <c r="CU64" s="50"/>
      <c r="CV64" s="50"/>
      <c r="CW64" s="50"/>
      <c r="CX64" s="50"/>
      <c r="CY64" s="50"/>
      <c r="CZ64" s="50"/>
      <c r="DA64" s="50"/>
      <c r="DB64" s="50"/>
      <c r="DC64" s="50"/>
    </row>
    <row r="65">
      <c r="A65" s="23" t="s">
        <v>241</v>
      </c>
      <c r="B65" s="23">
        <v>10.0</v>
      </c>
      <c r="C65" s="23">
        <v>55.0</v>
      </c>
      <c r="D65" s="29">
        <f t="shared" si="1"/>
        <v>2</v>
      </c>
      <c r="E65" s="23" t="s">
        <v>146</v>
      </c>
      <c r="P65" s="34" t="s">
        <v>125</v>
      </c>
      <c r="Q65" s="23">
        <v>2.0</v>
      </c>
      <c r="R65" s="23">
        <v>2.0</v>
      </c>
      <c r="Y65" s="34" t="s">
        <v>129</v>
      </c>
      <c r="Z65" s="23">
        <v>1.0</v>
      </c>
      <c r="AA65" s="23">
        <v>2.0</v>
      </c>
      <c r="CA65" s="50">
        <v>46144.26351851852</v>
      </c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  <c r="CQ65" s="50"/>
      <c r="CR65" s="50"/>
      <c r="CS65" s="50"/>
      <c r="CT65" s="50"/>
      <c r="CU65" s="50"/>
      <c r="CV65" s="50"/>
      <c r="CW65" s="50"/>
      <c r="CX65" s="50"/>
      <c r="CY65" s="50"/>
      <c r="CZ65" s="50"/>
      <c r="DA65" s="50"/>
      <c r="DB65" s="50"/>
      <c r="DC65" s="50"/>
    </row>
    <row r="66">
      <c r="A66" s="23" t="s">
        <v>242</v>
      </c>
      <c r="B66" s="23">
        <v>10.0</v>
      </c>
      <c r="C66" s="23">
        <v>36.0</v>
      </c>
      <c r="D66" s="29">
        <f t="shared" si="1"/>
        <v>2</v>
      </c>
      <c r="E66" s="23" t="s">
        <v>185</v>
      </c>
      <c r="P66" s="34" t="s">
        <v>125</v>
      </c>
      <c r="Q66" s="23">
        <v>1.0</v>
      </c>
      <c r="R66" s="23">
        <v>10.0</v>
      </c>
      <c r="AH66" s="34" t="s">
        <v>131</v>
      </c>
      <c r="AI66" s="23">
        <v>8.0</v>
      </c>
      <c r="AJ66" s="23">
        <v>1.0</v>
      </c>
      <c r="CA66" s="50">
        <v>46101.23947916667</v>
      </c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50"/>
      <c r="CU66" s="50"/>
      <c r="CV66" s="50"/>
      <c r="CW66" s="50"/>
      <c r="CX66" s="50"/>
      <c r="CY66" s="50"/>
      <c r="CZ66" s="50"/>
      <c r="DA66" s="50"/>
      <c r="DB66" s="50"/>
      <c r="DC66" s="50"/>
    </row>
    <row r="67">
      <c r="A67" s="23" t="s">
        <v>243</v>
      </c>
      <c r="B67" s="23">
        <v>10.0</v>
      </c>
      <c r="C67" s="23">
        <v>0.0</v>
      </c>
      <c r="D67" s="29">
        <f t="shared" si="1"/>
        <v>2</v>
      </c>
      <c r="E67" s="23" t="s">
        <v>244</v>
      </c>
      <c r="P67" s="34" t="s">
        <v>4</v>
      </c>
      <c r="Q67" s="23">
        <v>1.0</v>
      </c>
      <c r="R67" s="23">
        <v>3.0</v>
      </c>
      <c r="AH67" s="34" t="s">
        <v>131</v>
      </c>
      <c r="AI67" s="23">
        <v>8.0</v>
      </c>
      <c r="AJ67" s="23">
        <v>0.0</v>
      </c>
      <c r="CA67" s="50">
        <v>46083.97623842592</v>
      </c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</row>
    <row r="68">
      <c r="A68" s="23" t="s">
        <v>245</v>
      </c>
      <c r="B68" s="23">
        <v>10.0</v>
      </c>
      <c r="C68" s="23">
        <v>55.0</v>
      </c>
      <c r="D68" s="29">
        <f t="shared" si="1"/>
        <v>2</v>
      </c>
      <c r="E68" s="23" t="s">
        <v>208</v>
      </c>
      <c r="P68" s="34" t="s">
        <v>125</v>
      </c>
      <c r="Q68" s="23">
        <v>9.0</v>
      </c>
      <c r="R68" s="23">
        <v>0.0</v>
      </c>
      <c r="Y68" s="34" t="s">
        <v>129</v>
      </c>
      <c r="Z68" s="23">
        <v>1.0</v>
      </c>
      <c r="AA68" s="23">
        <v>6.0</v>
      </c>
      <c r="CA68" s="50">
        <v>46104.145370370374</v>
      </c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  <c r="CQ68" s="50"/>
      <c r="CR68" s="50"/>
      <c r="CS68" s="50"/>
      <c r="CT68" s="50"/>
      <c r="CU68" s="50"/>
      <c r="CV68" s="50"/>
      <c r="CW68" s="50"/>
      <c r="CX68" s="50"/>
      <c r="CY68" s="50"/>
      <c r="CZ68" s="50"/>
      <c r="DA68" s="50"/>
      <c r="DB68" s="50"/>
      <c r="DC68" s="50"/>
    </row>
    <row r="69">
      <c r="A69" s="23" t="s">
        <v>246</v>
      </c>
      <c r="B69" s="23">
        <v>10.0</v>
      </c>
      <c r="C69" s="23">
        <v>43.0</v>
      </c>
      <c r="D69" s="29">
        <f t="shared" si="1"/>
        <v>2</v>
      </c>
      <c r="E69" s="23" t="s">
        <v>143</v>
      </c>
      <c r="P69" s="34" t="s">
        <v>4</v>
      </c>
      <c r="Q69" s="23">
        <v>1.0</v>
      </c>
      <c r="R69" s="23">
        <v>4.0</v>
      </c>
      <c r="AZ69" s="34" t="s">
        <v>119</v>
      </c>
      <c r="BA69" s="23">
        <v>7.0</v>
      </c>
      <c r="BB69" s="23">
        <v>0.0</v>
      </c>
      <c r="CA69" s="50">
        <v>46084.18921296296</v>
      </c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  <c r="CQ69" s="50"/>
      <c r="CR69" s="50"/>
      <c r="CS69" s="50"/>
      <c r="CT69" s="50"/>
      <c r="CU69" s="50"/>
      <c r="CV69" s="50"/>
      <c r="CW69" s="50"/>
      <c r="CX69" s="50"/>
      <c r="CY69" s="50"/>
      <c r="CZ69" s="50"/>
      <c r="DA69" s="50"/>
      <c r="DB69" s="50"/>
      <c r="DC69" s="50"/>
    </row>
    <row r="70">
      <c r="A70" s="23" t="s">
        <v>247</v>
      </c>
      <c r="B70" s="23">
        <v>10.0</v>
      </c>
      <c r="C70" s="23">
        <v>42.0</v>
      </c>
      <c r="D70" s="29">
        <f t="shared" si="1"/>
        <v>2</v>
      </c>
      <c r="E70" s="23" t="s">
        <v>202</v>
      </c>
      <c r="P70" s="34" t="s">
        <v>125</v>
      </c>
      <c r="Q70" s="23">
        <v>1.0</v>
      </c>
      <c r="R70" s="23">
        <v>5.0</v>
      </c>
      <c r="AH70" s="34" t="s">
        <v>131</v>
      </c>
      <c r="AI70" s="23">
        <v>10.0</v>
      </c>
      <c r="AJ70" s="23">
        <v>0.0</v>
      </c>
      <c r="CA70" s="50">
        <v>46156.274930555555</v>
      </c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  <c r="CQ70" s="50"/>
      <c r="CR70" s="50"/>
      <c r="CS70" s="50"/>
      <c r="CT70" s="50"/>
      <c r="CU70" s="50"/>
      <c r="CV70" s="50"/>
      <c r="CW70" s="50"/>
      <c r="CX70" s="50"/>
      <c r="CY70" s="50"/>
      <c r="CZ70" s="50"/>
      <c r="DA70" s="50"/>
      <c r="DB70" s="50"/>
      <c r="DC70" s="50"/>
    </row>
    <row r="71">
      <c r="A71" s="23" t="s">
        <v>248</v>
      </c>
      <c r="B71" s="23">
        <v>0.0</v>
      </c>
      <c r="C71" s="23">
        <v>62.0</v>
      </c>
      <c r="D71" s="29">
        <f t="shared" si="1"/>
        <v>2</v>
      </c>
      <c r="AQ71" s="34" t="s">
        <v>194</v>
      </c>
      <c r="AR71" s="23">
        <v>4.0</v>
      </c>
      <c r="AS71" s="23">
        <v>0.0</v>
      </c>
      <c r="AZ71" s="34" t="s">
        <v>195</v>
      </c>
      <c r="BA71" s="23">
        <v>3.0</v>
      </c>
      <c r="BB71" s="23">
        <v>0.0</v>
      </c>
      <c r="CA71" s="50">
        <v>46123.04677083333</v>
      </c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  <c r="CQ71" s="50"/>
      <c r="CR71" s="50"/>
      <c r="CS71" s="50"/>
      <c r="CT71" s="50"/>
      <c r="CU71" s="50"/>
      <c r="CV71" s="50"/>
      <c r="CW71" s="50"/>
      <c r="CX71" s="50"/>
      <c r="CY71" s="50"/>
      <c r="CZ71" s="50"/>
      <c r="DA71" s="50"/>
      <c r="DB71" s="50"/>
      <c r="DC71" s="50"/>
    </row>
    <row r="72">
      <c r="A72" s="23" t="s">
        <v>249</v>
      </c>
      <c r="B72" s="23">
        <v>0.0</v>
      </c>
      <c r="C72" s="23">
        <v>47.0</v>
      </c>
      <c r="D72" s="29">
        <f t="shared" si="1"/>
        <v>2</v>
      </c>
      <c r="E72" s="23" t="s">
        <v>188</v>
      </c>
      <c r="P72" s="34" t="s">
        <v>4</v>
      </c>
      <c r="Q72" s="23">
        <v>1.0</v>
      </c>
      <c r="R72" s="23">
        <v>1.0</v>
      </c>
      <c r="AQ72" s="34" t="s">
        <v>134</v>
      </c>
      <c r="AR72" s="23">
        <v>7.0</v>
      </c>
      <c r="AS72" s="23">
        <v>0.0</v>
      </c>
      <c r="CA72" s="50">
        <v>46098.18724537037</v>
      </c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  <c r="CQ72" s="50"/>
      <c r="CR72" s="50"/>
      <c r="CS72" s="50"/>
      <c r="CT72" s="50"/>
      <c r="CU72" s="50"/>
      <c r="CV72" s="50"/>
      <c r="CW72" s="50"/>
      <c r="CX72" s="50"/>
      <c r="CY72" s="50"/>
      <c r="CZ72" s="50"/>
      <c r="DA72" s="50"/>
      <c r="DB72" s="50"/>
      <c r="DC72" s="50"/>
    </row>
    <row r="73">
      <c r="A73" s="23" t="s">
        <v>250</v>
      </c>
      <c r="B73" s="23">
        <v>0.0</v>
      </c>
      <c r="C73" s="23">
        <v>22.0</v>
      </c>
      <c r="D73" s="29">
        <f t="shared" si="1"/>
        <v>2</v>
      </c>
      <c r="E73" s="23" t="s">
        <v>202</v>
      </c>
      <c r="P73" s="34" t="s">
        <v>4</v>
      </c>
      <c r="Q73" s="23">
        <v>1.0</v>
      </c>
      <c r="R73" s="23">
        <v>1.0</v>
      </c>
      <c r="AH73" s="34" t="s">
        <v>131</v>
      </c>
      <c r="AI73" s="23">
        <v>8.0</v>
      </c>
      <c r="AJ73" s="23">
        <v>0.0</v>
      </c>
      <c r="CA73" s="50">
        <v>46150.13019675926</v>
      </c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  <c r="CQ73" s="50"/>
      <c r="CR73" s="50"/>
      <c r="CS73" s="50"/>
      <c r="CT73" s="50"/>
      <c r="CU73" s="50"/>
      <c r="CV73" s="50"/>
      <c r="CW73" s="50"/>
      <c r="CX73" s="50"/>
      <c r="CY73" s="50"/>
      <c r="CZ73" s="50"/>
      <c r="DA73" s="50"/>
      <c r="DB73" s="50"/>
      <c r="DC73" s="50"/>
    </row>
    <row r="74">
      <c r="A74" s="23" t="s">
        <v>251</v>
      </c>
      <c r="B74" s="23">
        <v>0.0</v>
      </c>
      <c r="C74" s="23">
        <v>72.0</v>
      </c>
      <c r="D74" s="29">
        <f t="shared" si="1"/>
        <v>2</v>
      </c>
      <c r="E74" s="23" t="s">
        <v>188</v>
      </c>
      <c r="Y74" s="34" t="s">
        <v>129</v>
      </c>
      <c r="Z74" s="23">
        <v>6.0</v>
      </c>
      <c r="AA74" s="23">
        <v>0.0</v>
      </c>
      <c r="AQ74" s="34" t="s">
        <v>134</v>
      </c>
      <c r="AR74" s="23">
        <v>4.0</v>
      </c>
      <c r="AS74" s="23">
        <v>0.0</v>
      </c>
      <c r="CA74" s="50">
        <v>46085.27780092593</v>
      </c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  <c r="CQ74" s="50"/>
      <c r="CR74" s="50"/>
      <c r="CS74" s="50"/>
      <c r="CT74" s="50"/>
      <c r="CU74" s="50"/>
      <c r="CV74" s="50"/>
      <c r="CW74" s="50"/>
      <c r="CX74" s="50"/>
      <c r="CY74" s="50"/>
      <c r="CZ74" s="50"/>
      <c r="DA74" s="50"/>
      <c r="DB74" s="50"/>
      <c r="DC74" s="50"/>
    </row>
    <row r="75">
      <c r="A75" s="23" t="s">
        <v>252</v>
      </c>
      <c r="B75" s="23">
        <v>132000.0</v>
      </c>
      <c r="C75" s="23">
        <v>0.0</v>
      </c>
      <c r="D75" s="29">
        <f t="shared" si="1"/>
        <v>1</v>
      </c>
      <c r="E75" s="23" t="s">
        <v>124</v>
      </c>
      <c r="F75" s="23">
        <v>0.09</v>
      </c>
      <c r="P75" s="34" t="s">
        <v>4</v>
      </c>
      <c r="Q75" s="23">
        <v>1.0</v>
      </c>
      <c r="R75" s="23">
        <v>134490.0</v>
      </c>
      <c r="CA75" s="50">
        <v>46162.608506944445</v>
      </c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  <c r="CQ75" s="50"/>
      <c r="CR75" s="50"/>
      <c r="CS75" s="50"/>
      <c r="CT75" s="50"/>
      <c r="CU75" s="50"/>
      <c r="CV75" s="50"/>
      <c r="CW75" s="50"/>
      <c r="CX75" s="50"/>
      <c r="CY75" s="50"/>
      <c r="CZ75" s="50"/>
      <c r="DA75" s="50"/>
      <c r="DB75" s="50"/>
      <c r="DC75" s="50"/>
    </row>
    <row r="76">
      <c r="A76" s="23" t="s">
        <v>253</v>
      </c>
      <c r="B76" s="23">
        <v>9800.0</v>
      </c>
      <c r="C76" s="23">
        <v>34.0</v>
      </c>
      <c r="D76" s="29">
        <f t="shared" si="1"/>
        <v>1</v>
      </c>
      <c r="E76" s="23" t="s">
        <v>124</v>
      </c>
      <c r="F76" s="23">
        <v>0.57</v>
      </c>
      <c r="Y76" s="34" t="s">
        <v>25</v>
      </c>
      <c r="Z76" s="23">
        <v>1.0</v>
      </c>
      <c r="AA76" s="23">
        <v>9224.0</v>
      </c>
      <c r="CA76" s="50">
        <v>46149.38214120371</v>
      </c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  <c r="CQ76" s="50"/>
      <c r="CR76" s="50"/>
      <c r="CS76" s="50"/>
      <c r="CT76" s="50"/>
      <c r="CU76" s="50"/>
      <c r="CV76" s="50"/>
      <c r="CW76" s="50"/>
      <c r="CX76" s="50"/>
      <c r="CY76" s="50"/>
      <c r="CZ76" s="50"/>
      <c r="DA76" s="50"/>
      <c r="DB76" s="50"/>
      <c r="DC76" s="50"/>
    </row>
    <row r="77">
      <c r="A77" s="23" t="s">
        <v>254</v>
      </c>
      <c r="B77" s="23">
        <v>8300.0</v>
      </c>
      <c r="C77" s="23">
        <v>65.0</v>
      </c>
      <c r="D77" s="29">
        <f t="shared" si="1"/>
        <v>1</v>
      </c>
      <c r="F77" s="23">
        <v>0.44</v>
      </c>
      <c r="P77" s="34" t="s">
        <v>4</v>
      </c>
      <c r="Q77" s="23">
        <v>1.0</v>
      </c>
      <c r="R77" s="23">
        <v>3982.0</v>
      </c>
      <c r="CA77" s="50">
        <v>46149.26835648148</v>
      </c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  <c r="CQ77" s="50"/>
      <c r="CR77" s="50"/>
      <c r="CS77" s="50"/>
      <c r="CT77" s="50"/>
      <c r="CU77" s="50"/>
      <c r="CV77" s="50"/>
      <c r="CW77" s="50"/>
      <c r="CX77" s="50"/>
      <c r="CY77" s="50"/>
      <c r="CZ77" s="50"/>
      <c r="DA77" s="50"/>
      <c r="DB77" s="50"/>
      <c r="DC77" s="50"/>
    </row>
    <row r="78">
      <c r="A78" s="23" t="s">
        <v>255</v>
      </c>
      <c r="B78" s="23">
        <v>5700.0</v>
      </c>
      <c r="C78" s="23">
        <v>51.0</v>
      </c>
      <c r="D78" s="29">
        <f t="shared" si="1"/>
        <v>1</v>
      </c>
      <c r="E78" s="23" t="s">
        <v>124</v>
      </c>
      <c r="F78" s="23">
        <v>0.58</v>
      </c>
      <c r="Y78" s="34" t="s">
        <v>25</v>
      </c>
      <c r="Z78" s="23">
        <v>1.0</v>
      </c>
      <c r="AA78" s="23">
        <v>4883.0</v>
      </c>
      <c r="CA78" s="50">
        <v>46149.35763888889</v>
      </c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  <c r="CQ78" s="50"/>
      <c r="CR78" s="50"/>
      <c r="CS78" s="50"/>
      <c r="CT78" s="50"/>
      <c r="CU78" s="50"/>
      <c r="CV78" s="50"/>
      <c r="CW78" s="50"/>
      <c r="CX78" s="50"/>
      <c r="CY78" s="50"/>
      <c r="CZ78" s="50"/>
      <c r="DA78" s="50"/>
      <c r="DB78" s="50"/>
      <c r="DC78" s="50"/>
    </row>
    <row r="79">
      <c r="A79" s="23" t="s">
        <v>256</v>
      </c>
      <c r="B79" s="23">
        <v>4900.0</v>
      </c>
      <c r="C79" s="23">
        <v>7.0</v>
      </c>
      <c r="D79" s="29">
        <f t="shared" si="1"/>
        <v>1</v>
      </c>
      <c r="E79" s="23" t="s">
        <v>124</v>
      </c>
      <c r="F79" s="23">
        <v>0.74</v>
      </c>
      <c r="AZ79" s="34" t="s">
        <v>119</v>
      </c>
      <c r="BA79" s="23">
        <v>1.0</v>
      </c>
      <c r="BB79" s="23">
        <v>6144.0</v>
      </c>
      <c r="CA79" s="50">
        <v>46149.38313657408</v>
      </c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  <c r="CQ79" s="50"/>
      <c r="CR79" s="50"/>
      <c r="CS79" s="50"/>
      <c r="CT79" s="50"/>
      <c r="CU79" s="50"/>
      <c r="CV79" s="50"/>
      <c r="CW79" s="50"/>
      <c r="CX79" s="50"/>
      <c r="CY79" s="50"/>
      <c r="CZ79" s="50"/>
      <c r="DA79" s="50"/>
      <c r="DB79" s="50"/>
      <c r="DC79" s="50"/>
    </row>
    <row r="80">
      <c r="A80" s="23" t="s">
        <v>257</v>
      </c>
      <c r="B80" s="23">
        <v>4300.0</v>
      </c>
      <c r="C80" s="23">
        <v>0.0</v>
      </c>
      <c r="D80" s="29">
        <f t="shared" si="1"/>
        <v>1</v>
      </c>
      <c r="E80" s="23" t="s">
        <v>124</v>
      </c>
      <c r="F80" s="23">
        <v>7.27</v>
      </c>
      <c r="Y80" s="34" t="s">
        <v>25</v>
      </c>
      <c r="Z80" s="23">
        <v>1.0</v>
      </c>
      <c r="AA80" s="23">
        <v>1554.0</v>
      </c>
      <c r="CA80" s="50">
        <v>46149.3840625</v>
      </c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</row>
    <row r="81">
      <c r="A81" s="23" t="s">
        <v>258</v>
      </c>
      <c r="B81" s="23">
        <v>3600.0</v>
      </c>
      <c r="C81" s="23">
        <v>65.0</v>
      </c>
      <c r="D81" s="29">
        <f t="shared" si="1"/>
        <v>1</v>
      </c>
      <c r="E81" s="23" t="s">
        <v>124</v>
      </c>
      <c r="F81" s="23">
        <v>0.28</v>
      </c>
      <c r="Y81" s="34" t="s">
        <v>129</v>
      </c>
      <c r="Z81" s="23">
        <v>1.0</v>
      </c>
      <c r="AA81" s="23">
        <v>3735.0</v>
      </c>
      <c r="CA81" s="50">
        <v>46149.50405092593</v>
      </c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  <c r="CQ81" s="50"/>
      <c r="CR81" s="50"/>
      <c r="CS81" s="50"/>
      <c r="CT81" s="50"/>
      <c r="CU81" s="50"/>
      <c r="CV81" s="50"/>
      <c r="CW81" s="50"/>
      <c r="CX81" s="50"/>
      <c r="CY81" s="50"/>
      <c r="CZ81" s="50"/>
      <c r="DA81" s="50"/>
      <c r="DB81" s="50"/>
      <c r="DC81" s="50"/>
    </row>
    <row r="82">
      <c r="A82" s="23" t="s">
        <v>259</v>
      </c>
      <c r="B82" s="23">
        <v>2800.0</v>
      </c>
      <c r="C82" s="23">
        <v>85.0</v>
      </c>
      <c r="D82" s="29">
        <f t="shared" si="1"/>
        <v>1</v>
      </c>
      <c r="F82" s="23">
        <v>0.57</v>
      </c>
      <c r="AZ82" s="34" t="s">
        <v>195</v>
      </c>
      <c r="BA82" s="23">
        <v>5.0</v>
      </c>
      <c r="BB82" s="23">
        <v>207.0</v>
      </c>
      <c r="CA82" s="50">
        <v>46149.25770833333</v>
      </c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  <c r="CQ82" s="50"/>
      <c r="CR82" s="50"/>
      <c r="CS82" s="50"/>
      <c r="CT82" s="50"/>
      <c r="CU82" s="50"/>
      <c r="CV82" s="50"/>
      <c r="CW82" s="50"/>
      <c r="CX82" s="50"/>
      <c r="CY82" s="50"/>
      <c r="CZ82" s="50"/>
      <c r="DA82" s="50"/>
      <c r="DB82" s="50"/>
      <c r="DC82" s="50"/>
    </row>
    <row r="83">
      <c r="A83" s="23" t="s">
        <v>260</v>
      </c>
      <c r="B83" s="23">
        <v>2700.0</v>
      </c>
      <c r="C83" s="23">
        <v>55.0</v>
      </c>
      <c r="D83" s="29">
        <f t="shared" si="1"/>
        <v>1</v>
      </c>
      <c r="E83" s="23" t="s">
        <v>185</v>
      </c>
      <c r="F83" s="23">
        <v>0.01</v>
      </c>
      <c r="P83" s="34" t="s">
        <v>4</v>
      </c>
      <c r="Q83" s="23">
        <v>4.0</v>
      </c>
      <c r="R83" s="23">
        <v>69.0</v>
      </c>
      <c r="CA83" s="50">
        <v>46149.25894675926</v>
      </c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  <c r="CQ83" s="50"/>
      <c r="CR83" s="50"/>
      <c r="CS83" s="50"/>
      <c r="CT83" s="50"/>
      <c r="CU83" s="50"/>
      <c r="CV83" s="50"/>
      <c r="CW83" s="50"/>
      <c r="CX83" s="50"/>
      <c r="CY83" s="50"/>
      <c r="CZ83" s="50"/>
      <c r="DA83" s="50"/>
      <c r="DB83" s="50"/>
      <c r="DC83" s="50"/>
    </row>
    <row r="84">
      <c r="A84" s="23" t="s">
        <v>261</v>
      </c>
      <c r="B84" s="23">
        <v>2700.0</v>
      </c>
      <c r="C84" s="23">
        <v>83.0</v>
      </c>
      <c r="D84" s="29">
        <f t="shared" si="1"/>
        <v>1</v>
      </c>
      <c r="E84" s="23" t="s">
        <v>262</v>
      </c>
      <c r="F84" s="23">
        <v>0.6</v>
      </c>
      <c r="AZ84" s="34" t="s">
        <v>195</v>
      </c>
      <c r="BA84" s="23">
        <v>2.0</v>
      </c>
      <c r="BB84" s="23">
        <v>672.0</v>
      </c>
      <c r="CA84" s="50">
        <v>46149.24729166667</v>
      </c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  <c r="CQ84" s="50"/>
      <c r="CR84" s="50"/>
      <c r="CS84" s="50"/>
      <c r="CT84" s="50"/>
      <c r="CU84" s="50"/>
      <c r="CV84" s="50"/>
      <c r="CW84" s="50"/>
      <c r="CX84" s="50"/>
      <c r="CY84" s="50"/>
      <c r="CZ84" s="50"/>
      <c r="DA84" s="50"/>
      <c r="DB84" s="50"/>
      <c r="DC84" s="50"/>
    </row>
    <row r="85">
      <c r="A85" s="23" t="s">
        <v>263</v>
      </c>
      <c r="B85" s="23">
        <v>2600.0</v>
      </c>
      <c r="C85" s="23">
        <v>0.0</v>
      </c>
      <c r="D85" s="29">
        <f t="shared" si="1"/>
        <v>1</v>
      </c>
      <c r="E85" s="23" t="s">
        <v>124</v>
      </c>
      <c r="F85" s="23">
        <v>0.03</v>
      </c>
      <c r="AH85" s="34" t="s">
        <v>81</v>
      </c>
      <c r="AI85" s="23">
        <v>1.0</v>
      </c>
      <c r="AJ85" s="23">
        <v>2472.0</v>
      </c>
      <c r="CA85" s="50">
        <v>46149.373773148145</v>
      </c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</row>
    <row r="86">
      <c r="A86" s="34" t="s">
        <v>264</v>
      </c>
      <c r="B86" s="23">
        <v>1300.0</v>
      </c>
      <c r="C86" s="23">
        <v>0.0</v>
      </c>
      <c r="D86" s="29">
        <f t="shared" si="1"/>
        <v>1</v>
      </c>
      <c r="E86" s="23" t="s">
        <v>143</v>
      </c>
      <c r="F86" s="23">
        <v>0.07</v>
      </c>
      <c r="P86" s="34" t="s">
        <v>4</v>
      </c>
      <c r="Q86" s="23">
        <v>1.0</v>
      </c>
      <c r="R86" s="23">
        <v>1211.0</v>
      </c>
      <c r="CA86" s="50">
        <v>46149.25202546296</v>
      </c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  <c r="CQ86" s="50"/>
      <c r="CR86" s="50"/>
      <c r="CS86" s="50"/>
      <c r="CT86" s="50"/>
      <c r="CU86" s="50"/>
      <c r="CV86" s="50"/>
      <c r="CW86" s="50"/>
      <c r="CX86" s="50"/>
      <c r="CY86" s="50"/>
      <c r="CZ86" s="50"/>
      <c r="DA86" s="50"/>
      <c r="DB86" s="50"/>
      <c r="DC86" s="50"/>
    </row>
    <row r="87">
      <c r="A87" s="23" t="s">
        <v>265</v>
      </c>
      <c r="B87" s="23">
        <v>900.0</v>
      </c>
      <c r="C87" s="23">
        <v>50.0</v>
      </c>
      <c r="D87" s="29">
        <f t="shared" si="1"/>
        <v>1</v>
      </c>
      <c r="E87" s="23" t="s">
        <v>143</v>
      </c>
      <c r="AZ87" s="34" t="s">
        <v>119</v>
      </c>
      <c r="BA87" s="23">
        <v>1.0</v>
      </c>
      <c r="BB87" s="23">
        <v>321.0</v>
      </c>
      <c r="CA87" s="50">
        <v>46079.16142361111</v>
      </c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  <c r="CQ87" s="50"/>
      <c r="CR87" s="50"/>
      <c r="CS87" s="50"/>
      <c r="CT87" s="50"/>
      <c r="CU87" s="50"/>
      <c r="CV87" s="50"/>
      <c r="CW87" s="50"/>
      <c r="CX87" s="50"/>
      <c r="CY87" s="50"/>
      <c r="CZ87" s="50"/>
      <c r="DA87" s="50"/>
      <c r="DB87" s="50"/>
      <c r="DC87" s="50"/>
    </row>
    <row r="88">
      <c r="A88" s="23" t="s">
        <v>266</v>
      </c>
      <c r="B88" s="23">
        <v>200.0</v>
      </c>
      <c r="C88" s="23">
        <v>49.0</v>
      </c>
      <c r="D88" s="29">
        <f t="shared" si="1"/>
        <v>1</v>
      </c>
      <c r="E88" s="23" t="s">
        <v>188</v>
      </c>
      <c r="F88" s="23">
        <v>0.35</v>
      </c>
      <c r="Y88" s="34" t="s">
        <v>25</v>
      </c>
      <c r="Z88" s="23">
        <v>1.0</v>
      </c>
      <c r="AA88" s="23">
        <v>70.0</v>
      </c>
      <c r="CA88" s="50">
        <v>46117.84556712963</v>
      </c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  <c r="CQ88" s="50"/>
      <c r="CR88" s="50"/>
      <c r="CS88" s="50"/>
      <c r="CT88" s="50"/>
      <c r="CU88" s="50"/>
      <c r="CV88" s="50"/>
      <c r="CW88" s="50"/>
      <c r="CX88" s="50"/>
      <c r="CY88" s="50"/>
      <c r="CZ88" s="50"/>
      <c r="DA88" s="50"/>
      <c r="DB88" s="50"/>
      <c r="DC88" s="50"/>
    </row>
    <row r="89">
      <c r="A89" s="23" t="s">
        <v>267</v>
      </c>
      <c r="B89" s="23">
        <v>200.0</v>
      </c>
      <c r="C89" s="23">
        <v>0.0</v>
      </c>
      <c r="D89" s="29">
        <f t="shared" si="1"/>
        <v>1</v>
      </c>
      <c r="E89" s="23" t="s">
        <v>143</v>
      </c>
      <c r="AZ89" s="34" t="s">
        <v>119</v>
      </c>
      <c r="BA89" s="23">
        <v>1.0</v>
      </c>
      <c r="BB89" s="23">
        <v>73.0</v>
      </c>
      <c r="CA89" s="50">
        <v>46124.573530092595</v>
      </c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  <c r="CQ89" s="50"/>
      <c r="CR89" s="50"/>
      <c r="CS89" s="50"/>
      <c r="CT89" s="50"/>
      <c r="CU89" s="50"/>
      <c r="CV89" s="50"/>
      <c r="CW89" s="50"/>
      <c r="CX89" s="50"/>
      <c r="CY89" s="50"/>
      <c r="CZ89" s="50"/>
      <c r="DA89" s="50"/>
      <c r="DB89" s="50"/>
      <c r="DC89" s="50"/>
    </row>
    <row r="90">
      <c r="A90" s="23" t="s">
        <v>268</v>
      </c>
      <c r="B90" s="23">
        <v>200.0</v>
      </c>
      <c r="C90" s="23">
        <v>79.0</v>
      </c>
      <c r="D90" s="29">
        <f t="shared" si="1"/>
        <v>1</v>
      </c>
      <c r="E90" s="23" t="s">
        <v>143</v>
      </c>
      <c r="AQ90" s="34" t="s">
        <v>134</v>
      </c>
      <c r="AR90" s="23">
        <v>3.0</v>
      </c>
      <c r="AS90" s="23">
        <v>22.0</v>
      </c>
      <c r="CA90" s="50">
        <v>46152.56929398148</v>
      </c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  <c r="CQ90" s="50"/>
      <c r="CR90" s="50"/>
      <c r="CS90" s="50"/>
      <c r="CT90" s="50"/>
      <c r="CU90" s="50"/>
      <c r="CV90" s="50"/>
      <c r="CW90" s="50"/>
      <c r="CX90" s="50"/>
      <c r="CY90" s="50"/>
      <c r="CZ90" s="50"/>
      <c r="DA90" s="50"/>
      <c r="DB90" s="50"/>
      <c r="DC90" s="50"/>
    </row>
    <row r="91">
      <c r="A91" s="23" t="s">
        <v>269</v>
      </c>
      <c r="B91" s="23">
        <v>200.0</v>
      </c>
      <c r="C91" s="23">
        <v>14.0</v>
      </c>
      <c r="D91" s="29">
        <f t="shared" si="1"/>
        <v>1</v>
      </c>
      <c r="E91" s="23" t="s">
        <v>185</v>
      </c>
      <c r="F91" s="23">
        <v>0.09</v>
      </c>
      <c r="P91" s="34" t="s">
        <v>4</v>
      </c>
      <c r="Q91" s="23">
        <v>1.0</v>
      </c>
      <c r="R91" s="23">
        <v>169.0</v>
      </c>
      <c r="CA91" s="50">
        <v>46157.10802083334</v>
      </c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0"/>
      <c r="CS91" s="50"/>
      <c r="CT91" s="50"/>
      <c r="CU91" s="50"/>
      <c r="CV91" s="50"/>
      <c r="CW91" s="50"/>
      <c r="CX91" s="50"/>
      <c r="CY91" s="50"/>
      <c r="CZ91" s="50"/>
      <c r="DA91" s="50"/>
      <c r="DB91" s="50"/>
      <c r="DC91" s="50"/>
    </row>
    <row r="92">
      <c r="A92" s="23" t="s">
        <v>270</v>
      </c>
      <c r="B92" s="23">
        <v>150.0</v>
      </c>
      <c r="C92" s="23">
        <v>75.0</v>
      </c>
      <c r="D92" s="29">
        <f t="shared" si="1"/>
        <v>1</v>
      </c>
      <c r="E92" s="23" t="s">
        <v>155</v>
      </c>
      <c r="F92" s="23">
        <v>0.24</v>
      </c>
      <c r="Y92" s="34" t="s">
        <v>25</v>
      </c>
      <c r="Z92" s="23">
        <v>3.0</v>
      </c>
      <c r="AA92" s="23">
        <v>23.0</v>
      </c>
      <c r="CA92" s="50">
        <v>46072.293078703704</v>
      </c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  <c r="CQ92" s="50"/>
      <c r="CR92" s="50"/>
      <c r="CS92" s="50"/>
      <c r="CT92" s="50"/>
      <c r="CU92" s="50"/>
      <c r="CV92" s="50"/>
      <c r="CW92" s="50"/>
      <c r="CX92" s="50"/>
      <c r="CY92" s="50"/>
      <c r="CZ92" s="50"/>
      <c r="DA92" s="50"/>
      <c r="DB92" s="50"/>
      <c r="DC92" s="50"/>
    </row>
    <row r="93">
      <c r="A93" s="23" t="s">
        <v>271</v>
      </c>
      <c r="B93" s="23">
        <v>150.0</v>
      </c>
      <c r="C93" s="23">
        <v>5.0</v>
      </c>
      <c r="D93" s="29">
        <f t="shared" si="1"/>
        <v>1</v>
      </c>
      <c r="E93" s="23" t="s">
        <v>188</v>
      </c>
      <c r="AH93" s="34" t="s">
        <v>81</v>
      </c>
      <c r="AI93" s="23">
        <v>1.0</v>
      </c>
      <c r="AJ93" s="23">
        <v>49.0</v>
      </c>
      <c r="CA93" s="50">
        <v>46122.51421296296</v>
      </c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  <c r="CQ93" s="50"/>
      <c r="CR93" s="50"/>
      <c r="CS93" s="50"/>
      <c r="CT93" s="50"/>
      <c r="CU93" s="50"/>
      <c r="CV93" s="50"/>
      <c r="CW93" s="50"/>
      <c r="CX93" s="50"/>
      <c r="CY93" s="50"/>
      <c r="CZ93" s="50"/>
      <c r="DA93" s="50"/>
      <c r="DB93" s="50"/>
      <c r="DC93" s="50"/>
    </row>
    <row r="94">
      <c r="A94" s="23" t="s">
        <v>272</v>
      </c>
      <c r="B94" s="23">
        <v>150.0</v>
      </c>
      <c r="C94" s="23">
        <v>75.0</v>
      </c>
      <c r="D94" s="29">
        <f t="shared" si="1"/>
        <v>1</v>
      </c>
      <c r="P94" s="34" t="s">
        <v>125</v>
      </c>
      <c r="Q94" s="23">
        <v>3.0</v>
      </c>
      <c r="R94" s="23">
        <v>16.0</v>
      </c>
      <c r="CA94" s="50">
        <v>46082.52782407407</v>
      </c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</row>
    <row r="95">
      <c r="A95" s="23" t="s">
        <v>273</v>
      </c>
      <c r="B95" s="23">
        <v>150.0</v>
      </c>
      <c r="C95" s="23">
        <v>65.0</v>
      </c>
      <c r="D95" s="29">
        <f t="shared" si="1"/>
        <v>1</v>
      </c>
      <c r="E95" s="23" t="s">
        <v>155</v>
      </c>
      <c r="F95" s="23">
        <v>1.36</v>
      </c>
      <c r="P95" s="34" t="s">
        <v>4</v>
      </c>
      <c r="Q95" s="23">
        <v>2.0</v>
      </c>
      <c r="R95" s="23">
        <v>35.0</v>
      </c>
      <c r="CA95" s="50">
        <v>46163.15738425926</v>
      </c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</row>
    <row r="96">
      <c r="A96" s="23" t="s">
        <v>274</v>
      </c>
      <c r="B96" s="23">
        <v>150.0</v>
      </c>
      <c r="C96" s="23">
        <v>1.0</v>
      </c>
      <c r="D96" s="29">
        <f t="shared" si="1"/>
        <v>1</v>
      </c>
      <c r="E96" s="23" t="s">
        <v>155</v>
      </c>
      <c r="AQ96" s="34" t="s">
        <v>214</v>
      </c>
      <c r="AR96" s="23">
        <v>1.0</v>
      </c>
      <c r="AS96" s="23">
        <v>107.0</v>
      </c>
      <c r="CA96" s="50">
        <v>46089.89853009259</v>
      </c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  <c r="CQ96" s="50"/>
      <c r="CR96" s="50"/>
      <c r="CS96" s="50"/>
      <c r="CT96" s="50"/>
      <c r="CU96" s="50"/>
      <c r="CV96" s="50"/>
      <c r="CW96" s="50"/>
      <c r="CX96" s="50"/>
      <c r="CY96" s="50"/>
      <c r="CZ96" s="50"/>
      <c r="DA96" s="50"/>
      <c r="DB96" s="50"/>
      <c r="DC96" s="50"/>
    </row>
    <row r="97">
      <c r="A97" s="23" t="s">
        <v>275</v>
      </c>
      <c r="B97" s="23">
        <v>150.0</v>
      </c>
      <c r="C97" s="23">
        <v>77.0</v>
      </c>
      <c r="D97" s="29">
        <f t="shared" si="1"/>
        <v>1</v>
      </c>
      <c r="E97" s="23" t="s">
        <v>155</v>
      </c>
      <c r="P97" s="34" t="s">
        <v>4</v>
      </c>
      <c r="Q97" s="23">
        <v>1.0</v>
      </c>
      <c r="R97" s="23">
        <v>77.0</v>
      </c>
      <c r="CA97" s="50">
        <v>46123.39202546296</v>
      </c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</row>
    <row r="98">
      <c r="A98" s="23" t="s">
        <v>276</v>
      </c>
      <c r="B98" s="23">
        <v>150.0</v>
      </c>
      <c r="C98" s="23">
        <v>67.0</v>
      </c>
      <c r="D98" s="29">
        <f t="shared" si="1"/>
        <v>1</v>
      </c>
      <c r="Y98" s="34" t="s">
        <v>25</v>
      </c>
      <c r="Z98" s="23">
        <v>1.0</v>
      </c>
      <c r="AA98" s="23">
        <v>120.0</v>
      </c>
      <c r="CA98" s="50">
        <v>46149.513969907406</v>
      </c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  <c r="CQ98" s="50"/>
      <c r="CR98" s="50"/>
      <c r="CS98" s="50"/>
      <c r="CT98" s="50"/>
      <c r="CU98" s="50"/>
      <c r="CV98" s="50"/>
      <c r="CW98" s="50"/>
      <c r="CX98" s="50"/>
      <c r="CY98" s="50"/>
      <c r="CZ98" s="50"/>
      <c r="DA98" s="50"/>
      <c r="DB98" s="50"/>
      <c r="DC98" s="50"/>
    </row>
    <row r="99">
      <c r="A99" s="23" t="s">
        <v>277</v>
      </c>
      <c r="B99" s="23">
        <v>150.0</v>
      </c>
      <c r="C99" s="23">
        <v>70.0</v>
      </c>
      <c r="D99" s="29">
        <f t="shared" si="1"/>
        <v>1</v>
      </c>
      <c r="E99" s="23" t="s">
        <v>278</v>
      </c>
      <c r="F99" s="23">
        <v>0.7</v>
      </c>
      <c r="Y99" s="34" t="s">
        <v>25</v>
      </c>
      <c r="Z99" s="23">
        <v>1.0</v>
      </c>
      <c r="AA99" s="23">
        <v>104.0</v>
      </c>
      <c r="CA99" s="50">
        <v>46100.589212962965</v>
      </c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</row>
    <row r="100">
      <c r="A100" s="23" t="s">
        <v>279</v>
      </c>
      <c r="B100" s="23">
        <v>150.0</v>
      </c>
      <c r="C100" s="23">
        <v>0.0</v>
      </c>
      <c r="D100" s="29">
        <f t="shared" si="1"/>
        <v>1</v>
      </c>
      <c r="E100" s="23" t="s">
        <v>185</v>
      </c>
      <c r="F100" s="23">
        <v>7.47</v>
      </c>
      <c r="P100" s="34" t="s">
        <v>4</v>
      </c>
      <c r="Q100" s="23">
        <v>1.0</v>
      </c>
      <c r="R100" s="23">
        <v>46.0</v>
      </c>
      <c r="CA100" s="50">
        <v>46149.46789351852</v>
      </c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  <c r="CQ100" s="50"/>
      <c r="CR100" s="50"/>
      <c r="CS100" s="50"/>
      <c r="CT100" s="50"/>
      <c r="CU100" s="50"/>
      <c r="CV100" s="50"/>
      <c r="CW100" s="50"/>
      <c r="CX100" s="50"/>
      <c r="CY100" s="50"/>
      <c r="CZ100" s="50"/>
      <c r="DA100" s="50"/>
      <c r="DB100" s="50"/>
      <c r="DC100" s="50"/>
    </row>
    <row r="101">
      <c r="A101" s="23" t="s">
        <v>280</v>
      </c>
      <c r="B101" s="23">
        <v>150.0</v>
      </c>
      <c r="C101" s="23">
        <v>0.0</v>
      </c>
      <c r="D101" s="29">
        <f t="shared" si="1"/>
        <v>1</v>
      </c>
      <c r="E101" s="23" t="s">
        <v>281</v>
      </c>
      <c r="P101" s="34" t="s">
        <v>282</v>
      </c>
      <c r="Q101" s="23">
        <v>1.0</v>
      </c>
      <c r="R101" s="23">
        <v>63.0</v>
      </c>
      <c r="CA101" s="50">
        <v>46143.11436342593</v>
      </c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  <c r="CQ101" s="50"/>
      <c r="CR101" s="50"/>
      <c r="CS101" s="50"/>
      <c r="CT101" s="50"/>
      <c r="CU101" s="50"/>
      <c r="CV101" s="50"/>
      <c r="CW101" s="50"/>
      <c r="CX101" s="50"/>
      <c r="CY101" s="50"/>
      <c r="CZ101" s="50"/>
      <c r="DA101" s="50"/>
      <c r="DB101" s="50"/>
      <c r="DC101" s="50"/>
    </row>
    <row r="102">
      <c r="A102" s="23" t="s">
        <v>283</v>
      </c>
      <c r="B102" s="23">
        <v>150.0</v>
      </c>
      <c r="C102" s="23">
        <v>41.0</v>
      </c>
      <c r="D102" s="29">
        <f t="shared" si="1"/>
        <v>1</v>
      </c>
      <c r="E102" s="23" t="s">
        <v>185</v>
      </c>
      <c r="Y102" s="34" t="s">
        <v>25</v>
      </c>
      <c r="Z102" s="23">
        <v>1.0</v>
      </c>
      <c r="AA102" s="23">
        <v>128.0</v>
      </c>
      <c r="CA102" s="50">
        <v>46123.82780092592</v>
      </c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  <c r="CQ102" s="50"/>
      <c r="CR102" s="50"/>
      <c r="CS102" s="50"/>
      <c r="CT102" s="50"/>
      <c r="CU102" s="50"/>
      <c r="CV102" s="50"/>
      <c r="CW102" s="50"/>
      <c r="CX102" s="50"/>
      <c r="CY102" s="50"/>
      <c r="CZ102" s="50"/>
      <c r="DA102" s="50"/>
      <c r="DB102" s="50"/>
      <c r="DC102" s="50"/>
    </row>
    <row r="103">
      <c r="A103" s="23" t="s">
        <v>284</v>
      </c>
      <c r="B103" s="23">
        <v>150.0</v>
      </c>
      <c r="C103" s="23">
        <v>72.0</v>
      </c>
      <c r="D103" s="29">
        <f t="shared" si="1"/>
        <v>1</v>
      </c>
      <c r="F103" s="23">
        <v>0.59</v>
      </c>
      <c r="P103" s="34" t="s">
        <v>4</v>
      </c>
      <c r="Q103" s="23">
        <v>3.0</v>
      </c>
      <c r="R103" s="23">
        <v>22.0</v>
      </c>
      <c r="CA103" s="50">
        <v>46162.12048611111</v>
      </c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</row>
    <row r="104">
      <c r="A104" s="23" t="s">
        <v>285</v>
      </c>
      <c r="B104" s="23">
        <v>150.0</v>
      </c>
      <c r="C104" s="23">
        <v>0.0</v>
      </c>
      <c r="D104" s="29">
        <f t="shared" si="1"/>
        <v>1</v>
      </c>
      <c r="E104" s="23" t="s">
        <v>143</v>
      </c>
      <c r="AQ104" s="34" t="s">
        <v>114</v>
      </c>
      <c r="AR104" s="23">
        <v>1.0</v>
      </c>
      <c r="AS104" s="23">
        <v>43.0</v>
      </c>
      <c r="CA104" s="50">
        <v>46106.44325231481</v>
      </c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  <c r="CQ104" s="50"/>
      <c r="CR104" s="50"/>
      <c r="CS104" s="50"/>
      <c r="CT104" s="50"/>
      <c r="CU104" s="50"/>
      <c r="CV104" s="50"/>
      <c r="CW104" s="50"/>
      <c r="CX104" s="50"/>
      <c r="CY104" s="50"/>
      <c r="CZ104" s="50"/>
      <c r="DA104" s="50"/>
      <c r="DB104" s="50"/>
      <c r="DC104" s="50"/>
    </row>
    <row r="105">
      <c r="A105" s="23" t="s">
        <v>286</v>
      </c>
      <c r="B105" s="23">
        <v>150.0</v>
      </c>
      <c r="C105" s="23">
        <v>42.0</v>
      </c>
      <c r="D105" s="29">
        <f t="shared" si="1"/>
        <v>1</v>
      </c>
      <c r="E105" s="23" t="s">
        <v>185</v>
      </c>
      <c r="Y105" s="34" t="s">
        <v>25</v>
      </c>
      <c r="Z105" s="23">
        <v>1.0</v>
      </c>
      <c r="AA105" s="23">
        <v>97.0</v>
      </c>
      <c r="CA105" s="50">
        <v>46131.636342592596</v>
      </c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  <c r="CQ105" s="50"/>
      <c r="CR105" s="50"/>
      <c r="CS105" s="50"/>
      <c r="CT105" s="50"/>
      <c r="CU105" s="50"/>
      <c r="CV105" s="50"/>
      <c r="CW105" s="50"/>
      <c r="CX105" s="50"/>
      <c r="CY105" s="50"/>
      <c r="CZ105" s="50"/>
      <c r="DA105" s="50"/>
      <c r="DB105" s="50"/>
      <c r="DC105" s="50"/>
    </row>
    <row r="106">
      <c r="A106" s="23" t="s">
        <v>287</v>
      </c>
      <c r="B106" s="23">
        <v>150.0</v>
      </c>
      <c r="C106" s="23">
        <v>82.0</v>
      </c>
      <c r="D106" s="29">
        <f t="shared" si="1"/>
        <v>1</v>
      </c>
      <c r="E106" s="23" t="s">
        <v>155</v>
      </c>
      <c r="P106" s="34" t="s">
        <v>4</v>
      </c>
      <c r="Q106" s="23">
        <v>5.0</v>
      </c>
      <c r="R106" s="23">
        <v>10.0</v>
      </c>
      <c r="CA106" s="50">
        <v>46090.17050925926</v>
      </c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  <c r="CQ106" s="50"/>
      <c r="CR106" s="50"/>
      <c r="CS106" s="50"/>
      <c r="CT106" s="50"/>
      <c r="CU106" s="50"/>
      <c r="CV106" s="50"/>
      <c r="CW106" s="50"/>
      <c r="CX106" s="50"/>
      <c r="CY106" s="50"/>
      <c r="CZ106" s="50"/>
      <c r="DA106" s="50"/>
      <c r="DB106" s="50"/>
      <c r="DC106" s="50"/>
    </row>
    <row r="107">
      <c r="A107" s="23" t="s">
        <v>288</v>
      </c>
      <c r="B107" s="23">
        <v>100.0</v>
      </c>
      <c r="C107" s="23">
        <v>81.0</v>
      </c>
      <c r="D107" s="29">
        <f t="shared" si="1"/>
        <v>1</v>
      </c>
      <c r="E107" s="23" t="s">
        <v>221</v>
      </c>
      <c r="AQ107" s="34" t="s">
        <v>134</v>
      </c>
      <c r="AR107" s="23">
        <v>6.0</v>
      </c>
      <c r="AS107" s="23">
        <v>7.0</v>
      </c>
      <c r="CA107" s="50">
        <v>46100.86599537037</v>
      </c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  <c r="CQ107" s="50"/>
      <c r="CR107" s="50"/>
      <c r="CS107" s="50"/>
      <c r="CT107" s="50"/>
      <c r="CU107" s="50"/>
      <c r="CV107" s="50"/>
      <c r="CW107" s="50"/>
      <c r="CX107" s="50"/>
      <c r="CY107" s="50"/>
      <c r="CZ107" s="50"/>
      <c r="DA107" s="50"/>
      <c r="DB107" s="50"/>
      <c r="DC107" s="50"/>
    </row>
    <row r="108">
      <c r="A108" s="23" t="s">
        <v>289</v>
      </c>
      <c r="B108" s="23">
        <v>100.0</v>
      </c>
      <c r="C108" s="23">
        <v>0.0</v>
      </c>
      <c r="D108" s="29">
        <f t="shared" si="1"/>
        <v>1</v>
      </c>
      <c r="E108" s="23" t="s">
        <v>143</v>
      </c>
      <c r="AQ108" s="34" t="s">
        <v>114</v>
      </c>
      <c r="AR108" s="23">
        <v>1.0</v>
      </c>
      <c r="AS108" s="23">
        <v>41.0</v>
      </c>
      <c r="CA108" s="50">
        <v>46124.201585648145</v>
      </c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  <c r="CQ108" s="50"/>
      <c r="CR108" s="50"/>
      <c r="CS108" s="50"/>
      <c r="CT108" s="50"/>
      <c r="CU108" s="50"/>
      <c r="CV108" s="50"/>
      <c r="CW108" s="50"/>
      <c r="CX108" s="50"/>
      <c r="CY108" s="50"/>
      <c r="CZ108" s="50"/>
      <c r="DA108" s="50"/>
      <c r="DB108" s="50"/>
      <c r="DC108" s="50"/>
    </row>
    <row r="109">
      <c r="A109" s="23" t="s">
        <v>290</v>
      </c>
      <c r="B109" s="23">
        <v>100.0</v>
      </c>
      <c r="C109" s="23">
        <v>0.0</v>
      </c>
      <c r="D109" s="29">
        <f t="shared" si="1"/>
        <v>1</v>
      </c>
      <c r="E109" s="23" t="s">
        <v>143</v>
      </c>
      <c r="P109" s="34" t="s">
        <v>4</v>
      </c>
      <c r="Q109" s="23">
        <v>1.0</v>
      </c>
      <c r="R109" s="23">
        <v>96.0</v>
      </c>
      <c r="CA109" s="50">
        <v>46155.48082175926</v>
      </c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  <c r="CQ109" s="50"/>
      <c r="CR109" s="50"/>
      <c r="CS109" s="50"/>
      <c r="CT109" s="50"/>
      <c r="CU109" s="50"/>
      <c r="CV109" s="50"/>
      <c r="CW109" s="50"/>
      <c r="CX109" s="50"/>
      <c r="CY109" s="50"/>
      <c r="CZ109" s="50"/>
      <c r="DA109" s="50"/>
      <c r="DB109" s="50"/>
      <c r="DC109" s="50"/>
    </row>
    <row r="110">
      <c r="A110" s="23" t="s">
        <v>291</v>
      </c>
      <c r="B110" s="23">
        <v>100.0</v>
      </c>
      <c r="C110" s="23">
        <v>21.0</v>
      </c>
      <c r="D110" s="29">
        <f t="shared" si="1"/>
        <v>1</v>
      </c>
      <c r="E110" s="23" t="s">
        <v>226</v>
      </c>
      <c r="P110" s="34" t="s">
        <v>4</v>
      </c>
      <c r="Q110" s="23">
        <v>7.0</v>
      </c>
      <c r="R110" s="23">
        <v>5.0</v>
      </c>
      <c r="CA110" s="50">
        <v>46122.70233796296</v>
      </c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  <c r="CQ110" s="50"/>
      <c r="CR110" s="50"/>
      <c r="CS110" s="50"/>
      <c r="CT110" s="50"/>
      <c r="CU110" s="50"/>
      <c r="CV110" s="50"/>
      <c r="CW110" s="50"/>
      <c r="CX110" s="50"/>
      <c r="CY110" s="50"/>
      <c r="CZ110" s="50"/>
      <c r="DA110" s="50"/>
      <c r="DB110" s="50"/>
      <c r="DC110" s="50"/>
    </row>
    <row r="111">
      <c r="A111" s="23" t="s">
        <v>292</v>
      </c>
      <c r="B111" s="23">
        <v>100.0</v>
      </c>
      <c r="C111" s="23">
        <v>24.0</v>
      </c>
      <c r="D111" s="29">
        <f t="shared" si="1"/>
        <v>1</v>
      </c>
      <c r="E111" s="23" t="s">
        <v>293</v>
      </c>
      <c r="P111" s="34" t="s">
        <v>4</v>
      </c>
      <c r="Q111" s="23">
        <v>1.0</v>
      </c>
      <c r="R111" s="23">
        <v>36.0</v>
      </c>
      <c r="CA111" s="50">
        <v>46090.056967592594</v>
      </c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  <c r="CQ111" s="50"/>
      <c r="CR111" s="50"/>
      <c r="CS111" s="50"/>
      <c r="CT111" s="50"/>
      <c r="CU111" s="50"/>
      <c r="CV111" s="50"/>
      <c r="CW111" s="50"/>
      <c r="CX111" s="50"/>
      <c r="CY111" s="50"/>
      <c r="CZ111" s="50"/>
      <c r="DA111" s="50"/>
      <c r="DB111" s="50"/>
      <c r="DC111" s="50"/>
    </row>
    <row r="112">
      <c r="A112" s="23" t="s">
        <v>294</v>
      </c>
      <c r="B112" s="23">
        <v>100.0</v>
      </c>
      <c r="C112" s="23">
        <v>4.0</v>
      </c>
      <c r="D112" s="29">
        <f t="shared" si="1"/>
        <v>1</v>
      </c>
      <c r="E112" s="23" t="s">
        <v>295</v>
      </c>
      <c r="F112" s="23">
        <v>1.45</v>
      </c>
      <c r="P112" s="34" t="s">
        <v>4</v>
      </c>
      <c r="Q112" s="23">
        <v>1.0</v>
      </c>
      <c r="R112" s="23">
        <v>38.0</v>
      </c>
      <c r="CA112" s="50">
        <v>46077.42224537037</v>
      </c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  <c r="CQ112" s="50"/>
      <c r="CR112" s="50"/>
      <c r="CS112" s="50"/>
      <c r="CT112" s="50"/>
      <c r="CU112" s="50"/>
      <c r="CV112" s="50"/>
      <c r="CW112" s="50"/>
      <c r="CX112" s="50"/>
      <c r="CY112" s="50"/>
      <c r="CZ112" s="50"/>
      <c r="DA112" s="50"/>
      <c r="DB112" s="50"/>
      <c r="DC112" s="50"/>
    </row>
    <row r="113">
      <c r="A113" s="23" t="s">
        <v>296</v>
      </c>
      <c r="B113" s="23">
        <v>100.0</v>
      </c>
      <c r="C113" s="23">
        <v>2.0</v>
      </c>
      <c r="D113" s="29">
        <f t="shared" si="1"/>
        <v>1</v>
      </c>
      <c r="E113" s="23" t="s">
        <v>143</v>
      </c>
      <c r="F113" s="23">
        <v>1.58</v>
      </c>
      <c r="P113" s="34" t="s">
        <v>4</v>
      </c>
      <c r="Q113" s="23">
        <v>1.0</v>
      </c>
      <c r="R113" s="23">
        <v>106.0</v>
      </c>
      <c r="CA113" s="50">
        <v>46107.385092592594</v>
      </c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  <c r="CQ113" s="50"/>
      <c r="CR113" s="50"/>
      <c r="CS113" s="50"/>
      <c r="CT113" s="50"/>
      <c r="CU113" s="50"/>
      <c r="CV113" s="50"/>
      <c r="CW113" s="50"/>
      <c r="CX113" s="50"/>
      <c r="CY113" s="50"/>
      <c r="CZ113" s="50"/>
      <c r="DA113" s="50"/>
      <c r="DB113" s="50"/>
      <c r="DC113" s="50"/>
    </row>
    <row r="114">
      <c r="A114" s="23" t="s">
        <v>297</v>
      </c>
      <c r="B114" s="23">
        <v>100.0</v>
      </c>
      <c r="C114" s="23">
        <v>0.0</v>
      </c>
      <c r="D114" s="29">
        <f t="shared" si="1"/>
        <v>1</v>
      </c>
      <c r="E114" s="23" t="s">
        <v>188</v>
      </c>
      <c r="AH114" s="34" t="s">
        <v>81</v>
      </c>
      <c r="AI114" s="23">
        <v>1.0</v>
      </c>
      <c r="AJ114" s="23">
        <v>34.0</v>
      </c>
      <c r="CA114" s="50">
        <v>46147.25730324074</v>
      </c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  <c r="CQ114" s="50"/>
      <c r="CR114" s="50"/>
      <c r="CS114" s="50"/>
      <c r="CT114" s="50"/>
      <c r="CU114" s="50"/>
      <c r="CV114" s="50"/>
      <c r="CW114" s="50"/>
      <c r="CX114" s="50"/>
      <c r="CY114" s="50"/>
      <c r="CZ114" s="50"/>
      <c r="DA114" s="50"/>
      <c r="DB114" s="50"/>
      <c r="DC114" s="50"/>
    </row>
    <row r="115">
      <c r="A115" s="23" t="s">
        <v>298</v>
      </c>
      <c r="B115" s="23">
        <v>100.0</v>
      </c>
      <c r="C115" s="23">
        <v>76.0</v>
      </c>
      <c r="D115" s="29">
        <f t="shared" si="1"/>
        <v>1</v>
      </c>
      <c r="Y115" s="34" t="s">
        <v>25</v>
      </c>
      <c r="Z115" s="23">
        <v>3.0</v>
      </c>
      <c r="AA115" s="23">
        <v>28.0</v>
      </c>
      <c r="CA115" s="50">
        <v>46149.00409722222</v>
      </c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  <c r="CQ115" s="50"/>
      <c r="CR115" s="50"/>
      <c r="CS115" s="50"/>
      <c r="CT115" s="50"/>
      <c r="CU115" s="50"/>
      <c r="CV115" s="50"/>
      <c r="CW115" s="50"/>
      <c r="CX115" s="50"/>
      <c r="CY115" s="50"/>
      <c r="CZ115" s="50"/>
      <c r="DA115" s="50"/>
      <c r="DB115" s="50"/>
      <c r="DC115" s="50"/>
    </row>
    <row r="116">
      <c r="A116" s="23" t="s">
        <v>299</v>
      </c>
      <c r="B116" s="23">
        <v>100.0</v>
      </c>
      <c r="C116" s="23">
        <v>2.0</v>
      </c>
      <c r="D116" s="29">
        <f t="shared" si="1"/>
        <v>1</v>
      </c>
      <c r="E116" s="23" t="s">
        <v>185</v>
      </c>
      <c r="F116" s="23">
        <v>0.09</v>
      </c>
      <c r="P116" s="34" t="s">
        <v>4</v>
      </c>
      <c r="Q116" s="23">
        <v>1.0</v>
      </c>
      <c r="R116" s="23">
        <v>113.0</v>
      </c>
      <c r="CA116" s="50">
        <v>46146.27621527778</v>
      </c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  <c r="CQ116" s="50"/>
      <c r="CR116" s="50"/>
      <c r="CS116" s="50"/>
      <c r="CT116" s="50"/>
      <c r="CU116" s="50"/>
      <c r="CV116" s="50"/>
      <c r="CW116" s="50"/>
      <c r="CX116" s="50"/>
      <c r="CY116" s="50"/>
      <c r="CZ116" s="50"/>
      <c r="DA116" s="50"/>
      <c r="DB116" s="50"/>
      <c r="DC116" s="50"/>
    </row>
    <row r="117">
      <c r="A117" s="23" t="s">
        <v>300</v>
      </c>
      <c r="B117" s="23">
        <v>90.0</v>
      </c>
      <c r="C117" s="23">
        <v>42.0</v>
      </c>
      <c r="D117" s="29">
        <f t="shared" si="1"/>
        <v>1</v>
      </c>
      <c r="E117" s="23" t="s">
        <v>143</v>
      </c>
      <c r="F117" s="23">
        <v>0.56</v>
      </c>
      <c r="P117" s="34" t="s">
        <v>4</v>
      </c>
      <c r="Q117" s="23">
        <v>2.0</v>
      </c>
      <c r="R117" s="23">
        <v>13.0</v>
      </c>
      <c r="CA117" s="50">
        <v>46161.25515046297</v>
      </c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  <c r="CQ117" s="50"/>
      <c r="CR117" s="50"/>
      <c r="CS117" s="50"/>
      <c r="CT117" s="50"/>
      <c r="CU117" s="50"/>
      <c r="CV117" s="50"/>
      <c r="CW117" s="50"/>
      <c r="CX117" s="50"/>
      <c r="CY117" s="50"/>
      <c r="CZ117" s="50"/>
      <c r="DA117" s="50"/>
      <c r="DB117" s="50"/>
      <c r="DC117" s="50"/>
    </row>
    <row r="118">
      <c r="A118" s="23" t="s">
        <v>301</v>
      </c>
      <c r="B118" s="23">
        <v>90.0</v>
      </c>
      <c r="C118" s="23">
        <v>3.0</v>
      </c>
      <c r="D118" s="29">
        <f t="shared" si="1"/>
        <v>1</v>
      </c>
      <c r="E118" s="23" t="s">
        <v>302</v>
      </c>
      <c r="F118" s="23">
        <v>0.94</v>
      </c>
      <c r="P118" s="34" t="s">
        <v>4</v>
      </c>
      <c r="Q118" s="23">
        <v>1.0</v>
      </c>
      <c r="R118" s="23">
        <v>32.0</v>
      </c>
      <c r="CA118" s="50">
        <v>46082.695381944446</v>
      </c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  <c r="CQ118" s="50"/>
      <c r="CR118" s="50"/>
      <c r="CS118" s="50"/>
      <c r="CT118" s="50"/>
      <c r="CU118" s="50"/>
      <c r="CV118" s="50"/>
      <c r="CW118" s="50"/>
      <c r="CX118" s="50"/>
      <c r="CY118" s="50"/>
      <c r="CZ118" s="50"/>
      <c r="DA118" s="50"/>
      <c r="DB118" s="50"/>
      <c r="DC118" s="50"/>
    </row>
    <row r="119">
      <c r="A119" s="23" t="s">
        <v>303</v>
      </c>
      <c r="B119" s="23">
        <v>90.0</v>
      </c>
      <c r="C119" s="23">
        <v>87.0</v>
      </c>
      <c r="D119" s="29">
        <f t="shared" si="1"/>
        <v>1</v>
      </c>
      <c r="AZ119" s="34" t="s">
        <v>195</v>
      </c>
      <c r="BA119" s="23">
        <v>3.0</v>
      </c>
      <c r="BB119" s="23">
        <v>11.0</v>
      </c>
      <c r="CA119" s="50">
        <v>46075.91813657407</v>
      </c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  <c r="CQ119" s="50"/>
      <c r="CR119" s="50"/>
      <c r="CS119" s="50"/>
      <c r="CT119" s="50"/>
      <c r="CU119" s="50"/>
      <c r="CV119" s="50"/>
      <c r="CW119" s="50"/>
      <c r="CX119" s="50"/>
      <c r="CY119" s="50"/>
      <c r="CZ119" s="50"/>
      <c r="DA119" s="50"/>
      <c r="DB119" s="50"/>
      <c r="DC119" s="50"/>
    </row>
    <row r="120">
      <c r="A120" s="23" t="s">
        <v>304</v>
      </c>
      <c r="B120" s="23">
        <v>90.0</v>
      </c>
      <c r="C120" s="23">
        <v>0.0</v>
      </c>
      <c r="D120" s="29">
        <f t="shared" si="1"/>
        <v>1</v>
      </c>
      <c r="E120" s="23" t="s">
        <v>305</v>
      </c>
      <c r="AH120" s="34" t="s">
        <v>81</v>
      </c>
      <c r="AI120" s="23">
        <v>1.0</v>
      </c>
      <c r="AJ120" s="23">
        <v>97.0</v>
      </c>
      <c r="CA120" s="50">
        <v>46147.7221412037</v>
      </c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  <c r="CQ120" s="50"/>
      <c r="CR120" s="50"/>
      <c r="CS120" s="50"/>
      <c r="CT120" s="50"/>
      <c r="CU120" s="50"/>
      <c r="CV120" s="50"/>
      <c r="CW120" s="50"/>
      <c r="CX120" s="50"/>
      <c r="CY120" s="50"/>
      <c r="CZ120" s="50"/>
      <c r="DA120" s="50"/>
      <c r="DB120" s="50"/>
      <c r="DC120" s="50"/>
    </row>
    <row r="121">
      <c r="A121" s="23" t="s">
        <v>306</v>
      </c>
      <c r="B121" s="23">
        <v>90.0</v>
      </c>
      <c r="C121" s="23">
        <v>13.0</v>
      </c>
      <c r="D121" s="29">
        <f t="shared" si="1"/>
        <v>1</v>
      </c>
      <c r="E121" s="23" t="s">
        <v>307</v>
      </c>
      <c r="AH121" s="34" t="s">
        <v>81</v>
      </c>
      <c r="AI121" s="23">
        <v>1.0</v>
      </c>
      <c r="AJ121" s="23">
        <v>31.0</v>
      </c>
      <c r="CA121" s="50">
        <v>46125.687581018516</v>
      </c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  <c r="CP121" s="50"/>
      <c r="CQ121" s="50"/>
      <c r="CR121" s="50"/>
      <c r="CS121" s="50"/>
      <c r="CT121" s="50"/>
      <c r="CU121" s="50"/>
      <c r="CV121" s="50"/>
      <c r="CW121" s="50"/>
      <c r="CX121" s="50"/>
      <c r="CY121" s="50"/>
      <c r="CZ121" s="50"/>
      <c r="DA121" s="50"/>
      <c r="DB121" s="50"/>
      <c r="DC121" s="50"/>
    </row>
    <row r="122">
      <c r="A122" s="23" t="s">
        <v>308</v>
      </c>
      <c r="B122" s="23">
        <v>80.0</v>
      </c>
      <c r="C122" s="23">
        <v>3.0</v>
      </c>
      <c r="D122" s="29">
        <f t="shared" si="1"/>
        <v>1</v>
      </c>
      <c r="E122" s="23" t="s">
        <v>309</v>
      </c>
      <c r="P122" s="34" t="s">
        <v>4</v>
      </c>
      <c r="Q122" s="23">
        <v>1.0</v>
      </c>
      <c r="R122" s="23">
        <v>15.0</v>
      </c>
      <c r="CA122" s="50">
        <v>46100.62700231482</v>
      </c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  <c r="CQ122" s="50"/>
      <c r="CR122" s="50"/>
      <c r="CS122" s="50"/>
      <c r="CT122" s="50"/>
      <c r="CU122" s="50"/>
      <c r="CV122" s="50"/>
      <c r="CW122" s="50"/>
      <c r="CX122" s="50"/>
      <c r="CY122" s="50"/>
      <c r="CZ122" s="50"/>
      <c r="DA122" s="50"/>
      <c r="DB122" s="50"/>
      <c r="DC122" s="50"/>
    </row>
    <row r="123">
      <c r="A123" s="23" t="s">
        <v>310</v>
      </c>
      <c r="B123" s="23">
        <v>80.0</v>
      </c>
      <c r="C123" s="23">
        <v>0.0</v>
      </c>
      <c r="D123" s="29">
        <f t="shared" si="1"/>
        <v>1</v>
      </c>
      <c r="E123" s="23" t="s">
        <v>188</v>
      </c>
      <c r="AH123" s="34" t="s">
        <v>81</v>
      </c>
      <c r="AI123" s="23">
        <v>1.0</v>
      </c>
      <c r="AJ123" s="23">
        <v>30.0</v>
      </c>
      <c r="CA123" s="50">
        <v>46146.607141203705</v>
      </c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  <c r="CQ123" s="50"/>
      <c r="CR123" s="50"/>
      <c r="CS123" s="50"/>
      <c r="CT123" s="50"/>
      <c r="CU123" s="50"/>
      <c r="CV123" s="50"/>
      <c r="CW123" s="50"/>
      <c r="CX123" s="50"/>
      <c r="CY123" s="50"/>
      <c r="CZ123" s="50"/>
      <c r="DA123" s="50"/>
      <c r="DB123" s="50"/>
      <c r="DC123" s="50"/>
    </row>
    <row r="124">
      <c r="A124" s="23" t="s">
        <v>311</v>
      </c>
      <c r="B124" s="23">
        <v>80.0</v>
      </c>
      <c r="C124" s="23">
        <v>63.0</v>
      </c>
      <c r="D124" s="29">
        <f t="shared" si="1"/>
        <v>1</v>
      </c>
      <c r="E124" s="23" t="s">
        <v>146</v>
      </c>
      <c r="F124" s="23">
        <v>1.37</v>
      </c>
      <c r="P124" s="34" t="s">
        <v>4</v>
      </c>
      <c r="Q124" s="23">
        <v>1.0</v>
      </c>
      <c r="R124" s="23">
        <v>31.0</v>
      </c>
      <c r="CA124" s="50">
        <v>46147.80615740741</v>
      </c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  <c r="CQ124" s="50"/>
      <c r="CR124" s="50"/>
      <c r="CS124" s="50"/>
      <c r="CT124" s="50"/>
      <c r="CU124" s="50"/>
      <c r="CV124" s="50"/>
      <c r="CW124" s="50"/>
      <c r="CX124" s="50"/>
      <c r="CY124" s="50"/>
      <c r="CZ124" s="50"/>
      <c r="DA124" s="50"/>
      <c r="DB124" s="50"/>
      <c r="DC124" s="50"/>
    </row>
    <row r="125">
      <c r="A125" s="23" t="s">
        <v>312</v>
      </c>
      <c r="B125" s="23">
        <v>80.0</v>
      </c>
      <c r="C125" s="23">
        <v>22.0</v>
      </c>
      <c r="D125" s="29">
        <f t="shared" si="1"/>
        <v>1</v>
      </c>
      <c r="E125" s="23" t="s">
        <v>143</v>
      </c>
      <c r="P125" s="34" t="s">
        <v>4</v>
      </c>
      <c r="Q125" s="23">
        <v>1.0</v>
      </c>
      <c r="R125" s="23">
        <v>27.0</v>
      </c>
      <c r="CA125" s="50">
        <v>46163.15893518519</v>
      </c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  <c r="CQ125" s="50"/>
      <c r="CR125" s="50"/>
      <c r="CS125" s="50"/>
      <c r="CT125" s="50"/>
      <c r="CU125" s="50"/>
      <c r="CV125" s="50"/>
      <c r="CW125" s="50"/>
      <c r="CX125" s="50"/>
      <c r="CY125" s="50"/>
      <c r="CZ125" s="50"/>
      <c r="DA125" s="50"/>
      <c r="DB125" s="50"/>
      <c r="DC125" s="50"/>
    </row>
    <row r="126">
      <c r="A126" s="23" t="s">
        <v>313</v>
      </c>
      <c r="B126" s="23">
        <v>70.0</v>
      </c>
      <c r="C126" s="23">
        <v>2.0</v>
      </c>
      <c r="D126" s="29">
        <f t="shared" si="1"/>
        <v>1</v>
      </c>
      <c r="E126" s="23" t="s">
        <v>314</v>
      </c>
      <c r="P126" s="34" t="s">
        <v>4</v>
      </c>
      <c r="Q126" s="23">
        <v>1.0</v>
      </c>
      <c r="R126" s="23">
        <v>25.0</v>
      </c>
      <c r="CA126" s="50">
        <v>46122.44495370371</v>
      </c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  <c r="CQ126" s="50"/>
      <c r="CR126" s="50"/>
      <c r="CS126" s="50"/>
      <c r="CT126" s="50"/>
      <c r="CU126" s="50"/>
      <c r="CV126" s="50"/>
      <c r="CW126" s="50"/>
      <c r="CX126" s="50"/>
      <c r="CY126" s="50"/>
      <c r="CZ126" s="50"/>
      <c r="DA126" s="50"/>
      <c r="DB126" s="50"/>
      <c r="DC126" s="50"/>
    </row>
    <row r="127">
      <c r="A127" s="23" t="s">
        <v>315</v>
      </c>
      <c r="B127" s="23">
        <v>70.0</v>
      </c>
      <c r="C127" s="23">
        <v>0.0</v>
      </c>
      <c r="D127" s="29">
        <f t="shared" si="1"/>
        <v>1</v>
      </c>
      <c r="E127" s="23" t="s">
        <v>188</v>
      </c>
      <c r="P127" s="34" t="s">
        <v>4</v>
      </c>
      <c r="Q127" s="23">
        <v>1.0</v>
      </c>
      <c r="R127" s="23">
        <v>26.0</v>
      </c>
      <c r="CA127" s="50">
        <v>46145.15825231482</v>
      </c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  <c r="CQ127" s="50"/>
      <c r="CR127" s="50"/>
      <c r="CS127" s="50"/>
      <c r="CT127" s="50"/>
      <c r="CU127" s="50"/>
      <c r="CV127" s="50"/>
      <c r="CW127" s="50"/>
      <c r="CX127" s="50"/>
      <c r="CY127" s="50"/>
      <c r="CZ127" s="50"/>
      <c r="DA127" s="50"/>
      <c r="DB127" s="50"/>
      <c r="DC127" s="50"/>
    </row>
    <row r="128">
      <c r="A128" s="23" t="s">
        <v>316</v>
      </c>
      <c r="B128" s="23">
        <v>70.0</v>
      </c>
      <c r="C128" s="23">
        <v>31.0</v>
      </c>
      <c r="D128" s="29">
        <f t="shared" si="1"/>
        <v>1</v>
      </c>
      <c r="E128" s="23" t="s">
        <v>226</v>
      </c>
      <c r="F128" s="23">
        <v>0.73</v>
      </c>
      <c r="P128" s="34" t="s">
        <v>4</v>
      </c>
      <c r="Q128" s="23">
        <v>1.0</v>
      </c>
      <c r="R128" s="23">
        <v>25.0</v>
      </c>
      <c r="CA128" s="50">
        <v>46144.207291666666</v>
      </c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  <c r="CQ128" s="50"/>
      <c r="CR128" s="50"/>
      <c r="CS128" s="50"/>
      <c r="CT128" s="50"/>
      <c r="CU128" s="50"/>
      <c r="CV128" s="50"/>
      <c r="CW128" s="50"/>
      <c r="CX128" s="50"/>
      <c r="CY128" s="50"/>
      <c r="CZ128" s="50"/>
      <c r="DA128" s="50"/>
      <c r="DB128" s="50"/>
      <c r="DC128" s="50"/>
    </row>
    <row r="129">
      <c r="A129" s="23" t="s">
        <v>317</v>
      </c>
      <c r="B129" s="23">
        <v>70.0</v>
      </c>
      <c r="C129" s="23">
        <v>63.0</v>
      </c>
      <c r="D129" s="29">
        <f t="shared" si="1"/>
        <v>1</v>
      </c>
      <c r="E129" s="23" t="s">
        <v>188</v>
      </c>
      <c r="F129" s="23">
        <v>0.81</v>
      </c>
      <c r="AH129" s="34" t="s">
        <v>81</v>
      </c>
      <c r="AI129" s="23">
        <v>1.0</v>
      </c>
      <c r="AJ129" s="23">
        <v>42.0</v>
      </c>
      <c r="CA129" s="50">
        <v>46126.6094212963</v>
      </c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0"/>
      <c r="CQ129" s="50"/>
      <c r="CR129" s="50"/>
      <c r="CS129" s="50"/>
      <c r="CT129" s="50"/>
      <c r="CU129" s="50"/>
      <c r="CV129" s="50"/>
      <c r="CW129" s="50"/>
      <c r="CX129" s="50"/>
      <c r="CY129" s="50"/>
      <c r="CZ129" s="50"/>
      <c r="DA129" s="50"/>
      <c r="DB129" s="50"/>
      <c r="DC129" s="50"/>
    </row>
    <row r="130">
      <c r="A130" s="23" t="s">
        <v>318</v>
      </c>
      <c r="B130" s="23">
        <v>70.0</v>
      </c>
      <c r="C130" s="23">
        <v>26.0</v>
      </c>
      <c r="D130" s="29">
        <f t="shared" si="1"/>
        <v>1</v>
      </c>
      <c r="P130" s="34" t="s">
        <v>4</v>
      </c>
      <c r="Q130" s="23">
        <v>3.0</v>
      </c>
      <c r="R130" s="23">
        <v>8.0</v>
      </c>
      <c r="CA130" s="50">
        <v>46099.90355324074</v>
      </c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  <c r="CQ130" s="50"/>
      <c r="CR130" s="50"/>
      <c r="CS130" s="50"/>
      <c r="CT130" s="50"/>
      <c r="CU130" s="50"/>
      <c r="CV130" s="50"/>
      <c r="CW130" s="50"/>
      <c r="CX130" s="50"/>
      <c r="CY130" s="50"/>
      <c r="CZ130" s="50"/>
      <c r="DA130" s="50"/>
      <c r="DB130" s="50"/>
      <c r="DC130" s="50"/>
    </row>
    <row r="131">
      <c r="A131" s="23" t="s">
        <v>319</v>
      </c>
      <c r="B131" s="23">
        <v>70.0</v>
      </c>
      <c r="C131" s="23">
        <v>59.0</v>
      </c>
      <c r="D131" s="29">
        <f t="shared" si="1"/>
        <v>1</v>
      </c>
      <c r="E131" s="23" t="s">
        <v>188</v>
      </c>
      <c r="Y131" s="34" t="s">
        <v>25</v>
      </c>
      <c r="Z131" s="23">
        <v>1.0</v>
      </c>
      <c r="AA131" s="23">
        <v>25.0</v>
      </c>
      <c r="CA131" s="50">
        <v>46087.89585648148</v>
      </c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  <c r="CQ131" s="50"/>
      <c r="CR131" s="50"/>
      <c r="CS131" s="50"/>
      <c r="CT131" s="50"/>
      <c r="CU131" s="50"/>
      <c r="CV131" s="50"/>
      <c r="CW131" s="50"/>
      <c r="CX131" s="50"/>
      <c r="CY131" s="50"/>
      <c r="CZ131" s="50"/>
      <c r="DA131" s="50"/>
      <c r="DB131" s="50"/>
      <c r="DC131" s="50"/>
    </row>
    <row r="132">
      <c r="A132" s="23" t="s">
        <v>320</v>
      </c>
      <c r="B132" s="23">
        <v>70.0</v>
      </c>
      <c r="C132" s="23">
        <v>3.0</v>
      </c>
      <c r="D132" s="29">
        <f t="shared" si="1"/>
        <v>1</v>
      </c>
      <c r="E132" s="23" t="s">
        <v>188</v>
      </c>
      <c r="AZ132" s="34" t="s">
        <v>119</v>
      </c>
      <c r="BA132" s="23">
        <v>1.0</v>
      </c>
      <c r="BB132" s="23">
        <v>25.0</v>
      </c>
      <c r="CA132" s="50">
        <v>46123.887824074074</v>
      </c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  <c r="CQ132" s="50"/>
      <c r="CR132" s="50"/>
      <c r="CS132" s="50"/>
      <c r="CT132" s="50"/>
      <c r="CU132" s="50"/>
      <c r="CV132" s="50"/>
      <c r="CW132" s="50"/>
      <c r="CX132" s="50"/>
      <c r="CY132" s="50"/>
      <c r="CZ132" s="50"/>
      <c r="DA132" s="50"/>
      <c r="DB132" s="50"/>
      <c r="DC132" s="50"/>
    </row>
    <row r="133">
      <c r="A133" s="23" t="s">
        <v>321</v>
      </c>
      <c r="B133" s="23">
        <v>70.0</v>
      </c>
      <c r="C133" s="23">
        <v>2.0</v>
      </c>
      <c r="D133" s="29">
        <f t="shared" si="1"/>
        <v>1</v>
      </c>
      <c r="E133" s="23" t="s">
        <v>143</v>
      </c>
      <c r="P133" s="34" t="s">
        <v>4</v>
      </c>
      <c r="Q133" s="23">
        <v>1.0</v>
      </c>
      <c r="R133" s="23">
        <v>25.0</v>
      </c>
      <c r="CA133" s="50">
        <v>46124.04162037037</v>
      </c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  <c r="CQ133" s="50"/>
      <c r="CR133" s="50"/>
      <c r="CS133" s="50"/>
      <c r="CT133" s="50"/>
      <c r="CU133" s="50"/>
      <c r="CV133" s="50"/>
      <c r="CW133" s="50"/>
      <c r="CX133" s="50"/>
      <c r="CY133" s="50"/>
      <c r="CZ133" s="50"/>
      <c r="DA133" s="50"/>
      <c r="DB133" s="50"/>
      <c r="DC133" s="50"/>
    </row>
    <row r="134">
      <c r="A134" s="23" t="s">
        <v>322</v>
      </c>
      <c r="B134" s="23">
        <v>60.0</v>
      </c>
      <c r="C134" s="23">
        <v>65.0</v>
      </c>
      <c r="D134" s="29">
        <f t="shared" si="1"/>
        <v>1</v>
      </c>
      <c r="E134" s="23" t="s">
        <v>323</v>
      </c>
      <c r="P134" s="34" t="s">
        <v>4</v>
      </c>
      <c r="Q134" s="23">
        <v>3.0</v>
      </c>
      <c r="R134" s="23">
        <v>13.0</v>
      </c>
      <c r="CA134" s="50">
        <v>46161.422268518516</v>
      </c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  <c r="CQ134" s="50"/>
      <c r="CR134" s="50"/>
      <c r="CS134" s="50"/>
      <c r="CT134" s="50"/>
      <c r="CU134" s="50"/>
      <c r="CV134" s="50"/>
      <c r="CW134" s="50"/>
      <c r="CX134" s="50"/>
      <c r="CY134" s="50"/>
      <c r="CZ134" s="50"/>
      <c r="DA134" s="50"/>
      <c r="DB134" s="50"/>
      <c r="DC134" s="50"/>
    </row>
    <row r="135">
      <c r="A135" s="23" t="s">
        <v>324</v>
      </c>
      <c r="B135" s="23">
        <v>60.0</v>
      </c>
      <c r="C135" s="23">
        <v>82.0</v>
      </c>
      <c r="D135" s="29">
        <f t="shared" si="1"/>
        <v>1</v>
      </c>
      <c r="E135" s="23" t="s">
        <v>155</v>
      </c>
      <c r="Y135" s="34" t="s">
        <v>25</v>
      </c>
      <c r="Z135" s="23">
        <v>4.0</v>
      </c>
      <c r="AA135" s="23">
        <v>9.0</v>
      </c>
      <c r="CA135" s="50">
        <v>46144.66819444444</v>
      </c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  <c r="CQ135" s="50"/>
      <c r="CR135" s="50"/>
      <c r="CS135" s="50"/>
      <c r="CT135" s="50"/>
      <c r="CU135" s="50"/>
      <c r="CV135" s="50"/>
      <c r="CW135" s="50"/>
      <c r="CX135" s="50"/>
      <c r="CY135" s="50"/>
      <c r="CZ135" s="50"/>
      <c r="DA135" s="50"/>
      <c r="DB135" s="50"/>
      <c r="DC135" s="50"/>
    </row>
    <row r="136">
      <c r="A136" s="23" t="s">
        <v>325</v>
      </c>
      <c r="B136" s="23">
        <v>60.0</v>
      </c>
      <c r="C136" s="23">
        <v>0.0</v>
      </c>
      <c r="D136" s="29">
        <f t="shared" si="1"/>
        <v>1</v>
      </c>
      <c r="E136" s="23" t="s">
        <v>326</v>
      </c>
      <c r="AZ136" s="34" t="s">
        <v>119</v>
      </c>
      <c r="BA136" s="23">
        <v>1.0</v>
      </c>
      <c r="BB136" s="23">
        <v>40.0</v>
      </c>
      <c r="CA136" s="50">
        <v>46143.54240740741</v>
      </c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  <c r="CQ136" s="50"/>
      <c r="CR136" s="50"/>
      <c r="CS136" s="50"/>
      <c r="CT136" s="50"/>
      <c r="CU136" s="50"/>
      <c r="CV136" s="50"/>
      <c r="CW136" s="50"/>
      <c r="CX136" s="50"/>
      <c r="CY136" s="50"/>
      <c r="CZ136" s="50"/>
      <c r="DA136" s="50"/>
      <c r="DB136" s="50"/>
      <c r="DC136" s="50"/>
    </row>
    <row r="137">
      <c r="A137" s="23" t="s">
        <v>327</v>
      </c>
      <c r="B137" s="23">
        <v>60.0</v>
      </c>
      <c r="C137" s="23">
        <v>79.0</v>
      </c>
      <c r="D137" s="29">
        <f t="shared" si="1"/>
        <v>1</v>
      </c>
      <c r="E137" s="23" t="s">
        <v>221</v>
      </c>
      <c r="AQ137" s="34" t="s">
        <v>134</v>
      </c>
      <c r="AR137" s="23">
        <v>7.0</v>
      </c>
      <c r="AS137" s="23">
        <v>3.0</v>
      </c>
      <c r="CA137" s="50">
        <v>46142.388344907406</v>
      </c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  <c r="CQ137" s="50"/>
      <c r="CR137" s="50"/>
      <c r="CS137" s="50"/>
      <c r="CT137" s="50"/>
      <c r="CU137" s="50"/>
      <c r="CV137" s="50"/>
      <c r="CW137" s="50"/>
      <c r="CX137" s="50"/>
      <c r="CY137" s="50"/>
      <c r="CZ137" s="50"/>
      <c r="DA137" s="50"/>
      <c r="DB137" s="50"/>
      <c r="DC137" s="50"/>
    </row>
    <row r="138">
      <c r="A138" s="23" t="s">
        <v>328</v>
      </c>
      <c r="B138" s="23">
        <v>60.0</v>
      </c>
      <c r="C138" s="23">
        <v>1.0</v>
      </c>
      <c r="D138" s="29">
        <f t="shared" si="1"/>
        <v>1</v>
      </c>
      <c r="E138" s="23" t="s">
        <v>155</v>
      </c>
      <c r="P138" s="34" t="s">
        <v>329</v>
      </c>
      <c r="Q138" s="23">
        <v>1.0</v>
      </c>
      <c r="R138" s="23">
        <v>15.0</v>
      </c>
      <c r="CA138" s="50">
        <v>46161.0391087963</v>
      </c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  <c r="CQ138" s="50"/>
      <c r="CR138" s="50"/>
      <c r="CS138" s="50"/>
      <c r="CT138" s="50"/>
      <c r="CU138" s="50"/>
      <c r="CV138" s="50"/>
      <c r="CW138" s="50"/>
      <c r="CX138" s="50"/>
      <c r="CY138" s="50"/>
      <c r="CZ138" s="50"/>
      <c r="DA138" s="50"/>
      <c r="DB138" s="50"/>
      <c r="DC138" s="50"/>
    </row>
    <row r="139">
      <c r="A139" s="23" t="s">
        <v>330</v>
      </c>
      <c r="B139" s="23">
        <v>60.0</v>
      </c>
      <c r="C139" s="23">
        <v>86.0</v>
      </c>
      <c r="D139" s="29">
        <f t="shared" si="1"/>
        <v>1</v>
      </c>
      <c r="F139" s="23">
        <v>1.32</v>
      </c>
      <c r="AZ139" s="34" t="s">
        <v>195</v>
      </c>
      <c r="BA139" s="23">
        <v>4.0</v>
      </c>
      <c r="BB139" s="23">
        <v>6.0</v>
      </c>
      <c r="CA139" s="50">
        <v>46125.58221064815</v>
      </c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  <c r="CQ139" s="50"/>
      <c r="CR139" s="50"/>
      <c r="CS139" s="50"/>
      <c r="CT139" s="50"/>
      <c r="CU139" s="50"/>
      <c r="CV139" s="50"/>
      <c r="CW139" s="50"/>
      <c r="CX139" s="50"/>
      <c r="CY139" s="50"/>
      <c r="CZ139" s="50"/>
      <c r="DA139" s="50"/>
      <c r="DB139" s="50"/>
      <c r="DC139" s="50"/>
    </row>
    <row r="140">
      <c r="A140" s="23" t="s">
        <v>331</v>
      </c>
      <c r="B140" s="23">
        <v>60.0</v>
      </c>
      <c r="C140" s="23">
        <v>65.0</v>
      </c>
      <c r="D140" s="29">
        <f t="shared" si="1"/>
        <v>1</v>
      </c>
      <c r="E140" s="23" t="s">
        <v>155</v>
      </c>
      <c r="F140" s="23">
        <v>1.03</v>
      </c>
      <c r="Y140" s="34" t="s">
        <v>25</v>
      </c>
      <c r="Z140" s="23">
        <v>1.0</v>
      </c>
      <c r="AA140" s="23">
        <v>38.0</v>
      </c>
      <c r="CA140" s="50">
        <v>46141.88193287037</v>
      </c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  <c r="CQ140" s="50"/>
      <c r="CR140" s="50"/>
      <c r="CS140" s="50"/>
      <c r="CT140" s="50"/>
      <c r="CU140" s="50"/>
      <c r="CV140" s="50"/>
      <c r="CW140" s="50"/>
      <c r="CX140" s="50"/>
      <c r="CY140" s="50"/>
      <c r="CZ140" s="50"/>
      <c r="DA140" s="50"/>
      <c r="DB140" s="50"/>
      <c r="DC140" s="50"/>
    </row>
    <row r="141">
      <c r="A141" s="23" t="s">
        <v>332</v>
      </c>
      <c r="B141" s="23">
        <v>50.0</v>
      </c>
      <c r="C141" s="23">
        <v>0.0</v>
      </c>
      <c r="D141" s="29">
        <f t="shared" si="1"/>
        <v>1</v>
      </c>
      <c r="E141" s="23" t="s">
        <v>155</v>
      </c>
      <c r="P141" s="34" t="s">
        <v>333</v>
      </c>
      <c r="Q141" s="23">
        <v>1.0</v>
      </c>
      <c r="R141" s="23">
        <v>28.0</v>
      </c>
      <c r="CA141" s="50">
        <v>46143.34614583333</v>
      </c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  <c r="CQ141" s="50"/>
      <c r="CR141" s="50"/>
      <c r="CS141" s="50"/>
      <c r="CT141" s="50"/>
      <c r="CU141" s="50"/>
      <c r="CV141" s="50"/>
      <c r="CW141" s="50"/>
      <c r="CX141" s="50"/>
      <c r="CY141" s="50"/>
      <c r="CZ141" s="50"/>
      <c r="DA141" s="50"/>
      <c r="DB141" s="50"/>
      <c r="DC141" s="50"/>
    </row>
    <row r="142">
      <c r="A142" s="23" t="s">
        <v>334</v>
      </c>
      <c r="B142" s="23">
        <v>50.0</v>
      </c>
      <c r="C142" s="23">
        <v>62.0</v>
      </c>
      <c r="D142" s="29">
        <f t="shared" si="1"/>
        <v>1</v>
      </c>
      <c r="E142" s="23" t="s">
        <v>155</v>
      </c>
      <c r="P142" s="34" t="s">
        <v>4</v>
      </c>
      <c r="Q142" s="23">
        <v>9.0</v>
      </c>
      <c r="R142" s="23">
        <v>2.0</v>
      </c>
      <c r="CA142" s="50">
        <v>46085.47074074074</v>
      </c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  <c r="CQ142" s="50"/>
      <c r="CR142" s="50"/>
      <c r="CS142" s="50"/>
      <c r="CT142" s="50"/>
      <c r="CU142" s="50"/>
      <c r="CV142" s="50"/>
      <c r="CW142" s="50"/>
      <c r="CX142" s="50"/>
      <c r="CY142" s="50"/>
      <c r="CZ142" s="50"/>
      <c r="DA142" s="50"/>
      <c r="DB142" s="50"/>
      <c r="DC142" s="50"/>
    </row>
    <row r="143">
      <c r="A143" s="23" t="s">
        <v>335</v>
      </c>
      <c r="B143" s="23">
        <v>50.0</v>
      </c>
      <c r="C143" s="23">
        <v>0.0</v>
      </c>
      <c r="D143" s="29">
        <f t="shared" si="1"/>
        <v>1</v>
      </c>
      <c r="E143" s="23" t="s">
        <v>155</v>
      </c>
      <c r="P143" s="34" t="s">
        <v>282</v>
      </c>
      <c r="Q143" s="23">
        <v>1.0</v>
      </c>
      <c r="R143" s="23">
        <v>20.0</v>
      </c>
      <c r="CA143" s="50">
        <v>46143.167974537035</v>
      </c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  <c r="CQ143" s="50"/>
      <c r="CR143" s="50"/>
      <c r="CS143" s="50"/>
      <c r="CT143" s="50"/>
      <c r="CU143" s="50"/>
      <c r="CV143" s="50"/>
      <c r="CW143" s="50"/>
      <c r="CX143" s="50"/>
      <c r="CY143" s="50"/>
      <c r="CZ143" s="50"/>
      <c r="DA143" s="50"/>
      <c r="DB143" s="50"/>
      <c r="DC143" s="50"/>
    </row>
    <row r="144">
      <c r="A144" s="23" t="s">
        <v>336</v>
      </c>
      <c r="B144" s="23">
        <v>50.0</v>
      </c>
      <c r="C144" s="23">
        <v>33.0</v>
      </c>
      <c r="D144" s="29">
        <f t="shared" si="1"/>
        <v>1</v>
      </c>
      <c r="AZ144" s="34" t="s">
        <v>195</v>
      </c>
      <c r="BA144" s="23">
        <v>4.0</v>
      </c>
      <c r="BB144" s="23">
        <v>5.0</v>
      </c>
      <c r="CA144" s="50">
        <v>46099.384571759256</v>
      </c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  <c r="CQ144" s="50"/>
      <c r="CR144" s="50"/>
      <c r="CS144" s="50"/>
      <c r="CT144" s="50"/>
      <c r="CU144" s="50"/>
      <c r="CV144" s="50"/>
      <c r="CW144" s="50"/>
      <c r="CX144" s="50"/>
      <c r="CY144" s="50"/>
      <c r="CZ144" s="50"/>
      <c r="DA144" s="50"/>
      <c r="DB144" s="50"/>
      <c r="DC144" s="50"/>
    </row>
    <row r="145">
      <c r="A145" s="23" t="s">
        <v>337</v>
      </c>
      <c r="B145" s="23">
        <v>50.0</v>
      </c>
      <c r="C145" s="23">
        <v>24.0</v>
      </c>
      <c r="D145" s="29">
        <f t="shared" si="1"/>
        <v>1</v>
      </c>
      <c r="E145" s="23" t="s">
        <v>338</v>
      </c>
      <c r="P145" s="34" t="s">
        <v>4</v>
      </c>
      <c r="Q145" s="23">
        <v>1.0</v>
      </c>
      <c r="R145" s="23">
        <v>30.0</v>
      </c>
      <c r="CA145" s="50">
        <v>46088.90591435185</v>
      </c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  <c r="CQ145" s="50"/>
      <c r="CR145" s="50"/>
      <c r="CS145" s="50"/>
      <c r="CT145" s="50"/>
      <c r="CU145" s="50"/>
      <c r="CV145" s="50"/>
      <c r="CW145" s="50"/>
      <c r="CX145" s="50"/>
      <c r="CY145" s="50"/>
      <c r="CZ145" s="50"/>
      <c r="DA145" s="50"/>
      <c r="DB145" s="50"/>
      <c r="DC145" s="50"/>
    </row>
    <row r="146">
      <c r="A146" s="23" t="s">
        <v>339</v>
      </c>
      <c r="B146" s="23">
        <v>50.0</v>
      </c>
      <c r="C146" s="23">
        <v>0.0</v>
      </c>
      <c r="D146" s="29">
        <f t="shared" si="1"/>
        <v>1</v>
      </c>
      <c r="E146" s="23" t="s">
        <v>188</v>
      </c>
      <c r="Y146" s="34" t="s">
        <v>25</v>
      </c>
      <c r="Z146" s="23">
        <v>1.0</v>
      </c>
      <c r="AA146" s="23">
        <v>17.0</v>
      </c>
      <c r="CA146" s="50">
        <v>46141.674259259256</v>
      </c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  <c r="CQ146" s="50"/>
      <c r="CR146" s="50"/>
      <c r="CS146" s="50"/>
      <c r="CT146" s="50"/>
      <c r="CU146" s="50"/>
      <c r="CV146" s="50"/>
      <c r="CW146" s="50"/>
      <c r="CX146" s="50"/>
      <c r="CY146" s="50"/>
      <c r="CZ146" s="50"/>
      <c r="DA146" s="50"/>
      <c r="DB146" s="50"/>
      <c r="DC146" s="50"/>
    </row>
    <row r="147">
      <c r="A147" s="23" t="s">
        <v>340</v>
      </c>
      <c r="B147" s="23">
        <v>50.0</v>
      </c>
      <c r="C147" s="23">
        <v>0.0</v>
      </c>
      <c r="D147" s="29">
        <f t="shared" si="1"/>
        <v>1</v>
      </c>
      <c r="E147" s="23" t="s">
        <v>188</v>
      </c>
      <c r="P147" s="34" t="s">
        <v>4</v>
      </c>
      <c r="Q147" s="23">
        <v>1.0</v>
      </c>
      <c r="R147" s="23">
        <v>17.0</v>
      </c>
      <c r="CA147" s="50">
        <v>46123.02170138889</v>
      </c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  <c r="CQ147" s="50"/>
      <c r="CR147" s="50"/>
      <c r="CS147" s="50"/>
      <c r="CT147" s="50"/>
      <c r="CU147" s="50"/>
      <c r="CV147" s="50"/>
      <c r="CW147" s="50"/>
      <c r="CX147" s="50"/>
      <c r="CY147" s="50"/>
      <c r="CZ147" s="50"/>
      <c r="DA147" s="50"/>
      <c r="DB147" s="50"/>
      <c r="DC147" s="50"/>
    </row>
    <row r="148">
      <c r="A148" s="23" t="s">
        <v>341</v>
      </c>
      <c r="B148" s="23">
        <v>40.0</v>
      </c>
      <c r="C148" s="23">
        <v>26.0</v>
      </c>
      <c r="D148" s="29">
        <f t="shared" si="1"/>
        <v>1</v>
      </c>
      <c r="E148" s="23" t="s">
        <v>143</v>
      </c>
      <c r="AZ148" s="34" t="s">
        <v>195</v>
      </c>
      <c r="BA148" s="23">
        <v>10.0</v>
      </c>
      <c r="BB148" s="23">
        <v>1.0</v>
      </c>
      <c r="CA148" s="50">
        <v>46088.97670138889</v>
      </c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  <c r="CQ148" s="50"/>
      <c r="CR148" s="50"/>
      <c r="CS148" s="50"/>
      <c r="CT148" s="50"/>
      <c r="CU148" s="50"/>
      <c r="CV148" s="50"/>
      <c r="CW148" s="50"/>
      <c r="CX148" s="50"/>
      <c r="CY148" s="50"/>
      <c r="CZ148" s="50"/>
      <c r="DA148" s="50"/>
      <c r="DB148" s="50"/>
      <c r="DC148" s="50"/>
    </row>
    <row r="149">
      <c r="A149" s="23" t="s">
        <v>342</v>
      </c>
      <c r="B149" s="23">
        <v>40.0</v>
      </c>
      <c r="C149" s="23">
        <v>75.0</v>
      </c>
      <c r="D149" s="29">
        <f t="shared" si="1"/>
        <v>1</v>
      </c>
      <c r="E149" s="23" t="s">
        <v>343</v>
      </c>
      <c r="AZ149" s="34" t="s">
        <v>195</v>
      </c>
      <c r="BA149" s="23">
        <v>2.0</v>
      </c>
      <c r="BB149" s="23">
        <v>6.0</v>
      </c>
      <c r="CA149" s="50">
        <v>46126.70096064815</v>
      </c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  <c r="CQ149" s="50"/>
      <c r="CR149" s="50"/>
      <c r="CS149" s="50"/>
      <c r="CT149" s="50"/>
      <c r="CU149" s="50"/>
      <c r="CV149" s="50"/>
      <c r="CW149" s="50"/>
      <c r="CX149" s="50"/>
      <c r="CY149" s="50"/>
      <c r="CZ149" s="50"/>
      <c r="DA149" s="50"/>
      <c r="DB149" s="50"/>
      <c r="DC149" s="50"/>
    </row>
    <row r="150">
      <c r="A150" s="23" t="s">
        <v>344</v>
      </c>
      <c r="B150" s="23">
        <v>40.0</v>
      </c>
      <c r="C150" s="23">
        <v>60.0</v>
      </c>
      <c r="D150" s="29">
        <f t="shared" si="1"/>
        <v>1</v>
      </c>
      <c r="AZ150" s="34" t="s">
        <v>195</v>
      </c>
      <c r="BA150" s="23">
        <v>6.0</v>
      </c>
      <c r="BB150" s="23">
        <v>2.0</v>
      </c>
      <c r="CA150" s="50">
        <v>46155.81842592593</v>
      </c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  <c r="CQ150" s="50"/>
      <c r="CR150" s="50"/>
      <c r="CS150" s="50"/>
      <c r="CT150" s="50"/>
      <c r="CU150" s="50"/>
      <c r="CV150" s="50"/>
      <c r="CW150" s="50"/>
      <c r="CX150" s="50"/>
      <c r="CY150" s="50"/>
      <c r="CZ150" s="50"/>
      <c r="DA150" s="50"/>
      <c r="DB150" s="50"/>
      <c r="DC150" s="50"/>
    </row>
    <row r="151">
      <c r="A151" s="23" t="s">
        <v>345</v>
      </c>
      <c r="B151" s="23">
        <v>40.0</v>
      </c>
      <c r="C151" s="23">
        <v>9.0</v>
      </c>
      <c r="D151" s="29">
        <f t="shared" si="1"/>
        <v>1</v>
      </c>
      <c r="E151" s="23" t="s">
        <v>226</v>
      </c>
      <c r="Y151" s="34" t="s">
        <v>25</v>
      </c>
      <c r="Z151" s="23">
        <v>1.0</v>
      </c>
      <c r="AA151" s="23">
        <v>13.0</v>
      </c>
      <c r="CA151" s="50">
        <v>46125.771469907406</v>
      </c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  <c r="CQ151" s="50"/>
      <c r="CR151" s="50"/>
      <c r="CS151" s="50"/>
      <c r="CT151" s="50"/>
      <c r="CU151" s="50"/>
      <c r="CV151" s="50"/>
      <c r="CW151" s="50"/>
      <c r="CX151" s="50"/>
      <c r="CY151" s="50"/>
      <c r="CZ151" s="50"/>
      <c r="DA151" s="50"/>
      <c r="DB151" s="50"/>
      <c r="DC151" s="50"/>
    </row>
    <row r="152">
      <c r="A152" s="23" t="s">
        <v>346</v>
      </c>
      <c r="B152" s="23">
        <v>40.0</v>
      </c>
      <c r="C152" s="23">
        <v>68.0</v>
      </c>
      <c r="D152" s="29">
        <f t="shared" si="1"/>
        <v>1</v>
      </c>
      <c r="E152" s="23" t="s">
        <v>347</v>
      </c>
      <c r="Y152" s="34" t="s">
        <v>129</v>
      </c>
      <c r="Z152" s="23">
        <v>1.0</v>
      </c>
      <c r="AA152" s="23">
        <v>22.0</v>
      </c>
      <c r="CA152" s="50">
        <v>46106.682291666664</v>
      </c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  <c r="CQ152" s="50"/>
      <c r="CR152" s="50"/>
      <c r="CS152" s="50"/>
      <c r="CT152" s="50"/>
      <c r="CU152" s="50"/>
      <c r="CV152" s="50"/>
      <c r="CW152" s="50"/>
      <c r="CX152" s="50"/>
      <c r="CY152" s="50"/>
      <c r="CZ152" s="50"/>
      <c r="DA152" s="50"/>
      <c r="DB152" s="50"/>
      <c r="DC152" s="50"/>
    </row>
    <row r="153">
      <c r="A153" s="23" t="s">
        <v>348</v>
      </c>
      <c r="B153" s="23">
        <v>40.0</v>
      </c>
      <c r="C153" s="23">
        <v>77.0</v>
      </c>
      <c r="D153" s="29">
        <f t="shared" si="1"/>
        <v>1</v>
      </c>
      <c r="E153" s="23" t="s">
        <v>221</v>
      </c>
      <c r="P153" s="34" t="s">
        <v>125</v>
      </c>
      <c r="Q153" s="23">
        <v>2.0</v>
      </c>
      <c r="R153" s="23">
        <v>6.0</v>
      </c>
      <c r="CA153" s="50">
        <v>46088.24863425926</v>
      </c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  <c r="CQ153" s="50"/>
      <c r="CR153" s="50"/>
      <c r="CS153" s="50"/>
      <c r="CT153" s="50"/>
      <c r="CU153" s="50"/>
      <c r="CV153" s="50"/>
      <c r="CW153" s="50"/>
      <c r="CX153" s="50"/>
      <c r="CY153" s="50"/>
      <c r="CZ153" s="50"/>
      <c r="DA153" s="50"/>
      <c r="DB153" s="50"/>
      <c r="DC153" s="50"/>
    </row>
    <row r="154">
      <c r="A154" s="23" t="s">
        <v>349</v>
      </c>
      <c r="B154" s="23">
        <v>40.0</v>
      </c>
      <c r="C154" s="23">
        <v>54.0</v>
      </c>
      <c r="D154" s="29">
        <f t="shared" si="1"/>
        <v>1</v>
      </c>
      <c r="E154" s="23" t="s">
        <v>143</v>
      </c>
      <c r="Y154" s="34" t="s">
        <v>25</v>
      </c>
      <c r="Z154" s="23">
        <v>1.0</v>
      </c>
      <c r="AA154" s="23">
        <v>42.0</v>
      </c>
      <c r="CA154" s="50">
        <v>46160.84307870371</v>
      </c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  <c r="CQ154" s="50"/>
      <c r="CR154" s="50"/>
      <c r="CS154" s="50"/>
      <c r="CT154" s="50"/>
      <c r="CU154" s="50"/>
      <c r="CV154" s="50"/>
      <c r="CW154" s="50"/>
      <c r="CX154" s="50"/>
      <c r="CY154" s="50"/>
      <c r="CZ154" s="50"/>
      <c r="DA154" s="50"/>
      <c r="DB154" s="50"/>
      <c r="DC154" s="50"/>
    </row>
    <row r="155">
      <c r="A155" s="23" t="s">
        <v>350</v>
      </c>
      <c r="B155" s="23">
        <v>40.0</v>
      </c>
      <c r="C155" s="23">
        <v>78.0</v>
      </c>
      <c r="D155" s="29">
        <f t="shared" si="1"/>
        <v>1</v>
      </c>
      <c r="P155" s="34" t="s">
        <v>4</v>
      </c>
      <c r="Q155" s="23">
        <v>10.0</v>
      </c>
      <c r="R155" s="23">
        <v>1.0</v>
      </c>
      <c r="CA155" s="50">
        <v>46125.9825462963</v>
      </c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  <c r="CQ155" s="50"/>
      <c r="CR155" s="50"/>
      <c r="CS155" s="50"/>
      <c r="CT155" s="50"/>
      <c r="CU155" s="50"/>
      <c r="CV155" s="50"/>
      <c r="CW155" s="50"/>
      <c r="CX155" s="50"/>
      <c r="CY155" s="50"/>
      <c r="CZ155" s="50"/>
      <c r="DA155" s="50"/>
      <c r="DB155" s="50"/>
      <c r="DC155" s="50"/>
    </row>
    <row r="156">
      <c r="A156" s="23" t="s">
        <v>351</v>
      </c>
      <c r="B156" s="23">
        <v>40.0</v>
      </c>
      <c r="C156" s="23">
        <v>62.0</v>
      </c>
      <c r="D156" s="29">
        <f t="shared" si="1"/>
        <v>1</v>
      </c>
      <c r="Y156" s="34" t="s">
        <v>129</v>
      </c>
      <c r="Z156" s="23">
        <v>3.0</v>
      </c>
      <c r="AA156" s="23">
        <v>5.0</v>
      </c>
      <c r="CA156" s="50">
        <v>46083.664456018516</v>
      </c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  <c r="CQ156" s="50"/>
      <c r="CR156" s="50"/>
      <c r="CS156" s="50"/>
      <c r="CT156" s="50"/>
      <c r="CU156" s="50"/>
      <c r="CV156" s="50"/>
      <c r="CW156" s="50"/>
      <c r="CX156" s="50"/>
      <c r="CY156" s="50"/>
      <c r="CZ156" s="50"/>
      <c r="DA156" s="50"/>
      <c r="DB156" s="50"/>
      <c r="DC156" s="50"/>
    </row>
    <row r="157">
      <c r="A157" s="23" t="s">
        <v>352</v>
      </c>
      <c r="B157" s="23">
        <v>40.0</v>
      </c>
      <c r="C157" s="23">
        <v>0.0</v>
      </c>
      <c r="D157" s="29">
        <f t="shared" si="1"/>
        <v>1</v>
      </c>
      <c r="E157" s="23" t="s">
        <v>143</v>
      </c>
      <c r="AQ157" s="34" t="s">
        <v>114</v>
      </c>
      <c r="AR157" s="23">
        <v>1.0</v>
      </c>
      <c r="AS157" s="23">
        <v>13.0</v>
      </c>
      <c r="CA157" s="50">
        <v>46099.39203703704</v>
      </c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  <c r="CQ157" s="50"/>
      <c r="CR157" s="50"/>
      <c r="CS157" s="50"/>
      <c r="CT157" s="50"/>
      <c r="CU157" s="50"/>
      <c r="CV157" s="50"/>
      <c r="CW157" s="50"/>
      <c r="CX157" s="50"/>
      <c r="CY157" s="50"/>
      <c r="CZ157" s="50"/>
      <c r="DA157" s="50"/>
      <c r="DB157" s="50"/>
      <c r="DC157" s="50"/>
    </row>
    <row r="158">
      <c r="A158" s="23" t="s">
        <v>353</v>
      </c>
      <c r="B158" s="23">
        <v>40.0</v>
      </c>
      <c r="C158" s="23">
        <v>1.0</v>
      </c>
      <c r="D158" s="29">
        <f t="shared" si="1"/>
        <v>1</v>
      </c>
      <c r="E158" s="23" t="s">
        <v>143</v>
      </c>
      <c r="P158" s="34" t="s">
        <v>4</v>
      </c>
      <c r="Q158" s="23">
        <v>1.0</v>
      </c>
      <c r="R158" s="23">
        <v>33.0</v>
      </c>
      <c r="CA158" s="50">
        <v>46145.85638888889</v>
      </c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  <c r="CQ158" s="50"/>
      <c r="CR158" s="50"/>
      <c r="CS158" s="50"/>
      <c r="CT158" s="50"/>
      <c r="CU158" s="50"/>
      <c r="CV158" s="50"/>
      <c r="CW158" s="50"/>
      <c r="CX158" s="50"/>
      <c r="CY158" s="50"/>
      <c r="CZ158" s="50"/>
      <c r="DA158" s="50"/>
      <c r="DB158" s="50"/>
      <c r="DC158" s="50"/>
    </row>
    <row r="159">
      <c r="A159" s="23" t="s">
        <v>354</v>
      </c>
      <c r="B159" s="23">
        <v>40.0</v>
      </c>
      <c r="C159" s="23">
        <v>24.0</v>
      </c>
      <c r="D159" s="29">
        <f t="shared" si="1"/>
        <v>1</v>
      </c>
      <c r="E159" s="23" t="s">
        <v>143</v>
      </c>
      <c r="P159" s="34" t="s">
        <v>4</v>
      </c>
      <c r="Q159" s="23">
        <v>1.0</v>
      </c>
      <c r="R159" s="23">
        <v>15.0</v>
      </c>
      <c r="CA159" s="50">
        <v>46154.9422337963</v>
      </c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  <c r="CP159" s="50"/>
      <c r="CQ159" s="50"/>
      <c r="CR159" s="50"/>
      <c r="CS159" s="50"/>
      <c r="CT159" s="50"/>
      <c r="CU159" s="50"/>
      <c r="CV159" s="50"/>
      <c r="CW159" s="50"/>
      <c r="CX159" s="50"/>
      <c r="CY159" s="50"/>
      <c r="CZ159" s="50"/>
      <c r="DA159" s="50"/>
      <c r="DB159" s="50"/>
      <c r="DC159" s="50"/>
    </row>
    <row r="160">
      <c r="A160" s="23" t="s">
        <v>355</v>
      </c>
      <c r="B160" s="23">
        <v>40.0</v>
      </c>
      <c r="C160" s="23">
        <v>72.0</v>
      </c>
      <c r="D160" s="29">
        <f t="shared" si="1"/>
        <v>1</v>
      </c>
      <c r="E160" s="23" t="s">
        <v>185</v>
      </c>
      <c r="P160" s="34" t="s">
        <v>4</v>
      </c>
      <c r="Q160" s="23">
        <v>1.0</v>
      </c>
      <c r="R160" s="23">
        <v>15.0</v>
      </c>
      <c r="CA160" s="50">
        <v>46160.66605324074</v>
      </c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  <c r="CQ160" s="50"/>
      <c r="CR160" s="50"/>
      <c r="CS160" s="50"/>
      <c r="CT160" s="50"/>
      <c r="CU160" s="50"/>
      <c r="CV160" s="50"/>
      <c r="CW160" s="50"/>
      <c r="CX160" s="50"/>
      <c r="CY160" s="50"/>
      <c r="CZ160" s="50"/>
      <c r="DA160" s="50"/>
      <c r="DB160" s="50"/>
      <c r="DC160" s="50"/>
    </row>
    <row r="161">
      <c r="A161" s="23" t="s">
        <v>356</v>
      </c>
      <c r="B161" s="23">
        <v>30.0</v>
      </c>
      <c r="C161" s="23">
        <v>0.0</v>
      </c>
      <c r="D161" s="29">
        <f t="shared" si="1"/>
        <v>1</v>
      </c>
      <c r="E161" s="23" t="s">
        <v>357</v>
      </c>
      <c r="P161" s="34" t="s">
        <v>4</v>
      </c>
      <c r="Q161" s="23">
        <v>1.0</v>
      </c>
      <c r="R161" s="23">
        <v>12.0</v>
      </c>
      <c r="CA161" s="50">
        <v>46126.70122685185</v>
      </c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  <c r="CP161" s="50"/>
      <c r="CQ161" s="50"/>
      <c r="CR161" s="50"/>
      <c r="CS161" s="50"/>
      <c r="CT161" s="50"/>
      <c r="CU161" s="50"/>
      <c r="CV161" s="50"/>
      <c r="CW161" s="50"/>
      <c r="CX161" s="50"/>
      <c r="CY161" s="50"/>
      <c r="CZ161" s="50"/>
      <c r="DA161" s="50"/>
      <c r="DB161" s="50"/>
      <c r="DC161" s="50"/>
    </row>
    <row r="162">
      <c r="A162" s="23" t="s">
        <v>358</v>
      </c>
      <c r="B162" s="23">
        <v>30.0</v>
      </c>
      <c r="C162" s="23">
        <v>1.0</v>
      </c>
      <c r="D162" s="29">
        <f t="shared" si="1"/>
        <v>1</v>
      </c>
      <c r="E162" s="23" t="s">
        <v>305</v>
      </c>
      <c r="F162" s="23">
        <v>1.43</v>
      </c>
      <c r="P162" s="34" t="s">
        <v>4</v>
      </c>
      <c r="Q162" s="23">
        <v>1.0</v>
      </c>
      <c r="R162" s="23">
        <v>10.0</v>
      </c>
      <c r="CA162" s="50">
        <v>46160.50855324074</v>
      </c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0"/>
    </row>
    <row r="163">
      <c r="A163" s="23" t="s">
        <v>359</v>
      </c>
      <c r="B163" s="23">
        <v>30.0</v>
      </c>
      <c r="C163" s="23">
        <v>89.0</v>
      </c>
      <c r="D163" s="29">
        <f t="shared" si="1"/>
        <v>1</v>
      </c>
      <c r="AZ163" s="34" t="s">
        <v>195</v>
      </c>
      <c r="BA163" s="23">
        <v>3.0</v>
      </c>
      <c r="BB163" s="23">
        <v>4.0</v>
      </c>
      <c r="CA163" s="50">
        <v>46083.55755787037</v>
      </c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  <c r="CQ163" s="50"/>
      <c r="CR163" s="50"/>
      <c r="CS163" s="50"/>
      <c r="CT163" s="50"/>
      <c r="CU163" s="50"/>
      <c r="CV163" s="50"/>
      <c r="CW163" s="50"/>
      <c r="CX163" s="50"/>
      <c r="CY163" s="50"/>
      <c r="CZ163" s="50"/>
      <c r="DA163" s="50"/>
      <c r="DB163" s="50"/>
      <c r="DC163" s="50"/>
    </row>
    <row r="164">
      <c r="A164" s="23" t="s">
        <v>360</v>
      </c>
      <c r="B164" s="23">
        <v>30.0</v>
      </c>
      <c r="C164" s="23">
        <v>0.0</v>
      </c>
      <c r="D164" s="29">
        <f t="shared" si="1"/>
        <v>1</v>
      </c>
      <c r="E164" s="23" t="s">
        <v>188</v>
      </c>
      <c r="P164" s="34" t="s">
        <v>4</v>
      </c>
      <c r="Q164" s="23">
        <v>1.0</v>
      </c>
      <c r="R164" s="23">
        <v>12.0</v>
      </c>
      <c r="CA164" s="50">
        <v>46125.923472222225</v>
      </c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  <c r="CQ164" s="50"/>
      <c r="CR164" s="50"/>
      <c r="CS164" s="50"/>
      <c r="CT164" s="50"/>
      <c r="CU164" s="50"/>
      <c r="CV164" s="50"/>
      <c r="CW164" s="50"/>
      <c r="CX164" s="50"/>
      <c r="CY164" s="50"/>
      <c r="CZ164" s="50"/>
      <c r="DA164" s="50"/>
      <c r="DB164" s="50"/>
      <c r="DC164" s="50"/>
    </row>
    <row r="165">
      <c r="A165" s="23" t="s">
        <v>361</v>
      </c>
      <c r="B165" s="23">
        <v>30.0</v>
      </c>
      <c r="C165" s="23">
        <v>2.0</v>
      </c>
      <c r="D165" s="29">
        <f t="shared" si="1"/>
        <v>1</v>
      </c>
      <c r="E165" s="23" t="s">
        <v>188</v>
      </c>
      <c r="F165" s="23">
        <v>0.95</v>
      </c>
      <c r="P165" s="34" t="s">
        <v>4</v>
      </c>
      <c r="Q165" s="23">
        <v>1.0</v>
      </c>
      <c r="R165" s="23">
        <v>11.0</v>
      </c>
      <c r="CA165" s="50">
        <v>46149.05769675926</v>
      </c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0"/>
    </row>
    <row r="166">
      <c r="A166" s="23" t="s">
        <v>362</v>
      </c>
      <c r="B166" s="23">
        <v>30.0</v>
      </c>
      <c r="C166" s="23">
        <v>2.0</v>
      </c>
      <c r="D166" s="29">
        <f t="shared" si="1"/>
        <v>1</v>
      </c>
      <c r="E166" s="23" t="s">
        <v>143</v>
      </c>
      <c r="AQ166" s="34" t="s">
        <v>134</v>
      </c>
      <c r="AR166" s="23">
        <v>1.0</v>
      </c>
      <c r="AS166" s="23">
        <v>29.0</v>
      </c>
      <c r="CA166" s="50">
        <v>46123.03989583333</v>
      </c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0"/>
      <c r="CO166" s="50"/>
      <c r="CP166" s="50"/>
      <c r="CQ166" s="50"/>
      <c r="CR166" s="50"/>
      <c r="CS166" s="50"/>
      <c r="CT166" s="50"/>
      <c r="CU166" s="50"/>
      <c r="CV166" s="50"/>
      <c r="CW166" s="50"/>
      <c r="CX166" s="50"/>
      <c r="CY166" s="50"/>
      <c r="CZ166" s="50"/>
      <c r="DA166" s="50"/>
      <c r="DB166" s="50"/>
      <c r="DC166" s="50"/>
    </row>
    <row r="167">
      <c r="A167" s="23" t="s">
        <v>363</v>
      </c>
      <c r="B167" s="23">
        <v>30.0</v>
      </c>
      <c r="C167" s="23">
        <v>65.0</v>
      </c>
      <c r="D167" s="29">
        <f t="shared" si="1"/>
        <v>1</v>
      </c>
      <c r="E167" s="23" t="s">
        <v>155</v>
      </c>
      <c r="F167" s="23">
        <v>0.74</v>
      </c>
      <c r="Y167" s="34" t="s">
        <v>364</v>
      </c>
      <c r="Z167" s="23">
        <v>1.0</v>
      </c>
      <c r="AA167" s="23">
        <v>25.0</v>
      </c>
      <c r="CA167" s="50">
        <v>46143.76708333333</v>
      </c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  <c r="CQ167" s="50"/>
      <c r="CR167" s="50"/>
      <c r="CS167" s="50"/>
      <c r="CT167" s="50"/>
      <c r="CU167" s="50"/>
      <c r="CV167" s="50"/>
      <c r="CW167" s="50"/>
      <c r="CX167" s="50"/>
      <c r="CY167" s="50"/>
      <c r="CZ167" s="50"/>
      <c r="DA167" s="50"/>
      <c r="DB167" s="50"/>
      <c r="DC167" s="50"/>
    </row>
    <row r="168">
      <c r="A168" s="23" t="s">
        <v>365</v>
      </c>
      <c r="B168" s="23">
        <v>30.0</v>
      </c>
      <c r="C168" s="23">
        <v>8.0</v>
      </c>
      <c r="D168" s="29">
        <f t="shared" si="1"/>
        <v>1</v>
      </c>
      <c r="E168" s="23" t="s">
        <v>155</v>
      </c>
      <c r="P168" s="34" t="s">
        <v>4</v>
      </c>
      <c r="Q168" s="23">
        <v>2.0</v>
      </c>
      <c r="R168" s="23">
        <v>11.0</v>
      </c>
      <c r="CA168" s="50">
        <v>46089.42491898148</v>
      </c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  <c r="CQ168" s="50"/>
      <c r="CR168" s="50"/>
      <c r="CS168" s="50"/>
      <c r="CT168" s="50"/>
      <c r="CU168" s="50"/>
      <c r="CV168" s="50"/>
      <c r="CW168" s="50"/>
      <c r="CX168" s="50"/>
      <c r="CY168" s="50"/>
      <c r="CZ168" s="50"/>
      <c r="DA168" s="50"/>
      <c r="DB168" s="50"/>
      <c r="DC168" s="50"/>
    </row>
    <row r="169">
      <c r="A169" s="23" t="s">
        <v>366</v>
      </c>
      <c r="B169" s="23">
        <v>30.0</v>
      </c>
      <c r="C169" s="23">
        <v>0.0</v>
      </c>
      <c r="D169" s="29">
        <f t="shared" si="1"/>
        <v>1</v>
      </c>
      <c r="E169" s="23" t="s">
        <v>188</v>
      </c>
      <c r="P169" s="34" t="s">
        <v>4</v>
      </c>
      <c r="Q169" s="23">
        <v>1.0</v>
      </c>
      <c r="R169" s="23">
        <v>10.0</v>
      </c>
      <c r="CA169" s="50">
        <v>46162.50802083333</v>
      </c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  <c r="CP169" s="50"/>
      <c r="CQ169" s="50"/>
      <c r="CR169" s="50"/>
      <c r="CS169" s="50"/>
      <c r="CT169" s="50"/>
      <c r="CU169" s="50"/>
      <c r="CV169" s="50"/>
      <c r="CW169" s="50"/>
      <c r="CX169" s="50"/>
      <c r="CY169" s="50"/>
      <c r="CZ169" s="50"/>
      <c r="DA169" s="50"/>
      <c r="DB169" s="50"/>
      <c r="DC169" s="50"/>
    </row>
    <row r="170">
      <c r="A170" s="23" t="s">
        <v>367</v>
      </c>
      <c r="B170" s="23">
        <v>30.0</v>
      </c>
      <c r="C170" s="23">
        <v>12.0</v>
      </c>
      <c r="D170" s="29">
        <f t="shared" si="1"/>
        <v>1</v>
      </c>
      <c r="E170" s="23" t="s">
        <v>188</v>
      </c>
      <c r="P170" s="34" t="s">
        <v>4</v>
      </c>
      <c r="Q170" s="23">
        <v>1.0</v>
      </c>
      <c r="R170" s="23">
        <v>10.0</v>
      </c>
      <c r="CA170" s="50">
        <v>46089.892280092594</v>
      </c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C170" s="50"/>
    </row>
    <row r="171">
      <c r="A171" s="23" t="s">
        <v>368</v>
      </c>
      <c r="B171" s="23">
        <v>30.0</v>
      </c>
      <c r="C171" s="23">
        <v>70.0</v>
      </c>
      <c r="D171" s="29">
        <f t="shared" si="1"/>
        <v>1</v>
      </c>
      <c r="E171" s="23" t="s">
        <v>155</v>
      </c>
      <c r="F171" s="23">
        <v>0.4</v>
      </c>
      <c r="AQ171" s="34" t="s">
        <v>369</v>
      </c>
      <c r="AR171" s="23">
        <v>5.0</v>
      </c>
      <c r="AS171" s="23">
        <v>2.0</v>
      </c>
      <c r="CA171" s="50">
        <v>46143.53990740741</v>
      </c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  <c r="CP171" s="50"/>
      <c r="CQ171" s="50"/>
      <c r="CR171" s="50"/>
      <c r="CS171" s="50"/>
      <c r="CT171" s="50"/>
      <c r="CU171" s="50"/>
      <c r="CV171" s="50"/>
      <c r="CW171" s="50"/>
      <c r="CX171" s="50"/>
      <c r="CY171" s="50"/>
      <c r="CZ171" s="50"/>
      <c r="DA171" s="50"/>
      <c r="DB171" s="50"/>
      <c r="DC171" s="50"/>
    </row>
    <row r="172">
      <c r="A172" s="23" t="s">
        <v>370</v>
      </c>
      <c r="B172" s="23">
        <v>30.0</v>
      </c>
      <c r="C172" s="23">
        <v>0.0</v>
      </c>
      <c r="D172" s="29">
        <f t="shared" si="1"/>
        <v>1</v>
      </c>
      <c r="E172" s="23" t="s">
        <v>143</v>
      </c>
      <c r="AH172" s="34" t="s">
        <v>81</v>
      </c>
      <c r="AI172" s="23">
        <v>2.0</v>
      </c>
      <c r="AJ172" s="23">
        <v>7.0</v>
      </c>
      <c r="CA172" s="50">
        <v>46123.75996527778</v>
      </c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  <c r="CP172" s="50"/>
      <c r="CQ172" s="50"/>
      <c r="CR172" s="50"/>
      <c r="CS172" s="50"/>
      <c r="CT172" s="50"/>
      <c r="CU172" s="50"/>
      <c r="CV172" s="50"/>
      <c r="CW172" s="50"/>
      <c r="CX172" s="50"/>
      <c r="CY172" s="50"/>
      <c r="CZ172" s="50"/>
      <c r="DA172" s="50"/>
      <c r="DB172" s="50"/>
      <c r="DC172" s="50"/>
    </row>
    <row r="173">
      <c r="A173" s="23" t="s">
        <v>371</v>
      </c>
      <c r="B173" s="23">
        <v>30.0</v>
      </c>
      <c r="C173" s="23">
        <v>12.0</v>
      </c>
      <c r="D173" s="29">
        <f t="shared" si="1"/>
        <v>1</v>
      </c>
      <c r="E173" s="23" t="s">
        <v>372</v>
      </c>
      <c r="AH173" s="34" t="s">
        <v>189</v>
      </c>
      <c r="AI173" s="23">
        <v>1.0</v>
      </c>
      <c r="AJ173" s="23">
        <v>26.0</v>
      </c>
      <c r="CA173" s="50">
        <v>46082.38416666666</v>
      </c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</row>
    <row r="174">
      <c r="A174" s="23" t="s">
        <v>373</v>
      </c>
      <c r="B174" s="23">
        <v>30.0</v>
      </c>
      <c r="C174" s="23">
        <v>14.0</v>
      </c>
      <c r="D174" s="29">
        <f t="shared" si="1"/>
        <v>1</v>
      </c>
      <c r="E174" s="23" t="s">
        <v>374</v>
      </c>
      <c r="AZ174" s="34" t="s">
        <v>119</v>
      </c>
      <c r="BA174" s="23">
        <v>5.0</v>
      </c>
      <c r="BB174" s="23">
        <v>2.0</v>
      </c>
      <c r="CA174" s="50">
        <v>46083.55400462963</v>
      </c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  <c r="CQ174" s="50"/>
      <c r="CR174" s="50"/>
      <c r="CS174" s="50"/>
      <c r="CT174" s="50"/>
      <c r="CU174" s="50"/>
      <c r="CV174" s="50"/>
      <c r="CW174" s="50"/>
      <c r="CX174" s="50"/>
      <c r="CY174" s="50"/>
      <c r="CZ174" s="50"/>
      <c r="DA174" s="50"/>
      <c r="DB174" s="50"/>
      <c r="DC174" s="50"/>
    </row>
    <row r="175">
      <c r="A175" s="23" t="s">
        <v>375</v>
      </c>
      <c r="B175" s="23">
        <v>30.0</v>
      </c>
      <c r="C175" s="23">
        <v>82.0</v>
      </c>
      <c r="D175" s="29">
        <f t="shared" si="1"/>
        <v>1</v>
      </c>
      <c r="Y175" s="34" t="s">
        <v>129</v>
      </c>
      <c r="Z175" s="23">
        <v>6.0</v>
      </c>
      <c r="AA175" s="23">
        <v>2.0</v>
      </c>
      <c r="CA175" s="50">
        <v>46082.69509259259</v>
      </c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  <c r="CP175" s="50"/>
      <c r="CQ175" s="50"/>
      <c r="CR175" s="50"/>
      <c r="CS175" s="50"/>
      <c r="CT175" s="50"/>
      <c r="CU175" s="50"/>
      <c r="CV175" s="50"/>
      <c r="CW175" s="50"/>
      <c r="CX175" s="50"/>
      <c r="CY175" s="50"/>
      <c r="CZ175" s="50"/>
      <c r="DA175" s="50"/>
      <c r="DB175" s="50"/>
      <c r="DC175" s="50"/>
    </row>
    <row r="176">
      <c r="A176" s="23" t="s">
        <v>376</v>
      </c>
      <c r="B176" s="23">
        <v>20.0</v>
      </c>
      <c r="C176" s="23">
        <v>0.0</v>
      </c>
      <c r="D176" s="29">
        <f t="shared" si="1"/>
        <v>1</v>
      </c>
      <c r="E176" s="23" t="s">
        <v>314</v>
      </c>
      <c r="P176" s="34" t="s">
        <v>4</v>
      </c>
      <c r="Q176" s="23">
        <v>1.0</v>
      </c>
      <c r="R176" s="23">
        <v>8.0</v>
      </c>
      <c r="CA176" s="50">
        <v>46145.17811342593</v>
      </c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  <c r="CP176" s="50"/>
      <c r="CQ176" s="50"/>
      <c r="CR176" s="50"/>
      <c r="CS176" s="50"/>
      <c r="CT176" s="50"/>
      <c r="CU176" s="50"/>
      <c r="CV176" s="50"/>
      <c r="CW176" s="50"/>
      <c r="CX176" s="50"/>
      <c r="CY176" s="50"/>
      <c r="CZ176" s="50"/>
      <c r="DA176" s="50"/>
      <c r="DB176" s="50"/>
      <c r="DC176" s="50"/>
    </row>
    <row r="177">
      <c r="A177" s="23" t="s">
        <v>377</v>
      </c>
      <c r="B177" s="23">
        <v>20.0</v>
      </c>
      <c r="C177" s="23">
        <v>47.0</v>
      </c>
      <c r="D177" s="29">
        <f t="shared" si="1"/>
        <v>1</v>
      </c>
      <c r="E177" s="23" t="s">
        <v>155</v>
      </c>
      <c r="Y177" s="34" t="s">
        <v>364</v>
      </c>
      <c r="Z177" s="23">
        <v>1.0</v>
      </c>
      <c r="AA177" s="23">
        <v>13.0</v>
      </c>
      <c r="CA177" s="50">
        <v>46149.004282407404</v>
      </c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  <c r="CP177" s="50"/>
      <c r="CQ177" s="50"/>
      <c r="CR177" s="50"/>
      <c r="CS177" s="50"/>
      <c r="CT177" s="50"/>
      <c r="CU177" s="50"/>
      <c r="CV177" s="50"/>
      <c r="CW177" s="50"/>
      <c r="CX177" s="50"/>
      <c r="CY177" s="50"/>
      <c r="CZ177" s="50"/>
      <c r="DA177" s="50"/>
      <c r="DB177" s="50"/>
      <c r="DC177" s="50"/>
    </row>
    <row r="178">
      <c r="A178" s="23" t="s">
        <v>378</v>
      </c>
      <c r="B178" s="23">
        <v>20.0</v>
      </c>
      <c r="C178" s="23">
        <v>74.0</v>
      </c>
      <c r="D178" s="29">
        <f t="shared" si="1"/>
        <v>1</v>
      </c>
      <c r="E178" s="23" t="s">
        <v>155</v>
      </c>
      <c r="Y178" s="34" t="s">
        <v>129</v>
      </c>
      <c r="Z178" s="23">
        <v>1.0</v>
      </c>
      <c r="AA178" s="23">
        <v>8.0</v>
      </c>
      <c r="CA178" s="50">
        <v>46161.261145833334</v>
      </c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  <c r="CQ178" s="50"/>
      <c r="CR178" s="50"/>
      <c r="CS178" s="50"/>
      <c r="CT178" s="50"/>
      <c r="CU178" s="50"/>
      <c r="CV178" s="50"/>
      <c r="CW178" s="50"/>
      <c r="CX178" s="50"/>
      <c r="CY178" s="50"/>
      <c r="CZ178" s="50"/>
      <c r="DA178" s="50"/>
      <c r="DB178" s="50"/>
      <c r="DC178" s="50"/>
    </row>
    <row r="179">
      <c r="A179" s="23" t="s">
        <v>379</v>
      </c>
      <c r="B179" s="23">
        <v>20.0</v>
      </c>
      <c r="C179" s="23">
        <v>10.0</v>
      </c>
      <c r="D179" s="29">
        <f t="shared" si="1"/>
        <v>1</v>
      </c>
      <c r="E179" s="23" t="s">
        <v>380</v>
      </c>
      <c r="P179" s="34" t="s">
        <v>4</v>
      </c>
      <c r="Q179" s="23">
        <v>1.0</v>
      </c>
      <c r="R179" s="23">
        <v>4.0</v>
      </c>
      <c r="CA179" s="50">
        <v>46160.36787037037</v>
      </c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  <c r="CP179" s="50"/>
      <c r="CQ179" s="50"/>
      <c r="CR179" s="50"/>
      <c r="CS179" s="50"/>
      <c r="CT179" s="50"/>
      <c r="CU179" s="50"/>
      <c r="CV179" s="50"/>
      <c r="CW179" s="50"/>
      <c r="CX179" s="50"/>
      <c r="CY179" s="50"/>
      <c r="CZ179" s="50"/>
      <c r="DA179" s="50"/>
      <c r="DB179" s="50"/>
      <c r="DC179" s="50"/>
    </row>
    <row r="180">
      <c r="A180" s="23" t="s">
        <v>381</v>
      </c>
      <c r="B180" s="23">
        <v>20.0</v>
      </c>
      <c r="C180" s="23">
        <v>0.0</v>
      </c>
      <c r="D180" s="29">
        <f t="shared" si="1"/>
        <v>1</v>
      </c>
      <c r="E180" s="23" t="s">
        <v>143</v>
      </c>
      <c r="P180" s="34" t="s">
        <v>4</v>
      </c>
      <c r="Q180" s="23">
        <v>1.0</v>
      </c>
      <c r="R180" s="23">
        <v>7.0</v>
      </c>
      <c r="CA180" s="50">
        <v>46088.398935185185</v>
      </c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  <c r="CP180" s="50"/>
      <c r="CQ180" s="50"/>
      <c r="CR180" s="50"/>
      <c r="CS180" s="50"/>
      <c r="CT180" s="50"/>
      <c r="CU180" s="50"/>
      <c r="CV180" s="50"/>
      <c r="CW180" s="50"/>
      <c r="CX180" s="50"/>
      <c r="CY180" s="50"/>
      <c r="CZ180" s="50"/>
      <c r="DA180" s="50"/>
      <c r="DB180" s="50"/>
      <c r="DC180" s="50"/>
    </row>
    <row r="181">
      <c r="A181" s="23" t="s">
        <v>382</v>
      </c>
      <c r="B181" s="23">
        <v>20.0</v>
      </c>
      <c r="C181" s="23">
        <v>0.0</v>
      </c>
      <c r="D181" s="29">
        <f t="shared" si="1"/>
        <v>1</v>
      </c>
      <c r="E181" s="23" t="s">
        <v>314</v>
      </c>
      <c r="P181" s="34" t="s">
        <v>4</v>
      </c>
      <c r="Q181" s="23">
        <v>1.0</v>
      </c>
      <c r="R181" s="23">
        <v>7.0</v>
      </c>
      <c r="CA181" s="50">
        <v>46083.36078703704</v>
      </c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C181" s="50"/>
    </row>
    <row r="182">
      <c r="A182" s="23" t="s">
        <v>383</v>
      </c>
      <c r="B182" s="23">
        <v>20.0</v>
      </c>
      <c r="C182" s="23">
        <v>0.0</v>
      </c>
      <c r="D182" s="29">
        <f t="shared" si="1"/>
        <v>1</v>
      </c>
      <c r="E182" s="23" t="s">
        <v>143</v>
      </c>
      <c r="P182" s="34" t="s">
        <v>4</v>
      </c>
      <c r="Q182" s="23">
        <v>1.0</v>
      </c>
      <c r="R182" s="23">
        <v>5.0</v>
      </c>
      <c r="CA182" s="50">
        <v>46145.40211805556</v>
      </c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  <c r="CQ182" s="50"/>
      <c r="CR182" s="50"/>
      <c r="CS182" s="50"/>
      <c r="CT182" s="50"/>
      <c r="CU182" s="50"/>
      <c r="CV182" s="50"/>
      <c r="CW182" s="50"/>
      <c r="CX182" s="50"/>
      <c r="CY182" s="50"/>
      <c r="CZ182" s="50"/>
      <c r="DA182" s="50"/>
      <c r="DB182" s="50"/>
      <c r="DC182" s="50"/>
    </row>
    <row r="183">
      <c r="A183" s="23" t="s">
        <v>384</v>
      </c>
      <c r="B183" s="23">
        <v>20.0</v>
      </c>
      <c r="C183" s="23">
        <v>4.0</v>
      </c>
      <c r="D183" s="29">
        <f t="shared" si="1"/>
        <v>1</v>
      </c>
      <c r="E183" s="23" t="s">
        <v>143</v>
      </c>
      <c r="P183" s="34" t="s">
        <v>125</v>
      </c>
      <c r="Q183" s="23">
        <v>1.0</v>
      </c>
      <c r="R183" s="23">
        <v>14.0</v>
      </c>
      <c r="CA183" s="50">
        <v>46148.34883101852</v>
      </c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  <c r="CQ183" s="50"/>
      <c r="CR183" s="50"/>
      <c r="CS183" s="50"/>
      <c r="CT183" s="50"/>
      <c r="CU183" s="50"/>
      <c r="CV183" s="50"/>
      <c r="CW183" s="50"/>
      <c r="CX183" s="50"/>
      <c r="CY183" s="50"/>
      <c r="CZ183" s="50"/>
      <c r="DA183" s="50"/>
      <c r="DB183" s="50"/>
      <c r="DC183" s="50"/>
    </row>
    <row r="184">
      <c r="A184" s="23" t="s">
        <v>385</v>
      </c>
      <c r="B184" s="23">
        <v>20.0</v>
      </c>
      <c r="C184" s="23">
        <v>36.0</v>
      </c>
      <c r="D184" s="29">
        <f t="shared" si="1"/>
        <v>1</v>
      </c>
      <c r="E184" s="23" t="s">
        <v>185</v>
      </c>
      <c r="P184" s="34" t="s">
        <v>125</v>
      </c>
      <c r="Q184" s="23">
        <v>1.0</v>
      </c>
      <c r="R184" s="23">
        <v>16.0</v>
      </c>
      <c r="CA184" s="50">
        <v>46123.770625</v>
      </c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  <c r="CQ184" s="50"/>
      <c r="CR184" s="50"/>
      <c r="CS184" s="50"/>
      <c r="CT184" s="50"/>
      <c r="CU184" s="50"/>
      <c r="CV184" s="50"/>
      <c r="CW184" s="50"/>
      <c r="CX184" s="50"/>
      <c r="CY184" s="50"/>
      <c r="CZ184" s="50"/>
      <c r="DA184" s="50"/>
      <c r="DB184" s="50"/>
      <c r="DC184" s="50"/>
    </row>
    <row r="185">
      <c r="A185" s="23" t="s">
        <v>386</v>
      </c>
      <c r="B185" s="23">
        <v>20.0</v>
      </c>
      <c r="C185" s="23">
        <v>0.0</v>
      </c>
      <c r="D185" s="29">
        <f t="shared" si="1"/>
        <v>1</v>
      </c>
      <c r="E185" s="23" t="s">
        <v>143</v>
      </c>
      <c r="P185" s="34" t="s">
        <v>4</v>
      </c>
      <c r="Q185" s="23">
        <v>1.0</v>
      </c>
      <c r="R185" s="23">
        <v>7.0</v>
      </c>
      <c r="CA185" s="50">
        <v>46101.0403125</v>
      </c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  <c r="CQ185" s="50"/>
      <c r="CR185" s="50"/>
      <c r="CS185" s="50"/>
      <c r="CT185" s="50"/>
      <c r="CU185" s="50"/>
      <c r="CV185" s="50"/>
      <c r="CW185" s="50"/>
      <c r="CX185" s="50"/>
      <c r="CY185" s="50"/>
      <c r="CZ185" s="50"/>
      <c r="DA185" s="50"/>
      <c r="DB185" s="50"/>
      <c r="DC185" s="50"/>
    </row>
    <row r="186">
      <c r="A186" s="23" t="s">
        <v>387</v>
      </c>
      <c r="B186" s="23">
        <v>20.0</v>
      </c>
      <c r="C186" s="23">
        <v>0.0</v>
      </c>
      <c r="D186" s="29">
        <f t="shared" si="1"/>
        <v>1</v>
      </c>
      <c r="E186" s="23" t="s">
        <v>143</v>
      </c>
      <c r="P186" s="34" t="s">
        <v>4</v>
      </c>
      <c r="Q186" s="23">
        <v>1.0</v>
      </c>
      <c r="R186" s="23">
        <v>15.0</v>
      </c>
      <c r="CA186" s="50">
        <v>46142.55396990741</v>
      </c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  <c r="CQ186" s="50"/>
      <c r="CR186" s="50"/>
      <c r="CS186" s="50"/>
      <c r="CT186" s="50"/>
      <c r="CU186" s="50"/>
      <c r="CV186" s="50"/>
      <c r="CW186" s="50"/>
      <c r="CX186" s="50"/>
      <c r="CY186" s="50"/>
      <c r="CZ186" s="50"/>
      <c r="DA186" s="50"/>
      <c r="DB186" s="50"/>
      <c r="DC186" s="50"/>
    </row>
    <row r="187">
      <c r="A187" s="23" t="s">
        <v>388</v>
      </c>
      <c r="B187" s="23">
        <v>20.0</v>
      </c>
      <c r="C187" s="23">
        <v>14.0</v>
      </c>
      <c r="D187" s="29">
        <f t="shared" si="1"/>
        <v>1</v>
      </c>
      <c r="E187" s="23" t="s">
        <v>389</v>
      </c>
      <c r="P187" s="34" t="s">
        <v>4</v>
      </c>
      <c r="Q187" s="23">
        <v>2.0</v>
      </c>
      <c r="R187" s="23">
        <v>7.0</v>
      </c>
      <c r="CA187" s="50">
        <v>46125.69761574074</v>
      </c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C187" s="50"/>
    </row>
    <row r="188">
      <c r="A188" s="23" t="s">
        <v>390</v>
      </c>
      <c r="B188" s="23">
        <v>20.0</v>
      </c>
      <c r="C188" s="23">
        <v>4.0</v>
      </c>
      <c r="D188" s="29">
        <f t="shared" si="1"/>
        <v>1</v>
      </c>
      <c r="E188" s="23" t="s">
        <v>357</v>
      </c>
      <c r="P188" s="34" t="s">
        <v>4</v>
      </c>
      <c r="Q188" s="23">
        <v>1.0</v>
      </c>
      <c r="R188" s="23">
        <v>8.0</v>
      </c>
      <c r="CA188" s="50">
        <v>46122.602800925924</v>
      </c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  <c r="CP188" s="50"/>
      <c r="CQ188" s="50"/>
      <c r="CR188" s="50"/>
      <c r="CS188" s="50"/>
      <c r="CT188" s="50"/>
      <c r="CU188" s="50"/>
      <c r="CV188" s="50"/>
      <c r="CW188" s="50"/>
      <c r="CX188" s="50"/>
      <c r="CY188" s="50"/>
      <c r="CZ188" s="50"/>
      <c r="DA188" s="50"/>
      <c r="DB188" s="50"/>
      <c r="DC188" s="50"/>
    </row>
    <row r="189">
      <c r="A189" s="34" t="s">
        <v>391</v>
      </c>
      <c r="B189" s="23">
        <v>20.0</v>
      </c>
      <c r="C189" s="23">
        <v>4.0</v>
      </c>
      <c r="D189" s="29">
        <f t="shared" si="1"/>
        <v>1</v>
      </c>
      <c r="E189" s="23" t="s">
        <v>143</v>
      </c>
      <c r="F189" s="23">
        <v>2.24</v>
      </c>
      <c r="Y189" s="34" t="s">
        <v>25</v>
      </c>
      <c r="Z189" s="23">
        <v>1.0</v>
      </c>
      <c r="AA189" s="23">
        <v>22.0</v>
      </c>
      <c r="CA189" s="50">
        <v>46122.691516203704</v>
      </c>
      <c r="CB189" s="50"/>
      <c r="CC189" s="50"/>
      <c r="CD189" s="50"/>
      <c r="CE189" s="50"/>
      <c r="CF189" s="50"/>
      <c r="CG189" s="50"/>
      <c r="CH189" s="50"/>
      <c r="CI189" s="50"/>
      <c r="CJ189" s="50"/>
      <c r="CK189" s="50"/>
      <c r="CL189" s="50"/>
      <c r="CM189" s="50"/>
      <c r="CN189" s="50"/>
      <c r="CO189" s="50"/>
      <c r="CP189" s="50"/>
      <c r="CQ189" s="50"/>
      <c r="CR189" s="50"/>
      <c r="CS189" s="50"/>
      <c r="CT189" s="50"/>
      <c r="CU189" s="50"/>
      <c r="CV189" s="50"/>
      <c r="CW189" s="50"/>
      <c r="CX189" s="50"/>
      <c r="CY189" s="50"/>
      <c r="CZ189" s="50"/>
      <c r="DA189" s="50"/>
      <c r="DB189" s="50"/>
      <c r="DC189" s="50"/>
    </row>
    <row r="190">
      <c r="A190" s="23" t="s">
        <v>392</v>
      </c>
      <c r="B190" s="23">
        <v>20.0</v>
      </c>
      <c r="C190" s="23">
        <v>22.0</v>
      </c>
      <c r="D190" s="29">
        <f t="shared" si="1"/>
        <v>1</v>
      </c>
      <c r="AZ190" s="34" t="s">
        <v>119</v>
      </c>
      <c r="BA190" s="23">
        <v>1.0</v>
      </c>
      <c r="BB190" s="23">
        <v>17.0</v>
      </c>
      <c r="CA190" s="50">
        <v>46149.86881944445</v>
      </c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  <c r="CP190" s="50"/>
      <c r="CQ190" s="50"/>
      <c r="CR190" s="50"/>
      <c r="CS190" s="50"/>
      <c r="CT190" s="50"/>
      <c r="CU190" s="50"/>
      <c r="CV190" s="50"/>
      <c r="CW190" s="50"/>
      <c r="CX190" s="50"/>
      <c r="CY190" s="50"/>
      <c r="CZ190" s="50"/>
      <c r="DA190" s="50"/>
      <c r="DB190" s="50"/>
      <c r="DC190" s="50"/>
    </row>
    <row r="191">
      <c r="A191" s="23" t="s">
        <v>393</v>
      </c>
      <c r="B191" s="23">
        <v>20.0</v>
      </c>
      <c r="C191" s="23">
        <v>2.0</v>
      </c>
      <c r="D191" s="29">
        <f t="shared" si="1"/>
        <v>1</v>
      </c>
      <c r="E191" s="23" t="s">
        <v>295</v>
      </c>
      <c r="P191" s="34" t="s">
        <v>4</v>
      </c>
      <c r="Q191" s="23">
        <v>1.0</v>
      </c>
      <c r="R191" s="23">
        <v>22.0</v>
      </c>
      <c r="CA191" s="50">
        <v>46099.91033564815</v>
      </c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  <c r="CP191" s="50"/>
      <c r="CQ191" s="50"/>
      <c r="CR191" s="50"/>
      <c r="CS191" s="50"/>
      <c r="CT191" s="50"/>
      <c r="CU191" s="50"/>
      <c r="CV191" s="50"/>
      <c r="CW191" s="50"/>
      <c r="CX191" s="50"/>
      <c r="CY191" s="50"/>
      <c r="CZ191" s="50"/>
      <c r="DA191" s="50"/>
      <c r="DB191" s="50"/>
      <c r="DC191" s="50"/>
    </row>
    <row r="192">
      <c r="A192" s="23" t="s">
        <v>394</v>
      </c>
      <c r="B192" s="23">
        <v>20.0</v>
      </c>
      <c r="C192" s="23">
        <v>73.0</v>
      </c>
      <c r="D192" s="29">
        <f t="shared" si="1"/>
        <v>1</v>
      </c>
      <c r="F192" s="23">
        <v>0.23</v>
      </c>
      <c r="P192" s="34" t="s">
        <v>4</v>
      </c>
      <c r="Q192" s="23">
        <v>3.0</v>
      </c>
      <c r="R192" s="23">
        <v>2.0</v>
      </c>
      <c r="CA192" s="50">
        <v>46160.83896990741</v>
      </c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  <c r="CP192" s="50"/>
      <c r="CQ192" s="50"/>
      <c r="CR192" s="50"/>
      <c r="CS192" s="50"/>
      <c r="CT192" s="50"/>
      <c r="CU192" s="50"/>
      <c r="CV192" s="50"/>
      <c r="CW192" s="50"/>
      <c r="CX192" s="50"/>
      <c r="CY192" s="50"/>
      <c r="CZ192" s="50"/>
      <c r="DA192" s="50"/>
      <c r="DB192" s="50"/>
      <c r="DC192" s="50"/>
    </row>
    <row r="193">
      <c r="A193" s="23" t="s">
        <v>395</v>
      </c>
      <c r="B193" s="23">
        <v>20.0</v>
      </c>
      <c r="C193" s="23">
        <v>24.0</v>
      </c>
      <c r="D193" s="29">
        <f t="shared" si="1"/>
        <v>1</v>
      </c>
      <c r="E193" s="23" t="s">
        <v>143</v>
      </c>
      <c r="AZ193" s="34" t="s">
        <v>135</v>
      </c>
      <c r="BA193" s="23">
        <v>1.0</v>
      </c>
      <c r="BB193" s="23">
        <v>21.0</v>
      </c>
      <c r="CA193" s="50">
        <v>46157.35157407408</v>
      </c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  <c r="CP193" s="50"/>
      <c r="CQ193" s="50"/>
      <c r="CR193" s="50"/>
      <c r="CS193" s="50"/>
      <c r="CT193" s="50"/>
      <c r="CU193" s="50"/>
      <c r="CV193" s="50"/>
      <c r="CW193" s="50"/>
      <c r="CX193" s="50"/>
      <c r="CY193" s="50"/>
      <c r="CZ193" s="50"/>
      <c r="DA193" s="50"/>
      <c r="DB193" s="50"/>
      <c r="DC193" s="50"/>
    </row>
    <row r="194">
      <c r="A194" s="23" t="s">
        <v>396</v>
      </c>
      <c r="B194" s="23">
        <v>20.0</v>
      </c>
      <c r="C194" s="23">
        <v>0.0</v>
      </c>
      <c r="D194" s="29">
        <f t="shared" si="1"/>
        <v>1</v>
      </c>
      <c r="E194" s="23" t="s">
        <v>188</v>
      </c>
      <c r="P194" s="34" t="s">
        <v>4</v>
      </c>
      <c r="Q194" s="23">
        <v>1.0</v>
      </c>
      <c r="R194" s="23">
        <v>21.0</v>
      </c>
      <c r="CA194" s="50">
        <v>46126.455671296295</v>
      </c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  <c r="CP194" s="50"/>
      <c r="CQ194" s="50"/>
      <c r="CR194" s="50"/>
      <c r="CS194" s="50"/>
      <c r="CT194" s="50"/>
      <c r="CU194" s="50"/>
      <c r="CV194" s="50"/>
      <c r="CW194" s="50"/>
      <c r="CX194" s="50"/>
      <c r="CY194" s="50"/>
      <c r="CZ194" s="50"/>
      <c r="DA194" s="50"/>
      <c r="DB194" s="50"/>
      <c r="DC194" s="50"/>
    </row>
    <row r="195">
      <c r="A195" s="23" t="s">
        <v>397</v>
      </c>
      <c r="B195" s="23">
        <v>20.0</v>
      </c>
      <c r="C195" s="23">
        <v>0.0</v>
      </c>
      <c r="D195" s="29">
        <f t="shared" si="1"/>
        <v>1</v>
      </c>
      <c r="E195" s="23" t="s">
        <v>398</v>
      </c>
      <c r="P195" s="34" t="s">
        <v>333</v>
      </c>
      <c r="Q195" s="23">
        <v>2.0</v>
      </c>
      <c r="R195" s="23">
        <v>5.0</v>
      </c>
      <c r="CA195" s="50">
        <v>46161.257835648146</v>
      </c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  <c r="CP195" s="50"/>
      <c r="CQ195" s="50"/>
      <c r="CR195" s="50"/>
      <c r="CS195" s="50"/>
      <c r="CT195" s="50"/>
      <c r="CU195" s="50"/>
      <c r="CV195" s="50"/>
      <c r="CW195" s="50"/>
      <c r="CX195" s="50"/>
      <c r="CY195" s="50"/>
      <c r="CZ195" s="50"/>
      <c r="DA195" s="50"/>
      <c r="DB195" s="50"/>
      <c r="DC195" s="50"/>
    </row>
    <row r="196">
      <c r="A196" s="23" t="s">
        <v>399</v>
      </c>
      <c r="B196" s="23">
        <v>20.0</v>
      </c>
      <c r="C196" s="23">
        <v>3.0</v>
      </c>
      <c r="D196" s="29">
        <f t="shared" si="1"/>
        <v>1</v>
      </c>
      <c r="E196" s="23" t="s">
        <v>155</v>
      </c>
      <c r="P196" s="34" t="s">
        <v>282</v>
      </c>
      <c r="Q196" s="23">
        <v>1.0</v>
      </c>
      <c r="R196" s="23">
        <v>10.0</v>
      </c>
      <c r="CA196" s="50">
        <v>46144.156805555554</v>
      </c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  <c r="CP196" s="50"/>
      <c r="CQ196" s="50"/>
      <c r="CR196" s="50"/>
      <c r="CS196" s="50"/>
      <c r="CT196" s="50"/>
      <c r="CU196" s="50"/>
      <c r="CV196" s="50"/>
      <c r="CW196" s="50"/>
      <c r="CX196" s="50"/>
      <c r="CY196" s="50"/>
      <c r="CZ196" s="50"/>
      <c r="DA196" s="50"/>
      <c r="DB196" s="50"/>
      <c r="DC196" s="50"/>
    </row>
    <row r="197">
      <c r="A197" s="23" t="s">
        <v>400</v>
      </c>
      <c r="B197" s="23">
        <v>20.0</v>
      </c>
      <c r="C197" s="23">
        <v>31.0</v>
      </c>
      <c r="D197" s="29">
        <f t="shared" si="1"/>
        <v>1</v>
      </c>
      <c r="E197" s="23" t="s">
        <v>143</v>
      </c>
      <c r="P197" s="34" t="s">
        <v>4</v>
      </c>
      <c r="Q197" s="23">
        <v>1.0</v>
      </c>
      <c r="R197" s="23">
        <v>9.0</v>
      </c>
      <c r="CA197" s="50">
        <v>46149.00011574074</v>
      </c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  <c r="CP197" s="50"/>
      <c r="CQ197" s="50"/>
      <c r="CR197" s="50"/>
      <c r="CS197" s="50"/>
      <c r="CT197" s="50"/>
      <c r="CU197" s="50"/>
      <c r="CV197" s="50"/>
      <c r="CW197" s="50"/>
      <c r="CX197" s="50"/>
      <c r="CY197" s="50"/>
      <c r="CZ197" s="50"/>
      <c r="DA197" s="50"/>
      <c r="DB197" s="50"/>
      <c r="DC197" s="50"/>
    </row>
    <row r="198">
      <c r="A198" s="23" t="s">
        <v>401</v>
      </c>
      <c r="B198" s="23">
        <v>20.0</v>
      </c>
      <c r="C198" s="23">
        <v>45.0</v>
      </c>
      <c r="D198" s="29">
        <f t="shared" si="1"/>
        <v>1</v>
      </c>
      <c r="E198" s="23" t="s">
        <v>226</v>
      </c>
      <c r="P198" s="34" t="s">
        <v>4</v>
      </c>
      <c r="Q198" s="23">
        <v>1.0</v>
      </c>
      <c r="R198" s="23">
        <v>7.0</v>
      </c>
      <c r="CA198" s="50">
        <v>46141.7559375</v>
      </c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  <c r="CP198" s="50"/>
      <c r="CQ198" s="50"/>
      <c r="CR198" s="50"/>
      <c r="CS198" s="50"/>
      <c r="CT198" s="50"/>
      <c r="CU198" s="50"/>
      <c r="CV198" s="50"/>
      <c r="CW198" s="50"/>
      <c r="CX198" s="50"/>
      <c r="CY198" s="50"/>
      <c r="CZ198" s="50"/>
      <c r="DA198" s="50"/>
      <c r="DB198" s="50"/>
      <c r="DC198" s="50"/>
    </row>
    <row r="199">
      <c r="A199" s="23" t="s">
        <v>402</v>
      </c>
      <c r="B199" s="23">
        <v>10.0</v>
      </c>
      <c r="C199" s="23">
        <v>0.0</v>
      </c>
      <c r="D199" s="29">
        <f t="shared" si="1"/>
        <v>1</v>
      </c>
      <c r="E199" s="23" t="s">
        <v>155</v>
      </c>
      <c r="P199" s="34" t="s">
        <v>333</v>
      </c>
      <c r="Q199" s="23">
        <v>1.0</v>
      </c>
      <c r="R199" s="23">
        <v>6.0</v>
      </c>
      <c r="CA199" s="50">
        <v>46084.49159722222</v>
      </c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  <c r="CP199" s="50"/>
      <c r="CQ199" s="50"/>
      <c r="CR199" s="50"/>
      <c r="CS199" s="50"/>
      <c r="CT199" s="50"/>
      <c r="CU199" s="50"/>
      <c r="CV199" s="50"/>
      <c r="CW199" s="50"/>
      <c r="CX199" s="50"/>
      <c r="CY199" s="50"/>
      <c r="CZ199" s="50"/>
      <c r="DA199" s="50"/>
      <c r="DB199" s="50"/>
      <c r="DC199" s="50"/>
    </row>
    <row r="200">
      <c r="A200" s="23" t="s">
        <v>403</v>
      </c>
      <c r="B200" s="23">
        <v>10.0</v>
      </c>
      <c r="C200" s="23">
        <v>0.0</v>
      </c>
      <c r="D200" s="29">
        <f t="shared" si="1"/>
        <v>1</v>
      </c>
      <c r="E200" s="23" t="s">
        <v>404</v>
      </c>
      <c r="P200" s="34" t="s">
        <v>333</v>
      </c>
      <c r="Q200" s="23">
        <v>2.0</v>
      </c>
      <c r="R200" s="23">
        <v>3.0</v>
      </c>
      <c r="CA200" s="50">
        <v>46125.94458333333</v>
      </c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  <c r="CP200" s="50"/>
      <c r="CQ200" s="50"/>
      <c r="CR200" s="50"/>
      <c r="CS200" s="50"/>
      <c r="CT200" s="50"/>
      <c r="CU200" s="50"/>
      <c r="CV200" s="50"/>
      <c r="CW200" s="50"/>
      <c r="CX200" s="50"/>
      <c r="CY200" s="50"/>
      <c r="CZ200" s="50"/>
      <c r="DA200" s="50"/>
      <c r="DB200" s="50"/>
      <c r="DC200" s="50"/>
    </row>
    <row r="201">
      <c r="A201" s="23" t="s">
        <v>405</v>
      </c>
      <c r="B201" s="23">
        <v>10.0</v>
      </c>
      <c r="C201" s="23">
        <v>9.0</v>
      </c>
      <c r="D201" s="29">
        <f t="shared" si="1"/>
        <v>1</v>
      </c>
      <c r="E201" s="23" t="s">
        <v>406</v>
      </c>
      <c r="AZ201" s="34" t="s">
        <v>119</v>
      </c>
      <c r="BA201" s="23">
        <v>1.0</v>
      </c>
      <c r="BB201" s="23">
        <v>5.0</v>
      </c>
      <c r="CA201" s="50">
        <v>46155.32078703704</v>
      </c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C201" s="50"/>
    </row>
    <row r="202">
      <c r="A202" s="23" t="s">
        <v>407</v>
      </c>
      <c r="B202" s="23">
        <v>10.0</v>
      </c>
      <c r="C202" s="23">
        <v>0.0</v>
      </c>
      <c r="D202" s="29">
        <f t="shared" si="1"/>
        <v>1</v>
      </c>
      <c r="E202" s="23" t="s">
        <v>155</v>
      </c>
      <c r="P202" s="34" t="s">
        <v>333</v>
      </c>
      <c r="Q202" s="23">
        <v>1.0</v>
      </c>
      <c r="R202" s="23">
        <v>4.0</v>
      </c>
      <c r="CA202" s="50">
        <v>46161.794120370374</v>
      </c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  <c r="CP202" s="50"/>
      <c r="CQ202" s="50"/>
      <c r="CR202" s="50"/>
      <c r="CS202" s="50"/>
      <c r="CT202" s="50"/>
      <c r="CU202" s="50"/>
      <c r="CV202" s="50"/>
      <c r="CW202" s="50"/>
      <c r="CX202" s="50"/>
      <c r="CY202" s="50"/>
      <c r="CZ202" s="50"/>
      <c r="DA202" s="50"/>
      <c r="DB202" s="50"/>
      <c r="DC202" s="50"/>
    </row>
    <row r="203">
      <c r="A203" s="23" t="s">
        <v>408</v>
      </c>
      <c r="B203" s="23">
        <v>10.0</v>
      </c>
      <c r="C203" s="23">
        <v>48.0</v>
      </c>
      <c r="D203" s="29">
        <f t="shared" si="1"/>
        <v>1</v>
      </c>
      <c r="E203" s="23" t="s">
        <v>143</v>
      </c>
      <c r="P203" s="34" t="s">
        <v>409</v>
      </c>
      <c r="Q203" s="23">
        <v>1.0</v>
      </c>
      <c r="R203" s="23">
        <v>6.0</v>
      </c>
      <c r="CA203" s="50">
        <v>46149.05506944445</v>
      </c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  <c r="CP203" s="50"/>
      <c r="CQ203" s="50"/>
      <c r="CR203" s="50"/>
      <c r="CS203" s="50"/>
      <c r="CT203" s="50"/>
      <c r="CU203" s="50"/>
      <c r="CV203" s="50"/>
      <c r="CW203" s="50"/>
      <c r="CX203" s="50"/>
      <c r="CY203" s="50"/>
      <c r="CZ203" s="50"/>
      <c r="DA203" s="50"/>
      <c r="DB203" s="50"/>
      <c r="DC203" s="50"/>
    </row>
    <row r="204">
      <c r="A204" s="23" t="s">
        <v>410</v>
      </c>
      <c r="B204" s="23">
        <v>10.0</v>
      </c>
      <c r="C204" s="23">
        <v>61.0</v>
      </c>
      <c r="D204" s="29">
        <f t="shared" si="1"/>
        <v>1</v>
      </c>
      <c r="E204" s="23" t="s">
        <v>155</v>
      </c>
      <c r="Y204" s="34" t="s">
        <v>411</v>
      </c>
      <c r="Z204" s="23">
        <v>1.0</v>
      </c>
      <c r="AA204" s="23">
        <v>5.0</v>
      </c>
      <c r="CA204" s="50">
        <v>46149.54761574074</v>
      </c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  <c r="CP204" s="50"/>
      <c r="CQ204" s="50"/>
      <c r="CR204" s="50"/>
      <c r="CS204" s="50"/>
      <c r="CT204" s="50"/>
      <c r="CU204" s="50"/>
      <c r="CV204" s="50"/>
      <c r="CW204" s="50"/>
      <c r="CX204" s="50"/>
      <c r="CY204" s="50"/>
      <c r="CZ204" s="50"/>
      <c r="DA204" s="50"/>
      <c r="DB204" s="50"/>
      <c r="DC204" s="50"/>
    </row>
    <row r="205">
      <c r="A205" s="23" t="s">
        <v>412</v>
      </c>
      <c r="B205" s="23">
        <v>10.0</v>
      </c>
      <c r="C205" s="23">
        <v>27.0</v>
      </c>
      <c r="D205" s="29">
        <f t="shared" si="1"/>
        <v>1</v>
      </c>
      <c r="E205" s="23" t="s">
        <v>202</v>
      </c>
      <c r="P205" s="34" t="s">
        <v>125</v>
      </c>
      <c r="Q205" s="23">
        <v>1.0</v>
      </c>
      <c r="R205" s="23">
        <v>4.0</v>
      </c>
      <c r="CA205" s="50">
        <v>46089.66003472222</v>
      </c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  <c r="CP205" s="50"/>
      <c r="CQ205" s="50"/>
      <c r="CR205" s="50"/>
      <c r="CS205" s="50"/>
      <c r="CT205" s="50"/>
      <c r="CU205" s="50"/>
      <c r="CV205" s="50"/>
      <c r="CW205" s="50"/>
      <c r="CX205" s="50"/>
      <c r="CY205" s="50"/>
      <c r="CZ205" s="50"/>
      <c r="DA205" s="50"/>
      <c r="DB205" s="50"/>
      <c r="DC205" s="50"/>
    </row>
    <row r="206">
      <c r="A206" s="23" t="s">
        <v>413</v>
      </c>
      <c r="B206" s="23">
        <v>10.0</v>
      </c>
      <c r="C206" s="23">
        <v>10.0</v>
      </c>
      <c r="D206" s="29">
        <f t="shared" si="1"/>
        <v>1</v>
      </c>
      <c r="E206" s="23" t="s">
        <v>155</v>
      </c>
      <c r="AQ206" s="34" t="s">
        <v>414</v>
      </c>
      <c r="AR206" s="23">
        <v>1.0</v>
      </c>
      <c r="AS206" s="23">
        <v>6.0</v>
      </c>
      <c r="CA206" s="50">
        <v>46098.98924768518</v>
      </c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  <c r="CP206" s="50"/>
      <c r="CQ206" s="50"/>
      <c r="CR206" s="50"/>
      <c r="CS206" s="50"/>
      <c r="CT206" s="50"/>
      <c r="CU206" s="50"/>
      <c r="CV206" s="50"/>
      <c r="CW206" s="50"/>
      <c r="CX206" s="50"/>
      <c r="CY206" s="50"/>
      <c r="CZ206" s="50"/>
      <c r="DA206" s="50"/>
      <c r="DB206" s="50"/>
      <c r="DC206" s="50"/>
    </row>
    <row r="207">
      <c r="A207" s="23" t="s">
        <v>415</v>
      </c>
      <c r="B207" s="23">
        <v>10.0</v>
      </c>
      <c r="C207" s="23">
        <v>29.0</v>
      </c>
      <c r="D207" s="29">
        <f t="shared" si="1"/>
        <v>1</v>
      </c>
      <c r="E207" s="23" t="s">
        <v>155</v>
      </c>
      <c r="AZ207" s="34" t="s">
        <v>119</v>
      </c>
      <c r="BA207" s="23">
        <v>2.0</v>
      </c>
      <c r="BB207" s="23">
        <v>0.0</v>
      </c>
      <c r="CA207" s="50">
        <v>46142.58335648148</v>
      </c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  <c r="CP207" s="50"/>
      <c r="CQ207" s="50"/>
      <c r="CR207" s="50"/>
      <c r="CS207" s="50"/>
      <c r="CT207" s="50"/>
      <c r="CU207" s="50"/>
      <c r="CV207" s="50"/>
      <c r="CW207" s="50"/>
      <c r="CX207" s="50"/>
      <c r="CY207" s="50"/>
      <c r="CZ207" s="50"/>
      <c r="DA207" s="50"/>
      <c r="DB207" s="50"/>
      <c r="DC207" s="50"/>
    </row>
    <row r="208">
      <c r="A208" s="23" t="s">
        <v>416</v>
      </c>
      <c r="B208" s="23">
        <v>10.0</v>
      </c>
      <c r="C208" s="23">
        <v>33.0</v>
      </c>
      <c r="D208" s="29">
        <f t="shared" si="1"/>
        <v>1</v>
      </c>
      <c r="E208" s="23" t="s">
        <v>188</v>
      </c>
      <c r="Y208" s="34" t="s">
        <v>25</v>
      </c>
      <c r="Z208" s="23">
        <v>1.0</v>
      </c>
      <c r="AA208" s="23">
        <v>13.0</v>
      </c>
      <c r="CA208" s="50">
        <v>46099.673113425924</v>
      </c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  <c r="CP208" s="50"/>
      <c r="CQ208" s="50"/>
      <c r="CR208" s="50"/>
      <c r="CS208" s="50"/>
      <c r="CT208" s="50"/>
      <c r="CU208" s="50"/>
      <c r="CV208" s="50"/>
      <c r="CW208" s="50"/>
      <c r="CX208" s="50"/>
      <c r="CY208" s="50"/>
      <c r="CZ208" s="50"/>
      <c r="DA208" s="50"/>
      <c r="DB208" s="50"/>
      <c r="DC208" s="50"/>
    </row>
    <row r="209">
      <c r="A209" s="23" t="s">
        <v>417</v>
      </c>
      <c r="B209" s="23">
        <v>10.0</v>
      </c>
      <c r="C209" s="23">
        <v>54.0</v>
      </c>
      <c r="D209" s="29">
        <f t="shared" si="1"/>
        <v>1</v>
      </c>
      <c r="E209" s="23" t="s">
        <v>343</v>
      </c>
      <c r="P209" s="34" t="s">
        <v>4</v>
      </c>
      <c r="Q209" s="23">
        <v>1.0</v>
      </c>
      <c r="R209" s="23">
        <v>5.0</v>
      </c>
      <c r="CA209" s="50">
        <v>46126.991585648146</v>
      </c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  <c r="CP209" s="50"/>
      <c r="CQ209" s="50"/>
      <c r="CR209" s="50"/>
      <c r="CS209" s="50"/>
      <c r="CT209" s="50"/>
      <c r="CU209" s="50"/>
      <c r="CV209" s="50"/>
      <c r="CW209" s="50"/>
      <c r="CX209" s="50"/>
      <c r="CY209" s="50"/>
      <c r="CZ209" s="50"/>
      <c r="DA209" s="50"/>
      <c r="DB209" s="50"/>
      <c r="DC209" s="50"/>
    </row>
    <row r="210">
      <c r="A210" s="23" t="s">
        <v>418</v>
      </c>
      <c r="B210" s="23">
        <v>10.0</v>
      </c>
      <c r="C210" s="23">
        <v>1.0</v>
      </c>
      <c r="D210" s="29">
        <f t="shared" si="1"/>
        <v>1</v>
      </c>
      <c r="AQ210" s="34" t="s">
        <v>134</v>
      </c>
      <c r="AR210" s="23">
        <v>1.0</v>
      </c>
      <c r="AS210" s="23">
        <v>8.0</v>
      </c>
      <c r="CA210" s="50">
        <v>46071.37432870371</v>
      </c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  <c r="CP210" s="50"/>
      <c r="CQ210" s="50"/>
      <c r="CR210" s="50"/>
      <c r="CS210" s="50"/>
      <c r="CT210" s="50"/>
      <c r="CU210" s="50"/>
      <c r="CV210" s="50"/>
      <c r="CW210" s="50"/>
      <c r="CX210" s="50"/>
      <c r="CY210" s="50"/>
      <c r="CZ210" s="50"/>
      <c r="DA210" s="50"/>
      <c r="DB210" s="50"/>
      <c r="DC210" s="50"/>
    </row>
    <row r="211">
      <c r="A211" s="23" t="s">
        <v>419</v>
      </c>
      <c r="B211" s="23">
        <v>10.0</v>
      </c>
      <c r="C211" s="23">
        <v>0.0</v>
      </c>
      <c r="D211" s="29">
        <f t="shared" si="1"/>
        <v>1</v>
      </c>
      <c r="E211" s="23" t="s">
        <v>278</v>
      </c>
      <c r="P211" s="34" t="s">
        <v>333</v>
      </c>
      <c r="Q211" s="23">
        <v>2.0</v>
      </c>
      <c r="R211" s="23">
        <v>3.0</v>
      </c>
      <c r="CA211" s="50">
        <v>46098.18783564815</v>
      </c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  <c r="CQ211" s="50"/>
      <c r="CR211" s="50"/>
      <c r="CS211" s="50"/>
      <c r="CT211" s="50"/>
      <c r="CU211" s="50"/>
      <c r="CV211" s="50"/>
      <c r="CW211" s="50"/>
      <c r="CX211" s="50"/>
      <c r="CY211" s="50"/>
      <c r="CZ211" s="50"/>
      <c r="DA211" s="50"/>
      <c r="DB211" s="50"/>
      <c r="DC211" s="50"/>
    </row>
    <row r="212">
      <c r="A212" s="23" t="s">
        <v>420</v>
      </c>
      <c r="B212" s="23">
        <v>10.0</v>
      </c>
      <c r="C212" s="23">
        <v>85.0</v>
      </c>
      <c r="D212" s="29">
        <f t="shared" si="1"/>
        <v>1</v>
      </c>
      <c r="E212" s="23" t="s">
        <v>205</v>
      </c>
      <c r="AQ212" s="34" t="s">
        <v>134</v>
      </c>
      <c r="AR212" s="23">
        <v>3.0</v>
      </c>
      <c r="AS212" s="23">
        <v>1.0</v>
      </c>
      <c r="CA212" s="50">
        <v>46156.73380787037</v>
      </c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  <c r="CP212" s="50"/>
      <c r="CQ212" s="50"/>
      <c r="CR212" s="50"/>
      <c r="CS212" s="50"/>
      <c r="CT212" s="50"/>
      <c r="CU212" s="50"/>
      <c r="CV212" s="50"/>
      <c r="CW212" s="50"/>
      <c r="CX212" s="50"/>
      <c r="CY212" s="50"/>
      <c r="CZ212" s="50"/>
      <c r="DA212" s="50"/>
      <c r="DB212" s="50"/>
      <c r="DC212" s="50"/>
    </row>
    <row r="213">
      <c r="A213" s="23" t="s">
        <v>421</v>
      </c>
      <c r="B213" s="23">
        <v>10.0</v>
      </c>
      <c r="C213" s="23">
        <v>54.0</v>
      </c>
      <c r="D213" s="29">
        <f t="shared" si="1"/>
        <v>1</v>
      </c>
      <c r="E213" s="23" t="s">
        <v>155</v>
      </c>
      <c r="Y213" s="34" t="s">
        <v>129</v>
      </c>
      <c r="Z213" s="23">
        <v>6.0</v>
      </c>
      <c r="AA213" s="23">
        <v>1.0</v>
      </c>
      <c r="CA213" s="50">
        <v>46143.75628472222</v>
      </c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  <c r="CQ213" s="50"/>
      <c r="CR213" s="50"/>
      <c r="CS213" s="50"/>
      <c r="CT213" s="50"/>
      <c r="CU213" s="50"/>
      <c r="CV213" s="50"/>
      <c r="CW213" s="50"/>
      <c r="CX213" s="50"/>
      <c r="CY213" s="50"/>
      <c r="CZ213" s="50"/>
      <c r="DA213" s="50"/>
      <c r="DB213" s="50"/>
      <c r="DC213" s="50"/>
    </row>
    <row r="214">
      <c r="A214" s="23" t="s">
        <v>422</v>
      </c>
      <c r="B214" s="23">
        <v>10.0</v>
      </c>
      <c r="C214" s="23">
        <v>48.0</v>
      </c>
      <c r="D214" s="29">
        <f t="shared" si="1"/>
        <v>1</v>
      </c>
      <c r="E214" s="23" t="s">
        <v>143</v>
      </c>
      <c r="P214" s="34" t="s">
        <v>4</v>
      </c>
      <c r="Q214" s="23">
        <v>1.0</v>
      </c>
      <c r="R214" s="23">
        <v>4.0</v>
      </c>
      <c r="CA214" s="50">
        <v>46150.0790162037</v>
      </c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  <c r="CP214" s="50"/>
      <c r="CQ214" s="50"/>
      <c r="CR214" s="50"/>
      <c r="CS214" s="50"/>
      <c r="CT214" s="50"/>
      <c r="CU214" s="50"/>
      <c r="CV214" s="50"/>
      <c r="CW214" s="50"/>
      <c r="CX214" s="50"/>
      <c r="CY214" s="50"/>
      <c r="CZ214" s="50"/>
      <c r="DA214" s="50"/>
      <c r="DB214" s="50"/>
      <c r="DC214" s="50"/>
    </row>
    <row r="215">
      <c r="A215" s="23" t="s">
        <v>423</v>
      </c>
      <c r="B215" s="23">
        <v>10.0</v>
      </c>
      <c r="C215" s="23">
        <v>0.0</v>
      </c>
      <c r="D215" s="29">
        <f t="shared" si="1"/>
        <v>1</v>
      </c>
      <c r="E215" s="23" t="s">
        <v>314</v>
      </c>
      <c r="AQ215" s="34" t="s">
        <v>114</v>
      </c>
      <c r="AR215" s="23">
        <v>1.0</v>
      </c>
      <c r="AS215" s="23">
        <v>4.0</v>
      </c>
      <c r="CA215" s="50">
        <v>46123.756574074076</v>
      </c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  <c r="CP215" s="50"/>
      <c r="CQ215" s="50"/>
      <c r="CR215" s="50"/>
      <c r="CS215" s="50"/>
      <c r="CT215" s="50"/>
      <c r="CU215" s="50"/>
      <c r="CV215" s="50"/>
      <c r="CW215" s="50"/>
      <c r="CX215" s="50"/>
      <c r="CY215" s="50"/>
      <c r="CZ215" s="50"/>
      <c r="DA215" s="50"/>
      <c r="DB215" s="50"/>
      <c r="DC215" s="50"/>
    </row>
    <row r="216">
      <c r="A216" s="23" t="s">
        <v>424</v>
      </c>
      <c r="B216" s="23">
        <v>10.0</v>
      </c>
      <c r="C216" s="23">
        <v>24.0</v>
      </c>
      <c r="D216" s="29">
        <f t="shared" si="1"/>
        <v>1</v>
      </c>
      <c r="E216" s="23" t="s">
        <v>143</v>
      </c>
      <c r="P216" s="34" t="s">
        <v>125</v>
      </c>
      <c r="Q216" s="23">
        <v>1.0</v>
      </c>
      <c r="R216" s="23">
        <v>8.0</v>
      </c>
      <c r="CA216" s="50">
        <v>46122.712696759256</v>
      </c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C216" s="50"/>
    </row>
    <row r="217">
      <c r="A217" s="23" t="s">
        <v>425</v>
      </c>
      <c r="B217" s="23">
        <v>10.0</v>
      </c>
      <c r="C217" s="23">
        <v>5.0</v>
      </c>
      <c r="D217" s="29">
        <f t="shared" si="1"/>
        <v>1</v>
      </c>
      <c r="E217" s="23" t="s">
        <v>188</v>
      </c>
      <c r="P217" s="34" t="s">
        <v>4</v>
      </c>
      <c r="Q217" s="23">
        <v>1.0</v>
      </c>
      <c r="R217" s="23">
        <v>3.0</v>
      </c>
      <c r="CA217" s="50">
        <v>46144.252118055556</v>
      </c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  <c r="CP217" s="50"/>
      <c r="CQ217" s="50"/>
      <c r="CR217" s="50"/>
      <c r="CS217" s="50"/>
      <c r="CT217" s="50"/>
      <c r="CU217" s="50"/>
      <c r="CV217" s="50"/>
      <c r="CW217" s="50"/>
      <c r="CX217" s="50"/>
      <c r="CY217" s="50"/>
      <c r="CZ217" s="50"/>
      <c r="DA217" s="50"/>
      <c r="DB217" s="50"/>
      <c r="DC217" s="50"/>
    </row>
    <row r="218">
      <c r="A218" s="23" t="s">
        <v>426</v>
      </c>
      <c r="B218" s="23">
        <v>10.0</v>
      </c>
      <c r="C218" s="23">
        <v>36.0</v>
      </c>
      <c r="D218" s="29">
        <f t="shared" si="1"/>
        <v>1</v>
      </c>
      <c r="E218" s="23" t="s">
        <v>226</v>
      </c>
      <c r="Y218" s="34" t="s">
        <v>25</v>
      </c>
      <c r="Z218" s="23">
        <v>1.0</v>
      </c>
      <c r="AA218" s="23">
        <v>3.0</v>
      </c>
      <c r="CA218" s="50">
        <v>46149.41065972222</v>
      </c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C218" s="50"/>
    </row>
    <row r="219">
      <c r="A219" s="23" t="s">
        <v>427</v>
      </c>
      <c r="B219" s="23">
        <v>10.0</v>
      </c>
      <c r="C219" s="23">
        <v>68.0</v>
      </c>
      <c r="D219" s="29">
        <f t="shared" si="1"/>
        <v>1</v>
      </c>
      <c r="E219" s="23" t="s">
        <v>143</v>
      </c>
      <c r="P219" s="34" t="s">
        <v>4</v>
      </c>
      <c r="Q219" s="23">
        <v>1.0</v>
      </c>
      <c r="R219" s="23">
        <v>8.0</v>
      </c>
      <c r="CA219" s="50">
        <v>46155.962534722225</v>
      </c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  <c r="CQ219" s="50"/>
      <c r="CR219" s="50"/>
      <c r="CS219" s="50"/>
      <c r="CT219" s="50"/>
      <c r="CU219" s="50"/>
      <c r="CV219" s="50"/>
      <c r="CW219" s="50"/>
      <c r="CX219" s="50"/>
      <c r="CY219" s="50"/>
      <c r="CZ219" s="50"/>
      <c r="DA219" s="50"/>
      <c r="DB219" s="50"/>
      <c r="DC219" s="50"/>
    </row>
    <row r="220">
      <c r="A220" s="23" t="s">
        <v>428</v>
      </c>
      <c r="B220" s="23">
        <v>10.0</v>
      </c>
      <c r="C220" s="23">
        <v>0.0</v>
      </c>
      <c r="D220" s="29">
        <f t="shared" si="1"/>
        <v>1</v>
      </c>
      <c r="E220" s="23" t="s">
        <v>357</v>
      </c>
      <c r="P220" s="34" t="s">
        <v>4</v>
      </c>
      <c r="Q220" s="23">
        <v>1.0</v>
      </c>
      <c r="R220" s="23">
        <v>4.0</v>
      </c>
      <c r="CA220" s="50">
        <v>46141.73811342593</v>
      </c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  <c r="CP220" s="50"/>
      <c r="CQ220" s="50"/>
      <c r="CR220" s="50"/>
      <c r="CS220" s="50"/>
      <c r="CT220" s="50"/>
      <c r="CU220" s="50"/>
      <c r="CV220" s="50"/>
      <c r="CW220" s="50"/>
      <c r="CX220" s="50"/>
      <c r="CY220" s="50"/>
      <c r="CZ220" s="50"/>
      <c r="DA220" s="50"/>
      <c r="DB220" s="50"/>
      <c r="DC220" s="50"/>
    </row>
    <row r="221">
      <c r="A221" s="23" t="s">
        <v>429</v>
      </c>
      <c r="B221" s="23">
        <v>10.0</v>
      </c>
      <c r="C221" s="23">
        <v>0.0</v>
      </c>
      <c r="D221" s="29">
        <f t="shared" si="1"/>
        <v>1</v>
      </c>
      <c r="E221" s="23" t="s">
        <v>143</v>
      </c>
      <c r="P221" s="34" t="s">
        <v>4</v>
      </c>
      <c r="Q221" s="23">
        <v>1.0</v>
      </c>
      <c r="R221" s="23">
        <v>5.0</v>
      </c>
      <c r="CA221" s="50">
        <v>46124.389699074076</v>
      </c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  <c r="CP221" s="50"/>
      <c r="CQ221" s="50"/>
      <c r="CR221" s="50"/>
      <c r="CS221" s="50"/>
      <c r="CT221" s="50"/>
      <c r="CU221" s="50"/>
      <c r="CV221" s="50"/>
      <c r="CW221" s="50"/>
      <c r="CX221" s="50"/>
      <c r="CY221" s="50"/>
      <c r="CZ221" s="50"/>
      <c r="DA221" s="50"/>
      <c r="DB221" s="50"/>
      <c r="DC221" s="50"/>
    </row>
    <row r="222">
      <c r="A222" s="23" t="s">
        <v>430</v>
      </c>
      <c r="B222" s="23">
        <v>10.0</v>
      </c>
      <c r="C222" s="23">
        <v>77.0</v>
      </c>
      <c r="D222" s="29">
        <f t="shared" si="1"/>
        <v>1</v>
      </c>
      <c r="Y222" s="34" t="s">
        <v>411</v>
      </c>
      <c r="Z222" s="23">
        <v>1.0</v>
      </c>
      <c r="AA222" s="23">
        <v>3.0</v>
      </c>
      <c r="CA222" s="50">
        <v>46126.948275462964</v>
      </c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  <c r="CP222" s="50"/>
      <c r="CQ222" s="50"/>
      <c r="CR222" s="50"/>
      <c r="CS222" s="50"/>
      <c r="CT222" s="50"/>
      <c r="CU222" s="50"/>
      <c r="CV222" s="50"/>
      <c r="CW222" s="50"/>
      <c r="CX222" s="50"/>
      <c r="CY222" s="50"/>
      <c r="CZ222" s="50"/>
      <c r="DA222" s="50"/>
      <c r="DB222" s="50"/>
      <c r="DC222" s="50"/>
    </row>
    <row r="223">
      <c r="A223" s="23" t="s">
        <v>431</v>
      </c>
      <c r="B223" s="23">
        <v>10.0</v>
      </c>
      <c r="C223" s="23">
        <v>73.0</v>
      </c>
      <c r="D223" s="29">
        <f t="shared" si="1"/>
        <v>1</v>
      </c>
      <c r="E223" s="23" t="s">
        <v>188</v>
      </c>
      <c r="AH223" s="34" t="s">
        <v>81</v>
      </c>
      <c r="AI223" s="23">
        <v>2.0</v>
      </c>
      <c r="AJ223" s="23">
        <v>5.0</v>
      </c>
      <c r="CA223" s="50">
        <v>46126.542037037034</v>
      </c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  <c r="CP223" s="50"/>
      <c r="CQ223" s="50"/>
      <c r="CR223" s="50"/>
      <c r="CS223" s="50"/>
      <c r="CT223" s="50"/>
      <c r="CU223" s="50"/>
      <c r="CV223" s="50"/>
      <c r="CW223" s="50"/>
      <c r="CX223" s="50"/>
      <c r="CY223" s="50"/>
      <c r="CZ223" s="50"/>
      <c r="DA223" s="50"/>
      <c r="DB223" s="50"/>
      <c r="DC223" s="50"/>
    </row>
    <row r="224">
      <c r="A224" s="23" t="s">
        <v>432</v>
      </c>
      <c r="B224" s="23">
        <v>10.0</v>
      </c>
      <c r="C224" s="23">
        <v>55.0</v>
      </c>
      <c r="D224" s="29">
        <f t="shared" si="1"/>
        <v>1</v>
      </c>
      <c r="Y224" s="34" t="s">
        <v>25</v>
      </c>
      <c r="Z224" s="23">
        <v>1.0</v>
      </c>
      <c r="AA224" s="23">
        <v>9.0</v>
      </c>
      <c r="CA224" s="50">
        <v>46125.032326388886</v>
      </c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  <c r="CP224" s="50"/>
      <c r="CQ224" s="50"/>
      <c r="CR224" s="50"/>
      <c r="CS224" s="50"/>
      <c r="CT224" s="50"/>
      <c r="CU224" s="50"/>
      <c r="CV224" s="50"/>
      <c r="CW224" s="50"/>
      <c r="CX224" s="50"/>
      <c r="CY224" s="50"/>
      <c r="CZ224" s="50"/>
      <c r="DA224" s="50"/>
      <c r="DB224" s="50"/>
      <c r="DC224" s="50"/>
    </row>
    <row r="225">
      <c r="A225" s="23" t="s">
        <v>433</v>
      </c>
      <c r="B225" s="23">
        <v>10.0</v>
      </c>
      <c r="C225" s="23">
        <v>2.0</v>
      </c>
      <c r="D225" s="29">
        <f t="shared" si="1"/>
        <v>1</v>
      </c>
      <c r="E225" s="23" t="s">
        <v>305</v>
      </c>
      <c r="P225" s="34" t="s">
        <v>4</v>
      </c>
      <c r="Q225" s="23">
        <v>1.0</v>
      </c>
      <c r="R225" s="23">
        <v>4.0</v>
      </c>
      <c r="CA225" s="50">
        <v>46155.52400462963</v>
      </c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  <c r="CP225" s="50"/>
      <c r="CQ225" s="50"/>
      <c r="CR225" s="50"/>
      <c r="CS225" s="50"/>
      <c r="CT225" s="50"/>
      <c r="CU225" s="50"/>
      <c r="CV225" s="50"/>
      <c r="CW225" s="50"/>
      <c r="CX225" s="50"/>
      <c r="CY225" s="50"/>
      <c r="CZ225" s="50"/>
      <c r="DA225" s="50"/>
      <c r="DB225" s="50"/>
      <c r="DC225" s="50"/>
    </row>
    <row r="226">
      <c r="A226" s="23" t="s">
        <v>434</v>
      </c>
      <c r="B226" s="23">
        <v>10.0</v>
      </c>
      <c r="C226" s="23">
        <v>64.0</v>
      </c>
      <c r="D226" s="29">
        <f t="shared" si="1"/>
        <v>1</v>
      </c>
      <c r="E226" s="23" t="s">
        <v>202</v>
      </c>
      <c r="AZ226" s="34" t="s">
        <v>135</v>
      </c>
      <c r="BA226" s="23">
        <v>1.0</v>
      </c>
      <c r="BB226" s="23">
        <v>5.0</v>
      </c>
      <c r="CA226" s="50">
        <v>46124.20810185185</v>
      </c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  <c r="CQ226" s="50"/>
      <c r="CR226" s="50"/>
      <c r="CS226" s="50"/>
      <c r="CT226" s="50"/>
      <c r="CU226" s="50"/>
      <c r="CV226" s="50"/>
      <c r="CW226" s="50"/>
      <c r="CX226" s="50"/>
      <c r="CY226" s="50"/>
      <c r="CZ226" s="50"/>
      <c r="DA226" s="50"/>
      <c r="DB226" s="50"/>
      <c r="DC226" s="50"/>
    </row>
    <row r="227">
      <c r="A227" s="23" t="s">
        <v>435</v>
      </c>
      <c r="B227" s="23">
        <v>10.0</v>
      </c>
      <c r="C227" s="23">
        <v>21.0</v>
      </c>
      <c r="D227" s="29">
        <f t="shared" si="1"/>
        <v>1</v>
      </c>
      <c r="E227" s="23" t="s">
        <v>389</v>
      </c>
      <c r="P227" s="34" t="s">
        <v>4</v>
      </c>
      <c r="Q227" s="23">
        <v>2.0</v>
      </c>
      <c r="R227" s="23">
        <v>5.0</v>
      </c>
      <c r="CA227" s="50">
        <v>46125.05217592593</v>
      </c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  <c r="CP227" s="50"/>
      <c r="CQ227" s="50"/>
      <c r="CR227" s="50"/>
      <c r="CS227" s="50"/>
      <c r="CT227" s="50"/>
      <c r="CU227" s="50"/>
      <c r="CV227" s="50"/>
      <c r="CW227" s="50"/>
      <c r="CX227" s="50"/>
      <c r="CY227" s="50"/>
      <c r="CZ227" s="50"/>
      <c r="DA227" s="50"/>
      <c r="DB227" s="50"/>
      <c r="DC227" s="50"/>
    </row>
    <row r="228">
      <c r="A228" s="23" t="s">
        <v>436</v>
      </c>
      <c r="B228" s="23">
        <v>0.0</v>
      </c>
      <c r="C228" s="23">
        <v>46.0</v>
      </c>
      <c r="D228" s="29">
        <f t="shared" si="1"/>
        <v>1</v>
      </c>
      <c r="E228" s="23" t="s">
        <v>437</v>
      </c>
      <c r="Y228" s="34" t="s">
        <v>25</v>
      </c>
      <c r="Z228" s="23">
        <v>2.0</v>
      </c>
      <c r="AA228" s="23">
        <v>2.0</v>
      </c>
      <c r="CA228" s="50">
        <v>46083.3575462963</v>
      </c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  <c r="CP228" s="50"/>
      <c r="CQ228" s="50"/>
      <c r="CR228" s="50"/>
      <c r="CS228" s="50"/>
      <c r="CT228" s="50"/>
      <c r="CU228" s="50"/>
      <c r="CV228" s="50"/>
      <c r="CW228" s="50"/>
      <c r="CX228" s="50"/>
      <c r="CY228" s="50"/>
      <c r="CZ228" s="50"/>
      <c r="DA228" s="50"/>
      <c r="DB228" s="50"/>
      <c r="DC228" s="50"/>
    </row>
    <row r="229">
      <c r="A229" s="23" t="s">
        <v>438</v>
      </c>
      <c r="B229" s="23">
        <v>0.0</v>
      </c>
      <c r="C229" s="23">
        <v>58.0</v>
      </c>
      <c r="D229" s="29">
        <f t="shared" si="1"/>
        <v>1</v>
      </c>
      <c r="E229" s="23" t="s">
        <v>155</v>
      </c>
      <c r="F229" s="23">
        <v>0.18</v>
      </c>
      <c r="Y229" s="34" t="s">
        <v>439</v>
      </c>
      <c r="Z229" s="23">
        <v>1.0</v>
      </c>
      <c r="AA229" s="23">
        <v>1.0</v>
      </c>
      <c r="CA229" s="50">
        <v>46161.83988425926</v>
      </c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</row>
    <row r="230">
      <c r="A230" s="23" t="s">
        <v>440</v>
      </c>
      <c r="B230" s="23">
        <v>0.0</v>
      </c>
      <c r="C230" s="23">
        <v>68.0</v>
      </c>
      <c r="D230" s="29">
        <f t="shared" si="1"/>
        <v>1</v>
      </c>
      <c r="E230" s="23" t="s">
        <v>143</v>
      </c>
      <c r="AQ230" s="34" t="s">
        <v>441</v>
      </c>
      <c r="AR230" s="23">
        <v>4.0</v>
      </c>
      <c r="AS230" s="23">
        <v>0.0</v>
      </c>
      <c r="CA230" s="50">
        <v>46142.86859953704</v>
      </c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  <c r="CP230" s="50"/>
      <c r="CQ230" s="50"/>
      <c r="CR230" s="50"/>
      <c r="CS230" s="50"/>
      <c r="CT230" s="50"/>
      <c r="CU230" s="50"/>
      <c r="CV230" s="50"/>
      <c r="CW230" s="50"/>
      <c r="CX230" s="50"/>
      <c r="CY230" s="50"/>
      <c r="CZ230" s="50"/>
      <c r="DA230" s="50"/>
      <c r="DB230" s="50"/>
      <c r="DC230" s="50"/>
    </row>
    <row r="231">
      <c r="A231" s="23" t="s">
        <v>442</v>
      </c>
      <c r="B231" s="23">
        <v>0.0</v>
      </c>
      <c r="C231" s="23">
        <v>49.0</v>
      </c>
      <c r="D231" s="29">
        <f t="shared" si="1"/>
        <v>1</v>
      </c>
      <c r="E231" s="23" t="s">
        <v>146</v>
      </c>
      <c r="AH231" s="34" t="s">
        <v>131</v>
      </c>
      <c r="AI231" s="23">
        <v>3.0</v>
      </c>
      <c r="AJ231" s="23">
        <v>0.0</v>
      </c>
      <c r="CA231" s="50">
        <v>46085.463217592594</v>
      </c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  <c r="CP231" s="50"/>
      <c r="CQ231" s="50"/>
      <c r="CR231" s="50"/>
      <c r="CS231" s="50"/>
      <c r="CT231" s="50"/>
      <c r="CU231" s="50"/>
      <c r="CV231" s="50"/>
      <c r="CW231" s="50"/>
      <c r="CX231" s="50"/>
      <c r="CY231" s="50"/>
      <c r="CZ231" s="50"/>
      <c r="DA231" s="50"/>
      <c r="DB231" s="50"/>
      <c r="DC231" s="50"/>
    </row>
    <row r="232">
      <c r="A232" s="23" t="s">
        <v>443</v>
      </c>
      <c r="B232" s="23">
        <v>0.0</v>
      </c>
      <c r="C232" s="23">
        <v>0.0</v>
      </c>
      <c r="D232" s="29">
        <f t="shared" si="1"/>
        <v>1</v>
      </c>
      <c r="E232" s="23" t="s">
        <v>143</v>
      </c>
      <c r="P232" s="34" t="s">
        <v>4</v>
      </c>
      <c r="Q232" s="23">
        <v>1.0</v>
      </c>
      <c r="R232" s="23">
        <v>1.0</v>
      </c>
      <c r="CA232" s="50">
        <v>46154.81804398148</v>
      </c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  <c r="CP232" s="50"/>
      <c r="CQ232" s="50"/>
      <c r="CR232" s="50"/>
      <c r="CS232" s="50"/>
      <c r="CT232" s="50"/>
      <c r="CU232" s="50"/>
      <c r="CV232" s="50"/>
      <c r="CW232" s="50"/>
      <c r="CX232" s="50"/>
      <c r="CY232" s="50"/>
      <c r="CZ232" s="50"/>
      <c r="DA232" s="50"/>
      <c r="DB232" s="50"/>
      <c r="DC232" s="50"/>
    </row>
    <row r="233">
      <c r="A233" s="23" t="s">
        <v>444</v>
      </c>
      <c r="B233" s="23">
        <v>0.0</v>
      </c>
      <c r="C233" s="23">
        <v>0.0</v>
      </c>
      <c r="D233" s="29">
        <f t="shared" si="1"/>
        <v>1</v>
      </c>
      <c r="E233" s="23" t="s">
        <v>357</v>
      </c>
      <c r="P233" s="34" t="s">
        <v>4</v>
      </c>
      <c r="Q233" s="23">
        <v>1.0</v>
      </c>
      <c r="R233" s="23">
        <v>1.0</v>
      </c>
      <c r="CA233" s="50">
        <v>46122.07436342593</v>
      </c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  <c r="CP233" s="50"/>
      <c r="CQ233" s="50"/>
      <c r="CR233" s="50"/>
      <c r="CS233" s="50"/>
      <c r="CT233" s="50"/>
      <c r="CU233" s="50"/>
      <c r="CV233" s="50"/>
      <c r="CW233" s="50"/>
      <c r="CX233" s="50"/>
      <c r="CY233" s="50"/>
      <c r="CZ233" s="50"/>
      <c r="DA233" s="50"/>
      <c r="DB233" s="50"/>
      <c r="DC233" s="50"/>
    </row>
    <row r="234">
      <c r="A234" s="23" t="s">
        <v>445</v>
      </c>
      <c r="B234" s="23">
        <v>0.0</v>
      </c>
      <c r="C234" s="23">
        <v>10.0</v>
      </c>
      <c r="D234" s="29">
        <f t="shared" si="1"/>
        <v>1</v>
      </c>
      <c r="E234" s="23" t="s">
        <v>446</v>
      </c>
      <c r="P234" s="34" t="s">
        <v>333</v>
      </c>
      <c r="Q234" s="23">
        <v>2.0</v>
      </c>
      <c r="R234" s="23">
        <v>0.0</v>
      </c>
      <c r="CA234" s="50">
        <v>46123.14511574074</v>
      </c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50"/>
      <c r="DB234" s="50"/>
      <c r="DC234" s="50"/>
    </row>
    <row r="235">
      <c r="A235" s="23" t="s">
        <v>447</v>
      </c>
      <c r="B235" s="23">
        <v>0.0</v>
      </c>
      <c r="C235" s="23">
        <v>67.0</v>
      </c>
      <c r="D235" s="29">
        <f t="shared" si="1"/>
        <v>1</v>
      </c>
      <c r="Y235" s="34" t="s">
        <v>364</v>
      </c>
      <c r="Z235" s="23">
        <v>1.0</v>
      </c>
      <c r="AA235" s="23">
        <v>2.0</v>
      </c>
      <c r="CA235" s="50">
        <v>46152.294756944444</v>
      </c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  <c r="CP235" s="50"/>
      <c r="CQ235" s="50"/>
      <c r="CR235" s="50"/>
      <c r="CS235" s="50"/>
      <c r="CT235" s="50"/>
      <c r="CU235" s="50"/>
      <c r="CV235" s="50"/>
      <c r="CW235" s="50"/>
      <c r="CX235" s="50"/>
      <c r="CY235" s="50"/>
      <c r="CZ235" s="50"/>
      <c r="DA235" s="50"/>
      <c r="DB235" s="50"/>
      <c r="DC235" s="50"/>
    </row>
    <row r="236">
      <c r="A236" s="23" t="s">
        <v>448</v>
      </c>
      <c r="B236" s="23">
        <v>0.0</v>
      </c>
      <c r="C236" s="23">
        <v>75.0</v>
      </c>
      <c r="D236" s="29">
        <f t="shared" si="1"/>
        <v>1</v>
      </c>
      <c r="E236" s="23" t="s">
        <v>188</v>
      </c>
      <c r="AQ236" s="34" t="s">
        <v>441</v>
      </c>
      <c r="AR236" s="23">
        <v>6.0</v>
      </c>
      <c r="AS236" s="23">
        <v>0.0</v>
      </c>
      <c r="CA236" s="50">
        <v>46123.62101851852</v>
      </c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  <c r="CP236" s="50"/>
      <c r="CQ236" s="50"/>
      <c r="CR236" s="50"/>
      <c r="CS236" s="50"/>
      <c r="CT236" s="50"/>
      <c r="CU236" s="50"/>
      <c r="CV236" s="50"/>
      <c r="CW236" s="50"/>
      <c r="CX236" s="50"/>
      <c r="CY236" s="50"/>
      <c r="CZ236" s="50"/>
      <c r="DA236" s="50"/>
      <c r="DB236" s="50"/>
      <c r="DC236" s="50"/>
    </row>
    <row r="237">
      <c r="A237" s="23" t="s">
        <v>449</v>
      </c>
      <c r="B237" s="23">
        <v>0.0</v>
      </c>
      <c r="C237" s="23">
        <v>37.0</v>
      </c>
      <c r="D237" s="29">
        <f t="shared" si="1"/>
        <v>1</v>
      </c>
      <c r="E237" s="23" t="s">
        <v>202</v>
      </c>
      <c r="P237" s="34" t="s">
        <v>125</v>
      </c>
      <c r="Q237" s="23">
        <v>1.0</v>
      </c>
      <c r="R237" s="23">
        <v>0.0</v>
      </c>
      <c r="CA237" s="50">
        <v>46099.918032407404</v>
      </c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  <c r="CP237" s="50"/>
      <c r="CQ237" s="50"/>
      <c r="CR237" s="50"/>
      <c r="CS237" s="50"/>
      <c r="CT237" s="50"/>
      <c r="CU237" s="50"/>
      <c r="CV237" s="50"/>
      <c r="CW237" s="50"/>
      <c r="CX237" s="50"/>
      <c r="CY237" s="50"/>
      <c r="CZ237" s="50"/>
      <c r="DA237" s="50"/>
      <c r="DB237" s="50"/>
      <c r="DC237" s="50"/>
    </row>
    <row r="238">
      <c r="A238" s="23" t="s">
        <v>450</v>
      </c>
      <c r="B238" s="23">
        <v>0.0</v>
      </c>
      <c r="C238" s="23">
        <v>9.0</v>
      </c>
      <c r="D238" s="29">
        <f t="shared" si="1"/>
        <v>1</v>
      </c>
      <c r="E238" s="23" t="s">
        <v>451</v>
      </c>
      <c r="Y238" s="34" t="s">
        <v>213</v>
      </c>
      <c r="Z238" s="23">
        <v>2.0</v>
      </c>
      <c r="AA238" s="23">
        <v>0.0</v>
      </c>
      <c r="CA238" s="50">
        <v>46147.20915509259</v>
      </c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  <c r="CP238" s="50"/>
      <c r="CQ238" s="50"/>
      <c r="CR238" s="50"/>
      <c r="CS238" s="50"/>
      <c r="CT238" s="50"/>
      <c r="CU238" s="50"/>
      <c r="CV238" s="50"/>
      <c r="CW238" s="50"/>
      <c r="CX238" s="50"/>
      <c r="CY238" s="50"/>
      <c r="CZ238" s="50"/>
      <c r="DA238" s="50"/>
      <c r="DB238" s="50"/>
      <c r="DC238" s="50"/>
    </row>
    <row r="239">
      <c r="A239" s="34" t="s">
        <v>452</v>
      </c>
      <c r="B239" s="23">
        <v>0.0</v>
      </c>
      <c r="C239" s="23">
        <v>0.0</v>
      </c>
      <c r="D239" s="29">
        <f t="shared" si="1"/>
        <v>1</v>
      </c>
      <c r="E239" s="23" t="s">
        <v>185</v>
      </c>
      <c r="P239" s="34" t="s">
        <v>4</v>
      </c>
      <c r="Q239" s="23">
        <v>3.0</v>
      </c>
      <c r="R239" s="23">
        <v>0.0</v>
      </c>
      <c r="CA239" s="50">
        <v>46125.91673611111</v>
      </c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  <c r="CP239" s="50"/>
      <c r="CQ239" s="50"/>
      <c r="CR239" s="50"/>
      <c r="CS239" s="50"/>
      <c r="CT239" s="50"/>
      <c r="CU239" s="50"/>
      <c r="CV239" s="50"/>
      <c r="CW239" s="50"/>
      <c r="CX239" s="50"/>
      <c r="CY239" s="50"/>
      <c r="CZ239" s="50"/>
      <c r="DA239" s="50"/>
      <c r="DB239" s="50"/>
      <c r="DC239" s="50"/>
    </row>
    <row r="240">
      <c r="A240" s="23" t="s">
        <v>453</v>
      </c>
      <c r="B240" s="23">
        <v>0.0</v>
      </c>
      <c r="C240" s="23">
        <v>45.0</v>
      </c>
      <c r="D240" s="29">
        <f t="shared" si="1"/>
        <v>1</v>
      </c>
      <c r="E240" s="23" t="s">
        <v>155</v>
      </c>
      <c r="AQ240" s="34" t="s">
        <v>134</v>
      </c>
      <c r="AR240" s="23">
        <v>1.0</v>
      </c>
      <c r="AS240" s="23">
        <v>0.0</v>
      </c>
      <c r="CA240" s="50">
        <v>46148.96171296296</v>
      </c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  <c r="CP240" s="50"/>
      <c r="CQ240" s="50"/>
      <c r="CR240" s="50"/>
      <c r="CS240" s="50"/>
      <c r="CT240" s="50"/>
      <c r="CU240" s="50"/>
      <c r="CV240" s="50"/>
      <c r="CW240" s="50"/>
      <c r="CX240" s="50"/>
      <c r="CY240" s="50"/>
      <c r="CZ240" s="50"/>
      <c r="DA240" s="50"/>
      <c r="DB240" s="50"/>
      <c r="DC240" s="50"/>
    </row>
    <row r="241">
      <c r="A241" s="23" t="s">
        <v>454</v>
      </c>
      <c r="B241" s="23">
        <v>0.0</v>
      </c>
      <c r="C241" s="23">
        <v>11.0</v>
      </c>
      <c r="D241" s="29">
        <f t="shared" si="1"/>
        <v>1</v>
      </c>
      <c r="E241" s="23" t="s">
        <v>185</v>
      </c>
      <c r="F241" s="23">
        <v>7.83</v>
      </c>
      <c r="P241" s="34" t="s">
        <v>4</v>
      </c>
      <c r="Q241" s="23">
        <v>1.0</v>
      </c>
      <c r="R241" s="23">
        <v>1.0</v>
      </c>
      <c r="CA241" s="50">
        <v>46141.85212962963</v>
      </c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  <c r="CP241" s="50"/>
      <c r="CQ241" s="50"/>
      <c r="CR241" s="50"/>
      <c r="CS241" s="50"/>
      <c r="CT241" s="50"/>
      <c r="CU241" s="50"/>
      <c r="CV241" s="50"/>
      <c r="CW241" s="50"/>
      <c r="CX241" s="50"/>
      <c r="CY241" s="50"/>
      <c r="CZ241" s="50"/>
      <c r="DA241" s="50"/>
      <c r="DB241" s="50"/>
      <c r="DC241" s="50"/>
    </row>
    <row r="242">
      <c r="A242" s="23" t="s">
        <v>455</v>
      </c>
      <c r="B242" s="23">
        <v>0.0</v>
      </c>
      <c r="C242" s="23">
        <v>0.0</v>
      </c>
      <c r="D242" s="29">
        <f t="shared" si="1"/>
        <v>1</v>
      </c>
      <c r="E242" s="23" t="s">
        <v>185</v>
      </c>
      <c r="P242" s="34" t="s">
        <v>4</v>
      </c>
      <c r="Q242" s="23">
        <v>1.0</v>
      </c>
      <c r="R242" s="23">
        <v>1.0</v>
      </c>
      <c r="CA242" s="50">
        <v>46147.622199074074</v>
      </c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  <c r="CP242" s="50"/>
      <c r="CQ242" s="50"/>
      <c r="CR242" s="50"/>
      <c r="CS242" s="50"/>
      <c r="CT242" s="50"/>
      <c r="CU242" s="50"/>
      <c r="CV242" s="50"/>
      <c r="CW242" s="50"/>
      <c r="CX242" s="50"/>
      <c r="CY242" s="50"/>
      <c r="CZ242" s="50"/>
      <c r="DA242" s="50"/>
      <c r="DB242" s="50"/>
      <c r="DC242" s="50"/>
    </row>
    <row r="243">
      <c r="A243" s="23" t="s">
        <v>456</v>
      </c>
      <c r="B243" s="23">
        <v>0.0</v>
      </c>
      <c r="C243" s="23">
        <v>13.0</v>
      </c>
      <c r="D243" s="29">
        <f t="shared" si="1"/>
        <v>1</v>
      </c>
      <c r="E243" s="23" t="s">
        <v>155</v>
      </c>
      <c r="P243" s="34" t="s">
        <v>409</v>
      </c>
      <c r="Q243" s="23">
        <v>1.0</v>
      </c>
      <c r="R243" s="23">
        <v>0.0</v>
      </c>
      <c r="CA243" s="50">
        <v>46123.63990740741</v>
      </c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  <c r="CP243" s="50"/>
      <c r="CQ243" s="50"/>
      <c r="CR243" s="50"/>
      <c r="CS243" s="50"/>
      <c r="CT243" s="50"/>
      <c r="CU243" s="50"/>
      <c r="CV243" s="50"/>
      <c r="CW243" s="50"/>
      <c r="CX243" s="50"/>
      <c r="CY243" s="50"/>
      <c r="CZ243" s="50"/>
      <c r="DA243" s="50"/>
      <c r="DB243" s="50"/>
      <c r="DC243" s="50"/>
    </row>
    <row r="244">
      <c r="A244" s="23" t="s">
        <v>457</v>
      </c>
      <c r="B244" s="23">
        <v>0.0</v>
      </c>
      <c r="C244" s="23">
        <v>31.0</v>
      </c>
      <c r="D244" s="29">
        <f t="shared" si="1"/>
        <v>1</v>
      </c>
      <c r="E244" s="23" t="s">
        <v>146</v>
      </c>
      <c r="P244" s="34" t="s">
        <v>4</v>
      </c>
      <c r="Q244" s="23">
        <v>1.0</v>
      </c>
      <c r="R244" s="23">
        <v>0.0</v>
      </c>
      <c r="CA244" s="50">
        <v>46077.42224537037</v>
      </c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  <c r="CP244" s="50"/>
      <c r="CQ244" s="50"/>
      <c r="CR244" s="50"/>
      <c r="CS244" s="50"/>
      <c r="CT244" s="50"/>
      <c r="CU244" s="50"/>
      <c r="CV244" s="50"/>
      <c r="CW244" s="50"/>
      <c r="CX244" s="50"/>
      <c r="CY244" s="50"/>
      <c r="CZ244" s="50"/>
      <c r="DA244" s="50"/>
      <c r="DB244" s="50"/>
      <c r="DC244" s="50"/>
    </row>
    <row r="245">
      <c r="A245" s="23" t="s">
        <v>458</v>
      </c>
      <c r="B245" s="23">
        <v>0.0</v>
      </c>
      <c r="C245" s="23">
        <v>1.0</v>
      </c>
      <c r="D245" s="29">
        <f t="shared" si="1"/>
        <v>1</v>
      </c>
      <c r="E245" s="23" t="s">
        <v>226</v>
      </c>
      <c r="F245" s="23">
        <v>0.71</v>
      </c>
      <c r="P245" s="34" t="s">
        <v>4</v>
      </c>
      <c r="Q245" s="23">
        <v>1.0</v>
      </c>
      <c r="R245" s="23">
        <v>0.0</v>
      </c>
      <c r="CA245" s="50">
        <v>46123.895636574074</v>
      </c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  <c r="CP245" s="50"/>
      <c r="CQ245" s="50"/>
      <c r="CR245" s="50"/>
      <c r="CS245" s="50"/>
      <c r="CT245" s="50"/>
      <c r="CU245" s="50"/>
      <c r="CV245" s="50"/>
      <c r="CW245" s="50"/>
      <c r="CX245" s="50"/>
      <c r="CY245" s="50"/>
      <c r="CZ245" s="50"/>
      <c r="DA245" s="50"/>
      <c r="DB245" s="50"/>
      <c r="DC245" s="50"/>
    </row>
    <row r="246">
      <c r="A246" s="23" t="s">
        <v>459</v>
      </c>
      <c r="B246" s="23">
        <v>0.0</v>
      </c>
      <c r="C246" s="23">
        <v>73.0</v>
      </c>
      <c r="D246" s="29">
        <f t="shared" si="1"/>
        <v>1</v>
      </c>
      <c r="E246" s="23" t="s">
        <v>188</v>
      </c>
      <c r="AH246" s="34" t="s">
        <v>81</v>
      </c>
      <c r="AI246" s="23">
        <v>1.0</v>
      </c>
      <c r="AJ246" s="23">
        <v>4.0</v>
      </c>
      <c r="CA246" s="50">
        <v>46097.88649305556</v>
      </c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  <c r="CP246" s="50"/>
      <c r="CQ246" s="50"/>
      <c r="CR246" s="50"/>
      <c r="CS246" s="50"/>
      <c r="CT246" s="50"/>
      <c r="CU246" s="50"/>
      <c r="CV246" s="50"/>
      <c r="CW246" s="50"/>
      <c r="CX246" s="50"/>
      <c r="CY246" s="50"/>
      <c r="CZ246" s="50"/>
      <c r="DA246" s="50"/>
      <c r="DB246" s="50"/>
      <c r="DC246" s="50"/>
    </row>
    <row r="247">
      <c r="A247" s="23" t="s">
        <v>460</v>
      </c>
      <c r="B247" s="23">
        <v>0.0</v>
      </c>
      <c r="C247" s="23">
        <v>0.0</v>
      </c>
      <c r="D247" s="29">
        <f t="shared" si="1"/>
        <v>1</v>
      </c>
      <c r="E247" s="23" t="s">
        <v>347</v>
      </c>
      <c r="P247" s="34" t="s">
        <v>461</v>
      </c>
      <c r="Q247" s="23">
        <v>2.0</v>
      </c>
      <c r="R247" s="23">
        <v>0.0</v>
      </c>
      <c r="CA247" s="50">
        <v>46098.746296296296</v>
      </c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C247" s="50"/>
    </row>
    <row r="248">
      <c r="A248" s="23" t="s">
        <v>462</v>
      </c>
      <c r="B248" s="23">
        <v>0.0</v>
      </c>
      <c r="C248" s="23">
        <v>6.0</v>
      </c>
      <c r="D248" s="29">
        <f t="shared" si="1"/>
        <v>1</v>
      </c>
      <c r="E248" s="23" t="s">
        <v>188</v>
      </c>
      <c r="F248" s="23">
        <v>1.03</v>
      </c>
      <c r="Y248" s="34" t="s">
        <v>25</v>
      </c>
      <c r="Z248" s="23">
        <v>1.0</v>
      </c>
      <c r="AA248" s="23">
        <v>2.0</v>
      </c>
      <c r="CA248" s="50">
        <v>46162.60873842592</v>
      </c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  <c r="CP248" s="50"/>
      <c r="CQ248" s="50"/>
      <c r="CR248" s="50"/>
      <c r="CS248" s="50"/>
      <c r="CT248" s="50"/>
      <c r="CU248" s="50"/>
      <c r="CV248" s="50"/>
      <c r="CW248" s="50"/>
      <c r="CX248" s="50"/>
      <c r="CY248" s="50"/>
      <c r="CZ248" s="50"/>
      <c r="DA248" s="50"/>
      <c r="DB248" s="50"/>
      <c r="DC248" s="50"/>
    </row>
    <row r="249">
      <c r="A249" s="23" t="s">
        <v>463</v>
      </c>
      <c r="B249" s="23">
        <v>0.0</v>
      </c>
      <c r="C249" s="23">
        <v>19.0</v>
      </c>
      <c r="D249" s="29">
        <f t="shared" si="1"/>
        <v>1</v>
      </c>
      <c r="E249" s="23" t="s">
        <v>188</v>
      </c>
      <c r="Y249" s="34" t="s">
        <v>25</v>
      </c>
      <c r="Z249" s="23">
        <v>1.0</v>
      </c>
      <c r="AA249" s="23">
        <v>1.0</v>
      </c>
      <c r="CA249" s="50">
        <v>46088.132268518515</v>
      </c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  <c r="CP249" s="50"/>
      <c r="CQ249" s="50"/>
      <c r="CR249" s="50"/>
      <c r="CS249" s="50"/>
      <c r="CT249" s="50"/>
      <c r="CU249" s="50"/>
      <c r="CV249" s="50"/>
      <c r="CW249" s="50"/>
      <c r="CX249" s="50"/>
      <c r="CY249" s="50"/>
      <c r="CZ249" s="50"/>
      <c r="DA249" s="50"/>
      <c r="DB249" s="50"/>
      <c r="DC249" s="50"/>
    </row>
    <row r="250">
      <c r="A250" s="23" t="s">
        <v>464</v>
      </c>
      <c r="B250" s="23">
        <v>0.0</v>
      </c>
      <c r="C250" s="23">
        <v>0.0</v>
      </c>
      <c r="D250" s="29">
        <f t="shared" si="1"/>
        <v>1</v>
      </c>
      <c r="E250" s="23" t="s">
        <v>188</v>
      </c>
      <c r="P250" s="34" t="s">
        <v>4</v>
      </c>
      <c r="Q250" s="23">
        <v>1.0</v>
      </c>
      <c r="R250" s="23">
        <v>0.0</v>
      </c>
      <c r="CA250" s="50">
        <v>46155.780648148146</v>
      </c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  <c r="CP250" s="50"/>
      <c r="CQ250" s="50"/>
      <c r="CR250" s="50"/>
      <c r="CS250" s="50"/>
      <c r="CT250" s="50"/>
      <c r="CU250" s="50"/>
      <c r="CV250" s="50"/>
      <c r="CW250" s="50"/>
      <c r="CX250" s="50"/>
      <c r="CY250" s="50"/>
      <c r="CZ250" s="50"/>
      <c r="DA250" s="50"/>
      <c r="DB250" s="50"/>
      <c r="DC250" s="50"/>
    </row>
    <row r="251">
      <c r="A251" s="23" t="s">
        <v>465</v>
      </c>
      <c r="B251" s="23">
        <v>0.0</v>
      </c>
      <c r="C251" s="23">
        <v>1.0</v>
      </c>
      <c r="D251" s="29">
        <f t="shared" si="1"/>
        <v>1</v>
      </c>
      <c r="E251" s="23" t="s">
        <v>185</v>
      </c>
      <c r="P251" s="34" t="s">
        <v>125</v>
      </c>
      <c r="Q251" s="23">
        <v>1.0</v>
      </c>
      <c r="R251" s="23">
        <v>0.0</v>
      </c>
      <c r="CA251" s="50">
        <v>46162.45983796296</v>
      </c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  <c r="CP251" s="50"/>
      <c r="CQ251" s="50"/>
      <c r="CR251" s="50"/>
      <c r="CS251" s="50"/>
      <c r="CT251" s="50"/>
      <c r="CU251" s="50"/>
      <c r="CV251" s="50"/>
      <c r="CW251" s="50"/>
      <c r="CX251" s="50"/>
      <c r="CY251" s="50"/>
      <c r="CZ251" s="50"/>
      <c r="DA251" s="50"/>
      <c r="DB251" s="50"/>
      <c r="DC251" s="50"/>
    </row>
    <row r="252">
      <c r="A252" s="23" t="s">
        <v>466</v>
      </c>
      <c r="B252" s="23">
        <v>0.0</v>
      </c>
      <c r="C252" s="23">
        <v>73.0</v>
      </c>
      <c r="D252" s="29">
        <f t="shared" si="1"/>
        <v>1</v>
      </c>
      <c r="F252" s="23">
        <v>0.11</v>
      </c>
      <c r="P252" s="34" t="s">
        <v>4</v>
      </c>
      <c r="Q252" s="23">
        <v>2.0</v>
      </c>
      <c r="R252" s="23">
        <v>0.0</v>
      </c>
      <c r="CA252" s="50">
        <v>46142.259351851855</v>
      </c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  <c r="CP252" s="50"/>
      <c r="CQ252" s="50"/>
      <c r="CR252" s="50"/>
      <c r="CS252" s="50"/>
      <c r="CT252" s="50"/>
      <c r="CU252" s="50"/>
      <c r="CV252" s="50"/>
      <c r="CW252" s="50"/>
      <c r="CX252" s="50"/>
      <c r="CY252" s="50"/>
      <c r="CZ252" s="50"/>
      <c r="DA252" s="50"/>
      <c r="DB252" s="50"/>
      <c r="DC252" s="50"/>
    </row>
    <row r="253">
      <c r="A253" s="23" t="s">
        <v>467</v>
      </c>
      <c r="B253" s="23">
        <v>0.0</v>
      </c>
      <c r="C253" s="23">
        <v>0.0</v>
      </c>
      <c r="D253" s="29">
        <f t="shared" si="1"/>
        <v>1</v>
      </c>
      <c r="E253" s="23" t="s">
        <v>143</v>
      </c>
      <c r="P253" s="34" t="s">
        <v>4</v>
      </c>
      <c r="Q253" s="23">
        <v>1.0</v>
      </c>
      <c r="R253" s="23">
        <v>1.0</v>
      </c>
      <c r="CA253" s="50">
        <v>46144.622245370374</v>
      </c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  <c r="CP253" s="50"/>
      <c r="CQ253" s="50"/>
      <c r="CR253" s="50"/>
      <c r="CS253" s="50"/>
      <c r="CT253" s="50"/>
      <c r="CU253" s="50"/>
      <c r="CV253" s="50"/>
      <c r="CW253" s="50"/>
      <c r="CX253" s="50"/>
      <c r="CY253" s="50"/>
      <c r="CZ253" s="50"/>
      <c r="DA253" s="50"/>
      <c r="DB253" s="50"/>
      <c r="DC253" s="50"/>
    </row>
    <row r="254">
      <c r="A254" s="23" t="s">
        <v>468</v>
      </c>
      <c r="B254" s="23">
        <v>0.0</v>
      </c>
      <c r="C254" s="23">
        <v>2.0</v>
      </c>
      <c r="D254" s="29">
        <f t="shared" si="1"/>
        <v>1</v>
      </c>
      <c r="E254" s="23" t="s">
        <v>185</v>
      </c>
      <c r="P254" s="34" t="s">
        <v>4</v>
      </c>
      <c r="Q254" s="23">
        <v>1.0</v>
      </c>
      <c r="R254" s="23">
        <v>1.0</v>
      </c>
      <c r="CA254" s="50">
        <v>46145.397824074076</v>
      </c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  <c r="CP254" s="50"/>
      <c r="CQ254" s="50"/>
      <c r="CR254" s="50"/>
      <c r="CS254" s="50"/>
      <c r="CT254" s="50"/>
      <c r="CU254" s="50"/>
      <c r="CV254" s="50"/>
      <c r="CW254" s="50"/>
      <c r="CX254" s="50"/>
      <c r="CY254" s="50"/>
      <c r="CZ254" s="50"/>
      <c r="DA254" s="50"/>
      <c r="DB254" s="50"/>
      <c r="DC254" s="50"/>
    </row>
    <row r="255">
      <c r="A255" s="34" t="s">
        <v>469</v>
      </c>
      <c r="B255" s="23">
        <v>0.0</v>
      </c>
      <c r="C255" s="23">
        <v>76.0</v>
      </c>
      <c r="D255" s="29">
        <f t="shared" si="1"/>
        <v>1</v>
      </c>
      <c r="E255" s="23" t="s">
        <v>155</v>
      </c>
      <c r="P255" s="34" t="s">
        <v>4</v>
      </c>
      <c r="Q255" s="23">
        <v>2.0</v>
      </c>
      <c r="R255" s="23">
        <v>0.0</v>
      </c>
      <c r="CA255" s="50">
        <v>46156.419803240744</v>
      </c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  <c r="CP255" s="50"/>
      <c r="CQ255" s="50"/>
      <c r="CR255" s="50"/>
      <c r="CS255" s="50"/>
      <c r="CT255" s="50"/>
      <c r="CU255" s="50"/>
      <c r="CV255" s="50"/>
      <c r="CW255" s="50"/>
      <c r="CX255" s="50"/>
      <c r="CY255" s="50"/>
      <c r="CZ255" s="50"/>
      <c r="DA255" s="50"/>
      <c r="DB255" s="50"/>
      <c r="DC255" s="50"/>
    </row>
    <row r="256">
      <c r="A256" s="23" t="s">
        <v>470</v>
      </c>
      <c r="B256" s="23">
        <v>0.0</v>
      </c>
      <c r="C256" s="23">
        <v>9.0</v>
      </c>
      <c r="D256" s="29">
        <f t="shared" si="1"/>
        <v>1</v>
      </c>
      <c r="E256" s="23" t="s">
        <v>143</v>
      </c>
      <c r="P256" s="34" t="s">
        <v>4</v>
      </c>
      <c r="Q256" s="23">
        <v>1.0</v>
      </c>
      <c r="R256" s="23">
        <v>1.0</v>
      </c>
      <c r="CA256" s="50">
        <v>46126.578310185185</v>
      </c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  <c r="CP256" s="50"/>
      <c r="CQ256" s="50"/>
      <c r="CR256" s="50"/>
      <c r="CS256" s="50"/>
      <c r="CT256" s="50"/>
      <c r="CU256" s="50"/>
      <c r="CV256" s="50"/>
      <c r="CW256" s="50"/>
      <c r="CX256" s="50"/>
      <c r="CY256" s="50"/>
      <c r="CZ256" s="50"/>
      <c r="DA256" s="50"/>
      <c r="DB256" s="50"/>
      <c r="DC256" s="50"/>
    </row>
    <row r="257">
      <c r="A257" s="34" t="s">
        <v>471</v>
      </c>
      <c r="B257" s="23">
        <v>0.0</v>
      </c>
      <c r="C257" s="23">
        <v>0.0</v>
      </c>
      <c r="D257" s="29">
        <f t="shared" si="1"/>
        <v>1</v>
      </c>
      <c r="E257" s="23" t="s">
        <v>185</v>
      </c>
      <c r="AQ257" s="34" t="s">
        <v>114</v>
      </c>
      <c r="AR257" s="23">
        <v>1.0</v>
      </c>
      <c r="AS257" s="23">
        <v>1.0</v>
      </c>
      <c r="CA257" s="50">
        <v>46125.67340277778</v>
      </c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  <c r="CP257" s="50"/>
      <c r="CQ257" s="50"/>
      <c r="CR257" s="50"/>
      <c r="CS257" s="50"/>
      <c r="CT257" s="50"/>
      <c r="CU257" s="50"/>
      <c r="CV257" s="50"/>
      <c r="CW257" s="50"/>
      <c r="CX257" s="50"/>
      <c r="CY257" s="50"/>
      <c r="CZ257" s="50"/>
      <c r="DA257" s="50"/>
      <c r="DB257" s="50"/>
      <c r="DC257" s="50"/>
    </row>
    <row r="258">
      <c r="A258" s="23" t="s">
        <v>472</v>
      </c>
      <c r="B258" s="23">
        <v>0.0</v>
      </c>
      <c r="C258" s="23">
        <v>5.0</v>
      </c>
      <c r="D258" s="29">
        <f t="shared" si="1"/>
        <v>1</v>
      </c>
      <c r="E258" s="23" t="s">
        <v>185</v>
      </c>
      <c r="F258" s="23">
        <v>1.45</v>
      </c>
      <c r="P258" s="34" t="s">
        <v>4</v>
      </c>
      <c r="Q258" s="23">
        <v>1.0</v>
      </c>
      <c r="R258" s="23">
        <v>1.0</v>
      </c>
      <c r="CA258" s="50">
        <v>46072.977013888885</v>
      </c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  <c r="CP258" s="50"/>
      <c r="CQ258" s="50"/>
      <c r="CR258" s="50"/>
      <c r="CS258" s="50"/>
      <c r="CT258" s="50"/>
      <c r="CU258" s="50"/>
      <c r="CV258" s="50"/>
      <c r="CW258" s="50"/>
      <c r="CX258" s="50"/>
      <c r="CY258" s="50"/>
      <c r="CZ258" s="50"/>
      <c r="DA258" s="50"/>
      <c r="DB258" s="50"/>
      <c r="DC258" s="50"/>
    </row>
    <row r="259">
      <c r="A259" s="23" t="s">
        <v>473</v>
      </c>
      <c r="B259" s="23">
        <v>0.0</v>
      </c>
      <c r="C259" s="23">
        <v>11.0</v>
      </c>
      <c r="D259" s="29">
        <f t="shared" si="1"/>
        <v>1</v>
      </c>
      <c r="E259" s="23" t="s">
        <v>305</v>
      </c>
      <c r="P259" s="34" t="s">
        <v>125</v>
      </c>
      <c r="Q259" s="23">
        <v>1.0</v>
      </c>
      <c r="R259" s="23">
        <v>1.0</v>
      </c>
      <c r="CA259" s="50">
        <v>46147.64603009259</v>
      </c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  <c r="CP259" s="50"/>
      <c r="CQ259" s="50"/>
      <c r="CR259" s="50"/>
      <c r="CS259" s="50"/>
      <c r="CT259" s="50"/>
      <c r="CU259" s="50"/>
      <c r="CV259" s="50"/>
      <c r="CW259" s="50"/>
      <c r="CX259" s="50"/>
      <c r="CY259" s="50"/>
      <c r="CZ259" s="50"/>
      <c r="DA259" s="50"/>
      <c r="DB259" s="50"/>
      <c r="DC259" s="50"/>
    </row>
    <row r="260">
      <c r="A260" s="23" t="s">
        <v>474</v>
      </c>
      <c r="B260" s="23">
        <v>0.0</v>
      </c>
      <c r="C260" s="23">
        <v>0.0</v>
      </c>
      <c r="D260" s="29">
        <f t="shared" si="1"/>
        <v>1</v>
      </c>
      <c r="E260" s="23" t="s">
        <v>314</v>
      </c>
      <c r="AH260" s="34" t="s">
        <v>81</v>
      </c>
      <c r="AI260" s="23">
        <v>1.0</v>
      </c>
      <c r="AJ260" s="23">
        <v>0.0</v>
      </c>
      <c r="CA260" s="50">
        <v>46143.00611111111</v>
      </c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  <c r="CP260" s="50"/>
      <c r="CQ260" s="50"/>
      <c r="CR260" s="50"/>
      <c r="CS260" s="50"/>
      <c r="CT260" s="50"/>
      <c r="CU260" s="50"/>
      <c r="CV260" s="50"/>
      <c r="CW260" s="50"/>
      <c r="CX260" s="50"/>
      <c r="CY260" s="50"/>
      <c r="CZ260" s="50"/>
      <c r="DA260" s="50"/>
      <c r="DB260" s="50"/>
      <c r="DC260" s="50"/>
    </row>
    <row r="261">
      <c r="A261" s="23" t="s">
        <v>475</v>
      </c>
      <c r="B261" s="23">
        <v>0.0</v>
      </c>
      <c r="C261" s="23">
        <v>36.0</v>
      </c>
      <c r="D261" s="29">
        <f t="shared" si="1"/>
        <v>1</v>
      </c>
      <c r="E261" s="23" t="s">
        <v>188</v>
      </c>
      <c r="Y261" s="34" t="s">
        <v>25</v>
      </c>
      <c r="Z261" s="23">
        <v>1.0</v>
      </c>
      <c r="AA261" s="23">
        <v>1.0</v>
      </c>
      <c r="CA261" s="50">
        <v>46145.94351851852</v>
      </c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  <c r="CP261" s="50"/>
      <c r="CQ261" s="50"/>
      <c r="CR261" s="50"/>
      <c r="CS261" s="50"/>
      <c r="CT261" s="50"/>
      <c r="CU261" s="50"/>
      <c r="CV261" s="50"/>
      <c r="CW261" s="50"/>
      <c r="CX261" s="50"/>
      <c r="CY261" s="50"/>
      <c r="CZ261" s="50"/>
      <c r="DA261" s="50"/>
      <c r="DB261" s="50"/>
      <c r="DC261" s="50"/>
    </row>
    <row r="262">
      <c r="A262" s="23" t="s">
        <v>476</v>
      </c>
      <c r="B262" s="23">
        <v>0.0</v>
      </c>
      <c r="C262" s="23">
        <v>0.0</v>
      </c>
      <c r="D262" s="29">
        <f t="shared" si="1"/>
        <v>1</v>
      </c>
      <c r="E262" s="23" t="s">
        <v>347</v>
      </c>
      <c r="P262" s="34" t="s">
        <v>477</v>
      </c>
      <c r="Q262" s="23">
        <v>9.0</v>
      </c>
      <c r="R262" s="23">
        <v>0.0</v>
      </c>
      <c r="CA262" s="50">
        <v>46159.578680555554</v>
      </c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  <c r="CP262" s="50"/>
      <c r="CQ262" s="50"/>
      <c r="CR262" s="50"/>
      <c r="CS262" s="50"/>
      <c r="CT262" s="50"/>
      <c r="CU262" s="50"/>
      <c r="CV262" s="50"/>
      <c r="CW262" s="50"/>
      <c r="CX262" s="50"/>
      <c r="CY262" s="50"/>
      <c r="CZ262" s="50"/>
      <c r="DA262" s="50"/>
      <c r="DB262" s="50"/>
      <c r="DC262" s="50"/>
    </row>
    <row r="263">
      <c r="A263" s="23" t="s">
        <v>478</v>
      </c>
      <c r="B263" s="23">
        <v>0.0</v>
      </c>
      <c r="C263" s="23">
        <v>54.0</v>
      </c>
      <c r="D263" s="29">
        <f t="shared" si="1"/>
        <v>1</v>
      </c>
      <c r="E263" s="23" t="s">
        <v>188</v>
      </c>
      <c r="P263" s="34" t="s">
        <v>4</v>
      </c>
      <c r="Q263" s="23">
        <v>1.0</v>
      </c>
      <c r="R263" s="23">
        <v>0.0</v>
      </c>
      <c r="CA263" s="50">
        <v>46155.95806712963</v>
      </c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  <c r="CP263" s="50"/>
      <c r="CQ263" s="50"/>
      <c r="CR263" s="50"/>
      <c r="CS263" s="50"/>
      <c r="CT263" s="50"/>
      <c r="CU263" s="50"/>
      <c r="CV263" s="50"/>
      <c r="CW263" s="50"/>
      <c r="CX263" s="50"/>
      <c r="CY263" s="50"/>
      <c r="CZ263" s="50"/>
      <c r="DA263" s="50"/>
      <c r="DB263" s="50"/>
      <c r="DC263" s="50"/>
    </row>
    <row r="264">
      <c r="A264" s="23" t="s">
        <v>479</v>
      </c>
      <c r="B264" s="23">
        <v>0.0</v>
      </c>
      <c r="C264" s="23">
        <v>0.0</v>
      </c>
      <c r="D264" s="29">
        <f t="shared" si="1"/>
        <v>1</v>
      </c>
      <c r="E264" s="23" t="s">
        <v>404</v>
      </c>
      <c r="P264" s="34" t="s">
        <v>333</v>
      </c>
      <c r="Q264" s="23">
        <v>1.0</v>
      </c>
      <c r="R264" s="23">
        <v>0.0</v>
      </c>
      <c r="CA264" s="50">
        <v>46161.9496875</v>
      </c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  <c r="CP264" s="50"/>
      <c r="CQ264" s="50"/>
      <c r="CR264" s="50"/>
      <c r="CS264" s="50"/>
      <c r="CT264" s="50"/>
      <c r="CU264" s="50"/>
      <c r="CV264" s="50"/>
      <c r="CW264" s="50"/>
      <c r="CX264" s="50"/>
      <c r="CY264" s="50"/>
      <c r="CZ264" s="50"/>
      <c r="DA264" s="50"/>
      <c r="DB264" s="50"/>
      <c r="DC264" s="50"/>
    </row>
    <row r="265">
      <c r="A265" s="23" t="s">
        <v>480</v>
      </c>
      <c r="B265" s="23">
        <v>0.0</v>
      </c>
      <c r="C265" s="23">
        <v>40.0</v>
      </c>
      <c r="D265" s="29">
        <f t="shared" si="1"/>
        <v>1</v>
      </c>
      <c r="E265" s="23" t="s">
        <v>185</v>
      </c>
      <c r="F265" s="23">
        <v>4.71</v>
      </c>
      <c r="Y265" s="34" t="s">
        <v>25</v>
      </c>
      <c r="Z265" s="23">
        <v>1.0</v>
      </c>
      <c r="AA265" s="23">
        <v>1.0</v>
      </c>
      <c r="CA265" s="50">
        <v>46131.60037037037</v>
      </c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  <c r="CP265" s="50"/>
      <c r="CQ265" s="50"/>
      <c r="CR265" s="50"/>
      <c r="CS265" s="50"/>
      <c r="CT265" s="50"/>
      <c r="CU265" s="50"/>
      <c r="CV265" s="50"/>
      <c r="CW265" s="50"/>
      <c r="CX265" s="50"/>
      <c r="CY265" s="50"/>
      <c r="CZ265" s="50"/>
      <c r="DA265" s="50"/>
      <c r="DB265" s="50"/>
      <c r="DC265" s="50"/>
    </row>
    <row r="266">
      <c r="A266" s="23" t="s">
        <v>481</v>
      </c>
      <c r="B266" s="23">
        <v>0.0</v>
      </c>
      <c r="C266" s="23">
        <v>61.0</v>
      </c>
      <c r="D266" s="29">
        <f t="shared" si="1"/>
        <v>1</v>
      </c>
      <c r="E266" s="23" t="s">
        <v>143</v>
      </c>
      <c r="P266" s="34" t="s">
        <v>125</v>
      </c>
      <c r="Q266" s="23">
        <v>6.0</v>
      </c>
      <c r="R266" s="23">
        <v>0.0</v>
      </c>
      <c r="CA266" s="50">
        <v>46148.25488425926</v>
      </c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  <c r="CP266" s="50"/>
      <c r="CQ266" s="50"/>
      <c r="CR266" s="50"/>
      <c r="CS266" s="50"/>
      <c r="CT266" s="50"/>
      <c r="CU266" s="50"/>
      <c r="CV266" s="50"/>
      <c r="CW266" s="50"/>
      <c r="CX266" s="50"/>
      <c r="CY266" s="50"/>
      <c r="CZ266" s="50"/>
      <c r="DA266" s="50"/>
      <c r="DB266" s="50"/>
      <c r="DC266" s="50"/>
    </row>
    <row r="267">
      <c r="A267" s="23" t="s">
        <v>482</v>
      </c>
      <c r="B267" s="23">
        <v>0.0</v>
      </c>
      <c r="C267" s="23">
        <v>11.0</v>
      </c>
      <c r="D267" s="29">
        <f t="shared" si="1"/>
        <v>1</v>
      </c>
      <c r="E267" s="23" t="s">
        <v>188</v>
      </c>
      <c r="P267" s="34" t="s">
        <v>4</v>
      </c>
      <c r="Q267" s="23">
        <v>1.0</v>
      </c>
      <c r="R267" s="23">
        <v>0.0</v>
      </c>
      <c r="CA267" s="50">
        <v>46111.902708333335</v>
      </c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  <c r="CP267" s="50"/>
      <c r="CQ267" s="50"/>
      <c r="CR267" s="50"/>
      <c r="CS267" s="50"/>
      <c r="CT267" s="50"/>
      <c r="CU267" s="50"/>
      <c r="CV267" s="50"/>
      <c r="CW267" s="50"/>
      <c r="CX267" s="50"/>
      <c r="CY267" s="50"/>
      <c r="CZ267" s="50"/>
      <c r="DA267" s="50"/>
      <c r="DB267" s="50"/>
      <c r="DC267" s="50"/>
    </row>
    <row r="268">
      <c r="A268" s="23" t="s">
        <v>483</v>
      </c>
      <c r="B268" s="23">
        <v>0.0</v>
      </c>
      <c r="C268" s="23">
        <v>43.0</v>
      </c>
      <c r="D268" s="29">
        <f t="shared" si="1"/>
        <v>1</v>
      </c>
      <c r="E268" s="23" t="s">
        <v>484</v>
      </c>
      <c r="P268" s="34" t="s">
        <v>4</v>
      </c>
      <c r="Q268" s="23">
        <v>1.0</v>
      </c>
      <c r="R268" s="23">
        <v>2.0</v>
      </c>
      <c r="CA268" s="50">
        <v>46088.12076388889</v>
      </c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  <c r="CP268" s="50"/>
      <c r="CQ268" s="50"/>
      <c r="CR268" s="50"/>
      <c r="CS268" s="50"/>
      <c r="CT268" s="50"/>
      <c r="CU268" s="50"/>
      <c r="CV268" s="50"/>
      <c r="CW268" s="50"/>
      <c r="CX268" s="50"/>
      <c r="CY268" s="50"/>
      <c r="CZ268" s="50"/>
      <c r="DA268" s="50"/>
      <c r="DB268" s="50"/>
      <c r="DC268" s="50"/>
    </row>
    <row r="269">
      <c r="A269" s="23" t="s">
        <v>485</v>
      </c>
      <c r="B269" s="23">
        <v>0.0</v>
      </c>
      <c r="C269" s="23">
        <v>41.0</v>
      </c>
      <c r="D269" s="29">
        <f t="shared" si="1"/>
        <v>1</v>
      </c>
      <c r="E269" s="23" t="s">
        <v>446</v>
      </c>
      <c r="Y269" s="34" t="s">
        <v>213</v>
      </c>
      <c r="Z269" s="23">
        <v>2.0</v>
      </c>
      <c r="AA269" s="23">
        <v>1.0</v>
      </c>
      <c r="CA269" s="50">
        <v>46090.18850694445</v>
      </c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  <c r="CP269" s="50"/>
      <c r="CQ269" s="50"/>
      <c r="CR269" s="50"/>
      <c r="CS269" s="50"/>
      <c r="CT269" s="50"/>
      <c r="CU269" s="50"/>
      <c r="CV269" s="50"/>
      <c r="CW269" s="50"/>
      <c r="CX269" s="50"/>
      <c r="CY269" s="50"/>
      <c r="CZ269" s="50"/>
      <c r="DA269" s="50"/>
      <c r="DB269" s="50"/>
      <c r="DC269" s="50"/>
    </row>
    <row r="270">
      <c r="A270" s="23" t="s">
        <v>486</v>
      </c>
      <c r="B270" s="23">
        <v>0.0</v>
      </c>
      <c r="C270" s="23">
        <v>0.0</v>
      </c>
      <c r="D270" s="29">
        <f t="shared" si="1"/>
        <v>1</v>
      </c>
      <c r="E270" s="23" t="s">
        <v>188</v>
      </c>
      <c r="P270" s="34" t="s">
        <v>4</v>
      </c>
      <c r="Q270" s="23">
        <v>1.0</v>
      </c>
      <c r="R270" s="23">
        <v>0.0</v>
      </c>
      <c r="CA270" s="50">
        <v>46127.35685185185</v>
      </c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  <c r="CP270" s="50"/>
      <c r="CQ270" s="50"/>
      <c r="CR270" s="50"/>
      <c r="CS270" s="50"/>
      <c r="CT270" s="50"/>
      <c r="CU270" s="50"/>
      <c r="CV270" s="50"/>
      <c r="CW270" s="50"/>
      <c r="CX270" s="50"/>
      <c r="CY270" s="50"/>
      <c r="CZ270" s="50"/>
      <c r="DA270" s="50"/>
      <c r="DB270" s="50"/>
      <c r="DC270" s="50"/>
    </row>
    <row r="271">
      <c r="A271" s="23" t="s">
        <v>487</v>
      </c>
      <c r="B271" s="23">
        <v>0.0</v>
      </c>
      <c r="C271" s="23">
        <v>0.0</v>
      </c>
      <c r="D271" s="29">
        <f t="shared" si="1"/>
        <v>1</v>
      </c>
      <c r="AH271" s="34" t="s">
        <v>488</v>
      </c>
      <c r="AI271" s="23">
        <v>1.0</v>
      </c>
      <c r="AJ271" s="23">
        <v>2.0</v>
      </c>
      <c r="CA271" s="50">
        <v>46155.19625</v>
      </c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  <c r="CQ271" s="50"/>
      <c r="CR271" s="50"/>
      <c r="CS271" s="50"/>
      <c r="CT271" s="50"/>
      <c r="CU271" s="50"/>
      <c r="CV271" s="50"/>
      <c r="CW271" s="50"/>
      <c r="CX271" s="50"/>
      <c r="CY271" s="50"/>
      <c r="CZ271" s="50"/>
      <c r="DA271" s="50"/>
      <c r="DB271" s="50"/>
      <c r="DC271" s="50"/>
    </row>
    <row r="272">
      <c r="A272" s="34" t="s">
        <v>489</v>
      </c>
      <c r="B272" s="23">
        <v>0.0</v>
      </c>
      <c r="C272" s="23">
        <v>0.0</v>
      </c>
      <c r="D272" s="29">
        <f t="shared" si="1"/>
        <v>1</v>
      </c>
      <c r="E272" s="23" t="s">
        <v>226</v>
      </c>
      <c r="P272" s="34" t="s">
        <v>4</v>
      </c>
      <c r="Q272" s="23">
        <v>5.0</v>
      </c>
      <c r="R272" s="23">
        <v>0.0</v>
      </c>
      <c r="CA272" s="50">
        <v>46090.060740740744</v>
      </c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  <c r="CP272" s="50"/>
      <c r="CQ272" s="50"/>
      <c r="CR272" s="50"/>
      <c r="CS272" s="50"/>
      <c r="CT272" s="50"/>
      <c r="CU272" s="50"/>
      <c r="CV272" s="50"/>
      <c r="CW272" s="50"/>
      <c r="CX272" s="50"/>
      <c r="CY272" s="50"/>
      <c r="CZ272" s="50"/>
      <c r="DA272" s="50"/>
      <c r="DB272" s="50"/>
      <c r="DC272" s="50"/>
    </row>
    <row r="273">
      <c r="A273" s="23" t="s">
        <v>490</v>
      </c>
      <c r="B273" s="23">
        <v>0.0</v>
      </c>
      <c r="C273" s="23">
        <v>0.0</v>
      </c>
      <c r="D273" s="29">
        <f t="shared" si="1"/>
        <v>1</v>
      </c>
      <c r="E273" s="23" t="s">
        <v>309</v>
      </c>
      <c r="P273" s="34" t="s">
        <v>4</v>
      </c>
      <c r="Q273" s="23">
        <v>1.0</v>
      </c>
      <c r="R273" s="23">
        <v>0.0</v>
      </c>
      <c r="CA273" s="50">
        <v>46084.04023148148</v>
      </c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  <c r="CP273" s="50"/>
      <c r="CQ273" s="50"/>
      <c r="CR273" s="50"/>
      <c r="CS273" s="50"/>
      <c r="CT273" s="50"/>
      <c r="CU273" s="50"/>
      <c r="CV273" s="50"/>
      <c r="CW273" s="50"/>
      <c r="CX273" s="50"/>
      <c r="CY273" s="50"/>
      <c r="CZ273" s="50"/>
      <c r="DA273" s="50"/>
      <c r="DB273" s="50"/>
      <c r="DC273" s="50"/>
    </row>
    <row r="274">
      <c r="A274" s="23" t="s">
        <v>491</v>
      </c>
      <c r="B274" s="23">
        <v>0.0</v>
      </c>
      <c r="C274" s="23">
        <v>72.0</v>
      </c>
      <c r="D274" s="29">
        <f t="shared" si="1"/>
        <v>1</v>
      </c>
      <c r="Y274" s="34" t="s">
        <v>129</v>
      </c>
      <c r="Z274" s="23">
        <v>6.0</v>
      </c>
      <c r="AA274" s="23">
        <v>0.0</v>
      </c>
      <c r="CA274" s="50">
        <v>46082.523935185185</v>
      </c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  <c r="CP274" s="50"/>
      <c r="CQ274" s="50"/>
      <c r="CR274" s="50"/>
      <c r="CS274" s="50"/>
      <c r="CT274" s="50"/>
      <c r="CU274" s="50"/>
      <c r="CV274" s="50"/>
      <c r="CW274" s="50"/>
      <c r="CX274" s="50"/>
      <c r="CY274" s="50"/>
      <c r="CZ274" s="50"/>
      <c r="DA274" s="50"/>
      <c r="DB274" s="50"/>
      <c r="DC274" s="50"/>
    </row>
    <row r="275">
      <c r="A275" s="23" t="s">
        <v>492</v>
      </c>
      <c r="B275" s="23">
        <v>0.0</v>
      </c>
      <c r="C275" s="23">
        <v>0.0</v>
      </c>
      <c r="D275" s="29">
        <f t="shared" si="1"/>
        <v>1</v>
      </c>
      <c r="E275" s="23" t="s">
        <v>185</v>
      </c>
      <c r="AQ275" s="34" t="s">
        <v>114</v>
      </c>
      <c r="AR275" s="23">
        <v>1.0</v>
      </c>
      <c r="AS275" s="23">
        <v>0.0</v>
      </c>
      <c r="CA275" s="50">
        <v>46156.79541666667</v>
      </c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  <c r="CP275" s="50"/>
      <c r="CQ275" s="50"/>
      <c r="CR275" s="50"/>
      <c r="CS275" s="50"/>
      <c r="CT275" s="50"/>
      <c r="CU275" s="50"/>
      <c r="CV275" s="50"/>
      <c r="CW275" s="50"/>
      <c r="CX275" s="50"/>
      <c r="CY275" s="50"/>
      <c r="CZ275" s="50"/>
      <c r="DA275" s="50"/>
      <c r="DB275" s="50"/>
      <c r="DC275" s="50"/>
    </row>
    <row r="276">
      <c r="A276" s="23" t="s">
        <v>493</v>
      </c>
      <c r="B276" s="23">
        <v>0.0</v>
      </c>
      <c r="C276" s="23">
        <v>0.0</v>
      </c>
      <c r="D276" s="29">
        <f t="shared" si="1"/>
        <v>1</v>
      </c>
      <c r="E276" s="23" t="s">
        <v>188</v>
      </c>
      <c r="P276" s="34" t="s">
        <v>333</v>
      </c>
      <c r="Q276" s="23">
        <v>1.0</v>
      </c>
      <c r="R276" s="23">
        <v>1.0</v>
      </c>
      <c r="CA276" s="50">
        <v>46145.403969907406</v>
      </c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  <c r="CP276" s="50"/>
      <c r="CQ276" s="50"/>
      <c r="CR276" s="50"/>
      <c r="CS276" s="50"/>
      <c r="CT276" s="50"/>
      <c r="CU276" s="50"/>
      <c r="CV276" s="50"/>
      <c r="CW276" s="50"/>
      <c r="CX276" s="50"/>
      <c r="CY276" s="50"/>
      <c r="CZ276" s="50"/>
      <c r="DA276" s="50"/>
      <c r="DB276" s="50"/>
      <c r="DC276" s="50"/>
    </row>
    <row r="277">
      <c r="A277" s="23" t="s">
        <v>494</v>
      </c>
      <c r="B277" s="23">
        <v>0.0</v>
      </c>
      <c r="C277" s="23">
        <v>2.0</v>
      </c>
      <c r="D277" s="29">
        <f t="shared" si="1"/>
        <v>1</v>
      </c>
      <c r="E277" s="23" t="s">
        <v>185</v>
      </c>
      <c r="P277" s="34" t="s">
        <v>4</v>
      </c>
      <c r="Q277" s="23">
        <v>1.0</v>
      </c>
      <c r="R277" s="23">
        <v>1.0</v>
      </c>
      <c r="CA277" s="50">
        <v>46157.2309375</v>
      </c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  <c r="CP277" s="50"/>
      <c r="CQ277" s="50"/>
      <c r="CR277" s="50"/>
      <c r="CS277" s="50"/>
      <c r="CT277" s="50"/>
      <c r="CU277" s="50"/>
      <c r="CV277" s="50"/>
      <c r="CW277" s="50"/>
      <c r="CX277" s="50"/>
      <c r="CY277" s="50"/>
      <c r="CZ277" s="50"/>
      <c r="DA277" s="50"/>
      <c r="DB277" s="50"/>
      <c r="DC277" s="50"/>
    </row>
    <row r="278">
      <c r="A278" s="23" t="s">
        <v>495</v>
      </c>
      <c r="B278" s="23">
        <v>0.0</v>
      </c>
      <c r="C278" s="23">
        <v>61.0</v>
      </c>
      <c r="D278" s="29">
        <f t="shared" si="1"/>
        <v>1</v>
      </c>
      <c r="E278" s="23" t="s">
        <v>155</v>
      </c>
      <c r="Y278" s="34" t="s">
        <v>129</v>
      </c>
      <c r="Z278" s="23">
        <v>9.0</v>
      </c>
      <c r="AA278" s="23">
        <v>0.0</v>
      </c>
      <c r="CA278" s="50">
        <v>46162.08244212963</v>
      </c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C278" s="50"/>
    </row>
    <row r="279">
      <c r="A279" s="23" t="s">
        <v>496</v>
      </c>
      <c r="B279" s="23">
        <v>0.0</v>
      </c>
      <c r="C279" s="23">
        <v>1.0</v>
      </c>
      <c r="D279" s="29">
        <f t="shared" si="1"/>
        <v>1</v>
      </c>
      <c r="E279" s="23" t="s">
        <v>188</v>
      </c>
      <c r="P279" s="34" t="s">
        <v>4</v>
      </c>
      <c r="Q279" s="23">
        <v>1.0</v>
      </c>
      <c r="R279" s="23">
        <v>0.0</v>
      </c>
      <c r="CA279" s="50">
        <v>46071.11987268519</v>
      </c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  <c r="CP279" s="50"/>
      <c r="CQ279" s="50"/>
      <c r="CR279" s="50"/>
      <c r="CS279" s="50"/>
      <c r="CT279" s="50"/>
      <c r="CU279" s="50"/>
      <c r="CV279" s="50"/>
      <c r="CW279" s="50"/>
      <c r="CX279" s="50"/>
      <c r="CY279" s="50"/>
      <c r="CZ279" s="50"/>
      <c r="DA279" s="50"/>
      <c r="DB279" s="50"/>
      <c r="DC279" s="50"/>
    </row>
    <row r="280">
      <c r="A280" s="23" t="s">
        <v>497</v>
      </c>
      <c r="B280" s="23">
        <v>0.0</v>
      </c>
      <c r="C280" s="23">
        <v>62.0</v>
      </c>
      <c r="D280" s="29">
        <f t="shared" si="1"/>
        <v>1</v>
      </c>
      <c r="E280" s="23" t="s">
        <v>143</v>
      </c>
      <c r="AZ280" s="34" t="s">
        <v>119</v>
      </c>
      <c r="BA280" s="23">
        <v>1.0</v>
      </c>
      <c r="BB280" s="23">
        <v>0.0</v>
      </c>
      <c r="CA280" s="50">
        <v>46084.929189814815</v>
      </c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  <c r="CP280" s="50"/>
      <c r="CQ280" s="50"/>
      <c r="CR280" s="50"/>
      <c r="CS280" s="50"/>
      <c r="CT280" s="50"/>
      <c r="CU280" s="50"/>
      <c r="CV280" s="50"/>
      <c r="CW280" s="50"/>
      <c r="CX280" s="50"/>
      <c r="CY280" s="50"/>
      <c r="CZ280" s="50"/>
      <c r="DA280" s="50"/>
      <c r="DB280" s="50"/>
      <c r="DC280" s="50"/>
    </row>
    <row r="281">
      <c r="A281" s="23" t="s">
        <v>498</v>
      </c>
      <c r="B281" s="23">
        <v>0.0</v>
      </c>
      <c r="C281" s="23">
        <v>71.0</v>
      </c>
      <c r="D281" s="29">
        <f t="shared" si="1"/>
        <v>1</v>
      </c>
      <c r="AZ281" s="34" t="s">
        <v>135</v>
      </c>
      <c r="BA281" s="23">
        <v>7.0</v>
      </c>
      <c r="BB281" s="23">
        <v>0.0</v>
      </c>
      <c r="CA281" s="50">
        <v>46143.34991898148</v>
      </c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  <c r="CP281" s="50"/>
      <c r="CQ281" s="50"/>
      <c r="CR281" s="50"/>
      <c r="CS281" s="50"/>
      <c r="CT281" s="50"/>
      <c r="CU281" s="50"/>
      <c r="CV281" s="50"/>
      <c r="CW281" s="50"/>
      <c r="CX281" s="50"/>
      <c r="CY281" s="50"/>
      <c r="CZ281" s="50"/>
      <c r="DA281" s="50"/>
      <c r="DB281" s="50"/>
      <c r="DC281" s="50"/>
    </row>
    <row r="282">
      <c r="A282" s="23" t="s">
        <v>499</v>
      </c>
      <c r="B282" s="23">
        <v>0.0</v>
      </c>
      <c r="C282" s="23">
        <v>87.0</v>
      </c>
      <c r="D282" s="29">
        <f t="shared" si="1"/>
        <v>1</v>
      </c>
      <c r="E282" s="23" t="s">
        <v>155</v>
      </c>
      <c r="AZ282" s="34" t="s">
        <v>195</v>
      </c>
      <c r="BA282" s="23">
        <v>4.0</v>
      </c>
      <c r="BB282" s="23">
        <v>0.0</v>
      </c>
      <c r="CA282" s="50">
        <v>46152.66574074074</v>
      </c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  <c r="CP282" s="50"/>
      <c r="CQ282" s="50"/>
      <c r="CR282" s="50"/>
      <c r="CS282" s="50"/>
      <c r="CT282" s="50"/>
      <c r="CU282" s="50"/>
      <c r="CV282" s="50"/>
      <c r="CW282" s="50"/>
      <c r="CX282" s="50"/>
      <c r="CY282" s="50"/>
      <c r="CZ282" s="50"/>
      <c r="DA282" s="50"/>
      <c r="DB282" s="50"/>
      <c r="DC282" s="50"/>
    </row>
    <row r="283">
      <c r="A283" s="23" t="s">
        <v>500</v>
      </c>
      <c r="B283" s="23">
        <v>0.0</v>
      </c>
      <c r="C283" s="23">
        <v>45.0</v>
      </c>
      <c r="D283" s="29">
        <f t="shared" si="1"/>
        <v>1</v>
      </c>
      <c r="E283" s="23" t="s">
        <v>188</v>
      </c>
      <c r="Y283" s="34" t="s">
        <v>25</v>
      </c>
      <c r="Z283" s="23">
        <v>1.0</v>
      </c>
      <c r="AA283" s="23">
        <v>1.0</v>
      </c>
      <c r="CA283" s="50">
        <v>46088.56255787037</v>
      </c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  <c r="CP283" s="50"/>
      <c r="CQ283" s="50"/>
      <c r="CR283" s="50"/>
      <c r="CS283" s="50"/>
      <c r="CT283" s="50"/>
      <c r="CU283" s="50"/>
      <c r="CV283" s="50"/>
      <c r="CW283" s="50"/>
      <c r="CX283" s="50"/>
      <c r="CY283" s="50"/>
      <c r="CZ283" s="50"/>
      <c r="DA283" s="50"/>
      <c r="DB283" s="50"/>
      <c r="DC283" s="50"/>
    </row>
    <row r="284">
      <c r="A284" s="23" t="s">
        <v>501</v>
      </c>
      <c r="B284" s="23">
        <v>0.0</v>
      </c>
      <c r="C284" s="23">
        <v>1.0</v>
      </c>
      <c r="D284" s="29">
        <f t="shared" si="1"/>
        <v>1</v>
      </c>
      <c r="E284" s="23" t="s">
        <v>208</v>
      </c>
      <c r="F284" s="23">
        <v>0.51</v>
      </c>
      <c r="AQ284" s="34" t="s">
        <v>114</v>
      </c>
      <c r="AR284" s="23">
        <v>1.0</v>
      </c>
      <c r="AS284" s="23">
        <v>2.0</v>
      </c>
      <c r="CA284" s="50">
        <v>46089.49576388889</v>
      </c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  <c r="CQ284" s="50"/>
      <c r="CR284" s="50"/>
      <c r="CS284" s="50"/>
      <c r="CT284" s="50"/>
      <c r="CU284" s="50"/>
      <c r="CV284" s="50"/>
      <c r="CW284" s="50"/>
      <c r="CX284" s="50"/>
      <c r="CY284" s="50"/>
      <c r="CZ284" s="50"/>
      <c r="DA284" s="50"/>
      <c r="DB284" s="50"/>
      <c r="DC284" s="50"/>
    </row>
    <row r="285">
      <c r="A285" s="23" t="s">
        <v>502</v>
      </c>
      <c r="B285" s="23">
        <v>0.0</v>
      </c>
      <c r="C285" s="23">
        <v>31.0</v>
      </c>
      <c r="D285" s="29">
        <f t="shared" si="1"/>
        <v>1</v>
      </c>
      <c r="E285" s="23" t="s">
        <v>446</v>
      </c>
      <c r="Y285" s="34" t="s">
        <v>213</v>
      </c>
      <c r="Z285" s="23">
        <v>2.0</v>
      </c>
      <c r="AA285" s="23">
        <v>1.0</v>
      </c>
      <c r="CA285" s="50">
        <v>46088.62311342593</v>
      </c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  <c r="CP285" s="50"/>
      <c r="CQ285" s="50"/>
      <c r="CR285" s="50"/>
      <c r="CS285" s="50"/>
      <c r="CT285" s="50"/>
      <c r="CU285" s="50"/>
      <c r="CV285" s="50"/>
      <c r="CW285" s="50"/>
      <c r="CX285" s="50"/>
      <c r="CY285" s="50"/>
      <c r="CZ285" s="50"/>
      <c r="DA285" s="50"/>
      <c r="DB285" s="50"/>
      <c r="DC285" s="50"/>
    </row>
    <row r="286">
      <c r="A286" s="23" t="s">
        <v>503</v>
      </c>
      <c r="B286" s="23">
        <v>0.0</v>
      </c>
      <c r="C286" s="23">
        <v>16.0</v>
      </c>
      <c r="D286" s="29">
        <f t="shared" si="1"/>
        <v>1</v>
      </c>
      <c r="E286" s="23" t="s">
        <v>185</v>
      </c>
      <c r="P286" s="34" t="s">
        <v>4</v>
      </c>
      <c r="Q286" s="23">
        <v>1.0</v>
      </c>
      <c r="R286" s="23">
        <v>1.0</v>
      </c>
      <c r="CA286" s="50">
        <v>46126.528715277775</v>
      </c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  <c r="CP286" s="50"/>
      <c r="CQ286" s="50"/>
      <c r="CR286" s="50"/>
      <c r="CS286" s="50"/>
      <c r="CT286" s="50"/>
      <c r="CU286" s="50"/>
      <c r="CV286" s="50"/>
      <c r="CW286" s="50"/>
      <c r="CX286" s="50"/>
      <c r="CY286" s="50"/>
      <c r="CZ286" s="50"/>
      <c r="DA286" s="50"/>
      <c r="DB286" s="50"/>
      <c r="DC286" s="50"/>
    </row>
    <row r="287">
      <c r="A287" s="23" t="s">
        <v>504</v>
      </c>
      <c r="B287" s="23">
        <v>0.0</v>
      </c>
      <c r="C287" s="23">
        <v>72.0</v>
      </c>
      <c r="D287" s="29">
        <f t="shared" si="1"/>
        <v>1</v>
      </c>
      <c r="P287" s="34" t="s">
        <v>125</v>
      </c>
      <c r="Q287" s="23">
        <v>6.0</v>
      </c>
      <c r="R287" s="23">
        <v>0.0</v>
      </c>
      <c r="CA287" s="50">
        <v>46155.1283912037</v>
      </c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  <c r="CP287" s="50"/>
      <c r="CQ287" s="50"/>
      <c r="CR287" s="50"/>
      <c r="CS287" s="50"/>
      <c r="CT287" s="50"/>
      <c r="CU287" s="50"/>
      <c r="CV287" s="50"/>
      <c r="CW287" s="50"/>
      <c r="CX287" s="50"/>
      <c r="CY287" s="50"/>
      <c r="CZ287" s="50"/>
      <c r="DA287" s="50"/>
      <c r="DB287" s="50"/>
      <c r="DC287" s="50"/>
    </row>
    <row r="288">
      <c r="A288" s="23" t="s">
        <v>505</v>
      </c>
      <c r="B288" s="23">
        <v>0.0</v>
      </c>
      <c r="C288" s="23">
        <v>63.0</v>
      </c>
      <c r="D288" s="29">
        <f t="shared" si="1"/>
        <v>1</v>
      </c>
      <c r="Y288" s="34" t="s">
        <v>129</v>
      </c>
      <c r="Z288" s="23">
        <v>10.0</v>
      </c>
      <c r="AA288" s="23">
        <v>0.0</v>
      </c>
      <c r="CA288" s="50">
        <v>46145.90060185185</v>
      </c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  <c r="CP288" s="50"/>
      <c r="CQ288" s="50"/>
      <c r="CR288" s="50"/>
      <c r="CS288" s="50"/>
      <c r="CT288" s="50"/>
      <c r="CU288" s="50"/>
      <c r="CV288" s="50"/>
      <c r="CW288" s="50"/>
      <c r="CX288" s="50"/>
      <c r="CY288" s="50"/>
      <c r="CZ288" s="50"/>
      <c r="DA288" s="50"/>
      <c r="DB288" s="50"/>
      <c r="DC288" s="50"/>
    </row>
    <row r="289">
      <c r="A289" s="23" t="s">
        <v>506</v>
      </c>
      <c r="B289" s="23">
        <v>0.0</v>
      </c>
      <c r="C289" s="23">
        <v>0.0</v>
      </c>
      <c r="D289" s="29">
        <f t="shared" si="1"/>
        <v>1</v>
      </c>
      <c r="E289" s="23" t="s">
        <v>314</v>
      </c>
      <c r="P289" s="34" t="s">
        <v>4</v>
      </c>
      <c r="Q289" s="23">
        <v>1.0</v>
      </c>
      <c r="R289" s="23">
        <v>0.0</v>
      </c>
      <c r="CA289" s="50">
        <v>46160.841782407406</v>
      </c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  <c r="CP289" s="50"/>
      <c r="CQ289" s="50"/>
      <c r="CR289" s="50"/>
      <c r="CS289" s="50"/>
      <c r="CT289" s="50"/>
      <c r="CU289" s="50"/>
      <c r="CV289" s="50"/>
      <c r="CW289" s="50"/>
      <c r="CX289" s="50"/>
      <c r="CY289" s="50"/>
      <c r="CZ289" s="50"/>
      <c r="DA289" s="50"/>
      <c r="DB289" s="50"/>
      <c r="DC289" s="50"/>
    </row>
    <row r="290">
      <c r="A290" s="23" t="s">
        <v>507</v>
      </c>
      <c r="B290" s="23">
        <v>0.0</v>
      </c>
      <c r="C290" s="23">
        <v>2.0</v>
      </c>
      <c r="D290" s="29">
        <f t="shared" si="1"/>
        <v>1</v>
      </c>
      <c r="E290" s="23" t="s">
        <v>143</v>
      </c>
      <c r="AQ290" s="34" t="s">
        <v>134</v>
      </c>
      <c r="AR290" s="23">
        <v>1.0</v>
      </c>
      <c r="AS290" s="23">
        <v>1.0</v>
      </c>
      <c r="CA290" s="50">
        <v>46156.56270833333</v>
      </c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  <c r="CP290" s="50"/>
      <c r="CQ290" s="50"/>
      <c r="CR290" s="50"/>
      <c r="CS290" s="50"/>
      <c r="CT290" s="50"/>
      <c r="CU290" s="50"/>
      <c r="CV290" s="50"/>
      <c r="CW290" s="50"/>
      <c r="CX290" s="50"/>
      <c r="CY290" s="50"/>
      <c r="CZ290" s="50"/>
      <c r="DA290" s="50"/>
      <c r="DB290" s="50"/>
      <c r="DC290" s="50"/>
    </row>
    <row r="291">
      <c r="A291" s="23" t="s">
        <v>508</v>
      </c>
      <c r="B291" s="23">
        <v>0.0</v>
      </c>
      <c r="C291" s="23">
        <v>43.0</v>
      </c>
      <c r="D291" s="29">
        <f t="shared" si="1"/>
        <v>1</v>
      </c>
      <c r="E291" s="23" t="s">
        <v>185</v>
      </c>
      <c r="P291" s="34" t="s">
        <v>125</v>
      </c>
      <c r="Q291" s="23">
        <v>1.0</v>
      </c>
      <c r="R291" s="23">
        <v>1.0</v>
      </c>
      <c r="CA291" s="50">
        <v>46148.99408564815</v>
      </c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  <c r="CP291" s="50"/>
      <c r="CQ291" s="50"/>
      <c r="CR291" s="50"/>
      <c r="CS291" s="50"/>
      <c r="CT291" s="50"/>
      <c r="CU291" s="50"/>
      <c r="CV291" s="50"/>
      <c r="CW291" s="50"/>
      <c r="CX291" s="50"/>
      <c r="CY291" s="50"/>
      <c r="CZ291" s="50"/>
      <c r="DA291" s="50"/>
      <c r="DB291" s="50"/>
      <c r="DC291" s="50"/>
    </row>
    <row r="292">
      <c r="A292" s="23" t="s">
        <v>509</v>
      </c>
      <c r="B292" s="23">
        <v>0.0</v>
      </c>
      <c r="C292" s="23">
        <v>2.0</v>
      </c>
      <c r="D292" s="29">
        <f t="shared" si="1"/>
        <v>1</v>
      </c>
      <c r="E292" s="23" t="s">
        <v>185</v>
      </c>
      <c r="P292" s="34" t="s">
        <v>4</v>
      </c>
      <c r="Q292" s="23">
        <v>1.0</v>
      </c>
      <c r="R292" s="23">
        <v>1.0</v>
      </c>
      <c r="CA292" s="50">
        <v>46141.47987268519</v>
      </c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  <c r="CP292" s="50"/>
      <c r="CQ292" s="50"/>
      <c r="CR292" s="50"/>
      <c r="CS292" s="50"/>
      <c r="CT292" s="50"/>
      <c r="CU292" s="50"/>
      <c r="CV292" s="50"/>
      <c r="CW292" s="50"/>
      <c r="CX292" s="50"/>
      <c r="CY292" s="50"/>
      <c r="CZ292" s="50"/>
      <c r="DA292" s="50"/>
      <c r="DB292" s="50"/>
      <c r="DC292" s="50"/>
    </row>
    <row r="293">
      <c r="A293" s="23" t="s">
        <v>510</v>
      </c>
      <c r="B293" s="23">
        <v>0.0</v>
      </c>
      <c r="C293" s="23">
        <v>0.0</v>
      </c>
      <c r="D293" s="29">
        <f t="shared" si="1"/>
        <v>1</v>
      </c>
      <c r="E293" s="23" t="s">
        <v>143</v>
      </c>
      <c r="P293" s="34" t="s">
        <v>4</v>
      </c>
      <c r="Q293" s="23">
        <v>1.0</v>
      </c>
      <c r="R293" s="23">
        <v>0.0</v>
      </c>
      <c r="CA293" s="50">
        <v>46162.60854166667</v>
      </c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  <c r="CP293" s="50"/>
      <c r="CQ293" s="50"/>
      <c r="CR293" s="50"/>
      <c r="CS293" s="50"/>
      <c r="CT293" s="50"/>
      <c r="CU293" s="50"/>
      <c r="CV293" s="50"/>
      <c r="CW293" s="50"/>
      <c r="CX293" s="50"/>
      <c r="CY293" s="50"/>
      <c r="CZ293" s="50"/>
      <c r="DA293" s="50"/>
      <c r="DB293" s="50"/>
      <c r="DC293" s="50"/>
    </row>
    <row r="294">
      <c r="A294" s="23" t="s">
        <v>511</v>
      </c>
      <c r="B294" s="23">
        <v>0.0</v>
      </c>
      <c r="C294" s="23">
        <v>51.0</v>
      </c>
      <c r="D294" s="29">
        <f t="shared" si="1"/>
        <v>1</v>
      </c>
      <c r="E294" s="23" t="s">
        <v>143</v>
      </c>
      <c r="Y294" s="34" t="s">
        <v>25</v>
      </c>
      <c r="Z294" s="23">
        <v>1.0</v>
      </c>
      <c r="AA294" s="23">
        <v>0.0</v>
      </c>
      <c r="CA294" s="50">
        <v>46141.98087962963</v>
      </c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  <c r="CP294" s="50"/>
      <c r="CQ294" s="50"/>
      <c r="CR294" s="50"/>
      <c r="CS294" s="50"/>
      <c r="CT294" s="50"/>
      <c r="CU294" s="50"/>
      <c r="CV294" s="50"/>
      <c r="CW294" s="50"/>
      <c r="CX294" s="50"/>
      <c r="CY294" s="50"/>
      <c r="CZ294" s="50"/>
      <c r="DA294" s="50"/>
      <c r="DB294" s="50"/>
      <c r="DC294" s="50"/>
    </row>
    <row r="295">
      <c r="A295" s="23" t="s">
        <v>512</v>
      </c>
      <c r="B295" s="23">
        <v>0.0</v>
      </c>
      <c r="C295" s="23">
        <v>30.0</v>
      </c>
      <c r="D295" s="29">
        <f t="shared" si="1"/>
        <v>1</v>
      </c>
      <c r="E295" s="23" t="s">
        <v>185</v>
      </c>
      <c r="Y295" s="34" t="s">
        <v>25</v>
      </c>
      <c r="Z295" s="23">
        <v>1.0</v>
      </c>
      <c r="AA295" s="23">
        <v>0.0</v>
      </c>
      <c r="CA295" s="50">
        <v>46127.3325</v>
      </c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  <c r="CP295" s="50"/>
      <c r="CQ295" s="50"/>
      <c r="CR295" s="50"/>
      <c r="CS295" s="50"/>
      <c r="CT295" s="50"/>
      <c r="CU295" s="50"/>
      <c r="CV295" s="50"/>
      <c r="CW295" s="50"/>
      <c r="CX295" s="50"/>
      <c r="CY295" s="50"/>
      <c r="CZ295" s="50"/>
      <c r="DA295" s="50"/>
      <c r="DB295" s="50"/>
      <c r="DC295" s="50"/>
    </row>
    <row r="296">
      <c r="A296" s="23" t="s">
        <v>513</v>
      </c>
      <c r="B296" s="23">
        <v>0.0</v>
      </c>
      <c r="C296" s="23">
        <v>48.0</v>
      </c>
      <c r="D296" s="29">
        <f t="shared" si="1"/>
        <v>1</v>
      </c>
      <c r="E296" s="23" t="s">
        <v>302</v>
      </c>
      <c r="P296" s="34" t="s">
        <v>4</v>
      </c>
      <c r="Q296" s="23">
        <v>6.0</v>
      </c>
      <c r="R296" s="23">
        <v>0.0</v>
      </c>
      <c r="CA296" s="50">
        <v>46069.86284722222</v>
      </c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  <c r="CP296" s="50"/>
      <c r="CQ296" s="50"/>
      <c r="CR296" s="50"/>
      <c r="CS296" s="50"/>
      <c r="CT296" s="50"/>
      <c r="CU296" s="50"/>
      <c r="CV296" s="50"/>
      <c r="CW296" s="50"/>
      <c r="CX296" s="50"/>
      <c r="CY296" s="50"/>
      <c r="CZ296" s="50"/>
      <c r="DA296" s="50"/>
      <c r="DB296" s="50"/>
      <c r="DC296" s="50"/>
    </row>
    <row r="297">
      <c r="A297" s="23" t="s">
        <v>514</v>
      </c>
      <c r="B297" s="23">
        <v>0.0</v>
      </c>
      <c r="C297" s="23">
        <v>64.0</v>
      </c>
      <c r="D297" s="29">
        <f t="shared" si="1"/>
        <v>1</v>
      </c>
      <c r="E297" s="23" t="s">
        <v>155</v>
      </c>
      <c r="AQ297" s="34" t="s">
        <v>134</v>
      </c>
      <c r="AR297" s="23">
        <v>7.0</v>
      </c>
      <c r="AS297" s="23">
        <v>0.0</v>
      </c>
      <c r="CA297" s="50">
        <v>46147.63239583333</v>
      </c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  <c r="CP297" s="50"/>
      <c r="CQ297" s="50"/>
      <c r="CR297" s="50"/>
      <c r="CS297" s="50"/>
      <c r="CT297" s="50"/>
      <c r="CU297" s="50"/>
      <c r="CV297" s="50"/>
      <c r="CW297" s="50"/>
      <c r="CX297" s="50"/>
      <c r="CY297" s="50"/>
      <c r="CZ297" s="50"/>
      <c r="DA297" s="50"/>
      <c r="DB297" s="50"/>
      <c r="DC297" s="50"/>
    </row>
    <row r="298">
      <c r="A298" s="23" t="s">
        <v>515</v>
      </c>
      <c r="B298" s="23">
        <v>0.0</v>
      </c>
      <c r="C298" s="23">
        <v>18.0</v>
      </c>
      <c r="D298" s="29">
        <f t="shared" si="1"/>
        <v>1</v>
      </c>
      <c r="E298" s="23" t="s">
        <v>451</v>
      </c>
      <c r="Y298" s="34" t="s">
        <v>213</v>
      </c>
      <c r="Z298" s="23">
        <v>2.0</v>
      </c>
      <c r="AA298" s="23">
        <v>2.0</v>
      </c>
      <c r="CA298" s="50">
        <v>46147.633310185185</v>
      </c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  <c r="CP298" s="50"/>
      <c r="CQ298" s="50"/>
      <c r="CR298" s="50"/>
      <c r="CS298" s="50"/>
      <c r="CT298" s="50"/>
      <c r="CU298" s="50"/>
      <c r="CV298" s="50"/>
      <c r="CW298" s="50"/>
      <c r="CX298" s="50"/>
      <c r="CY298" s="50"/>
      <c r="CZ298" s="50"/>
      <c r="DA298" s="50"/>
      <c r="DB298" s="50"/>
      <c r="DC298" s="50"/>
    </row>
    <row r="299">
      <c r="A299" s="23" t="s">
        <v>516</v>
      </c>
      <c r="B299" s="23">
        <v>0.0</v>
      </c>
      <c r="C299" s="23">
        <v>30.0</v>
      </c>
      <c r="D299" s="29">
        <f t="shared" si="1"/>
        <v>1</v>
      </c>
      <c r="E299" s="23" t="s">
        <v>446</v>
      </c>
      <c r="P299" s="34" t="s">
        <v>125</v>
      </c>
      <c r="Q299" s="23">
        <v>6.0</v>
      </c>
      <c r="R299" s="23">
        <v>0.0</v>
      </c>
      <c r="CA299" s="50">
        <v>46100.0753587963</v>
      </c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  <c r="CP299" s="50"/>
      <c r="CQ299" s="50"/>
      <c r="CR299" s="50"/>
      <c r="CS299" s="50"/>
      <c r="CT299" s="50"/>
      <c r="CU299" s="50"/>
      <c r="CV299" s="50"/>
      <c r="CW299" s="50"/>
      <c r="CX299" s="50"/>
      <c r="CY299" s="50"/>
      <c r="CZ299" s="50"/>
      <c r="DA299" s="50"/>
      <c r="DB299" s="50"/>
      <c r="DC299" s="50"/>
    </row>
    <row r="300">
      <c r="A300" s="23" t="s">
        <v>517</v>
      </c>
      <c r="B300" s="23">
        <v>0.0</v>
      </c>
      <c r="C300" s="23">
        <v>0.0</v>
      </c>
      <c r="D300" s="29">
        <f t="shared" si="1"/>
        <v>1</v>
      </c>
      <c r="E300" s="23" t="s">
        <v>437</v>
      </c>
      <c r="P300" s="34" t="s">
        <v>4</v>
      </c>
      <c r="Q300" s="23">
        <v>3.0</v>
      </c>
      <c r="R300" s="23">
        <v>0.0</v>
      </c>
      <c r="CA300" s="50">
        <v>46122.52116898148</v>
      </c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  <c r="CP300" s="50"/>
      <c r="CQ300" s="50"/>
      <c r="CR300" s="50"/>
      <c r="CS300" s="50"/>
      <c r="CT300" s="50"/>
      <c r="CU300" s="50"/>
      <c r="CV300" s="50"/>
      <c r="CW300" s="50"/>
      <c r="CX300" s="50"/>
      <c r="CY300" s="50"/>
      <c r="CZ300" s="50"/>
      <c r="DA300" s="50"/>
      <c r="DB300" s="50"/>
      <c r="DC300" s="50"/>
    </row>
    <row r="301">
      <c r="A301" s="23" t="s">
        <v>518</v>
      </c>
      <c r="B301" s="23">
        <v>0.0</v>
      </c>
      <c r="C301" s="23">
        <v>0.0</v>
      </c>
      <c r="D301" s="29">
        <f t="shared" si="1"/>
        <v>1</v>
      </c>
      <c r="E301" s="23" t="s">
        <v>398</v>
      </c>
      <c r="P301" s="34" t="s">
        <v>333</v>
      </c>
      <c r="Q301" s="23">
        <v>2.0</v>
      </c>
      <c r="R301" s="23">
        <v>0.0</v>
      </c>
      <c r="CA301" s="50">
        <v>46160.718877314815</v>
      </c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  <c r="CP301" s="50"/>
      <c r="CQ301" s="50"/>
      <c r="CR301" s="50"/>
      <c r="CS301" s="50"/>
      <c r="CT301" s="50"/>
      <c r="CU301" s="50"/>
      <c r="CV301" s="50"/>
      <c r="CW301" s="50"/>
      <c r="CX301" s="50"/>
      <c r="CY301" s="50"/>
      <c r="CZ301" s="50"/>
      <c r="DA301" s="50"/>
      <c r="DB301" s="50"/>
      <c r="DC301" s="50"/>
    </row>
    <row r="302">
      <c r="A302" s="23" t="s">
        <v>519</v>
      </c>
      <c r="B302" s="23">
        <v>0.0</v>
      </c>
      <c r="C302" s="23">
        <v>86.0</v>
      </c>
      <c r="D302" s="29">
        <f t="shared" si="1"/>
        <v>1</v>
      </c>
      <c r="E302" s="23" t="s">
        <v>143</v>
      </c>
      <c r="AZ302" s="34" t="s">
        <v>195</v>
      </c>
      <c r="BA302" s="23">
        <v>3.0</v>
      </c>
      <c r="BB302" s="23">
        <v>0.0</v>
      </c>
      <c r="CA302" s="50">
        <v>46149.28826388889</v>
      </c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  <c r="CP302" s="50"/>
      <c r="CQ302" s="50"/>
      <c r="CR302" s="50"/>
      <c r="CS302" s="50"/>
      <c r="CT302" s="50"/>
      <c r="CU302" s="50"/>
      <c r="CV302" s="50"/>
      <c r="CW302" s="50"/>
      <c r="CX302" s="50"/>
      <c r="CY302" s="50"/>
      <c r="CZ302" s="50"/>
      <c r="DA302" s="50"/>
      <c r="DB302" s="50"/>
      <c r="DC302" s="50"/>
    </row>
    <row r="303">
      <c r="A303" s="23" t="s">
        <v>520</v>
      </c>
      <c r="B303" s="23">
        <v>0.0</v>
      </c>
      <c r="C303" s="23">
        <v>77.0</v>
      </c>
      <c r="D303" s="29">
        <f t="shared" si="1"/>
        <v>1</v>
      </c>
      <c r="P303" s="34" t="s">
        <v>125</v>
      </c>
      <c r="Q303" s="23">
        <v>6.0</v>
      </c>
      <c r="R303" s="23">
        <v>0.0</v>
      </c>
      <c r="CA303" s="50">
        <v>46147.880057870374</v>
      </c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  <c r="CP303" s="50"/>
      <c r="CQ303" s="50"/>
      <c r="CR303" s="50"/>
      <c r="CS303" s="50"/>
      <c r="CT303" s="50"/>
      <c r="CU303" s="50"/>
      <c r="CV303" s="50"/>
      <c r="CW303" s="50"/>
      <c r="CX303" s="50"/>
      <c r="CY303" s="50"/>
      <c r="CZ303" s="50"/>
      <c r="DA303" s="50"/>
      <c r="DB303" s="50"/>
      <c r="DC303" s="50"/>
    </row>
  </sheetData>
  <autoFilter ref="$A$1:$DC$1000">
    <sortState ref="A1:DC1000">
      <sortCondition descending="1" ref="D1:D1000"/>
    </sortState>
  </autoFilter>
  <conditionalFormatting sqref="D2:D303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P2"/>
    <hyperlink r:id="rId2" ref="Y2"/>
    <hyperlink r:id="rId3" ref="AH2"/>
    <hyperlink r:id="rId4" ref="AQ2"/>
    <hyperlink r:id="rId5" ref="AZ2"/>
    <hyperlink r:id="rId6" ref="P3"/>
    <hyperlink r:id="rId7" ref="Y3"/>
    <hyperlink r:id="rId8" ref="AH3"/>
    <hyperlink r:id="rId9" ref="AQ3"/>
    <hyperlink r:id="rId10" ref="AZ3"/>
    <hyperlink r:id="rId11" ref="P4"/>
    <hyperlink r:id="rId12" ref="Y4"/>
    <hyperlink r:id="rId13" ref="AH4"/>
    <hyperlink r:id="rId14" ref="AQ4"/>
    <hyperlink r:id="rId15" ref="AZ4"/>
    <hyperlink r:id="rId16" ref="P5"/>
    <hyperlink r:id="rId17" ref="Y5"/>
    <hyperlink r:id="rId18" ref="AH5"/>
    <hyperlink r:id="rId19" ref="AQ5"/>
    <hyperlink r:id="rId20" ref="AZ5"/>
    <hyperlink r:id="rId21" ref="P6"/>
    <hyperlink r:id="rId22" ref="Y6"/>
    <hyperlink r:id="rId23" ref="AH6"/>
    <hyperlink r:id="rId24" ref="AQ6"/>
    <hyperlink r:id="rId25" ref="BR6"/>
    <hyperlink r:id="rId26" ref="P7"/>
    <hyperlink r:id="rId27" ref="Y7"/>
    <hyperlink r:id="rId28" ref="AH7"/>
    <hyperlink r:id="rId29" ref="AQ7"/>
    <hyperlink r:id="rId30" ref="AZ7"/>
    <hyperlink r:id="rId31" ref="P8"/>
    <hyperlink r:id="rId32" ref="Y8"/>
    <hyperlink r:id="rId33" ref="AH8"/>
    <hyperlink r:id="rId34" ref="AQ8"/>
    <hyperlink r:id="rId35" ref="AZ8"/>
    <hyperlink r:id="rId36" ref="P9"/>
    <hyperlink r:id="rId37" ref="Y9"/>
    <hyperlink r:id="rId38" ref="AH9"/>
    <hyperlink r:id="rId39" ref="AQ9"/>
    <hyperlink r:id="rId40" ref="P10"/>
    <hyperlink r:id="rId41" ref="Y10"/>
    <hyperlink r:id="rId42" ref="AH10"/>
    <hyperlink r:id="rId43" ref="AQ10"/>
    <hyperlink r:id="rId44" ref="P11"/>
    <hyperlink r:id="rId45" ref="Y11"/>
    <hyperlink r:id="rId46" ref="AH11"/>
    <hyperlink r:id="rId47" ref="AQ11"/>
    <hyperlink r:id="rId48" ref="P12"/>
    <hyperlink r:id="rId49" ref="Y12"/>
    <hyperlink r:id="rId50" ref="AH12"/>
    <hyperlink r:id="rId51" ref="AQ12"/>
    <hyperlink r:id="rId52" ref="P13"/>
    <hyperlink r:id="rId53" ref="AH13"/>
    <hyperlink r:id="rId54" ref="AQ13"/>
    <hyperlink r:id="rId55" ref="AZ13"/>
    <hyperlink r:id="rId56" ref="P14"/>
    <hyperlink r:id="rId57" ref="Y14"/>
    <hyperlink r:id="rId58" ref="AH14"/>
    <hyperlink r:id="rId59" ref="AZ14"/>
    <hyperlink r:id="rId60" ref="P15"/>
    <hyperlink r:id="rId61" ref="AH15"/>
    <hyperlink r:id="rId62" ref="AQ15"/>
    <hyperlink r:id="rId63" ref="AZ15"/>
    <hyperlink r:id="rId64" ref="Y16"/>
    <hyperlink r:id="rId65" ref="AH16"/>
    <hyperlink r:id="rId66" ref="AQ16"/>
    <hyperlink r:id="rId67" ref="AZ16"/>
    <hyperlink r:id="rId68" ref="P17"/>
    <hyperlink r:id="rId69" ref="AH17"/>
    <hyperlink r:id="rId70" ref="AQ17"/>
    <hyperlink r:id="rId71" ref="AZ17"/>
    <hyperlink r:id="rId72" ref="P18"/>
    <hyperlink r:id="rId73" ref="Y18"/>
    <hyperlink r:id="rId74" ref="AH18"/>
    <hyperlink r:id="rId75" ref="AZ18"/>
    <hyperlink r:id="rId76" ref="P19"/>
    <hyperlink r:id="rId77" ref="Y19"/>
    <hyperlink r:id="rId78" ref="AH19"/>
    <hyperlink r:id="rId79" ref="AZ19"/>
    <hyperlink r:id="rId80" ref="P20"/>
    <hyperlink r:id="rId81" ref="Y20"/>
    <hyperlink r:id="rId82" ref="AQ20"/>
    <hyperlink r:id="rId83" ref="AZ20"/>
    <hyperlink r:id="rId84" ref="P21"/>
    <hyperlink r:id="rId85" ref="AH21"/>
    <hyperlink r:id="rId86" ref="AZ21"/>
    <hyperlink r:id="rId87" ref="P22"/>
    <hyperlink r:id="rId88" ref="AH22"/>
    <hyperlink r:id="rId89" ref="AZ22"/>
    <hyperlink r:id="rId90" ref="P23"/>
    <hyperlink r:id="rId91" ref="AH23"/>
    <hyperlink r:id="rId92" ref="AQ23"/>
    <hyperlink r:id="rId93" ref="Y24"/>
    <hyperlink r:id="rId94" ref="AH24"/>
    <hyperlink r:id="rId95" ref="AZ24"/>
    <hyperlink r:id="rId96" ref="P25"/>
    <hyperlink r:id="rId97" ref="Y25"/>
    <hyperlink r:id="rId98" ref="AH25"/>
    <hyperlink r:id="rId99" ref="P26"/>
    <hyperlink r:id="rId100" ref="Y26"/>
    <hyperlink r:id="rId101" ref="AQ26"/>
    <hyperlink r:id="rId102" ref="P27"/>
    <hyperlink r:id="rId103" ref="Y27"/>
    <hyperlink r:id="rId104" ref="AH27"/>
    <hyperlink r:id="rId105" ref="P28"/>
    <hyperlink r:id="rId106" ref="AQ28"/>
    <hyperlink r:id="rId107" ref="AZ28"/>
    <hyperlink r:id="rId108" ref="P29"/>
    <hyperlink r:id="rId109" ref="Y29"/>
    <hyperlink r:id="rId110" ref="AH29"/>
    <hyperlink r:id="rId111" ref="P30"/>
    <hyperlink r:id="rId112" ref="AH30"/>
    <hyperlink r:id="rId113" ref="AZ30"/>
    <hyperlink r:id="rId114" ref="P31"/>
    <hyperlink r:id="rId115" ref="Y31"/>
    <hyperlink r:id="rId116" ref="AH31"/>
    <hyperlink r:id="rId117" ref="P32"/>
    <hyperlink r:id="rId118" ref="AH32"/>
    <hyperlink r:id="rId119" ref="AQ32"/>
    <hyperlink r:id="rId120" ref="P33"/>
    <hyperlink r:id="rId121" ref="Y33"/>
    <hyperlink r:id="rId122" ref="AH33"/>
    <hyperlink r:id="rId123" ref="Y34"/>
    <hyperlink r:id="rId124" ref="AH34"/>
    <hyperlink r:id="rId125" ref="AQ34"/>
    <hyperlink r:id="rId126" ref="P35"/>
    <hyperlink r:id="rId127" ref="Y35"/>
    <hyperlink r:id="rId128" ref="AZ35"/>
    <hyperlink r:id="rId129" ref="P36"/>
    <hyperlink r:id="rId130" ref="AH36"/>
    <hyperlink r:id="rId131" ref="AQ36"/>
    <hyperlink r:id="rId132" ref="AH37"/>
    <hyperlink r:id="rId133" ref="AQ37"/>
    <hyperlink r:id="rId134" ref="AZ37"/>
    <hyperlink r:id="rId135" ref="P38"/>
    <hyperlink r:id="rId136" ref="Y38"/>
    <hyperlink r:id="rId137" ref="AQ38"/>
    <hyperlink r:id="rId138" ref="P39"/>
    <hyperlink r:id="rId139" ref="Y39"/>
    <hyperlink r:id="rId140" ref="AZ39"/>
    <hyperlink r:id="rId141" ref="P40"/>
    <hyperlink r:id="rId142" ref="AH40"/>
    <hyperlink r:id="rId143" ref="AQ40"/>
    <hyperlink r:id="rId144" ref="P41"/>
    <hyperlink r:id="rId145" ref="AH41"/>
    <hyperlink r:id="rId146" ref="AQ41"/>
    <hyperlink r:id="rId147" ref="P42"/>
    <hyperlink r:id="rId148" ref="Y42"/>
    <hyperlink r:id="rId149" ref="AQ42"/>
    <hyperlink r:id="rId150" ref="P43"/>
    <hyperlink r:id="rId151" ref="AH43"/>
    <hyperlink r:id="rId152" ref="AQ43"/>
    <hyperlink r:id="rId153" ref="P44"/>
    <hyperlink r:id="rId154" ref="AH44"/>
    <hyperlink r:id="rId155" ref="P45"/>
    <hyperlink r:id="rId156" ref="AH45"/>
    <hyperlink r:id="rId157" ref="P46"/>
    <hyperlink r:id="rId158" ref="AH46"/>
    <hyperlink r:id="rId159" ref="P47"/>
    <hyperlink r:id="rId160" ref="AH47"/>
    <hyperlink r:id="rId161" ref="P48"/>
    <hyperlink r:id="rId162" ref="AQ48"/>
    <hyperlink r:id="rId163" ref="AQ49"/>
    <hyperlink r:id="rId164" ref="AZ49"/>
    <hyperlink r:id="rId165" ref="P50"/>
    <hyperlink r:id="rId166" ref="Y50"/>
    <hyperlink r:id="rId167" ref="P51"/>
    <hyperlink r:id="rId168" ref="AH51"/>
    <hyperlink r:id="rId169" ref="Y52"/>
    <hyperlink r:id="rId170" ref="AQ52"/>
    <hyperlink r:id="rId171" ref="P53"/>
    <hyperlink r:id="rId172" ref="AQ53"/>
    <hyperlink r:id="rId173" ref="Y54"/>
    <hyperlink r:id="rId174" ref="AQ54"/>
    <hyperlink r:id="rId175" ref="P55"/>
    <hyperlink r:id="rId176" ref="AH55"/>
    <hyperlink r:id="rId177" ref="P56"/>
    <hyperlink r:id="rId178" ref="Y56"/>
    <hyperlink r:id="rId179" ref="P57"/>
    <hyperlink r:id="rId180" ref="Y57"/>
    <hyperlink r:id="rId181" ref="P58"/>
    <hyperlink r:id="rId182" ref="Y58"/>
    <hyperlink r:id="rId183" ref="P59"/>
    <hyperlink r:id="rId184" ref="Y59"/>
    <hyperlink r:id="rId185" ref="Y60"/>
    <hyperlink r:id="rId186" ref="AQ60"/>
    <hyperlink r:id="rId187" ref="P61"/>
    <hyperlink r:id="rId188" ref="AZ61"/>
    <hyperlink r:id="rId189" ref="P62"/>
    <hyperlink r:id="rId190" ref="Y62"/>
    <hyperlink r:id="rId191" ref="P63"/>
    <hyperlink r:id="rId192" ref="AH63"/>
    <hyperlink r:id="rId193" ref="P64"/>
    <hyperlink r:id="rId194" ref="Y64"/>
    <hyperlink r:id="rId195" ref="P65"/>
    <hyperlink r:id="rId196" ref="Y65"/>
    <hyperlink r:id="rId197" ref="P66"/>
    <hyperlink r:id="rId198" ref="AH66"/>
    <hyperlink r:id="rId199" ref="P67"/>
    <hyperlink r:id="rId200" ref="AH67"/>
    <hyperlink r:id="rId201" ref="P68"/>
    <hyperlink r:id="rId202" ref="Y68"/>
    <hyperlink r:id="rId203" ref="P69"/>
    <hyperlink r:id="rId204" ref="AZ69"/>
    <hyperlink r:id="rId205" ref="P70"/>
    <hyperlink r:id="rId206" ref="AH70"/>
    <hyperlink r:id="rId207" ref="AQ71"/>
    <hyperlink r:id="rId208" ref="AZ71"/>
    <hyperlink r:id="rId209" ref="P72"/>
    <hyperlink r:id="rId210" ref="AQ72"/>
    <hyperlink r:id="rId211" ref="P73"/>
    <hyperlink r:id="rId212" ref="AH73"/>
    <hyperlink r:id="rId213" ref="Y74"/>
    <hyperlink r:id="rId214" ref="AQ74"/>
    <hyperlink r:id="rId215" ref="P75"/>
    <hyperlink r:id="rId216" ref="Y76"/>
    <hyperlink r:id="rId217" ref="P77"/>
    <hyperlink r:id="rId218" ref="Y78"/>
    <hyperlink r:id="rId219" ref="AZ79"/>
    <hyperlink r:id="rId220" ref="Y80"/>
    <hyperlink r:id="rId221" ref="Y81"/>
    <hyperlink r:id="rId222" ref="AZ82"/>
    <hyperlink r:id="rId223" ref="P83"/>
    <hyperlink r:id="rId224" ref="AZ84"/>
    <hyperlink r:id="rId225" ref="AH85"/>
    <hyperlink r:id="rId226" ref="A86"/>
    <hyperlink r:id="rId227" ref="P86"/>
    <hyperlink r:id="rId228" ref="AZ87"/>
    <hyperlink r:id="rId229" ref="Y88"/>
    <hyperlink r:id="rId230" ref="AZ89"/>
    <hyperlink r:id="rId231" ref="AQ90"/>
    <hyperlink r:id="rId232" ref="P91"/>
    <hyperlink r:id="rId233" ref="Y92"/>
    <hyperlink r:id="rId234" ref="AH93"/>
    <hyperlink r:id="rId235" ref="P94"/>
    <hyperlink r:id="rId236" ref="P95"/>
    <hyperlink r:id="rId237" ref="AQ96"/>
    <hyperlink r:id="rId238" ref="P97"/>
    <hyperlink r:id="rId239" ref="Y98"/>
    <hyperlink r:id="rId240" ref="Y99"/>
    <hyperlink r:id="rId241" ref="P100"/>
    <hyperlink r:id="rId242" ref="P101"/>
    <hyperlink r:id="rId243" ref="Y102"/>
    <hyperlink r:id="rId244" ref="P103"/>
    <hyperlink r:id="rId245" ref="AQ104"/>
    <hyperlink r:id="rId246" ref="Y105"/>
    <hyperlink r:id="rId247" ref="P106"/>
    <hyperlink r:id="rId248" ref="AQ107"/>
    <hyperlink r:id="rId249" ref="AQ108"/>
    <hyperlink r:id="rId250" ref="P109"/>
    <hyperlink r:id="rId251" ref="P110"/>
    <hyperlink r:id="rId252" ref="P111"/>
    <hyperlink r:id="rId253" ref="P112"/>
    <hyperlink r:id="rId254" ref="P113"/>
    <hyperlink r:id="rId255" ref="AH114"/>
    <hyperlink r:id="rId256" ref="Y115"/>
    <hyperlink r:id="rId257" ref="P116"/>
    <hyperlink r:id="rId258" ref="P117"/>
    <hyperlink r:id="rId259" ref="P118"/>
    <hyperlink r:id="rId260" ref="AZ119"/>
    <hyperlink r:id="rId261" ref="AH120"/>
    <hyperlink r:id="rId262" ref="AH121"/>
    <hyperlink r:id="rId263" ref="P122"/>
    <hyperlink r:id="rId264" ref="AH123"/>
    <hyperlink r:id="rId265" ref="P124"/>
    <hyperlink r:id="rId266" ref="P125"/>
    <hyperlink r:id="rId267" ref="P126"/>
    <hyperlink r:id="rId268" ref="P127"/>
    <hyperlink r:id="rId269" ref="P128"/>
    <hyperlink r:id="rId270" ref="AH129"/>
    <hyperlink r:id="rId271" ref="P130"/>
    <hyperlink r:id="rId272" ref="Y131"/>
    <hyperlink r:id="rId273" ref="AZ132"/>
    <hyperlink r:id="rId274" ref="P133"/>
    <hyperlink r:id="rId275" ref="P134"/>
    <hyperlink r:id="rId276" ref="Y135"/>
    <hyperlink r:id="rId277" ref="AZ136"/>
    <hyperlink r:id="rId278" ref="AQ137"/>
    <hyperlink r:id="rId279" ref="P138"/>
    <hyperlink r:id="rId280" ref="AZ139"/>
    <hyperlink r:id="rId281" ref="Y140"/>
    <hyperlink r:id="rId282" ref="P141"/>
    <hyperlink r:id="rId283" ref="P142"/>
    <hyperlink r:id="rId284" ref="P143"/>
    <hyperlink r:id="rId285" ref="AZ144"/>
    <hyperlink r:id="rId286" ref="P145"/>
    <hyperlink r:id="rId287" ref="Y146"/>
    <hyperlink r:id="rId288" ref="P147"/>
    <hyperlink r:id="rId289" ref="AZ148"/>
    <hyperlink r:id="rId290" ref="AZ149"/>
    <hyperlink r:id="rId291" ref="AZ150"/>
    <hyperlink r:id="rId292" ref="Y151"/>
    <hyperlink r:id="rId293" ref="Y152"/>
    <hyperlink r:id="rId294" ref="P153"/>
    <hyperlink r:id="rId295" ref="Y154"/>
    <hyperlink r:id="rId296" ref="P155"/>
    <hyperlink r:id="rId297" ref="Y156"/>
    <hyperlink r:id="rId298" ref="AQ157"/>
    <hyperlink r:id="rId299" ref="P158"/>
    <hyperlink r:id="rId300" ref="P159"/>
    <hyperlink r:id="rId301" ref="P160"/>
    <hyperlink r:id="rId302" ref="P161"/>
    <hyperlink r:id="rId303" ref="P162"/>
    <hyperlink r:id="rId304" ref="AZ163"/>
    <hyperlink r:id="rId305" ref="P164"/>
    <hyperlink r:id="rId306" ref="P165"/>
    <hyperlink r:id="rId307" ref="AQ166"/>
    <hyperlink r:id="rId308" ref="Y167"/>
    <hyperlink r:id="rId309" ref="P168"/>
    <hyperlink r:id="rId310" ref="P169"/>
    <hyperlink r:id="rId311" ref="P170"/>
    <hyperlink r:id="rId312" ref="AQ171"/>
    <hyperlink r:id="rId313" ref="AH172"/>
    <hyperlink r:id="rId314" ref="AH173"/>
    <hyperlink r:id="rId315" ref="AZ174"/>
    <hyperlink r:id="rId316" ref="Y175"/>
    <hyperlink r:id="rId317" ref="P176"/>
    <hyperlink r:id="rId318" ref="Y177"/>
    <hyperlink r:id="rId319" ref="Y178"/>
    <hyperlink r:id="rId320" ref="P179"/>
    <hyperlink r:id="rId321" ref="P180"/>
    <hyperlink r:id="rId322" ref="P181"/>
    <hyperlink r:id="rId323" ref="P182"/>
    <hyperlink r:id="rId324" ref="P183"/>
    <hyperlink r:id="rId325" ref="P184"/>
    <hyperlink r:id="rId326" ref="P185"/>
    <hyperlink r:id="rId327" ref="P186"/>
    <hyperlink r:id="rId328" ref="P187"/>
    <hyperlink r:id="rId329" ref="P188"/>
    <hyperlink r:id="rId330" ref="A189"/>
    <hyperlink r:id="rId331" ref="Y189"/>
    <hyperlink r:id="rId332" ref="AZ190"/>
    <hyperlink r:id="rId333" ref="P191"/>
    <hyperlink r:id="rId334" ref="P192"/>
    <hyperlink r:id="rId335" ref="AZ193"/>
    <hyperlink r:id="rId336" ref="P194"/>
    <hyperlink r:id="rId337" ref="P195"/>
    <hyperlink r:id="rId338" ref="P196"/>
    <hyperlink r:id="rId339" ref="P197"/>
    <hyperlink r:id="rId340" ref="P198"/>
    <hyperlink r:id="rId341" ref="P199"/>
    <hyperlink r:id="rId342" ref="P200"/>
    <hyperlink r:id="rId343" ref="AZ201"/>
    <hyperlink r:id="rId344" ref="P202"/>
    <hyperlink r:id="rId345" ref="P203"/>
    <hyperlink r:id="rId346" ref="Y204"/>
    <hyperlink r:id="rId347" ref="P205"/>
    <hyperlink r:id="rId348" ref="AQ206"/>
    <hyperlink r:id="rId349" ref="AZ207"/>
    <hyperlink r:id="rId350" ref="Y208"/>
    <hyperlink r:id="rId351" ref="P209"/>
    <hyperlink r:id="rId352" ref="AQ210"/>
    <hyperlink r:id="rId353" ref="P211"/>
    <hyperlink r:id="rId354" ref="AQ212"/>
    <hyperlink r:id="rId355" ref="Y213"/>
    <hyperlink r:id="rId356" ref="P214"/>
    <hyperlink r:id="rId357" ref="AQ215"/>
    <hyperlink r:id="rId358" ref="P216"/>
    <hyperlink r:id="rId359" ref="P217"/>
    <hyperlink r:id="rId360" ref="Y218"/>
    <hyperlink r:id="rId361" ref="P219"/>
    <hyperlink r:id="rId362" ref="P220"/>
    <hyperlink r:id="rId363" ref="P221"/>
    <hyperlink r:id="rId364" ref="Y222"/>
    <hyperlink r:id="rId365" ref="AH223"/>
    <hyperlink r:id="rId366" ref="Y224"/>
    <hyperlink r:id="rId367" ref="P225"/>
    <hyperlink r:id="rId368" ref="AZ226"/>
    <hyperlink r:id="rId369" ref="P227"/>
    <hyperlink r:id="rId370" ref="Y228"/>
    <hyperlink r:id="rId371" ref="Y229"/>
    <hyperlink r:id="rId372" ref="AQ230"/>
    <hyperlink r:id="rId373" ref="AH231"/>
    <hyperlink r:id="rId374" ref="P232"/>
    <hyperlink r:id="rId375" ref="P233"/>
    <hyperlink r:id="rId376" ref="P234"/>
    <hyperlink r:id="rId377" ref="Y235"/>
    <hyperlink r:id="rId378" ref="AQ236"/>
    <hyperlink r:id="rId379" ref="P237"/>
    <hyperlink r:id="rId380" ref="Y238"/>
    <hyperlink r:id="rId381" ref="A239"/>
    <hyperlink r:id="rId382" ref="P239"/>
    <hyperlink r:id="rId383" ref="AQ240"/>
    <hyperlink r:id="rId384" ref="P241"/>
    <hyperlink r:id="rId385" ref="P242"/>
    <hyperlink r:id="rId386" ref="P243"/>
    <hyperlink r:id="rId387" ref="P244"/>
    <hyperlink r:id="rId388" ref="P245"/>
    <hyperlink r:id="rId389" ref="AH246"/>
    <hyperlink r:id="rId390" ref="P247"/>
    <hyperlink r:id="rId391" ref="Y248"/>
    <hyperlink r:id="rId392" ref="Y249"/>
    <hyperlink r:id="rId393" ref="P250"/>
    <hyperlink r:id="rId394" ref="P251"/>
    <hyperlink r:id="rId395" ref="P252"/>
    <hyperlink r:id="rId396" ref="P253"/>
    <hyperlink r:id="rId397" ref="P254"/>
    <hyperlink r:id="rId398" ref="A255"/>
    <hyperlink r:id="rId399" ref="P255"/>
    <hyperlink r:id="rId400" ref="P256"/>
    <hyperlink r:id="rId401" ref="A257"/>
    <hyperlink r:id="rId402" ref="AQ257"/>
    <hyperlink r:id="rId403" ref="P258"/>
    <hyperlink r:id="rId404" ref="P259"/>
    <hyperlink r:id="rId405" ref="AH260"/>
    <hyperlink r:id="rId406" ref="Y261"/>
    <hyperlink r:id="rId407" ref="P262"/>
    <hyperlink r:id="rId408" ref="P263"/>
    <hyperlink r:id="rId409" ref="P264"/>
    <hyperlink r:id="rId410" ref="Y265"/>
    <hyperlink r:id="rId411" ref="P266"/>
    <hyperlink r:id="rId412" ref="P267"/>
    <hyperlink r:id="rId413" ref="P268"/>
    <hyperlink r:id="rId414" ref="Y269"/>
    <hyperlink r:id="rId415" ref="P270"/>
    <hyperlink r:id="rId416" ref="AH271"/>
    <hyperlink r:id="rId417" ref="A272"/>
    <hyperlink r:id="rId418" ref="P272"/>
    <hyperlink r:id="rId419" ref="P273"/>
    <hyperlink r:id="rId420" ref="Y274"/>
    <hyperlink r:id="rId421" ref="AQ275"/>
    <hyperlink r:id="rId422" ref="P276"/>
    <hyperlink r:id="rId423" ref="P277"/>
    <hyperlink r:id="rId424" ref="Y278"/>
    <hyperlink r:id="rId425" ref="P279"/>
    <hyperlink r:id="rId426" ref="AZ280"/>
    <hyperlink r:id="rId427" ref="AZ281"/>
    <hyperlink r:id="rId428" ref="AZ282"/>
    <hyperlink r:id="rId429" ref="Y283"/>
    <hyperlink r:id="rId430" ref="AQ284"/>
    <hyperlink r:id="rId431" ref="Y285"/>
    <hyperlink r:id="rId432" ref="P286"/>
    <hyperlink r:id="rId433" ref="P287"/>
    <hyperlink r:id="rId434" ref="Y288"/>
    <hyperlink r:id="rId435" ref="P289"/>
    <hyperlink r:id="rId436" ref="AQ290"/>
    <hyperlink r:id="rId437" ref="P291"/>
    <hyperlink r:id="rId438" ref="P292"/>
    <hyperlink r:id="rId439" ref="P293"/>
    <hyperlink r:id="rId440" ref="Y294"/>
    <hyperlink r:id="rId441" ref="Y295"/>
    <hyperlink r:id="rId442" ref="P296"/>
    <hyperlink r:id="rId443" ref="AQ297"/>
    <hyperlink r:id="rId444" ref="Y298"/>
    <hyperlink r:id="rId445" ref="P299"/>
    <hyperlink r:id="rId446" ref="P300"/>
    <hyperlink r:id="rId447" ref="P301"/>
    <hyperlink r:id="rId448" ref="AZ302"/>
    <hyperlink r:id="rId449" ref="P303"/>
  </hyperlinks>
  <drawing r:id="rId45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38"/>
    <col customWidth="1" min="2" max="2" width="30.63"/>
    <col customWidth="1" min="3" max="3" width="10.5"/>
    <col customWidth="1" min="4" max="4" width="9.38"/>
    <col customWidth="1" min="5" max="5" width="10.38"/>
    <col customWidth="1" min="6" max="6" width="14.38"/>
    <col customWidth="1" min="7" max="8" width="18.13"/>
    <col customWidth="1" min="15" max="15" width="23.63"/>
    <col customWidth="1" min="19" max="19" width="23.63"/>
    <col customWidth="1" min="23" max="23" width="19.75"/>
    <col customWidth="1" min="30" max="30" width="24.38"/>
    <col customWidth="1" min="33" max="33" width="15.13"/>
    <col customWidth="1" min="37" max="37" width="16.88"/>
  </cols>
  <sheetData>
    <row r="1" ht="43.5" customHeight="1">
      <c r="A1" s="1"/>
      <c r="B1" s="3" t="s">
        <v>0</v>
      </c>
      <c r="C1" s="5" t="s">
        <v>3</v>
      </c>
      <c r="D1" s="3" t="s">
        <v>5</v>
      </c>
      <c r="E1" s="3" t="s">
        <v>6</v>
      </c>
      <c r="F1" s="7" t="s">
        <v>7</v>
      </c>
      <c r="G1" s="14" t="s">
        <v>9</v>
      </c>
      <c r="H1" s="1" t="s">
        <v>34</v>
      </c>
      <c r="I1" s="1" t="s">
        <v>35</v>
      </c>
      <c r="J1" s="1" t="s">
        <v>37</v>
      </c>
      <c r="K1" s="8" t="s">
        <v>40</v>
      </c>
      <c r="L1" s="1" t="s">
        <v>44</v>
      </c>
      <c r="M1" s="1" t="s">
        <v>46</v>
      </c>
      <c r="N1" s="1" t="s">
        <v>47</v>
      </c>
      <c r="O1" s="1" t="s">
        <v>49</v>
      </c>
      <c r="P1" s="1" t="s">
        <v>51</v>
      </c>
      <c r="Q1" s="1" t="s">
        <v>53</v>
      </c>
      <c r="R1" s="1" t="s">
        <v>55</v>
      </c>
      <c r="S1" s="19" t="s">
        <v>58</v>
      </c>
      <c r="T1" s="1" t="s">
        <v>96</v>
      </c>
      <c r="U1" s="1" t="s">
        <v>100</v>
      </c>
      <c r="V1" s="1" t="s">
        <v>102</v>
      </c>
      <c r="W1" s="1" t="s">
        <v>104</v>
      </c>
      <c r="X1" s="1" t="s">
        <v>107</v>
      </c>
      <c r="Y1" s="1" t="s">
        <v>109</v>
      </c>
      <c r="Z1" s="1" t="s">
        <v>111</v>
      </c>
      <c r="AA1" s="1" t="s">
        <v>112</v>
      </c>
      <c r="AB1" s="1" t="s">
        <v>108</v>
      </c>
      <c r="AC1" s="8"/>
      <c r="AD1" s="1"/>
      <c r="AE1" s="1"/>
      <c r="AF1" s="1"/>
      <c r="AG1" s="1"/>
      <c r="AH1" s="1"/>
      <c r="AI1" s="1"/>
      <c r="AJ1" s="1"/>
      <c r="AK1" s="21"/>
      <c r="AL1" s="1"/>
      <c r="AM1" s="8"/>
      <c r="AN1" s="1"/>
      <c r="AO1" s="22"/>
      <c r="AP1" s="22"/>
      <c r="AQ1" s="1"/>
      <c r="AR1" s="1"/>
      <c r="AS1" s="1"/>
      <c r="AT1" s="1"/>
      <c r="AU1" s="1"/>
    </row>
    <row r="2" ht="15.75" customHeight="1">
      <c r="B2" s="25" t="s">
        <v>117</v>
      </c>
      <c r="C2" s="27">
        <f t="shared" ref="C2:C16" si="1">COUNT(H2:Q2)</f>
        <v>2</v>
      </c>
      <c r="D2" s="28">
        <v>1200.0</v>
      </c>
      <c r="E2" s="30">
        <v>5.0</v>
      </c>
      <c r="F2" s="31">
        <v>2.16</v>
      </c>
      <c r="G2" s="32"/>
      <c r="H2" s="25"/>
      <c r="M2" s="25"/>
      <c r="O2" s="25"/>
      <c r="P2" s="25">
        <v>449.0</v>
      </c>
      <c r="Q2" s="25">
        <v>1.0</v>
      </c>
      <c r="R2" s="40" t="s">
        <v>128</v>
      </c>
      <c r="S2" s="46">
        <v>0.0</v>
      </c>
      <c r="T2" s="25">
        <v>52.0</v>
      </c>
      <c r="U2" s="40" t="s">
        <v>133</v>
      </c>
      <c r="W2" s="25"/>
      <c r="X2" s="25"/>
      <c r="AB2" s="49">
        <v>45586.3571875</v>
      </c>
      <c r="AC2" s="31"/>
      <c r="AG2" s="25"/>
      <c r="AI2" s="25"/>
      <c r="AK2" s="25"/>
      <c r="AO2" s="51"/>
      <c r="AP2" s="51"/>
    </row>
    <row r="3" ht="15.75" customHeight="1">
      <c r="B3" s="25" t="s">
        <v>136</v>
      </c>
      <c r="C3" s="27">
        <f t="shared" si="1"/>
        <v>2</v>
      </c>
      <c r="D3" s="28">
        <v>200.0</v>
      </c>
      <c r="E3" s="30">
        <v>3.0</v>
      </c>
      <c r="F3" s="31">
        <v>1.92</v>
      </c>
      <c r="G3" s="32"/>
      <c r="H3" s="25"/>
      <c r="J3" s="25">
        <v>69.0</v>
      </c>
      <c r="K3" s="25">
        <v>1.0</v>
      </c>
      <c r="L3" s="53" t="s">
        <v>138</v>
      </c>
      <c r="M3" s="25"/>
      <c r="N3" s="25"/>
      <c r="O3" s="25"/>
      <c r="S3" s="46"/>
      <c r="V3" s="25">
        <v>0.0</v>
      </c>
      <c r="W3" s="25">
        <v>86.0</v>
      </c>
      <c r="X3" s="53" t="s">
        <v>139</v>
      </c>
      <c r="AA3" s="25"/>
      <c r="AB3" s="49">
        <v>45566.75387731481</v>
      </c>
      <c r="AC3" s="31"/>
      <c r="AD3" s="25"/>
      <c r="AG3" s="25"/>
      <c r="AI3" s="25"/>
      <c r="AK3" s="25"/>
      <c r="AO3" s="51"/>
      <c r="AP3" s="51"/>
    </row>
    <row r="4" ht="15.75" customHeight="1">
      <c r="B4" s="25" t="s">
        <v>141</v>
      </c>
      <c r="C4" s="27">
        <f t="shared" si="1"/>
        <v>2</v>
      </c>
      <c r="D4" s="28">
        <v>150.0</v>
      </c>
      <c r="E4" s="30">
        <v>3.0</v>
      </c>
      <c r="F4" s="31">
        <v>2.16</v>
      </c>
      <c r="G4" s="32"/>
      <c r="H4" s="25"/>
      <c r="K4" s="25"/>
      <c r="M4" s="25"/>
      <c r="N4" s="25"/>
      <c r="O4" s="25"/>
      <c r="P4" s="25">
        <v>150.0</v>
      </c>
      <c r="Q4" s="25">
        <v>1.0</v>
      </c>
      <c r="R4" s="40" t="s">
        <v>128</v>
      </c>
      <c r="S4" s="46"/>
      <c r="X4" s="25"/>
      <c r="Z4" s="25"/>
      <c r="AB4" s="49">
        <v>45572.901770833334</v>
      </c>
      <c r="AC4" s="31"/>
      <c r="AE4" s="25"/>
      <c r="AG4" s="25"/>
      <c r="AI4" s="25"/>
      <c r="AK4" s="25"/>
      <c r="AN4" s="25"/>
      <c r="AO4" s="51"/>
      <c r="AP4" s="51"/>
    </row>
    <row r="5" ht="15.75" customHeight="1">
      <c r="B5" s="25" t="s">
        <v>144</v>
      </c>
      <c r="C5" s="27">
        <f t="shared" si="1"/>
        <v>2</v>
      </c>
      <c r="D5" s="28">
        <v>90.0</v>
      </c>
      <c r="E5" s="30">
        <v>0.0</v>
      </c>
      <c r="F5" s="31">
        <v>1.16</v>
      </c>
      <c r="G5" s="32"/>
      <c r="H5" s="25"/>
      <c r="I5" s="25"/>
      <c r="J5" s="25">
        <v>0.0</v>
      </c>
      <c r="K5" s="25">
        <v>25.0</v>
      </c>
      <c r="L5" s="40" t="s">
        <v>138</v>
      </c>
      <c r="M5" s="25"/>
      <c r="N5" s="25"/>
      <c r="O5" s="25"/>
      <c r="R5" s="25"/>
      <c r="S5" s="46">
        <v>17.0</v>
      </c>
      <c r="T5" s="25">
        <v>3.0</v>
      </c>
      <c r="U5" s="40" t="s">
        <v>147</v>
      </c>
      <c r="V5" s="25">
        <v>0.0</v>
      </c>
      <c r="W5" s="25">
        <v>26.0</v>
      </c>
      <c r="X5" s="53" t="s">
        <v>148</v>
      </c>
      <c r="Y5" s="25">
        <v>0.0</v>
      </c>
      <c r="Z5" s="25">
        <v>40.0</v>
      </c>
      <c r="AA5" s="40" t="s">
        <v>149</v>
      </c>
      <c r="AB5" s="49">
        <v>45575.470034722224</v>
      </c>
      <c r="AC5" s="31"/>
      <c r="AE5" s="25"/>
      <c r="AG5" s="25"/>
      <c r="AI5" s="25"/>
      <c r="AK5" s="25"/>
      <c r="AO5" s="51"/>
      <c r="AP5" s="51"/>
    </row>
    <row r="6" ht="15.75" customHeight="1">
      <c r="B6" s="25" t="s">
        <v>151</v>
      </c>
      <c r="C6" s="27">
        <f t="shared" si="1"/>
        <v>2</v>
      </c>
      <c r="D6" s="28">
        <v>90.0</v>
      </c>
      <c r="E6" s="30">
        <v>0.0</v>
      </c>
      <c r="F6" s="31">
        <v>2.64</v>
      </c>
      <c r="G6" s="32"/>
      <c r="H6" s="25"/>
      <c r="J6" s="25">
        <v>0.0</v>
      </c>
      <c r="K6" s="25">
        <v>29.0</v>
      </c>
      <c r="L6" s="53" t="s">
        <v>138</v>
      </c>
      <c r="M6" s="25"/>
      <c r="O6" s="25"/>
      <c r="Q6" s="25"/>
      <c r="S6" s="46">
        <v>67.0</v>
      </c>
      <c r="T6" s="25">
        <v>1.0</v>
      </c>
      <c r="U6" s="53" t="s">
        <v>147</v>
      </c>
      <c r="Y6" s="25">
        <v>0.0</v>
      </c>
      <c r="Z6" s="25">
        <v>37.0</v>
      </c>
      <c r="AA6" s="40" t="s">
        <v>153</v>
      </c>
      <c r="AB6" s="49">
        <v>45570.578668981485</v>
      </c>
      <c r="AC6" s="31"/>
      <c r="AD6" s="25"/>
      <c r="AF6" s="25"/>
      <c r="AG6" s="25"/>
      <c r="AK6" s="25"/>
      <c r="AN6" s="25"/>
      <c r="AO6" s="51"/>
      <c r="AP6" s="51"/>
    </row>
    <row r="7" ht="15.75" customHeight="1">
      <c r="B7" s="25" t="s">
        <v>156</v>
      </c>
      <c r="C7" s="27">
        <f t="shared" si="1"/>
        <v>4</v>
      </c>
      <c r="D7" s="28">
        <v>60.0</v>
      </c>
      <c r="E7" s="30">
        <v>0.0</v>
      </c>
      <c r="F7" s="31">
        <v>0.44</v>
      </c>
      <c r="G7" s="32"/>
      <c r="H7" s="25"/>
      <c r="I7" s="25"/>
      <c r="L7" s="25"/>
      <c r="M7" s="25">
        <v>48.0</v>
      </c>
      <c r="N7" s="25">
        <v>1.0</v>
      </c>
      <c r="O7" s="53" t="s">
        <v>158</v>
      </c>
      <c r="P7" s="25">
        <v>0.0</v>
      </c>
      <c r="Q7" s="25">
        <v>40.0</v>
      </c>
      <c r="R7" s="40" t="s">
        <v>128</v>
      </c>
      <c r="S7" s="46"/>
      <c r="T7" s="25"/>
      <c r="W7" s="25"/>
      <c r="Y7" s="25">
        <v>0.0</v>
      </c>
      <c r="Z7" s="25">
        <v>29.0</v>
      </c>
      <c r="AA7" s="53" t="s">
        <v>153</v>
      </c>
      <c r="AB7" s="49">
        <v>45583.68472222222</v>
      </c>
      <c r="AC7" s="31"/>
      <c r="AD7" s="25"/>
      <c r="AE7" s="25"/>
      <c r="AG7" s="25"/>
      <c r="AK7" s="25"/>
      <c r="AO7" s="51"/>
      <c r="AP7" s="51"/>
    </row>
    <row r="8" ht="15.75" customHeight="1">
      <c r="B8" s="25" t="s">
        <v>160</v>
      </c>
      <c r="C8" s="27">
        <f t="shared" si="1"/>
        <v>4</v>
      </c>
      <c r="D8" s="28">
        <v>50.0</v>
      </c>
      <c r="E8" s="30">
        <v>0.0</v>
      </c>
      <c r="F8" s="31">
        <v>1.63</v>
      </c>
      <c r="G8" s="32"/>
      <c r="H8" s="25"/>
      <c r="J8" s="25">
        <v>46.0</v>
      </c>
      <c r="K8" s="25">
        <v>1.0</v>
      </c>
      <c r="L8" s="40" t="s">
        <v>138</v>
      </c>
      <c r="M8" s="25"/>
      <c r="N8" s="25"/>
      <c r="O8" s="25"/>
      <c r="P8" s="25">
        <v>0.0</v>
      </c>
      <c r="Q8" s="25">
        <v>38.0</v>
      </c>
      <c r="R8" s="40" t="s">
        <v>128</v>
      </c>
      <c r="S8" s="46">
        <v>0.0</v>
      </c>
      <c r="T8" s="25">
        <v>56.0</v>
      </c>
      <c r="U8" s="40" t="s">
        <v>147</v>
      </c>
      <c r="V8" s="25">
        <v>0.0</v>
      </c>
      <c r="W8" s="25">
        <v>57.0</v>
      </c>
      <c r="X8" s="53" t="s">
        <v>139</v>
      </c>
      <c r="AB8" s="49">
        <v>45570.17418981482</v>
      </c>
      <c r="AC8" s="31"/>
      <c r="AE8" s="25"/>
      <c r="AG8" s="25"/>
      <c r="AI8" s="25"/>
      <c r="AK8" s="25"/>
      <c r="AO8" s="51"/>
      <c r="AP8" s="51"/>
    </row>
    <row r="9" ht="15.75" customHeight="1">
      <c r="B9" s="25" t="s">
        <v>162</v>
      </c>
      <c r="C9" s="27">
        <f t="shared" si="1"/>
        <v>2</v>
      </c>
      <c r="D9" s="28">
        <v>50.0</v>
      </c>
      <c r="E9" s="30">
        <v>0.0</v>
      </c>
      <c r="F9" s="31">
        <v>2.93</v>
      </c>
      <c r="G9" s="32"/>
      <c r="H9" s="25"/>
      <c r="J9" s="25">
        <v>0.0</v>
      </c>
      <c r="K9" s="25">
        <v>84.0</v>
      </c>
      <c r="L9" s="40" t="s">
        <v>138</v>
      </c>
      <c r="M9" s="25"/>
      <c r="O9" s="25"/>
      <c r="R9" s="25"/>
      <c r="S9" s="46">
        <v>2.0</v>
      </c>
      <c r="T9" s="25">
        <v>8.0</v>
      </c>
      <c r="U9" s="40" t="s">
        <v>163</v>
      </c>
      <c r="X9" s="25"/>
      <c r="Y9" s="25">
        <v>0.0</v>
      </c>
      <c r="Z9" s="25">
        <v>53.0</v>
      </c>
      <c r="AA9" s="40" t="s">
        <v>153</v>
      </c>
      <c r="AB9" s="49">
        <v>45588.20234953704</v>
      </c>
      <c r="AC9" s="31"/>
      <c r="AE9" s="25"/>
      <c r="AG9" s="25"/>
      <c r="AI9" s="25"/>
      <c r="AK9" s="25"/>
      <c r="AO9" s="51"/>
      <c r="AP9" s="51"/>
      <c r="AQ9" s="49"/>
    </row>
    <row r="10" ht="15.75" customHeight="1">
      <c r="B10" s="25" t="s">
        <v>165</v>
      </c>
      <c r="C10" s="27">
        <f t="shared" si="1"/>
        <v>2</v>
      </c>
      <c r="D10" s="28">
        <v>40.0</v>
      </c>
      <c r="E10" s="30">
        <v>1.0</v>
      </c>
      <c r="F10" s="31">
        <v>1.98</v>
      </c>
      <c r="G10" s="32"/>
      <c r="H10" s="25"/>
      <c r="J10" s="25">
        <v>9.0</v>
      </c>
      <c r="K10" s="25">
        <v>4.0</v>
      </c>
      <c r="L10" s="53" t="s">
        <v>138</v>
      </c>
      <c r="M10" s="25"/>
      <c r="N10" s="25"/>
      <c r="O10" s="25"/>
      <c r="S10" s="46"/>
      <c r="V10" s="25">
        <v>0.0</v>
      </c>
      <c r="W10" s="25">
        <v>31.0</v>
      </c>
      <c r="X10" s="53" t="s">
        <v>148</v>
      </c>
      <c r="AA10" s="25"/>
      <c r="AB10" s="49">
        <v>45569.441770833335</v>
      </c>
      <c r="AC10" s="31"/>
      <c r="AD10" s="25"/>
      <c r="AG10" s="25"/>
      <c r="AI10" s="25"/>
      <c r="AK10" s="25"/>
      <c r="AO10" s="51"/>
      <c r="AP10" s="51"/>
    </row>
    <row r="11" ht="15.75" customHeight="1">
      <c r="B11" s="25" t="s">
        <v>166</v>
      </c>
      <c r="C11" s="27">
        <f t="shared" si="1"/>
        <v>2</v>
      </c>
      <c r="D11" s="28">
        <v>30.0</v>
      </c>
      <c r="E11" s="30">
        <v>4.0</v>
      </c>
      <c r="F11" s="31">
        <v>0.6</v>
      </c>
      <c r="G11" s="32"/>
      <c r="H11" s="25"/>
      <c r="I11" s="25"/>
      <c r="J11" s="25">
        <v>20.0</v>
      </c>
      <c r="K11" s="25">
        <v>1.0</v>
      </c>
      <c r="L11" s="40" t="s">
        <v>167</v>
      </c>
      <c r="M11" s="25"/>
      <c r="O11" s="25"/>
      <c r="S11" s="46">
        <v>0.0</v>
      </c>
      <c r="T11" s="25">
        <v>71.0</v>
      </c>
      <c r="U11" s="40" t="s">
        <v>147</v>
      </c>
      <c r="X11" s="25"/>
      <c r="AB11" s="49">
        <v>45583.188055555554</v>
      </c>
      <c r="AC11" s="31"/>
      <c r="AG11" s="25"/>
      <c r="AI11" s="25"/>
      <c r="AJ11" s="25"/>
      <c r="AK11" s="25"/>
      <c r="AL11" s="25"/>
      <c r="AO11" s="51"/>
      <c r="AP11" s="51"/>
    </row>
    <row r="12" ht="15.75" customHeight="1">
      <c r="B12" s="25" t="s">
        <v>169</v>
      </c>
      <c r="C12" s="27">
        <f t="shared" si="1"/>
        <v>2</v>
      </c>
      <c r="D12" s="28">
        <v>20.0</v>
      </c>
      <c r="E12" s="30">
        <v>1.0</v>
      </c>
      <c r="F12" s="31">
        <v>1.95</v>
      </c>
      <c r="G12" s="32"/>
      <c r="H12" s="25"/>
      <c r="L12" s="25"/>
      <c r="M12" s="25"/>
      <c r="N12" s="25"/>
      <c r="O12" s="25"/>
      <c r="P12" s="25">
        <v>6.0</v>
      </c>
      <c r="Q12" s="25">
        <v>2.0</v>
      </c>
      <c r="R12" s="40" t="s">
        <v>171</v>
      </c>
      <c r="S12" s="46"/>
      <c r="X12" s="25"/>
      <c r="AA12" s="25"/>
      <c r="AB12" s="49">
        <v>45585.536041666666</v>
      </c>
      <c r="AC12" s="31"/>
      <c r="AD12" s="25"/>
      <c r="AE12" s="25"/>
      <c r="AG12" s="25"/>
      <c r="AI12" s="25"/>
      <c r="AK12" s="25"/>
      <c r="AO12" s="51"/>
      <c r="AP12" s="51"/>
    </row>
    <row r="13" ht="15.75" customHeight="1">
      <c r="B13" s="25" t="s">
        <v>173</v>
      </c>
      <c r="C13" s="27">
        <f t="shared" si="1"/>
        <v>2</v>
      </c>
      <c r="D13" s="28">
        <v>10.0</v>
      </c>
      <c r="E13" s="30">
        <v>0.0</v>
      </c>
      <c r="F13" s="31">
        <v>3.94</v>
      </c>
      <c r="G13" s="32"/>
      <c r="H13" s="25"/>
      <c r="I13" s="25"/>
      <c r="J13" s="25">
        <v>0.0</v>
      </c>
      <c r="K13" s="25">
        <v>38.0</v>
      </c>
      <c r="L13" s="40" t="s">
        <v>138</v>
      </c>
      <c r="M13" s="25"/>
      <c r="N13" s="25"/>
      <c r="O13" s="25"/>
      <c r="R13" s="25"/>
      <c r="S13" s="46">
        <v>6.0</v>
      </c>
      <c r="T13" s="25">
        <v>1.0</v>
      </c>
      <c r="U13" s="40" t="s">
        <v>147</v>
      </c>
      <c r="W13" s="25"/>
      <c r="X13" s="25"/>
      <c r="Y13" s="25">
        <v>0.0</v>
      </c>
      <c r="Z13" s="25">
        <v>46.0</v>
      </c>
      <c r="AA13" s="40" t="s">
        <v>153</v>
      </c>
      <c r="AB13" s="49">
        <v>45568.09122685185</v>
      </c>
      <c r="AC13" s="31"/>
      <c r="AG13" s="25"/>
      <c r="AI13" s="25"/>
      <c r="AK13" s="25"/>
      <c r="AL13" s="25"/>
      <c r="AO13" s="51"/>
      <c r="AP13" s="51"/>
    </row>
    <row r="14" ht="15.75" customHeight="1">
      <c r="B14" s="25" t="s">
        <v>175</v>
      </c>
      <c r="C14" s="27">
        <f t="shared" si="1"/>
        <v>4</v>
      </c>
      <c r="D14" s="28">
        <v>10.0</v>
      </c>
      <c r="E14" s="30">
        <v>2.0</v>
      </c>
      <c r="F14" s="31">
        <v>2.78</v>
      </c>
      <c r="G14" s="32"/>
      <c r="H14" s="25"/>
      <c r="J14" s="25">
        <v>0.0</v>
      </c>
      <c r="K14" s="25">
        <v>16.0</v>
      </c>
      <c r="L14" s="53" t="s">
        <v>138</v>
      </c>
      <c r="M14" s="25"/>
      <c r="O14" s="25"/>
      <c r="P14" s="25">
        <v>0.0</v>
      </c>
      <c r="Q14" s="25">
        <v>52.0</v>
      </c>
      <c r="R14" s="40" t="s">
        <v>128</v>
      </c>
      <c r="S14" s="46">
        <v>8.0</v>
      </c>
      <c r="T14" s="25">
        <v>1.0</v>
      </c>
      <c r="U14" s="40" t="s">
        <v>147</v>
      </c>
      <c r="X14" s="25"/>
      <c r="Y14" s="25">
        <v>0.0</v>
      </c>
      <c r="Z14" s="25">
        <v>17.0</v>
      </c>
      <c r="AA14" s="53" t="s">
        <v>153</v>
      </c>
      <c r="AB14" s="49">
        <v>45579.51971064815</v>
      </c>
      <c r="AC14" s="31"/>
      <c r="AD14" s="25"/>
      <c r="AE14" s="25"/>
      <c r="AG14" s="25"/>
      <c r="AI14" s="25"/>
      <c r="AK14" s="25"/>
      <c r="AO14" s="51"/>
      <c r="AP14" s="51"/>
    </row>
    <row r="15" ht="15.75" customHeight="1">
      <c r="B15" s="25" t="s">
        <v>177</v>
      </c>
      <c r="C15" s="27">
        <f t="shared" si="1"/>
        <v>2</v>
      </c>
      <c r="D15" s="28">
        <v>10.0</v>
      </c>
      <c r="E15" s="30">
        <v>14.0</v>
      </c>
      <c r="F15" s="31">
        <v>0.24</v>
      </c>
      <c r="G15" s="32"/>
      <c r="H15" s="25"/>
      <c r="J15" s="25">
        <v>3.0</v>
      </c>
      <c r="K15" s="25">
        <v>2.0</v>
      </c>
      <c r="L15" s="40" t="s">
        <v>178</v>
      </c>
      <c r="M15" s="25"/>
      <c r="N15" s="25"/>
      <c r="O15" s="25"/>
      <c r="S15" s="46">
        <v>0.0</v>
      </c>
      <c r="T15" s="25">
        <v>35.0</v>
      </c>
      <c r="U15" s="40" t="s">
        <v>147</v>
      </c>
      <c r="W15" s="25"/>
      <c r="X15" s="25"/>
      <c r="AB15" s="49">
        <v>45571.30767361111</v>
      </c>
      <c r="AC15" s="31"/>
      <c r="AE15" s="25"/>
      <c r="AG15" s="25"/>
      <c r="AI15" s="25"/>
      <c r="AK15" s="25"/>
      <c r="AO15" s="51"/>
      <c r="AP15" s="51"/>
    </row>
    <row r="16" ht="15.75" customHeight="1">
      <c r="B16" s="25" t="s">
        <v>180</v>
      </c>
      <c r="C16" s="27">
        <f t="shared" si="1"/>
        <v>2</v>
      </c>
      <c r="D16" s="28">
        <v>0.0</v>
      </c>
      <c r="E16" s="30">
        <v>0.0</v>
      </c>
      <c r="F16" s="31"/>
      <c r="G16" s="32"/>
      <c r="H16" s="25"/>
      <c r="J16" s="25">
        <v>0.0</v>
      </c>
      <c r="K16" s="25">
        <v>24.0</v>
      </c>
      <c r="L16" s="40" t="s">
        <v>138</v>
      </c>
      <c r="M16" s="25"/>
      <c r="O16" s="25"/>
      <c r="S16" s="46">
        <v>0.0</v>
      </c>
      <c r="T16" s="25">
        <v>3.0</v>
      </c>
      <c r="U16" s="40" t="s">
        <v>147</v>
      </c>
      <c r="V16" s="25">
        <v>0.0</v>
      </c>
      <c r="W16" s="25">
        <v>28.0</v>
      </c>
      <c r="X16" s="53" t="s">
        <v>148</v>
      </c>
      <c r="Y16" s="25">
        <v>0.0</v>
      </c>
      <c r="Z16" s="25">
        <v>40.0</v>
      </c>
      <c r="AA16" s="40" t="s">
        <v>149</v>
      </c>
      <c r="AB16" s="49">
        <v>45570.06780092593</v>
      </c>
      <c r="AC16" s="31"/>
      <c r="AG16" s="25"/>
      <c r="AI16" s="25"/>
      <c r="AK16" s="25"/>
      <c r="AO16" s="51"/>
      <c r="AP16" s="51"/>
    </row>
    <row r="17" ht="15.75" customHeight="1">
      <c r="B17" s="25"/>
      <c r="C17" s="28"/>
      <c r="D17" s="63"/>
      <c r="E17" s="25"/>
      <c r="F17" s="31"/>
      <c r="G17" s="32"/>
      <c r="H17" s="25"/>
      <c r="K17" s="25"/>
      <c r="L17" s="25"/>
      <c r="N17" s="25"/>
      <c r="O17" s="25"/>
      <c r="R17" s="25"/>
      <c r="S17" s="46"/>
      <c r="V17" s="25"/>
      <c r="AA17" s="25"/>
      <c r="AC17" s="31"/>
      <c r="AD17" s="25"/>
      <c r="AG17" s="25"/>
      <c r="AK17" s="25"/>
      <c r="AO17" s="51"/>
      <c r="AP17" s="51"/>
      <c r="AQ17" s="49"/>
    </row>
    <row r="18" ht="15.75" customHeight="1">
      <c r="B18" s="25"/>
      <c r="C18" s="28"/>
      <c r="D18" s="63"/>
      <c r="E18" s="25"/>
      <c r="F18" s="31"/>
      <c r="G18" s="32"/>
      <c r="H18" s="25"/>
      <c r="J18" s="25"/>
      <c r="L18" s="25"/>
      <c r="N18" s="25"/>
      <c r="O18" s="25"/>
      <c r="S18" s="46"/>
      <c r="U18" s="25"/>
      <c r="AA18" s="25"/>
      <c r="AC18" s="31"/>
      <c r="AD18" s="25"/>
      <c r="AE18" s="25"/>
      <c r="AF18" s="25"/>
      <c r="AG18" s="25"/>
      <c r="AK18" s="25"/>
      <c r="AO18" s="51"/>
      <c r="AP18" s="51"/>
      <c r="AQ18" s="49"/>
    </row>
    <row r="19" ht="15.75" customHeight="1">
      <c r="B19" s="25"/>
      <c r="C19" s="28"/>
      <c r="D19" s="30"/>
      <c r="E19" s="25"/>
      <c r="F19" s="31"/>
      <c r="G19" s="32"/>
      <c r="H19" s="25"/>
      <c r="K19" s="25"/>
      <c r="L19" s="25"/>
      <c r="N19" s="25"/>
      <c r="O19" s="25"/>
      <c r="R19" s="25"/>
      <c r="S19" s="46"/>
      <c r="V19" s="25"/>
      <c r="AA19" s="25"/>
      <c r="AC19" s="31"/>
      <c r="AD19" s="25"/>
      <c r="AG19" s="25"/>
      <c r="AK19" s="25"/>
      <c r="AO19" s="51"/>
      <c r="AP19" s="51"/>
    </row>
    <row r="20" ht="15.75" customHeight="1">
      <c r="B20" s="25"/>
      <c r="C20" s="28"/>
      <c r="D20" s="30"/>
      <c r="E20" s="25"/>
      <c r="F20" s="31"/>
      <c r="G20" s="32"/>
      <c r="H20" s="25"/>
      <c r="M20" s="25"/>
      <c r="N20" s="25"/>
      <c r="O20" s="25"/>
      <c r="R20" s="25"/>
      <c r="S20" s="46"/>
      <c r="W20" s="25"/>
      <c r="X20" s="25"/>
      <c r="AC20" s="31"/>
      <c r="AG20" s="25"/>
      <c r="AI20" s="25"/>
      <c r="AK20" s="25"/>
      <c r="AO20" s="51"/>
      <c r="AP20" s="51"/>
    </row>
    <row r="21" ht="15.75" customHeight="1">
      <c r="B21" s="25"/>
      <c r="C21" s="28"/>
      <c r="D21" s="30"/>
      <c r="E21" s="25"/>
      <c r="F21" s="31"/>
      <c r="G21" s="32"/>
      <c r="H21" s="25"/>
      <c r="L21" s="25"/>
      <c r="M21" s="25"/>
      <c r="O21" s="25"/>
      <c r="S21" s="46"/>
      <c r="X21" s="25"/>
      <c r="AA21" s="25"/>
      <c r="AC21" s="31"/>
      <c r="AD21" s="25"/>
      <c r="AE21" s="25"/>
      <c r="AG21" s="25"/>
      <c r="AI21" s="25"/>
      <c r="AK21" s="25"/>
      <c r="AO21" s="51"/>
      <c r="AP21" s="51"/>
      <c r="AQ21" s="49"/>
    </row>
    <row r="22" ht="15.75" customHeight="1">
      <c r="B22" s="25"/>
      <c r="C22" s="28"/>
      <c r="D22" s="30"/>
      <c r="E22" s="25"/>
      <c r="F22" s="31"/>
      <c r="G22" s="32"/>
      <c r="H22" s="25"/>
      <c r="I22" s="25"/>
      <c r="L22" s="25"/>
      <c r="O22" s="25"/>
      <c r="R22" s="25"/>
      <c r="S22" s="46"/>
      <c r="T22" s="25"/>
      <c r="AA22" s="25"/>
      <c r="AC22" s="31"/>
      <c r="AD22" s="25"/>
      <c r="AE22" s="25"/>
      <c r="AG22" s="25"/>
      <c r="AK22" s="25"/>
      <c r="AO22" s="51"/>
      <c r="AP22" s="51"/>
    </row>
    <row r="23" ht="15.75" customHeight="1">
      <c r="B23" s="25"/>
      <c r="C23" s="28"/>
      <c r="D23" s="30"/>
      <c r="E23" s="25"/>
      <c r="F23" s="31"/>
      <c r="G23" s="32"/>
      <c r="H23" s="25"/>
      <c r="M23" s="25"/>
      <c r="O23" s="25"/>
      <c r="R23" s="25"/>
      <c r="S23" s="46"/>
      <c r="X23" s="25"/>
      <c r="AB23" s="25"/>
      <c r="AC23" s="31"/>
      <c r="AE23" s="25"/>
      <c r="AG23" s="25"/>
      <c r="AI23" s="25"/>
      <c r="AK23" s="25"/>
      <c r="AO23" s="51"/>
      <c r="AP23" s="51"/>
    </row>
    <row r="24" ht="15.75" customHeight="1">
      <c r="B24" s="25"/>
      <c r="C24" s="28"/>
      <c r="D24" s="30"/>
      <c r="E24" s="25"/>
      <c r="F24" s="31"/>
      <c r="G24" s="32"/>
      <c r="H24" s="25"/>
      <c r="I24" s="25"/>
      <c r="N24" s="25"/>
      <c r="O24" s="25"/>
      <c r="S24" s="46"/>
      <c r="T24" s="25"/>
      <c r="W24" s="25"/>
      <c r="AC24" s="31"/>
      <c r="AE24" s="25"/>
      <c r="AG24" s="25"/>
      <c r="AK24" s="25"/>
      <c r="AO24" s="51"/>
      <c r="AP24" s="51"/>
    </row>
    <row r="25" ht="15.75" customHeight="1">
      <c r="B25" s="25"/>
      <c r="C25" s="28"/>
      <c r="D25" s="30"/>
      <c r="E25" s="25"/>
      <c r="F25" s="31"/>
      <c r="G25" s="32"/>
      <c r="H25" s="25"/>
      <c r="L25" s="25"/>
      <c r="M25" s="25"/>
      <c r="N25" s="25"/>
      <c r="O25" s="25"/>
      <c r="S25" s="46"/>
      <c r="X25" s="25"/>
      <c r="AA25" s="25"/>
      <c r="AC25" s="31"/>
      <c r="AD25" s="25"/>
      <c r="AE25" s="25"/>
      <c r="AG25" s="25"/>
      <c r="AI25" s="25"/>
      <c r="AK25" s="25"/>
      <c r="AO25" s="51"/>
      <c r="AP25" s="51"/>
    </row>
    <row r="26" ht="15.75" customHeight="1">
      <c r="B26" s="25"/>
      <c r="C26" s="28"/>
      <c r="D26" s="30"/>
      <c r="E26" s="25"/>
      <c r="F26" s="31"/>
      <c r="G26" s="32"/>
      <c r="H26" s="25"/>
      <c r="I26" s="25"/>
      <c r="M26" s="25"/>
      <c r="N26" s="25"/>
      <c r="O26" s="25"/>
      <c r="R26" s="25"/>
      <c r="S26" s="46"/>
      <c r="T26" s="25"/>
      <c r="W26" s="25"/>
      <c r="X26" s="25"/>
      <c r="AB26" s="25"/>
      <c r="AC26" s="31"/>
      <c r="AE26" s="25"/>
      <c r="AG26" s="25"/>
      <c r="AI26" s="25"/>
      <c r="AK26" s="25"/>
      <c r="AO26" s="51"/>
      <c r="AP26" s="51"/>
    </row>
    <row r="27" ht="15.75" customHeight="1">
      <c r="B27" s="25"/>
      <c r="C27" s="28"/>
      <c r="D27" s="30"/>
      <c r="E27" s="25"/>
      <c r="F27" s="31"/>
      <c r="G27" s="32"/>
      <c r="H27" s="25"/>
      <c r="J27" s="25"/>
      <c r="O27" s="25"/>
      <c r="S27" s="46"/>
      <c r="U27" s="25"/>
      <c r="AC27" s="31"/>
      <c r="AF27" s="25"/>
      <c r="AG27" s="25"/>
      <c r="AJ27" s="25"/>
      <c r="AK27" s="25"/>
      <c r="AO27" s="51"/>
      <c r="AP27" s="51"/>
    </row>
    <row r="28" ht="15.75" customHeight="1">
      <c r="B28" s="25"/>
      <c r="C28" s="28"/>
      <c r="D28" s="30"/>
      <c r="E28" s="25"/>
      <c r="F28" s="31"/>
      <c r="G28" s="32"/>
      <c r="H28" s="25"/>
      <c r="J28" s="25"/>
      <c r="L28" s="25"/>
      <c r="O28" s="25"/>
      <c r="R28" s="25"/>
      <c r="S28" s="46"/>
      <c r="U28" s="25"/>
      <c r="W28" s="25"/>
      <c r="AA28" s="25"/>
      <c r="AC28" s="31"/>
      <c r="AD28" s="25"/>
      <c r="AF28" s="25"/>
      <c r="AG28" s="25"/>
      <c r="AK28" s="25"/>
      <c r="AO28" s="51"/>
      <c r="AP28" s="51"/>
    </row>
    <row r="29" ht="15.75" customHeight="1">
      <c r="B29" s="25"/>
      <c r="C29" s="28"/>
      <c r="D29" s="63"/>
      <c r="E29" s="25"/>
      <c r="F29" s="31"/>
      <c r="G29" s="32"/>
      <c r="H29" s="25"/>
      <c r="I29" s="25"/>
      <c r="M29" s="25"/>
      <c r="N29" s="25"/>
      <c r="O29" s="25"/>
      <c r="S29" s="46"/>
      <c r="W29" s="25"/>
      <c r="X29" s="25"/>
      <c r="AC29" s="31"/>
      <c r="AG29" s="25"/>
      <c r="AI29" s="25"/>
      <c r="AK29" s="25"/>
      <c r="AL29" s="25"/>
      <c r="AO29" s="51"/>
      <c r="AP29" s="51"/>
      <c r="AQ29" s="49"/>
    </row>
    <row r="30" ht="15.75" customHeight="1">
      <c r="B30" s="25"/>
      <c r="C30" s="28"/>
      <c r="D30" s="30"/>
      <c r="E30" s="25"/>
      <c r="F30" s="31"/>
      <c r="G30" s="32"/>
      <c r="H30" s="25"/>
      <c r="L30" s="25"/>
      <c r="M30" s="25"/>
      <c r="N30" s="25"/>
      <c r="O30" s="25"/>
      <c r="S30" s="46"/>
      <c r="X30" s="25"/>
      <c r="AA30" s="25"/>
      <c r="AC30" s="31"/>
      <c r="AD30" s="25"/>
      <c r="AE30" s="25"/>
      <c r="AG30" s="25"/>
      <c r="AI30" s="25"/>
      <c r="AK30" s="25"/>
      <c r="AO30" s="51"/>
      <c r="AP30" s="51"/>
      <c r="AQ30" s="49"/>
    </row>
    <row r="31" ht="15.75" customHeight="1">
      <c r="B31" s="25"/>
      <c r="C31" s="28"/>
      <c r="D31" s="30"/>
      <c r="E31" s="25"/>
      <c r="F31" s="31"/>
      <c r="G31" s="32"/>
      <c r="H31" s="25"/>
      <c r="M31" s="25"/>
      <c r="O31" s="25"/>
      <c r="R31" s="25"/>
      <c r="S31" s="46"/>
      <c r="X31" s="25"/>
      <c r="AB31" s="25"/>
      <c r="AC31" s="31"/>
      <c r="AE31" s="25"/>
      <c r="AG31" s="25"/>
      <c r="AI31" s="25"/>
      <c r="AK31" s="25"/>
      <c r="AO31" s="51"/>
      <c r="AP31" s="51"/>
      <c r="AQ31" s="49"/>
    </row>
    <row r="32" ht="15.75" customHeight="1">
      <c r="B32" s="25"/>
      <c r="C32" s="28"/>
      <c r="D32" s="30"/>
      <c r="E32" s="25"/>
      <c r="F32" s="31"/>
      <c r="G32" s="32"/>
      <c r="H32" s="25"/>
      <c r="L32" s="25"/>
      <c r="M32" s="25"/>
      <c r="O32" s="25"/>
      <c r="R32" s="25"/>
      <c r="S32" s="46"/>
      <c r="W32" s="25"/>
      <c r="X32" s="25"/>
      <c r="AA32" s="25"/>
      <c r="AC32" s="31"/>
      <c r="AD32" s="25"/>
      <c r="AG32" s="25"/>
      <c r="AI32" s="25"/>
      <c r="AK32" s="25"/>
      <c r="AO32" s="51"/>
      <c r="AP32" s="51"/>
    </row>
    <row r="33" ht="15.75" customHeight="1">
      <c r="B33" s="25"/>
      <c r="C33" s="28"/>
      <c r="D33" s="30"/>
      <c r="E33" s="25"/>
      <c r="F33" s="31"/>
      <c r="G33" s="32"/>
      <c r="H33" s="25"/>
      <c r="L33" s="25"/>
      <c r="M33" s="25"/>
      <c r="O33" s="25"/>
      <c r="S33" s="46"/>
      <c r="W33" s="25"/>
      <c r="X33" s="25"/>
      <c r="AA33" s="25"/>
      <c r="AC33" s="31"/>
      <c r="AD33" s="25"/>
      <c r="AG33" s="25"/>
      <c r="AI33" s="25"/>
      <c r="AK33" s="25"/>
      <c r="AO33" s="51"/>
      <c r="AP33" s="51"/>
    </row>
    <row r="34" ht="15.75" customHeight="1">
      <c r="B34" s="25"/>
      <c r="C34" s="28"/>
      <c r="D34" s="30"/>
      <c r="E34" s="25"/>
      <c r="F34" s="31"/>
      <c r="G34" s="32"/>
      <c r="H34" s="25"/>
      <c r="M34" s="25"/>
      <c r="N34" s="25"/>
      <c r="O34" s="25"/>
      <c r="R34" s="25"/>
      <c r="S34" s="46"/>
      <c r="W34" s="25"/>
      <c r="X34" s="25"/>
      <c r="AC34" s="31"/>
      <c r="AG34" s="25"/>
      <c r="AI34" s="25"/>
      <c r="AK34" s="25"/>
      <c r="AO34" s="51"/>
      <c r="AP34" s="51"/>
    </row>
    <row r="35" ht="15.75" customHeight="1">
      <c r="B35" s="25"/>
      <c r="C35" s="28"/>
      <c r="D35" s="30"/>
      <c r="E35" s="25"/>
      <c r="F35" s="31"/>
      <c r="G35" s="32"/>
      <c r="H35" s="25"/>
      <c r="M35" s="25"/>
      <c r="N35" s="25"/>
      <c r="O35" s="25"/>
      <c r="S35" s="46"/>
      <c r="W35" s="25"/>
      <c r="X35" s="25"/>
      <c r="AC35" s="31"/>
      <c r="AG35" s="25"/>
      <c r="AI35" s="25"/>
      <c r="AK35" s="25"/>
      <c r="AO35" s="51"/>
      <c r="AP35" s="51"/>
    </row>
    <row r="36" ht="15.75" customHeight="1">
      <c r="B36" s="25"/>
      <c r="C36" s="28"/>
      <c r="D36" s="30"/>
      <c r="E36" s="25"/>
      <c r="F36" s="31"/>
      <c r="G36" s="32"/>
      <c r="H36" s="25"/>
      <c r="I36" s="25"/>
      <c r="L36" s="25"/>
      <c r="M36" s="25"/>
      <c r="O36" s="25"/>
      <c r="Q36" s="25"/>
      <c r="S36" s="46"/>
      <c r="T36" s="25"/>
      <c r="X36" s="25"/>
      <c r="AB36" s="25"/>
      <c r="AC36" s="31"/>
      <c r="AD36" s="25"/>
      <c r="AE36" s="25"/>
      <c r="AG36" s="25"/>
      <c r="AI36" s="25"/>
      <c r="AK36" s="25"/>
      <c r="AN36" s="25"/>
      <c r="AO36" s="51"/>
      <c r="AP36" s="51"/>
    </row>
    <row r="37" ht="15.75" customHeight="1">
      <c r="B37" s="25"/>
      <c r="C37" s="28"/>
      <c r="D37" s="30"/>
      <c r="E37" s="25"/>
      <c r="F37" s="31"/>
      <c r="G37" s="32"/>
      <c r="H37" s="25"/>
      <c r="M37" s="25"/>
      <c r="N37" s="25"/>
      <c r="O37" s="25"/>
      <c r="S37" s="46"/>
      <c r="W37" s="25"/>
      <c r="X37" s="25"/>
      <c r="AB37" s="25"/>
      <c r="AC37" s="31"/>
      <c r="AE37" s="25"/>
      <c r="AG37" s="25"/>
      <c r="AI37" s="25"/>
      <c r="AK37" s="25"/>
      <c r="AO37" s="51"/>
      <c r="AP37" s="51"/>
    </row>
    <row r="38" ht="15.75" customHeight="1">
      <c r="B38" s="25"/>
      <c r="C38" s="28"/>
      <c r="D38" s="30"/>
      <c r="E38" s="25"/>
      <c r="F38" s="31"/>
      <c r="G38" s="32"/>
      <c r="H38" s="25"/>
      <c r="M38" s="25"/>
      <c r="N38" s="25"/>
      <c r="O38" s="25"/>
      <c r="S38" s="46"/>
      <c r="W38" s="25"/>
      <c r="X38" s="25"/>
      <c r="AC38" s="31"/>
      <c r="AG38" s="25"/>
      <c r="AI38" s="25"/>
      <c r="AK38" s="25"/>
      <c r="AO38" s="51"/>
      <c r="AP38" s="51"/>
    </row>
    <row r="39" ht="15.75" customHeight="1">
      <c r="B39" s="25"/>
      <c r="C39" s="28"/>
      <c r="D39" s="30"/>
      <c r="E39" s="25"/>
      <c r="F39" s="31"/>
      <c r="G39" s="32"/>
      <c r="H39" s="25"/>
      <c r="L39" s="25"/>
      <c r="M39" s="25"/>
      <c r="N39" s="25"/>
      <c r="O39" s="25"/>
      <c r="S39" s="46"/>
      <c r="W39" s="25"/>
      <c r="X39" s="25"/>
      <c r="AA39" s="25"/>
      <c r="AC39" s="31"/>
      <c r="AD39" s="25"/>
      <c r="AG39" s="25"/>
      <c r="AI39" s="25"/>
      <c r="AK39" s="25"/>
      <c r="AO39" s="51"/>
      <c r="AP39" s="51"/>
    </row>
    <row r="40" ht="15.75" customHeight="1">
      <c r="B40" s="25"/>
      <c r="C40" s="28"/>
      <c r="D40" s="30"/>
      <c r="E40" s="25"/>
      <c r="F40" s="31"/>
      <c r="G40" s="32"/>
      <c r="H40" s="25"/>
      <c r="I40" s="25"/>
      <c r="M40" s="25"/>
      <c r="N40" s="25"/>
      <c r="O40" s="25"/>
      <c r="S40" s="46"/>
      <c r="W40" s="25"/>
      <c r="X40" s="25"/>
      <c r="AC40" s="31"/>
      <c r="AG40" s="25"/>
      <c r="AI40" s="25"/>
      <c r="AK40" s="25"/>
      <c r="AL40" s="25"/>
      <c r="AO40" s="51"/>
      <c r="AP40" s="51"/>
    </row>
    <row r="41" ht="15.75" customHeight="1">
      <c r="B41" s="25"/>
      <c r="C41" s="28"/>
      <c r="D41" s="30"/>
      <c r="E41" s="25"/>
      <c r="F41" s="31"/>
      <c r="G41" s="32"/>
      <c r="H41" s="25"/>
      <c r="I41" s="25"/>
      <c r="M41" s="25"/>
      <c r="N41" s="25"/>
      <c r="O41" s="25"/>
      <c r="R41" s="25"/>
      <c r="S41" s="46"/>
      <c r="T41" s="25"/>
      <c r="W41" s="25"/>
      <c r="AB41" s="25"/>
      <c r="AC41" s="31"/>
      <c r="AE41" s="25"/>
      <c r="AG41" s="25"/>
      <c r="AK41" s="25"/>
      <c r="AO41" s="51"/>
      <c r="AP41" s="51"/>
    </row>
    <row r="42" ht="15.75" customHeight="1">
      <c r="B42" s="25"/>
      <c r="C42" s="28"/>
      <c r="D42" s="63"/>
      <c r="E42" s="25"/>
      <c r="F42" s="31"/>
      <c r="G42" s="32"/>
      <c r="H42" s="25"/>
      <c r="M42" s="25"/>
      <c r="N42" s="25"/>
      <c r="O42" s="25"/>
      <c r="R42" s="25"/>
      <c r="S42" s="46"/>
      <c r="W42" s="25"/>
      <c r="X42" s="25"/>
      <c r="AB42" s="25"/>
      <c r="AC42" s="31"/>
      <c r="AE42" s="25"/>
      <c r="AG42" s="25"/>
      <c r="AI42" s="25"/>
      <c r="AK42" s="25"/>
      <c r="AO42" s="51"/>
      <c r="AP42" s="51"/>
      <c r="AQ42" s="49"/>
    </row>
    <row r="43" ht="15.75" customHeight="1">
      <c r="B43" s="25"/>
      <c r="C43" s="28"/>
      <c r="D43" s="63"/>
      <c r="E43" s="25"/>
      <c r="F43" s="31"/>
      <c r="G43" s="32"/>
      <c r="H43" s="25"/>
      <c r="M43" s="25"/>
      <c r="O43" s="25"/>
      <c r="S43" s="46"/>
      <c r="X43" s="25"/>
      <c r="AB43" s="25"/>
      <c r="AC43" s="31"/>
      <c r="AE43" s="25"/>
      <c r="AF43" s="25"/>
      <c r="AG43" s="25"/>
      <c r="AI43" s="25"/>
      <c r="AK43" s="25"/>
      <c r="AO43" s="51"/>
      <c r="AP43" s="51"/>
      <c r="AQ43" s="49"/>
    </row>
    <row r="44" ht="15.75" customHeight="1">
      <c r="B44" s="25"/>
      <c r="C44" s="28"/>
      <c r="D44" s="30"/>
      <c r="E44" s="25"/>
      <c r="F44" s="31"/>
      <c r="G44" s="32"/>
      <c r="H44" s="25"/>
      <c r="I44" s="25"/>
      <c r="M44" s="25"/>
      <c r="O44" s="25"/>
      <c r="R44" s="25"/>
      <c r="S44" s="46"/>
      <c r="X44" s="25"/>
      <c r="AC44" s="31"/>
      <c r="AF44" s="25"/>
      <c r="AG44" s="25"/>
      <c r="AI44" s="25"/>
      <c r="AK44" s="25"/>
      <c r="AL44" s="25"/>
      <c r="AO44" s="51"/>
      <c r="AP44" s="51"/>
      <c r="AQ44" s="49"/>
    </row>
    <row r="45" ht="15.75" customHeight="1">
      <c r="B45" s="25"/>
      <c r="C45" s="28"/>
      <c r="D45" s="30"/>
      <c r="E45" s="25"/>
      <c r="F45" s="31"/>
      <c r="G45" s="32"/>
      <c r="H45" s="25"/>
      <c r="M45" s="25"/>
      <c r="N45" s="25"/>
      <c r="O45" s="25"/>
      <c r="S45" s="46"/>
      <c r="W45" s="25"/>
      <c r="X45" s="25"/>
      <c r="AB45" s="25"/>
      <c r="AC45" s="31"/>
      <c r="AE45" s="25"/>
      <c r="AG45" s="25"/>
      <c r="AI45" s="25"/>
      <c r="AK45" s="25"/>
      <c r="AO45" s="51"/>
      <c r="AP45" s="51"/>
    </row>
    <row r="46" ht="15.75" customHeight="1">
      <c r="B46" s="25"/>
      <c r="C46" s="28"/>
      <c r="D46" s="30"/>
      <c r="E46" s="25"/>
      <c r="F46" s="31"/>
      <c r="G46" s="32"/>
      <c r="H46" s="25"/>
      <c r="M46" s="25"/>
      <c r="N46" s="25"/>
      <c r="O46" s="25"/>
      <c r="S46" s="46"/>
      <c r="W46" s="25"/>
      <c r="X46" s="25"/>
      <c r="AB46" s="25"/>
      <c r="AC46" s="31"/>
      <c r="AE46" s="25"/>
      <c r="AG46" s="25"/>
      <c r="AI46" s="25"/>
      <c r="AK46" s="25"/>
      <c r="AO46" s="51"/>
      <c r="AP46" s="51"/>
    </row>
    <row r="47" ht="15.75" customHeight="1">
      <c r="B47" s="25"/>
      <c r="C47" s="28"/>
      <c r="D47" s="30"/>
      <c r="E47" s="25"/>
      <c r="F47" s="31"/>
      <c r="G47" s="32"/>
      <c r="H47" s="25"/>
      <c r="J47" s="25"/>
      <c r="M47" s="25"/>
      <c r="O47" s="25"/>
      <c r="S47" s="46"/>
      <c r="U47" s="25"/>
      <c r="X47" s="25"/>
      <c r="AB47" s="25"/>
      <c r="AC47" s="31"/>
      <c r="AE47" s="25"/>
      <c r="AF47" s="25"/>
      <c r="AG47" s="25"/>
      <c r="AI47" s="25"/>
      <c r="AK47" s="25"/>
      <c r="AO47" s="51"/>
      <c r="AP47" s="51"/>
    </row>
    <row r="48" ht="15.75" customHeight="1">
      <c r="B48" s="25"/>
      <c r="C48" s="28"/>
      <c r="D48" s="30"/>
      <c r="E48" s="25"/>
      <c r="F48" s="31"/>
      <c r="G48" s="32"/>
      <c r="H48" s="25"/>
      <c r="M48" s="25"/>
      <c r="O48" s="25"/>
      <c r="S48" s="46"/>
      <c r="W48" s="25"/>
      <c r="X48" s="25"/>
      <c r="AB48" s="25"/>
      <c r="AC48" s="31"/>
      <c r="AE48" s="25"/>
      <c r="AG48" s="25"/>
      <c r="AI48" s="25"/>
      <c r="AK48" s="25"/>
      <c r="AO48" s="51"/>
      <c r="AP48" s="51"/>
    </row>
    <row r="49" ht="15.75" customHeight="1">
      <c r="B49" s="25"/>
      <c r="C49" s="28"/>
      <c r="D49" s="30"/>
      <c r="E49" s="25"/>
      <c r="F49" s="31"/>
      <c r="G49" s="32"/>
      <c r="H49" s="25"/>
      <c r="L49" s="25"/>
      <c r="M49" s="25"/>
      <c r="N49" s="25"/>
      <c r="O49" s="25"/>
      <c r="S49" s="46"/>
      <c r="W49" s="25"/>
      <c r="X49" s="25"/>
      <c r="AA49" s="25"/>
      <c r="AC49" s="31"/>
      <c r="AD49" s="25"/>
      <c r="AG49" s="25"/>
      <c r="AI49" s="25"/>
      <c r="AK49" s="25"/>
      <c r="AO49" s="51"/>
      <c r="AP49" s="51"/>
    </row>
    <row r="50" ht="15.75" customHeight="1">
      <c r="B50" s="25"/>
      <c r="C50" s="28"/>
      <c r="D50" s="30"/>
      <c r="E50" s="25"/>
      <c r="F50" s="31"/>
      <c r="G50" s="32"/>
      <c r="H50" s="25"/>
      <c r="I50" s="25"/>
      <c r="N50" s="25"/>
      <c r="O50" s="25"/>
      <c r="S50" s="46"/>
      <c r="T50" s="25"/>
      <c r="W50" s="25"/>
      <c r="X50" s="25"/>
      <c r="AC50" s="31"/>
      <c r="AE50" s="25"/>
      <c r="AG50" s="25"/>
      <c r="AK50" s="25"/>
      <c r="AL50" s="25"/>
      <c r="AO50" s="51"/>
      <c r="AP50" s="51"/>
    </row>
    <row r="51" ht="15.75" customHeight="1">
      <c r="B51" s="25"/>
      <c r="C51" s="28"/>
      <c r="D51" s="30"/>
      <c r="E51" s="25"/>
      <c r="F51" s="31"/>
      <c r="G51" s="32"/>
      <c r="H51" s="25"/>
      <c r="J51" s="25"/>
      <c r="L51" s="25"/>
      <c r="O51" s="25"/>
      <c r="S51" s="46"/>
      <c r="U51" s="25"/>
      <c r="W51" s="25"/>
      <c r="AA51" s="25"/>
      <c r="AC51" s="31"/>
      <c r="AD51" s="25"/>
      <c r="AF51" s="25"/>
      <c r="AG51" s="25"/>
      <c r="AK51" s="25"/>
      <c r="AO51" s="51"/>
      <c r="AP51" s="51"/>
    </row>
    <row r="52" ht="15.75" customHeight="1">
      <c r="B52" s="25"/>
      <c r="C52" s="28"/>
      <c r="D52" s="30"/>
      <c r="E52" s="25"/>
      <c r="F52" s="31"/>
      <c r="G52" s="32"/>
      <c r="H52" s="25"/>
      <c r="K52" s="25"/>
      <c r="M52" s="25"/>
      <c r="N52" s="25"/>
      <c r="O52" s="25"/>
      <c r="S52" s="46"/>
      <c r="V52" s="25"/>
      <c r="W52" s="25"/>
      <c r="AB52" s="25"/>
      <c r="AC52" s="31"/>
      <c r="AE52" s="25"/>
      <c r="AG52" s="25"/>
      <c r="AK52" s="25"/>
      <c r="AO52" s="51"/>
      <c r="AP52" s="51"/>
    </row>
    <row r="53" ht="15.75" customHeight="1">
      <c r="B53" s="25"/>
      <c r="C53" s="28"/>
      <c r="D53" s="30"/>
      <c r="E53" s="25"/>
      <c r="F53" s="31"/>
      <c r="G53" s="32"/>
      <c r="H53" s="25"/>
      <c r="M53" s="25"/>
      <c r="N53" s="25"/>
      <c r="O53" s="25"/>
      <c r="S53" s="46"/>
      <c r="W53" s="25"/>
      <c r="X53" s="25"/>
      <c r="AC53" s="31"/>
      <c r="AG53" s="25"/>
      <c r="AI53" s="25"/>
      <c r="AK53" s="25"/>
      <c r="AO53" s="51"/>
      <c r="AP53" s="51"/>
    </row>
    <row r="54" ht="15.75" customHeight="1">
      <c r="B54" s="25"/>
      <c r="C54" s="28"/>
      <c r="D54" s="30"/>
      <c r="E54" s="25"/>
      <c r="F54" s="31"/>
      <c r="G54" s="32"/>
      <c r="H54" s="25"/>
      <c r="L54" s="25"/>
      <c r="M54" s="25"/>
      <c r="O54" s="25"/>
      <c r="Q54" s="25"/>
      <c r="S54" s="46"/>
      <c r="X54" s="25"/>
      <c r="AB54" s="25"/>
      <c r="AC54" s="31"/>
      <c r="AD54" s="25"/>
      <c r="AE54" s="25"/>
      <c r="AG54" s="25"/>
      <c r="AI54" s="25"/>
      <c r="AK54" s="25"/>
      <c r="AN54" s="25"/>
      <c r="AO54" s="51"/>
      <c r="AP54" s="51"/>
    </row>
    <row r="55" ht="15.75" customHeight="1">
      <c r="B55" s="25"/>
      <c r="C55" s="28"/>
      <c r="D55" s="30"/>
      <c r="E55" s="25"/>
      <c r="F55" s="31"/>
      <c r="G55" s="32"/>
      <c r="H55" s="25"/>
      <c r="K55" s="25"/>
      <c r="N55" s="25"/>
      <c r="O55" s="25"/>
      <c r="S55" s="46"/>
      <c r="V55" s="25"/>
      <c r="AC55" s="31"/>
      <c r="AE55" s="25"/>
      <c r="AG55" s="25"/>
      <c r="AK55" s="25"/>
      <c r="AO55" s="51"/>
      <c r="AP55" s="51"/>
    </row>
    <row r="56" ht="15.75" customHeight="1">
      <c r="B56" s="25"/>
      <c r="C56" s="28"/>
      <c r="D56" s="30"/>
      <c r="E56" s="25"/>
      <c r="F56" s="31"/>
      <c r="G56" s="32"/>
      <c r="H56" s="25"/>
      <c r="M56" s="25"/>
      <c r="O56" s="25"/>
      <c r="R56" s="25"/>
      <c r="S56" s="46"/>
      <c r="X56" s="25"/>
      <c r="AB56" s="25"/>
      <c r="AC56" s="31"/>
      <c r="AE56" s="25"/>
      <c r="AG56" s="25"/>
      <c r="AI56" s="25"/>
      <c r="AK56" s="25"/>
      <c r="AO56" s="51"/>
      <c r="AP56" s="51"/>
      <c r="AQ56" s="49"/>
    </row>
    <row r="57" ht="15.75" customHeight="1">
      <c r="B57" s="25"/>
      <c r="C57" s="28"/>
      <c r="D57" s="30"/>
      <c r="E57" s="25"/>
      <c r="F57" s="31"/>
      <c r="G57" s="32"/>
      <c r="H57" s="25"/>
      <c r="I57" s="25"/>
      <c r="M57" s="25"/>
      <c r="O57" s="25"/>
      <c r="S57" s="46"/>
      <c r="W57" s="25"/>
      <c r="X57" s="25"/>
      <c r="AC57" s="31"/>
      <c r="AG57" s="25"/>
      <c r="AI57" s="25"/>
      <c r="AK57" s="25"/>
      <c r="AL57" s="25"/>
      <c r="AO57" s="51"/>
      <c r="AP57" s="51"/>
    </row>
    <row r="58" ht="15.75" customHeight="1">
      <c r="B58" s="25"/>
      <c r="C58" s="28"/>
      <c r="D58" s="30"/>
      <c r="E58" s="25"/>
      <c r="F58" s="31"/>
      <c r="G58" s="32"/>
      <c r="H58" s="25"/>
      <c r="I58" s="25"/>
      <c r="L58" s="25"/>
      <c r="O58" s="25"/>
      <c r="S58" s="46"/>
      <c r="T58" s="25"/>
      <c r="W58" s="25"/>
      <c r="AA58" s="25"/>
      <c r="AC58" s="31"/>
      <c r="AD58" s="25"/>
      <c r="AE58" s="25"/>
      <c r="AG58" s="25"/>
      <c r="AK58" s="25"/>
      <c r="AO58" s="51"/>
      <c r="AP58" s="51"/>
    </row>
    <row r="59" ht="15.75" customHeight="1">
      <c r="B59" s="25"/>
      <c r="C59" s="28"/>
      <c r="D59" s="30"/>
      <c r="E59" s="25"/>
      <c r="F59" s="31"/>
      <c r="G59" s="32"/>
      <c r="H59" s="25"/>
      <c r="K59" s="25"/>
      <c r="M59" s="25"/>
      <c r="O59" s="25"/>
      <c r="S59" s="46"/>
      <c r="V59" s="25"/>
      <c r="W59" s="25"/>
      <c r="AB59" s="25"/>
      <c r="AC59" s="31"/>
      <c r="AE59" s="25"/>
      <c r="AG59" s="25"/>
      <c r="AK59" s="25"/>
      <c r="AO59" s="51"/>
      <c r="AP59" s="51"/>
    </row>
    <row r="60" ht="15.75" customHeight="1">
      <c r="B60" s="25"/>
      <c r="C60" s="28"/>
      <c r="D60" s="63"/>
      <c r="E60" s="25"/>
      <c r="F60" s="31"/>
      <c r="G60" s="32"/>
      <c r="H60" s="25"/>
      <c r="L60" s="25"/>
      <c r="M60" s="25"/>
      <c r="O60" s="25"/>
      <c r="R60" s="25"/>
      <c r="S60" s="46"/>
      <c r="W60" s="25"/>
      <c r="X60" s="25"/>
      <c r="AA60" s="25"/>
      <c r="AC60" s="31"/>
      <c r="AD60" s="25"/>
      <c r="AF60" s="25"/>
      <c r="AG60" s="25"/>
      <c r="AI60" s="25"/>
      <c r="AK60" s="25"/>
      <c r="AO60" s="51"/>
      <c r="AP60" s="51"/>
      <c r="AQ60" s="49"/>
    </row>
    <row r="61" ht="15.75" customHeight="1">
      <c r="B61" s="25"/>
      <c r="C61" s="28"/>
      <c r="D61" s="63"/>
      <c r="E61" s="25"/>
      <c r="F61" s="31"/>
      <c r="G61" s="32"/>
      <c r="H61" s="25"/>
      <c r="M61" s="25"/>
      <c r="O61" s="25"/>
      <c r="R61" s="25"/>
      <c r="S61" s="46"/>
      <c r="X61" s="25"/>
      <c r="AB61" s="25"/>
      <c r="AC61" s="31"/>
      <c r="AE61" s="25"/>
      <c r="AG61" s="25"/>
      <c r="AI61" s="25"/>
      <c r="AK61" s="25"/>
      <c r="AO61" s="51"/>
      <c r="AP61" s="51"/>
      <c r="AQ61" s="49"/>
    </row>
    <row r="62" ht="15.75" customHeight="1">
      <c r="B62" s="25"/>
      <c r="C62" s="28"/>
      <c r="D62" s="63"/>
      <c r="E62" s="25"/>
      <c r="F62" s="31"/>
      <c r="G62" s="32"/>
      <c r="H62" s="25"/>
      <c r="M62" s="25"/>
      <c r="N62" s="25"/>
      <c r="O62" s="25"/>
      <c r="R62" s="25"/>
      <c r="S62" s="46"/>
      <c r="AB62" s="25"/>
      <c r="AC62" s="31"/>
      <c r="AE62" s="25"/>
      <c r="AF62" s="25"/>
      <c r="AG62" s="25"/>
      <c r="AK62" s="25"/>
      <c r="AN62" s="25"/>
      <c r="AO62" s="51"/>
      <c r="AP62" s="51"/>
      <c r="AQ62" s="49"/>
    </row>
    <row r="63" ht="15.75" customHeight="1">
      <c r="B63" s="25"/>
      <c r="C63" s="28"/>
      <c r="D63" s="30"/>
      <c r="E63" s="25"/>
      <c r="F63" s="31"/>
      <c r="G63" s="32"/>
      <c r="H63" s="25"/>
      <c r="K63" s="25"/>
      <c r="M63" s="25"/>
      <c r="O63" s="25"/>
      <c r="S63" s="46"/>
      <c r="W63" s="25"/>
      <c r="X63" s="25"/>
      <c r="Z63" s="25"/>
      <c r="AC63" s="31"/>
      <c r="AG63" s="25"/>
      <c r="AI63" s="25"/>
      <c r="AK63" s="25"/>
      <c r="AN63" s="25"/>
      <c r="AO63" s="51"/>
      <c r="AP63" s="51"/>
    </row>
    <row r="64" ht="15.75" customHeight="1">
      <c r="B64" s="25"/>
      <c r="C64" s="28"/>
      <c r="D64" s="30"/>
      <c r="E64" s="25"/>
      <c r="F64" s="31"/>
      <c r="G64" s="32"/>
      <c r="H64" s="25"/>
      <c r="L64" s="25"/>
      <c r="M64" s="25"/>
      <c r="N64" s="25"/>
      <c r="O64" s="25"/>
      <c r="R64" s="25"/>
      <c r="S64" s="46"/>
      <c r="X64" s="25"/>
      <c r="AA64" s="25"/>
      <c r="AC64" s="31"/>
      <c r="AD64" s="25"/>
      <c r="AG64" s="25"/>
      <c r="AI64" s="25"/>
      <c r="AK64" s="25"/>
      <c r="AO64" s="51"/>
      <c r="AP64" s="51"/>
    </row>
    <row r="65" ht="15.75" customHeight="1">
      <c r="B65" s="25"/>
      <c r="C65" s="28"/>
      <c r="D65" s="30"/>
      <c r="E65" s="25"/>
      <c r="F65" s="31"/>
      <c r="G65" s="32"/>
      <c r="H65" s="25"/>
      <c r="I65" s="25"/>
      <c r="M65" s="25"/>
      <c r="O65" s="25"/>
      <c r="R65" s="25"/>
      <c r="S65" s="46"/>
      <c r="T65" s="25"/>
      <c r="AB65" s="25"/>
      <c r="AC65" s="31"/>
      <c r="AE65" s="25"/>
      <c r="AG65" s="25"/>
      <c r="AK65" s="25"/>
      <c r="AO65" s="51"/>
      <c r="AP65" s="51"/>
    </row>
    <row r="66" ht="15.75" customHeight="1">
      <c r="B66" s="25"/>
      <c r="C66" s="28"/>
      <c r="D66" s="30"/>
      <c r="E66" s="25"/>
      <c r="F66" s="31"/>
      <c r="G66" s="32"/>
      <c r="H66" s="25"/>
      <c r="L66" s="25"/>
      <c r="M66" s="25"/>
      <c r="O66" s="25"/>
      <c r="S66" s="46"/>
      <c r="W66" s="25"/>
      <c r="X66" s="25"/>
      <c r="AA66" s="25"/>
      <c r="AC66" s="31"/>
      <c r="AD66" s="25"/>
      <c r="AG66" s="25"/>
      <c r="AI66" s="25"/>
      <c r="AK66" s="25"/>
      <c r="AO66" s="51"/>
      <c r="AP66" s="51"/>
    </row>
    <row r="67" ht="15.75" customHeight="1">
      <c r="B67" s="25"/>
      <c r="C67" s="28"/>
      <c r="D67" s="30"/>
      <c r="E67" s="25"/>
      <c r="F67" s="31"/>
      <c r="G67" s="32"/>
      <c r="H67" s="25"/>
      <c r="M67" s="25"/>
      <c r="O67" s="25"/>
      <c r="R67" s="25"/>
      <c r="S67" s="46"/>
      <c r="W67" s="25"/>
      <c r="AB67" s="25"/>
      <c r="AC67" s="31"/>
      <c r="AE67" s="25"/>
      <c r="AG67" s="25"/>
      <c r="AK67" s="25"/>
      <c r="AN67" s="25"/>
      <c r="AO67" s="51"/>
      <c r="AP67" s="51"/>
    </row>
    <row r="68" ht="15.75" customHeight="1">
      <c r="B68" s="25"/>
      <c r="C68" s="28"/>
      <c r="D68" s="30"/>
      <c r="E68" s="25"/>
      <c r="F68" s="31"/>
      <c r="G68" s="32"/>
      <c r="H68" s="25"/>
      <c r="L68" s="25"/>
      <c r="M68" s="25"/>
      <c r="N68" s="25"/>
      <c r="O68" s="25"/>
      <c r="S68" s="46"/>
      <c r="X68" s="25"/>
      <c r="AA68" s="25"/>
      <c r="AC68" s="31"/>
      <c r="AD68" s="25"/>
      <c r="AE68" s="25"/>
      <c r="AG68" s="25"/>
      <c r="AI68" s="25"/>
      <c r="AK68" s="25"/>
      <c r="AO68" s="51"/>
      <c r="AP68" s="51"/>
    </row>
    <row r="69" ht="15.75" customHeight="1">
      <c r="B69" s="25"/>
      <c r="C69" s="28"/>
      <c r="D69" s="30"/>
      <c r="E69" s="25"/>
      <c r="F69" s="31"/>
      <c r="G69" s="32"/>
      <c r="H69" s="25"/>
      <c r="L69" s="25"/>
      <c r="M69" s="25"/>
      <c r="O69" s="25"/>
      <c r="R69" s="25"/>
      <c r="S69" s="46"/>
      <c r="W69" s="25"/>
      <c r="X69" s="25"/>
      <c r="AA69" s="25"/>
      <c r="AC69" s="31"/>
      <c r="AD69" s="25"/>
      <c r="AG69" s="25"/>
      <c r="AI69" s="25"/>
      <c r="AK69" s="25"/>
      <c r="AO69" s="51"/>
      <c r="AP69" s="51"/>
    </row>
    <row r="70" ht="15.75" customHeight="1">
      <c r="B70" s="25"/>
      <c r="C70" s="28"/>
      <c r="D70" s="30"/>
      <c r="E70" s="25"/>
      <c r="F70" s="31"/>
      <c r="G70" s="32"/>
      <c r="H70" s="25"/>
      <c r="M70" s="25"/>
      <c r="N70" s="25"/>
      <c r="O70" s="25"/>
      <c r="S70" s="46"/>
      <c r="X70" s="25"/>
      <c r="AB70" s="25"/>
      <c r="AC70" s="31"/>
      <c r="AE70" s="25"/>
      <c r="AG70" s="25"/>
      <c r="AI70" s="25"/>
      <c r="AK70" s="25"/>
      <c r="AO70" s="51"/>
      <c r="AP70" s="51"/>
    </row>
    <row r="71" ht="15.75" customHeight="1">
      <c r="B71" s="25"/>
      <c r="C71" s="28"/>
      <c r="D71" s="30"/>
      <c r="E71" s="25"/>
      <c r="F71" s="31"/>
      <c r="G71" s="32"/>
      <c r="H71" s="25"/>
      <c r="I71" s="25"/>
      <c r="K71" s="25"/>
      <c r="N71" s="25"/>
      <c r="O71" s="25"/>
      <c r="S71" s="46"/>
      <c r="T71" s="25"/>
      <c r="W71" s="25"/>
      <c r="Z71" s="25"/>
      <c r="AC71" s="31"/>
      <c r="AE71" s="25"/>
      <c r="AG71" s="25"/>
      <c r="AK71" s="25"/>
      <c r="AN71" s="25"/>
      <c r="AO71" s="51"/>
      <c r="AP71" s="51"/>
    </row>
    <row r="72" ht="15.75" customHeight="1">
      <c r="B72" s="25"/>
      <c r="C72" s="28"/>
      <c r="D72" s="30"/>
      <c r="E72" s="25"/>
      <c r="F72" s="31"/>
      <c r="G72" s="32"/>
      <c r="H72" s="25"/>
      <c r="K72" s="25"/>
      <c r="M72" s="25"/>
      <c r="O72" s="25"/>
      <c r="S72" s="46"/>
      <c r="W72" s="25"/>
      <c r="X72" s="25"/>
      <c r="Z72" s="25"/>
      <c r="AC72" s="31"/>
      <c r="AG72" s="25"/>
      <c r="AI72" s="25"/>
      <c r="AK72" s="25"/>
      <c r="AN72" s="25"/>
      <c r="AO72" s="51"/>
      <c r="AP72" s="51"/>
    </row>
    <row r="73" ht="15.75" customHeight="1">
      <c r="B73" s="25"/>
      <c r="C73" s="28"/>
      <c r="D73" s="30"/>
      <c r="E73" s="25"/>
      <c r="F73" s="31"/>
      <c r="G73" s="32"/>
      <c r="H73" s="25"/>
      <c r="L73" s="25"/>
      <c r="M73" s="25"/>
      <c r="O73" s="25"/>
      <c r="R73" s="25"/>
      <c r="S73" s="46"/>
      <c r="W73" s="25"/>
      <c r="X73" s="25"/>
      <c r="AA73" s="25"/>
      <c r="AC73" s="31"/>
      <c r="AD73" s="25"/>
      <c r="AG73" s="25"/>
      <c r="AI73" s="25"/>
      <c r="AK73" s="25"/>
      <c r="AO73" s="51"/>
      <c r="AP73" s="51"/>
    </row>
    <row r="74" ht="15.75" customHeight="1">
      <c r="B74" s="25"/>
      <c r="C74" s="28"/>
      <c r="D74" s="30"/>
      <c r="E74" s="25"/>
      <c r="F74" s="31"/>
      <c r="G74" s="32"/>
      <c r="H74" s="25"/>
      <c r="M74" s="25"/>
      <c r="O74" s="25"/>
      <c r="S74" s="46"/>
      <c r="X74" s="25"/>
      <c r="AB74" s="25"/>
      <c r="AC74" s="31"/>
      <c r="AE74" s="25"/>
      <c r="AG74" s="25"/>
      <c r="AI74" s="25"/>
      <c r="AJ74" s="25"/>
      <c r="AK74" s="25"/>
      <c r="AO74" s="51"/>
      <c r="AP74" s="51"/>
    </row>
    <row r="75" ht="15.75" customHeight="1">
      <c r="B75" s="25"/>
      <c r="C75" s="28"/>
      <c r="D75" s="30"/>
      <c r="E75" s="25"/>
      <c r="F75" s="31"/>
      <c r="G75" s="32"/>
      <c r="H75" s="25"/>
      <c r="M75" s="25"/>
      <c r="N75" s="25"/>
      <c r="O75" s="25"/>
      <c r="S75" s="46"/>
      <c r="W75" s="25"/>
      <c r="X75" s="25"/>
      <c r="AB75" s="25"/>
      <c r="AC75" s="31"/>
      <c r="AE75" s="25"/>
      <c r="AG75" s="25"/>
      <c r="AI75" s="25"/>
      <c r="AK75" s="25"/>
      <c r="AO75" s="51"/>
      <c r="AP75" s="51"/>
    </row>
    <row r="76" ht="15.75" customHeight="1">
      <c r="B76" s="25"/>
      <c r="C76" s="28"/>
      <c r="D76" s="30"/>
      <c r="E76" s="25"/>
      <c r="F76" s="31"/>
      <c r="G76" s="32"/>
      <c r="H76" s="25"/>
      <c r="I76" s="25"/>
      <c r="K76" s="25"/>
      <c r="N76" s="25"/>
      <c r="O76" s="25"/>
      <c r="R76" s="25"/>
      <c r="S76" s="46"/>
      <c r="T76" s="25"/>
      <c r="W76" s="25"/>
      <c r="Z76" s="25"/>
      <c r="AC76" s="31"/>
      <c r="AE76" s="25"/>
      <c r="AG76" s="25"/>
      <c r="AK76" s="25"/>
      <c r="AN76" s="25"/>
      <c r="AO76" s="51"/>
      <c r="AP76" s="51"/>
    </row>
    <row r="77" ht="15.75" customHeight="1">
      <c r="B77" s="25"/>
      <c r="C77" s="28"/>
      <c r="D77" s="30"/>
      <c r="E77" s="25"/>
      <c r="F77" s="31"/>
      <c r="G77" s="32"/>
      <c r="H77" s="25"/>
      <c r="M77" s="25"/>
      <c r="O77" s="25"/>
      <c r="R77" s="25"/>
      <c r="S77" s="46"/>
      <c r="W77" s="25"/>
      <c r="X77" s="25"/>
      <c r="AB77" s="25"/>
      <c r="AC77" s="31"/>
      <c r="AE77" s="25"/>
      <c r="AG77" s="25"/>
      <c r="AI77" s="25"/>
      <c r="AK77" s="25"/>
      <c r="AO77" s="51"/>
      <c r="AP77" s="51"/>
    </row>
    <row r="78" ht="15.75" customHeight="1">
      <c r="B78" s="25"/>
      <c r="C78" s="28"/>
      <c r="D78" s="30"/>
      <c r="E78" s="25"/>
      <c r="F78" s="31"/>
      <c r="G78" s="32"/>
      <c r="H78" s="25"/>
      <c r="L78" s="25"/>
      <c r="M78" s="25"/>
      <c r="N78" s="25"/>
      <c r="O78" s="25"/>
      <c r="R78" s="25"/>
      <c r="S78" s="46"/>
      <c r="W78" s="25"/>
      <c r="X78" s="25"/>
      <c r="AA78" s="25"/>
      <c r="AC78" s="31"/>
      <c r="AD78" s="25"/>
      <c r="AG78" s="25"/>
      <c r="AI78" s="25"/>
      <c r="AK78" s="25"/>
      <c r="AO78" s="51"/>
      <c r="AP78" s="51"/>
    </row>
    <row r="79" ht="15.75" customHeight="1">
      <c r="B79" s="25"/>
      <c r="C79" s="28"/>
      <c r="D79" s="63"/>
      <c r="E79" s="25"/>
      <c r="F79" s="31"/>
      <c r="G79" s="32"/>
      <c r="H79" s="25"/>
      <c r="M79" s="25"/>
      <c r="O79" s="25"/>
      <c r="S79" s="46"/>
      <c r="W79" s="25"/>
      <c r="X79" s="25"/>
      <c r="AB79" s="25"/>
      <c r="AC79" s="31"/>
      <c r="AE79" s="25"/>
      <c r="AG79" s="25"/>
      <c r="AI79" s="25"/>
      <c r="AK79" s="25"/>
      <c r="AO79" s="51"/>
      <c r="AP79" s="51"/>
      <c r="AQ79" s="49"/>
    </row>
    <row r="80" ht="15.75" customHeight="1">
      <c r="B80" s="25"/>
      <c r="C80" s="28"/>
      <c r="D80" s="30"/>
      <c r="E80" s="25"/>
      <c r="F80" s="31"/>
      <c r="G80" s="32"/>
      <c r="H80" s="25"/>
      <c r="M80" s="25"/>
      <c r="N80" s="25"/>
      <c r="O80" s="25"/>
      <c r="R80" s="25"/>
      <c r="S80" s="46"/>
      <c r="X80" s="25"/>
      <c r="AB80" s="25"/>
      <c r="AC80" s="31"/>
      <c r="AE80" s="25"/>
      <c r="AG80" s="25"/>
      <c r="AI80" s="25"/>
      <c r="AK80" s="25"/>
      <c r="AO80" s="51"/>
      <c r="AP80" s="51"/>
      <c r="AQ80" s="49"/>
    </row>
    <row r="81" ht="15.75" customHeight="1">
      <c r="B81" s="25"/>
      <c r="C81" s="28"/>
      <c r="D81" s="30"/>
      <c r="E81" s="25"/>
      <c r="F81" s="31"/>
      <c r="G81" s="32"/>
      <c r="H81" s="25"/>
      <c r="M81" s="25"/>
      <c r="O81" s="25"/>
      <c r="R81" s="25"/>
      <c r="S81" s="46"/>
      <c r="X81" s="25"/>
      <c r="AB81" s="25"/>
      <c r="AC81" s="31"/>
      <c r="AE81" s="25"/>
      <c r="AG81" s="25"/>
      <c r="AI81" s="25"/>
      <c r="AK81" s="25"/>
      <c r="AO81" s="51"/>
      <c r="AP81" s="51"/>
      <c r="AQ81" s="49"/>
    </row>
    <row r="82" ht="15.75" customHeight="1">
      <c r="B82" s="25"/>
      <c r="C82" s="28"/>
      <c r="D82" s="30"/>
      <c r="E82" s="25"/>
      <c r="F82" s="31"/>
      <c r="G82" s="32"/>
      <c r="H82" s="25"/>
      <c r="L82" s="25"/>
      <c r="M82" s="25"/>
      <c r="O82" s="25"/>
      <c r="S82" s="46"/>
      <c r="X82" s="25"/>
      <c r="AA82" s="25"/>
      <c r="AC82" s="31"/>
      <c r="AD82" s="25"/>
      <c r="AE82" s="25"/>
      <c r="AG82" s="25"/>
      <c r="AI82" s="25"/>
      <c r="AK82" s="25"/>
      <c r="AO82" s="51"/>
      <c r="AP82" s="51"/>
    </row>
    <row r="83" ht="15.75" customHeight="1">
      <c r="B83" s="25"/>
      <c r="C83" s="28"/>
      <c r="D83" s="30"/>
      <c r="E83" s="25"/>
      <c r="F83" s="31"/>
      <c r="G83" s="32"/>
      <c r="H83" s="25"/>
      <c r="M83" s="25"/>
      <c r="N83" s="25"/>
      <c r="O83" s="25"/>
      <c r="R83" s="25"/>
      <c r="S83" s="46"/>
      <c r="W83" s="25"/>
      <c r="X83" s="25"/>
      <c r="AC83" s="31"/>
      <c r="AG83" s="25"/>
      <c r="AI83" s="25"/>
      <c r="AK83" s="25"/>
      <c r="AO83" s="51"/>
      <c r="AP83" s="51"/>
    </row>
    <row r="84" ht="15.75" customHeight="1">
      <c r="B84" s="25"/>
      <c r="C84" s="28"/>
      <c r="D84" s="30"/>
      <c r="E84" s="25"/>
      <c r="F84" s="31"/>
      <c r="G84" s="32"/>
      <c r="H84" s="25"/>
      <c r="L84" s="25"/>
      <c r="M84" s="25"/>
      <c r="N84" s="25"/>
      <c r="O84" s="25"/>
      <c r="R84" s="25"/>
      <c r="S84" s="46"/>
      <c r="X84" s="25"/>
      <c r="AA84" s="25"/>
      <c r="AC84" s="31"/>
      <c r="AD84" s="25"/>
      <c r="AG84" s="25"/>
      <c r="AI84" s="25"/>
      <c r="AK84" s="25"/>
      <c r="AO84" s="51"/>
      <c r="AP84" s="51"/>
    </row>
    <row r="85" ht="15.75" customHeight="1">
      <c r="B85" s="25"/>
      <c r="C85" s="28"/>
      <c r="D85" s="30"/>
      <c r="E85" s="25"/>
      <c r="F85" s="31"/>
      <c r="G85" s="32"/>
      <c r="H85" s="25"/>
      <c r="M85" s="25"/>
      <c r="N85" s="25"/>
      <c r="O85" s="25"/>
      <c r="S85" s="46"/>
      <c r="X85" s="25"/>
      <c r="AB85" s="25"/>
      <c r="AC85" s="31"/>
      <c r="AE85" s="25"/>
      <c r="AG85" s="25"/>
      <c r="AI85" s="25"/>
      <c r="AK85" s="25"/>
      <c r="AO85" s="51"/>
      <c r="AP85" s="51"/>
    </row>
    <row r="86" ht="15.75" customHeight="1">
      <c r="B86" s="25"/>
      <c r="C86" s="28"/>
      <c r="D86" s="30"/>
      <c r="E86" s="25"/>
      <c r="F86" s="31"/>
      <c r="G86" s="32"/>
      <c r="H86" s="25"/>
      <c r="I86" s="25"/>
      <c r="M86" s="25"/>
      <c r="N86" s="25"/>
      <c r="O86" s="25"/>
      <c r="R86" s="25"/>
      <c r="S86" s="46"/>
      <c r="T86" s="25"/>
      <c r="AB86" s="25"/>
      <c r="AC86" s="31"/>
      <c r="AE86" s="25"/>
      <c r="AG86" s="25"/>
      <c r="AK86" s="25"/>
      <c r="AO86" s="51"/>
      <c r="AP86" s="51"/>
    </row>
    <row r="87" ht="15.75" customHeight="1">
      <c r="B87" s="25"/>
      <c r="C87" s="28"/>
      <c r="D87" s="30"/>
      <c r="E87" s="25"/>
      <c r="F87" s="31"/>
      <c r="G87" s="32"/>
      <c r="H87" s="25"/>
      <c r="I87" s="25"/>
      <c r="L87" s="25"/>
      <c r="N87" s="25"/>
      <c r="O87" s="25"/>
      <c r="S87" s="46"/>
      <c r="T87" s="25"/>
      <c r="W87" s="25"/>
      <c r="AA87" s="25"/>
      <c r="AC87" s="31"/>
      <c r="AD87" s="25"/>
      <c r="AE87" s="25"/>
      <c r="AG87" s="25"/>
      <c r="AK87" s="25"/>
      <c r="AO87" s="51"/>
      <c r="AP87" s="51"/>
    </row>
    <row r="88" ht="15.75" customHeight="1">
      <c r="B88" s="25"/>
      <c r="C88" s="28"/>
      <c r="D88" s="30"/>
      <c r="E88" s="25"/>
      <c r="F88" s="31"/>
      <c r="G88" s="32"/>
      <c r="H88" s="25"/>
      <c r="L88" s="25"/>
      <c r="M88" s="25"/>
      <c r="N88" s="25"/>
      <c r="O88" s="25"/>
      <c r="S88" s="46"/>
      <c r="W88" s="25"/>
      <c r="X88" s="25"/>
      <c r="AA88" s="25"/>
      <c r="AC88" s="31"/>
      <c r="AD88" s="25"/>
      <c r="AG88" s="25"/>
      <c r="AI88" s="25"/>
      <c r="AK88" s="25"/>
      <c r="AO88" s="51"/>
      <c r="AP88" s="51"/>
    </row>
    <row r="89" ht="15.75" customHeight="1">
      <c r="B89" s="25"/>
      <c r="C89" s="28"/>
      <c r="D89" s="30"/>
      <c r="E89" s="25"/>
      <c r="F89" s="31"/>
      <c r="G89" s="32"/>
      <c r="H89" s="25"/>
      <c r="L89" s="25"/>
      <c r="M89" s="25"/>
      <c r="O89" s="25"/>
      <c r="S89" s="46"/>
      <c r="X89" s="25"/>
      <c r="AA89" s="25"/>
      <c r="AC89" s="31"/>
      <c r="AD89" s="25"/>
      <c r="AE89" s="25"/>
      <c r="AG89" s="25"/>
      <c r="AI89" s="25"/>
      <c r="AK89" s="25"/>
      <c r="AO89" s="51"/>
      <c r="AP89" s="51"/>
    </row>
    <row r="90" ht="15.75" customHeight="1">
      <c r="B90" s="25"/>
      <c r="C90" s="28"/>
      <c r="D90" s="30"/>
      <c r="E90" s="25"/>
      <c r="F90" s="31"/>
      <c r="G90" s="32"/>
      <c r="H90" s="25"/>
      <c r="L90" s="25"/>
      <c r="N90" s="25"/>
      <c r="O90" s="25"/>
      <c r="S90" s="46"/>
      <c r="W90" s="25"/>
      <c r="AC90" s="31"/>
      <c r="AE90" s="25"/>
      <c r="AG90" s="25"/>
      <c r="AH90" s="25"/>
      <c r="AK90" s="25"/>
      <c r="AO90" s="51"/>
      <c r="AP90" s="51"/>
    </row>
    <row r="91" ht="15.75" customHeight="1">
      <c r="B91" s="25"/>
      <c r="C91" s="28"/>
      <c r="D91" s="30"/>
      <c r="E91" s="25"/>
      <c r="F91" s="31"/>
      <c r="G91" s="32"/>
      <c r="H91" s="25"/>
      <c r="I91" s="25"/>
      <c r="M91" s="25"/>
      <c r="N91" s="25"/>
      <c r="O91" s="25"/>
      <c r="S91" s="46"/>
      <c r="T91" s="25"/>
      <c r="AB91" s="25"/>
      <c r="AC91" s="31"/>
      <c r="AE91" s="25"/>
      <c r="AG91" s="25"/>
      <c r="AK91" s="25"/>
      <c r="AO91" s="51"/>
      <c r="AP91" s="51"/>
    </row>
    <row r="92" ht="15.75" customHeight="1">
      <c r="B92" s="25"/>
      <c r="C92" s="28"/>
      <c r="D92" s="30"/>
      <c r="E92" s="25"/>
      <c r="F92" s="31"/>
      <c r="G92" s="32"/>
      <c r="H92" s="25"/>
      <c r="L92" s="25"/>
      <c r="M92" s="25"/>
      <c r="N92" s="25"/>
      <c r="O92" s="25"/>
      <c r="S92" s="46"/>
      <c r="W92" s="25"/>
      <c r="X92" s="25"/>
      <c r="AA92" s="25"/>
      <c r="AC92" s="31"/>
      <c r="AD92" s="25"/>
      <c r="AG92" s="25"/>
      <c r="AI92" s="25"/>
      <c r="AK92" s="25"/>
      <c r="AO92" s="51"/>
      <c r="AP92" s="51"/>
    </row>
    <row r="93" ht="15.75" customHeight="1">
      <c r="B93" s="25"/>
      <c r="C93" s="28"/>
      <c r="D93" s="30"/>
      <c r="E93" s="25"/>
      <c r="F93" s="31"/>
      <c r="G93" s="32"/>
      <c r="H93" s="25"/>
      <c r="M93" s="25"/>
      <c r="N93" s="25"/>
      <c r="O93" s="25"/>
      <c r="R93" s="25"/>
      <c r="S93" s="46"/>
      <c r="W93" s="25"/>
      <c r="X93" s="25"/>
      <c r="AB93" s="25"/>
      <c r="AC93" s="31"/>
      <c r="AE93" s="25"/>
      <c r="AG93" s="25"/>
      <c r="AI93" s="25"/>
      <c r="AK93" s="25"/>
      <c r="AO93" s="51"/>
      <c r="AP93" s="51"/>
    </row>
    <row r="94" ht="15.75" customHeight="1">
      <c r="B94" s="25"/>
      <c r="C94" s="28"/>
      <c r="D94" s="30"/>
      <c r="E94" s="25"/>
      <c r="F94" s="31"/>
      <c r="G94" s="32"/>
      <c r="H94" s="25"/>
      <c r="I94" s="25"/>
      <c r="L94" s="25"/>
      <c r="O94" s="25"/>
      <c r="S94" s="46"/>
      <c r="T94" s="25"/>
      <c r="W94" s="25"/>
      <c r="AA94" s="25"/>
      <c r="AC94" s="31"/>
      <c r="AD94" s="25"/>
      <c r="AE94" s="25"/>
      <c r="AG94" s="25"/>
      <c r="AK94" s="25"/>
      <c r="AO94" s="51"/>
      <c r="AP94" s="51"/>
    </row>
    <row r="95" ht="15.75" customHeight="1">
      <c r="B95" s="25"/>
      <c r="C95" s="28"/>
      <c r="D95" s="30"/>
      <c r="E95" s="25"/>
      <c r="F95" s="31"/>
      <c r="G95" s="32"/>
      <c r="H95" s="25"/>
      <c r="J95" s="25"/>
      <c r="L95" s="25"/>
      <c r="N95" s="25"/>
      <c r="O95" s="25"/>
      <c r="S95" s="46"/>
      <c r="U95" s="25"/>
      <c r="W95" s="25"/>
      <c r="AA95" s="25"/>
      <c r="AC95" s="31"/>
      <c r="AD95" s="25"/>
      <c r="AF95" s="25"/>
      <c r="AG95" s="25"/>
      <c r="AK95" s="25"/>
      <c r="AO95" s="51"/>
      <c r="AP95" s="51"/>
    </row>
    <row r="96" ht="15.75" customHeight="1">
      <c r="B96" s="25"/>
      <c r="C96" s="28"/>
      <c r="D96" s="30"/>
      <c r="E96" s="25"/>
      <c r="F96" s="31"/>
      <c r="G96" s="32"/>
      <c r="H96" s="25"/>
      <c r="I96" s="25"/>
      <c r="L96" s="25"/>
      <c r="O96" s="25"/>
      <c r="Q96" s="25"/>
      <c r="S96" s="46"/>
      <c r="T96" s="25"/>
      <c r="AA96" s="25"/>
      <c r="AC96" s="31"/>
      <c r="AD96" s="25"/>
      <c r="AE96" s="25"/>
      <c r="AG96" s="25"/>
      <c r="AK96" s="25"/>
      <c r="AN96" s="25"/>
      <c r="AO96" s="51"/>
      <c r="AP96" s="51"/>
    </row>
    <row r="97" ht="15.75" customHeight="1">
      <c r="B97" s="25"/>
      <c r="C97" s="28"/>
      <c r="D97" s="30"/>
      <c r="E97" s="25"/>
      <c r="F97" s="31"/>
      <c r="G97" s="32"/>
      <c r="H97" s="25"/>
      <c r="J97" s="25"/>
      <c r="M97" s="25"/>
      <c r="N97" s="25"/>
      <c r="O97" s="25"/>
      <c r="S97" s="46"/>
      <c r="U97" s="25"/>
      <c r="W97" s="25"/>
      <c r="AB97" s="25"/>
      <c r="AC97" s="31"/>
      <c r="AE97" s="25"/>
      <c r="AF97" s="25"/>
      <c r="AG97" s="25"/>
      <c r="AK97" s="25"/>
      <c r="AO97" s="51"/>
      <c r="AP97" s="51"/>
    </row>
    <row r="98" ht="15.75" customHeight="1">
      <c r="B98" s="25"/>
      <c r="C98" s="28"/>
      <c r="D98" s="30"/>
      <c r="E98" s="25"/>
      <c r="F98" s="31"/>
      <c r="G98" s="32"/>
      <c r="H98" s="25"/>
      <c r="L98" s="25"/>
      <c r="M98" s="25"/>
      <c r="N98" s="25"/>
      <c r="O98" s="25"/>
      <c r="R98" s="25"/>
      <c r="S98" s="46"/>
      <c r="W98" s="25"/>
      <c r="X98" s="25"/>
      <c r="AA98" s="25"/>
      <c r="AC98" s="31"/>
      <c r="AD98" s="25"/>
      <c r="AG98" s="25"/>
      <c r="AI98" s="25"/>
      <c r="AK98" s="25"/>
      <c r="AO98" s="51"/>
      <c r="AP98" s="51"/>
    </row>
    <row r="99" ht="15.75" customHeight="1">
      <c r="B99" s="25"/>
      <c r="C99" s="28"/>
      <c r="D99" s="30"/>
      <c r="E99" s="25"/>
      <c r="F99" s="31"/>
      <c r="G99" s="32"/>
      <c r="H99" s="25"/>
      <c r="M99" s="25"/>
      <c r="N99" s="25"/>
      <c r="O99" s="25"/>
      <c r="S99" s="46"/>
      <c r="W99" s="25"/>
      <c r="X99" s="25"/>
      <c r="AB99" s="25"/>
      <c r="AC99" s="31"/>
      <c r="AE99" s="25"/>
      <c r="AG99" s="25"/>
      <c r="AI99" s="25"/>
      <c r="AK99" s="25"/>
      <c r="AO99" s="51"/>
      <c r="AP99" s="51"/>
    </row>
    <row r="100" ht="15.75" customHeight="1">
      <c r="B100" s="25"/>
      <c r="C100" s="28"/>
      <c r="D100" s="63"/>
      <c r="E100" s="25"/>
      <c r="F100" s="31"/>
      <c r="G100" s="32"/>
      <c r="H100" s="25"/>
      <c r="L100" s="25"/>
      <c r="M100" s="25"/>
      <c r="O100" s="25"/>
      <c r="R100" s="25"/>
      <c r="S100" s="46"/>
      <c r="X100" s="25"/>
      <c r="AA100" s="25"/>
      <c r="AC100" s="31"/>
      <c r="AD100" s="25"/>
      <c r="AF100" s="25"/>
      <c r="AG100" s="25"/>
      <c r="AI100" s="25"/>
      <c r="AK100" s="25"/>
      <c r="AO100" s="51"/>
      <c r="AP100" s="51"/>
      <c r="AQ100" s="49"/>
    </row>
    <row r="101" ht="15.75" customHeight="1">
      <c r="B101" s="25"/>
      <c r="C101" s="28"/>
      <c r="D101" s="63"/>
      <c r="E101" s="25"/>
      <c r="F101" s="31"/>
      <c r="G101" s="32"/>
      <c r="H101" s="25"/>
      <c r="L101" s="25"/>
      <c r="M101" s="25"/>
      <c r="O101" s="25"/>
      <c r="R101" s="25"/>
      <c r="S101" s="46"/>
      <c r="X101" s="25"/>
      <c r="AA101" s="25"/>
      <c r="AC101" s="31"/>
      <c r="AD101" s="25"/>
      <c r="AG101" s="25"/>
      <c r="AI101" s="25"/>
      <c r="AK101" s="25"/>
      <c r="AO101" s="51"/>
      <c r="AP101" s="51"/>
      <c r="AQ101" s="49"/>
    </row>
    <row r="102" ht="15.75" customHeight="1">
      <c r="B102" s="25"/>
      <c r="C102" s="28"/>
      <c r="D102" s="30"/>
      <c r="E102" s="25"/>
      <c r="F102" s="31"/>
      <c r="G102" s="32"/>
      <c r="H102" s="25"/>
      <c r="I102" s="25"/>
      <c r="L102" s="25"/>
      <c r="O102" s="25"/>
      <c r="S102" s="46"/>
      <c r="T102" s="25"/>
      <c r="W102" s="25"/>
      <c r="AA102" s="25"/>
      <c r="AC102" s="31"/>
      <c r="AD102" s="25"/>
      <c r="AE102" s="25"/>
      <c r="AF102" s="25"/>
      <c r="AG102" s="25"/>
      <c r="AK102" s="25"/>
      <c r="AO102" s="51"/>
      <c r="AP102" s="51"/>
      <c r="AQ102" s="49"/>
    </row>
    <row r="103" ht="15.75" customHeight="1">
      <c r="B103" s="25"/>
      <c r="C103" s="28"/>
      <c r="D103" s="30"/>
      <c r="E103" s="25"/>
      <c r="F103" s="31"/>
      <c r="G103" s="32"/>
      <c r="H103" s="25"/>
      <c r="J103" s="25"/>
      <c r="L103" s="25"/>
      <c r="N103" s="25"/>
      <c r="O103" s="25"/>
      <c r="Q103" s="25"/>
      <c r="S103" s="46"/>
      <c r="Y103" s="25"/>
      <c r="AA103" s="25"/>
      <c r="AB103" s="25"/>
      <c r="AC103" s="31"/>
      <c r="AD103" s="25"/>
      <c r="AE103" s="25"/>
      <c r="AG103" s="25"/>
      <c r="AK103" s="25"/>
      <c r="AM103" s="25"/>
      <c r="AO103" s="51"/>
      <c r="AP103" s="51"/>
    </row>
    <row r="104" ht="15.75" customHeight="1">
      <c r="B104" s="25"/>
      <c r="C104" s="28"/>
      <c r="D104" s="30"/>
      <c r="E104" s="25"/>
      <c r="F104" s="31"/>
      <c r="G104" s="32"/>
      <c r="H104" s="25"/>
      <c r="J104" s="25"/>
      <c r="L104" s="25"/>
      <c r="M104" s="25"/>
      <c r="N104" s="25"/>
      <c r="O104" s="25"/>
      <c r="S104" s="46"/>
      <c r="U104" s="25"/>
      <c r="W104" s="25"/>
      <c r="X104" s="25"/>
      <c r="AA104" s="25"/>
      <c r="AC104" s="31"/>
      <c r="AD104" s="25"/>
      <c r="AF104" s="25"/>
      <c r="AG104" s="25"/>
      <c r="AI104" s="25"/>
      <c r="AK104" s="25"/>
      <c r="AO104" s="51"/>
      <c r="AP104" s="51"/>
    </row>
    <row r="105" ht="15.75" customHeight="1">
      <c r="B105" s="25"/>
      <c r="C105" s="28"/>
      <c r="D105" s="30"/>
      <c r="E105" s="25"/>
      <c r="F105" s="31"/>
      <c r="G105" s="32"/>
      <c r="H105" s="25"/>
      <c r="L105" s="25"/>
      <c r="M105" s="25"/>
      <c r="O105" s="25"/>
      <c r="S105" s="46"/>
      <c r="W105" s="25"/>
      <c r="X105" s="25"/>
      <c r="AA105" s="25"/>
      <c r="AC105" s="31"/>
      <c r="AD105" s="25"/>
      <c r="AG105" s="25"/>
      <c r="AI105" s="25"/>
      <c r="AK105" s="25"/>
      <c r="AO105" s="51"/>
      <c r="AP105" s="51"/>
    </row>
    <row r="106" ht="15.75" customHeight="1">
      <c r="B106" s="25"/>
      <c r="C106" s="28"/>
      <c r="D106" s="30"/>
      <c r="E106" s="25"/>
      <c r="F106" s="31"/>
      <c r="G106" s="32"/>
      <c r="H106" s="25"/>
      <c r="L106" s="25"/>
      <c r="M106" s="25"/>
      <c r="N106" s="25"/>
      <c r="O106" s="25"/>
      <c r="Q106" s="25"/>
      <c r="R106" s="25"/>
      <c r="S106" s="46"/>
      <c r="AA106" s="25"/>
      <c r="AC106" s="31"/>
      <c r="AD106" s="25"/>
      <c r="AG106" s="25"/>
      <c r="AK106" s="25"/>
      <c r="AN106" s="25"/>
      <c r="AO106" s="51"/>
      <c r="AP106" s="51"/>
    </row>
    <row r="107" ht="15.75" customHeight="1">
      <c r="B107" s="25"/>
      <c r="C107" s="28"/>
      <c r="D107" s="30"/>
      <c r="E107" s="25"/>
      <c r="F107" s="31"/>
      <c r="G107" s="32"/>
      <c r="H107" s="25"/>
      <c r="L107" s="25"/>
      <c r="M107" s="25"/>
      <c r="N107" s="25"/>
      <c r="O107" s="25"/>
      <c r="R107" s="25"/>
      <c r="S107" s="46"/>
      <c r="W107" s="25"/>
      <c r="X107" s="25"/>
      <c r="AA107" s="25"/>
      <c r="AC107" s="31"/>
      <c r="AD107" s="25"/>
      <c r="AG107" s="25"/>
      <c r="AI107" s="25"/>
      <c r="AK107" s="25"/>
      <c r="AO107" s="51"/>
      <c r="AP107" s="51"/>
    </row>
    <row r="108" ht="15.75" customHeight="1">
      <c r="B108" s="25"/>
      <c r="C108" s="28"/>
      <c r="D108" s="63"/>
      <c r="E108" s="25"/>
      <c r="F108" s="31"/>
      <c r="G108" s="32"/>
      <c r="H108" s="25"/>
      <c r="M108" s="25"/>
      <c r="N108" s="25"/>
      <c r="O108" s="25"/>
      <c r="R108" s="25"/>
      <c r="S108" s="46"/>
      <c r="W108" s="25"/>
      <c r="X108" s="25"/>
      <c r="AB108" s="25"/>
      <c r="AC108" s="31"/>
      <c r="AE108" s="25"/>
      <c r="AG108" s="25"/>
      <c r="AI108" s="25"/>
      <c r="AK108" s="25"/>
      <c r="AO108" s="51"/>
      <c r="AP108" s="51"/>
      <c r="AQ108" s="49"/>
    </row>
    <row r="109" ht="15.75" customHeight="1">
      <c r="B109" s="25"/>
      <c r="C109" s="28"/>
      <c r="D109" s="63"/>
      <c r="E109" s="25"/>
      <c r="F109" s="31"/>
      <c r="G109" s="32"/>
      <c r="H109" s="25"/>
      <c r="J109" s="25"/>
      <c r="M109" s="25"/>
      <c r="O109" s="25"/>
      <c r="R109" s="25"/>
      <c r="S109" s="46"/>
      <c r="U109" s="25"/>
      <c r="AB109" s="25"/>
      <c r="AC109" s="31"/>
      <c r="AE109" s="25"/>
      <c r="AF109" s="25"/>
      <c r="AG109" s="25"/>
      <c r="AK109" s="25"/>
      <c r="AO109" s="51"/>
      <c r="AP109" s="51"/>
      <c r="AQ109" s="49"/>
    </row>
    <row r="110" ht="15.75" customHeight="1">
      <c r="B110" s="25"/>
      <c r="C110" s="28"/>
      <c r="D110" s="30"/>
      <c r="E110" s="25"/>
      <c r="F110" s="31"/>
      <c r="G110" s="32"/>
      <c r="H110" s="25"/>
      <c r="I110" s="25"/>
      <c r="L110" s="25"/>
      <c r="N110" s="25"/>
      <c r="O110" s="25"/>
      <c r="R110" s="25"/>
      <c r="S110" s="46"/>
      <c r="T110" s="25"/>
      <c r="W110" s="25"/>
      <c r="AA110" s="25"/>
      <c r="AC110" s="31"/>
      <c r="AD110" s="25"/>
      <c r="AE110" s="25"/>
      <c r="AG110" s="25"/>
      <c r="AK110" s="25"/>
      <c r="AO110" s="51"/>
      <c r="AP110" s="51"/>
    </row>
    <row r="111" ht="15.75" customHeight="1">
      <c r="B111" s="25"/>
      <c r="C111" s="28"/>
      <c r="D111" s="30"/>
      <c r="E111" s="25"/>
      <c r="F111" s="31"/>
      <c r="G111" s="32"/>
      <c r="H111" s="25"/>
      <c r="J111" s="25"/>
      <c r="M111" s="25"/>
      <c r="O111" s="25"/>
      <c r="Q111" s="25"/>
      <c r="S111" s="46"/>
      <c r="U111" s="25"/>
      <c r="W111" s="25"/>
      <c r="X111" s="25"/>
      <c r="AB111" s="25"/>
      <c r="AC111" s="31"/>
      <c r="AE111" s="25"/>
      <c r="AF111" s="25"/>
      <c r="AG111" s="25"/>
      <c r="AI111" s="25"/>
      <c r="AK111" s="25"/>
      <c r="AM111" s="25"/>
      <c r="AO111" s="51"/>
      <c r="AP111" s="51"/>
    </row>
    <row r="112" ht="15.75" customHeight="1">
      <c r="B112" s="25"/>
      <c r="C112" s="28"/>
      <c r="D112" s="30"/>
      <c r="E112" s="25"/>
      <c r="F112" s="31"/>
      <c r="G112" s="32"/>
      <c r="H112" s="25"/>
      <c r="J112" s="25"/>
      <c r="L112" s="25"/>
      <c r="N112" s="25"/>
      <c r="O112" s="25"/>
      <c r="S112" s="46"/>
      <c r="U112" s="25"/>
      <c r="W112" s="25"/>
      <c r="AA112" s="25"/>
      <c r="AC112" s="31"/>
      <c r="AD112" s="25"/>
      <c r="AF112" s="25"/>
      <c r="AG112" s="25"/>
      <c r="AK112" s="25"/>
      <c r="AO112" s="51"/>
      <c r="AP112" s="51"/>
    </row>
    <row r="113" ht="15.75" customHeight="1">
      <c r="B113" s="25"/>
      <c r="C113" s="28"/>
      <c r="D113" s="30"/>
      <c r="E113" s="25"/>
      <c r="F113" s="31"/>
      <c r="G113" s="32"/>
      <c r="H113" s="25"/>
      <c r="J113" s="25"/>
      <c r="M113" s="25"/>
      <c r="N113" s="25"/>
      <c r="O113" s="25"/>
      <c r="S113" s="46"/>
      <c r="U113" s="25"/>
      <c r="AB113" s="25"/>
      <c r="AC113" s="31"/>
      <c r="AE113" s="25"/>
      <c r="AF113" s="25"/>
      <c r="AG113" s="25"/>
      <c r="AK113" s="25"/>
      <c r="AO113" s="51"/>
      <c r="AP113" s="51"/>
    </row>
    <row r="114" ht="15.75" customHeight="1">
      <c r="B114" s="25"/>
      <c r="C114" s="28"/>
      <c r="D114" s="30"/>
      <c r="E114" s="25"/>
      <c r="F114" s="31"/>
      <c r="G114" s="32"/>
      <c r="H114" s="25"/>
      <c r="L114" s="25"/>
      <c r="M114" s="25"/>
      <c r="N114" s="25"/>
      <c r="O114" s="25"/>
      <c r="S114" s="46"/>
      <c r="W114" s="25"/>
      <c r="X114" s="25"/>
      <c r="AA114" s="25"/>
      <c r="AC114" s="31"/>
      <c r="AD114" s="25"/>
      <c r="AG114" s="25"/>
      <c r="AI114" s="25"/>
      <c r="AK114" s="25"/>
      <c r="AO114" s="51"/>
      <c r="AP114" s="51"/>
    </row>
    <row r="115" ht="15.75" customHeight="1">
      <c r="B115" s="25"/>
      <c r="C115" s="28"/>
      <c r="D115" s="30"/>
      <c r="E115" s="25"/>
      <c r="F115" s="31"/>
      <c r="G115" s="32"/>
      <c r="H115" s="25"/>
      <c r="K115" s="25"/>
      <c r="M115" s="25"/>
      <c r="O115" s="25"/>
      <c r="S115" s="46"/>
      <c r="W115" s="25"/>
      <c r="X115" s="25"/>
      <c r="Z115" s="25"/>
      <c r="AC115" s="31"/>
      <c r="AG115" s="25"/>
      <c r="AI115" s="25"/>
      <c r="AK115" s="25"/>
      <c r="AN115" s="25"/>
      <c r="AO115" s="51"/>
      <c r="AP115" s="51"/>
    </row>
    <row r="116" ht="15.75" customHeight="1">
      <c r="B116" s="25"/>
      <c r="C116" s="28"/>
      <c r="D116" s="30"/>
      <c r="E116" s="25"/>
      <c r="F116" s="31"/>
      <c r="G116" s="32"/>
      <c r="H116" s="25"/>
      <c r="I116" s="25"/>
      <c r="M116" s="25"/>
      <c r="N116" s="25"/>
      <c r="O116" s="25"/>
      <c r="S116" s="46"/>
      <c r="T116" s="25"/>
      <c r="W116" s="25"/>
      <c r="AB116" s="25"/>
      <c r="AC116" s="31"/>
      <c r="AE116" s="25"/>
      <c r="AG116" s="25"/>
      <c r="AK116" s="25"/>
      <c r="AO116" s="51"/>
      <c r="AP116" s="51"/>
    </row>
    <row r="117" ht="15.75" customHeight="1">
      <c r="B117" s="25"/>
      <c r="C117" s="28"/>
      <c r="D117" s="30"/>
      <c r="E117" s="25"/>
      <c r="F117" s="31"/>
      <c r="G117" s="32"/>
      <c r="H117" s="25"/>
      <c r="J117" s="25"/>
      <c r="L117" s="25"/>
      <c r="N117" s="25"/>
      <c r="O117" s="25"/>
      <c r="S117" s="46"/>
      <c r="U117" s="25"/>
      <c r="W117" s="25"/>
      <c r="AA117" s="25"/>
      <c r="AC117" s="31"/>
      <c r="AD117" s="25"/>
      <c r="AF117" s="25"/>
      <c r="AG117" s="25"/>
      <c r="AK117" s="25"/>
      <c r="AO117" s="51"/>
      <c r="AP117" s="51"/>
    </row>
    <row r="118" ht="15.75" customHeight="1">
      <c r="B118" s="25"/>
      <c r="C118" s="28"/>
      <c r="D118" s="30"/>
      <c r="E118" s="25"/>
      <c r="F118" s="31"/>
      <c r="G118" s="32"/>
      <c r="H118" s="25"/>
      <c r="L118" s="25"/>
      <c r="M118" s="25"/>
      <c r="N118" s="25"/>
      <c r="O118" s="25"/>
      <c r="R118" s="25"/>
      <c r="S118" s="46"/>
      <c r="W118" s="25"/>
      <c r="X118" s="25"/>
      <c r="AA118" s="25"/>
      <c r="AC118" s="31"/>
      <c r="AD118" s="25"/>
      <c r="AG118" s="25"/>
      <c r="AI118" s="25"/>
      <c r="AK118" s="25"/>
      <c r="AO118" s="51"/>
      <c r="AP118" s="51"/>
    </row>
    <row r="119" ht="15.75" customHeight="1">
      <c r="B119" s="25"/>
      <c r="C119" s="28"/>
      <c r="D119" s="30"/>
      <c r="E119" s="25"/>
      <c r="F119" s="31"/>
      <c r="G119" s="32"/>
      <c r="H119" s="25"/>
      <c r="L119" s="25"/>
      <c r="M119" s="25"/>
      <c r="O119" s="25"/>
      <c r="R119" s="25"/>
      <c r="S119" s="46"/>
      <c r="X119" s="25"/>
      <c r="AA119" s="25"/>
      <c r="AC119" s="31"/>
      <c r="AD119" s="25"/>
      <c r="AG119" s="25"/>
      <c r="AI119" s="25"/>
      <c r="AK119" s="25"/>
      <c r="AO119" s="51"/>
      <c r="AP119" s="51"/>
    </row>
    <row r="120" ht="15.75" customHeight="1">
      <c r="B120" s="25"/>
      <c r="C120" s="28"/>
      <c r="D120" s="30"/>
      <c r="E120" s="25"/>
      <c r="F120" s="31"/>
      <c r="G120" s="32"/>
      <c r="H120" s="25"/>
      <c r="I120" s="25"/>
      <c r="K120" s="25"/>
      <c r="O120" s="25"/>
      <c r="R120" s="25"/>
      <c r="S120" s="46"/>
      <c r="T120" s="25"/>
      <c r="Z120" s="25"/>
      <c r="AC120" s="31"/>
      <c r="AE120" s="25"/>
      <c r="AG120" s="25"/>
      <c r="AK120" s="25"/>
      <c r="AN120" s="25"/>
      <c r="AO120" s="51"/>
      <c r="AP120" s="51"/>
    </row>
    <row r="121" ht="15.75" customHeight="1">
      <c r="B121" s="25"/>
      <c r="C121" s="28"/>
      <c r="D121" s="30"/>
      <c r="E121" s="25"/>
      <c r="F121" s="31"/>
      <c r="G121" s="32"/>
      <c r="H121" s="25"/>
      <c r="I121" s="25"/>
      <c r="L121" s="25"/>
      <c r="N121" s="25"/>
      <c r="O121" s="25"/>
      <c r="R121" s="25"/>
      <c r="S121" s="46"/>
      <c r="T121" s="25"/>
      <c r="W121" s="25"/>
      <c r="AA121" s="25"/>
      <c r="AC121" s="31"/>
      <c r="AD121" s="25"/>
      <c r="AE121" s="25"/>
      <c r="AG121" s="25"/>
      <c r="AK121" s="25"/>
      <c r="AO121" s="51"/>
      <c r="AP121" s="51"/>
    </row>
    <row r="122" ht="15.75" customHeight="1">
      <c r="B122" s="25"/>
      <c r="C122" s="28"/>
      <c r="D122" s="30"/>
      <c r="E122" s="25"/>
      <c r="F122" s="31"/>
      <c r="G122" s="32"/>
      <c r="H122" s="25"/>
      <c r="I122" s="25"/>
      <c r="O122" s="25"/>
      <c r="R122" s="25"/>
      <c r="S122" s="46"/>
      <c r="T122" s="25"/>
      <c r="W122" s="25"/>
      <c r="X122" s="25"/>
      <c r="AC122" s="31"/>
      <c r="AE122" s="25"/>
      <c r="AG122" s="25"/>
      <c r="AK122" s="25"/>
      <c r="AL122" s="25"/>
      <c r="AO122" s="51"/>
      <c r="AP122" s="51"/>
    </row>
    <row r="123" ht="15.75" customHeight="1">
      <c r="B123" s="25"/>
      <c r="C123" s="28"/>
      <c r="D123" s="30"/>
      <c r="E123" s="25"/>
      <c r="F123" s="31"/>
      <c r="G123" s="32"/>
      <c r="H123" s="25"/>
      <c r="K123" s="25"/>
      <c r="L123" s="25"/>
      <c r="O123" s="25"/>
      <c r="R123" s="25"/>
      <c r="S123" s="46"/>
      <c r="V123" s="25"/>
      <c r="W123" s="25"/>
      <c r="AA123" s="25"/>
      <c r="AC123" s="31"/>
      <c r="AD123" s="25"/>
      <c r="AG123" s="25"/>
      <c r="AK123" s="25"/>
      <c r="AO123" s="51"/>
      <c r="AP123" s="51"/>
    </row>
    <row r="124" ht="15.75" customHeight="1">
      <c r="B124" s="25"/>
      <c r="C124" s="28"/>
      <c r="D124" s="30"/>
      <c r="E124" s="25"/>
      <c r="F124" s="31"/>
      <c r="G124" s="32"/>
      <c r="H124" s="25"/>
      <c r="J124" s="25"/>
      <c r="L124" s="25"/>
      <c r="M124" s="25"/>
      <c r="O124" s="25"/>
      <c r="R124" s="25"/>
      <c r="S124" s="46"/>
      <c r="X124" s="25"/>
      <c r="Y124" s="25"/>
      <c r="AA124" s="25"/>
      <c r="AC124" s="31"/>
      <c r="AD124" s="25"/>
      <c r="AG124" s="25"/>
      <c r="AI124" s="25"/>
      <c r="AK124" s="25"/>
      <c r="AM124" s="25"/>
      <c r="AO124" s="51"/>
      <c r="AP124" s="51"/>
    </row>
    <row r="125" ht="15.75" customHeight="1">
      <c r="B125" s="25"/>
      <c r="C125" s="28"/>
      <c r="D125" s="30"/>
      <c r="E125" s="25"/>
      <c r="F125" s="31"/>
      <c r="G125" s="32"/>
      <c r="H125" s="25"/>
      <c r="I125" s="25"/>
      <c r="N125" s="25"/>
      <c r="O125" s="25"/>
      <c r="R125" s="25"/>
      <c r="S125" s="46"/>
      <c r="W125" s="25"/>
      <c r="X125" s="25"/>
      <c r="AC125" s="31"/>
      <c r="AG125" s="25"/>
      <c r="AK125" s="25"/>
      <c r="AL125" s="25"/>
      <c r="AN125" s="25"/>
      <c r="AO125" s="51"/>
      <c r="AP125" s="51"/>
    </row>
    <row r="126" ht="15.75" customHeight="1">
      <c r="B126" s="25"/>
      <c r="C126" s="28"/>
      <c r="D126" s="30"/>
      <c r="E126" s="25"/>
      <c r="F126" s="31"/>
      <c r="G126" s="32"/>
      <c r="H126" s="25"/>
      <c r="M126" s="25"/>
      <c r="N126" s="25"/>
      <c r="O126" s="25"/>
      <c r="S126" s="46"/>
      <c r="W126" s="25"/>
      <c r="X126" s="25"/>
      <c r="AB126" s="25"/>
      <c r="AC126" s="31"/>
      <c r="AE126" s="25"/>
      <c r="AG126" s="25"/>
      <c r="AI126" s="25"/>
      <c r="AK126" s="25"/>
      <c r="AO126" s="51"/>
      <c r="AP126" s="51"/>
    </row>
    <row r="127" ht="15.75" customHeight="1">
      <c r="B127" s="25"/>
      <c r="C127" s="28"/>
      <c r="D127" s="30"/>
      <c r="E127" s="25"/>
      <c r="F127" s="31"/>
      <c r="G127" s="32"/>
      <c r="H127" s="25"/>
      <c r="M127" s="25"/>
      <c r="O127" s="25"/>
      <c r="R127" s="25"/>
      <c r="S127" s="46"/>
      <c r="AB127" s="25"/>
      <c r="AC127" s="31"/>
      <c r="AE127" s="25"/>
      <c r="AG127" s="25"/>
      <c r="AK127" s="25"/>
      <c r="AN127" s="25"/>
      <c r="AO127" s="51"/>
      <c r="AP127" s="51"/>
    </row>
    <row r="128" ht="15.75" customHeight="1">
      <c r="B128" s="25"/>
      <c r="C128" s="28"/>
      <c r="D128" s="30"/>
      <c r="E128" s="25"/>
      <c r="F128" s="31"/>
      <c r="G128" s="32"/>
      <c r="H128" s="25"/>
      <c r="I128" s="25"/>
      <c r="O128" s="25"/>
      <c r="R128" s="25"/>
      <c r="S128" s="46"/>
      <c r="X128" s="25"/>
      <c r="AC128" s="31"/>
      <c r="AE128" s="25"/>
      <c r="AG128" s="25"/>
      <c r="AK128" s="25"/>
      <c r="AL128" s="25"/>
      <c r="AN128" s="25"/>
      <c r="AO128" s="51"/>
      <c r="AP128" s="51"/>
    </row>
    <row r="129" ht="15.75" customHeight="1">
      <c r="B129" s="25"/>
      <c r="C129" s="28"/>
      <c r="D129" s="30"/>
      <c r="E129" s="25"/>
      <c r="F129" s="31"/>
      <c r="G129" s="32"/>
      <c r="H129" s="25"/>
      <c r="L129" s="25"/>
      <c r="M129" s="25"/>
      <c r="O129" s="25"/>
      <c r="S129" s="46"/>
      <c r="V129" s="25"/>
      <c r="X129" s="25"/>
      <c r="AA129" s="25"/>
      <c r="AC129" s="31"/>
      <c r="AD129" s="25"/>
      <c r="AG129" s="25"/>
      <c r="AI129" s="25"/>
      <c r="AK129" s="25"/>
      <c r="AO129" s="51"/>
      <c r="AP129" s="51"/>
    </row>
    <row r="130" ht="15.75" customHeight="1">
      <c r="B130" s="25"/>
      <c r="C130" s="28"/>
      <c r="D130" s="30"/>
      <c r="E130" s="25"/>
      <c r="F130" s="31"/>
      <c r="G130" s="32"/>
      <c r="H130" s="25"/>
      <c r="L130" s="25"/>
      <c r="O130" s="25"/>
      <c r="R130" s="25"/>
      <c r="S130" s="46"/>
      <c r="W130" s="25"/>
      <c r="AA130" s="25"/>
      <c r="AC130" s="31"/>
      <c r="AD130" s="25"/>
      <c r="AG130" s="25"/>
      <c r="AK130" s="25"/>
      <c r="AN130" s="25"/>
      <c r="AO130" s="51"/>
      <c r="AP130" s="51"/>
    </row>
    <row r="131" ht="15.75" customHeight="1">
      <c r="B131" s="25"/>
      <c r="C131" s="28"/>
      <c r="D131" s="30"/>
      <c r="E131" s="25"/>
      <c r="F131" s="31"/>
      <c r="G131" s="32"/>
      <c r="H131" s="25"/>
      <c r="J131" s="25"/>
      <c r="L131" s="25"/>
      <c r="O131" s="25"/>
      <c r="R131" s="25"/>
      <c r="S131" s="46"/>
      <c r="U131" s="25"/>
      <c r="W131" s="25"/>
      <c r="AA131" s="25"/>
      <c r="AC131" s="31"/>
      <c r="AD131" s="25"/>
      <c r="AF131" s="25"/>
      <c r="AG131" s="25"/>
      <c r="AK131" s="25"/>
      <c r="AO131" s="51"/>
      <c r="AP131" s="51"/>
    </row>
    <row r="132" ht="15.75" customHeight="1">
      <c r="B132" s="25"/>
      <c r="C132" s="28"/>
      <c r="D132" s="30"/>
      <c r="E132" s="25"/>
      <c r="F132" s="31"/>
      <c r="G132" s="32"/>
      <c r="H132" s="25"/>
      <c r="J132" s="25"/>
      <c r="L132" s="25"/>
      <c r="O132" s="25"/>
      <c r="R132" s="25"/>
      <c r="S132" s="46"/>
      <c r="U132" s="25"/>
      <c r="W132" s="25"/>
      <c r="AA132" s="25"/>
      <c r="AC132" s="31"/>
      <c r="AD132" s="25"/>
      <c r="AF132" s="25"/>
      <c r="AG132" s="25"/>
      <c r="AK132" s="25"/>
      <c r="AO132" s="51"/>
      <c r="AP132" s="51"/>
    </row>
    <row r="133" ht="15.75" customHeight="1">
      <c r="B133" s="25"/>
      <c r="C133" s="28"/>
      <c r="D133" s="30"/>
      <c r="E133" s="25"/>
      <c r="F133" s="31"/>
      <c r="G133" s="32"/>
      <c r="H133" s="25"/>
      <c r="I133" s="25"/>
      <c r="N133" s="25"/>
      <c r="O133" s="25"/>
      <c r="R133" s="25"/>
      <c r="S133" s="46"/>
      <c r="W133" s="25"/>
      <c r="X133" s="25"/>
      <c r="AC133" s="31"/>
      <c r="AG133" s="25"/>
      <c r="AK133" s="25"/>
      <c r="AL133" s="25"/>
      <c r="AN133" s="25"/>
      <c r="AO133" s="51"/>
      <c r="AP133" s="51"/>
    </row>
    <row r="134" ht="15.75" customHeight="1">
      <c r="B134" s="25"/>
      <c r="C134" s="28"/>
      <c r="D134" s="30"/>
      <c r="E134" s="25"/>
      <c r="F134" s="31"/>
      <c r="G134" s="32"/>
      <c r="H134" s="25"/>
      <c r="J134" s="25"/>
      <c r="L134" s="25"/>
      <c r="O134" s="25"/>
      <c r="R134" s="25"/>
      <c r="S134" s="46"/>
      <c r="U134" s="25"/>
      <c r="W134" s="25"/>
      <c r="AA134" s="25"/>
      <c r="AC134" s="31"/>
      <c r="AD134" s="25"/>
      <c r="AF134" s="25"/>
      <c r="AG134" s="25"/>
      <c r="AK134" s="25"/>
      <c r="AO134" s="51"/>
      <c r="AP134" s="51"/>
    </row>
    <row r="135" ht="15.75" customHeight="1">
      <c r="B135" s="25"/>
      <c r="C135" s="28"/>
      <c r="D135" s="30"/>
      <c r="E135" s="25"/>
      <c r="F135" s="31"/>
      <c r="G135" s="32"/>
      <c r="H135" s="25"/>
      <c r="I135" s="25"/>
      <c r="M135" s="25"/>
      <c r="N135" s="25"/>
      <c r="O135" s="25"/>
      <c r="S135" s="46"/>
      <c r="W135" s="25"/>
      <c r="X135" s="25"/>
      <c r="AC135" s="31"/>
      <c r="AG135" s="25"/>
      <c r="AI135" s="25"/>
      <c r="AK135" s="25"/>
      <c r="AL135" s="25"/>
      <c r="AO135" s="51"/>
      <c r="AP135" s="51"/>
    </row>
    <row r="136" ht="15.75" customHeight="1">
      <c r="B136" s="25"/>
      <c r="C136" s="28"/>
      <c r="D136" s="30"/>
      <c r="E136" s="25"/>
      <c r="F136" s="31"/>
      <c r="G136" s="32"/>
      <c r="H136" s="25"/>
      <c r="J136" s="25"/>
      <c r="L136" s="25"/>
      <c r="N136" s="25"/>
      <c r="O136" s="25"/>
      <c r="R136" s="25"/>
      <c r="S136" s="46"/>
      <c r="U136" s="25"/>
      <c r="W136" s="25"/>
      <c r="AA136" s="25"/>
      <c r="AC136" s="31"/>
      <c r="AD136" s="25"/>
      <c r="AF136" s="25"/>
      <c r="AG136" s="25"/>
      <c r="AK136" s="25"/>
      <c r="AO136" s="51"/>
      <c r="AP136" s="51"/>
    </row>
    <row r="137" ht="15.75" customHeight="1">
      <c r="B137" s="25"/>
      <c r="C137" s="28"/>
      <c r="D137" s="30"/>
      <c r="E137" s="25"/>
      <c r="F137" s="31"/>
      <c r="G137" s="32"/>
      <c r="H137" s="25"/>
      <c r="L137" s="25"/>
      <c r="M137" s="25"/>
      <c r="N137" s="25"/>
      <c r="O137" s="25"/>
      <c r="R137" s="25"/>
      <c r="S137" s="46"/>
      <c r="W137" s="25"/>
      <c r="X137" s="25"/>
      <c r="AA137" s="25"/>
      <c r="AC137" s="31"/>
      <c r="AD137" s="25"/>
      <c r="AG137" s="25"/>
      <c r="AI137" s="25"/>
      <c r="AK137" s="25"/>
      <c r="AO137" s="51"/>
      <c r="AP137" s="51"/>
    </row>
    <row r="138" ht="15.75" customHeight="1">
      <c r="B138" s="25"/>
      <c r="C138" s="28"/>
      <c r="D138" s="30"/>
      <c r="E138" s="25"/>
      <c r="F138" s="31"/>
      <c r="G138" s="32"/>
      <c r="H138" s="25"/>
      <c r="I138" s="25"/>
      <c r="M138" s="25"/>
      <c r="N138" s="25"/>
      <c r="O138" s="25"/>
      <c r="R138" s="25"/>
      <c r="S138" s="46"/>
      <c r="X138" s="25"/>
      <c r="AC138" s="31"/>
      <c r="AG138" s="25"/>
      <c r="AI138" s="25"/>
      <c r="AK138" s="25"/>
      <c r="AL138" s="25"/>
      <c r="AO138" s="51"/>
      <c r="AP138" s="51"/>
    </row>
    <row r="139" ht="15.75" customHeight="1">
      <c r="B139" s="25"/>
      <c r="C139" s="28"/>
      <c r="D139" s="30"/>
      <c r="E139" s="25"/>
      <c r="F139" s="31"/>
      <c r="G139" s="32"/>
      <c r="H139" s="25"/>
      <c r="M139" s="25"/>
      <c r="O139" s="25"/>
      <c r="R139" s="25"/>
      <c r="S139" s="46"/>
      <c r="X139" s="25"/>
      <c r="AB139" s="25"/>
      <c r="AC139" s="31"/>
      <c r="AE139" s="25"/>
      <c r="AG139" s="25"/>
      <c r="AI139" s="25"/>
      <c r="AK139" s="25"/>
      <c r="AO139" s="51"/>
      <c r="AP139" s="51"/>
    </row>
    <row r="140" ht="15.75" customHeight="1">
      <c r="B140" s="25"/>
      <c r="C140" s="28"/>
      <c r="D140" s="30"/>
      <c r="E140" s="25"/>
      <c r="F140" s="31"/>
      <c r="G140" s="32"/>
      <c r="H140" s="25"/>
      <c r="I140" s="25"/>
      <c r="K140" s="25"/>
      <c r="N140" s="25"/>
      <c r="O140" s="25"/>
      <c r="S140" s="46"/>
      <c r="T140" s="25"/>
      <c r="W140" s="25"/>
      <c r="Z140" s="25"/>
      <c r="AC140" s="31"/>
      <c r="AE140" s="25"/>
      <c r="AG140" s="25"/>
      <c r="AK140" s="25"/>
      <c r="AN140" s="25"/>
      <c r="AO140" s="51"/>
      <c r="AP140" s="51"/>
    </row>
    <row r="141" ht="15.75" customHeight="1">
      <c r="B141" s="25"/>
      <c r="C141" s="28"/>
      <c r="D141" s="30"/>
      <c r="E141" s="25"/>
      <c r="F141" s="31"/>
      <c r="G141" s="32"/>
      <c r="H141" s="25"/>
      <c r="J141" s="25"/>
      <c r="L141" s="25"/>
      <c r="O141" s="25"/>
      <c r="S141" s="46"/>
      <c r="U141" s="25"/>
      <c r="W141" s="25"/>
      <c r="AA141" s="25"/>
      <c r="AC141" s="31"/>
      <c r="AD141" s="25"/>
      <c r="AF141" s="25"/>
      <c r="AG141" s="25"/>
      <c r="AK141" s="25"/>
      <c r="AO141" s="51"/>
      <c r="AP141" s="51"/>
    </row>
    <row r="142" ht="15.75" customHeight="1">
      <c r="B142" s="25"/>
      <c r="C142" s="28"/>
      <c r="D142" s="30"/>
      <c r="E142" s="25"/>
      <c r="F142" s="31"/>
      <c r="G142" s="32"/>
      <c r="H142" s="25"/>
      <c r="K142" s="25"/>
      <c r="M142" s="25"/>
      <c r="O142" s="25"/>
      <c r="S142" s="46"/>
      <c r="X142" s="25"/>
      <c r="Z142" s="25"/>
      <c r="AC142" s="31"/>
      <c r="AG142" s="25"/>
      <c r="AI142" s="25"/>
      <c r="AJ142" s="25"/>
      <c r="AK142" s="25"/>
      <c r="AN142" s="25"/>
      <c r="AO142" s="51"/>
      <c r="AP142" s="51"/>
    </row>
    <row r="143" ht="15.75" customHeight="1">
      <c r="B143" s="25"/>
      <c r="C143" s="28"/>
      <c r="D143" s="30"/>
      <c r="E143" s="25"/>
      <c r="F143" s="31"/>
      <c r="G143" s="32"/>
      <c r="H143" s="25"/>
      <c r="J143" s="25"/>
      <c r="L143" s="25"/>
      <c r="M143" s="25"/>
      <c r="N143" s="25"/>
      <c r="O143" s="25"/>
      <c r="R143" s="25"/>
      <c r="S143" s="46"/>
      <c r="X143" s="25"/>
      <c r="Y143" s="25"/>
      <c r="AA143" s="25"/>
      <c r="AC143" s="31"/>
      <c r="AD143" s="25"/>
      <c r="AG143" s="25"/>
      <c r="AI143" s="25"/>
      <c r="AK143" s="25"/>
      <c r="AM143" s="25"/>
      <c r="AO143" s="51"/>
      <c r="AP143" s="51"/>
    </row>
    <row r="144" ht="15.75" customHeight="1">
      <c r="B144" s="25"/>
      <c r="C144" s="28"/>
      <c r="D144" s="30"/>
      <c r="E144" s="25"/>
      <c r="F144" s="31"/>
      <c r="G144" s="32"/>
      <c r="H144" s="25"/>
      <c r="L144" s="25"/>
      <c r="M144" s="25"/>
      <c r="O144" s="25"/>
      <c r="R144" s="25"/>
      <c r="S144" s="46"/>
      <c r="X144" s="25"/>
      <c r="AA144" s="25"/>
      <c r="AC144" s="31"/>
      <c r="AD144" s="25"/>
      <c r="AG144" s="25"/>
      <c r="AI144" s="25"/>
      <c r="AK144" s="25"/>
      <c r="AO144" s="51"/>
      <c r="AP144" s="51"/>
    </row>
    <row r="145" ht="15.75" customHeight="1">
      <c r="B145" s="25"/>
      <c r="C145" s="28"/>
      <c r="D145" s="30"/>
      <c r="E145" s="25"/>
      <c r="F145" s="31"/>
      <c r="G145" s="32"/>
      <c r="H145" s="25"/>
      <c r="L145" s="25"/>
      <c r="M145" s="25"/>
      <c r="N145" s="25"/>
      <c r="O145" s="25"/>
      <c r="R145" s="25"/>
      <c r="S145" s="46"/>
      <c r="W145" s="25"/>
      <c r="X145" s="25"/>
      <c r="AA145" s="25"/>
      <c r="AC145" s="31"/>
      <c r="AD145" s="25"/>
      <c r="AG145" s="25"/>
      <c r="AI145" s="25"/>
      <c r="AK145" s="25"/>
      <c r="AO145" s="51"/>
      <c r="AP145" s="51"/>
    </row>
    <row r="146" ht="15.75" customHeight="1">
      <c r="B146" s="25"/>
      <c r="C146" s="28"/>
      <c r="D146" s="30"/>
      <c r="E146" s="25"/>
      <c r="F146" s="31"/>
      <c r="G146" s="32"/>
      <c r="H146" s="25"/>
      <c r="J146" s="25"/>
      <c r="L146" s="25"/>
      <c r="M146" s="25"/>
      <c r="O146" s="25"/>
      <c r="R146" s="25"/>
      <c r="S146" s="46"/>
      <c r="W146" s="25"/>
      <c r="X146" s="25"/>
      <c r="Y146" s="25"/>
      <c r="AA146" s="25"/>
      <c r="AC146" s="31"/>
      <c r="AD146" s="25"/>
      <c r="AG146" s="25"/>
      <c r="AI146" s="25"/>
      <c r="AK146" s="25"/>
      <c r="AM146" s="25"/>
      <c r="AO146" s="51"/>
      <c r="AP146" s="51"/>
    </row>
    <row r="147" ht="15.75" customHeight="1">
      <c r="B147" s="25"/>
      <c r="C147" s="28"/>
      <c r="D147" s="30"/>
      <c r="E147" s="25"/>
      <c r="F147" s="31"/>
      <c r="G147" s="32"/>
      <c r="H147" s="25"/>
      <c r="J147" s="25"/>
      <c r="L147" s="25"/>
      <c r="N147" s="25"/>
      <c r="O147" s="25"/>
      <c r="S147" s="46"/>
      <c r="U147" s="25"/>
      <c r="W147" s="25"/>
      <c r="Y147" s="25"/>
      <c r="AA147" s="25"/>
      <c r="AC147" s="31"/>
      <c r="AD147" s="25"/>
      <c r="AF147" s="25"/>
      <c r="AG147" s="25"/>
      <c r="AK147" s="25"/>
      <c r="AM147" s="25"/>
      <c r="AO147" s="51"/>
      <c r="AP147" s="51"/>
    </row>
    <row r="148" ht="15.75" customHeight="1">
      <c r="B148" s="25"/>
      <c r="C148" s="28"/>
      <c r="D148" s="30"/>
      <c r="E148" s="25"/>
      <c r="F148" s="31"/>
      <c r="G148" s="32"/>
      <c r="H148" s="25"/>
      <c r="I148" s="25"/>
      <c r="J148" s="25"/>
      <c r="L148" s="25"/>
      <c r="N148" s="25"/>
      <c r="O148" s="25"/>
      <c r="S148" s="46"/>
      <c r="T148" s="25"/>
      <c r="W148" s="25"/>
      <c r="Y148" s="25"/>
      <c r="AA148" s="25"/>
      <c r="AC148" s="31"/>
      <c r="AD148" s="25"/>
      <c r="AE148" s="25"/>
      <c r="AG148" s="25"/>
      <c r="AK148" s="25"/>
      <c r="AM148" s="25"/>
      <c r="AO148" s="51"/>
      <c r="AP148" s="51"/>
    </row>
    <row r="149" ht="15.75" customHeight="1">
      <c r="B149" s="25"/>
      <c r="C149" s="28"/>
      <c r="D149" s="30"/>
      <c r="E149" s="25"/>
      <c r="F149" s="31"/>
      <c r="G149" s="32"/>
      <c r="H149" s="25"/>
      <c r="I149" s="25"/>
      <c r="M149" s="25"/>
      <c r="O149" s="25"/>
      <c r="S149" s="46"/>
      <c r="T149" s="25"/>
      <c r="V149" s="25"/>
      <c r="W149" s="25"/>
      <c r="AB149" s="25"/>
      <c r="AC149" s="31"/>
      <c r="AE149" s="25"/>
      <c r="AG149" s="25"/>
      <c r="AK149" s="25"/>
      <c r="AO149" s="51"/>
      <c r="AP149" s="51"/>
    </row>
    <row r="150" ht="15.75" customHeight="1">
      <c r="B150" s="25"/>
      <c r="C150" s="28"/>
      <c r="D150" s="30"/>
      <c r="E150" s="25"/>
      <c r="F150" s="31"/>
      <c r="G150" s="32"/>
      <c r="H150" s="25"/>
      <c r="L150" s="25"/>
      <c r="O150" s="25"/>
      <c r="R150" s="25"/>
      <c r="S150" s="46"/>
      <c r="W150" s="25"/>
      <c r="AA150" s="25"/>
      <c r="AC150" s="31"/>
      <c r="AD150" s="25"/>
      <c r="AG150" s="25"/>
      <c r="AK150" s="25"/>
      <c r="AN150" s="25"/>
      <c r="AO150" s="51"/>
      <c r="AP150" s="51"/>
    </row>
    <row r="151" ht="15.75" customHeight="1">
      <c r="B151" s="25"/>
      <c r="C151" s="28"/>
      <c r="D151" s="30"/>
      <c r="E151" s="25"/>
      <c r="F151" s="31"/>
      <c r="G151" s="32"/>
      <c r="H151" s="25"/>
      <c r="J151" s="25"/>
      <c r="M151" s="25"/>
      <c r="O151" s="25"/>
      <c r="R151" s="25"/>
      <c r="S151" s="46"/>
      <c r="U151" s="25"/>
      <c r="W151" s="25"/>
      <c r="AB151" s="25"/>
      <c r="AC151" s="31"/>
      <c r="AE151" s="25"/>
      <c r="AF151" s="25"/>
      <c r="AG151" s="25"/>
      <c r="AK151" s="25"/>
      <c r="AO151" s="51"/>
      <c r="AP151" s="51"/>
    </row>
    <row r="152" ht="15.75" customHeight="1">
      <c r="B152" s="25"/>
      <c r="C152" s="28"/>
      <c r="D152" s="30"/>
      <c r="E152" s="25"/>
      <c r="F152" s="31"/>
      <c r="G152" s="32"/>
      <c r="H152" s="25"/>
      <c r="M152" s="25"/>
      <c r="O152" s="25"/>
      <c r="R152" s="25"/>
      <c r="S152" s="46"/>
      <c r="X152" s="25"/>
      <c r="AB152" s="25"/>
      <c r="AC152" s="31"/>
      <c r="AE152" s="25"/>
      <c r="AG152" s="25"/>
      <c r="AI152" s="25"/>
      <c r="AK152" s="25"/>
      <c r="AO152" s="51"/>
      <c r="AP152" s="51"/>
    </row>
    <row r="153" ht="15.75" customHeight="1">
      <c r="B153" s="25"/>
      <c r="C153" s="28"/>
      <c r="D153" s="63"/>
      <c r="E153" s="25"/>
      <c r="F153" s="31"/>
      <c r="G153" s="32"/>
      <c r="H153" s="25"/>
      <c r="I153" s="25"/>
      <c r="M153" s="25"/>
      <c r="N153" s="25"/>
      <c r="O153" s="25"/>
      <c r="S153" s="46"/>
      <c r="T153" s="25"/>
      <c r="AB153" s="25"/>
      <c r="AC153" s="31"/>
      <c r="AE153" s="25"/>
      <c r="AG153" s="25"/>
      <c r="AK153" s="25"/>
      <c r="AO153" s="51"/>
      <c r="AP153" s="51"/>
      <c r="AQ153" s="49"/>
    </row>
    <row r="154" ht="15.75" customHeight="1">
      <c r="B154" s="25"/>
      <c r="C154" s="28"/>
      <c r="D154" s="30"/>
      <c r="E154" s="25"/>
      <c r="F154" s="31"/>
      <c r="G154" s="32"/>
      <c r="H154" s="25"/>
      <c r="M154" s="25"/>
      <c r="O154" s="25"/>
      <c r="S154" s="46"/>
      <c r="W154" s="25"/>
      <c r="X154" s="25"/>
      <c r="AB154" s="25"/>
      <c r="AC154" s="31"/>
      <c r="AE154" s="25"/>
      <c r="AG154" s="25"/>
      <c r="AI154" s="25"/>
      <c r="AK154" s="25"/>
      <c r="AO154" s="51"/>
      <c r="AP154" s="51"/>
    </row>
    <row r="155" ht="15.75" customHeight="1">
      <c r="B155" s="25"/>
      <c r="C155" s="28"/>
      <c r="D155" s="30"/>
      <c r="E155" s="25"/>
      <c r="F155" s="31"/>
      <c r="G155" s="32"/>
      <c r="H155" s="25"/>
      <c r="M155" s="25"/>
      <c r="N155" s="25"/>
      <c r="O155" s="25"/>
      <c r="R155" s="25"/>
      <c r="S155" s="46"/>
      <c r="W155" s="25"/>
      <c r="AB155" s="25"/>
      <c r="AC155" s="31"/>
      <c r="AE155" s="25"/>
      <c r="AG155" s="25"/>
      <c r="AK155" s="25"/>
      <c r="AN155" s="25"/>
      <c r="AO155" s="51"/>
      <c r="AP155" s="51"/>
    </row>
    <row r="156" ht="15.75" customHeight="1">
      <c r="B156" s="25"/>
      <c r="C156" s="28"/>
      <c r="D156" s="30"/>
      <c r="E156" s="25"/>
      <c r="F156" s="31"/>
      <c r="G156" s="32"/>
      <c r="H156" s="25"/>
      <c r="L156" s="25"/>
      <c r="M156" s="25"/>
      <c r="O156" s="25"/>
      <c r="Q156" s="25"/>
      <c r="S156" s="46"/>
      <c r="X156" s="25"/>
      <c r="AA156" s="25"/>
      <c r="AC156" s="31"/>
      <c r="AD156" s="25"/>
      <c r="AE156" s="25"/>
      <c r="AG156" s="25"/>
      <c r="AI156" s="25"/>
      <c r="AK156" s="25"/>
      <c r="AN156" s="25"/>
      <c r="AO156" s="51"/>
      <c r="AP156" s="51"/>
    </row>
    <row r="157" ht="15.75" customHeight="1">
      <c r="B157" s="25"/>
      <c r="C157" s="28"/>
      <c r="D157" s="30"/>
      <c r="E157" s="25"/>
      <c r="F157" s="31"/>
      <c r="G157" s="32"/>
      <c r="H157" s="25"/>
      <c r="I157" s="25"/>
      <c r="L157" s="25"/>
      <c r="N157" s="25"/>
      <c r="O157" s="25"/>
      <c r="S157" s="46"/>
      <c r="T157" s="25"/>
      <c r="AA157" s="25"/>
      <c r="AC157" s="31"/>
      <c r="AD157" s="25"/>
      <c r="AE157" s="25"/>
      <c r="AG157" s="25"/>
      <c r="AJ157" s="25"/>
      <c r="AK157" s="25"/>
      <c r="AO157" s="51"/>
      <c r="AP157" s="51"/>
    </row>
    <row r="158" ht="15.75" customHeight="1">
      <c r="B158" s="25"/>
      <c r="C158" s="28"/>
      <c r="D158" s="30"/>
      <c r="E158" s="25"/>
      <c r="F158" s="31"/>
      <c r="G158" s="32"/>
      <c r="H158" s="25"/>
      <c r="I158" s="25"/>
      <c r="M158" s="25"/>
      <c r="N158" s="25"/>
      <c r="O158" s="25"/>
      <c r="S158" s="46"/>
      <c r="T158" s="25"/>
      <c r="W158" s="25"/>
      <c r="AB158" s="25"/>
      <c r="AC158" s="31"/>
      <c r="AE158" s="25"/>
      <c r="AG158" s="25"/>
      <c r="AK158" s="25"/>
      <c r="AO158" s="51"/>
      <c r="AP158" s="51"/>
    </row>
    <row r="159" ht="15.75" customHeight="1">
      <c r="B159" s="25"/>
      <c r="C159" s="28"/>
      <c r="D159" s="30"/>
      <c r="E159" s="25"/>
      <c r="F159" s="31"/>
      <c r="G159" s="32"/>
      <c r="H159" s="25"/>
      <c r="L159" s="25"/>
      <c r="M159" s="25"/>
      <c r="N159" s="25"/>
      <c r="O159" s="25"/>
      <c r="Q159" s="25"/>
      <c r="R159" s="25"/>
      <c r="S159" s="46"/>
      <c r="W159" s="25"/>
      <c r="X159" s="25"/>
      <c r="AA159" s="25"/>
      <c r="AB159" s="25"/>
      <c r="AC159" s="31"/>
      <c r="AD159" s="25"/>
      <c r="AG159" s="25"/>
      <c r="AI159" s="25"/>
      <c r="AK159" s="25"/>
      <c r="AM159" s="25"/>
      <c r="AO159" s="51"/>
      <c r="AP159" s="51"/>
    </row>
    <row r="160" ht="15.75" customHeight="1">
      <c r="B160" s="25"/>
      <c r="C160" s="28"/>
      <c r="D160" s="30"/>
      <c r="E160" s="25"/>
      <c r="F160" s="31"/>
      <c r="G160" s="32"/>
      <c r="H160" s="25"/>
      <c r="K160" s="25"/>
      <c r="O160" s="25"/>
      <c r="S160" s="46"/>
      <c r="V160" s="25"/>
      <c r="Z160" s="25"/>
      <c r="AC160" s="31"/>
      <c r="AE160" s="25"/>
      <c r="AG160" s="25"/>
      <c r="AK160" s="25"/>
      <c r="AN160" s="25"/>
      <c r="AO160" s="51"/>
      <c r="AP160" s="51"/>
    </row>
    <row r="161" ht="15.75" customHeight="1">
      <c r="B161" s="25"/>
      <c r="C161" s="28"/>
      <c r="D161" s="30"/>
      <c r="E161" s="25"/>
      <c r="F161" s="31"/>
      <c r="G161" s="32"/>
      <c r="H161" s="25"/>
      <c r="M161" s="25"/>
      <c r="O161" s="25"/>
      <c r="S161" s="46"/>
      <c r="X161" s="25"/>
      <c r="AB161" s="25"/>
      <c r="AC161" s="31"/>
      <c r="AE161" s="25"/>
      <c r="AG161" s="25"/>
      <c r="AI161" s="25"/>
      <c r="AK161" s="25"/>
      <c r="AO161" s="51"/>
      <c r="AP161" s="51"/>
    </row>
    <row r="162" ht="15.75" customHeight="1">
      <c r="B162" s="25"/>
      <c r="C162" s="28"/>
      <c r="D162" s="30"/>
      <c r="E162" s="25"/>
      <c r="F162" s="31"/>
      <c r="G162" s="32"/>
      <c r="H162" s="25"/>
      <c r="J162" s="25"/>
      <c r="L162" s="25"/>
      <c r="N162" s="25"/>
      <c r="O162" s="25"/>
      <c r="R162" s="25"/>
      <c r="S162" s="46"/>
      <c r="U162" s="25"/>
      <c r="W162" s="25"/>
      <c r="AA162" s="25"/>
      <c r="AC162" s="31"/>
      <c r="AD162" s="25"/>
      <c r="AF162" s="25"/>
      <c r="AG162" s="25"/>
      <c r="AK162" s="25"/>
      <c r="AO162" s="51"/>
      <c r="AP162" s="51"/>
    </row>
    <row r="163" ht="15.75" customHeight="1">
      <c r="B163" s="25"/>
      <c r="C163" s="28"/>
      <c r="D163" s="30"/>
      <c r="E163" s="25"/>
      <c r="F163" s="31"/>
      <c r="G163" s="32"/>
      <c r="H163" s="25"/>
      <c r="J163" s="25"/>
      <c r="L163" s="25"/>
      <c r="O163" s="25"/>
      <c r="S163" s="46"/>
      <c r="U163" s="25"/>
      <c r="W163" s="25"/>
      <c r="AA163" s="25"/>
      <c r="AC163" s="31"/>
      <c r="AD163" s="25"/>
      <c r="AF163" s="25"/>
      <c r="AG163" s="25"/>
      <c r="AK163" s="25"/>
      <c r="AO163" s="51"/>
      <c r="AP163" s="51"/>
    </row>
    <row r="164" ht="15.75" customHeight="1">
      <c r="B164" s="25"/>
      <c r="C164" s="28"/>
      <c r="D164" s="30"/>
      <c r="E164" s="25"/>
      <c r="F164" s="31"/>
      <c r="G164" s="32"/>
      <c r="H164" s="25"/>
      <c r="M164" s="25"/>
      <c r="N164" s="25"/>
      <c r="O164" s="25"/>
      <c r="R164" s="25"/>
      <c r="S164" s="46"/>
      <c r="AB164" s="25"/>
      <c r="AC164" s="31"/>
      <c r="AE164" s="25"/>
      <c r="AG164" s="25"/>
      <c r="AK164" s="25"/>
      <c r="AN164" s="25"/>
      <c r="AO164" s="51"/>
      <c r="AP164" s="51"/>
    </row>
    <row r="165" ht="15.75" customHeight="1">
      <c r="B165" s="25"/>
      <c r="C165" s="28"/>
      <c r="D165" s="30"/>
      <c r="E165" s="25"/>
      <c r="F165" s="31"/>
      <c r="G165" s="32"/>
      <c r="H165" s="25"/>
      <c r="I165" s="25"/>
      <c r="L165" s="25"/>
      <c r="N165" s="25"/>
      <c r="O165" s="25"/>
      <c r="S165" s="46"/>
      <c r="T165" s="25"/>
      <c r="W165" s="25"/>
      <c r="AA165" s="25"/>
      <c r="AC165" s="31"/>
      <c r="AD165" s="25"/>
      <c r="AE165" s="25"/>
      <c r="AG165" s="25"/>
      <c r="AK165" s="25"/>
      <c r="AO165" s="51"/>
      <c r="AP165" s="51"/>
    </row>
    <row r="166" ht="15.75" customHeight="1">
      <c r="B166" s="25"/>
      <c r="C166" s="28"/>
      <c r="D166" s="30"/>
      <c r="E166" s="25"/>
      <c r="F166" s="31"/>
      <c r="G166" s="32"/>
      <c r="H166" s="25"/>
      <c r="L166" s="25"/>
      <c r="M166" s="25"/>
      <c r="N166" s="25"/>
      <c r="O166" s="25"/>
      <c r="S166" s="46"/>
      <c r="X166" s="25"/>
      <c r="AA166" s="25"/>
      <c r="AC166" s="31"/>
      <c r="AD166" s="25"/>
      <c r="AE166" s="25"/>
      <c r="AG166" s="25"/>
      <c r="AI166" s="25"/>
      <c r="AK166" s="25"/>
      <c r="AO166" s="51"/>
      <c r="AP166" s="51"/>
    </row>
    <row r="167" ht="15.75" customHeight="1">
      <c r="B167" s="25"/>
      <c r="C167" s="28"/>
      <c r="D167" s="30"/>
      <c r="E167" s="25"/>
      <c r="F167" s="31"/>
      <c r="G167" s="32"/>
      <c r="H167" s="25"/>
      <c r="J167" s="25"/>
      <c r="M167" s="25"/>
      <c r="N167" s="25"/>
      <c r="O167" s="25"/>
      <c r="S167" s="46"/>
      <c r="U167" s="25"/>
      <c r="AB167" s="25"/>
      <c r="AC167" s="31"/>
      <c r="AE167" s="25"/>
      <c r="AF167" s="25"/>
      <c r="AG167" s="25"/>
      <c r="AK167" s="25"/>
      <c r="AO167" s="51"/>
      <c r="AP167" s="51"/>
    </row>
    <row r="168" ht="15.75" customHeight="1">
      <c r="B168" s="25"/>
      <c r="C168" s="28"/>
      <c r="D168" s="63"/>
      <c r="E168" s="25"/>
      <c r="F168" s="31"/>
      <c r="G168" s="32"/>
      <c r="H168" s="25"/>
      <c r="L168" s="25"/>
      <c r="M168" s="25"/>
      <c r="O168" s="25"/>
      <c r="Q168" s="64"/>
      <c r="R168" s="25"/>
      <c r="S168" s="46"/>
      <c r="W168" s="25"/>
      <c r="X168" s="25"/>
      <c r="AA168" s="25"/>
      <c r="AB168" s="25"/>
      <c r="AC168" s="31"/>
      <c r="AD168" s="25"/>
      <c r="AE168" s="25"/>
      <c r="AG168" s="25"/>
      <c r="AI168" s="25"/>
      <c r="AJ168" s="25"/>
      <c r="AK168" s="25"/>
      <c r="AO168" s="51"/>
      <c r="AP168" s="51"/>
      <c r="AQ168" s="49"/>
    </row>
    <row r="169" ht="15.75" customHeight="1">
      <c r="B169" s="25"/>
      <c r="C169" s="28"/>
      <c r="D169" s="63"/>
      <c r="E169" s="25"/>
      <c r="F169" s="31"/>
      <c r="G169" s="32"/>
      <c r="H169" s="25"/>
      <c r="L169" s="25"/>
      <c r="M169" s="25"/>
      <c r="O169" s="25"/>
      <c r="R169" s="25"/>
      <c r="S169" s="46"/>
      <c r="W169" s="25"/>
      <c r="X169" s="25"/>
      <c r="AA169" s="25"/>
      <c r="AC169" s="31"/>
      <c r="AD169" s="25"/>
      <c r="AG169" s="25"/>
      <c r="AI169" s="25"/>
      <c r="AK169" s="25"/>
      <c r="AO169" s="51"/>
      <c r="AP169" s="51"/>
      <c r="AQ169" s="49"/>
    </row>
    <row r="170" ht="15.75" customHeight="1">
      <c r="B170" s="25"/>
      <c r="C170" s="28"/>
      <c r="D170" s="63"/>
      <c r="E170" s="25"/>
      <c r="F170" s="31"/>
      <c r="G170" s="32"/>
      <c r="H170" s="25"/>
      <c r="L170" s="25"/>
      <c r="M170" s="25"/>
      <c r="N170" s="25"/>
      <c r="O170" s="25"/>
      <c r="R170" s="25"/>
      <c r="S170" s="46"/>
      <c r="X170" s="25"/>
      <c r="AA170" s="25"/>
      <c r="AC170" s="31"/>
      <c r="AD170" s="25"/>
      <c r="AG170" s="25"/>
      <c r="AI170" s="25"/>
      <c r="AK170" s="25"/>
      <c r="AO170" s="51"/>
      <c r="AP170" s="51"/>
      <c r="AQ170" s="49"/>
    </row>
    <row r="171" ht="15.75" customHeight="1">
      <c r="B171" s="25"/>
      <c r="C171" s="28"/>
      <c r="D171" s="63"/>
      <c r="E171" s="25"/>
      <c r="F171" s="31"/>
      <c r="G171" s="32"/>
      <c r="H171" s="25"/>
      <c r="L171" s="25"/>
      <c r="M171" s="25"/>
      <c r="O171" s="25"/>
      <c r="R171" s="25"/>
      <c r="S171" s="46"/>
      <c r="X171" s="25"/>
      <c r="AA171" s="25"/>
      <c r="AC171" s="31"/>
      <c r="AD171" s="25"/>
      <c r="AG171" s="25"/>
      <c r="AI171" s="25"/>
      <c r="AK171" s="25"/>
      <c r="AO171" s="51"/>
      <c r="AP171" s="51"/>
      <c r="AQ171" s="49"/>
    </row>
    <row r="172" ht="15.75" customHeight="1">
      <c r="B172" s="25"/>
      <c r="C172" s="28"/>
      <c r="D172" s="63"/>
      <c r="E172" s="25"/>
      <c r="F172" s="31"/>
      <c r="G172" s="32"/>
      <c r="H172" s="25"/>
      <c r="L172" s="25"/>
      <c r="M172" s="25"/>
      <c r="N172" s="25"/>
      <c r="O172" s="25"/>
      <c r="S172" s="46"/>
      <c r="X172" s="25"/>
      <c r="AA172" s="25"/>
      <c r="AC172" s="31"/>
      <c r="AD172" s="25"/>
      <c r="AE172" s="25"/>
      <c r="AG172" s="25"/>
      <c r="AI172" s="25"/>
      <c r="AK172" s="25"/>
      <c r="AO172" s="51"/>
      <c r="AP172" s="51"/>
      <c r="AQ172" s="49"/>
    </row>
    <row r="173" ht="15.75" customHeight="1">
      <c r="B173" s="25"/>
      <c r="C173" s="28"/>
      <c r="D173" s="63"/>
      <c r="E173" s="25"/>
      <c r="F173" s="31"/>
      <c r="G173" s="32"/>
      <c r="H173" s="25"/>
      <c r="J173" s="25"/>
      <c r="L173" s="25"/>
      <c r="O173" s="25"/>
      <c r="S173" s="46"/>
      <c r="U173" s="25"/>
      <c r="W173" s="25"/>
      <c r="AA173" s="25"/>
      <c r="AC173" s="31"/>
      <c r="AD173" s="25"/>
      <c r="AF173" s="25"/>
      <c r="AG173" s="25"/>
      <c r="AK173" s="25"/>
      <c r="AO173" s="51"/>
      <c r="AP173" s="51"/>
      <c r="AQ173" s="49"/>
    </row>
    <row r="174" ht="15.75" customHeight="1">
      <c r="B174" s="25"/>
      <c r="C174" s="28"/>
      <c r="D174" s="63"/>
      <c r="E174" s="25"/>
      <c r="F174" s="31"/>
      <c r="G174" s="32"/>
      <c r="H174" s="25"/>
      <c r="L174" s="25"/>
      <c r="M174" s="25"/>
      <c r="O174" s="25"/>
      <c r="S174" s="46"/>
      <c r="W174" s="25"/>
      <c r="X174" s="25"/>
      <c r="AA174" s="25"/>
      <c r="AC174" s="31"/>
      <c r="AD174" s="25"/>
      <c r="AF174" s="25"/>
      <c r="AG174" s="25"/>
      <c r="AI174" s="25"/>
      <c r="AK174" s="25"/>
      <c r="AO174" s="51"/>
      <c r="AP174" s="51"/>
      <c r="AQ174" s="49"/>
    </row>
    <row r="175" ht="15.75" customHeight="1">
      <c r="B175" s="25"/>
      <c r="C175" s="28"/>
      <c r="D175" s="30"/>
      <c r="E175" s="25"/>
      <c r="F175" s="31"/>
      <c r="G175" s="32"/>
      <c r="H175" s="25"/>
      <c r="L175" s="25"/>
      <c r="M175" s="25"/>
      <c r="O175" s="25"/>
      <c r="S175" s="46"/>
      <c r="W175" s="25"/>
      <c r="X175" s="25"/>
      <c r="AA175" s="25"/>
      <c r="AC175" s="31"/>
      <c r="AD175" s="25"/>
      <c r="AG175" s="25"/>
      <c r="AI175" s="25"/>
      <c r="AK175" s="25"/>
      <c r="AO175" s="51"/>
      <c r="AP175" s="51"/>
      <c r="AQ175" s="49"/>
    </row>
    <row r="176" ht="15.75" customHeight="1">
      <c r="B176" s="25"/>
      <c r="C176" s="28"/>
      <c r="D176" s="30"/>
      <c r="E176" s="25"/>
      <c r="F176" s="31"/>
      <c r="G176" s="32"/>
      <c r="H176" s="25"/>
      <c r="J176" s="25"/>
      <c r="L176" s="25"/>
      <c r="N176" s="25"/>
      <c r="O176" s="25"/>
      <c r="R176" s="25"/>
      <c r="S176" s="46"/>
      <c r="U176" s="25"/>
      <c r="AA176" s="25"/>
      <c r="AC176" s="31"/>
      <c r="AD176" s="25"/>
      <c r="AF176" s="25"/>
      <c r="AG176" s="25"/>
      <c r="AK176" s="25"/>
      <c r="AO176" s="51"/>
      <c r="AP176" s="51"/>
    </row>
    <row r="177" ht="15.75" customHeight="1">
      <c r="B177" s="25"/>
      <c r="C177" s="28"/>
      <c r="D177" s="30"/>
      <c r="E177" s="25"/>
      <c r="F177" s="31"/>
      <c r="G177" s="32"/>
      <c r="H177" s="25"/>
      <c r="J177" s="25"/>
      <c r="L177" s="25"/>
      <c r="N177" s="25"/>
      <c r="O177" s="25"/>
      <c r="R177" s="25"/>
      <c r="S177" s="46"/>
      <c r="U177" s="25"/>
      <c r="W177" s="25"/>
      <c r="AA177" s="25"/>
      <c r="AC177" s="31"/>
      <c r="AD177" s="25"/>
      <c r="AF177" s="25"/>
      <c r="AG177" s="25"/>
      <c r="AK177" s="25"/>
      <c r="AO177" s="51"/>
      <c r="AP177" s="51"/>
    </row>
    <row r="178" ht="15.75" customHeight="1">
      <c r="B178" s="25"/>
      <c r="C178" s="28"/>
      <c r="D178" s="30"/>
      <c r="E178" s="25"/>
      <c r="F178" s="31"/>
      <c r="G178" s="32"/>
      <c r="H178" s="25"/>
      <c r="L178" s="25"/>
      <c r="M178" s="25"/>
      <c r="O178" s="25"/>
      <c r="R178" s="25"/>
      <c r="S178" s="46"/>
      <c r="W178" s="25"/>
      <c r="X178" s="25"/>
      <c r="AA178" s="25"/>
      <c r="AC178" s="31"/>
      <c r="AD178" s="25"/>
      <c r="AG178" s="25"/>
      <c r="AI178" s="25"/>
      <c r="AK178" s="25"/>
      <c r="AO178" s="51"/>
      <c r="AP178" s="51"/>
    </row>
    <row r="179" ht="15.75" customHeight="1">
      <c r="B179" s="25"/>
      <c r="C179" s="28"/>
      <c r="D179" s="30"/>
      <c r="E179" s="25"/>
      <c r="F179" s="31"/>
      <c r="G179" s="32"/>
      <c r="H179" s="25"/>
      <c r="L179" s="25"/>
      <c r="M179" s="25"/>
      <c r="O179" s="25"/>
      <c r="S179" s="46"/>
      <c r="X179" s="25"/>
      <c r="AA179" s="25"/>
      <c r="AC179" s="31"/>
      <c r="AD179" s="25"/>
      <c r="AE179" s="25"/>
      <c r="AG179" s="25"/>
      <c r="AI179" s="25"/>
      <c r="AK179" s="25"/>
      <c r="AO179" s="51"/>
      <c r="AP179" s="51"/>
    </row>
    <row r="180" ht="15.75" customHeight="1">
      <c r="B180" s="25"/>
      <c r="C180" s="28"/>
      <c r="D180" s="30"/>
      <c r="E180" s="25"/>
      <c r="F180" s="31"/>
      <c r="G180" s="32"/>
      <c r="H180" s="25"/>
      <c r="I180" s="25"/>
      <c r="L180" s="25"/>
      <c r="N180" s="25"/>
      <c r="O180" s="25"/>
      <c r="S180" s="46"/>
      <c r="T180" s="25"/>
      <c r="AA180" s="25"/>
      <c r="AC180" s="31"/>
      <c r="AD180" s="25"/>
      <c r="AE180" s="25"/>
      <c r="AG180" s="25"/>
      <c r="AK180" s="25"/>
      <c r="AO180" s="51"/>
      <c r="AP180" s="51"/>
    </row>
    <row r="181" ht="15.75" customHeight="1">
      <c r="B181" s="25"/>
      <c r="C181" s="28"/>
      <c r="D181" s="30"/>
      <c r="E181" s="25"/>
      <c r="F181" s="31"/>
      <c r="G181" s="32"/>
      <c r="H181" s="25"/>
      <c r="L181" s="25"/>
      <c r="M181" s="25"/>
      <c r="N181" s="25"/>
      <c r="O181" s="25"/>
      <c r="Q181" s="25"/>
      <c r="S181" s="46"/>
      <c r="X181" s="25"/>
      <c r="AA181" s="25"/>
      <c r="AC181" s="31"/>
      <c r="AD181" s="25"/>
      <c r="AE181" s="25"/>
      <c r="AG181" s="25"/>
      <c r="AI181" s="25"/>
      <c r="AK181" s="25"/>
      <c r="AN181" s="25"/>
      <c r="AO181" s="51"/>
      <c r="AP181" s="51"/>
    </row>
    <row r="182" ht="15.75" customHeight="1">
      <c r="B182" s="25"/>
      <c r="C182" s="28"/>
      <c r="D182" s="30"/>
      <c r="E182" s="25"/>
      <c r="F182" s="31"/>
      <c r="G182" s="32"/>
      <c r="H182" s="25"/>
      <c r="I182" s="25"/>
      <c r="L182" s="25"/>
      <c r="N182" s="25"/>
      <c r="O182" s="25"/>
      <c r="R182" s="25"/>
      <c r="S182" s="46"/>
      <c r="T182" s="25"/>
      <c r="W182" s="25"/>
      <c r="AA182" s="25"/>
      <c r="AC182" s="31"/>
      <c r="AD182" s="25"/>
      <c r="AE182" s="25"/>
      <c r="AG182" s="25"/>
      <c r="AK182" s="25"/>
      <c r="AO182" s="51"/>
      <c r="AP182" s="51"/>
    </row>
    <row r="183" ht="15.75" customHeight="1">
      <c r="B183" s="25"/>
      <c r="C183" s="28"/>
      <c r="D183" s="30"/>
      <c r="E183" s="25"/>
      <c r="F183" s="31"/>
      <c r="G183" s="32"/>
      <c r="H183" s="25"/>
      <c r="L183" s="25"/>
      <c r="N183" s="25"/>
      <c r="O183" s="25"/>
      <c r="R183" s="25"/>
      <c r="S183" s="46"/>
      <c r="W183" s="25"/>
      <c r="AA183" s="25"/>
      <c r="AC183" s="31"/>
      <c r="AD183" s="25"/>
      <c r="AG183" s="25"/>
      <c r="AK183" s="25"/>
      <c r="AN183" s="25"/>
      <c r="AO183" s="51"/>
      <c r="AP183" s="51"/>
    </row>
    <row r="184" ht="15.75" customHeight="1">
      <c r="B184" s="25"/>
      <c r="C184" s="28"/>
      <c r="D184" s="30"/>
      <c r="E184" s="25"/>
      <c r="F184" s="31"/>
      <c r="G184" s="32"/>
      <c r="H184" s="25"/>
      <c r="L184" s="25"/>
      <c r="M184" s="25"/>
      <c r="O184" s="25"/>
      <c r="Q184" s="25"/>
      <c r="S184" s="46"/>
      <c r="W184" s="25"/>
      <c r="X184" s="25"/>
      <c r="AA184" s="25"/>
      <c r="AB184" s="25"/>
      <c r="AC184" s="31"/>
      <c r="AD184" s="25"/>
      <c r="AG184" s="25"/>
      <c r="AI184" s="25"/>
      <c r="AK184" s="25"/>
      <c r="AM184" s="25"/>
      <c r="AO184" s="51"/>
      <c r="AP184" s="51"/>
    </row>
    <row r="185" ht="15.75" customHeight="1">
      <c r="B185" s="25"/>
      <c r="C185" s="28"/>
      <c r="D185" s="30"/>
      <c r="E185" s="25"/>
      <c r="F185" s="31"/>
      <c r="G185" s="32"/>
      <c r="H185" s="25"/>
      <c r="L185" s="25"/>
      <c r="O185" s="25"/>
      <c r="Q185" s="25"/>
      <c r="R185" s="25"/>
      <c r="S185" s="46"/>
      <c r="AA185" s="25"/>
      <c r="AC185" s="31"/>
      <c r="AD185" s="25"/>
      <c r="AG185" s="25"/>
      <c r="AK185" s="25"/>
      <c r="AN185" s="25"/>
      <c r="AO185" s="51"/>
      <c r="AP185" s="51"/>
    </row>
    <row r="186" ht="15.75" customHeight="1">
      <c r="B186" s="25"/>
      <c r="C186" s="28"/>
      <c r="D186" s="30"/>
      <c r="E186" s="25"/>
      <c r="F186" s="31"/>
      <c r="G186" s="32"/>
      <c r="H186" s="25"/>
      <c r="L186" s="25"/>
      <c r="M186" s="25"/>
      <c r="N186" s="25"/>
      <c r="O186" s="25"/>
      <c r="S186" s="46"/>
      <c r="X186" s="25"/>
      <c r="AA186" s="25"/>
      <c r="AC186" s="31"/>
      <c r="AD186" s="25"/>
      <c r="AE186" s="25"/>
      <c r="AG186" s="25"/>
      <c r="AI186" s="25"/>
      <c r="AK186" s="25"/>
      <c r="AO186" s="51"/>
      <c r="AP186" s="51"/>
    </row>
    <row r="187" ht="15.75" customHeight="1">
      <c r="B187" s="25"/>
      <c r="C187" s="28"/>
      <c r="D187" s="30"/>
      <c r="E187" s="25"/>
      <c r="F187" s="31"/>
      <c r="G187" s="32"/>
      <c r="H187" s="25"/>
      <c r="L187" s="25"/>
      <c r="M187" s="25"/>
      <c r="N187" s="25"/>
      <c r="O187" s="25"/>
      <c r="S187" s="46"/>
      <c r="W187" s="25"/>
      <c r="X187" s="25"/>
      <c r="AA187" s="25"/>
      <c r="AC187" s="31"/>
      <c r="AD187" s="25"/>
      <c r="AG187" s="25"/>
      <c r="AI187" s="25"/>
      <c r="AK187" s="25"/>
      <c r="AO187" s="51"/>
      <c r="AP187" s="51"/>
    </row>
    <row r="188" ht="15.75" customHeight="1">
      <c r="B188" s="25"/>
      <c r="C188" s="28"/>
      <c r="D188" s="30"/>
      <c r="E188" s="25"/>
      <c r="F188" s="31"/>
      <c r="G188" s="32"/>
      <c r="H188" s="25"/>
      <c r="J188" s="25"/>
      <c r="O188" s="25"/>
      <c r="S188" s="46"/>
      <c r="U188" s="25"/>
      <c r="AC188" s="31"/>
      <c r="AE188" s="25"/>
      <c r="AF188" s="25"/>
      <c r="AG188" s="25"/>
      <c r="AK188" s="25"/>
      <c r="AO188" s="51"/>
      <c r="AP188" s="51"/>
    </row>
    <row r="189" ht="15.75" customHeight="1">
      <c r="B189" s="25"/>
      <c r="C189" s="28"/>
      <c r="D189" s="30"/>
      <c r="E189" s="25"/>
      <c r="F189" s="31"/>
      <c r="G189" s="32"/>
      <c r="H189" s="25"/>
      <c r="J189" s="25"/>
      <c r="L189" s="25"/>
      <c r="M189" s="25"/>
      <c r="N189" s="25"/>
      <c r="O189" s="25"/>
      <c r="S189" s="46"/>
      <c r="U189" s="25"/>
      <c r="W189" s="25"/>
      <c r="X189" s="25"/>
      <c r="AA189" s="25"/>
      <c r="AC189" s="31"/>
      <c r="AD189" s="25"/>
      <c r="AF189" s="25"/>
      <c r="AG189" s="25"/>
      <c r="AI189" s="25"/>
      <c r="AK189" s="25"/>
      <c r="AO189" s="51"/>
      <c r="AP189" s="51"/>
    </row>
    <row r="190" ht="15.75" customHeight="1">
      <c r="B190" s="25"/>
      <c r="C190" s="28"/>
      <c r="D190" s="30"/>
      <c r="E190" s="25"/>
      <c r="F190" s="31"/>
      <c r="G190" s="32"/>
      <c r="H190" s="25"/>
      <c r="L190" s="25"/>
      <c r="M190" s="25"/>
      <c r="O190" s="25"/>
      <c r="R190" s="25"/>
      <c r="S190" s="46"/>
      <c r="W190" s="25"/>
      <c r="X190" s="25"/>
      <c r="AA190" s="25"/>
      <c r="AC190" s="31"/>
      <c r="AD190" s="25"/>
      <c r="AG190" s="25"/>
      <c r="AI190" s="25"/>
      <c r="AK190" s="25"/>
      <c r="AO190" s="51"/>
      <c r="AP190" s="51"/>
    </row>
    <row r="191" ht="15.75" customHeight="1">
      <c r="B191" s="25"/>
      <c r="C191" s="28"/>
      <c r="D191" s="30"/>
      <c r="E191" s="25"/>
      <c r="F191" s="31"/>
      <c r="G191" s="32"/>
      <c r="H191" s="25"/>
      <c r="K191" s="25"/>
      <c r="L191" s="25"/>
      <c r="N191" s="25"/>
      <c r="O191" s="25"/>
      <c r="S191" s="46"/>
      <c r="V191" s="25"/>
      <c r="AA191" s="25"/>
      <c r="AC191" s="31"/>
      <c r="AD191" s="25"/>
      <c r="AE191" s="25"/>
      <c r="AG191" s="25"/>
      <c r="AK191" s="25"/>
      <c r="AO191" s="51"/>
      <c r="AP191" s="51"/>
    </row>
    <row r="192" ht="15.75" customHeight="1">
      <c r="B192" s="25"/>
      <c r="C192" s="28"/>
      <c r="D192" s="30"/>
      <c r="E192" s="25"/>
      <c r="F192" s="31"/>
      <c r="G192" s="32"/>
      <c r="H192" s="25"/>
      <c r="K192" s="25"/>
      <c r="L192" s="25"/>
      <c r="N192" s="25"/>
      <c r="O192" s="25"/>
      <c r="R192" s="25"/>
      <c r="S192" s="46"/>
      <c r="V192" s="25"/>
      <c r="W192" s="25"/>
      <c r="AA192" s="25"/>
      <c r="AC192" s="31"/>
      <c r="AD192" s="25"/>
      <c r="AG192" s="25"/>
      <c r="AK192" s="25"/>
      <c r="AO192" s="51"/>
      <c r="AP192" s="51"/>
    </row>
    <row r="193" ht="15.75" customHeight="1">
      <c r="B193" s="25"/>
      <c r="C193" s="28"/>
      <c r="D193" s="30"/>
      <c r="E193" s="25"/>
      <c r="F193" s="31"/>
      <c r="G193" s="32"/>
      <c r="H193" s="25"/>
      <c r="K193" s="25"/>
      <c r="N193" s="25"/>
      <c r="O193" s="25"/>
      <c r="R193" s="25"/>
      <c r="S193" s="46"/>
      <c r="W193" s="25"/>
      <c r="Z193" s="25"/>
      <c r="AC193" s="31"/>
      <c r="AG193" s="25"/>
      <c r="AK193" s="25"/>
      <c r="AN193" s="25"/>
      <c r="AO193" s="51"/>
      <c r="AP193" s="51"/>
    </row>
    <row r="194" ht="15.75" customHeight="1">
      <c r="B194" s="25"/>
      <c r="C194" s="28"/>
      <c r="D194" s="30"/>
      <c r="E194" s="25"/>
      <c r="F194" s="31"/>
      <c r="G194" s="32"/>
      <c r="H194" s="25"/>
      <c r="J194" s="25"/>
      <c r="M194" s="25"/>
      <c r="N194" s="25"/>
      <c r="O194" s="25"/>
      <c r="R194" s="25"/>
      <c r="S194" s="46"/>
      <c r="U194" s="25"/>
      <c r="X194" s="25"/>
      <c r="AC194" s="31"/>
      <c r="AF194" s="25"/>
      <c r="AG194" s="25"/>
      <c r="AI194" s="25"/>
      <c r="AK194" s="25"/>
      <c r="AO194" s="51"/>
      <c r="AP194" s="51"/>
    </row>
    <row r="195" ht="15.75" customHeight="1">
      <c r="B195" s="25"/>
      <c r="C195" s="28"/>
      <c r="D195" s="30"/>
      <c r="E195" s="25"/>
      <c r="F195" s="31"/>
      <c r="G195" s="32"/>
      <c r="H195" s="25"/>
      <c r="L195" s="25"/>
      <c r="N195" s="25"/>
      <c r="O195" s="25"/>
      <c r="Q195" s="25"/>
      <c r="R195" s="25"/>
      <c r="S195" s="46"/>
      <c r="AA195" s="25"/>
      <c r="AB195" s="25"/>
      <c r="AC195" s="31"/>
      <c r="AD195" s="25"/>
      <c r="AG195" s="25"/>
      <c r="AK195" s="25"/>
      <c r="AM195" s="25"/>
      <c r="AO195" s="51"/>
      <c r="AP195" s="51"/>
    </row>
    <row r="196" ht="15.75" customHeight="1">
      <c r="B196" s="25"/>
      <c r="C196" s="28"/>
      <c r="D196" s="30"/>
      <c r="E196" s="25"/>
      <c r="F196" s="31"/>
      <c r="G196" s="32"/>
      <c r="H196" s="25"/>
      <c r="L196" s="25"/>
      <c r="M196" s="25"/>
      <c r="N196" s="25"/>
      <c r="O196" s="25"/>
      <c r="S196" s="46"/>
      <c r="W196" s="25"/>
      <c r="X196" s="25"/>
      <c r="AA196" s="25"/>
      <c r="AC196" s="31"/>
      <c r="AD196" s="25"/>
      <c r="AG196" s="25"/>
      <c r="AI196" s="25"/>
      <c r="AK196" s="25"/>
      <c r="AO196" s="51"/>
      <c r="AP196" s="51"/>
    </row>
    <row r="197" ht="15.75" customHeight="1">
      <c r="B197" s="25"/>
      <c r="C197" s="28"/>
      <c r="D197" s="30"/>
      <c r="E197" s="25"/>
      <c r="F197" s="31"/>
      <c r="G197" s="32"/>
      <c r="H197" s="25"/>
      <c r="L197" s="25"/>
      <c r="N197" s="25"/>
      <c r="O197" s="25"/>
      <c r="Q197" s="25"/>
      <c r="S197" s="46"/>
      <c r="W197" s="25"/>
      <c r="AA197" s="25"/>
      <c r="AB197" s="25"/>
      <c r="AC197" s="31"/>
      <c r="AD197" s="25"/>
      <c r="AG197" s="25"/>
      <c r="AK197" s="25"/>
      <c r="AM197" s="25"/>
      <c r="AO197" s="51"/>
      <c r="AP197" s="51"/>
    </row>
    <row r="198" ht="15.75" customHeight="1">
      <c r="B198" s="25"/>
      <c r="C198" s="28"/>
      <c r="D198" s="30"/>
      <c r="E198" s="25"/>
      <c r="F198" s="31"/>
      <c r="G198" s="32"/>
      <c r="H198" s="25"/>
      <c r="L198" s="25"/>
      <c r="M198" s="25"/>
      <c r="N198" s="25"/>
      <c r="O198" s="25"/>
      <c r="R198" s="25"/>
      <c r="S198" s="46"/>
      <c r="W198" s="25"/>
      <c r="X198" s="25"/>
      <c r="AA198" s="25"/>
      <c r="AC198" s="31"/>
      <c r="AD198" s="25"/>
      <c r="AG198" s="25"/>
      <c r="AI198" s="25"/>
      <c r="AK198" s="25"/>
      <c r="AO198" s="51"/>
      <c r="AP198" s="51"/>
    </row>
    <row r="199" ht="15.75" customHeight="1">
      <c r="B199" s="25"/>
      <c r="C199" s="28"/>
      <c r="D199" s="30"/>
      <c r="E199" s="25"/>
      <c r="F199" s="31"/>
      <c r="G199" s="32"/>
      <c r="H199" s="25"/>
      <c r="L199" s="25"/>
      <c r="M199" s="25"/>
      <c r="O199" s="25"/>
      <c r="R199" s="25"/>
      <c r="S199" s="46"/>
      <c r="W199" s="25"/>
      <c r="X199" s="25"/>
      <c r="AA199" s="25"/>
      <c r="AC199" s="31"/>
      <c r="AD199" s="25"/>
      <c r="AG199" s="25"/>
      <c r="AI199" s="25"/>
      <c r="AK199" s="25"/>
      <c r="AO199" s="51"/>
      <c r="AP199" s="51"/>
    </row>
    <row r="200" ht="15.75" customHeight="1">
      <c r="B200" s="25"/>
      <c r="C200" s="28"/>
      <c r="D200" s="30"/>
      <c r="E200" s="25"/>
      <c r="F200" s="31"/>
      <c r="G200" s="32"/>
      <c r="H200" s="25"/>
      <c r="I200" s="25"/>
      <c r="L200" s="25"/>
      <c r="N200" s="25"/>
      <c r="O200" s="25"/>
      <c r="S200" s="46"/>
      <c r="T200" s="25"/>
      <c r="W200" s="25"/>
      <c r="AA200" s="25"/>
      <c r="AC200" s="31"/>
      <c r="AD200" s="25"/>
      <c r="AE200" s="25"/>
      <c r="AG200" s="25"/>
      <c r="AK200" s="25"/>
      <c r="AO200" s="51"/>
      <c r="AP200" s="51"/>
    </row>
    <row r="201" ht="15.75" customHeight="1">
      <c r="B201" s="25"/>
      <c r="C201" s="28"/>
      <c r="D201" s="30"/>
      <c r="E201" s="25"/>
      <c r="F201" s="31"/>
      <c r="G201" s="32"/>
      <c r="H201" s="25"/>
      <c r="L201" s="25"/>
      <c r="N201" s="25"/>
      <c r="O201" s="25"/>
      <c r="Q201" s="25"/>
      <c r="R201" s="25"/>
      <c r="S201" s="46"/>
      <c r="AA201" s="25"/>
      <c r="AC201" s="31"/>
      <c r="AD201" s="25"/>
      <c r="AG201" s="25"/>
      <c r="AK201" s="25"/>
      <c r="AN201" s="25"/>
      <c r="AO201" s="51"/>
      <c r="AP201" s="51"/>
    </row>
    <row r="202" ht="15.75" customHeight="1">
      <c r="B202" s="25"/>
      <c r="C202" s="28"/>
      <c r="D202" s="30"/>
      <c r="E202" s="25"/>
      <c r="F202" s="31"/>
      <c r="G202" s="32"/>
      <c r="H202" s="25"/>
      <c r="M202" s="25"/>
      <c r="N202" s="25"/>
      <c r="O202" s="25"/>
      <c r="R202" s="25"/>
      <c r="S202" s="46"/>
      <c r="W202" s="25"/>
      <c r="AB202" s="25"/>
      <c r="AC202" s="31"/>
      <c r="AE202" s="25"/>
      <c r="AG202" s="25"/>
      <c r="AK202" s="25"/>
      <c r="AN202" s="25"/>
      <c r="AO202" s="51"/>
      <c r="AP202" s="51"/>
    </row>
    <row r="203" ht="15.75" customHeight="1">
      <c r="B203" s="25"/>
      <c r="C203" s="28"/>
      <c r="D203" s="30"/>
      <c r="E203" s="25"/>
      <c r="F203" s="31"/>
      <c r="G203" s="32"/>
      <c r="H203" s="25"/>
      <c r="J203" s="25"/>
      <c r="L203" s="25"/>
      <c r="N203" s="25"/>
      <c r="O203" s="25"/>
      <c r="S203" s="46"/>
      <c r="U203" s="25"/>
      <c r="W203" s="25"/>
      <c r="AA203" s="25"/>
      <c r="AC203" s="31"/>
      <c r="AD203" s="25"/>
      <c r="AF203" s="25"/>
      <c r="AG203" s="25"/>
      <c r="AK203" s="25"/>
      <c r="AO203" s="51"/>
      <c r="AP203" s="51"/>
    </row>
    <row r="204" ht="15.75" customHeight="1">
      <c r="B204" s="25"/>
      <c r="C204" s="28"/>
      <c r="D204" s="30"/>
      <c r="E204" s="25"/>
      <c r="F204" s="31"/>
      <c r="G204" s="32"/>
      <c r="H204" s="25"/>
      <c r="J204" s="25"/>
      <c r="L204" s="25"/>
      <c r="O204" s="25"/>
      <c r="R204" s="25"/>
      <c r="S204" s="46"/>
      <c r="U204" s="25"/>
      <c r="W204" s="25"/>
      <c r="AA204" s="25"/>
      <c r="AC204" s="31"/>
      <c r="AD204" s="25"/>
      <c r="AF204" s="25"/>
      <c r="AG204" s="25"/>
      <c r="AK204" s="25"/>
      <c r="AO204" s="51"/>
      <c r="AP204" s="51"/>
    </row>
    <row r="205" ht="15.75" customHeight="1">
      <c r="B205" s="25"/>
      <c r="C205" s="28"/>
      <c r="D205" s="63"/>
      <c r="E205" s="25"/>
      <c r="F205" s="31"/>
      <c r="G205" s="32"/>
      <c r="H205" s="25"/>
      <c r="L205" s="25"/>
      <c r="M205" s="25"/>
      <c r="O205" s="25"/>
      <c r="R205" s="25"/>
      <c r="S205" s="46"/>
      <c r="X205" s="25"/>
      <c r="AA205" s="25"/>
      <c r="AC205" s="31"/>
      <c r="AD205" s="25"/>
      <c r="AG205" s="25"/>
      <c r="AI205" s="25"/>
      <c r="AK205" s="25"/>
      <c r="AO205" s="51"/>
      <c r="AP205" s="51"/>
      <c r="AQ205" s="49"/>
    </row>
    <row r="206" ht="15.75" customHeight="1">
      <c r="B206" s="25"/>
      <c r="C206" s="28"/>
      <c r="D206" s="63"/>
      <c r="E206" s="25"/>
      <c r="F206" s="31"/>
      <c r="G206" s="32"/>
      <c r="H206" s="25"/>
      <c r="M206" s="25"/>
      <c r="O206" s="25"/>
      <c r="S206" s="46"/>
      <c r="X206" s="25"/>
      <c r="AB206" s="25"/>
      <c r="AC206" s="31"/>
      <c r="AE206" s="25"/>
      <c r="AF206" s="25"/>
      <c r="AG206" s="25"/>
      <c r="AI206" s="25"/>
      <c r="AK206" s="25"/>
      <c r="AO206" s="51"/>
      <c r="AP206" s="51"/>
      <c r="AQ206" s="49"/>
    </row>
    <row r="207" ht="15.75" customHeight="1">
      <c r="B207" s="25"/>
      <c r="C207" s="28"/>
      <c r="D207" s="30"/>
      <c r="E207" s="25"/>
      <c r="F207" s="31"/>
      <c r="G207" s="32"/>
      <c r="H207" s="25"/>
      <c r="L207" s="25"/>
      <c r="M207" s="25"/>
      <c r="N207" s="25"/>
      <c r="O207" s="25"/>
      <c r="S207" s="46"/>
      <c r="X207" s="25"/>
      <c r="AA207" s="25"/>
      <c r="AC207" s="31"/>
      <c r="AD207" s="25"/>
      <c r="AE207" s="25"/>
      <c r="AG207" s="25"/>
      <c r="AI207" s="25"/>
      <c r="AK207" s="25"/>
      <c r="AO207" s="51"/>
      <c r="AP207" s="51"/>
    </row>
    <row r="208" ht="15.75" customHeight="1">
      <c r="B208" s="25"/>
      <c r="C208" s="28"/>
      <c r="D208" s="30"/>
      <c r="E208" s="25"/>
      <c r="F208" s="31"/>
      <c r="G208" s="32"/>
      <c r="H208" s="25"/>
      <c r="I208" s="25"/>
      <c r="O208" s="25"/>
      <c r="S208" s="46"/>
      <c r="T208" s="25"/>
      <c r="W208" s="25"/>
      <c r="X208" s="25"/>
      <c r="AC208" s="31"/>
      <c r="AE208" s="25"/>
      <c r="AG208" s="25"/>
      <c r="AK208" s="25"/>
      <c r="AL208" s="25"/>
      <c r="AO208" s="51"/>
      <c r="AP208" s="51"/>
    </row>
    <row r="209" ht="15.75" customHeight="1">
      <c r="B209" s="25"/>
      <c r="C209" s="28"/>
      <c r="D209" s="30"/>
      <c r="E209" s="25"/>
      <c r="F209" s="31"/>
      <c r="G209" s="32"/>
      <c r="H209" s="25"/>
      <c r="J209" s="25"/>
      <c r="N209" s="25"/>
      <c r="O209" s="25"/>
      <c r="S209" s="46"/>
      <c r="U209" s="25"/>
      <c r="W209" s="25"/>
      <c r="AC209" s="31"/>
      <c r="AF209" s="25"/>
      <c r="AG209" s="25"/>
      <c r="AK209" s="25"/>
      <c r="AO209" s="51"/>
      <c r="AP209" s="51"/>
    </row>
    <row r="210" ht="15.75" customHeight="1">
      <c r="B210" s="25"/>
      <c r="C210" s="28"/>
      <c r="D210" s="30"/>
      <c r="E210" s="25"/>
      <c r="F210" s="31"/>
      <c r="G210" s="32"/>
      <c r="H210" s="25"/>
      <c r="M210" s="25"/>
      <c r="N210" s="25"/>
      <c r="O210" s="25"/>
      <c r="S210" s="46"/>
      <c r="V210" s="25"/>
      <c r="X210" s="25"/>
      <c r="AB210" s="25"/>
      <c r="AC210" s="31"/>
      <c r="AE210" s="25"/>
      <c r="AG210" s="25"/>
      <c r="AI210" s="25"/>
      <c r="AK210" s="25"/>
      <c r="AO210" s="51"/>
      <c r="AP210" s="51"/>
    </row>
    <row r="211" ht="15.75" customHeight="1">
      <c r="B211" s="25"/>
      <c r="C211" s="28"/>
      <c r="D211" s="30"/>
      <c r="E211" s="25"/>
      <c r="F211" s="31"/>
      <c r="G211" s="32"/>
      <c r="H211" s="25"/>
      <c r="M211" s="25"/>
      <c r="O211" s="25"/>
      <c r="R211" s="25"/>
      <c r="S211" s="46"/>
      <c r="W211" s="25"/>
      <c r="X211" s="25"/>
      <c r="AC211" s="31"/>
      <c r="AG211" s="25"/>
      <c r="AI211" s="25"/>
      <c r="AK211" s="25"/>
      <c r="AO211" s="51"/>
      <c r="AP211" s="51"/>
    </row>
    <row r="212" ht="15.75" customHeight="1">
      <c r="B212" s="25"/>
      <c r="C212" s="28"/>
      <c r="D212" s="30"/>
      <c r="E212" s="25"/>
      <c r="F212" s="31"/>
      <c r="G212" s="32"/>
      <c r="H212" s="25"/>
      <c r="M212" s="25"/>
      <c r="N212" s="25"/>
      <c r="O212" s="25"/>
      <c r="Q212" s="25"/>
      <c r="S212" s="46"/>
      <c r="X212" s="25"/>
      <c r="AB212" s="25"/>
      <c r="AC212" s="31"/>
      <c r="AE212" s="25"/>
      <c r="AG212" s="25"/>
      <c r="AI212" s="25"/>
      <c r="AK212" s="25"/>
      <c r="AM212" s="25"/>
      <c r="AO212" s="51"/>
      <c r="AP212" s="51"/>
    </row>
    <row r="213" ht="15.75" customHeight="1">
      <c r="B213" s="25"/>
      <c r="C213" s="28"/>
      <c r="D213" s="30"/>
      <c r="E213" s="25"/>
      <c r="F213" s="31"/>
      <c r="G213" s="32"/>
      <c r="H213" s="25"/>
      <c r="K213" s="25"/>
      <c r="L213" s="25"/>
      <c r="N213" s="25"/>
      <c r="O213" s="25"/>
      <c r="R213" s="25"/>
      <c r="S213" s="46"/>
      <c r="V213" s="25"/>
      <c r="W213" s="25"/>
      <c r="AA213" s="25"/>
      <c r="AC213" s="31"/>
      <c r="AD213" s="25"/>
      <c r="AG213" s="25"/>
      <c r="AK213" s="25"/>
      <c r="AO213" s="51"/>
      <c r="AP213" s="51"/>
    </row>
    <row r="214" ht="15.75" customHeight="1">
      <c r="B214" s="25"/>
      <c r="C214" s="28"/>
      <c r="D214" s="30"/>
      <c r="E214" s="25"/>
      <c r="F214" s="31"/>
      <c r="G214" s="32"/>
      <c r="H214" s="25"/>
      <c r="L214" s="25"/>
      <c r="M214" s="25"/>
      <c r="O214" s="25"/>
      <c r="Q214" s="25"/>
      <c r="S214" s="46"/>
      <c r="X214" s="25"/>
      <c r="AA214" s="25"/>
      <c r="AB214" s="25"/>
      <c r="AC214" s="31"/>
      <c r="AD214" s="25"/>
      <c r="AG214" s="25"/>
      <c r="AI214" s="25"/>
      <c r="AK214" s="25"/>
      <c r="AM214" s="25"/>
      <c r="AO214" s="51"/>
      <c r="AP214" s="51"/>
    </row>
    <row r="215" ht="15.75" customHeight="1">
      <c r="B215" s="25"/>
      <c r="C215" s="28"/>
      <c r="D215" s="30"/>
      <c r="E215" s="25"/>
      <c r="F215" s="31"/>
      <c r="G215" s="32"/>
      <c r="H215" s="25"/>
      <c r="I215" s="25"/>
      <c r="M215" s="25"/>
      <c r="N215" s="25"/>
      <c r="O215" s="25"/>
      <c r="S215" s="46"/>
      <c r="T215" s="25"/>
      <c r="W215" s="25"/>
      <c r="AB215" s="25"/>
      <c r="AC215" s="31"/>
      <c r="AE215" s="25"/>
      <c r="AG215" s="25"/>
      <c r="AK215" s="25"/>
      <c r="AO215" s="51"/>
      <c r="AP215" s="51"/>
    </row>
    <row r="216" ht="15.75" customHeight="1">
      <c r="B216" s="25"/>
      <c r="C216" s="28"/>
      <c r="D216" s="30"/>
      <c r="E216" s="25"/>
      <c r="F216" s="31"/>
      <c r="G216" s="32"/>
      <c r="H216" s="25"/>
      <c r="I216" s="25"/>
      <c r="L216" s="25"/>
      <c r="O216" s="25"/>
      <c r="S216" s="46"/>
      <c r="T216" s="25"/>
      <c r="W216" s="25"/>
      <c r="AA216" s="25"/>
      <c r="AC216" s="31"/>
      <c r="AD216" s="25"/>
      <c r="AE216" s="25"/>
      <c r="AG216" s="25"/>
      <c r="AK216" s="25"/>
      <c r="AO216" s="51"/>
      <c r="AP216" s="51"/>
    </row>
    <row r="217" ht="15.75" customHeight="1">
      <c r="B217" s="25"/>
      <c r="C217" s="28"/>
      <c r="D217" s="30"/>
      <c r="E217" s="25"/>
      <c r="F217" s="31"/>
      <c r="G217" s="32"/>
      <c r="H217" s="25"/>
      <c r="L217" s="25"/>
      <c r="M217" s="25"/>
      <c r="O217" s="25"/>
      <c r="R217" s="25"/>
      <c r="S217" s="46"/>
      <c r="W217" s="25"/>
      <c r="X217" s="25"/>
      <c r="AA217" s="25"/>
      <c r="AB217" s="25"/>
      <c r="AC217" s="31"/>
      <c r="AD217" s="25"/>
      <c r="AG217" s="25"/>
      <c r="AI217" s="25"/>
      <c r="AK217" s="25"/>
      <c r="AO217" s="51"/>
      <c r="AP217" s="51"/>
    </row>
    <row r="218" ht="15.75" customHeight="1">
      <c r="B218" s="25"/>
      <c r="C218" s="28"/>
      <c r="D218" s="30"/>
      <c r="E218" s="25"/>
      <c r="F218" s="31"/>
      <c r="G218" s="32"/>
      <c r="H218" s="25"/>
      <c r="J218" s="25"/>
      <c r="L218" s="25"/>
      <c r="N218" s="25"/>
      <c r="O218" s="25"/>
      <c r="R218" s="25"/>
      <c r="S218" s="46"/>
      <c r="U218" s="25"/>
      <c r="W218" s="25"/>
      <c r="AA218" s="25"/>
      <c r="AC218" s="31"/>
      <c r="AD218" s="25"/>
      <c r="AF218" s="25"/>
      <c r="AG218" s="25"/>
      <c r="AK218" s="25"/>
      <c r="AO218" s="51"/>
      <c r="AP218" s="51"/>
    </row>
    <row r="219" ht="15.75" customHeight="1">
      <c r="B219" s="25"/>
      <c r="C219" s="28"/>
      <c r="D219" s="30"/>
      <c r="E219" s="25"/>
      <c r="F219" s="31"/>
      <c r="G219" s="32"/>
      <c r="H219" s="25"/>
      <c r="L219" s="25"/>
      <c r="N219" s="25"/>
      <c r="O219" s="25"/>
      <c r="R219" s="25"/>
      <c r="S219" s="46"/>
      <c r="W219" s="25"/>
      <c r="AA219" s="25"/>
      <c r="AC219" s="31"/>
      <c r="AD219" s="25"/>
      <c r="AG219" s="25"/>
      <c r="AK219" s="25"/>
      <c r="AN219" s="25"/>
      <c r="AO219" s="51"/>
      <c r="AP219" s="51"/>
    </row>
    <row r="220" ht="15.75" customHeight="1">
      <c r="B220" s="25"/>
      <c r="C220" s="28"/>
      <c r="D220" s="30"/>
      <c r="E220" s="25"/>
      <c r="F220" s="31"/>
      <c r="G220" s="32"/>
      <c r="H220" s="25"/>
      <c r="L220" s="25"/>
      <c r="M220" s="25"/>
      <c r="N220" s="25"/>
      <c r="O220" s="25"/>
      <c r="S220" s="46"/>
      <c r="W220" s="25"/>
      <c r="X220" s="25"/>
      <c r="AA220" s="25"/>
      <c r="AC220" s="31"/>
      <c r="AD220" s="25"/>
      <c r="AG220" s="25"/>
      <c r="AI220" s="25"/>
      <c r="AK220" s="25"/>
      <c r="AO220" s="51"/>
      <c r="AP220" s="5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U$16"/>
  <conditionalFormatting sqref="C1:C1000 D1:E1000 F1:F1000 G2:H9 J1:J9 N2:N9 O1:O9 R2:R9 S2:S1000 X2:Y9 AB2:AC9 AF2:AF9 AH1:AH9 AK2:AL9">
    <cfRule type="colorScale" priority="1">
      <colorScale>
        <cfvo type="min"/>
        <cfvo type="max"/>
        <color rgb="FFFFFFFF"/>
        <color rgb="FF57BB8A"/>
      </colorScale>
    </cfRule>
  </conditionalFormatting>
  <conditionalFormatting sqref="C1:C1000 D1:D1000 E1:E1000 F1:F17 G1:J1000 L1:L1000 M2:M1000 N1:O1000 Q2:Q9 R1:T1000 V2:V1000 W1:Y1000 AA1:AD1000 AE2:AE1000 AF1:AH1000 AJ2:AJ9 AK1:AL1000 AN2:AN9">
    <cfRule type="cellIs" dxfId="0" priority="2" operator="greaterThan">
      <formula>0</formula>
    </cfRule>
  </conditionalFormatting>
  <hyperlinks>
    <hyperlink r:id="rId1" ref="R2"/>
    <hyperlink r:id="rId2" ref="U2"/>
    <hyperlink r:id="rId3" ref="L3"/>
    <hyperlink r:id="rId4" ref="X3"/>
    <hyperlink r:id="rId5" ref="R4"/>
    <hyperlink r:id="rId6" ref="L5"/>
    <hyperlink r:id="rId7" ref="U5"/>
    <hyperlink r:id="rId8" ref="X5"/>
    <hyperlink r:id="rId9" ref="AA5"/>
    <hyperlink r:id="rId10" ref="L6"/>
    <hyperlink r:id="rId11" ref="U6"/>
    <hyperlink r:id="rId12" ref="AA6"/>
    <hyperlink r:id="rId13" ref="O7"/>
    <hyperlink r:id="rId14" ref="R7"/>
    <hyperlink r:id="rId15" ref="AA7"/>
    <hyperlink r:id="rId16" ref="L8"/>
    <hyperlink r:id="rId17" ref="R8"/>
    <hyperlink r:id="rId18" ref="U8"/>
    <hyperlink r:id="rId19" ref="X8"/>
    <hyperlink r:id="rId20" ref="L9"/>
    <hyperlink r:id="rId21" ref="U9"/>
    <hyperlink r:id="rId22" ref="AA9"/>
    <hyperlink r:id="rId23" ref="L10"/>
    <hyperlink r:id="rId24" ref="X10"/>
    <hyperlink r:id="rId25" ref="L11"/>
    <hyperlink r:id="rId26" ref="U11"/>
    <hyperlink r:id="rId27" ref="R12"/>
    <hyperlink r:id="rId28" ref="L13"/>
    <hyperlink r:id="rId29" ref="U13"/>
    <hyperlink r:id="rId30" ref="AA13"/>
    <hyperlink r:id="rId31" ref="L14"/>
    <hyperlink r:id="rId32" ref="R14"/>
    <hyperlink r:id="rId33" ref="U14"/>
    <hyperlink r:id="rId34" ref="AA14"/>
    <hyperlink r:id="rId35" ref="L15"/>
    <hyperlink r:id="rId36" ref="U15"/>
    <hyperlink r:id="rId37" ref="L16"/>
    <hyperlink r:id="rId38" ref="U16"/>
    <hyperlink r:id="rId39" ref="X16"/>
    <hyperlink r:id="rId40" ref="AA16"/>
  </hyperlinks>
  <drawing r:id="rId41"/>
</worksheet>
</file>