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2" name="_xlnm._FilterDatabase">matching!$A$1:$O$104</definedName>
  </definedNames>
  <calcPr/>
</workbook>
</file>

<file path=xl/sharedStrings.xml><?xml version="1.0" encoding="utf-8"?>
<sst xmlns="http://schemas.openxmlformats.org/spreadsheetml/2006/main" count="1893" uniqueCount="655">
  <si>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</si>
  <si>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</si>
  <si>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</si>
  <si>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</si>
  <si>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</si>
  <si>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</si>
  <si>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</si>
  <si>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</si>
  <si>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</si>
  <si>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</si>
  <si>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</si>
  <si>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</si>
  <si>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</si>
  <si>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</si>
  <si>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</si>
  <si>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</si>
  <si>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</si>
  <si>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</si>
  <si>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</si>
  <si>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multi slots demo</t>
  </si>
  <si>
    <t>bs</t>
  </si>
  <si>
    <t>casino demo</t>
  </si>
  <si>
    <t>what pokemon games have mega evolution</t>
  </si>
  <si>
    <t>People also ask,Sitelinks</t>
  </si>
  <si>
    <t>Informational,Non-branded,Non-local</t>
  </si>
  <si>
    <t>English</t>
  </si>
  <si>
    <t>which pokemon games have mega evolution</t>
  </si>
  <si>
    <t>1271, 1072, 1259, 978, 782, 769, 805, 733, 698, 695, 734, 709, 620, 494, 505, 520, 526, 538, 431, 435, 491, 540, 462, 479</t>
  </si>
  <si>
    <t>430, 382, 405, 358, 315, 403, 372, 448, 477, 526, 447, 464, 416</t>
  </si>
  <si>
    <t>Gambling</t>
  </si>
  <si>
    <t>multi slots</t>
  </si>
  <si>
    <t>multislot</t>
  </si>
  <si>
    <t>Sitelinks,Video preview</t>
  </si>
  <si>
    <t>Informational,Branded,Non-local</t>
  </si>
  <si>
    <t>361, 336, 358, 378, 286, 389, 354, 386, 374, 312, 457, 476, 509, 505, 516, 475, 522, 508, 413, 308, 401, 389, 439, 424</t>
  </si>
  <si>
    <t>411, 433, 466, 441, 436, 450, 422, 390, 414, 401, 452, 437, 424</t>
  </si>
  <si>
    <t>Casino games</t>
  </si>
  <si>
    <t>casino demo multi slots</t>
  </si>
  <si>
    <t>multi slots demo games</t>
  </si>
  <si>
    <t>Video preview</t>
  </si>
  <si>
    <t>People also ask</t>
  </si>
  <si>
    <t>Non-branded,Non-local</t>
  </si>
  <si>
    <t>153, 120, 189, 151, 128, 157, 158, 156, 186, 186, 231, 203, 162, 169, 167, 164, 247, 202, 202, 198, 220, 218, 229, 219</t>
  </si>
  <si>
    <t>211, 216, 215, 210, 192, 201, 200, 196, 218, 216, 226, 216, 209</t>
  </si>
  <si>
    <t>pragmatic play games</t>
  </si>
  <si>
    <t>live casino providers</t>
  </si>
  <si>
    <t>evolution games</t>
  </si>
  <si>
    <t>pragmatic play slots demo</t>
  </si>
  <si>
    <t>multi demo slots</t>
  </si>
  <si>
    <t>evolution live casino</t>
  </si>
  <si>
    <t>pragmatic play casino</t>
  </si>
  <si>
    <t>multislot games</t>
  </si>
  <si>
    <t>pragmatic play casino review</t>
  </si>
  <si>
    <t>casino lobby demo multi slots</t>
  </si>
  <si>
    <t>evolution casino games</t>
  </si>
  <si>
    <t>casino providers</t>
  </si>
  <si>
    <t>casino lobby - demo multi slots</t>
  </si>
  <si>
    <t>evolution games online</t>
  </si>
  <si>
    <t>pragmatic play slots</t>
  </si>
  <si>
    <t>casino providers bahamas</t>
  </si>
  <si>
    <t>casino providers blackjack</t>
  </si>
  <si>
    <t>multislot demo games</t>
  </si>
  <si>
    <t>casino providers bonus</t>
  </si>
  <si>
    <t>casino providers caribbean</t>
  </si>
  <si>
    <t>casino providers casino app</t>
  </si>
  <si>
    <t>casino providers chances</t>
  </si>
  <si>
    <t>casino providers demo</t>
  </si>
  <si>
    <t>multi slots games</t>
  </si>
  <si>
    <t>casino providers demo games</t>
  </si>
  <si>
    <t>casino providers free demo</t>
  </si>
  <si>
    <t>multi line slots free games</t>
  </si>
  <si>
    <t>casino providers free spins</t>
  </si>
  <si>
    <t>casino providers game shows</t>
  </si>
  <si>
    <t>pragmatic play casino list</t>
  </si>
  <si>
    <t>casino providers games list</t>
  </si>
  <si>
    <t>casino providers instant play</t>
  </si>
  <si>
    <t>play pragmatic slots</t>
  </si>
  <si>
    <t>casino providers island luck</t>
  </si>
  <si>
    <t>multi slots demo play</t>
  </si>
  <si>
    <t>casino providers jackpot</t>
  </si>
  <si>
    <t>casino providers licensed</t>
  </si>
  <si>
    <t>multi game slots</t>
  </si>
  <si>
    <t>casino providers live dealer</t>
  </si>
  <si>
    <t>Informational,Commercial,Non-branded,Non-local</t>
  </si>
  <si>
    <t>casino providers mobile</t>
  </si>
  <si>
    <t>evolution games unblocked</t>
  </si>
  <si>
    <t>casino providers multi slots demo</t>
  </si>
  <si>
    <t>casino providers multislot demo</t>
  </si>
  <si>
    <t>bestes pragmatic play online casino</t>
  </si>
  <si>
    <t>casino providers online</t>
  </si>
  <si>
    <t>casino providers online casino</t>
  </si>
  <si>
    <t>casino providers paradise games</t>
  </si>
  <si>
    <t>casino providers play online</t>
  </si>
  <si>
    <t>the evolution of video games</t>
  </si>
  <si>
    <t>casino providers provider</t>
  </si>
  <si>
    <t>casino providers real money</t>
  </si>
  <si>
    <t>pragmatic play best slots</t>
  </si>
  <si>
    <t>casino providers review</t>
  </si>
  <si>
    <t>casino providers reviews</t>
  </si>
  <si>
    <t>casino providers roulette</t>
  </si>
  <si>
    <t>casino providers rules</t>
  </si>
  <si>
    <t>casino lobby demo multi slots download</t>
  </si>
  <si>
    <t>casino providers slot games</t>
  </si>
  <si>
    <t>casino providers slots</t>
  </si>
  <si>
    <t>casino pragmatic play</t>
  </si>
  <si>
    <t>casino providers trusted</t>
  </si>
  <si>
    <t>casino providers ultra games</t>
  </si>
  <si>
    <t>evolution gaming games</t>
  </si>
  <si>
    <t>evolution casino games bahamas</t>
  </si>
  <si>
    <t>pragmatic play demo slots</t>
  </si>
  <si>
    <t>multi victory slots</t>
  </si>
  <si>
    <t>evolution casino games blackjack</t>
  </si>
  <si>
    <t>history and evolution of video games</t>
  </si>
  <si>
    <t>evolution casino games bonus</t>
  </si>
  <si>
    <t>evolution casino games caribbean</t>
  </si>
  <si>
    <t>evolution casino games casino app</t>
  </si>
  <si>
    <t>evolution casino games chances</t>
  </si>
  <si>
    <t>pragmatic play jackpot slots</t>
  </si>
  <si>
    <t>evolution casino games demo</t>
  </si>
  <si>
    <t>evolution casino games demo games</t>
  </si>
  <si>
    <t>multi reel slots</t>
  </si>
  <si>
    <t>evolution casino games free demo</t>
  </si>
  <si>
    <t>evolution casino games free spins</t>
  </si>
  <si>
    <t>pragmatic play free slots</t>
  </si>
  <si>
    <t>evolution casino games game shows</t>
  </si>
  <si>
    <t>multi demo slots game</t>
  </si>
  <si>
    <t>evolution casino games games list</t>
  </si>
  <si>
    <t>evolution casino games instant play</t>
  </si>
  <si>
    <t>online casino pragmatic play</t>
  </si>
  <si>
    <t>evolution casino games island luck</t>
  </si>
  <si>
    <t>evolution casino games jackpot</t>
  </si>
  <si>
    <t>top pragmatic play casino</t>
  </si>
  <si>
    <t>evolution casino games licensed</t>
  </si>
  <si>
    <t>evolution casino games live dealer</t>
  </si>
  <si>
    <t>demo multi slots</t>
  </si>
  <si>
    <t>evolution casino games mobile</t>
  </si>
  <si>
    <t>evolution casino games multi slots demo</t>
  </si>
  <si>
    <t>evolution casino games multislot demo</t>
  </si>
  <si>
    <t>best pragmatic play slots</t>
  </si>
  <si>
    <t>evolution casino games online</t>
  </si>
  <si>
    <t>evolution casino games online casino</t>
  </si>
  <si>
    <t>live casino game providers</t>
  </si>
  <si>
    <t>evolution casino games paradise games</t>
  </si>
  <si>
    <t>evolution casino games play online</t>
  </si>
  <si>
    <t>free multi slots</t>
  </si>
  <si>
    <t>evolution casino games provider</t>
  </si>
  <si>
    <t>evolution casino games real money</t>
  </si>
  <si>
    <t>evolution of games</t>
  </si>
  <si>
    <t>evolution casino games review</t>
  </si>
  <si>
    <t>evolution casino games reviews</t>
  </si>
  <si>
    <t>highest rtp slots pragmatic play</t>
  </si>
  <si>
    <t>evolution casino games roulette</t>
  </si>
  <si>
    <t>evolution casino games rules</t>
  </si>
  <si>
    <t>pokemon games with mega evolution gba</t>
  </si>
  <si>
    <t>evolution casino games slot games</t>
  </si>
  <si>
    <t>evolution casino games slots</t>
  </si>
  <si>
    <t>pragmatic play casino games</t>
  </si>
  <si>
    <t>evolution casino games trusted</t>
  </si>
  <si>
    <t>evolution casino games ultra games</t>
  </si>
  <si>
    <t>play pragmatic slots for free</t>
  </si>
  <si>
    <t>evolution games bahamas</t>
  </si>
  <si>
    <t>free multi slots games</t>
  </si>
  <si>
    <t>evolution games blackjack</t>
  </si>
  <si>
    <t>evolution games bonus</t>
  </si>
  <si>
    <t>evolution games caribbean</t>
  </si>
  <si>
    <t>evolution games casino</t>
  </si>
  <si>
    <t>evolution games casino app</t>
  </si>
  <si>
    <t>evolution games chances</t>
  </si>
  <si>
    <t>evolution games demo</t>
  </si>
  <si>
    <t>multi slots online free</t>
  </si>
  <si>
    <t>evolution games demo games</t>
  </si>
  <si>
    <t>evolution games free demo</t>
  </si>
  <si>
    <t>pinnacle multi slots</t>
  </si>
  <si>
    <t>evolution games free spins</t>
  </si>
  <si>
    <t>evolution games game shows</t>
  </si>
  <si>
    <t>evolution games games list</t>
  </si>
  <si>
    <t>pragmatic play demo games</t>
  </si>
  <si>
    <t>evolution games instant play</t>
  </si>
  <si>
    <t>evolution games island luck</t>
  </si>
  <si>
    <t>pragmatic games to play for free</t>
  </si>
  <si>
    <t>evolution games jackpot</t>
  </si>
  <si>
    <t>pragmatic play live casino</t>
  </si>
  <si>
    <t>evolution games licensed</t>
  </si>
  <si>
    <t>evolution games live dealer</t>
  </si>
  <si>
    <t>best time to play pragmatic slots</t>
  </si>
  <si>
    <t>evolution games mobile</t>
  </si>
  <si>
    <t>evolution games multi slots demo</t>
  </si>
  <si>
    <t>evolution games multislot demo</t>
  </si>
  <si>
    <t>pokemon games with mega evolution</t>
  </si>
  <si>
    <t>evolution games online casino</t>
  </si>
  <si>
    <t>evolution of video games</t>
  </si>
  <si>
    <t>evolution games paradise games</t>
  </si>
  <si>
    <t>evolution games play online</t>
  </si>
  <si>
    <t>evolution games provider</t>
  </si>
  <si>
    <t>pragmatic play online casino</t>
  </si>
  <si>
    <t>evolution games real money</t>
  </si>
  <si>
    <t>free multi line slots online</t>
  </si>
  <si>
    <t>evolution games review</t>
  </si>
  <si>
    <t>evolution games reviews</t>
  </si>
  <si>
    <t>evolution games roulette</t>
  </si>
  <si>
    <t>mejor casino pragmatic play</t>
  </si>
  <si>
    <t>evolution games rules</t>
  </si>
  <si>
    <t>online evolution games</t>
  </si>
  <si>
    <t>evolution games slot games</t>
  </si>
  <si>
    <t>evolution games slots</t>
  </si>
  <si>
    <t>evolution games trusted</t>
  </si>
  <si>
    <t>evolution of pokemon games</t>
  </si>
  <si>
    <t>evolution games ultra games</t>
  </si>
  <si>
    <t>evolution live casino bahamas</t>
  </si>
  <si>
    <t>live casino software providers</t>
  </si>
  <si>
    <t>evolution live casino blackjack</t>
  </si>
  <si>
    <t>pragmatic play best games</t>
  </si>
  <si>
    <t>evolution live casino bonus</t>
  </si>
  <si>
    <t>pragmatic play online slots</t>
  </si>
  <si>
    <t>evolution live casino caribbean</t>
  </si>
  <si>
    <t>evolution live casino casino app</t>
  </si>
  <si>
    <t>pragmatic play casino for free</t>
  </si>
  <si>
    <t>evolution live casino chances</t>
  </si>
  <si>
    <t>play pragmatic slots free</t>
  </si>
  <si>
    <t>evolution live casino demo</t>
  </si>
  <si>
    <t>evolution live casino demo games</t>
  </si>
  <si>
    <t>pragmatic play slots rtp</t>
  </si>
  <si>
    <t>evolution live casino free demo</t>
  </si>
  <si>
    <t>free multi demo slots</t>
  </si>
  <si>
    <t>evolution live casino free spins</t>
  </si>
  <si>
    <t>evolution live casino game shows</t>
  </si>
  <si>
    <t>evolution live casino games list</t>
  </si>
  <si>
    <t>evolution live casino instant play</t>
  </si>
  <si>
    <t>evolution live casino island luck</t>
  </si>
  <si>
    <t>evolution live casino jackpot</t>
  </si>
  <si>
    <t>evolution live casino licensed</t>
  </si>
  <si>
    <t>evolution live casino live dealer</t>
  </si>
  <si>
    <t>evolution live casino mobile</t>
  </si>
  <si>
    <t>evolution live casino multi slots demo</t>
  </si>
  <si>
    <t>evolution live casino multislot demo</t>
  </si>
  <si>
    <t>evolution live casino online</t>
  </si>
  <si>
    <t>evolution live casino online casino</t>
  </si>
  <si>
    <t>evolution live casino paradise games</t>
  </si>
  <si>
    <t>evolution live casino play online</t>
  </si>
  <si>
    <t>evolution live casino provider</t>
  </si>
  <si>
    <t>evolution live casino real money</t>
  </si>
  <si>
    <t>evolution live casino review</t>
  </si>
  <si>
    <t>evolution live casino reviews</t>
  </si>
  <si>
    <t>evolution live casino roulette</t>
  </si>
  <si>
    <t>evolution live casino rules</t>
  </si>
  <si>
    <t>evolution live casino slot games</t>
  </si>
  <si>
    <t>evolution live casino slots</t>
  </si>
  <si>
    <t>evolution live casino trusted</t>
  </si>
  <si>
    <t>evolution live casino ultra games</t>
  </si>
  <si>
    <t>live casino providers bahamas</t>
  </si>
  <si>
    <t>live casino providers blackjack</t>
  </si>
  <si>
    <t>live casino providers bonus</t>
  </si>
  <si>
    <t>live casino providers caribbean</t>
  </si>
  <si>
    <t>live casino providers casino app</t>
  </si>
  <si>
    <t>live casino providers chances</t>
  </si>
  <si>
    <t>live casino providers demo</t>
  </si>
  <si>
    <t>live casino providers demo games</t>
  </si>
  <si>
    <t>live casino providers free demo</t>
  </si>
  <si>
    <t>live casino providers free spins</t>
  </si>
  <si>
    <t>live casino providers game shows</t>
  </si>
  <si>
    <t>live casino providers games list</t>
  </si>
  <si>
    <t>live casino providers instant play</t>
  </si>
  <si>
    <t>live casino providers island luck</t>
  </si>
  <si>
    <t>live casino providers jackpot</t>
  </si>
  <si>
    <t>live casino providers licensed</t>
  </si>
  <si>
    <t>live casino providers live dealer</t>
  </si>
  <si>
    <t>live casino providers mobile</t>
  </si>
  <si>
    <t>live casino providers multi slots demo</t>
  </si>
  <si>
    <t>live casino providers multislot demo</t>
  </si>
  <si>
    <t>live casino providers online</t>
  </si>
  <si>
    <t>live casino providers online casino</t>
  </si>
  <si>
    <t>live casino providers paradise games</t>
  </si>
  <si>
    <t>live casino providers play online</t>
  </si>
  <si>
    <t>live casino providers provider</t>
  </si>
  <si>
    <t>live casino providers real money</t>
  </si>
  <si>
    <t>live casino providers review</t>
  </si>
  <si>
    <t>live casino providers reviews</t>
  </si>
  <si>
    <t>live casino providers roulette</t>
  </si>
  <si>
    <t>live casino providers rules</t>
  </si>
  <si>
    <t>live casino providers slot games</t>
  </si>
  <si>
    <t>live casino providers slots</t>
  </si>
  <si>
    <t>live casino providers trusted</t>
  </si>
  <si>
    <t>live casino providers ultra games</t>
  </si>
  <si>
    <t>multi slots bahamas</t>
  </si>
  <si>
    <t>multi slots blackjack</t>
  </si>
  <si>
    <t>multi slots bonus</t>
  </si>
  <si>
    <t>multi slots caribbean</t>
  </si>
  <si>
    <t>multi slots casino</t>
  </si>
  <si>
    <t>multi slots casino app</t>
  </si>
  <si>
    <t>multi slots chances</t>
  </si>
  <si>
    <t>multi slots free demo</t>
  </si>
  <si>
    <t>multi slots free spins</t>
  </si>
  <si>
    <t>multi slots game shows</t>
  </si>
  <si>
    <t>multi slots games list</t>
  </si>
  <si>
    <t>multi slots instant play</t>
  </si>
  <si>
    <t>multi slots island luck</t>
  </si>
  <si>
    <t>multi slots jackpot</t>
  </si>
  <si>
    <t>multi slots licensed</t>
  </si>
  <si>
    <t>multi slots live dealer</t>
  </si>
  <si>
    <t>multi slots mobile</t>
  </si>
  <si>
    <t>multi slots multi slots demo</t>
  </si>
  <si>
    <t>multi slots multislot demo</t>
  </si>
  <si>
    <t>multi slots online</t>
  </si>
  <si>
    <t>multi slots online casino</t>
  </si>
  <si>
    <t>multi slots paradise games</t>
  </si>
  <si>
    <t>multi slots play online</t>
  </si>
  <si>
    <t>multi slots provider</t>
  </si>
  <si>
    <t>multi slots real money</t>
  </si>
  <si>
    <t>multi slots review</t>
  </si>
  <si>
    <t>multi slots reviews</t>
  </si>
  <si>
    <t>multi slots roulette</t>
  </si>
  <si>
    <t>multi slots rules</t>
  </si>
  <si>
    <t>multi slots slot games</t>
  </si>
  <si>
    <t>multi slots trusted</t>
  </si>
  <si>
    <t>multi slots ultra games</t>
  </si>
  <si>
    <t>multislot games bahamas</t>
  </si>
  <si>
    <t>multislot games blackjack</t>
  </si>
  <si>
    <t>multislot games bonus</t>
  </si>
  <si>
    <t>multislot games caribbean</t>
  </si>
  <si>
    <t>multislot games casino</t>
  </si>
  <si>
    <t>multislot games casino app</t>
  </si>
  <si>
    <t>multislot games chances</t>
  </si>
  <si>
    <t>multislot games demo</t>
  </si>
  <si>
    <t>multislot games demo games</t>
  </si>
  <si>
    <t>multislot games free demo</t>
  </si>
  <si>
    <t>multislot games free spins</t>
  </si>
  <si>
    <t>multislot games game shows</t>
  </si>
  <si>
    <t>multislot games games list</t>
  </si>
  <si>
    <t>multislot games instant play</t>
  </si>
  <si>
    <t>multislot games island luck</t>
  </si>
  <si>
    <t>multislot games jackpot</t>
  </si>
  <si>
    <t>multislot games licensed</t>
  </si>
  <si>
    <t>demo casino</t>
  </si>
  <si>
    <t>multislot games live dealer</t>
  </si>
  <si>
    <t>multislot games mobile</t>
  </si>
  <si>
    <t>multislot games multi slots demo</t>
  </si>
  <si>
    <t>multislot games multislot demo</t>
  </si>
  <si>
    <t>2246, 2558, 2611, 2755, 2860, 2891, 2776, 2736, 2779, 2766, 2860, 2828, 2766, 2767, 3187, 3120, 2442, 3023, 2654, 2494, 2682, 2618, 2792, 2781</t>
  </si>
  <si>
    <t>2754, 2832, 2926, 2863, 2809, 3099, 2925, 2825, 2970, 2906, 3080, 3069, 3041</t>
  </si>
  <si>
    <t>multislot games online</t>
  </si>
  <si>
    <t>multislot games online casino</t>
  </si>
  <si>
    <t>multislot games paradise games</t>
  </si>
  <si>
    <t>People also ask,Thumbnail</t>
  </si>
  <si>
    <t>multislot games play online</t>
  </si>
  <si>
    <t>multislot games provider</t>
  </si>
  <si>
    <t>2659, 2751, 2752, 2778, 2830, 2847, 2540, 2425, 2666, 2433, 2621, 2616, 2651, 2745, 2747, 2774, 2827, 2845, 2538, 2423, 2665, 2433, 2620, 2615</t>
  </si>
  <si>
    <t>2651, 2745, 2746, 2774, 2827, 2844, 2538, 2423, 2665, 2432, 2620, 2615, 2651</t>
  </si>
  <si>
    <t>multislot games real money</t>
  </si>
  <si>
    <t>demo casino games</t>
  </si>
  <si>
    <t>multislot games review</t>
  </si>
  <si>
    <t>multislot games reviews</t>
  </si>
  <si>
    <t>Thumbnail,People also ask</t>
  </si>
  <si>
    <t>multislot games roulette</t>
  </si>
  <si>
    <t>multislot games rules</t>
  </si>
  <si>
    <t>619, 614, 717, 538, 792, 864, 887, 1048, 857, 1081, 1356, 1549, 1311, 1535, 1327, 1334, 1349, 1080, 844, 838, 849, 843, 893, 895</t>
  </si>
  <si>
    <t>multislot games slot games</t>
  </si>
  <si>
    <t>848, 860, 853, 832, 851, 872, 839, 843, 842, 837, 887, 889, 841</t>
  </si>
  <si>
    <t>multislot games slots</t>
  </si>
  <si>
    <t>island luck demo</t>
  </si>
  <si>
    <t>multislot games trusted</t>
  </si>
  <si>
    <t>multislot games ultra games</t>
  </si>
  <si>
    <t>Video preview,Sitelinks</t>
  </si>
  <si>
    <t>pragmatic play casino bahamas</t>
  </si>
  <si>
    <t>973, 970, 1117, 1581, 2213, 1192, 978, 925, 885, 839, 1120, 828, 849, 1045, 1252, 1121, 1244, 863, 966, 825, 959, 918, 986, 926</t>
  </si>
  <si>
    <t>914, 963, 1017, 1055, 1137, 1042, 929, 936, 996, 956, 1024, 964, 952</t>
  </si>
  <si>
    <t>pragmatic play casino blackjack</t>
  </si>
  <si>
    <t>chances demo</t>
  </si>
  <si>
    <t>pragmatic play casino bonus</t>
  </si>
  <si>
    <t>pragmatic play casino caribbean</t>
  </si>
  <si>
    <t>800, 946, 760, 742, 816, 752, 767, 745, 791, 736, 909, 830, 1138, 1081, 1077, 1017, 896, 1065, 990, 1042, 1070, 1055, 1105, 1078</t>
  </si>
  <si>
    <t>1098, 1110, 1069, 1073, 1074, 1134, 1103, 1080, 1124, 1109, 1159</t>
  </si>
  <si>
    <t>casino lobby demo</t>
  </si>
  <si>
    <t>pragmatic play casino casino app</t>
  </si>
  <si>
    <t>pragmatic play casino chances</t>
  </si>
  <si>
    <t>Sitelinks</t>
  </si>
  <si>
    <t>pragmatic play casino demo</t>
  </si>
  <si>
    <t>1207, 1252, 1241, 989, 888, 1021, 1008, 847, 798, 690, 640, 650, 813, 561, 956, 1076, 955, 798, 805, 802, 776, 784, 791, 836</t>
  </si>
  <si>
    <t>889, 798, 911, 854, 882, 892, 801, 798, 776, 784, 791, 836, 889</t>
  </si>
  <si>
    <t>pragmatic play casino demo games</t>
  </si>
  <si>
    <t>pragmatic play casino free demo</t>
  </si>
  <si>
    <t>pragmatic play casino free spins</t>
  </si>
  <si>
    <t>pragmatic play casino game shows</t>
  </si>
  <si>
    <t>pragmatic play casino games list</t>
  </si>
  <si>
    <t>pragmatic play casino instant play</t>
  </si>
  <si>
    <t>721, 738, 709, 697, 552, 703, 705, 882, 898, 744, 868, 837, 818, 781, 828, 821, 799, 807, 663, 525, 696, 687, 718, 684</t>
  </si>
  <si>
    <t>pragmatic play casino island luck</t>
  </si>
  <si>
    <t>679, 729, 740, 689, 648, 719, 664, 652, 684, 677, 709, 677, 674</t>
  </si>
  <si>
    <t>pragmatic play casino jackpot</t>
  </si>
  <si>
    <t>casino demo play</t>
  </si>
  <si>
    <t>pragmatic play casino licensed</t>
  </si>
  <si>
    <t>pragmatic play casino live dealer</t>
  </si>
  <si>
    <t>pragmatic play casino mobile</t>
  </si>
  <si>
    <t>pragmatic play casino multi slots demo</t>
  </si>
  <si>
    <t>369, 393, 574, 604, 595, 657, 574, 555, 564, 529, 581, 587, 831, 783, 778, 634, 608, 490, 522, 617, 593, 573, 576, 572</t>
  </si>
  <si>
    <t>599, 595, 586, 564, 553, 573, 591, 547, 561, 542, 544, 541, 568</t>
  </si>
  <si>
    <t>pragmatic play casino multislot demo</t>
  </si>
  <si>
    <t>pragmatic play casino online</t>
  </si>
  <si>
    <t>pragmatic play casino online casino</t>
  </si>
  <si>
    <t>pragmatic play casino paradise games</t>
  </si>
  <si>
    <t>pragmatic play casino play online</t>
  </si>
  <si>
    <t>pragmatic play casino provider</t>
  </si>
  <si>
    <t>pragmatic play casino real money</t>
  </si>
  <si>
    <t>pragmatic play casino reviews</t>
  </si>
  <si>
    <t>demo slots</t>
  </si>
  <si>
    <t>pragmatic play casino roulette</t>
  </si>
  <si>
    <t>pragmatic play casino rules</t>
  </si>
  <si>
    <t>pragmatic play casino slot games</t>
  </si>
  <si>
    <t>pragmatic play casino slots</t>
  </si>
  <si>
    <t>pragmatic play casino trusted</t>
  </si>
  <si>
    <t>pragmatic play casino ultra games</t>
  </si>
  <si>
    <t>pragmatic play games bahamas</t>
  </si>
  <si>
    <t>1150, 1053, 1021, 692, 637, 545, 535, 540, 452, 454, 489, 488, 399, 504, 486, 448, 512, 509, 393, 401, 400, 391, 442, 408</t>
  </si>
  <si>
    <t>402, 431, 413, 383, 413, 433, 417, 398, 398, 389, 441, 407, 401</t>
  </si>
  <si>
    <t>pragmatic play games blackjack</t>
  </si>
  <si>
    <t>pragmatic play games bonus</t>
  </si>
  <si>
    <t>pragmatic play games caribbean</t>
  </si>
  <si>
    <t>pragmatic play games casino</t>
  </si>
  <si>
    <t>pragmatic play games casino app</t>
  </si>
  <si>
    <t>pragmatic play games chances</t>
  </si>
  <si>
    <t>pragmatic play games demo</t>
  </si>
  <si>
    <t>casino demo games</t>
  </si>
  <si>
    <t>pragmatic play games demo games</t>
  </si>
  <si>
    <t>Thumbnail</t>
  </si>
  <si>
    <t>pragmatic play games free demo</t>
  </si>
  <si>
    <t>226, 241, 357, 359, 367, 416, 339, 352, 356, 360, 353, 360, 501, 497, 491, 415, 433, 364, 348, 430, 423, 399, 374, 372</t>
  </si>
  <si>
    <t>420, 427, 452, 401, 380, 400, 426, 397, 423, 399, 374, 372, 420</t>
  </si>
  <si>
    <t>pragmatic play games free spins</t>
  </si>
  <si>
    <t>chances games demo</t>
  </si>
  <si>
    <t>pragmatic play games game shows</t>
  </si>
  <si>
    <t>Sitelinks,People also ask</t>
  </si>
  <si>
    <t>pragmatic play games games list</t>
  </si>
  <si>
    <t>381, 359, 238, 584, 257, 259, 208, 206, 507, 998, 651, 216, 361, 342, 227, 559, 247, 250, 201, 199, 493, 971, 635, 211</t>
  </si>
  <si>
    <t>353, 335, 223, 550, 243, 246, 199, 197, 487, 961, 629, 209, 350</t>
  </si>
  <si>
    <t>multi slot demo</t>
  </si>
  <si>
    <t>pragmatic play games instant play</t>
  </si>
  <si>
    <t>pragmatic play games island luck</t>
  </si>
  <si>
    <t>726, 635, 748, 663, 522, 574, 541, 648, 701, 614, 606, 662, 478, 414, 380, 388, 383, 364, 272, 268, 299, 332, 304, 293</t>
  </si>
  <si>
    <t>258, 204, 220, 207, 176, 238, 192, 232, 246, 275, 251, 240, 206</t>
  </si>
  <si>
    <t>pragmatic play games jackpot</t>
  </si>
  <si>
    <t>demo casino slots</t>
  </si>
  <si>
    <t>pragmatic play games licensed</t>
  </si>
  <si>
    <t>pragmatic play games live dealer</t>
  </si>
  <si>
    <t>pragmatic play games mobile</t>
  </si>
  <si>
    <t>248, 205, 255, 241, 289, 306, 171, 229, 219, 195, 296, 284, 305, 240, 310, 352, 285, 289, 303, 270, 290, 288, 311, 298</t>
  </si>
  <si>
    <t>304, 293, 320, 327, 311, 319, 297, 307, 311, 308, 331, 318</t>
  </si>
  <si>
    <t>pragmatic play games multi slots demo</t>
  </si>
  <si>
    <t>ppgames</t>
  </si>
  <si>
    <t>paradise games</t>
  </si>
  <si>
    <t>pragmatic play games multislot demo</t>
  </si>
  <si>
    <t>pragmatic play games online</t>
  </si>
  <si>
    <t>49, 82, 21, 38, 34, 37, 25, 30, 27, 15, 23, 17, 24, 33, 20, 23, 49, 65, 49, 412, 790, 729, 476, 52</t>
  </si>
  <si>
    <t>Video games; Gambling</t>
  </si>
  <si>
    <t>pragmatic play games online casino</t>
  </si>
  <si>
    <t>pragmatic play games paradise games</t>
  </si>
  <si>
    <t>pragmatic play games play online</t>
  </si>
  <si>
    <t>pragmatic play games provider</t>
  </si>
  <si>
    <t>pragmatic play games real money</t>
  </si>
  <si>
    <t>casino lobby</t>
  </si>
  <si>
    <t>pragmatic play games review</t>
  </si>
  <si>
    <t>pragmatic play games reviews</t>
  </si>
  <si>
    <t>345, 355, 295, 246, 244, 293, 197, 202, 197, 236, 190, 198, 296, 231, 242, 230, 249, 231, 124, 166, 144, 145, 150, 156</t>
  </si>
  <si>
    <t>162, 150, 164, 145, 134, 176, 157, 154, 131, 132, 137, 144, 149</t>
  </si>
  <si>
    <t>pragmatic play games roulette</t>
  </si>
  <si>
    <t>lobby demo</t>
  </si>
  <si>
    <t>pragmatic play games rules</t>
  </si>
  <si>
    <t>pragmatic play games slot games</t>
  </si>
  <si>
    <t>fruity fortune demo</t>
  </si>
  <si>
    <t>pragmatic play games slots</t>
  </si>
  <si>
    <t>Branded,Non-local</t>
  </si>
  <si>
    <t>pragmatic play games trusted</t>
  </si>
  <si>
    <t>164, 136, 161, 104, 161, 146, 106, 84, 65, 66, 128, 165, 131, 166, 258, 248, 250, 306, 201, 168, 183, 174, 182, 176</t>
  </si>
  <si>
    <t>179, 184, 185, 182, 188, 193, 170, 163, 168, 160, 168, 163, 166</t>
  </si>
  <si>
    <t>pragmatic play games ultra games</t>
  </si>
  <si>
    <t>island luck casino demo play 2</t>
  </si>
  <si>
    <t>island luck</t>
  </si>
  <si>
    <t>pragmatic play slots bahamas</t>
  </si>
  <si>
    <t>pragmatic play slots blackjack</t>
  </si>
  <si>
    <t>multislot demo</t>
  </si>
  <si>
    <t>pragmatic play slots bonus</t>
  </si>
  <si>
    <t>pragmatic play slots caribbean</t>
  </si>
  <si>
    <t>pragmatic play slots casino</t>
  </si>
  <si>
    <t>free demo games</t>
  </si>
  <si>
    <t>pragmatic play slots casino app</t>
  </si>
  <si>
    <t>pragmatic play slots chances</t>
  </si>
  <si>
    <t>Video games</t>
  </si>
  <si>
    <t>chances demo games</t>
  </si>
  <si>
    <t>pragmatic play slots demo games</t>
  </si>
  <si>
    <t>pragmatic play slots free demo</t>
  </si>
  <si>
    <t>247, 250, 247, 239, 226, 234, 226, 214, 203, 188, 187, 187, 191, 196, 193, 187, 175, 184, 178, 166, 156, 142, 142, 143</t>
  </si>
  <si>
    <t>148, 154, 152, 147, 135, 146, 140, 129, 119, 106, 108, 109, 115</t>
  </si>
  <si>
    <t>pragmatic play slots free spins</t>
  </si>
  <si>
    <t>island luck demo games</t>
  </si>
  <si>
    <t>pragmatic play slots game shows</t>
  </si>
  <si>
    <t>pragmatic play slots games list</t>
  </si>
  <si>
    <t>casino lobby - demo</t>
  </si>
  <si>
    <t>pragmatic play slots instant play</t>
  </si>
  <si>
    <t>pragmatic play slots island luck</t>
  </si>
  <si>
    <t>pragmatic play slots jackpot</t>
  </si>
  <si>
    <t>free demo slots</t>
  </si>
  <si>
    <t>pragmatic play slots licensed</t>
  </si>
  <si>
    <t>pragmatic play slots live dealer</t>
  </si>
  <si>
    <t>Thumbnail,Sitelinks</t>
  </si>
  <si>
    <t>pragmatic play slots mobile</t>
  </si>
  <si>
    <t>pragmatic play slots multi slots demo</t>
  </si>
  <si>
    <t>free slots demos</t>
  </si>
  <si>
    <t>pragmatic play slots multislot demo</t>
  </si>
  <si>
    <t>pragmatic play slots online</t>
  </si>
  <si>
    <t>islandluck demo</t>
  </si>
  <si>
    <t>pragmatic play slots online casino</t>
  </si>
  <si>
    <t>pragmatic play slots paradise games</t>
  </si>
  <si>
    <t>117, 131, 121, 112, 107, 140, 157, 147, 132, 116, 148, 130, 119, 115, 120, 129, 126, 111, 138, 121, 128, 120, 128, 131</t>
  </si>
  <si>
    <t>126, 127, 121, 125, 120, 127, 131, 121, 128, 120, 128, 131, 126</t>
  </si>
  <si>
    <t>pragmatic play slots play online</t>
  </si>
  <si>
    <t>island game demo</t>
  </si>
  <si>
    <t>pragmatic play slots provider</t>
  </si>
  <si>
    <t>pragmatic play slots real money</t>
  </si>
  <si>
    <t>www.chancesgames.com casino casino games</t>
  </si>
  <si>
    <t>pragmatic play slots review</t>
  </si>
  <si>
    <t>chances casino</t>
  </si>
  <si>
    <t>pragmatic play slots reviews</t>
  </si>
  <si>
    <t>Informational,Navigational,Commercial,Branded,Non-local</t>
  </si>
  <si>
    <t>62, 62, 63, 79, 79, 63, 63, 77, 57, 129, 137, 122, 133, 147, 113, 104, 64, 82, 89, 95, 92, 104, 105, 91</t>
  </si>
  <si>
    <t>93, 109, 102, 95, 94, 105, 99, 90, 90, 101, 102, 89, 90</t>
  </si>
  <si>
    <t>pragmatic play slots roulette</t>
  </si>
  <si>
    <t>free casino demo</t>
  </si>
  <si>
    <t>pragmatic play slots rules</t>
  </si>
  <si>
    <t>Discussions,People also ask</t>
  </si>
  <si>
    <t>pragmatic play slots slot games</t>
  </si>
  <si>
    <t>chances casino demo</t>
  </si>
  <si>
    <t>pragmatic play slots trusted</t>
  </si>
  <si>
    <t>pragmatic play slots ultra games</t>
  </si>
  <si>
    <t>free slot demo games</t>
  </si>
  <si>
    <t>paradise games demo</t>
  </si>
  <si>
    <t>casino demo slots</t>
  </si>
  <si>
    <t>www island luck</t>
  </si>
  <si>
    <t>Informational,Navigational,Branded,Non-local</t>
  </si>
  <si>
    <t>109, 124, 138, 252, 137, 113, 136, 124, 159, 127, 113, 70, 37, 92, 145, 49, 226, 145, 85, 85, 91, 90, 97, 101</t>
  </si>
  <si>
    <t>115, 127, 127, 113, 101, 88, 85, 86, 92, 91, 98, 102, 116</t>
  </si>
  <si>
    <t>Lottery</t>
  </si>
  <si>
    <t>fruity fortune slot demo</t>
  </si>
  <si>
    <t>Navigational,Branded,Non-local</t>
  </si>
  <si>
    <t>slot demo</t>
  </si>
  <si>
    <t>multi slot</t>
  </si>
  <si>
    <t>Casino games; Gambling</t>
  </si>
  <si>
    <t>demo slots casino</t>
  </si>
  <si>
    <t>pirate revenge demo</t>
  </si>
  <si>
    <t>island luck casino demo</t>
  </si>
  <si>
    <t>Video preview,People also ask</t>
  </si>
  <si>
    <t>demo games</t>
  </si>
  <si>
    <t>60, 74, 72, 39, 47, 58, 39, 39, 38, 32, 49, 31, 47, 43, 54, 62, 79, 103, 60, 69, 94, 106, 99, 49</t>
  </si>
  <si>
    <t>39, 28, 20, 19, 28, 48, 41, 65, 87, 99, 92, 42, 32</t>
  </si>
  <si>
    <t>Casual games</t>
  </si>
  <si>
    <t>island demo</t>
  </si>
  <si>
    <t>Animation; Music; Online media; TV; Adventure games; Simulation games</t>
  </si>
  <si>
    <t>asurewin demo</t>
  </si>
  <si>
    <t>44, 43, 55, 91, 60, 71, 68, 57, 55, 53, 53, 69, 53, 65, 89, 89, 72, 71, 66, 72, 70, 63, 68, 68</t>
  </si>
  <si>
    <t>59, 75, 66, 70, 63, 74, 64, 72, 70, 63, 68, 68, 59</t>
  </si>
  <si>
    <t>betgold demo</t>
  </si>
  <si>
    <t>ultra games demo</t>
  </si>
  <si>
    <t>ultra games</t>
  </si>
  <si>
    <t>Browser games</t>
  </si>
  <si>
    <t>multislots demo</t>
  </si>
  <si>
    <t>casino demo free</t>
  </si>
  <si>
    <t>pirates revenge demo</t>
  </si>
  <si>
    <t>chances demo slots</t>
  </si>
  <si>
    <t>island luck demo game</t>
  </si>
  <si>
    <t>Videos</t>
  </si>
  <si>
    <t>multislots</t>
  </si>
  <si>
    <t>76, 60, 63, 59, 41, 45, 35, 44, 57, 43, 41, 42, 61, 58, 79, 35, 43, 58, 58, 60, 52, 47, 38, 41</t>
  </si>
  <si>
    <t>41, 40, 32, 40, 38, 53, 48, 54, 47, 41, 33, 35, 36</t>
  </si>
  <si>
    <t>casino lobby demo play</t>
  </si>
  <si>
    <t>demo</t>
  </si>
  <si>
    <t>AI Overview,Thumbnail,People also ask,Video preview</t>
  </si>
  <si>
    <t>58, 39, 49, 44, 49, 48, 40, 31, 42, 35, 42, 28, 42, 48, 43, 43, 60, 59, 46, 49, 49, 49, 57, 55</t>
  </si>
  <si>
    <t>64, 57, 58, 55, 63, 61, 52, 46, 49, 49, 57, 55, 64</t>
  </si>
  <si>
    <t>Encyclopedias</t>
  </si>
  <si>
    <t>slots demo</t>
  </si>
  <si>
    <t>Knowledge panel,Thumbnail</t>
  </si>
  <si>
    <t>casinodemo</t>
  </si>
  <si>
    <t>free demo casino games</t>
  </si>
  <si>
    <t>Sitelinks,Thumbnail</t>
  </si>
  <si>
    <t>fruity demo</t>
  </si>
  <si>
    <t>pragmatic play</t>
  </si>
  <si>
    <t>pragmatic</t>
  </si>
  <si>
    <t>44, 36, 45, 52, 43, 46, 45, 44, 43, 48, 43, 46, 48, 40, 39, 39, 33, 43, 34, 28, 41, 39, 40, 35</t>
  </si>
  <si>
    <t>38, 37, 38, 36, 37, 41, 39, 35, 40, 38, 39, 35, 38</t>
  </si>
  <si>
    <t>fruity fortune plus demo</t>
  </si>
  <si>
    <t>demo lobby</t>
  </si>
  <si>
    <t>multislotdemo</t>
  </si>
  <si>
    <t>slots</t>
  </si>
  <si>
    <t>demo slot</t>
  </si>
  <si>
    <t>casino demo lobby</t>
  </si>
  <si>
    <t>casinolobby</t>
  </si>
  <si>
    <t>lobby casino</t>
  </si>
  <si>
    <t>demo games to play</t>
  </si>
  <si>
    <t>chances casinos</t>
  </si>
  <si>
    <t>free casino demo games</t>
  </si>
  <si>
    <t>casino demo play 2</t>
  </si>
  <si>
    <t>casino lobby - demo play 1</t>
  </si>
  <si>
    <t>island luck demo login</t>
  </si>
  <si>
    <t>multi slot games online</t>
  </si>
  <si>
    <t>casino demo 2</t>
  </si>
  <si>
    <t>slot casino demo</t>
  </si>
  <si>
    <t>island luck free demo games</t>
  </si>
  <si>
    <t>demo games free</t>
  </si>
  <si>
    <t>island luck casino lobby - demo play</t>
  </si>
  <si>
    <t>free slots</t>
  </si>
  <si>
    <t>demo slot games</t>
  </si>
  <si>
    <t>casino lobby - demo pirate revenge</t>
  </si>
  <si>
    <t>demo play</t>
  </si>
  <si>
    <t>demo games slots</t>
  </si>
  <si>
    <t>slot</t>
  </si>
  <si>
    <t>casino games</t>
  </si>
  <si>
    <t>Top stories,Thumbnail,Video preview,People also ask</t>
  </si>
  <si>
    <t>free casino games</t>
  </si>
  <si>
    <t>casino</t>
  </si>
  <si>
    <t>paradise games casino demo</t>
  </si>
  <si>
    <t>pgweb cafe</t>
  </si>
  <si>
    <t>betus demo</t>
  </si>
  <si>
    <t>Informational,Commercial,Branded,Non-local</t>
  </si>
  <si>
    <t>Sports betting</t>
  </si>
  <si>
    <t>play demo games free</t>
  </si>
  <si>
    <t>Discussions</t>
  </si>
  <si>
    <t>chances free demo games</t>
  </si>
  <si>
    <t>freeslots</t>
  </si>
  <si>
    <t>democasino</t>
  </si>
  <si>
    <t>betus casino demo</t>
  </si>
  <si>
    <t>demo free games</t>
  </si>
  <si>
    <t>demo play slots</t>
  </si>
  <si>
    <t>casino demo game</t>
  </si>
  <si>
    <t>ultra game demo</t>
  </si>
  <si>
    <t>free demo slot games</t>
  </si>
  <si>
    <t>demo slots for fun</t>
  </si>
  <si>
    <t>free slot demo</t>
  </si>
  <si>
    <t>www.casino demo</t>
  </si>
  <si>
    <t>free slots no download no registration</t>
  </si>
  <si>
    <t>casino slot demo</t>
  </si>
  <si>
    <t>island luck multi demo</t>
  </si>
  <si>
    <t>islandluck</t>
  </si>
  <si>
    <t>ppgames.com</t>
  </si>
  <si>
    <t>betusdemo</t>
  </si>
  <si>
    <t>casinolobby demo</t>
  </si>
  <si>
    <t>People also ask,Video preview</t>
  </si>
  <si>
    <t>pirate revenge slot demo</t>
  </si>
  <si>
    <t>casinolobbydemo</t>
  </si>
  <si>
    <t>chances casino online</t>
  </si>
  <si>
    <t>www pggames com mobile</t>
  </si>
  <si>
    <t>Navigational,Transactional,Branded,Non-local</t>
  </si>
  <si>
    <t>islandluckdemo</t>
  </si>
  <si>
    <t>casino slots demo</t>
  </si>
  <si>
    <t>demolobby</t>
  </si>
  <si>
    <t>Thumbnail,Video preview</t>
  </si>
  <si>
    <t>Video games; Gambling; Virtual worlds</t>
  </si>
  <si>
    <t>lobbydemo</t>
  </si>
  <si>
    <t>demo games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</si>
</sst>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ppgames.com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8" t="str">
        <f>IFERROR(__xludf.DUMMYFUNCTION("IMPORTRANGE(""https://docs.google.com/spreadsheets/d/1LduFx7JK4t-GmGIaBexReDj5uh95VZrwzy2h8Fs4wwk/edit?usp=sharing"", ""'Bracket 8 - Casino Providers'!M3:M"")"),"pragmatic play games bahamas")</f>
        <v>pragmatic play games bahamas</v>
      </c>
      <c r="C2" s="6"/>
      <c r="N2" s="9"/>
    </row>
    <row r="3">
      <c r="B3" s="8" t="str">
        <f>IFERROR(__xludf.DUMMYFUNCTION("""COMPUTED_VALUE"""),"pragmatic play casino bahamas")</f>
        <v>pragmatic play casino bahamas</v>
      </c>
      <c r="N3" s="9"/>
    </row>
    <row r="4">
      <c r="B4" s="8" t="str">
        <f>IFERROR(__xludf.DUMMYFUNCTION("""COMPUTED_VALUE"""),"pragmatic play slots bahamas")</f>
        <v>pragmatic play slots bahamas</v>
      </c>
      <c r="N4" s="9"/>
    </row>
    <row r="5">
      <c r="B5" s="8" t="str">
        <f>IFERROR(__xludf.DUMMYFUNCTION("""COMPUTED_VALUE"""),"evolution games bahamas")</f>
        <v>evolution games bahamas</v>
      </c>
      <c r="N5" s="9"/>
    </row>
    <row r="6">
      <c r="B6" s="8" t="str">
        <f>IFERROR(__xludf.DUMMYFUNCTION("""COMPUTED_VALUE"""),"evolution casino games bahamas")</f>
        <v>evolution casino games bahamas</v>
      </c>
    </row>
    <row r="7">
      <c r="B7" s="8" t="str">
        <f>IFERROR(__xludf.DUMMYFUNCTION("""COMPUTED_VALUE"""),"evolution live casino bahamas")</f>
        <v>evolution live casino bahamas</v>
      </c>
    </row>
    <row r="8">
      <c r="B8" s="8" t="str">
        <f>IFERROR(__xludf.DUMMYFUNCTION("""COMPUTED_VALUE"""),"multislot games bahamas")</f>
        <v>multislot games bahamas</v>
      </c>
    </row>
    <row r="9">
      <c r="B9" s="8" t="str">
        <f>IFERROR(__xludf.DUMMYFUNCTION("""COMPUTED_VALUE"""),"multi slots bahamas")</f>
        <v>multi slots bahamas</v>
      </c>
    </row>
    <row r="10">
      <c r="B10" s="8" t="str">
        <f>IFERROR(__xludf.DUMMYFUNCTION("""COMPUTED_VALUE"""),"live casino providers bahamas")</f>
        <v>live casino providers bahamas</v>
      </c>
    </row>
    <row r="11">
      <c r="B11" s="8" t="str">
        <f>IFERROR(__xludf.DUMMYFUNCTION("""COMPUTED_VALUE"""),"casino providers bahamas")</f>
        <v>casino providers bahamas</v>
      </c>
    </row>
    <row r="12">
      <c r="B12" s="8" t="str">
        <f>IFERROR(__xludf.DUMMYFUNCTION("""COMPUTED_VALUE"""),"pragmatic play games online")</f>
        <v>pragmatic play games online</v>
      </c>
    </row>
    <row r="13">
      <c r="B13" s="8" t="str">
        <f>IFERROR(__xludf.DUMMYFUNCTION("""COMPUTED_VALUE"""),"pragmatic play casino online")</f>
        <v>pragmatic play casino online</v>
      </c>
    </row>
    <row r="14">
      <c r="B14" s="8" t="str">
        <f>IFERROR(__xludf.DUMMYFUNCTION("""COMPUTED_VALUE"""),"pragmatic play slots online")</f>
        <v>pragmatic play slots online</v>
      </c>
    </row>
    <row r="15">
      <c r="B15" s="8" t="str">
        <f>IFERROR(__xludf.DUMMYFUNCTION("""COMPUTED_VALUE"""),"evolution games online")</f>
        <v>evolution games online</v>
      </c>
    </row>
    <row r="16">
      <c r="B16" s="8" t="str">
        <f>IFERROR(__xludf.DUMMYFUNCTION("""COMPUTED_VALUE"""),"evolution casino games online")</f>
        <v>evolution casino games online</v>
      </c>
    </row>
    <row r="17">
      <c r="B17" s="8" t="str">
        <f>IFERROR(__xludf.DUMMYFUNCTION("""COMPUTED_VALUE"""),"evolution live casino online")</f>
        <v>evolution live casino online</v>
      </c>
    </row>
    <row r="18">
      <c r="B18" s="8" t="str">
        <f>IFERROR(__xludf.DUMMYFUNCTION("""COMPUTED_VALUE"""),"multislot games online")</f>
        <v>multislot games online</v>
      </c>
    </row>
    <row r="19">
      <c r="B19" s="8" t="str">
        <f>IFERROR(__xludf.DUMMYFUNCTION("""COMPUTED_VALUE"""),"multi slots online")</f>
        <v>multi slots online</v>
      </c>
    </row>
    <row r="20">
      <c r="B20" s="8" t="str">
        <f>IFERROR(__xludf.DUMMYFUNCTION("""COMPUTED_VALUE"""),"live casino providers online")</f>
        <v>live casino providers online</v>
      </c>
    </row>
    <row r="21">
      <c r="B21" s="8" t="str">
        <f>IFERROR(__xludf.DUMMYFUNCTION("""COMPUTED_VALUE"""),"casino providers online")</f>
        <v>casino providers online</v>
      </c>
    </row>
    <row r="22">
      <c r="B22" s="8" t="str">
        <f>IFERROR(__xludf.DUMMYFUNCTION("""COMPUTED_VALUE"""),"pragmatic play games casino")</f>
        <v>pragmatic play games casino</v>
      </c>
    </row>
    <row r="23">
      <c r="B23" s="8" t="str">
        <f>IFERROR(__xludf.DUMMYFUNCTION("""COMPUTED_VALUE"""),"pragmatic play casino")</f>
        <v>pragmatic play casino</v>
      </c>
    </row>
    <row r="24">
      <c r="B24" s="8" t="str">
        <f>IFERROR(__xludf.DUMMYFUNCTION("""COMPUTED_VALUE"""),"pragmatic play slots casino")</f>
        <v>pragmatic play slots casino</v>
      </c>
    </row>
    <row r="25">
      <c r="B25" s="8" t="str">
        <f>IFERROR(__xludf.DUMMYFUNCTION("""COMPUTED_VALUE"""),"evolution games casino")</f>
        <v>evolution games casino</v>
      </c>
    </row>
    <row r="26">
      <c r="B26" s="8" t="str">
        <f>IFERROR(__xludf.DUMMYFUNCTION("""COMPUTED_VALUE"""),"evolution casino games")</f>
        <v>evolution casino games</v>
      </c>
    </row>
    <row r="27">
      <c r="B27" s="8" t="str">
        <f>IFERROR(__xludf.DUMMYFUNCTION("""COMPUTED_VALUE"""),"evolution live casino")</f>
        <v>evolution live casino</v>
      </c>
    </row>
    <row r="28">
      <c r="B28" s="8" t="str">
        <f>IFERROR(__xludf.DUMMYFUNCTION("""COMPUTED_VALUE"""),"multislot games casino")</f>
        <v>multislot games casino</v>
      </c>
    </row>
    <row r="29">
      <c r="B29" s="8" t="str">
        <f>IFERROR(__xludf.DUMMYFUNCTION("""COMPUTED_VALUE"""),"multi slots casino")</f>
        <v>multi slots casino</v>
      </c>
    </row>
    <row r="30">
      <c r="B30" s="8" t="str">
        <f>IFERROR(__xludf.DUMMYFUNCTION("""COMPUTED_VALUE"""),"live casino providers")</f>
        <v>live casino providers</v>
      </c>
    </row>
    <row r="31">
      <c r="B31" s="8" t="str">
        <f>IFERROR(__xludf.DUMMYFUNCTION("""COMPUTED_VALUE"""),"casino providers")</f>
        <v>casino providers</v>
      </c>
    </row>
    <row r="32">
      <c r="B32" s="8" t="str">
        <f>IFERROR(__xludf.DUMMYFUNCTION("""COMPUTED_VALUE"""),"pragmatic play games online casino")</f>
        <v>pragmatic play games online casino</v>
      </c>
    </row>
    <row r="33">
      <c r="B33" s="8" t="str">
        <f>IFERROR(__xludf.DUMMYFUNCTION("""COMPUTED_VALUE"""),"pragmatic play casino online casino")</f>
        <v>pragmatic play casino online casino</v>
      </c>
    </row>
    <row r="34">
      <c r="B34" s="8" t="str">
        <f>IFERROR(__xludf.DUMMYFUNCTION("""COMPUTED_VALUE"""),"pragmatic play slots online casino")</f>
        <v>pragmatic play slots online casino</v>
      </c>
    </row>
    <row r="35">
      <c r="B35" s="8" t="str">
        <f>IFERROR(__xludf.DUMMYFUNCTION("""COMPUTED_VALUE"""),"evolution games online casino")</f>
        <v>evolution games online casino</v>
      </c>
    </row>
    <row r="36">
      <c r="B36" s="8" t="str">
        <f>IFERROR(__xludf.DUMMYFUNCTION("""COMPUTED_VALUE"""),"evolution casino games online casino")</f>
        <v>evolution casino games online casino</v>
      </c>
    </row>
    <row r="37">
      <c r="B37" s="8" t="str">
        <f>IFERROR(__xludf.DUMMYFUNCTION("""COMPUTED_VALUE"""),"evolution live casino online casino")</f>
        <v>evolution live casino online casino</v>
      </c>
    </row>
    <row r="38">
      <c r="B38" s="8" t="str">
        <f>IFERROR(__xludf.DUMMYFUNCTION("""COMPUTED_VALUE"""),"multislot games online casino")</f>
        <v>multislot games online casino</v>
      </c>
    </row>
    <row r="39">
      <c r="B39" s="8" t="str">
        <f>IFERROR(__xludf.DUMMYFUNCTION("""COMPUTED_VALUE"""),"multi slots online casino")</f>
        <v>multi slots online casino</v>
      </c>
    </row>
    <row r="40">
      <c r="B40" s="8" t="str">
        <f>IFERROR(__xludf.DUMMYFUNCTION("""COMPUTED_VALUE"""),"live casino providers online casino")</f>
        <v>live casino providers online casino</v>
      </c>
    </row>
    <row r="41">
      <c r="B41" s="8" t="str">
        <f>IFERROR(__xludf.DUMMYFUNCTION("""COMPUTED_VALUE"""),"casino providers online casino")</f>
        <v>casino providers online casino</v>
      </c>
    </row>
    <row r="42">
      <c r="B42" s="8" t="str">
        <f>IFERROR(__xludf.DUMMYFUNCTION("""COMPUTED_VALUE"""),"pragmatic play games real money")</f>
        <v>pragmatic play games real money</v>
      </c>
    </row>
    <row r="43">
      <c r="B43" s="8" t="str">
        <f>IFERROR(__xludf.DUMMYFUNCTION("""COMPUTED_VALUE"""),"pragmatic play casino real money")</f>
        <v>pragmatic play casino real money</v>
      </c>
    </row>
    <row r="44">
      <c r="B44" s="8" t="str">
        <f>IFERROR(__xludf.DUMMYFUNCTION("""COMPUTED_VALUE"""),"pragmatic play slots real money")</f>
        <v>pragmatic play slots real money</v>
      </c>
    </row>
    <row r="45">
      <c r="B45" s="8" t="str">
        <f>IFERROR(__xludf.DUMMYFUNCTION("""COMPUTED_VALUE"""),"evolution games real money")</f>
        <v>evolution games real money</v>
      </c>
    </row>
    <row r="46">
      <c r="B46" s="8" t="str">
        <f>IFERROR(__xludf.DUMMYFUNCTION("""COMPUTED_VALUE"""),"evolution casino games real money")</f>
        <v>evolution casino games real money</v>
      </c>
    </row>
    <row r="47">
      <c r="B47" s="8" t="str">
        <f>IFERROR(__xludf.DUMMYFUNCTION("""COMPUTED_VALUE"""),"evolution live casino real money")</f>
        <v>evolution live casino real money</v>
      </c>
    </row>
    <row r="48">
      <c r="B48" s="8" t="str">
        <f>IFERROR(__xludf.DUMMYFUNCTION("""COMPUTED_VALUE"""),"multislot games real money")</f>
        <v>multislot games real money</v>
      </c>
    </row>
    <row r="49">
      <c r="B49" s="8" t="str">
        <f>IFERROR(__xludf.DUMMYFUNCTION("""COMPUTED_VALUE"""),"multi slots real money")</f>
        <v>multi slots real money</v>
      </c>
    </row>
    <row r="50">
      <c r="B50" s="8" t="str">
        <f>IFERROR(__xludf.DUMMYFUNCTION("""COMPUTED_VALUE"""),"live casino providers real money")</f>
        <v>live casino providers real money</v>
      </c>
    </row>
    <row r="51">
      <c r="B51" s="8" t="str">
        <f>IFERROR(__xludf.DUMMYFUNCTION("""COMPUTED_VALUE"""),"casino providers real money")</f>
        <v>casino providers real money</v>
      </c>
    </row>
    <row r="52">
      <c r="B52" s="8" t="str">
        <f>IFERROR(__xludf.DUMMYFUNCTION("""COMPUTED_VALUE"""),"pragmatic play games mobile")</f>
        <v>pragmatic play games mobile</v>
      </c>
    </row>
    <row r="53">
      <c r="B53" s="8" t="str">
        <f>IFERROR(__xludf.DUMMYFUNCTION("""COMPUTED_VALUE"""),"pragmatic play casino mobile")</f>
        <v>pragmatic play casino mobile</v>
      </c>
    </row>
    <row r="54">
      <c r="B54" s="8" t="str">
        <f>IFERROR(__xludf.DUMMYFUNCTION("""COMPUTED_VALUE"""),"pragmatic play slots mobile")</f>
        <v>pragmatic play slots mobile</v>
      </c>
    </row>
    <row r="55">
      <c r="B55" s="8" t="str">
        <f>IFERROR(__xludf.DUMMYFUNCTION("""COMPUTED_VALUE"""),"evolution games mobile")</f>
        <v>evolution games mobile</v>
      </c>
    </row>
    <row r="56">
      <c r="B56" s="8" t="str">
        <f>IFERROR(__xludf.DUMMYFUNCTION("""COMPUTED_VALUE"""),"evolution casino games mobile")</f>
        <v>evolution casino games mobile</v>
      </c>
    </row>
    <row r="57">
      <c r="B57" s="8" t="str">
        <f>IFERROR(__xludf.DUMMYFUNCTION("""COMPUTED_VALUE"""),"evolution live casino mobile")</f>
        <v>evolution live casino mobile</v>
      </c>
    </row>
    <row r="58">
      <c r="B58" s="8" t="str">
        <f>IFERROR(__xludf.DUMMYFUNCTION("""COMPUTED_VALUE"""),"multislot games mobile")</f>
        <v>multislot games mobile</v>
      </c>
    </row>
    <row r="59">
      <c r="B59" s="8" t="str">
        <f>IFERROR(__xludf.DUMMYFUNCTION("""COMPUTED_VALUE"""),"multi slots mobile")</f>
        <v>multi slots mobile</v>
      </c>
    </row>
    <row r="60">
      <c r="B60" s="8" t="str">
        <f>IFERROR(__xludf.DUMMYFUNCTION("""COMPUTED_VALUE"""),"live casino providers mobile")</f>
        <v>live casino providers mobile</v>
      </c>
    </row>
    <row r="61">
      <c r="B61" s="8" t="str">
        <f>IFERROR(__xludf.DUMMYFUNCTION("""COMPUTED_VALUE"""),"casino providers mobile")</f>
        <v>casino providers mobile</v>
      </c>
    </row>
    <row r="62">
      <c r="B62" s="8" t="str">
        <f>IFERROR(__xludf.DUMMYFUNCTION("""COMPUTED_VALUE"""),"pragmatic play games play online")</f>
        <v>pragmatic play games play online</v>
      </c>
    </row>
    <row r="63">
      <c r="B63" s="8" t="str">
        <f>IFERROR(__xludf.DUMMYFUNCTION("""COMPUTED_VALUE"""),"pragmatic play casino play online")</f>
        <v>pragmatic play casino play online</v>
      </c>
    </row>
    <row r="64">
      <c r="B64" s="8" t="str">
        <f>IFERROR(__xludf.DUMMYFUNCTION("""COMPUTED_VALUE"""),"pragmatic play slots play online")</f>
        <v>pragmatic play slots play online</v>
      </c>
    </row>
    <row r="65">
      <c r="B65" s="8" t="str">
        <f>IFERROR(__xludf.DUMMYFUNCTION("""COMPUTED_VALUE"""),"evolution games play online")</f>
        <v>evolution games play online</v>
      </c>
    </row>
    <row r="66">
      <c r="B66" s="8" t="str">
        <f>IFERROR(__xludf.DUMMYFUNCTION("""COMPUTED_VALUE"""),"evolution casino games play online")</f>
        <v>evolution casino games play online</v>
      </c>
    </row>
    <row r="67">
      <c r="B67" s="8" t="str">
        <f>IFERROR(__xludf.DUMMYFUNCTION("""COMPUTED_VALUE"""),"evolution live casino play online")</f>
        <v>evolution live casino play online</v>
      </c>
    </row>
    <row r="68">
      <c r="B68" s="8" t="str">
        <f>IFERROR(__xludf.DUMMYFUNCTION("""COMPUTED_VALUE"""),"multislot games play online")</f>
        <v>multislot games play online</v>
      </c>
    </row>
    <row r="69">
      <c r="B69" s="8" t="str">
        <f>IFERROR(__xludf.DUMMYFUNCTION("""COMPUTED_VALUE"""),"multi slots play online")</f>
        <v>multi slots play online</v>
      </c>
    </row>
    <row r="70">
      <c r="B70" s="8" t="str">
        <f>IFERROR(__xludf.DUMMYFUNCTION("""COMPUTED_VALUE"""),"live casino providers play online")</f>
        <v>live casino providers play online</v>
      </c>
    </row>
    <row r="71">
      <c r="B71" s="8" t="str">
        <f>IFERROR(__xludf.DUMMYFUNCTION("""COMPUTED_VALUE"""),"casino providers play online")</f>
        <v>casino providers play online</v>
      </c>
    </row>
    <row r="72">
      <c r="B72" s="8" t="str">
        <f>IFERROR(__xludf.DUMMYFUNCTION("""COMPUTED_VALUE"""),"pragmatic play games games list")</f>
        <v>pragmatic play games games list</v>
      </c>
    </row>
    <row r="73">
      <c r="B73" s="8" t="str">
        <f>IFERROR(__xludf.DUMMYFUNCTION("""COMPUTED_VALUE"""),"pragmatic play casino games list")</f>
        <v>pragmatic play casino games list</v>
      </c>
    </row>
    <row r="74">
      <c r="B74" s="8" t="str">
        <f>IFERROR(__xludf.DUMMYFUNCTION("""COMPUTED_VALUE"""),"pragmatic play slots games list")</f>
        <v>pragmatic play slots games list</v>
      </c>
    </row>
    <row r="75">
      <c r="B75" s="8" t="str">
        <f>IFERROR(__xludf.DUMMYFUNCTION("""COMPUTED_VALUE"""),"evolution games games list")</f>
        <v>evolution games games list</v>
      </c>
    </row>
    <row r="76">
      <c r="B76" s="8" t="str">
        <f>IFERROR(__xludf.DUMMYFUNCTION("""COMPUTED_VALUE"""),"evolution casino games games list")</f>
        <v>evolution casino games games list</v>
      </c>
    </row>
    <row r="77">
      <c r="B77" s="8" t="str">
        <f>IFERROR(__xludf.DUMMYFUNCTION("""COMPUTED_VALUE"""),"evolution live casino games list")</f>
        <v>evolution live casino games list</v>
      </c>
    </row>
    <row r="78">
      <c r="B78" s="8" t="str">
        <f>IFERROR(__xludf.DUMMYFUNCTION("""COMPUTED_VALUE"""),"multislot games games list")</f>
        <v>multislot games games list</v>
      </c>
    </row>
    <row r="79">
      <c r="B79" s="8" t="str">
        <f>IFERROR(__xludf.DUMMYFUNCTION("""COMPUTED_VALUE"""),"multi slots games list")</f>
        <v>multi slots games list</v>
      </c>
    </row>
    <row r="80">
      <c r="B80" s="8" t="str">
        <f>IFERROR(__xludf.DUMMYFUNCTION("""COMPUTED_VALUE"""),"live casino providers games list")</f>
        <v>live casino providers games list</v>
      </c>
    </row>
    <row r="81">
      <c r="B81" s="8" t="str">
        <f>IFERROR(__xludf.DUMMYFUNCTION("""COMPUTED_VALUE"""),"casino providers games list")</f>
        <v>casino providers games list</v>
      </c>
    </row>
    <row r="82">
      <c r="B82" s="8" t="str">
        <f>IFERROR(__xludf.DUMMYFUNCTION("""COMPUTED_VALUE"""),"pragmatic play games provider")</f>
        <v>pragmatic play games provider</v>
      </c>
    </row>
    <row r="83">
      <c r="B83" s="8" t="str">
        <f>IFERROR(__xludf.DUMMYFUNCTION("""COMPUTED_VALUE"""),"pragmatic play casino provider")</f>
        <v>pragmatic play casino provider</v>
      </c>
    </row>
    <row r="84">
      <c r="B84" s="8" t="str">
        <f>IFERROR(__xludf.DUMMYFUNCTION("""COMPUTED_VALUE"""),"pragmatic play slots provider")</f>
        <v>pragmatic play slots provider</v>
      </c>
    </row>
    <row r="85">
      <c r="B85" s="8" t="str">
        <f>IFERROR(__xludf.DUMMYFUNCTION("""COMPUTED_VALUE"""),"evolution games provider")</f>
        <v>evolution games provider</v>
      </c>
    </row>
    <row r="86">
      <c r="B86" s="8" t="str">
        <f>IFERROR(__xludf.DUMMYFUNCTION("""COMPUTED_VALUE"""),"evolution casino games provider")</f>
        <v>evolution casino games provider</v>
      </c>
    </row>
    <row r="87">
      <c r="B87" s="8" t="str">
        <f>IFERROR(__xludf.DUMMYFUNCTION("""COMPUTED_VALUE"""),"evolution live casino provider")</f>
        <v>evolution live casino provider</v>
      </c>
    </row>
    <row r="88">
      <c r="B88" s="8" t="str">
        <f>IFERROR(__xludf.DUMMYFUNCTION("""COMPUTED_VALUE"""),"multislot games provider")</f>
        <v>multislot games provider</v>
      </c>
    </row>
    <row r="89">
      <c r="B89" s="8" t="str">
        <f>IFERROR(__xludf.DUMMYFUNCTION("""COMPUTED_VALUE"""),"multi slots provider")</f>
        <v>multi slots provider</v>
      </c>
    </row>
    <row r="90">
      <c r="B90" s="8" t="str">
        <f>IFERROR(__xludf.DUMMYFUNCTION("""COMPUTED_VALUE"""),"live casino providers provider")</f>
        <v>live casino providers provider</v>
      </c>
    </row>
    <row r="91">
      <c r="B91" s="8" t="str">
        <f>IFERROR(__xludf.DUMMYFUNCTION("""COMPUTED_VALUE"""),"casino providers provider")</f>
        <v>casino providers provider</v>
      </c>
    </row>
    <row r="92">
      <c r="B92" s="8" t="str">
        <f>IFERROR(__xludf.DUMMYFUNCTION("""COMPUTED_VALUE"""),"pragmatic play games slots")</f>
        <v>pragmatic play games slots</v>
      </c>
    </row>
    <row r="93">
      <c r="B93" s="8" t="str">
        <f>IFERROR(__xludf.DUMMYFUNCTION("""COMPUTED_VALUE"""),"pragmatic play casino slots")</f>
        <v>pragmatic play casino slots</v>
      </c>
    </row>
    <row r="94">
      <c r="B94" s="8" t="str">
        <f>IFERROR(__xludf.DUMMYFUNCTION("""COMPUTED_VALUE"""),"pragmatic play slots")</f>
        <v>pragmatic play slots</v>
      </c>
    </row>
    <row r="95">
      <c r="B95" s="8" t="str">
        <f>IFERROR(__xludf.DUMMYFUNCTION("""COMPUTED_VALUE"""),"evolution games slots")</f>
        <v>evolution games slots</v>
      </c>
    </row>
    <row r="96">
      <c r="B96" s="8" t="str">
        <f>IFERROR(__xludf.DUMMYFUNCTION("""COMPUTED_VALUE"""),"evolution casino games slots")</f>
        <v>evolution casino games slots</v>
      </c>
    </row>
    <row r="97">
      <c r="B97" s="8" t="str">
        <f>IFERROR(__xludf.DUMMYFUNCTION("""COMPUTED_VALUE"""),"evolution live casino slots")</f>
        <v>evolution live casino slots</v>
      </c>
    </row>
    <row r="98">
      <c r="B98" s="8" t="str">
        <f>IFERROR(__xludf.DUMMYFUNCTION("""COMPUTED_VALUE"""),"multislot games slots")</f>
        <v>multislot games slots</v>
      </c>
    </row>
    <row r="99">
      <c r="B99" s="8" t="str">
        <f>IFERROR(__xludf.DUMMYFUNCTION("""COMPUTED_VALUE"""),"multi slots")</f>
        <v>multi slots</v>
      </c>
    </row>
    <row r="100">
      <c r="B100" s="8" t="str">
        <f>IFERROR(__xludf.DUMMYFUNCTION("""COMPUTED_VALUE"""),"live casino providers slots")</f>
        <v>live casino providers slots</v>
      </c>
    </row>
    <row r="101">
      <c r="B101" s="8" t="str">
        <f>IFERROR(__xludf.DUMMYFUNCTION("""COMPUTED_VALUE"""),"casino providers slots")</f>
        <v>casino providers slots</v>
      </c>
    </row>
    <row r="102">
      <c r="B102" s="8" t="str">
        <f>IFERROR(__xludf.DUMMYFUNCTION("""COMPUTED_VALUE"""),"pragmatic play games slot games")</f>
        <v>pragmatic play games slot games</v>
      </c>
    </row>
    <row r="103">
      <c r="B103" s="8" t="str">
        <f>IFERROR(__xludf.DUMMYFUNCTION("""COMPUTED_VALUE"""),"pragmatic play casino slot games")</f>
        <v>pragmatic play casino slot games</v>
      </c>
    </row>
    <row r="104">
      <c r="B104" s="8" t="str">
        <f>IFERROR(__xludf.DUMMYFUNCTION("""COMPUTED_VALUE"""),"pragmatic play slots slot games")</f>
        <v>pragmatic play slots slot games</v>
      </c>
    </row>
    <row r="105">
      <c r="B105" s="8" t="str">
        <f>IFERROR(__xludf.DUMMYFUNCTION("""COMPUTED_VALUE"""),"evolution games slot games")</f>
        <v>evolution games slot games</v>
      </c>
    </row>
    <row r="106">
      <c r="B106" s="8" t="str">
        <f>IFERROR(__xludf.DUMMYFUNCTION("""COMPUTED_VALUE"""),"evolution casino games slot games")</f>
        <v>evolution casino games slot games</v>
      </c>
    </row>
    <row r="107">
      <c r="B107" s="8" t="str">
        <f>IFERROR(__xludf.DUMMYFUNCTION("""COMPUTED_VALUE"""),"evolution live casino slot games")</f>
        <v>evolution live casino slot games</v>
      </c>
    </row>
    <row r="108">
      <c r="B108" s="8" t="str">
        <f>IFERROR(__xludf.DUMMYFUNCTION("""COMPUTED_VALUE"""),"multislot games slot games")</f>
        <v>multislot games slot games</v>
      </c>
    </row>
    <row r="109">
      <c r="B109" s="8" t="str">
        <f>IFERROR(__xludf.DUMMYFUNCTION("""COMPUTED_VALUE"""),"multi slots slot games")</f>
        <v>multi slots slot games</v>
      </c>
    </row>
    <row r="110">
      <c r="B110" s="8" t="str">
        <f>IFERROR(__xludf.DUMMYFUNCTION("""COMPUTED_VALUE"""),"live casino providers slot games")</f>
        <v>live casino providers slot games</v>
      </c>
    </row>
    <row r="111">
      <c r="B111" s="8" t="str">
        <f>IFERROR(__xludf.DUMMYFUNCTION("""COMPUTED_VALUE"""),"casino providers slot games")</f>
        <v>casino providers slot games</v>
      </c>
    </row>
    <row r="112">
      <c r="B112" s="8" t="str">
        <f>IFERROR(__xludf.DUMMYFUNCTION("""COMPUTED_VALUE"""),"pragmatic play games demo")</f>
        <v>pragmatic play games demo</v>
      </c>
    </row>
    <row r="113">
      <c r="B113" s="8" t="str">
        <f>IFERROR(__xludf.DUMMYFUNCTION("""COMPUTED_VALUE"""),"pragmatic play casino demo")</f>
        <v>pragmatic play casino demo</v>
      </c>
    </row>
    <row r="114">
      <c r="B114" s="8" t="str">
        <f>IFERROR(__xludf.DUMMYFUNCTION("""COMPUTED_VALUE"""),"pragmatic play slots demo")</f>
        <v>pragmatic play slots demo</v>
      </c>
    </row>
    <row r="115">
      <c r="B115" s="8" t="str">
        <f>IFERROR(__xludf.DUMMYFUNCTION("""COMPUTED_VALUE"""),"evolution games demo")</f>
        <v>evolution games demo</v>
      </c>
    </row>
    <row r="116">
      <c r="B116" s="8" t="str">
        <f>IFERROR(__xludf.DUMMYFUNCTION("""COMPUTED_VALUE"""),"evolution casino games demo")</f>
        <v>evolution casino games demo</v>
      </c>
    </row>
    <row r="117">
      <c r="B117" s="8" t="str">
        <f>IFERROR(__xludf.DUMMYFUNCTION("""COMPUTED_VALUE"""),"evolution live casino demo")</f>
        <v>evolution live casino demo</v>
      </c>
    </row>
    <row r="118">
      <c r="B118" s="8" t="str">
        <f>IFERROR(__xludf.DUMMYFUNCTION("""COMPUTED_VALUE"""),"multislot games demo")</f>
        <v>multislot games demo</v>
      </c>
    </row>
    <row r="119">
      <c r="B119" s="8" t="str">
        <f>IFERROR(__xludf.DUMMYFUNCTION("""COMPUTED_VALUE"""),"multi slots demo")</f>
        <v>multi slots demo</v>
      </c>
    </row>
    <row r="120">
      <c r="B120" s="8" t="str">
        <f>IFERROR(__xludf.DUMMYFUNCTION("""COMPUTED_VALUE"""),"live casino providers demo")</f>
        <v>live casino providers demo</v>
      </c>
    </row>
    <row r="121">
      <c r="B121" s="8" t="str">
        <f>IFERROR(__xludf.DUMMYFUNCTION("""COMPUTED_VALUE"""),"casino providers demo")</f>
        <v>casino providers demo</v>
      </c>
    </row>
    <row r="122">
      <c r="B122" s="8" t="str">
        <f>IFERROR(__xludf.DUMMYFUNCTION("""COMPUTED_VALUE"""),"pragmatic play games demo games")</f>
        <v>pragmatic play games demo games</v>
      </c>
    </row>
    <row r="123">
      <c r="B123" s="8" t="str">
        <f>IFERROR(__xludf.DUMMYFUNCTION("""COMPUTED_VALUE"""),"pragmatic play casino demo games")</f>
        <v>pragmatic play casino demo games</v>
      </c>
    </row>
    <row r="124">
      <c r="B124" s="8" t="str">
        <f>IFERROR(__xludf.DUMMYFUNCTION("""COMPUTED_VALUE"""),"pragmatic play slots demo games")</f>
        <v>pragmatic play slots demo games</v>
      </c>
    </row>
    <row r="125">
      <c r="B125" s="8" t="str">
        <f>IFERROR(__xludf.DUMMYFUNCTION("""COMPUTED_VALUE"""),"evolution games demo games")</f>
        <v>evolution games demo games</v>
      </c>
    </row>
    <row r="126">
      <c r="B126" s="8" t="str">
        <f>IFERROR(__xludf.DUMMYFUNCTION("""COMPUTED_VALUE"""),"evolution casino games demo games")</f>
        <v>evolution casino games demo games</v>
      </c>
    </row>
    <row r="127">
      <c r="B127" s="8" t="str">
        <f>IFERROR(__xludf.DUMMYFUNCTION("""COMPUTED_VALUE"""),"evolution live casino demo games")</f>
        <v>evolution live casino demo games</v>
      </c>
    </row>
    <row r="128">
      <c r="B128" s="8" t="str">
        <f>IFERROR(__xludf.DUMMYFUNCTION("""COMPUTED_VALUE"""),"multislot games demo games")</f>
        <v>multislot games demo games</v>
      </c>
    </row>
    <row r="129">
      <c r="B129" s="8" t="str">
        <f>IFERROR(__xludf.DUMMYFUNCTION("""COMPUTED_VALUE"""),"multi slots demo games")</f>
        <v>multi slots demo games</v>
      </c>
    </row>
    <row r="130">
      <c r="B130" s="8" t="str">
        <f>IFERROR(__xludf.DUMMYFUNCTION("""COMPUTED_VALUE"""),"live casino providers demo games")</f>
        <v>live casino providers demo games</v>
      </c>
    </row>
    <row r="131">
      <c r="B131" s="8" t="str">
        <f>IFERROR(__xludf.DUMMYFUNCTION("""COMPUTED_VALUE"""),"casino providers demo games")</f>
        <v>casino providers demo games</v>
      </c>
    </row>
    <row r="132">
      <c r="B132" s="8" t="str">
        <f>IFERROR(__xludf.DUMMYFUNCTION("""COMPUTED_VALUE"""),"pragmatic play games free demo")</f>
        <v>pragmatic play games free demo</v>
      </c>
    </row>
    <row r="133">
      <c r="B133" s="8" t="str">
        <f>IFERROR(__xludf.DUMMYFUNCTION("""COMPUTED_VALUE"""),"pragmatic play casino free demo")</f>
        <v>pragmatic play casino free demo</v>
      </c>
    </row>
    <row r="134">
      <c r="B134" s="8" t="str">
        <f>IFERROR(__xludf.DUMMYFUNCTION("""COMPUTED_VALUE"""),"pragmatic play slots free demo")</f>
        <v>pragmatic play slots free demo</v>
      </c>
    </row>
    <row r="135">
      <c r="B135" s="8" t="str">
        <f>IFERROR(__xludf.DUMMYFUNCTION("""COMPUTED_VALUE"""),"evolution games free demo")</f>
        <v>evolution games free demo</v>
      </c>
    </row>
    <row r="136">
      <c r="B136" s="8" t="str">
        <f>IFERROR(__xludf.DUMMYFUNCTION("""COMPUTED_VALUE"""),"evolution casino games free demo")</f>
        <v>evolution casino games free demo</v>
      </c>
    </row>
    <row r="137">
      <c r="B137" s="8" t="str">
        <f>IFERROR(__xludf.DUMMYFUNCTION("""COMPUTED_VALUE"""),"evolution live casino free demo")</f>
        <v>evolution live casino free demo</v>
      </c>
    </row>
    <row r="138">
      <c r="B138" s="8" t="str">
        <f>IFERROR(__xludf.DUMMYFUNCTION("""COMPUTED_VALUE"""),"multislot games free demo")</f>
        <v>multislot games free demo</v>
      </c>
    </row>
    <row r="139">
      <c r="B139" s="8" t="str">
        <f>IFERROR(__xludf.DUMMYFUNCTION("""COMPUTED_VALUE"""),"multi slots free demo")</f>
        <v>multi slots free demo</v>
      </c>
    </row>
    <row r="140">
      <c r="B140" s="8" t="str">
        <f>IFERROR(__xludf.DUMMYFUNCTION("""COMPUTED_VALUE"""),"live casino providers free demo")</f>
        <v>live casino providers free demo</v>
      </c>
    </row>
    <row r="141">
      <c r="B141" s="8" t="str">
        <f>IFERROR(__xludf.DUMMYFUNCTION("""COMPUTED_VALUE"""),"casino providers free demo")</f>
        <v>casino providers free demo</v>
      </c>
    </row>
    <row r="142">
      <c r="B142" s="8" t="str">
        <f>IFERROR(__xludf.DUMMYFUNCTION("""COMPUTED_VALUE"""),"pragmatic play games live dealer")</f>
        <v>pragmatic play games live dealer</v>
      </c>
    </row>
    <row r="143">
      <c r="B143" s="8" t="str">
        <f>IFERROR(__xludf.DUMMYFUNCTION("""COMPUTED_VALUE"""),"pragmatic play casino live dealer")</f>
        <v>pragmatic play casino live dealer</v>
      </c>
    </row>
    <row r="144">
      <c r="B144" s="8" t="str">
        <f>IFERROR(__xludf.DUMMYFUNCTION("""COMPUTED_VALUE"""),"pragmatic play slots live dealer")</f>
        <v>pragmatic play slots live dealer</v>
      </c>
    </row>
    <row r="145">
      <c r="B145" s="8" t="str">
        <f>IFERROR(__xludf.DUMMYFUNCTION("""COMPUTED_VALUE"""),"evolution games live dealer")</f>
        <v>evolution games live dealer</v>
      </c>
    </row>
    <row r="146">
      <c r="B146" s="8" t="str">
        <f>IFERROR(__xludf.DUMMYFUNCTION("""COMPUTED_VALUE"""),"evolution casino games live dealer")</f>
        <v>evolution casino games live dealer</v>
      </c>
    </row>
    <row r="147">
      <c r="B147" s="8" t="str">
        <f>IFERROR(__xludf.DUMMYFUNCTION("""COMPUTED_VALUE"""),"evolution live casino live dealer")</f>
        <v>evolution live casino live dealer</v>
      </c>
    </row>
    <row r="148">
      <c r="B148" s="8" t="str">
        <f>IFERROR(__xludf.DUMMYFUNCTION("""COMPUTED_VALUE"""),"multislot games live dealer")</f>
        <v>multislot games live dealer</v>
      </c>
    </row>
    <row r="149">
      <c r="B149" s="8" t="str">
        <f>IFERROR(__xludf.DUMMYFUNCTION("""COMPUTED_VALUE"""),"multi slots live dealer")</f>
        <v>multi slots live dealer</v>
      </c>
    </row>
    <row r="150">
      <c r="B150" s="8" t="str">
        <f>IFERROR(__xludf.DUMMYFUNCTION("""COMPUTED_VALUE"""),"live casino providers live dealer")</f>
        <v>live casino providers live dealer</v>
      </c>
    </row>
    <row r="151">
      <c r="B151" s="8" t="str">
        <f>IFERROR(__xludf.DUMMYFUNCTION("""COMPUTED_VALUE"""),"casino providers live dealer")</f>
        <v>casino providers live dealer</v>
      </c>
    </row>
    <row r="152">
      <c r="B152" s="8" t="str">
        <f>IFERROR(__xludf.DUMMYFUNCTION("""COMPUTED_VALUE"""),"pragmatic play games game shows")</f>
        <v>pragmatic play games game shows</v>
      </c>
    </row>
    <row r="153">
      <c r="B153" s="8" t="str">
        <f>IFERROR(__xludf.DUMMYFUNCTION("""COMPUTED_VALUE"""),"pragmatic play casino game shows")</f>
        <v>pragmatic play casino game shows</v>
      </c>
    </row>
    <row r="154">
      <c r="B154" s="8" t="str">
        <f>IFERROR(__xludf.DUMMYFUNCTION("""COMPUTED_VALUE"""),"pragmatic play slots game shows")</f>
        <v>pragmatic play slots game shows</v>
      </c>
    </row>
    <row r="155">
      <c r="B155" s="8" t="str">
        <f>IFERROR(__xludf.DUMMYFUNCTION("""COMPUTED_VALUE"""),"evolution games game shows")</f>
        <v>evolution games game shows</v>
      </c>
    </row>
    <row r="156">
      <c r="B156" s="8" t="str">
        <f>IFERROR(__xludf.DUMMYFUNCTION("""COMPUTED_VALUE"""),"evolution casino games game shows")</f>
        <v>evolution casino games game shows</v>
      </c>
    </row>
    <row r="157">
      <c r="B157" s="8" t="str">
        <f>IFERROR(__xludf.DUMMYFUNCTION("""COMPUTED_VALUE"""),"evolution live casino game shows")</f>
        <v>evolution live casino game shows</v>
      </c>
    </row>
    <row r="158">
      <c r="B158" s="8" t="str">
        <f>IFERROR(__xludf.DUMMYFUNCTION("""COMPUTED_VALUE"""),"multislot games game shows")</f>
        <v>multislot games game shows</v>
      </c>
    </row>
    <row r="159">
      <c r="B159" s="8" t="str">
        <f>IFERROR(__xludf.DUMMYFUNCTION("""COMPUTED_VALUE"""),"multi slots game shows")</f>
        <v>multi slots game shows</v>
      </c>
    </row>
    <row r="160">
      <c r="B160" s="8" t="str">
        <f>IFERROR(__xludf.DUMMYFUNCTION("""COMPUTED_VALUE"""),"live casino providers game shows")</f>
        <v>live casino providers game shows</v>
      </c>
    </row>
    <row r="161">
      <c r="B161" s="8" t="str">
        <f>IFERROR(__xludf.DUMMYFUNCTION("""COMPUTED_VALUE"""),"casino providers game shows")</f>
        <v>casino providers game shows</v>
      </c>
    </row>
    <row r="162">
      <c r="B162" s="8" t="str">
        <f>IFERROR(__xludf.DUMMYFUNCTION("""COMPUTED_VALUE"""),"pragmatic play games blackjack")</f>
        <v>pragmatic play games blackjack</v>
      </c>
    </row>
    <row r="163">
      <c r="B163" s="8" t="str">
        <f>IFERROR(__xludf.DUMMYFUNCTION("""COMPUTED_VALUE"""),"pragmatic play casino blackjack")</f>
        <v>pragmatic play casino blackjack</v>
      </c>
    </row>
    <row r="164">
      <c r="B164" s="8" t="str">
        <f>IFERROR(__xludf.DUMMYFUNCTION("""COMPUTED_VALUE"""),"pragmatic play slots blackjack")</f>
        <v>pragmatic play slots blackjack</v>
      </c>
    </row>
    <row r="165">
      <c r="B165" s="8" t="str">
        <f>IFERROR(__xludf.DUMMYFUNCTION("""COMPUTED_VALUE"""),"evolution games blackjack")</f>
        <v>evolution games blackjack</v>
      </c>
    </row>
    <row r="166">
      <c r="B166" s="8" t="str">
        <f>IFERROR(__xludf.DUMMYFUNCTION("""COMPUTED_VALUE"""),"evolution casino games blackjack")</f>
        <v>evolution casino games blackjack</v>
      </c>
    </row>
    <row r="167">
      <c r="B167" s="8" t="str">
        <f>IFERROR(__xludf.DUMMYFUNCTION("""COMPUTED_VALUE"""),"evolution live casino blackjack")</f>
        <v>evolution live casino blackjack</v>
      </c>
    </row>
    <row r="168">
      <c r="B168" s="8" t="str">
        <f>IFERROR(__xludf.DUMMYFUNCTION("""COMPUTED_VALUE"""),"multislot games blackjack")</f>
        <v>multislot games blackjack</v>
      </c>
    </row>
    <row r="169">
      <c r="B169" s="8" t="str">
        <f>IFERROR(__xludf.DUMMYFUNCTION("""COMPUTED_VALUE"""),"multi slots blackjack")</f>
        <v>multi slots blackjack</v>
      </c>
    </row>
    <row r="170">
      <c r="B170" s="8" t="str">
        <f>IFERROR(__xludf.DUMMYFUNCTION("""COMPUTED_VALUE"""),"live casino providers blackjack")</f>
        <v>live casino providers blackjack</v>
      </c>
    </row>
    <row r="171">
      <c r="B171" s="8" t="str">
        <f>IFERROR(__xludf.DUMMYFUNCTION("""COMPUTED_VALUE"""),"casino providers blackjack")</f>
        <v>casino providers blackjack</v>
      </c>
    </row>
    <row r="172">
      <c r="B172" s="8" t="str">
        <f>IFERROR(__xludf.DUMMYFUNCTION("""COMPUTED_VALUE"""),"pragmatic play games roulette")</f>
        <v>pragmatic play games roulette</v>
      </c>
    </row>
    <row r="173">
      <c r="B173" s="8" t="str">
        <f>IFERROR(__xludf.DUMMYFUNCTION("""COMPUTED_VALUE"""),"pragmatic play casino roulette")</f>
        <v>pragmatic play casino roulette</v>
      </c>
    </row>
    <row r="174">
      <c r="B174" s="8" t="str">
        <f>IFERROR(__xludf.DUMMYFUNCTION("""COMPUTED_VALUE"""),"pragmatic play slots roulette")</f>
        <v>pragmatic play slots roulette</v>
      </c>
    </row>
    <row r="175">
      <c r="B175" s="8" t="str">
        <f>IFERROR(__xludf.DUMMYFUNCTION("""COMPUTED_VALUE"""),"evolution games roulette")</f>
        <v>evolution games roulette</v>
      </c>
    </row>
    <row r="176">
      <c r="B176" s="8" t="str">
        <f>IFERROR(__xludf.DUMMYFUNCTION("""COMPUTED_VALUE"""),"evolution casino games roulette")</f>
        <v>evolution casino games roulette</v>
      </c>
    </row>
    <row r="177">
      <c r="B177" s="8" t="str">
        <f>IFERROR(__xludf.DUMMYFUNCTION("""COMPUTED_VALUE"""),"evolution live casino roulette")</f>
        <v>evolution live casino roulette</v>
      </c>
    </row>
    <row r="178">
      <c r="B178" s="8" t="str">
        <f>IFERROR(__xludf.DUMMYFUNCTION("""COMPUTED_VALUE"""),"multislot games roulette")</f>
        <v>multislot games roulette</v>
      </c>
    </row>
    <row r="179">
      <c r="B179" s="8" t="str">
        <f>IFERROR(__xludf.DUMMYFUNCTION("""COMPUTED_VALUE"""),"multi slots roulette")</f>
        <v>multi slots roulette</v>
      </c>
    </row>
    <row r="180">
      <c r="B180" s="8" t="str">
        <f>IFERROR(__xludf.DUMMYFUNCTION("""COMPUTED_VALUE"""),"live casino providers roulette")</f>
        <v>live casino providers roulette</v>
      </c>
    </row>
    <row r="181">
      <c r="B181" s="8" t="str">
        <f>IFERROR(__xludf.DUMMYFUNCTION("""COMPUTED_VALUE"""),"casino providers roulette")</f>
        <v>casino providers roulette</v>
      </c>
    </row>
    <row r="182">
      <c r="B182" s="8" t="str">
        <f>IFERROR(__xludf.DUMMYFUNCTION("""COMPUTED_VALUE"""),"pragmatic play games jackpot")</f>
        <v>pragmatic play games jackpot</v>
      </c>
    </row>
    <row r="183">
      <c r="B183" s="8" t="str">
        <f>IFERROR(__xludf.DUMMYFUNCTION("""COMPUTED_VALUE"""),"pragmatic play casino jackpot")</f>
        <v>pragmatic play casino jackpot</v>
      </c>
    </row>
    <row r="184">
      <c r="B184" s="8" t="str">
        <f>IFERROR(__xludf.DUMMYFUNCTION("""COMPUTED_VALUE"""),"pragmatic play slots jackpot")</f>
        <v>pragmatic play slots jackpot</v>
      </c>
    </row>
    <row r="185">
      <c r="B185" s="8" t="str">
        <f>IFERROR(__xludf.DUMMYFUNCTION("""COMPUTED_VALUE"""),"evolution games jackpot")</f>
        <v>evolution games jackpot</v>
      </c>
    </row>
    <row r="186">
      <c r="B186" s="8" t="str">
        <f>IFERROR(__xludf.DUMMYFUNCTION("""COMPUTED_VALUE"""),"evolution casino games jackpot")</f>
        <v>evolution casino games jackpot</v>
      </c>
    </row>
    <row r="187">
      <c r="B187" s="8" t="str">
        <f>IFERROR(__xludf.DUMMYFUNCTION("""COMPUTED_VALUE"""),"evolution live casino jackpot")</f>
        <v>evolution live casino jackpot</v>
      </c>
    </row>
    <row r="188">
      <c r="B188" s="8" t="str">
        <f>IFERROR(__xludf.DUMMYFUNCTION("""COMPUTED_VALUE"""),"multislot games jackpot")</f>
        <v>multislot games jackpot</v>
      </c>
    </row>
    <row r="189">
      <c r="B189" s="8" t="str">
        <f>IFERROR(__xludf.DUMMYFUNCTION("""COMPUTED_VALUE"""),"multi slots jackpot")</f>
        <v>multi slots jackpot</v>
      </c>
    </row>
    <row r="190">
      <c r="B190" s="8" t="str">
        <f>IFERROR(__xludf.DUMMYFUNCTION("""COMPUTED_VALUE"""),"live casino providers jackpot")</f>
        <v>live casino providers jackpot</v>
      </c>
    </row>
    <row r="191">
      <c r="B191" s="8" t="str">
        <f>IFERROR(__xludf.DUMMYFUNCTION("""COMPUTED_VALUE"""),"casino providers jackpot")</f>
        <v>casino providers jackpot</v>
      </c>
    </row>
    <row r="192">
      <c r="B192" s="8" t="str">
        <f>IFERROR(__xludf.DUMMYFUNCTION("""COMPUTED_VALUE"""),"pragmatic play games bonus")</f>
        <v>pragmatic play games bonus</v>
      </c>
    </row>
    <row r="193">
      <c r="B193" s="8" t="str">
        <f>IFERROR(__xludf.DUMMYFUNCTION("""COMPUTED_VALUE"""),"pragmatic play casino bonus")</f>
        <v>pragmatic play casino bonus</v>
      </c>
    </row>
    <row r="194">
      <c r="B194" s="8" t="str">
        <f>IFERROR(__xludf.DUMMYFUNCTION("""COMPUTED_VALUE"""),"pragmatic play slots bonus")</f>
        <v>pragmatic play slots bonus</v>
      </c>
    </row>
    <row r="195">
      <c r="B195" s="8" t="str">
        <f>IFERROR(__xludf.DUMMYFUNCTION("""COMPUTED_VALUE"""),"evolution games bonus")</f>
        <v>evolution games bonus</v>
      </c>
    </row>
    <row r="196">
      <c r="B196" s="8" t="str">
        <f>IFERROR(__xludf.DUMMYFUNCTION("""COMPUTED_VALUE"""),"evolution casino games bonus")</f>
        <v>evolution casino games bonus</v>
      </c>
    </row>
    <row r="197">
      <c r="B197" s="8" t="str">
        <f>IFERROR(__xludf.DUMMYFUNCTION("""COMPUTED_VALUE"""),"evolution live casino bonus")</f>
        <v>evolution live casino bonus</v>
      </c>
    </row>
    <row r="198">
      <c r="B198" s="8" t="str">
        <f>IFERROR(__xludf.DUMMYFUNCTION("""COMPUTED_VALUE"""),"multislot games bonus")</f>
        <v>multislot games bonus</v>
      </c>
    </row>
    <row r="199">
      <c r="B199" s="8" t="str">
        <f>IFERROR(__xludf.DUMMYFUNCTION("""COMPUTED_VALUE"""),"multi slots bonus")</f>
        <v>multi slots bonus</v>
      </c>
    </row>
    <row r="200">
      <c r="B200" s="8" t="str">
        <f>IFERROR(__xludf.DUMMYFUNCTION("""COMPUTED_VALUE"""),"live casino providers bonus")</f>
        <v>live casino providers bonus</v>
      </c>
    </row>
    <row r="201">
      <c r="B201" s="8" t="str">
        <f>IFERROR(__xludf.DUMMYFUNCTION("""COMPUTED_VALUE"""),"casino providers bonus")</f>
        <v>casino providers bonus</v>
      </c>
    </row>
    <row r="202">
      <c r="B202" s="8" t="str">
        <f>IFERROR(__xludf.DUMMYFUNCTION("""COMPUTED_VALUE"""),"pragmatic play games free spins")</f>
        <v>pragmatic play games free spins</v>
      </c>
    </row>
    <row r="203">
      <c r="B203" s="8" t="str">
        <f>IFERROR(__xludf.DUMMYFUNCTION("""COMPUTED_VALUE"""),"pragmatic play casino free spins")</f>
        <v>pragmatic play casino free spins</v>
      </c>
    </row>
    <row r="204">
      <c r="B204" s="8" t="str">
        <f>IFERROR(__xludf.DUMMYFUNCTION("""COMPUTED_VALUE"""),"pragmatic play slots free spins")</f>
        <v>pragmatic play slots free spins</v>
      </c>
    </row>
    <row r="205">
      <c r="B205" s="8" t="str">
        <f>IFERROR(__xludf.DUMMYFUNCTION("""COMPUTED_VALUE"""),"evolution games free spins")</f>
        <v>evolution games free spins</v>
      </c>
    </row>
    <row r="206">
      <c r="B206" s="8" t="str">
        <f>IFERROR(__xludf.DUMMYFUNCTION("""COMPUTED_VALUE"""),"evolution casino games free spins")</f>
        <v>evolution casino games free spins</v>
      </c>
    </row>
    <row r="207">
      <c r="B207" s="8" t="str">
        <f>IFERROR(__xludf.DUMMYFUNCTION("""COMPUTED_VALUE"""),"evolution live casino free spins")</f>
        <v>evolution live casino free spins</v>
      </c>
    </row>
    <row r="208">
      <c r="B208" s="8" t="str">
        <f>IFERROR(__xludf.DUMMYFUNCTION("""COMPUTED_VALUE"""),"multislot games free spins")</f>
        <v>multislot games free spins</v>
      </c>
    </row>
    <row r="209">
      <c r="B209" s="8" t="str">
        <f>IFERROR(__xludf.DUMMYFUNCTION("""COMPUTED_VALUE"""),"multi slots free spins")</f>
        <v>multi slots free spins</v>
      </c>
    </row>
    <row r="210">
      <c r="B210" s="8" t="str">
        <f>IFERROR(__xludf.DUMMYFUNCTION("""COMPUTED_VALUE"""),"live casino providers free spins")</f>
        <v>live casino providers free spins</v>
      </c>
    </row>
    <row r="211">
      <c r="B211" s="8" t="str">
        <f>IFERROR(__xludf.DUMMYFUNCTION("""COMPUTED_VALUE"""),"casino providers free spins")</f>
        <v>casino providers free spins</v>
      </c>
    </row>
    <row r="212">
      <c r="B212" s="8" t="str">
        <f>IFERROR(__xludf.DUMMYFUNCTION("""COMPUTED_VALUE"""),"pragmatic play games review")</f>
        <v>pragmatic play games review</v>
      </c>
    </row>
    <row r="213">
      <c r="B213" s="8" t="str">
        <f>IFERROR(__xludf.DUMMYFUNCTION("""COMPUTED_VALUE"""),"pragmatic play casino review")</f>
        <v>pragmatic play casino review</v>
      </c>
    </row>
    <row r="214">
      <c r="B214" s="8" t="str">
        <f>IFERROR(__xludf.DUMMYFUNCTION("""COMPUTED_VALUE"""),"pragmatic play slots review")</f>
        <v>pragmatic play slots review</v>
      </c>
    </row>
    <row r="215">
      <c r="B215" s="8" t="str">
        <f>IFERROR(__xludf.DUMMYFUNCTION("""COMPUTED_VALUE"""),"evolution games review")</f>
        <v>evolution games review</v>
      </c>
    </row>
    <row r="216">
      <c r="B216" s="8" t="str">
        <f>IFERROR(__xludf.DUMMYFUNCTION("""COMPUTED_VALUE"""),"evolution casino games review")</f>
        <v>evolution casino games review</v>
      </c>
    </row>
    <row r="217">
      <c r="B217" s="8" t="str">
        <f>IFERROR(__xludf.DUMMYFUNCTION("""COMPUTED_VALUE"""),"evolution live casino review")</f>
        <v>evolution live casino review</v>
      </c>
    </row>
    <row r="218">
      <c r="B218" s="8" t="str">
        <f>IFERROR(__xludf.DUMMYFUNCTION("""COMPUTED_VALUE"""),"multislot games review")</f>
        <v>multislot games review</v>
      </c>
    </row>
    <row r="219">
      <c r="B219" s="8" t="str">
        <f>IFERROR(__xludf.DUMMYFUNCTION("""COMPUTED_VALUE"""),"multi slots review")</f>
        <v>multi slots review</v>
      </c>
    </row>
    <row r="220">
      <c r="B220" s="8" t="str">
        <f>IFERROR(__xludf.DUMMYFUNCTION("""COMPUTED_VALUE"""),"live casino providers review")</f>
        <v>live casino providers review</v>
      </c>
    </row>
    <row r="221">
      <c r="B221" s="8" t="str">
        <f>IFERROR(__xludf.DUMMYFUNCTION("""COMPUTED_VALUE"""),"casino providers review")</f>
        <v>casino providers review</v>
      </c>
    </row>
    <row r="222">
      <c r="B222" s="8" t="str">
        <f>IFERROR(__xludf.DUMMYFUNCTION("""COMPUTED_VALUE"""),"pragmatic play games reviews")</f>
        <v>pragmatic play games reviews</v>
      </c>
    </row>
    <row r="223">
      <c r="B223" s="8" t="str">
        <f>IFERROR(__xludf.DUMMYFUNCTION("""COMPUTED_VALUE"""),"pragmatic play casino reviews")</f>
        <v>pragmatic play casino reviews</v>
      </c>
    </row>
    <row r="224">
      <c r="B224" s="8" t="str">
        <f>IFERROR(__xludf.DUMMYFUNCTION("""COMPUTED_VALUE"""),"pragmatic play slots reviews")</f>
        <v>pragmatic play slots reviews</v>
      </c>
    </row>
    <row r="225">
      <c r="B225" s="8" t="str">
        <f>IFERROR(__xludf.DUMMYFUNCTION("""COMPUTED_VALUE"""),"evolution games reviews")</f>
        <v>evolution games reviews</v>
      </c>
    </row>
    <row r="226">
      <c r="B226" s="8" t="str">
        <f>IFERROR(__xludf.DUMMYFUNCTION("""COMPUTED_VALUE"""),"evolution casino games reviews")</f>
        <v>evolution casino games reviews</v>
      </c>
    </row>
    <row r="227">
      <c r="B227" s="8" t="str">
        <f>IFERROR(__xludf.DUMMYFUNCTION("""COMPUTED_VALUE"""),"evolution live casino reviews")</f>
        <v>evolution live casino reviews</v>
      </c>
    </row>
    <row r="228">
      <c r="B228" s="8" t="str">
        <f>IFERROR(__xludf.DUMMYFUNCTION("""COMPUTED_VALUE"""),"multislot games reviews")</f>
        <v>multislot games reviews</v>
      </c>
    </row>
    <row r="229">
      <c r="B229" s="8" t="str">
        <f>IFERROR(__xludf.DUMMYFUNCTION("""COMPUTED_VALUE"""),"multi slots reviews")</f>
        <v>multi slots reviews</v>
      </c>
    </row>
    <row r="230">
      <c r="B230" s="8" t="str">
        <f>IFERROR(__xludf.DUMMYFUNCTION("""COMPUTED_VALUE"""),"live casino providers reviews")</f>
        <v>live casino providers reviews</v>
      </c>
    </row>
    <row r="231">
      <c r="B231" s="8" t="str">
        <f>IFERROR(__xludf.DUMMYFUNCTION("""COMPUTED_VALUE"""),"casino providers reviews")</f>
        <v>casino providers reviews</v>
      </c>
    </row>
    <row r="232">
      <c r="B232" s="8" t="str">
        <f>IFERROR(__xludf.DUMMYFUNCTION("""COMPUTED_VALUE"""),"pragmatic play games rules")</f>
        <v>pragmatic play games rules</v>
      </c>
    </row>
    <row r="233">
      <c r="B233" s="8" t="str">
        <f>IFERROR(__xludf.DUMMYFUNCTION("""COMPUTED_VALUE"""),"pragmatic play casino rules")</f>
        <v>pragmatic play casino rules</v>
      </c>
    </row>
    <row r="234">
      <c r="B234" s="8" t="str">
        <f>IFERROR(__xludf.DUMMYFUNCTION("""COMPUTED_VALUE"""),"pragmatic play slots rules")</f>
        <v>pragmatic play slots rules</v>
      </c>
    </row>
    <row r="235">
      <c r="B235" s="8" t="str">
        <f>IFERROR(__xludf.DUMMYFUNCTION("""COMPUTED_VALUE"""),"evolution games rules")</f>
        <v>evolution games rules</v>
      </c>
    </row>
    <row r="236">
      <c r="B236" s="8" t="str">
        <f>IFERROR(__xludf.DUMMYFUNCTION("""COMPUTED_VALUE"""),"evolution casino games rules")</f>
        <v>evolution casino games rules</v>
      </c>
    </row>
    <row r="237">
      <c r="B237" s="8" t="str">
        <f>IFERROR(__xludf.DUMMYFUNCTION("""COMPUTED_VALUE"""),"evolution live casino rules")</f>
        <v>evolution live casino rules</v>
      </c>
    </row>
    <row r="238">
      <c r="B238" s="8" t="str">
        <f>IFERROR(__xludf.DUMMYFUNCTION("""COMPUTED_VALUE"""),"multislot games rules")</f>
        <v>multislot games rules</v>
      </c>
    </row>
    <row r="239">
      <c r="B239" s="8" t="str">
        <f>IFERROR(__xludf.DUMMYFUNCTION("""COMPUTED_VALUE"""),"multi slots rules")</f>
        <v>multi slots rules</v>
      </c>
    </row>
    <row r="240">
      <c r="B240" s="8" t="str">
        <f>IFERROR(__xludf.DUMMYFUNCTION("""COMPUTED_VALUE"""),"live casino providers rules")</f>
        <v>live casino providers rules</v>
      </c>
    </row>
    <row r="241">
      <c r="B241" s="8" t="str">
        <f>IFERROR(__xludf.DUMMYFUNCTION("""COMPUTED_VALUE"""),"casino providers rules")</f>
        <v>casino providers rules</v>
      </c>
    </row>
    <row r="242">
      <c r="B242" s="8" t="str">
        <f>IFERROR(__xludf.DUMMYFUNCTION("""COMPUTED_VALUE"""),"pragmatic play games paradise games")</f>
        <v>pragmatic play games paradise games</v>
      </c>
    </row>
    <row r="243">
      <c r="B243" s="8" t="str">
        <f>IFERROR(__xludf.DUMMYFUNCTION("""COMPUTED_VALUE"""),"pragmatic play casino paradise games")</f>
        <v>pragmatic play casino paradise games</v>
      </c>
    </row>
    <row r="244">
      <c r="B244" s="8" t="str">
        <f>IFERROR(__xludf.DUMMYFUNCTION("""COMPUTED_VALUE"""),"pragmatic play slots paradise games")</f>
        <v>pragmatic play slots paradise games</v>
      </c>
    </row>
    <row r="245">
      <c r="B245" s="8" t="str">
        <f>IFERROR(__xludf.DUMMYFUNCTION("""COMPUTED_VALUE"""),"evolution games paradise games")</f>
        <v>evolution games paradise games</v>
      </c>
    </row>
    <row r="246">
      <c r="B246" s="8" t="str">
        <f>IFERROR(__xludf.DUMMYFUNCTION("""COMPUTED_VALUE"""),"evolution casino games paradise games")</f>
        <v>evolution casino games paradise games</v>
      </c>
    </row>
    <row r="247">
      <c r="B247" s="8" t="str">
        <f>IFERROR(__xludf.DUMMYFUNCTION("""COMPUTED_VALUE"""),"evolution live casino paradise games")</f>
        <v>evolution live casino paradise games</v>
      </c>
    </row>
    <row r="248">
      <c r="B248" s="8" t="str">
        <f>IFERROR(__xludf.DUMMYFUNCTION("""COMPUTED_VALUE"""),"multislot games paradise games")</f>
        <v>multislot games paradise games</v>
      </c>
    </row>
    <row r="249">
      <c r="B249" s="8" t="str">
        <f>IFERROR(__xludf.DUMMYFUNCTION("""COMPUTED_VALUE"""),"multi slots paradise games")</f>
        <v>multi slots paradise games</v>
      </c>
    </row>
    <row r="250">
      <c r="B250" s="8" t="str">
        <f>IFERROR(__xludf.DUMMYFUNCTION("""COMPUTED_VALUE"""),"live casino providers paradise games")</f>
        <v>live casino providers paradise games</v>
      </c>
    </row>
    <row r="251">
      <c r="B251" s="8" t="str">
        <f>IFERROR(__xludf.DUMMYFUNCTION("""COMPUTED_VALUE"""),"casino providers paradise games")</f>
        <v>casino providers paradise games</v>
      </c>
    </row>
    <row r="252">
      <c r="B252" s="8" t="str">
        <f>IFERROR(__xludf.DUMMYFUNCTION("""COMPUTED_VALUE"""),"pragmatic play games island luck")</f>
        <v>pragmatic play games island luck</v>
      </c>
    </row>
    <row r="253">
      <c r="B253" s="8" t="str">
        <f>IFERROR(__xludf.DUMMYFUNCTION("""COMPUTED_VALUE"""),"pragmatic play casino island luck")</f>
        <v>pragmatic play casino island luck</v>
      </c>
    </row>
    <row r="254">
      <c r="B254" s="8" t="str">
        <f>IFERROR(__xludf.DUMMYFUNCTION("""COMPUTED_VALUE"""),"pragmatic play slots island luck")</f>
        <v>pragmatic play slots island luck</v>
      </c>
    </row>
    <row r="255">
      <c r="B255" s="8" t="str">
        <f>IFERROR(__xludf.DUMMYFUNCTION("""COMPUTED_VALUE"""),"evolution games island luck")</f>
        <v>evolution games island luck</v>
      </c>
    </row>
    <row r="256">
      <c r="B256" s="8" t="str">
        <f>IFERROR(__xludf.DUMMYFUNCTION("""COMPUTED_VALUE"""),"evolution casino games island luck")</f>
        <v>evolution casino games island luck</v>
      </c>
    </row>
    <row r="257">
      <c r="B257" s="8" t="str">
        <f>IFERROR(__xludf.DUMMYFUNCTION("""COMPUTED_VALUE"""),"evolution live casino island luck")</f>
        <v>evolution live casino island luck</v>
      </c>
    </row>
    <row r="258">
      <c r="B258" s="8" t="str">
        <f>IFERROR(__xludf.DUMMYFUNCTION("""COMPUTED_VALUE"""),"multislot games island luck")</f>
        <v>multislot games island luck</v>
      </c>
    </row>
    <row r="259">
      <c r="B259" s="8" t="str">
        <f>IFERROR(__xludf.DUMMYFUNCTION("""COMPUTED_VALUE"""),"multi slots island luck")</f>
        <v>multi slots island luck</v>
      </c>
    </row>
    <row r="260">
      <c r="B260" s="8" t="str">
        <f>IFERROR(__xludf.DUMMYFUNCTION("""COMPUTED_VALUE"""),"live casino providers island luck")</f>
        <v>live casino providers island luck</v>
      </c>
    </row>
    <row r="261">
      <c r="B261" s="8" t="str">
        <f>IFERROR(__xludf.DUMMYFUNCTION("""COMPUTED_VALUE"""),"casino providers island luck")</f>
        <v>casino providers island luck</v>
      </c>
    </row>
    <row r="262">
      <c r="B262" s="8" t="str">
        <f>IFERROR(__xludf.DUMMYFUNCTION("""COMPUTED_VALUE"""),"pragmatic play games chances")</f>
        <v>pragmatic play games chances</v>
      </c>
    </row>
    <row r="263">
      <c r="B263" s="8" t="str">
        <f>IFERROR(__xludf.DUMMYFUNCTION("""COMPUTED_VALUE"""),"pragmatic play casino chances")</f>
        <v>pragmatic play casino chances</v>
      </c>
    </row>
    <row r="264">
      <c r="B264" s="8" t="str">
        <f>IFERROR(__xludf.DUMMYFUNCTION("""COMPUTED_VALUE"""),"pragmatic play slots chances")</f>
        <v>pragmatic play slots chances</v>
      </c>
    </row>
    <row r="265">
      <c r="B265" s="8" t="str">
        <f>IFERROR(__xludf.DUMMYFUNCTION("""COMPUTED_VALUE"""),"evolution games chances")</f>
        <v>evolution games chances</v>
      </c>
    </row>
    <row r="266">
      <c r="B266" s="8" t="str">
        <f>IFERROR(__xludf.DUMMYFUNCTION("""COMPUTED_VALUE"""),"evolution casino games chances")</f>
        <v>evolution casino games chances</v>
      </c>
    </row>
    <row r="267">
      <c r="B267" s="8" t="str">
        <f>IFERROR(__xludf.DUMMYFUNCTION("""COMPUTED_VALUE"""),"evolution live casino chances")</f>
        <v>evolution live casino chances</v>
      </c>
    </row>
    <row r="268">
      <c r="B268" s="8" t="str">
        <f>IFERROR(__xludf.DUMMYFUNCTION("""COMPUTED_VALUE"""),"multislot games chances")</f>
        <v>multislot games chances</v>
      </c>
    </row>
    <row r="269">
      <c r="B269" s="8" t="str">
        <f>IFERROR(__xludf.DUMMYFUNCTION("""COMPUTED_VALUE"""),"multi slots chances")</f>
        <v>multi slots chances</v>
      </c>
    </row>
    <row r="270">
      <c r="B270" s="8" t="str">
        <f>IFERROR(__xludf.DUMMYFUNCTION("""COMPUTED_VALUE"""),"live casino providers chances")</f>
        <v>live casino providers chances</v>
      </c>
    </row>
    <row r="271">
      <c r="B271" s="8" t="str">
        <f>IFERROR(__xludf.DUMMYFUNCTION("""COMPUTED_VALUE"""),"casino providers chances")</f>
        <v>casino providers chances</v>
      </c>
    </row>
    <row r="272">
      <c r="B272" s="8" t="str">
        <f>IFERROR(__xludf.DUMMYFUNCTION("""COMPUTED_VALUE"""),"pragmatic play games ultra games")</f>
        <v>pragmatic play games ultra games</v>
      </c>
    </row>
    <row r="273">
      <c r="B273" s="8" t="str">
        <f>IFERROR(__xludf.DUMMYFUNCTION("""COMPUTED_VALUE"""),"pragmatic play casino ultra games")</f>
        <v>pragmatic play casino ultra games</v>
      </c>
    </row>
    <row r="274">
      <c r="B274" s="8" t="str">
        <f>IFERROR(__xludf.DUMMYFUNCTION("""COMPUTED_VALUE"""),"pragmatic play slots ultra games")</f>
        <v>pragmatic play slots ultra games</v>
      </c>
    </row>
    <row r="275">
      <c r="B275" s="8" t="str">
        <f>IFERROR(__xludf.DUMMYFUNCTION("""COMPUTED_VALUE"""),"evolution games ultra games")</f>
        <v>evolution games ultra games</v>
      </c>
    </row>
    <row r="276">
      <c r="B276" s="8" t="str">
        <f>IFERROR(__xludf.DUMMYFUNCTION("""COMPUTED_VALUE"""),"evolution casino games ultra games")</f>
        <v>evolution casino games ultra games</v>
      </c>
    </row>
    <row r="277">
      <c r="B277" s="8" t="str">
        <f>IFERROR(__xludf.DUMMYFUNCTION("""COMPUTED_VALUE"""),"evolution live casino ultra games")</f>
        <v>evolution live casino ultra games</v>
      </c>
    </row>
    <row r="278">
      <c r="B278" s="8" t="str">
        <f>IFERROR(__xludf.DUMMYFUNCTION("""COMPUTED_VALUE"""),"multislot games ultra games")</f>
        <v>multislot games ultra games</v>
      </c>
    </row>
    <row r="279">
      <c r="B279" s="8" t="str">
        <f>IFERROR(__xludf.DUMMYFUNCTION("""COMPUTED_VALUE"""),"multi slots ultra games")</f>
        <v>multi slots ultra games</v>
      </c>
    </row>
    <row r="280">
      <c r="B280" s="8" t="str">
        <f>IFERROR(__xludf.DUMMYFUNCTION("""COMPUTED_VALUE"""),"live casino providers ultra games")</f>
        <v>live casino providers ultra games</v>
      </c>
    </row>
    <row r="281">
      <c r="B281" s="8" t="str">
        <f>IFERROR(__xludf.DUMMYFUNCTION("""COMPUTED_VALUE"""),"casino providers ultra games")</f>
        <v>casino providers ultra games</v>
      </c>
    </row>
    <row r="282">
      <c r="B282" s="8" t="str">
        <f>IFERROR(__xludf.DUMMYFUNCTION("""COMPUTED_VALUE"""),"pragmatic play games casino app")</f>
        <v>pragmatic play games casino app</v>
      </c>
    </row>
    <row r="283">
      <c r="B283" s="8" t="str">
        <f>IFERROR(__xludf.DUMMYFUNCTION("""COMPUTED_VALUE"""),"pragmatic play casino casino app")</f>
        <v>pragmatic play casino casino app</v>
      </c>
    </row>
    <row r="284">
      <c r="B284" s="8" t="str">
        <f>IFERROR(__xludf.DUMMYFUNCTION("""COMPUTED_VALUE"""),"pragmatic play slots casino app")</f>
        <v>pragmatic play slots casino app</v>
      </c>
    </row>
    <row r="285">
      <c r="B285" s="8" t="str">
        <f>IFERROR(__xludf.DUMMYFUNCTION("""COMPUTED_VALUE"""),"evolution games casino app")</f>
        <v>evolution games casino app</v>
      </c>
    </row>
    <row r="286">
      <c r="B286" s="8" t="str">
        <f>IFERROR(__xludf.DUMMYFUNCTION("""COMPUTED_VALUE"""),"evolution casino games casino app")</f>
        <v>evolution casino games casino app</v>
      </c>
    </row>
    <row r="287">
      <c r="B287" s="8" t="str">
        <f>IFERROR(__xludf.DUMMYFUNCTION("""COMPUTED_VALUE"""),"evolution live casino casino app")</f>
        <v>evolution live casino casino app</v>
      </c>
    </row>
    <row r="288">
      <c r="B288" s="8" t="str">
        <f>IFERROR(__xludf.DUMMYFUNCTION("""COMPUTED_VALUE"""),"multislot games casino app")</f>
        <v>multislot games casino app</v>
      </c>
    </row>
    <row r="289">
      <c r="B289" s="8" t="str">
        <f>IFERROR(__xludf.DUMMYFUNCTION("""COMPUTED_VALUE"""),"multi slots casino app")</f>
        <v>multi slots casino app</v>
      </c>
    </row>
    <row r="290">
      <c r="B290" s="8" t="str">
        <f>IFERROR(__xludf.DUMMYFUNCTION("""COMPUTED_VALUE"""),"live casino providers casino app")</f>
        <v>live casino providers casino app</v>
      </c>
    </row>
    <row r="291">
      <c r="B291" s="8" t="str">
        <f>IFERROR(__xludf.DUMMYFUNCTION("""COMPUTED_VALUE"""),"casino providers casino app")</f>
        <v>casino providers casino app</v>
      </c>
    </row>
    <row r="292">
      <c r="B292" s="8" t="str">
        <f>IFERROR(__xludf.DUMMYFUNCTION("""COMPUTED_VALUE"""),"pragmatic play games instant play")</f>
        <v>pragmatic play games instant play</v>
      </c>
    </row>
    <row r="293">
      <c r="B293" s="8" t="str">
        <f>IFERROR(__xludf.DUMMYFUNCTION("""COMPUTED_VALUE"""),"pragmatic play casino instant play")</f>
        <v>pragmatic play casino instant play</v>
      </c>
    </row>
    <row r="294">
      <c r="B294" s="8" t="str">
        <f>IFERROR(__xludf.DUMMYFUNCTION("""COMPUTED_VALUE"""),"pragmatic play slots instant play")</f>
        <v>pragmatic play slots instant play</v>
      </c>
    </row>
    <row r="295">
      <c r="B295" s="8" t="str">
        <f>IFERROR(__xludf.DUMMYFUNCTION("""COMPUTED_VALUE"""),"evolution games instant play")</f>
        <v>evolution games instant play</v>
      </c>
    </row>
    <row r="296">
      <c r="B296" s="8" t="str">
        <f>IFERROR(__xludf.DUMMYFUNCTION("""COMPUTED_VALUE"""),"evolution casino games instant play")</f>
        <v>evolution casino games instant play</v>
      </c>
    </row>
    <row r="297">
      <c r="B297" s="8" t="str">
        <f>IFERROR(__xludf.DUMMYFUNCTION("""COMPUTED_VALUE"""),"evolution live casino instant play")</f>
        <v>evolution live casino instant play</v>
      </c>
    </row>
    <row r="298">
      <c r="B298" s="8" t="str">
        <f>IFERROR(__xludf.DUMMYFUNCTION("""COMPUTED_VALUE"""),"multislot games instant play")</f>
        <v>multislot games instant play</v>
      </c>
    </row>
    <row r="299">
      <c r="B299" s="8" t="str">
        <f>IFERROR(__xludf.DUMMYFUNCTION("""COMPUTED_VALUE"""),"multi slots instant play")</f>
        <v>multi slots instant play</v>
      </c>
    </row>
    <row r="300">
      <c r="B300" s="8" t="str">
        <f>IFERROR(__xludf.DUMMYFUNCTION("""COMPUTED_VALUE"""),"live casino providers instant play")</f>
        <v>live casino providers instant play</v>
      </c>
    </row>
    <row r="301">
      <c r="B301" s="8" t="str">
        <f>IFERROR(__xludf.DUMMYFUNCTION("""COMPUTED_VALUE"""),"casino providers instant play")</f>
        <v>casino providers instant play</v>
      </c>
    </row>
    <row r="302">
      <c r="B302" s="8" t="str">
        <f>IFERROR(__xludf.DUMMYFUNCTION("""COMPUTED_VALUE"""),"pragmatic play games trusted")</f>
        <v>pragmatic play games trusted</v>
      </c>
    </row>
    <row r="303">
      <c r="B303" s="8" t="str">
        <f>IFERROR(__xludf.DUMMYFUNCTION("""COMPUTED_VALUE"""),"pragmatic play casino trusted")</f>
        <v>pragmatic play casino trusted</v>
      </c>
    </row>
    <row r="304">
      <c r="B304" s="8" t="str">
        <f>IFERROR(__xludf.DUMMYFUNCTION("""COMPUTED_VALUE"""),"pragmatic play slots trusted")</f>
        <v>pragmatic play slots trusted</v>
      </c>
    </row>
    <row r="305">
      <c r="B305" s="8" t="str">
        <f>IFERROR(__xludf.DUMMYFUNCTION("""COMPUTED_VALUE"""),"evolution games trusted")</f>
        <v>evolution games trusted</v>
      </c>
    </row>
    <row r="306">
      <c r="B306" s="8" t="str">
        <f>IFERROR(__xludf.DUMMYFUNCTION("""COMPUTED_VALUE"""),"evolution casino games trusted")</f>
        <v>evolution casino games trusted</v>
      </c>
    </row>
    <row r="307">
      <c r="B307" s="8" t="str">
        <f>IFERROR(__xludf.DUMMYFUNCTION("""COMPUTED_VALUE"""),"evolution live casino trusted")</f>
        <v>evolution live casino trusted</v>
      </c>
    </row>
    <row r="308">
      <c r="B308" s="8" t="str">
        <f>IFERROR(__xludf.DUMMYFUNCTION("""COMPUTED_VALUE"""),"multislot games trusted")</f>
        <v>multislot games trusted</v>
      </c>
    </row>
    <row r="309">
      <c r="B309" s="8" t="str">
        <f>IFERROR(__xludf.DUMMYFUNCTION("""COMPUTED_VALUE"""),"multi slots trusted")</f>
        <v>multi slots trusted</v>
      </c>
    </row>
    <row r="310">
      <c r="B310" s="8" t="str">
        <f>IFERROR(__xludf.DUMMYFUNCTION("""COMPUTED_VALUE"""),"live casino providers trusted")</f>
        <v>live casino providers trusted</v>
      </c>
    </row>
    <row r="311">
      <c r="B311" s="8" t="str">
        <f>IFERROR(__xludf.DUMMYFUNCTION("""COMPUTED_VALUE"""),"casino providers trusted")</f>
        <v>casino providers trusted</v>
      </c>
    </row>
    <row r="312">
      <c r="B312" s="8" t="str">
        <f>IFERROR(__xludf.DUMMYFUNCTION("""COMPUTED_VALUE"""),"pragmatic play games licensed")</f>
        <v>pragmatic play games licensed</v>
      </c>
    </row>
    <row r="313">
      <c r="B313" s="8" t="str">
        <f>IFERROR(__xludf.DUMMYFUNCTION("""COMPUTED_VALUE"""),"pragmatic play casino licensed")</f>
        <v>pragmatic play casino licensed</v>
      </c>
    </row>
    <row r="314">
      <c r="B314" s="8" t="str">
        <f>IFERROR(__xludf.DUMMYFUNCTION("""COMPUTED_VALUE"""),"pragmatic play slots licensed")</f>
        <v>pragmatic play slots licensed</v>
      </c>
    </row>
    <row r="315">
      <c r="B315" s="8" t="str">
        <f>IFERROR(__xludf.DUMMYFUNCTION("""COMPUTED_VALUE"""),"evolution games licensed")</f>
        <v>evolution games licensed</v>
      </c>
    </row>
    <row r="316">
      <c r="B316" s="8" t="str">
        <f>IFERROR(__xludf.DUMMYFUNCTION("""COMPUTED_VALUE"""),"evolution casino games licensed")</f>
        <v>evolution casino games licensed</v>
      </c>
    </row>
    <row r="317">
      <c r="B317" s="8" t="str">
        <f>IFERROR(__xludf.DUMMYFUNCTION("""COMPUTED_VALUE"""),"evolution live casino licensed")</f>
        <v>evolution live casino licensed</v>
      </c>
    </row>
    <row r="318">
      <c r="B318" s="8" t="str">
        <f>IFERROR(__xludf.DUMMYFUNCTION("""COMPUTED_VALUE"""),"multislot games licensed")</f>
        <v>multislot games licensed</v>
      </c>
    </row>
    <row r="319">
      <c r="B319" s="8" t="str">
        <f>IFERROR(__xludf.DUMMYFUNCTION("""COMPUTED_VALUE"""),"multi slots licensed")</f>
        <v>multi slots licensed</v>
      </c>
    </row>
    <row r="320">
      <c r="B320" s="8" t="str">
        <f>IFERROR(__xludf.DUMMYFUNCTION("""COMPUTED_VALUE"""),"live casino providers licensed")</f>
        <v>live casino providers licensed</v>
      </c>
    </row>
    <row r="321">
      <c r="B321" s="8" t="str">
        <f>IFERROR(__xludf.DUMMYFUNCTION("""COMPUTED_VALUE"""),"casino providers licensed")</f>
        <v>casino providers licensed</v>
      </c>
    </row>
    <row r="322">
      <c r="B322" s="8" t="str">
        <f>IFERROR(__xludf.DUMMYFUNCTION("""COMPUTED_VALUE"""),"pragmatic play games caribbean")</f>
        <v>pragmatic play games caribbean</v>
      </c>
    </row>
    <row r="323">
      <c r="B323" s="8" t="str">
        <f>IFERROR(__xludf.DUMMYFUNCTION("""COMPUTED_VALUE"""),"pragmatic play casino caribbean")</f>
        <v>pragmatic play casino caribbean</v>
      </c>
    </row>
    <row r="324">
      <c r="B324" s="8" t="str">
        <f>IFERROR(__xludf.DUMMYFUNCTION("""COMPUTED_VALUE"""),"pragmatic play slots caribbean")</f>
        <v>pragmatic play slots caribbean</v>
      </c>
    </row>
    <row r="325">
      <c r="B325" s="8" t="str">
        <f>IFERROR(__xludf.DUMMYFUNCTION("""COMPUTED_VALUE"""),"evolution games caribbean")</f>
        <v>evolution games caribbean</v>
      </c>
    </row>
    <row r="326">
      <c r="B326" s="8" t="str">
        <f>IFERROR(__xludf.DUMMYFUNCTION("""COMPUTED_VALUE"""),"evolution casino games caribbean")</f>
        <v>evolution casino games caribbean</v>
      </c>
    </row>
    <row r="327">
      <c r="B327" s="8" t="str">
        <f>IFERROR(__xludf.DUMMYFUNCTION("""COMPUTED_VALUE"""),"evolution live casino caribbean")</f>
        <v>evolution live casino caribbean</v>
      </c>
    </row>
    <row r="328">
      <c r="B328" s="8" t="str">
        <f>IFERROR(__xludf.DUMMYFUNCTION("""COMPUTED_VALUE"""),"multislot games caribbean")</f>
        <v>multislot games caribbean</v>
      </c>
    </row>
    <row r="329">
      <c r="B329" s="8" t="str">
        <f>IFERROR(__xludf.DUMMYFUNCTION("""COMPUTED_VALUE"""),"multi slots caribbean")</f>
        <v>multi slots caribbean</v>
      </c>
    </row>
    <row r="330">
      <c r="B330" s="8" t="str">
        <f>IFERROR(__xludf.DUMMYFUNCTION("""COMPUTED_VALUE"""),"live casino providers caribbean")</f>
        <v>live casino providers caribbean</v>
      </c>
    </row>
    <row r="331">
      <c r="B331" s="8" t="str">
        <f>IFERROR(__xludf.DUMMYFUNCTION("""COMPUTED_VALUE"""),"casino providers caribbean")</f>
        <v>casino providers caribbean</v>
      </c>
    </row>
    <row r="332">
      <c r="B332" s="8" t="str">
        <f>IFERROR(__xludf.DUMMYFUNCTION("""COMPUTED_VALUE"""),"pragmatic play games multislot demo")</f>
        <v>pragmatic play games multislot demo</v>
      </c>
    </row>
    <row r="333">
      <c r="B333" s="8" t="str">
        <f>IFERROR(__xludf.DUMMYFUNCTION("""COMPUTED_VALUE"""),"pragmatic play casino multislot demo")</f>
        <v>pragmatic play casino multislot demo</v>
      </c>
    </row>
    <row r="334">
      <c r="B334" s="8" t="str">
        <f>IFERROR(__xludf.DUMMYFUNCTION("""COMPUTED_VALUE"""),"pragmatic play slots multislot demo")</f>
        <v>pragmatic play slots multislot demo</v>
      </c>
    </row>
    <row r="335">
      <c r="B335" s="8" t="str">
        <f>IFERROR(__xludf.DUMMYFUNCTION("""COMPUTED_VALUE"""),"evolution games multislot demo")</f>
        <v>evolution games multislot demo</v>
      </c>
    </row>
    <row r="336">
      <c r="B336" s="8" t="str">
        <f>IFERROR(__xludf.DUMMYFUNCTION("""COMPUTED_VALUE"""),"evolution casino games multislot demo")</f>
        <v>evolution casino games multislot demo</v>
      </c>
    </row>
    <row r="337">
      <c r="B337" s="8" t="str">
        <f>IFERROR(__xludf.DUMMYFUNCTION("""COMPUTED_VALUE"""),"evolution live casino multislot demo")</f>
        <v>evolution live casino multislot demo</v>
      </c>
    </row>
    <row r="338">
      <c r="B338" s="8" t="str">
        <f>IFERROR(__xludf.DUMMYFUNCTION("""COMPUTED_VALUE"""),"multislot games multislot demo")</f>
        <v>multislot games multislot demo</v>
      </c>
    </row>
    <row r="339">
      <c r="B339" s="8" t="str">
        <f>IFERROR(__xludf.DUMMYFUNCTION("""COMPUTED_VALUE"""),"multi slots multislot demo")</f>
        <v>multi slots multislot demo</v>
      </c>
    </row>
    <row r="340">
      <c r="B340" s="8" t="str">
        <f>IFERROR(__xludf.DUMMYFUNCTION("""COMPUTED_VALUE"""),"live casino providers multislot demo")</f>
        <v>live casino providers multislot demo</v>
      </c>
    </row>
    <row r="341">
      <c r="B341" s="8" t="str">
        <f>IFERROR(__xludf.DUMMYFUNCTION("""COMPUTED_VALUE"""),"casino providers multislot demo")</f>
        <v>casino providers multislot demo</v>
      </c>
    </row>
    <row r="342">
      <c r="B342" s="8" t="str">
        <f>IFERROR(__xludf.DUMMYFUNCTION("""COMPUTED_VALUE"""),"pragmatic play games multi slots demo")</f>
        <v>pragmatic play games multi slots demo</v>
      </c>
    </row>
    <row r="343">
      <c r="B343" s="8" t="str">
        <f>IFERROR(__xludf.DUMMYFUNCTION("""COMPUTED_VALUE"""),"pragmatic play casino multi slots demo")</f>
        <v>pragmatic play casino multi slots demo</v>
      </c>
    </row>
    <row r="344">
      <c r="B344" s="8" t="str">
        <f>IFERROR(__xludf.DUMMYFUNCTION("""COMPUTED_VALUE"""),"pragmatic play slots multi slots demo")</f>
        <v>pragmatic play slots multi slots demo</v>
      </c>
    </row>
    <row r="345">
      <c r="B345" s="8" t="str">
        <f>IFERROR(__xludf.DUMMYFUNCTION("""COMPUTED_VALUE"""),"evolution games multi slots demo")</f>
        <v>evolution games multi slots demo</v>
      </c>
    </row>
    <row r="346">
      <c r="B346" s="8" t="str">
        <f>IFERROR(__xludf.DUMMYFUNCTION("""COMPUTED_VALUE"""),"evolution casino games multi slots demo")</f>
        <v>evolution casino games multi slots demo</v>
      </c>
    </row>
    <row r="347">
      <c r="B347" s="8" t="str">
        <f>IFERROR(__xludf.DUMMYFUNCTION("""COMPUTED_VALUE"""),"evolution live casino multi slots demo")</f>
        <v>evolution live casino multi slots demo</v>
      </c>
    </row>
    <row r="348">
      <c r="B348" s="8" t="str">
        <f>IFERROR(__xludf.DUMMYFUNCTION("""COMPUTED_VALUE"""),"multislot games multi slots demo")</f>
        <v>multislot games multi slots demo</v>
      </c>
    </row>
    <row r="349">
      <c r="B349" s="8" t="str">
        <f>IFERROR(__xludf.DUMMYFUNCTION("""COMPUTED_VALUE"""),"multi slots multi slots demo")</f>
        <v>multi slots multi slots demo</v>
      </c>
    </row>
    <row r="350">
      <c r="B350" s="8" t="str">
        <f>IFERROR(__xludf.DUMMYFUNCTION("""COMPUTED_VALUE"""),"live casino providers multi slots demo")</f>
        <v>live casino providers multi slots demo</v>
      </c>
    </row>
    <row r="351">
      <c r="B351" s="8" t="str">
        <f>IFERROR(__xludf.DUMMYFUNCTION("""COMPUTED_VALUE"""),"casino providers multi slots demo")</f>
        <v>casino providers multi slots demo</v>
      </c>
    </row>
    <row r="352">
      <c r="B352" s="8" t="str">
        <f>IFERROR(__xludf.DUMMYFUNCTION("""COMPUTED_VALUE"""),"pragmatic play games")</f>
        <v>pragmatic play games</v>
      </c>
    </row>
    <row r="353">
      <c r="B353" s="8" t="str">
        <f>IFERROR(__xludf.DUMMYFUNCTION("""COMPUTED_VALUE"""),"pragmatic play casino")</f>
        <v>pragmatic play casino</v>
      </c>
    </row>
    <row r="354">
      <c r="B354" s="8" t="str">
        <f>IFERROR(__xludf.DUMMYFUNCTION("""COMPUTED_VALUE"""),"pragmatic play slots")</f>
        <v>pragmatic play slots</v>
      </c>
    </row>
    <row r="355">
      <c r="B355" s="8" t="str">
        <f>IFERROR(__xludf.DUMMYFUNCTION("""COMPUTED_VALUE"""),"evolution games")</f>
        <v>evolution games</v>
      </c>
    </row>
    <row r="356">
      <c r="B356" s="8" t="str">
        <f>IFERROR(__xludf.DUMMYFUNCTION("""COMPUTED_VALUE"""),"evolution casino games")</f>
        <v>evolution casino games</v>
      </c>
    </row>
    <row r="357">
      <c r="B357" s="8" t="str">
        <f>IFERROR(__xludf.DUMMYFUNCTION("""COMPUTED_VALUE"""),"evolution live casino")</f>
        <v>evolution live casino</v>
      </c>
    </row>
    <row r="358">
      <c r="B358" s="8" t="str">
        <f>IFERROR(__xludf.DUMMYFUNCTION("""COMPUTED_VALUE"""),"multislot games")</f>
        <v>multislot games</v>
      </c>
    </row>
    <row r="359">
      <c r="B359" s="8" t="str">
        <f>IFERROR(__xludf.DUMMYFUNCTION("""COMPUTED_VALUE"""),"multi slots")</f>
        <v>multi slots</v>
      </c>
    </row>
    <row r="360">
      <c r="B360" s="8" t="str">
        <f>IFERROR(__xludf.DUMMYFUNCTION("""COMPUTED_VALUE"""),"live casino providers")</f>
        <v>live casino providers</v>
      </c>
    </row>
    <row r="361">
      <c r="B361" s="8" t="str">
        <f>IFERROR(__xludf.DUMMYFUNCTION("""COMPUTED_VALUE"""),"casino providers")</f>
        <v>casino providers</v>
      </c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6" t="s">
        <v>20</v>
      </c>
      <c r="D2" s="5">
        <v>68.0</v>
      </c>
      <c r="E2" s="5">
        <v>500.0</v>
      </c>
      <c r="F2" s="5">
        <v>0.6</v>
      </c>
      <c r="H2" s="5" t="s">
        <v>21</v>
      </c>
      <c r="I2" s="7">
        <v>46055.75746527778</v>
      </c>
      <c r="J2" s="5" t="s">
        <v>23</v>
      </c>
      <c r="K2" s="5">
        <v>500.0</v>
      </c>
      <c r="L2" s="5">
        <v>2100.0</v>
      </c>
      <c r="M2" s="5">
        <v>2200.0</v>
      </c>
      <c r="N2" s="9">
        <v>42345.0</v>
      </c>
      <c r="O2" s="5" t="s">
        <v>24</v>
      </c>
      <c r="P2" s="5" t="s">
        <v>25</v>
      </c>
      <c r="Q2" s="5" t="s">
        <v>27</v>
      </c>
      <c r="R2" s="5" t="s">
        <v>28</v>
      </c>
      <c r="S2" s="5" t="s">
        <v>29</v>
      </c>
    </row>
    <row r="3">
      <c r="A3" s="5">
        <v>2.0</v>
      </c>
      <c r="B3" s="5" t="s">
        <v>30</v>
      </c>
      <c r="C3" s="5" t="s">
        <v>20</v>
      </c>
      <c r="D3" s="5">
        <v>58.0</v>
      </c>
      <c r="E3" s="5">
        <v>450.0</v>
      </c>
      <c r="F3" s="5">
        <v>0.6</v>
      </c>
      <c r="H3" s="5" t="s">
        <v>31</v>
      </c>
      <c r="I3" s="7">
        <v>45892.69390046296</v>
      </c>
      <c r="J3" s="5" t="s">
        <v>32</v>
      </c>
      <c r="K3" s="5">
        <v>500.0</v>
      </c>
      <c r="L3" s="5">
        <v>1700.0</v>
      </c>
      <c r="M3" s="5">
        <v>1700.0</v>
      </c>
      <c r="N3" s="9">
        <v>42250.0</v>
      </c>
      <c r="O3" s="5" t="s">
        <v>33</v>
      </c>
      <c r="P3" s="5" t="s">
        <v>25</v>
      </c>
      <c r="Q3" s="5" t="s">
        <v>34</v>
      </c>
      <c r="R3" s="5" t="s">
        <v>35</v>
      </c>
      <c r="S3" s="5" t="s">
        <v>36</v>
      </c>
    </row>
    <row r="4">
      <c r="A4" s="5">
        <v>3.0</v>
      </c>
      <c r="B4" s="5" t="s">
        <v>38</v>
      </c>
      <c r="C4" s="5" t="s">
        <v>20</v>
      </c>
      <c r="D4" s="5">
        <v>75.0</v>
      </c>
      <c r="E4" s="5">
        <v>200.0</v>
      </c>
      <c r="F4" s="5">
        <v>0.4</v>
      </c>
      <c r="H4" s="5" t="s">
        <v>19</v>
      </c>
      <c r="I4" s="7">
        <v>45978.11121527778</v>
      </c>
      <c r="J4" s="5" t="s">
        <v>40</v>
      </c>
      <c r="K4" s="5">
        <v>200.0</v>
      </c>
      <c r="L4" s="5">
        <v>2400.0</v>
      </c>
      <c r="M4" s="5">
        <v>2500.0</v>
      </c>
      <c r="N4" s="9">
        <v>43798.0</v>
      </c>
      <c r="O4" s="5" t="s">
        <v>24</v>
      </c>
      <c r="P4" s="5" t="s">
        <v>25</v>
      </c>
      <c r="Q4" s="5" t="s">
        <v>42</v>
      </c>
      <c r="R4" s="5" t="s">
        <v>43</v>
      </c>
      <c r="S4" s="5" t="s">
        <v>29</v>
      </c>
    </row>
    <row r="5">
      <c r="A5" s="5">
        <v>4.0</v>
      </c>
      <c r="B5" s="5" t="s">
        <v>44</v>
      </c>
      <c r="C5" s="5" t="s">
        <v>20</v>
      </c>
      <c r="K5" s="5">
        <v>7300.0</v>
      </c>
      <c r="N5" s="9">
        <v>43848.0</v>
      </c>
    </row>
    <row r="6">
      <c r="A6" s="5">
        <v>5.0</v>
      </c>
      <c r="B6" s="5" t="s">
        <v>45</v>
      </c>
      <c r="C6" s="5" t="s">
        <v>20</v>
      </c>
      <c r="K6" s="5">
        <v>800.0</v>
      </c>
      <c r="N6" s="9">
        <v>44306.0</v>
      </c>
    </row>
    <row r="7">
      <c r="A7" s="5">
        <v>6.0</v>
      </c>
      <c r="B7" s="5" t="s">
        <v>46</v>
      </c>
      <c r="C7" s="5" t="s">
        <v>20</v>
      </c>
      <c r="K7" s="5">
        <v>3000.0</v>
      </c>
      <c r="N7" s="9">
        <v>43392.0</v>
      </c>
    </row>
    <row r="8">
      <c r="A8" s="5">
        <v>7.0</v>
      </c>
      <c r="B8" s="5" t="s">
        <v>47</v>
      </c>
      <c r="C8" s="5" t="s">
        <v>20</v>
      </c>
      <c r="K8" s="5">
        <v>800.0</v>
      </c>
      <c r="N8" s="9">
        <v>44365.0</v>
      </c>
    </row>
    <row r="9">
      <c r="A9" s="5">
        <v>8.0</v>
      </c>
      <c r="B9" s="5" t="s">
        <v>49</v>
      </c>
      <c r="C9" s="5" t="s">
        <v>20</v>
      </c>
      <c r="K9" s="5">
        <v>1600.0</v>
      </c>
      <c r="N9" s="9">
        <v>43880.0</v>
      </c>
    </row>
    <row r="10">
      <c r="A10" s="5">
        <v>9.0</v>
      </c>
      <c r="B10" s="5" t="s">
        <v>50</v>
      </c>
      <c r="C10" s="5" t="s">
        <v>20</v>
      </c>
      <c r="K10" s="5">
        <v>6700.0</v>
      </c>
      <c r="N10" s="9">
        <v>44167.0</v>
      </c>
    </row>
    <row r="11">
      <c r="A11" s="5">
        <v>10.0</v>
      </c>
      <c r="B11" s="5" t="s">
        <v>51</v>
      </c>
      <c r="C11" s="5" t="s">
        <v>20</v>
      </c>
      <c r="K11" s="5">
        <v>20.0</v>
      </c>
      <c r="N11" s="9">
        <v>43232.0</v>
      </c>
    </row>
    <row r="12">
      <c r="A12" s="5">
        <v>11.0</v>
      </c>
      <c r="B12" s="5" t="s">
        <v>52</v>
      </c>
      <c r="C12" s="5" t="s">
        <v>20</v>
      </c>
      <c r="F12" s="5">
        <v>0.0</v>
      </c>
      <c r="K12" s="5">
        <v>150.0</v>
      </c>
      <c r="N12" s="9">
        <v>44896.0</v>
      </c>
    </row>
    <row r="13">
      <c r="A13" s="5">
        <v>12.0</v>
      </c>
      <c r="B13" s="5" t="s">
        <v>54</v>
      </c>
      <c r="C13" s="5" t="s">
        <v>20</v>
      </c>
      <c r="K13" s="5">
        <v>500.0</v>
      </c>
      <c r="N13" s="9">
        <v>44201.0</v>
      </c>
    </row>
    <row r="14">
      <c r="A14" s="5">
        <v>13.0</v>
      </c>
      <c r="B14" s="5" t="s">
        <v>55</v>
      </c>
      <c r="C14" s="5" t="s">
        <v>20</v>
      </c>
      <c r="K14" s="5">
        <v>900.0</v>
      </c>
      <c r="N14" s="9">
        <v>44160.0</v>
      </c>
    </row>
    <row r="15">
      <c r="A15" s="5">
        <v>14.0</v>
      </c>
      <c r="B15" s="5" t="s">
        <v>57</v>
      </c>
      <c r="C15" s="5" t="s">
        <v>20</v>
      </c>
      <c r="K15" s="5">
        <v>700.0</v>
      </c>
      <c r="N15" s="9">
        <v>44872.0</v>
      </c>
    </row>
    <row r="16">
      <c r="A16" s="5">
        <v>15.0</v>
      </c>
      <c r="B16" s="5" t="s">
        <v>58</v>
      </c>
      <c r="C16" s="5" t="s">
        <v>20</v>
      </c>
      <c r="K16" s="5">
        <v>11000.0</v>
      </c>
      <c r="N16" s="9">
        <v>44048.0</v>
      </c>
    </row>
    <row r="17">
      <c r="A17" s="5">
        <v>16.0</v>
      </c>
      <c r="B17" s="5" t="s">
        <v>59</v>
      </c>
      <c r="C17" s="5" t="s">
        <v>20</v>
      </c>
    </row>
    <row r="18">
      <c r="A18" s="5">
        <v>17.0</v>
      </c>
      <c r="B18" s="5" t="s">
        <v>60</v>
      </c>
      <c r="C18" s="5" t="s">
        <v>20</v>
      </c>
    </row>
    <row r="19">
      <c r="A19" s="5">
        <v>18.0</v>
      </c>
      <c r="B19" s="5" t="s">
        <v>62</v>
      </c>
      <c r="C19" s="5" t="s">
        <v>20</v>
      </c>
    </row>
    <row r="20">
      <c r="A20" s="5">
        <v>19.0</v>
      </c>
      <c r="B20" s="5" t="s">
        <v>63</v>
      </c>
      <c r="C20" s="5" t="s">
        <v>20</v>
      </c>
    </row>
    <row r="21">
      <c r="A21" s="5">
        <v>20.0</v>
      </c>
      <c r="B21" s="5" t="s">
        <v>64</v>
      </c>
      <c r="C21" s="5" t="s">
        <v>20</v>
      </c>
    </row>
    <row r="22">
      <c r="A22" s="5">
        <v>21.0</v>
      </c>
      <c r="B22" s="5" t="s">
        <v>65</v>
      </c>
      <c r="C22" s="5" t="s">
        <v>20</v>
      </c>
    </row>
    <row r="23">
      <c r="A23" s="5">
        <v>22.0</v>
      </c>
      <c r="B23" s="5" t="s">
        <v>66</v>
      </c>
      <c r="C23" s="5" t="s">
        <v>20</v>
      </c>
    </row>
    <row r="24">
      <c r="A24" s="5">
        <v>23.0</v>
      </c>
      <c r="B24" s="5" t="s">
        <v>68</v>
      </c>
      <c r="C24" s="5" t="s">
        <v>20</v>
      </c>
    </row>
    <row r="25">
      <c r="A25" s="5">
        <v>24.0</v>
      </c>
      <c r="B25" s="5" t="s">
        <v>69</v>
      </c>
      <c r="C25" s="5" t="s">
        <v>20</v>
      </c>
    </row>
    <row r="26">
      <c r="A26" s="5">
        <v>25.0</v>
      </c>
      <c r="B26" s="5" t="s">
        <v>71</v>
      </c>
      <c r="C26" s="5" t="s">
        <v>20</v>
      </c>
    </row>
    <row r="27">
      <c r="A27" s="5">
        <v>26.0</v>
      </c>
      <c r="B27" s="5" t="s">
        <v>72</v>
      </c>
      <c r="C27" s="5" t="s">
        <v>20</v>
      </c>
    </row>
    <row r="28">
      <c r="A28" s="5">
        <v>27.0</v>
      </c>
      <c r="B28" s="5" t="s">
        <v>74</v>
      </c>
      <c r="C28" s="5" t="s">
        <v>20</v>
      </c>
    </row>
    <row r="29">
      <c r="A29" s="5">
        <v>28.0</v>
      </c>
      <c r="B29" s="5" t="s">
        <v>75</v>
      </c>
      <c r="C29" s="5" t="s">
        <v>20</v>
      </c>
    </row>
    <row r="30">
      <c r="A30" s="5">
        <v>29.0</v>
      </c>
      <c r="B30" s="5" t="s">
        <v>77</v>
      </c>
      <c r="C30" s="5" t="s">
        <v>20</v>
      </c>
    </row>
    <row r="31">
      <c r="A31" s="5">
        <v>30.0</v>
      </c>
      <c r="B31" s="5" t="s">
        <v>79</v>
      </c>
      <c r="C31" s="5" t="s">
        <v>20</v>
      </c>
    </row>
    <row r="32">
      <c r="A32" s="5">
        <v>31.0</v>
      </c>
      <c r="B32" s="5" t="s">
        <v>80</v>
      </c>
      <c r="C32" s="5" t="s">
        <v>20</v>
      </c>
    </row>
    <row r="33">
      <c r="A33" s="5">
        <v>32.0</v>
      </c>
      <c r="B33" s="5" t="s">
        <v>82</v>
      </c>
      <c r="C33" s="5" t="s">
        <v>20</v>
      </c>
    </row>
    <row r="34">
      <c r="A34" s="5">
        <v>33.0</v>
      </c>
      <c r="B34" s="5" t="s">
        <v>84</v>
      </c>
      <c r="C34" s="5" t="s">
        <v>20</v>
      </c>
    </row>
    <row r="35">
      <c r="A35" s="5">
        <v>34.0</v>
      </c>
      <c r="B35" s="5" t="s">
        <v>86</v>
      </c>
      <c r="C35" s="5" t="s">
        <v>20</v>
      </c>
    </row>
    <row r="36">
      <c r="A36" s="5">
        <v>35.0</v>
      </c>
      <c r="B36" s="5" t="s">
        <v>87</v>
      </c>
      <c r="C36" s="5" t="s">
        <v>20</v>
      </c>
    </row>
    <row r="37">
      <c r="A37" s="5">
        <v>36.0</v>
      </c>
      <c r="B37" s="5" t="s">
        <v>89</v>
      </c>
      <c r="C37" s="5" t="s">
        <v>20</v>
      </c>
    </row>
    <row r="38">
      <c r="A38" s="5">
        <v>37.0</v>
      </c>
      <c r="B38" s="5" t="s">
        <v>90</v>
      </c>
      <c r="C38" s="5" t="s">
        <v>20</v>
      </c>
    </row>
    <row r="39">
      <c r="A39" s="5">
        <v>38.0</v>
      </c>
      <c r="B39" s="5" t="s">
        <v>91</v>
      </c>
      <c r="C39" s="5" t="s">
        <v>20</v>
      </c>
    </row>
    <row r="40">
      <c r="A40" s="5">
        <v>39.0</v>
      </c>
      <c r="B40" s="5" t="s">
        <v>92</v>
      </c>
      <c r="C40" s="5" t="s">
        <v>20</v>
      </c>
    </row>
    <row r="41">
      <c r="A41" s="5">
        <v>40.0</v>
      </c>
      <c r="B41" s="5" t="s">
        <v>94</v>
      </c>
      <c r="C41" s="5" t="s">
        <v>20</v>
      </c>
    </row>
    <row r="42">
      <c r="A42" s="5">
        <v>41.0</v>
      </c>
      <c r="B42" s="5" t="s">
        <v>95</v>
      </c>
      <c r="C42" s="5" t="s">
        <v>20</v>
      </c>
    </row>
    <row r="43">
      <c r="A43" s="5">
        <v>42.0</v>
      </c>
      <c r="B43" s="5" t="s">
        <v>97</v>
      </c>
      <c r="C43" s="5" t="s">
        <v>20</v>
      </c>
    </row>
    <row r="44">
      <c r="A44" s="5">
        <v>43.0</v>
      </c>
      <c r="B44" s="5" t="s">
        <v>98</v>
      </c>
      <c r="C44" s="5" t="s">
        <v>20</v>
      </c>
    </row>
    <row r="45">
      <c r="A45" s="5">
        <v>44.0</v>
      </c>
      <c r="B45" s="5" t="s">
        <v>99</v>
      </c>
      <c r="C45" s="5" t="s">
        <v>20</v>
      </c>
    </row>
    <row r="46">
      <c r="A46" s="5">
        <v>45.0</v>
      </c>
      <c r="B46" s="5" t="s">
        <v>100</v>
      </c>
      <c r="C46" s="5" t="s">
        <v>20</v>
      </c>
    </row>
    <row r="47">
      <c r="A47" s="5">
        <v>46.0</v>
      </c>
      <c r="B47" s="5" t="s">
        <v>102</v>
      </c>
      <c r="C47" s="5" t="s">
        <v>20</v>
      </c>
    </row>
    <row r="48">
      <c r="A48" s="5">
        <v>47.0</v>
      </c>
      <c r="B48" s="5" t="s">
        <v>103</v>
      </c>
      <c r="C48" s="5" t="s">
        <v>20</v>
      </c>
    </row>
    <row r="49">
      <c r="A49" s="5">
        <v>48.0</v>
      </c>
      <c r="B49" s="5" t="s">
        <v>105</v>
      </c>
      <c r="C49" s="5" t="s">
        <v>20</v>
      </c>
    </row>
    <row r="50">
      <c r="A50" s="5">
        <v>49.0</v>
      </c>
      <c r="B50" s="5" t="s">
        <v>106</v>
      </c>
      <c r="C50" s="5" t="s">
        <v>20</v>
      </c>
    </row>
    <row r="51">
      <c r="A51" s="5">
        <v>50.0</v>
      </c>
      <c r="B51" s="5" t="s">
        <v>108</v>
      </c>
      <c r="C51" s="5" t="s">
        <v>20</v>
      </c>
    </row>
    <row r="52">
      <c r="A52" s="5">
        <v>51.0</v>
      </c>
      <c r="B52" s="5" t="s">
        <v>111</v>
      </c>
      <c r="C52" s="5" t="s">
        <v>20</v>
      </c>
    </row>
    <row r="53">
      <c r="A53" s="5">
        <v>52.0</v>
      </c>
      <c r="B53" s="5" t="s">
        <v>113</v>
      </c>
      <c r="C53" s="5" t="s">
        <v>20</v>
      </c>
    </row>
    <row r="54">
      <c r="A54" s="5">
        <v>53.0</v>
      </c>
      <c r="B54" s="5" t="s">
        <v>114</v>
      </c>
      <c r="C54" s="5" t="s">
        <v>20</v>
      </c>
    </row>
    <row r="55">
      <c r="A55" s="5">
        <v>54.0</v>
      </c>
      <c r="B55" s="5" t="s">
        <v>115</v>
      </c>
      <c r="C55" s="5" t="s">
        <v>20</v>
      </c>
    </row>
    <row r="56">
      <c r="A56" s="5">
        <v>55.0</v>
      </c>
      <c r="B56" s="5" t="s">
        <v>116</v>
      </c>
      <c r="C56" s="5" t="s">
        <v>20</v>
      </c>
    </row>
    <row r="57">
      <c r="A57" s="5">
        <v>56.0</v>
      </c>
      <c r="B57" s="5" t="s">
        <v>118</v>
      </c>
      <c r="C57" s="5" t="s">
        <v>20</v>
      </c>
    </row>
    <row r="58">
      <c r="A58" s="5">
        <v>57.0</v>
      </c>
      <c r="B58" s="5" t="s">
        <v>119</v>
      </c>
      <c r="C58" s="5" t="s">
        <v>20</v>
      </c>
    </row>
    <row r="59">
      <c r="A59" s="5">
        <v>58.0</v>
      </c>
      <c r="B59" s="5" t="s">
        <v>121</v>
      </c>
      <c r="C59" s="5" t="s">
        <v>20</v>
      </c>
    </row>
    <row r="60">
      <c r="A60" s="5">
        <v>59.0</v>
      </c>
      <c r="B60" s="5" t="s">
        <v>122</v>
      </c>
      <c r="C60" s="5" t="s">
        <v>20</v>
      </c>
    </row>
    <row r="61">
      <c r="A61" s="5">
        <v>60.0</v>
      </c>
      <c r="B61" s="5" t="s">
        <v>124</v>
      </c>
      <c r="C61" s="5" t="s">
        <v>20</v>
      </c>
    </row>
    <row r="62">
      <c r="A62" s="5">
        <v>61.0</v>
      </c>
      <c r="B62" s="5" t="s">
        <v>126</v>
      </c>
      <c r="C62" s="5" t="s">
        <v>20</v>
      </c>
    </row>
    <row r="63">
      <c r="A63" s="5">
        <v>62.0</v>
      </c>
      <c r="B63" s="5" t="s">
        <v>127</v>
      </c>
      <c r="C63" s="5" t="s">
        <v>20</v>
      </c>
    </row>
    <row r="64">
      <c r="A64" s="5">
        <v>63.0</v>
      </c>
      <c r="B64" s="5" t="s">
        <v>129</v>
      </c>
      <c r="C64" s="5" t="s">
        <v>20</v>
      </c>
    </row>
    <row r="65">
      <c r="A65" s="5">
        <v>64.0</v>
      </c>
      <c r="B65" s="5" t="s">
        <v>130</v>
      </c>
      <c r="C65" s="5" t="s">
        <v>20</v>
      </c>
    </row>
    <row r="66">
      <c r="A66" s="5">
        <v>65.0</v>
      </c>
      <c r="B66" s="5" t="s">
        <v>132</v>
      </c>
      <c r="C66" s="5" t="s">
        <v>20</v>
      </c>
    </row>
    <row r="67">
      <c r="A67" s="5">
        <v>66.0</v>
      </c>
      <c r="B67" s="5" t="s">
        <v>133</v>
      </c>
      <c r="C67" s="5" t="s">
        <v>20</v>
      </c>
    </row>
    <row r="68">
      <c r="A68" s="5">
        <v>67.0</v>
      </c>
      <c r="B68" s="5" t="s">
        <v>135</v>
      </c>
      <c r="C68" s="5" t="s">
        <v>20</v>
      </c>
    </row>
    <row r="69">
      <c r="A69" s="5">
        <v>68.0</v>
      </c>
      <c r="B69" s="5" t="s">
        <v>136</v>
      </c>
      <c r="C69" s="5" t="s">
        <v>20</v>
      </c>
    </row>
    <row r="70">
      <c r="A70" s="5">
        <v>69.0</v>
      </c>
      <c r="B70" s="5" t="s">
        <v>137</v>
      </c>
      <c r="C70" s="5" t="s">
        <v>20</v>
      </c>
    </row>
    <row r="71">
      <c r="A71" s="5">
        <v>70.0</v>
      </c>
      <c r="B71" s="5" t="s">
        <v>139</v>
      </c>
      <c r="C71" s="5" t="s">
        <v>20</v>
      </c>
    </row>
    <row r="72">
      <c r="A72" s="5">
        <v>71.0</v>
      </c>
      <c r="B72" s="5" t="s">
        <v>140</v>
      </c>
      <c r="C72" s="5" t="s">
        <v>20</v>
      </c>
    </row>
    <row r="73">
      <c r="A73" s="5">
        <v>72.0</v>
      </c>
      <c r="B73" s="5" t="s">
        <v>142</v>
      </c>
      <c r="C73" s="5" t="s">
        <v>20</v>
      </c>
    </row>
    <row r="74">
      <c r="A74" s="5">
        <v>73.0</v>
      </c>
      <c r="B74" s="5" t="s">
        <v>143</v>
      </c>
      <c r="C74" s="5" t="s">
        <v>20</v>
      </c>
    </row>
    <row r="75">
      <c r="A75" s="5">
        <v>74.0</v>
      </c>
      <c r="B75" s="5" t="s">
        <v>145</v>
      </c>
      <c r="C75" s="5" t="s">
        <v>20</v>
      </c>
    </row>
    <row r="76">
      <c r="A76" s="5">
        <v>75.0</v>
      </c>
      <c r="B76" s="5" t="s">
        <v>146</v>
      </c>
      <c r="C76" s="5" t="s">
        <v>20</v>
      </c>
    </row>
    <row r="77">
      <c r="A77" s="5">
        <v>76.0</v>
      </c>
      <c r="B77" s="5" t="s">
        <v>148</v>
      </c>
      <c r="C77" s="5" t="s">
        <v>20</v>
      </c>
    </row>
    <row r="78">
      <c r="A78" s="5">
        <v>77.0</v>
      </c>
      <c r="B78" s="5" t="s">
        <v>149</v>
      </c>
      <c r="C78" s="5" t="s">
        <v>20</v>
      </c>
    </row>
    <row r="79">
      <c r="A79" s="5">
        <v>78.0</v>
      </c>
      <c r="B79" s="5" t="s">
        <v>151</v>
      </c>
      <c r="C79" s="5" t="s">
        <v>20</v>
      </c>
    </row>
    <row r="80">
      <c r="A80" s="5">
        <v>79.0</v>
      </c>
      <c r="B80" s="5" t="s">
        <v>152</v>
      </c>
      <c r="C80" s="5" t="s">
        <v>20</v>
      </c>
    </row>
    <row r="81">
      <c r="A81" s="5">
        <v>80.0</v>
      </c>
      <c r="B81" s="5" t="s">
        <v>154</v>
      </c>
      <c r="C81" s="5" t="s">
        <v>20</v>
      </c>
    </row>
    <row r="82">
      <c r="A82" s="5">
        <v>81.0</v>
      </c>
      <c r="B82" s="5" t="s">
        <v>155</v>
      </c>
      <c r="C82" s="5" t="s">
        <v>20</v>
      </c>
    </row>
    <row r="83">
      <c r="A83" s="5">
        <v>82.0</v>
      </c>
      <c r="B83" s="5" t="s">
        <v>157</v>
      </c>
      <c r="C83" s="5" t="s">
        <v>20</v>
      </c>
    </row>
    <row r="84">
      <c r="A84" s="5">
        <v>83.0</v>
      </c>
      <c r="B84" s="5" t="s">
        <v>158</v>
      </c>
      <c r="C84" s="5" t="s">
        <v>20</v>
      </c>
    </row>
    <row r="85">
      <c r="A85" s="5">
        <v>84.0</v>
      </c>
      <c r="B85" s="5" t="s">
        <v>160</v>
      </c>
      <c r="C85" s="5" t="s">
        <v>20</v>
      </c>
    </row>
    <row r="86">
      <c r="A86" s="5">
        <v>85.0</v>
      </c>
      <c r="B86" s="5" t="s">
        <v>162</v>
      </c>
      <c r="C86" s="5" t="s">
        <v>20</v>
      </c>
    </row>
    <row r="87">
      <c r="A87" s="5">
        <v>86.0</v>
      </c>
      <c r="B87" s="5" t="s">
        <v>163</v>
      </c>
      <c r="C87" s="5" t="s">
        <v>20</v>
      </c>
    </row>
    <row r="88">
      <c r="A88" s="5">
        <v>87.0</v>
      </c>
      <c r="B88" s="5" t="s">
        <v>164</v>
      </c>
      <c r="C88" s="5" t="s">
        <v>20</v>
      </c>
    </row>
    <row r="89">
      <c r="A89" s="5">
        <v>88.0</v>
      </c>
      <c r="B89" s="5" t="s">
        <v>165</v>
      </c>
      <c r="C89" s="5" t="s">
        <v>20</v>
      </c>
    </row>
    <row r="90">
      <c r="A90" s="5">
        <v>89.0</v>
      </c>
      <c r="B90" s="5" t="s">
        <v>166</v>
      </c>
      <c r="C90" s="5" t="s">
        <v>20</v>
      </c>
    </row>
    <row r="91">
      <c r="A91" s="5">
        <v>90.0</v>
      </c>
      <c r="B91" s="5" t="s">
        <v>167</v>
      </c>
      <c r="C91" s="5" t="s">
        <v>20</v>
      </c>
    </row>
    <row r="92">
      <c r="A92" s="5">
        <v>91.0</v>
      </c>
      <c r="B92" s="5" t="s">
        <v>168</v>
      </c>
      <c r="C92" s="5" t="s">
        <v>20</v>
      </c>
    </row>
    <row r="93">
      <c r="A93" s="5">
        <v>92.0</v>
      </c>
      <c r="B93" s="5" t="s">
        <v>170</v>
      </c>
      <c r="C93" s="5" t="s">
        <v>20</v>
      </c>
    </row>
    <row r="94">
      <c r="A94" s="5">
        <v>93.0</v>
      </c>
      <c r="B94" s="5" t="s">
        <v>171</v>
      </c>
      <c r="C94" s="5" t="s">
        <v>20</v>
      </c>
    </row>
    <row r="95">
      <c r="A95" s="5">
        <v>94.0</v>
      </c>
      <c r="B95" s="5" t="s">
        <v>173</v>
      </c>
      <c r="C95" s="5" t="s">
        <v>20</v>
      </c>
    </row>
    <row r="96">
      <c r="A96" s="5">
        <v>95.0</v>
      </c>
      <c r="B96" s="5" t="s">
        <v>174</v>
      </c>
      <c r="C96" s="5" t="s">
        <v>20</v>
      </c>
    </row>
    <row r="97">
      <c r="A97" s="5">
        <v>96.0</v>
      </c>
      <c r="B97" s="5" t="s">
        <v>175</v>
      </c>
      <c r="C97" s="5" t="s">
        <v>20</v>
      </c>
    </row>
    <row r="98">
      <c r="A98" s="5">
        <v>97.0</v>
      </c>
      <c r="B98" s="5" t="s">
        <v>177</v>
      </c>
      <c r="C98" s="5" t="s">
        <v>20</v>
      </c>
    </row>
    <row r="99">
      <c r="A99" s="5">
        <v>98.0</v>
      </c>
      <c r="B99" s="5" t="s">
        <v>178</v>
      </c>
      <c r="C99" s="5" t="s">
        <v>20</v>
      </c>
    </row>
    <row r="100">
      <c r="A100" s="5">
        <v>99.0</v>
      </c>
      <c r="B100" s="5" t="s">
        <v>180</v>
      </c>
      <c r="C100" s="5" t="s">
        <v>20</v>
      </c>
    </row>
    <row r="101">
      <c r="A101" s="5">
        <v>100.0</v>
      </c>
      <c r="B101" s="5" t="s">
        <v>182</v>
      </c>
      <c r="C101" s="5" t="s">
        <v>20</v>
      </c>
    </row>
    <row r="102">
      <c r="A102" s="5">
        <v>101.0</v>
      </c>
      <c r="B102" s="5" t="s">
        <v>183</v>
      </c>
      <c r="C102" s="5" t="s">
        <v>20</v>
      </c>
    </row>
    <row r="103">
      <c r="A103" s="5">
        <v>102.0</v>
      </c>
      <c r="B103" s="5" t="s">
        <v>185</v>
      </c>
      <c r="C103" s="5" t="s">
        <v>20</v>
      </c>
    </row>
    <row r="104">
      <c r="A104" s="5">
        <v>103.0</v>
      </c>
      <c r="B104" s="5" t="s">
        <v>186</v>
      </c>
      <c r="C104" s="5" t="s">
        <v>20</v>
      </c>
    </row>
    <row r="105">
      <c r="A105" s="5">
        <v>104.0</v>
      </c>
      <c r="B105" s="5" t="s">
        <v>187</v>
      </c>
      <c r="C105" s="5" t="s">
        <v>20</v>
      </c>
    </row>
    <row r="106">
      <c r="A106" s="5">
        <v>105.0</v>
      </c>
      <c r="B106" s="5" t="s">
        <v>189</v>
      </c>
      <c r="C106" s="5" t="s">
        <v>20</v>
      </c>
    </row>
    <row r="107">
      <c r="A107" s="5">
        <v>106.0</v>
      </c>
      <c r="B107" s="5" t="s">
        <v>191</v>
      </c>
      <c r="C107" s="5" t="s">
        <v>20</v>
      </c>
    </row>
    <row r="108">
      <c r="A108" s="5">
        <v>107.0</v>
      </c>
      <c r="B108" s="5" t="s">
        <v>192</v>
      </c>
      <c r="C108" s="5" t="s">
        <v>20</v>
      </c>
    </row>
    <row r="109">
      <c r="A109" s="5">
        <v>108.0</v>
      </c>
      <c r="B109" s="5" t="s">
        <v>193</v>
      </c>
      <c r="C109" s="5" t="s">
        <v>20</v>
      </c>
    </row>
    <row r="110">
      <c r="A110" s="5">
        <v>109.0</v>
      </c>
      <c r="B110" s="5" t="s">
        <v>195</v>
      </c>
      <c r="C110" s="5" t="s">
        <v>20</v>
      </c>
    </row>
    <row r="111">
      <c r="A111" s="5">
        <v>110.0</v>
      </c>
      <c r="B111" s="5" t="s">
        <v>197</v>
      </c>
      <c r="C111" s="5" t="s">
        <v>20</v>
      </c>
    </row>
    <row r="112">
      <c r="A112" s="5">
        <v>111.0</v>
      </c>
      <c r="B112" s="5" t="s">
        <v>198</v>
      </c>
      <c r="C112" s="5" t="s">
        <v>20</v>
      </c>
    </row>
    <row r="113">
      <c r="A113" s="5">
        <v>112.0</v>
      </c>
      <c r="B113" s="5" t="s">
        <v>199</v>
      </c>
      <c r="C113" s="5" t="s">
        <v>20</v>
      </c>
    </row>
    <row r="114">
      <c r="A114" s="5">
        <v>113.0</v>
      </c>
      <c r="B114" s="5" t="s">
        <v>201</v>
      </c>
      <c r="C114" s="5" t="s">
        <v>20</v>
      </c>
    </row>
    <row r="115">
      <c r="A115" s="5">
        <v>114.0</v>
      </c>
      <c r="B115" s="5" t="s">
        <v>203</v>
      </c>
      <c r="C115" s="5" t="s">
        <v>20</v>
      </c>
    </row>
    <row r="116">
      <c r="A116" s="5">
        <v>115.0</v>
      </c>
      <c r="B116" s="5" t="s">
        <v>204</v>
      </c>
      <c r="C116" s="5" t="s">
        <v>20</v>
      </c>
    </row>
    <row r="117">
      <c r="A117" s="5">
        <v>116.0</v>
      </c>
      <c r="B117" s="5" t="s">
        <v>205</v>
      </c>
      <c r="C117" s="5" t="s">
        <v>20</v>
      </c>
    </row>
    <row r="118">
      <c r="A118" s="5">
        <v>117.0</v>
      </c>
      <c r="B118" s="5" t="s">
        <v>207</v>
      </c>
      <c r="C118" s="5" t="s">
        <v>20</v>
      </c>
    </row>
    <row r="119">
      <c r="A119" s="5">
        <v>118.0</v>
      </c>
      <c r="B119" s="5" t="s">
        <v>208</v>
      </c>
      <c r="C119" s="5" t="s">
        <v>20</v>
      </c>
    </row>
    <row r="120">
      <c r="A120" s="5">
        <v>119.0</v>
      </c>
      <c r="B120" s="5" t="s">
        <v>210</v>
      </c>
      <c r="C120" s="5" t="s">
        <v>20</v>
      </c>
    </row>
    <row r="121">
      <c r="A121" s="5">
        <v>120.0</v>
      </c>
      <c r="B121" s="5" t="s">
        <v>212</v>
      </c>
      <c r="C121" s="5" t="s">
        <v>20</v>
      </c>
    </row>
    <row r="122">
      <c r="A122" s="5">
        <v>121.0</v>
      </c>
      <c r="B122" s="5" t="s">
        <v>214</v>
      </c>
      <c r="C122" s="5" t="s">
        <v>20</v>
      </c>
    </row>
    <row r="123">
      <c r="A123" s="5">
        <v>122.0</v>
      </c>
      <c r="B123" s="5" t="s">
        <v>215</v>
      </c>
      <c r="C123" s="5" t="s">
        <v>20</v>
      </c>
    </row>
    <row r="124">
      <c r="A124" s="5">
        <v>123.0</v>
      </c>
      <c r="B124" s="5" t="s">
        <v>217</v>
      </c>
      <c r="C124" s="5" t="s">
        <v>20</v>
      </c>
    </row>
    <row r="125">
      <c r="A125" s="5">
        <v>124.0</v>
      </c>
      <c r="B125" s="5" t="s">
        <v>219</v>
      </c>
      <c r="C125" s="5" t="s">
        <v>20</v>
      </c>
    </row>
    <row r="126">
      <c r="A126" s="5">
        <v>125.0</v>
      </c>
      <c r="B126" s="5" t="s">
        <v>220</v>
      </c>
      <c r="C126" s="5" t="s">
        <v>20</v>
      </c>
    </row>
    <row r="127">
      <c r="A127" s="5">
        <v>126.0</v>
      </c>
      <c r="B127" s="5" t="s">
        <v>222</v>
      </c>
      <c r="C127" s="5" t="s">
        <v>20</v>
      </c>
    </row>
    <row r="128">
      <c r="A128" s="5">
        <v>127.0</v>
      </c>
      <c r="B128" s="5" t="s">
        <v>224</v>
      </c>
      <c r="C128" s="5" t="s">
        <v>20</v>
      </c>
    </row>
    <row r="129">
      <c r="A129" s="5">
        <v>128.0</v>
      </c>
      <c r="B129" s="5" t="s">
        <v>225</v>
      </c>
      <c r="C129" s="5" t="s">
        <v>20</v>
      </c>
    </row>
    <row r="130">
      <c r="A130" s="5">
        <v>129.0</v>
      </c>
      <c r="B130" s="5" t="s">
        <v>226</v>
      </c>
      <c r="C130" s="5" t="s">
        <v>20</v>
      </c>
    </row>
    <row r="131">
      <c r="A131" s="5">
        <v>130.0</v>
      </c>
      <c r="B131" s="5" t="s">
        <v>227</v>
      </c>
      <c r="C131" s="5" t="s">
        <v>20</v>
      </c>
    </row>
    <row r="132">
      <c r="A132" s="5">
        <v>131.0</v>
      </c>
      <c r="B132" s="5" t="s">
        <v>228</v>
      </c>
      <c r="C132" s="5" t="s">
        <v>20</v>
      </c>
    </row>
    <row r="133">
      <c r="A133" s="5">
        <v>132.0</v>
      </c>
      <c r="B133" s="5" t="s">
        <v>229</v>
      </c>
      <c r="C133" s="5" t="s">
        <v>20</v>
      </c>
    </row>
    <row r="134">
      <c r="A134" s="5">
        <v>133.0</v>
      </c>
      <c r="B134" s="5" t="s">
        <v>230</v>
      </c>
      <c r="C134" s="5" t="s">
        <v>20</v>
      </c>
    </row>
    <row r="135">
      <c r="A135" s="5">
        <v>134.0</v>
      </c>
      <c r="B135" s="5" t="s">
        <v>231</v>
      </c>
      <c r="C135" s="5" t="s">
        <v>20</v>
      </c>
    </row>
    <row r="136">
      <c r="A136" s="5">
        <v>135.0</v>
      </c>
      <c r="B136" s="5" t="s">
        <v>232</v>
      </c>
      <c r="C136" s="5" t="s">
        <v>20</v>
      </c>
    </row>
    <row r="137">
      <c r="A137" s="5">
        <v>136.0</v>
      </c>
      <c r="B137" s="5" t="s">
        <v>233</v>
      </c>
      <c r="C137" s="5" t="s">
        <v>20</v>
      </c>
    </row>
    <row r="138">
      <c r="A138" s="5">
        <v>137.0</v>
      </c>
      <c r="B138" s="5" t="s">
        <v>234</v>
      </c>
      <c r="C138" s="5" t="s">
        <v>20</v>
      </c>
    </row>
    <row r="139">
      <c r="A139" s="5">
        <v>138.0</v>
      </c>
      <c r="B139" s="5" t="s">
        <v>235</v>
      </c>
      <c r="C139" s="5" t="s">
        <v>20</v>
      </c>
    </row>
    <row r="140">
      <c r="A140" s="5">
        <v>139.0</v>
      </c>
      <c r="B140" s="5" t="s">
        <v>236</v>
      </c>
      <c r="C140" s="5" t="s">
        <v>20</v>
      </c>
    </row>
    <row r="141">
      <c r="A141" s="5">
        <v>140.0</v>
      </c>
      <c r="B141" s="5" t="s">
        <v>237</v>
      </c>
      <c r="C141" s="5" t="s">
        <v>20</v>
      </c>
    </row>
    <row r="142">
      <c r="A142" s="5">
        <v>141.0</v>
      </c>
      <c r="B142" s="5" t="s">
        <v>238</v>
      </c>
      <c r="C142" s="5" t="s">
        <v>20</v>
      </c>
    </row>
    <row r="143">
      <c r="A143" s="5">
        <v>142.0</v>
      </c>
      <c r="B143" s="5" t="s">
        <v>239</v>
      </c>
      <c r="C143" s="5" t="s">
        <v>20</v>
      </c>
    </row>
    <row r="144">
      <c r="A144" s="5">
        <v>143.0</v>
      </c>
      <c r="B144" s="5" t="s">
        <v>240</v>
      </c>
      <c r="C144" s="5" t="s">
        <v>20</v>
      </c>
    </row>
    <row r="145">
      <c r="A145" s="5">
        <v>144.0</v>
      </c>
      <c r="B145" s="5" t="s">
        <v>241</v>
      </c>
      <c r="C145" s="5" t="s">
        <v>20</v>
      </c>
    </row>
    <row r="146">
      <c r="A146" s="5">
        <v>145.0</v>
      </c>
      <c r="B146" s="5" t="s">
        <v>242</v>
      </c>
      <c r="C146" s="5" t="s">
        <v>20</v>
      </c>
    </row>
    <row r="147">
      <c r="A147" s="5">
        <v>146.0</v>
      </c>
      <c r="B147" s="5" t="s">
        <v>243</v>
      </c>
      <c r="C147" s="5" t="s">
        <v>20</v>
      </c>
    </row>
    <row r="148">
      <c r="A148" s="5">
        <v>147.0</v>
      </c>
      <c r="B148" s="5" t="s">
        <v>244</v>
      </c>
      <c r="C148" s="5" t="s">
        <v>20</v>
      </c>
    </row>
    <row r="149">
      <c r="A149" s="5">
        <v>148.0</v>
      </c>
      <c r="B149" s="5" t="s">
        <v>245</v>
      </c>
      <c r="C149" s="5" t="s">
        <v>20</v>
      </c>
    </row>
    <row r="150">
      <c r="A150" s="5">
        <v>149.0</v>
      </c>
      <c r="B150" s="5" t="s">
        <v>246</v>
      </c>
      <c r="C150" s="5" t="s">
        <v>20</v>
      </c>
    </row>
    <row r="151">
      <c r="A151" s="5">
        <v>150.0</v>
      </c>
      <c r="B151" s="5" t="s">
        <v>247</v>
      </c>
      <c r="C151" s="5" t="s">
        <v>20</v>
      </c>
    </row>
    <row r="152">
      <c r="A152" s="5">
        <v>151.0</v>
      </c>
      <c r="B152" s="5" t="s">
        <v>248</v>
      </c>
      <c r="C152" s="5" t="s">
        <v>20</v>
      </c>
    </row>
    <row r="153">
      <c r="A153" s="5">
        <v>152.0</v>
      </c>
      <c r="B153" s="5" t="s">
        <v>249</v>
      </c>
      <c r="C153" s="5" t="s">
        <v>20</v>
      </c>
    </row>
    <row r="154">
      <c r="A154" s="5">
        <v>153.0</v>
      </c>
      <c r="B154" s="5" t="s">
        <v>250</v>
      </c>
      <c r="C154" s="5" t="s">
        <v>20</v>
      </c>
    </row>
    <row r="155">
      <c r="A155" s="5">
        <v>154.0</v>
      </c>
      <c r="B155" s="5" t="s">
        <v>251</v>
      </c>
      <c r="C155" s="5" t="s">
        <v>20</v>
      </c>
    </row>
    <row r="156">
      <c r="A156" s="5">
        <v>155.0</v>
      </c>
      <c r="B156" s="5" t="s">
        <v>252</v>
      </c>
      <c r="C156" s="5" t="s">
        <v>20</v>
      </c>
    </row>
    <row r="157">
      <c r="A157" s="5">
        <v>156.0</v>
      </c>
      <c r="B157" s="5" t="s">
        <v>253</v>
      </c>
      <c r="C157" s="5" t="s">
        <v>20</v>
      </c>
    </row>
    <row r="158">
      <c r="A158" s="5">
        <v>157.0</v>
      </c>
      <c r="B158" s="5" t="s">
        <v>254</v>
      </c>
      <c r="C158" s="5" t="s">
        <v>20</v>
      </c>
    </row>
    <row r="159">
      <c r="A159" s="5">
        <v>158.0</v>
      </c>
      <c r="B159" s="5" t="s">
        <v>255</v>
      </c>
      <c r="C159" s="5" t="s">
        <v>20</v>
      </c>
    </row>
    <row r="160">
      <c r="A160" s="5">
        <v>159.0</v>
      </c>
      <c r="B160" s="5" t="s">
        <v>256</v>
      </c>
      <c r="C160" s="5" t="s">
        <v>20</v>
      </c>
    </row>
    <row r="161">
      <c r="A161" s="5">
        <v>160.0</v>
      </c>
      <c r="B161" s="5" t="s">
        <v>257</v>
      </c>
      <c r="C161" s="5" t="s">
        <v>20</v>
      </c>
    </row>
    <row r="162">
      <c r="A162" s="5">
        <v>161.0</v>
      </c>
      <c r="B162" s="5" t="s">
        <v>258</v>
      </c>
      <c r="C162" s="5" t="s">
        <v>20</v>
      </c>
    </row>
    <row r="163">
      <c r="A163" s="5">
        <v>162.0</v>
      </c>
      <c r="B163" s="5" t="s">
        <v>259</v>
      </c>
      <c r="C163" s="5" t="s">
        <v>20</v>
      </c>
    </row>
    <row r="164">
      <c r="A164" s="5">
        <v>163.0</v>
      </c>
      <c r="B164" s="5" t="s">
        <v>260</v>
      </c>
      <c r="C164" s="5" t="s">
        <v>20</v>
      </c>
    </row>
    <row r="165">
      <c r="A165" s="5">
        <v>164.0</v>
      </c>
      <c r="B165" s="5" t="s">
        <v>261</v>
      </c>
      <c r="C165" s="5" t="s">
        <v>20</v>
      </c>
    </row>
    <row r="166">
      <c r="A166" s="5">
        <v>165.0</v>
      </c>
      <c r="B166" s="5" t="s">
        <v>262</v>
      </c>
      <c r="C166" s="5" t="s">
        <v>20</v>
      </c>
    </row>
    <row r="167">
      <c r="A167" s="5">
        <v>166.0</v>
      </c>
      <c r="B167" s="5" t="s">
        <v>263</v>
      </c>
      <c r="C167" s="5" t="s">
        <v>20</v>
      </c>
    </row>
    <row r="168">
      <c r="A168" s="5">
        <v>167.0</v>
      </c>
      <c r="B168" s="5" t="s">
        <v>264</v>
      </c>
      <c r="C168" s="5" t="s">
        <v>20</v>
      </c>
    </row>
    <row r="169">
      <c r="A169" s="5">
        <v>168.0</v>
      </c>
      <c r="B169" s="5" t="s">
        <v>265</v>
      </c>
      <c r="C169" s="5" t="s">
        <v>20</v>
      </c>
    </row>
    <row r="170">
      <c r="A170" s="5">
        <v>169.0</v>
      </c>
      <c r="B170" s="5" t="s">
        <v>266</v>
      </c>
      <c r="C170" s="5" t="s">
        <v>20</v>
      </c>
    </row>
    <row r="171">
      <c r="A171" s="5">
        <v>170.0</v>
      </c>
      <c r="B171" s="5" t="s">
        <v>267</v>
      </c>
      <c r="C171" s="5" t="s">
        <v>20</v>
      </c>
    </row>
    <row r="172">
      <c r="A172" s="5">
        <v>171.0</v>
      </c>
      <c r="B172" s="5" t="s">
        <v>268</v>
      </c>
      <c r="C172" s="5" t="s">
        <v>20</v>
      </c>
    </row>
    <row r="173">
      <c r="A173" s="5">
        <v>172.0</v>
      </c>
      <c r="B173" s="5" t="s">
        <v>269</v>
      </c>
      <c r="C173" s="5" t="s">
        <v>20</v>
      </c>
    </row>
    <row r="174">
      <c r="A174" s="5">
        <v>173.0</v>
      </c>
      <c r="B174" s="5" t="s">
        <v>270</v>
      </c>
      <c r="C174" s="5" t="s">
        <v>20</v>
      </c>
    </row>
    <row r="175">
      <c r="A175" s="5">
        <v>174.0</v>
      </c>
      <c r="B175" s="5" t="s">
        <v>271</v>
      </c>
      <c r="C175" s="5" t="s">
        <v>20</v>
      </c>
    </row>
    <row r="176">
      <c r="A176" s="5">
        <v>175.0</v>
      </c>
      <c r="B176" s="5" t="s">
        <v>272</v>
      </c>
      <c r="C176" s="5" t="s">
        <v>20</v>
      </c>
    </row>
    <row r="177">
      <c r="A177" s="5">
        <v>176.0</v>
      </c>
      <c r="B177" s="5" t="s">
        <v>273</v>
      </c>
      <c r="C177" s="5" t="s">
        <v>20</v>
      </c>
    </row>
    <row r="178">
      <c r="A178" s="5">
        <v>177.0</v>
      </c>
      <c r="B178" s="5" t="s">
        <v>274</v>
      </c>
      <c r="C178" s="5" t="s">
        <v>20</v>
      </c>
    </row>
    <row r="179">
      <c r="A179" s="5">
        <v>178.0</v>
      </c>
      <c r="B179" s="5" t="s">
        <v>275</v>
      </c>
      <c r="C179" s="5" t="s">
        <v>20</v>
      </c>
    </row>
    <row r="180">
      <c r="A180" s="5">
        <v>179.0</v>
      </c>
      <c r="B180" s="5" t="s">
        <v>276</v>
      </c>
      <c r="C180" s="5" t="s">
        <v>20</v>
      </c>
    </row>
    <row r="181">
      <c r="A181" s="5">
        <v>180.0</v>
      </c>
      <c r="B181" s="5" t="s">
        <v>277</v>
      </c>
      <c r="C181" s="5" t="s">
        <v>20</v>
      </c>
    </row>
    <row r="182">
      <c r="A182" s="5">
        <v>181.0</v>
      </c>
      <c r="B182" s="5" t="s">
        <v>278</v>
      </c>
      <c r="C182" s="5" t="s">
        <v>20</v>
      </c>
    </row>
    <row r="183">
      <c r="A183" s="5">
        <v>182.0</v>
      </c>
      <c r="B183" s="5" t="s">
        <v>279</v>
      </c>
      <c r="C183" s="5" t="s">
        <v>20</v>
      </c>
    </row>
    <row r="184">
      <c r="A184" s="5">
        <v>183.0</v>
      </c>
      <c r="B184" s="5" t="s">
        <v>280</v>
      </c>
      <c r="C184" s="5" t="s">
        <v>20</v>
      </c>
    </row>
    <row r="185">
      <c r="A185" s="5">
        <v>184.0</v>
      </c>
      <c r="B185" s="5" t="s">
        <v>281</v>
      </c>
      <c r="C185" s="5" t="s">
        <v>20</v>
      </c>
    </row>
    <row r="186">
      <c r="A186" s="5">
        <v>185.0</v>
      </c>
      <c r="B186" s="5" t="s">
        <v>282</v>
      </c>
      <c r="C186" s="5" t="s">
        <v>20</v>
      </c>
    </row>
    <row r="187">
      <c r="A187" s="5">
        <v>186.0</v>
      </c>
      <c r="B187" s="5" t="s">
        <v>283</v>
      </c>
      <c r="C187" s="5" t="s">
        <v>20</v>
      </c>
    </row>
    <row r="188">
      <c r="A188" s="5">
        <v>187.0</v>
      </c>
      <c r="B188" s="5" t="s">
        <v>284</v>
      </c>
      <c r="C188" s="5" t="s">
        <v>20</v>
      </c>
    </row>
    <row r="189">
      <c r="A189" s="5">
        <v>188.0</v>
      </c>
      <c r="B189" s="5" t="s">
        <v>285</v>
      </c>
      <c r="C189" s="5" t="s">
        <v>20</v>
      </c>
    </row>
    <row r="190">
      <c r="A190" s="5">
        <v>189.0</v>
      </c>
      <c r="B190" s="5" t="s">
        <v>286</v>
      </c>
      <c r="C190" s="5" t="s">
        <v>20</v>
      </c>
    </row>
    <row r="191">
      <c r="A191" s="5">
        <v>190.0</v>
      </c>
      <c r="B191" s="5" t="s">
        <v>287</v>
      </c>
      <c r="C191" s="5" t="s">
        <v>20</v>
      </c>
    </row>
    <row r="192">
      <c r="A192" s="5">
        <v>191.0</v>
      </c>
      <c r="B192" s="5" t="s">
        <v>288</v>
      </c>
      <c r="C192" s="5" t="s">
        <v>20</v>
      </c>
    </row>
    <row r="193">
      <c r="A193" s="5">
        <v>192.0</v>
      </c>
      <c r="B193" s="5" t="s">
        <v>289</v>
      </c>
      <c r="C193" s="5" t="s">
        <v>20</v>
      </c>
    </row>
    <row r="194">
      <c r="A194" s="5">
        <v>193.0</v>
      </c>
      <c r="B194" s="5" t="s">
        <v>290</v>
      </c>
      <c r="C194" s="5" t="s">
        <v>20</v>
      </c>
    </row>
    <row r="195">
      <c r="A195" s="5">
        <v>194.0</v>
      </c>
      <c r="B195" s="5" t="s">
        <v>291</v>
      </c>
      <c r="C195" s="5" t="s">
        <v>20</v>
      </c>
    </row>
    <row r="196">
      <c r="A196" s="5">
        <v>195.0</v>
      </c>
      <c r="B196" s="5" t="s">
        <v>292</v>
      </c>
      <c r="C196" s="5" t="s">
        <v>20</v>
      </c>
    </row>
    <row r="197">
      <c r="A197" s="5">
        <v>196.0</v>
      </c>
      <c r="B197" s="5" t="s">
        <v>293</v>
      </c>
      <c r="C197" s="5" t="s">
        <v>20</v>
      </c>
    </row>
    <row r="198">
      <c r="A198" s="5">
        <v>197.0</v>
      </c>
      <c r="B198" s="5" t="s">
        <v>294</v>
      </c>
      <c r="C198" s="5" t="s">
        <v>20</v>
      </c>
    </row>
    <row r="199">
      <c r="A199" s="5">
        <v>198.0</v>
      </c>
      <c r="B199" s="5" t="s">
        <v>295</v>
      </c>
      <c r="C199" s="5" t="s">
        <v>20</v>
      </c>
    </row>
    <row r="200">
      <c r="A200" s="5">
        <v>199.0</v>
      </c>
      <c r="B200" s="5" t="s">
        <v>296</v>
      </c>
      <c r="C200" s="5" t="s">
        <v>20</v>
      </c>
    </row>
    <row r="201">
      <c r="A201" s="5">
        <v>200.0</v>
      </c>
      <c r="B201" s="5" t="s">
        <v>297</v>
      </c>
      <c r="C201" s="5" t="s">
        <v>20</v>
      </c>
    </row>
    <row r="202">
      <c r="A202" s="5">
        <v>201.0</v>
      </c>
      <c r="B202" s="5" t="s">
        <v>298</v>
      </c>
      <c r="C202" s="5" t="s">
        <v>20</v>
      </c>
    </row>
    <row r="203">
      <c r="A203" s="5">
        <v>202.0</v>
      </c>
      <c r="B203" s="5" t="s">
        <v>299</v>
      </c>
      <c r="C203" s="5" t="s">
        <v>20</v>
      </c>
    </row>
    <row r="204">
      <c r="A204" s="5">
        <v>203.0</v>
      </c>
      <c r="B204" s="5" t="s">
        <v>300</v>
      </c>
      <c r="C204" s="5" t="s">
        <v>20</v>
      </c>
    </row>
    <row r="205">
      <c r="A205" s="5">
        <v>204.0</v>
      </c>
      <c r="B205" s="5" t="s">
        <v>301</v>
      </c>
      <c r="C205" s="5" t="s">
        <v>20</v>
      </c>
    </row>
    <row r="206">
      <c r="A206" s="5">
        <v>205.0</v>
      </c>
      <c r="B206" s="5" t="s">
        <v>302</v>
      </c>
      <c r="C206" s="5" t="s">
        <v>20</v>
      </c>
    </row>
    <row r="207">
      <c r="A207" s="5">
        <v>206.0</v>
      </c>
      <c r="B207" s="5" t="s">
        <v>303</v>
      </c>
      <c r="C207" s="5" t="s">
        <v>20</v>
      </c>
    </row>
    <row r="208">
      <c r="A208" s="5">
        <v>207.0</v>
      </c>
      <c r="B208" s="5" t="s">
        <v>304</v>
      </c>
      <c r="C208" s="5" t="s">
        <v>20</v>
      </c>
    </row>
    <row r="209">
      <c r="A209" s="5">
        <v>208.0</v>
      </c>
      <c r="B209" s="5" t="s">
        <v>305</v>
      </c>
      <c r="C209" s="5" t="s">
        <v>20</v>
      </c>
    </row>
    <row r="210">
      <c r="A210" s="5">
        <v>209.0</v>
      </c>
      <c r="B210" s="5" t="s">
        <v>306</v>
      </c>
      <c r="C210" s="5" t="s">
        <v>20</v>
      </c>
    </row>
    <row r="211">
      <c r="A211" s="5">
        <v>210.0</v>
      </c>
      <c r="B211" s="5" t="s">
        <v>307</v>
      </c>
      <c r="C211" s="5" t="s">
        <v>20</v>
      </c>
    </row>
    <row r="212">
      <c r="A212" s="5">
        <v>211.0</v>
      </c>
      <c r="B212" s="5" t="s">
        <v>308</v>
      </c>
      <c r="C212" s="5" t="s">
        <v>20</v>
      </c>
    </row>
    <row r="213">
      <c r="A213" s="5">
        <v>212.0</v>
      </c>
      <c r="B213" s="5" t="s">
        <v>309</v>
      </c>
      <c r="C213" s="5" t="s">
        <v>20</v>
      </c>
    </row>
    <row r="214">
      <c r="A214" s="5">
        <v>213.0</v>
      </c>
      <c r="B214" s="5" t="s">
        <v>310</v>
      </c>
      <c r="C214" s="5" t="s">
        <v>20</v>
      </c>
    </row>
    <row r="215">
      <c r="A215" s="5">
        <v>214.0</v>
      </c>
      <c r="B215" s="5" t="s">
        <v>311</v>
      </c>
      <c r="C215" s="5" t="s">
        <v>20</v>
      </c>
    </row>
    <row r="216">
      <c r="A216" s="5">
        <v>215.0</v>
      </c>
      <c r="B216" s="5" t="s">
        <v>312</v>
      </c>
      <c r="C216" s="5" t="s">
        <v>20</v>
      </c>
    </row>
    <row r="217">
      <c r="A217" s="5">
        <v>216.0</v>
      </c>
      <c r="B217" s="5" t="s">
        <v>313</v>
      </c>
      <c r="C217" s="5" t="s">
        <v>20</v>
      </c>
    </row>
    <row r="218">
      <c r="A218" s="5">
        <v>217.0</v>
      </c>
      <c r="B218" s="5" t="s">
        <v>314</v>
      </c>
      <c r="C218" s="5" t="s">
        <v>20</v>
      </c>
    </row>
    <row r="219">
      <c r="A219" s="5">
        <v>218.0</v>
      </c>
      <c r="B219" s="5" t="s">
        <v>315</v>
      </c>
      <c r="C219" s="5" t="s">
        <v>20</v>
      </c>
    </row>
    <row r="220">
      <c r="A220" s="5">
        <v>219.0</v>
      </c>
      <c r="B220" s="5" t="s">
        <v>316</v>
      </c>
      <c r="C220" s="5" t="s">
        <v>20</v>
      </c>
    </row>
    <row r="221">
      <c r="A221" s="5">
        <v>220.0</v>
      </c>
      <c r="B221" s="5" t="s">
        <v>317</v>
      </c>
      <c r="C221" s="5" t="s">
        <v>20</v>
      </c>
    </row>
    <row r="222">
      <c r="A222" s="5">
        <v>221.0</v>
      </c>
      <c r="B222" s="5" t="s">
        <v>318</v>
      </c>
      <c r="C222" s="5" t="s">
        <v>20</v>
      </c>
    </row>
    <row r="223">
      <c r="A223" s="5">
        <v>222.0</v>
      </c>
      <c r="B223" s="5" t="s">
        <v>319</v>
      </c>
      <c r="C223" s="5" t="s">
        <v>20</v>
      </c>
    </row>
    <row r="224">
      <c r="A224" s="5">
        <v>223.0</v>
      </c>
      <c r="B224" s="5" t="s">
        <v>320</v>
      </c>
      <c r="C224" s="5" t="s">
        <v>20</v>
      </c>
    </row>
    <row r="225">
      <c r="A225" s="5">
        <v>224.0</v>
      </c>
      <c r="B225" s="5" t="s">
        <v>321</v>
      </c>
      <c r="C225" s="5" t="s">
        <v>20</v>
      </c>
    </row>
    <row r="226">
      <c r="A226" s="5">
        <v>225.0</v>
      </c>
      <c r="B226" s="5" t="s">
        <v>322</v>
      </c>
      <c r="C226" s="5" t="s">
        <v>20</v>
      </c>
    </row>
    <row r="227">
      <c r="A227" s="5">
        <v>226.0</v>
      </c>
      <c r="B227" s="5" t="s">
        <v>323</v>
      </c>
      <c r="C227" s="5" t="s">
        <v>20</v>
      </c>
    </row>
    <row r="228">
      <c r="A228" s="5">
        <v>227.0</v>
      </c>
      <c r="B228" s="5" t="s">
        <v>324</v>
      </c>
      <c r="C228" s="5" t="s">
        <v>20</v>
      </c>
    </row>
    <row r="229">
      <c r="A229" s="5">
        <v>228.0</v>
      </c>
      <c r="B229" s="5" t="s">
        <v>325</v>
      </c>
      <c r="C229" s="5" t="s">
        <v>20</v>
      </c>
    </row>
    <row r="230">
      <c r="A230" s="5">
        <v>229.0</v>
      </c>
      <c r="B230" s="5" t="s">
        <v>326</v>
      </c>
      <c r="C230" s="5" t="s">
        <v>20</v>
      </c>
    </row>
    <row r="231">
      <c r="A231" s="5">
        <v>230.0</v>
      </c>
      <c r="B231" s="5" t="s">
        <v>327</v>
      </c>
      <c r="C231" s="5" t="s">
        <v>20</v>
      </c>
    </row>
    <row r="232">
      <c r="A232" s="5">
        <v>231.0</v>
      </c>
      <c r="B232" s="5" t="s">
        <v>328</v>
      </c>
      <c r="C232" s="5" t="s">
        <v>20</v>
      </c>
    </row>
    <row r="233">
      <c r="A233" s="5">
        <v>232.0</v>
      </c>
      <c r="B233" s="5" t="s">
        <v>329</v>
      </c>
      <c r="C233" s="5" t="s">
        <v>20</v>
      </c>
    </row>
    <row r="234">
      <c r="A234" s="5">
        <v>233.0</v>
      </c>
      <c r="B234" s="5" t="s">
        <v>330</v>
      </c>
      <c r="C234" s="5" t="s">
        <v>20</v>
      </c>
    </row>
    <row r="235">
      <c r="A235" s="5">
        <v>234.0</v>
      </c>
      <c r="B235" s="5" t="s">
        <v>331</v>
      </c>
      <c r="C235" s="5" t="s">
        <v>20</v>
      </c>
    </row>
    <row r="236">
      <c r="A236" s="5">
        <v>235.0</v>
      </c>
      <c r="B236" s="5" t="s">
        <v>333</v>
      </c>
      <c r="C236" s="5" t="s">
        <v>20</v>
      </c>
    </row>
    <row r="237">
      <c r="A237" s="5">
        <v>236.0</v>
      </c>
      <c r="B237" s="5" t="s">
        <v>334</v>
      </c>
      <c r="C237" s="5" t="s">
        <v>20</v>
      </c>
    </row>
    <row r="238">
      <c r="A238" s="5">
        <v>237.0</v>
      </c>
      <c r="B238" s="5" t="s">
        <v>335</v>
      </c>
      <c r="C238" s="5" t="s">
        <v>20</v>
      </c>
    </row>
    <row r="239">
      <c r="A239" s="5">
        <v>238.0</v>
      </c>
      <c r="B239" s="5" t="s">
        <v>336</v>
      </c>
      <c r="C239" s="5" t="s">
        <v>20</v>
      </c>
    </row>
    <row r="240">
      <c r="A240" s="5">
        <v>239.0</v>
      </c>
      <c r="B240" s="5" t="s">
        <v>339</v>
      </c>
      <c r="C240" s="5" t="s">
        <v>20</v>
      </c>
    </row>
    <row r="241">
      <c r="A241" s="5">
        <v>240.0</v>
      </c>
      <c r="B241" s="5" t="s">
        <v>340</v>
      </c>
      <c r="C241" s="5" t="s">
        <v>20</v>
      </c>
    </row>
    <row r="242">
      <c r="A242" s="5">
        <v>241.0</v>
      </c>
      <c r="B242" s="5" t="s">
        <v>341</v>
      </c>
      <c r="C242" s="5" t="s">
        <v>20</v>
      </c>
    </row>
    <row r="243">
      <c r="A243" s="5">
        <v>242.0</v>
      </c>
      <c r="B243" s="5" t="s">
        <v>343</v>
      </c>
      <c r="C243" s="5" t="s">
        <v>20</v>
      </c>
    </row>
    <row r="244">
      <c r="A244" s="5">
        <v>243.0</v>
      </c>
      <c r="B244" s="5" t="s">
        <v>344</v>
      </c>
      <c r="C244" s="5" t="s">
        <v>20</v>
      </c>
    </row>
    <row r="245">
      <c r="A245" s="5">
        <v>244.0</v>
      </c>
      <c r="B245" s="5" t="s">
        <v>347</v>
      </c>
      <c r="C245" s="5" t="s">
        <v>20</v>
      </c>
    </row>
    <row r="246">
      <c r="A246" s="5">
        <v>245.0</v>
      </c>
      <c r="B246" s="5" t="s">
        <v>349</v>
      </c>
      <c r="C246" s="5" t="s">
        <v>20</v>
      </c>
    </row>
    <row r="247">
      <c r="A247" s="5">
        <v>246.0</v>
      </c>
      <c r="B247" s="5" t="s">
        <v>350</v>
      </c>
      <c r="C247" s="5" t="s">
        <v>20</v>
      </c>
    </row>
    <row r="248">
      <c r="A248" s="5">
        <v>247.0</v>
      </c>
      <c r="B248" s="5" t="s">
        <v>352</v>
      </c>
      <c r="C248" s="5" t="s">
        <v>20</v>
      </c>
    </row>
    <row r="249">
      <c r="A249" s="5">
        <v>248.0</v>
      </c>
      <c r="B249" s="5" t="s">
        <v>353</v>
      </c>
      <c r="C249" s="5" t="s">
        <v>20</v>
      </c>
    </row>
    <row r="250">
      <c r="A250" s="5">
        <v>249.0</v>
      </c>
      <c r="B250" s="5" t="s">
        <v>355</v>
      </c>
      <c r="C250" s="5" t="s">
        <v>20</v>
      </c>
    </row>
    <row r="251">
      <c r="A251" s="5">
        <v>250.0</v>
      </c>
      <c r="B251" s="5" t="s">
        <v>357</v>
      </c>
      <c r="C251" s="5" t="s">
        <v>20</v>
      </c>
    </row>
    <row r="252">
      <c r="A252" s="5">
        <v>251.0</v>
      </c>
      <c r="B252" s="5" t="s">
        <v>359</v>
      </c>
      <c r="C252" s="5" t="s">
        <v>20</v>
      </c>
    </row>
    <row r="253">
      <c r="A253" s="5">
        <v>252.0</v>
      </c>
      <c r="B253" s="5" t="s">
        <v>360</v>
      </c>
      <c r="C253" s="5" t="s">
        <v>20</v>
      </c>
    </row>
    <row r="254">
      <c r="A254" s="5">
        <v>253.0</v>
      </c>
      <c r="B254" s="5" t="s">
        <v>362</v>
      </c>
      <c r="C254" s="5" t="s">
        <v>20</v>
      </c>
    </row>
    <row r="255">
      <c r="A255" s="5">
        <v>254.0</v>
      </c>
      <c r="B255" s="5" t="s">
        <v>365</v>
      </c>
      <c r="C255" s="5" t="s">
        <v>20</v>
      </c>
    </row>
    <row r="256">
      <c r="A256" s="5">
        <v>255.0</v>
      </c>
      <c r="B256" s="5" t="s">
        <v>367</v>
      </c>
      <c r="C256" s="5" t="s">
        <v>20</v>
      </c>
    </row>
    <row r="257">
      <c r="A257" s="5">
        <v>256.0</v>
      </c>
      <c r="B257" s="5" t="s">
        <v>368</v>
      </c>
      <c r="C257" s="5" t="s">
        <v>20</v>
      </c>
    </row>
    <row r="258">
      <c r="A258" s="5">
        <v>257.0</v>
      </c>
      <c r="B258" s="5" t="s">
        <v>372</v>
      </c>
      <c r="C258" s="5" t="s">
        <v>20</v>
      </c>
    </row>
    <row r="259">
      <c r="A259" s="5">
        <v>258.0</v>
      </c>
      <c r="B259" s="5" t="s">
        <v>373</v>
      </c>
      <c r="C259" s="5" t="s">
        <v>20</v>
      </c>
    </row>
    <row r="260">
      <c r="A260" s="5">
        <v>259.0</v>
      </c>
      <c r="B260" s="5" t="s">
        <v>375</v>
      </c>
      <c r="C260" s="5" t="s">
        <v>20</v>
      </c>
    </row>
    <row r="261">
      <c r="A261" s="5">
        <v>260.0</v>
      </c>
      <c r="B261" s="5" t="s">
        <v>378</v>
      </c>
      <c r="C261" s="5" t="s">
        <v>20</v>
      </c>
    </row>
    <row r="262">
      <c r="A262" s="5">
        <v>261.0</v>
      </c>
      <c r="B262" s="5" t="s">
        <v>379</v>
      </c>
      <c r="C262" s="5" t="s">
        <v>20</v>
      </c>
    </row>
    <row r="263">
      <c r="A263" s="5">
        <v>262.0</v>
      </c>
      <c r="B263" s="5" t="s">
        <v>380</v>
      </c>
      <c r="C263" s="5" t="s">
        <v>20</v>
      </c>
    </row>
    <row r="264">
      <c r="A264" s="5">
        <v>263.0</v>
      </c>
      <c r="B264" s="5" t="s">
        <v>381</v>
      </c>
      <c r="C264" s="5" t="s">
        <v>20</v>
      </c>
    </row>
    <row r="265">
      <c r="A265" s="5">
        <v>264.0</v>
      </c>
      <c r="B265" s="5" t="s">
        <v>382</v>
      </c>
      <c r="C265" s="5" t="s">
        <v>20</v>
      </c>
    </row>
    <row r="266">
      <c r="A266" s="5">
        <v>265.0</v>
      </c>
      <c r="B266" s="5" t="s">
        <v>383</v>
      </c>
      <c r="C266" s="5" t="s">
        <v>20</v>
      </c>
    </row>
    <row r="267">
      <c r="A267" s="5">
        <v>266.0</v>
      </c>
      <c r="B267" s="5" t="s">
        <v>385</v>
      </c>
      <c r="C267" s="5" t="s">
        <v>20</v>
      </c>
    </row>
    <row r="268">
      <c r="A268" s="5">
        <v>267.0</v>
      </c>
      <c r="B268" s="5" t="s">
        <v>387</v>
      </c>
      <c r="C268" s="5" t="s">
        <v>20</v>
      </c>
    </row>
    <row r="269">
      <c r="A269" s="5">
        <v>268.0</v>
      </c>
      <c r="B269" s="5" t="s">
        <v>389</v>
      </c>
      <c r="C269" s="5" t="s">
        <v>20</v>
      </c>
    </row>
    <row r="270">
      <c r="A270" s="5">
        <v>269.0</v>
      </c>
      <c r="B270" s="5" t="s">
        <v>390</v>
      </c>
      <c r="C270" s="5" t="s">
        <v>20</v>
      </c>
    </row>
    <row r="271">
      <c r="A271" s="5">
        <v>270.0</v>
      </c>
      <c r="B271" s="5" t="s">
        <v>391</v>
      </c>
      <c r="C271" s="5" t="s">
        <v>20</v>
      </c>
    </row>
    <row r="272">
      <c r="A272" s="5">
        <v>271.0</v>
      </c>
      <c r="B272" s="5" t="s">
        <v>392</v>
      </c>
      <c r="C272" s="5" t="s">
        <v>20</v>
      </c>
    </row>
    <row r="273">
      <c r="A273" s="5">
        <v>272.0</v>
      </c>
      <c r="B273" s="5" t="s">
        <v>395</v>
      </c>
      <c r="C273" s="5" t="s">
        <v>20</v>
      </c>
    </row>
    <row r="274">
      <c r="A274" s="5">
        <v>273.0</v>
      </c>
      <c r="B274" s="5" t="s">
        <v>396</v>
      </c>
      <c r="C274" s="5" t="s">
        <v>20</v>
      </c>
    </row>
    <row r="275">
      <c r="A275" s="5">
        <v>274.0</v>
      </c>
      <c r="B275" s="5" t="s">
        <v>397</v>
      </c>
      <c r="C275" s="5" t="s">
        <v>20</v>
      </c>
    </row>
    <row r="276">
      <c r="A276" s="5">
        <v>275.0</v>
      </c>
      <c r="B276" s="5" t="s">
        <v>398</v>
      </c>
      <c r="C276" s="5" t="s">
        <v>20</v>
      </c>
    </row>
    <row r="277">
      <c r="A277" s="5">
        <v>276.0</v>
      </c>
      <c r="B277" s="5" t="s">
        <v>399</v>
      </c>
      <c r="C277" s="5" t="s">
        <v>20</v>
      </c>
    </row>
    <row r="278">
      <c r="A278" s="5">
        <v>277.0</v>
      </c>
      <c r="B278" s="5" t="s">
        <v>400</v>
      </c>
      <c r="C278" s="5" t="s">
        <v>20</v>
      </c>
    </row>
    <row r="279">
      <c r="A279" s="5">
        <v>278.0</v>
      </c>
      <c r="B279" s="5" t="s">
        <v>401</v>
      </c>
      <c r="C279" s="5" t="s">
        <v>20</v>
      </c>
    </row>
    <row r="280">
      <c r="A280" s="5">
        <v>279.0</v>
      </c>
      <c r="B280" s="5" t="s">
        <v>402</v>
      </c>
      <c r="C280" s="5" t="s">
        <v>20</v>
      </c>
    </row>
    <row r="281">
      <c r="A281" s="5">
        <v>280.0</v>
      </c>
      <c r="B281" s="5" t="s">
        <v>404</v>
      </c>
      <c r="C281" s="5" t="s">
        <v>20</v>
      </c>
    </row>
    <row r="282">
      <c r="A282" s="5">
        <v>281.0</v>
      </c>
      <c r="B282" s="5" t="s">
        <v>405</v>
      </c>
      <c r="C282" s="5" t="s">
        <v>20</v>
      </c>
    </row>
    <row r="283">
      <c r="A283" s="5">
        <v>282.0</v>
      </c>
      <c r="B283" s="5" t="s">
        <v>406</v>
      </c>
      <c r="C283" s="5" t="s">
        <v>20</v>
      </c>
    </row>
    <row r="284">
      <c r="A284" s="5">
        <v>283.0</v>
      </c>
      <c r="B284" s="5" t="s">
        <v>407</v>
      </c>
      <c r="C284" s="5" t="s">
        <v>20</v>
      </c>
    </row>
    <row r="285">
      <c r="A285" s="5">
        <v>284.0</v>
      </c>
      <c r="B285" s="5" t="s">
        <v>408</v>
      </c>
      <c r="C285" s="5" t="s">
        <v>20</v>
      </c>
    </row>
    <row r="286">
      <c r="A286" s="5">
        <v>285.0</v>
      </c>
      <c r="B286" s="5" t="s">
        <v>409</v>
      </c>
      <c r="C286" s="5" t="s">
        <v>20</v>
      </c>
    </row>
    <row r="287">
      <c r="A287" s="5">
        <v>286.0</v>
      </c>
      <c r="B287" s="5" t="s">
        <v>410</v>
      </c>
      <c r="C287" s="5" t="s">
        <v>20</v>
      </c>
    </row>
    <row r="288">
      <c r="A288" s="5">
        <v>287.0</v>
      </c>
      <c r="B288" s="5" t="s">
        <v>413</v>
      </c>
      <c r="C288" s="5" t="s">
        <v>20</v>
      </c>
    </row>
    <row r="289">
      <c r="A289" s="5">
        <v>288.0</v>
      </c>
      <c r="B289" s="5" t="s">
        <v>414</v>
      </c>
      <c r="C289" s="5" t="s">
        <v>20</v>
      </c>
    </row>
    <row r="290">
      <c r="A290" s="5">
        <v>289.0</v>
      </c>
      <c r="B290" s="5" t="s">
        <v>415</v>
      </c>
      <c r="C290" s="5" t="s">
        <v>20</v>
      </c>
    </row>
    <row r="291">
      <c r="A291" s="5">
        <v>290.0</v>
      </c>
      <c r="B291" s="5" t="s">
        <v>416</v>
      </c>
      <c r="C291" s="5" t="s">
        <v>20</v>
      </c>
    </row>
    <row r="292">
      <c r="A292" s="5">
        <v>291.0</v>
      </c>
      <c r="B292" s="5" t="s">
        <v>417</v>
      </c>
      <c r="C292" s="5" t="s">
        <v>20</v>
      </c>
    </row>
    <row r="293">
      <c r="A293" s="5">
        <v>292.0</v>
      </c>
      <c r="B293" s="5" t="s">
        <v>418</v>
      </c>
      <c r="C293" s="5" t="s">
        <v>20</v>
      </c>
    </row>
    <row r="294">
      <c r="A294" s="5">
        <v>293.0</v>
      </c>
      <c r="B294" s="5" t="s">
        <v>419</v>
      </c>
      <c r="C294" s="5" t="s">
        <v>20</v>
      </c>
    </row>
    <row r="295">
      <c r="A295" s="5">
        <v>294.0</v>
      </c>
      <c r="B295" s="5" t="s">
        <v>421</v>
      </c>
      <c r="C295" s="5" t="s">
        <v>20</v>
      </c>
    </row>
    <row r="296">
      <c r="A296" s="5">
        <v>295.0</v>
      </c>
      <c r="B296" s="5" t="s">
        <v>423</v>
      </c>
      <c r="C296" s="5" t="s">
        <v>20</v>
      </c>
    </row>
    <row r="297">
      <c r="A297" s="5">
        <v>296.0</v>
      </c>
      <c r="B297" s="5" t="s">
        <v>426</v>
      </c>
      <c r="C297" s="5" t="s">
        <v>20</v>
      </c>
    </row>
    <row r="298">
      <c r="A298" s="5">
        <v>297.0</v>
      </c>
      <c r="B298" s="5" t="s">
        <v>428</v>
      </c>
      <c r="C298" s="5" t="s">
        <v>20</v>
      </c>
    </row>
    <row r="299">
      <c r="A299" s="5">
        <v>298.0</v>
      </c>
      <c r="B299" s="5" t="s">
        <v>430</v>
      </c>
      <c r="C299" s="5" t="s">
        <v>20</v>
      </c>
    </row>
    <row r="300">
      <c r="A300" s="5">
        <v>299.0</v>
      </c>
      <c r="B300" s="5" t="s">
        <v>434</v>
      </c>
      <c r="C300" s="5" t="s">
        <v>20</v>
      </c>
    </row>
    <row r="301">
      <c r="A301" s="5">
        <v>300.0</v>
      </c>
      <c r="B301" s="5" t="s">
        <v>435</v>
      </c>
      <c r="C301" s="5" t="s">
        <v>20</v>
      </c>
    </row>
    <row r="302">
      <c r="A302" s="5">
        <v>301.0</v>
      </c>
      <c r="B302" s="5" t="s">
        <v>438</v>
      </c>
      <c r="C302" s="5" t="s">
        <v>20</v>
      </c>
    </row>
    <row r="303">
      <c r="A303" s="5">
        <v>302.0</v>
      </c>
      <c r="B303" s="5" t="s">
        <v>440</v>
      </c>
      <c r="C303" s="5" t="s">
        <v>20</v>
      </c>
    </row>
    <row r="304">
      <c r="A304" s="5">
        <v>303.0</v>
      </c>
      <c r="B304" s="5" t="s">
        <v>441</v>
      </c>
      <c r="C304" s="5" t="s">
        <v>20</v>
      </c>
    </row>
    <row r="305">
      <c r="A305" s="5">
        <v>304.0</v>
      </c>
      <c r="B305" s="5" t="s">
        <v>442</v>
      </c>
      <c r="C305" s="5" t="s">
        <v>20</v>
      </c>
    </row>
    <row r="306">
      <c r="A306" s="5">
        <v>305.0</v>
      </c>
      <c r="B306" s="5" t="s">
        <v>445</v>
      </c>
      <c r="C306" s="5" t="s">
        <v>20</v>
      </c>
    </row>
    <row r="307">
      <c r="A307" s="5">
        <v>306.0</v>
      </c>
      <c r="B307" s="5" t="s">
        <v>448</v>
      </c>
      <c r="C307" s="5" t="s">
        <v>20</v>
      </c>
    </row>
    <row r="308">
      <c r="A308" s="5">
        <v>307.0</v>
      </c>
      <c r="B308" s="5" t="s">
        <v>449</v>
      </c>
      <c r="C308" s="5" t="s">
        <v>20</v>
      </c>
    </row>
    <row r="309">
      <c r="A309" s="5">
        <v>308.0</v>
      </c>
      <c r="B309" s="5" t="s">
        <v>452</v>
      </c>
      <c r="C309" s="5" t="s">
        <v>20</v>
      </c>
    </row>
    <row r="310">
      <c r="A310" s="5">
        <v>309.0</v>
      </c>
      <c r="B310" s="5" t="s">
        <v>453</v>
      </c>
      <c r="C310" s="5" t="s">
        <v>20</v>
      </c>
    </row>
    <row r="311">
      <c r="A311" s="5">
        <v>310.0</v>
      </c>
      <c r="B311" s="5" t="s">
        <v>454</v>
      </c>
      <c r="C311" s="5" t="s">
        <v>20</v>
      </c>
    </row>
    <row r="312">
      <c r="A312" s="5">
        <v>311.0</v>
      </c>
      <c r="B312" s="5" t="s">
        <v>455</v>
      </c>
      <c r="C312" s="5" t="s">
        <v>20</v>
      </c>
    </row>
    <row r="313">
      <c r="A313" s="5">
        <v>312.0</v>
      </c>
      <c r="B313" s="5" t="s">
        <v>456</v>
      </c>
      <c r="C313" s="5" t="s">
        <v>20</v>
      </c>
    </row>
    <row r="314">
      <c r="A314" s="5">
        <v>313.0</v>
      </c>
      <c r="B314" s="5" t="s">
        <v>458</v>
      </c>
      <c r="C314" s="5" t="s">
        <v>20</v>
      </c>
    </row>
    <row r="315">
      <c r="A315" s="5">
        <v>314.0</v>
      </c>
      <c r="B315" s="5" t="s">
        <v>459</v>
      </c>
      <c r="C315" s="5" t="s">
        <v>20</v>
      </c>
    </row>
    <row r="316">
      <c r="A316" s="5">
        <v>315.0</v>
      </c>
      <c r="B316" s="5" t="s">
        <v>462</v>
      </c>
      <c r="C316" s="5" t="s">
        <v>20</v>
      </c>
    </row>
    <row r="317">
      <c r="A317" s="5">
        <v>316.0</v>
      </c>
      <c r="B317" s="5" t="s">
        <v>464</v>
      </c>
      <c r="C317" s="5" t="s">
        <v>20</v>
      </c>
    </row>
    <row r="318">
      <c r="A318" s="5">
        <v>317.0</v>
      </c>
      <c r="B318" s="5" t="s">
        <v>465</v>
      </c>
      <c r="C318" s="5" t="s">
        <v>20</v>
      </c>
    </row>
    <row r="319">
      <c r="A319" s="5">
        <v>318.0</v>
      </c>
      <c r="B319" s="5" t="s">
        <v>467</v>
      </c>
      <c r="C319" s="5" t="s">
        <v>20</v>
      </c>
    </row>
    <row r="320">
      <c r="A320" s="5">
        <v>319.0</v>
      </c>
      <c r="B320" s="5" t="s">
        <v>469</v>
      </c>
      <c r="C320" s="5" t="s">
        <v>20</v>
      </c>
    </row>
    <row r="321">
      <c r="A321" s="5">
        <v>320.0</v>
      </c>
      <c r="B321" s="5" t="s">
        <v>472</v>
      </c>
      <c r="C321" s="5" t="s">
        <v>20</v>
      </c>
    </row>
    <row r="322">
      <c r="A322" s="5">
        <v>321.0</v>
      </c>
      <c r="B322" s="5" t="s">
        <v>475</v>
      </c>
      <c r="C322" s="5" t="s">
        <v>20</v>
      </c>
    </row>
    <row r="323">
      <c r="A323" s="5">
        <v>322.0</v>
      </c>
      <c r="B323" s="5" t="s">
        <v>476</v>
      </c>
      <c r="C323" s="5" t="s">
        <v>20</v>
      </c>
    </row>
    <row r="324">
      <c r="A324" s="5">
        <v>323.0</v>
      </c>
      <c r="B324" s="5" t="s">
        <v>478</v>
      </c>
      <c r="C324" s="5" t="s">
        <v>20</v>
      </c>
    </row>
    <row r="325">
      <c r="A325" s="5">
        <v>324.0</v>
      </c>
      <c r="B325" s="5" t="s">
        <v>479</v>
      </c>
      <c r="C325" s="5" t="s">
        <v>20</v>
      </c>
    </row>
    <row r="326">
      <c r="A326" s="5">
        <v>325.0</v>
      </c>
      <c r="B326" s="5" t="s">
        <v>480</v>
      </c>
      <c r="C326" s="5" t="s">
        <v>20</v>
      </c>
    </row>
    <row r="327">
      <c r="A327" s="5">
        <v>326.0</v>
      </c>
      <c r="B327" s="5" t="s">
        <v>482</v>
      </c>
      <c r="C327" s="5" t="s">
        <v>20</v>
      </c>
    </row>
    <row r="328">
      <c r="A328" s="5">
        <v>327.0</v>
      </c>
      <c r="B328" s="5" t="s">
        <v>483</v>
      </c>
      <c r="C328" s="5" t="s">
        <v>20</v>
      </c>
    </row>
    <row r="329">
      <c r="A329" s="5">
        <v>328.0</v>
      </c>
      <c r="B329" s="5" t="s">
        <v>486</v>
      </c>
      <c r="C329" s="5" t="s">
        <v>20</v>
      </c>
    </row>
    <row r="330">
      <c r="A330" s="5">
        <v>329.0</v>
      </c>
      <c r="B330" s="5" t="s">
        <v>487</v>
      </c>
      <c r="C330" s="5" t="s">
        <v>20</v>
      </c>
    </row>
    <row r="331">
      <c r="A331" s="5">
        <v>330.0</v>
      </c>
      <c r="B331" s="5" t="s">
        <v>490</v>
      </c>
      <c r="C331" s="5" t="s">
        <v>20</v>
      </c>
    </row>
    <row r="332">
      <c r="A332" s="5">
        <v>331.0</v>
      </c>
      <c r="B332" s="5" t="s">
        <v>492</v>
      </c>
      <c r="C332" s="5" t="s">
        <v>20</v>
      </c>
    </row>
    <row r="333">
      <c r="A333" s="5">
        <v>332.0</v>
      </c>
      <c r="B333" s="5" t="s">
        <v>493</v>
      </c>
      <c r="C333" s="5" t="s">
        <v>20</v>
      </c>
    </row>
    <row r="334">
      <c r="A334" s="5">
        <v>333.0</v>
      </c>
      <c r="B334" s="5" t="s">
        <v>495</v>
      </c>
      <c r="C334" s="5" t="s">
        <v>20</v>
      </c>
    </row>
    <row r="335">
      <c r="A335" s="5">
        <v>334.0</v>
      </c>
      <c r="B335" s="5" t="s">
        <v>496</v>
      </c>
      <c r="C335" s="5" t="s">
        <v>20</v>
      </c>
    </row>
    <row r="336">
      <c r="A336" s="5">
        <v>335.0</v>
      </c>
      <c r="B336" s="5" t="s">
        <v>497</v>
      </c>
      <c r="C336" s="5" t="s">
        <v>20</v>
      </c>
    </row>
    <row r="337">
      <c r="A337" s="5">
        <v>336.0</v>
      </c>
      <c r="B337" s="5" t="s">
        <v>499</v>
      </c>
      <c r="C337" s="5" t="s">
        <v>20</v>
      </c>
    </row>
    <row r="338">
      <c r="A338" s="5">
        <v>337.0</v>
      </c>
      <c r="B338" s="5" t="s">
        <v>500</v>
      </c>
      <c r="C338" s="5" t="s">
        <v>20</v>
      </c>
    </row>
    <row r="339">
      <c r="A339" s="5">
        <v>338.0</v>
      </c>
      <c r="B339" s="5" t="s">
        <v>502</v>
      </c>
      <c r="C339" s="5" t="s">
        <v>20</v>
      </c>
    </row>
    <row r="340">
      <c r="A340" s="5">
        <v>339.0</v>
      </c>
      <c r="B340" s="5" t="s">
        <v>503</v>
      </c>
      <c r="C340" s="5" t="s">
        <v>20</v>
      </c>
    </row>
    <row r="341">
      <c r="A341" s="5">
        <v>340.0</v>
      </c>
      <c r="B341" s="5" t="s">
        <v>505</v>
      </c>
      <c r="C341" s="5" t="s">
        <v>20</v>
      </c>
    </row>
    <row r="342">
      <c r="A342" s="5">
        <v>341.0</v>
      </c>
      <c r="B342" s="5" t="s">
        <v>506</v>
      </c>
      <c r="C342" s="5" t="s">
        <v>20</v>
      </c>
    </row>
    <row r="343">
      <c r="A343" s="5">
        <v>342.0</v>
      </c>
      <c r="B343" s="5" t="s">
        <v>508</v>
      </c>
      <c r="C343" s="5" t="s">
        <v>20</v>
      </c>
    </row>
    <row r="344">
      <c r="A344" s="5">
        <v>343.0</v>
      </c>
      <c r="B344" s="5" t="s">
        <v>509</v>
      </c>
      <c r="C344" s="5" t="s">
        <v>20</v>
      </c>
    </row>
    <row r="345">
      <c r="A345" s="5">
        <v>344.0</v>
      </c>
      <c r="B345" s="5" t="s">
        <v>512</v>
      </c>
      <c r="C345" s="5" t="s">
        <v>20</v>
      </c>
    </row>
    <row r="346">
      <c r="A346" s="5">
        <v>345.0</v>
      </c>
      <c r="B346" s="5" t="s">
        <v>514</v>
      </c>
      <c r="C346" s="5" t="s">
        <v>20</v>
      </c>
    </row>
    <row r="347">
      <c r="A347" s="5">
        <v>346.0</v>
      </c>
      <c r="B347" s="5" t="s">
        <v>515</v>
      </c>
      <c r="C347" s="5" t="s">
        <v>20</v>
      </c>
    </row>
    <row r="348">
      <c r="A348" s="5">
        <v>347.0</v>
      </c>
      <c r="B348" s="5" t="s">
        <v>517</v>
      </c>
      <c r="C348" s="5" t="s">
        <v>20</v>
      </c>
    </row>
    <row r="349">
      <c r="A349" s="5">
        <v>348.0</v>
      </c>
      <c r="B349" s="5" t="s">
        <v>519</v>
      </c>
      <c r="C349" s="5" t="s">
        <v>20</v>
      </c>
    </row>
    <row r="350">
      <c r="A350" s="5">
        <v>349.0</v>
      </c>
      <c r="B350" s="5" t="s">
        <v>523</v>
      </c>
      <c r="C350" s="5" t="s">
        <v>20</v>
      </c>
    </row>
    <row r="351">
      <c r="A351" s="5">
        <v>350.0</v>
      </c>
      <c r="B351" s="5" t="s">
        <v>525</v>
      </c>
      <c r="C351" s="5" t="s">
        <v>20</v>
      </c>
    </row>
    <row r="352">
      <c r="A352" s="5">
        <v>351.0</v>
      </c>
      <c r="B352" s="5" t="s">
        <v>527</v>
      </c>
      <c r="C352" s="5" t="s">
        <v>20</v>
      </c>
    </row>
    <row r="353">
      <c r="A353" s="5">
        <v>352.0</v>
      </c>
      <c r="B353" s="5" t="s">
        <v>529</v>
      </c>
      <c r="C353" s="5" t="s">
        <v>20</v>
      </c>
    </row>
    <row r="354">
      <c r="A354" s="5">
        <v>353.0</v>
      </c>
      <c r="B354" s="5" t="s">
        <v>530</v>
      </c>
      <c r="C354" s="5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20</v>
      </c>
      <c r="D2" s="5">
        <v>68.0</v>
      </c>
      <c r="E2" s="5">
        <v>500.0</v>
      </c>
      <c r="F2" s="5">
        <v>0.6</v>
      </c>
      <c r="H2" s="5" t="s">
        <v>21</v>
      </c>
      <c r="I2" s="7">
        <v>46055.75746527778</v>
      </c>
      <c r="J2" s="5" t="s">
        <v>23</v>
      </c>
      <c r="K2" s="5">
        <v>500.0</v>
      </c>
      <c r="L2" s="5">
        <v>2100.0</v>
      </c>
      <c r="M2" s="5">
        <v>2200.0</v>
      </c>
      <c r="N2" s="9">
        <v>42345.0</v>
      </c>
      <c r="O2" s="5" t="s">
        <v>24</v>
      </c>
      <c r="P2" s="5" t="s">
        <v>25</v>
      </c>
      <c r="Q2" s="5" t="s">
        <v>27</v>
      </c>
      <c r="R2" s="5" t="s">
        <v>28</v>
      </c>
      <c r="S2" s="5" t="s">
        <v>29</v>
      </c>
    </row>
    <row r="3">
      <c r="A3" s="5">
        <v>2.0</v>
      </c>
      <c r="B3" s="5" t="s">
        <v>30</v>
      </c>
      <c r="C3" s="5" t="s">
        <v>20</v>
      </c>
      <c r="D3" s="5">
        <v>58.0</v>
      </c>
      <c r="E3" s="5">
        <v>450.0</v>
      </c>
      <c r="F3" s="5">
        <v>0.6</v>
      </c>
      <c r="H3" s="5" t="s">
        <v>31</v>
      </c>
      <c r="I3" s="7">
        <v>45892.69390046296</v>
      </c>
      <c r="J3" s="5" t="s">
        <v>32</v>
      </c>
      <c r="K3" s="5">
        <v>500.0</v>
      </c>
      <c r="L3" s="5">
        <v>1700.0</v>
      </c>
      <c r="M3" s="5">
        <v>1700.0</v>
      </c>
      <c r="N3" s="9">
        <v>42250.0</v>
      </c>
      <c r="O3" s="5" t="s">
        <v>33</v>
      </c>
      <c r="P3" s="5" t="s">
        <v>25</v>
      </c>
      <c r="Q3" s="5" t="s">
        <v>34</v>
      </c>
      <c r="R3" s="5" t="s">
        <v>35</v>
      </c>
      <c r="S3" s="5" t="s">
        <v>36</v>
      </c>
    </row>
    <row r="4">
      <c r="A4" s="5">
        <v>3.0</v>
      </c>
      <c r="B4" s="5" t="s">
        <v>37</v>
      </c>
      <c r="C4" s="5" t="s">
        <v>20</v>
      </c>
      <c r="D4" s="5">
        <v>76.0</v>
      </c>
      <c r="E4" s="5">
        <v>200.0</v>
      </c>
      <c r="F4" s="5">
        <v>0.6</v>
      </c>
      <c r="H4" s="5" t="s">
        <v>21</v>
      </c>
      <c r="I4" s="7">
        <v>45897.39072916667</v>
      </c>
      <c r="J4" s="5" t="s">
        <v>39</v>
      </c>
      <c r="K4" s="5">
        <v>200.0</v>
      </c>
      <c r="L4" s="5">
        <v>3000.0</v>
      </c>
      <c r="M4" s="5">
        <v>3100.0</v>
      </c>
      <c r="N4" s="9">
        <v>43260.0</v>
      </c>
      <c r="O4" s="5" t="s">
        <v>41</v>
      </c>
      <c r="P4" s="5" t="s">
        <v>25</v>
      </c>
      <c r="S4" s="5" t="s">
        <v>36</v>
      </c>
    </row>
    <row r="5">
      <c r="A5" s="5">
        <v>4.0</v>
      </c>
      <c r="B5" s="5" t="s">
        <v>38</v>
      </c>
      <c r="C5" s="5" t="s">
        <v>20</v>
      </c>
      <c r="D5" s="5">
        <v>75.0</v>
      </c>
      <c r="E5" s="5">
        <v>200.0</v>
      </c>
      <c r="F5" s="5">
        <v>0.4</v>
      </c>
      <c r="H5" s="5" t="s">
        <v>19</v>
      </c>
      <c r="I5" s="7">
        <v>45978.11121527778</v>
      </c>
      <c r="J5" s="5" t="s">
        <v>40</v>
      </c>
      <c r="K5" s="5">
        <v>200.0</v>
      </c>
      <c r="L5" s="5">
        <v>2400.0</v>
      </c>
      <c r="M5" s="5">
        <v>2500.0</v>
      </c>
      <c r="N5" s="9">
        <v>43798.0</v>
      </c>
      <c r="O5" s="5" t="s">
        <v>24</v>
      </c>
      <c r="P5" s="5" t="s">
        <v>25</v>
      </c>
      <c r="Q5" s="5" t="s">
        <v>42</v>
      </c>
      <c r="R5" s="5" t="s">
        <v>43</v>
      </c>
      <c r="S5" s="5" t="s">
        <v>29</v>
      </c>
    </row>
    <row r="6">
      <c r="A6" s="5">
        <v>5.0</v>
      </c>
      <c r="B6" s="5" t="s">
        <v>48</v>
      </c>
      <c r="C6" s="5" t="s">
        <v>20</v>
      </c>
      <c r="D6" s="5">
        <v>75.0</v>
      </c>
      <c r="E6" s="5">
        <v>80.0</v>
      </c>
      <c r="F6" s="5">
        <v>1.4</v>
      </c>
      <c r="H6" s="5" t="s">
        <v>21</v>
      </c>
      <c r="I6" s="7">
        <v>46100.09276620371</v>
      </c>
      <c r="J6" s="5" t="s">
        <v>40</v>
      </c>
      <c r="K6" s="5">
        <v>90.0</v>
      </c>
      <c r="L6" s="5">
        <v>1800.0</v>
      </c>
      <c r="M6" s="5">
        <v>2500.0</v>
      </c>
      <c r="N6" s="9">
        <v>43040.0</v>
      </c>
      <c r="O6" s="5" t="s">
        <v>24</v>
      </c>
      <c r="P6" s="5" t="s">
        <v>25</v>
      </c>
      <c r="S6" s="5" t="s">
        <v>36</v>
      </c>
    </row>
    <row r="7">
      <c r="A7" s="5">
        <v>6.0</v>
      </c>
      <c r="B7" s="5" t="s">
        <v>53</v>
      </c>
      <c r="C7" s="5" t="s">
        <v>20</v>
      </c>
      <c r="D7" s="5">
        <v>69.0</v>
      </c>
      <c r="E7" s="5">
        <v>50.0</v>
      </c>
      <c r="H7" s="5" t="s">
        <v>21</v>
      </c>
      <c r="I7" s="7">
        <v>46111.604791666665</v>
      </c>
      <c r="K7" s="5">
        <v>50.0</v>
      </c>
      <c r="L7" s="5">
        <v>1800.0</v>
      </c>
      <c r="M7" s="5">
        <v>54000.0</v>
      </c>
      <c r="N7" s="9">
        <v>43342.0</v>
      </c>
      <c r="O7" s="5" t="s">
        <v>24</v>
      </c>
      <c r="P7" s="5" t="s">
        <v>25</v>
      </c>
      <c r="S7" s="5" t="s">
        <v>36</v>
      </c>
    </row>
    <row r="8">
      <c r="A8" s="5">
        <v>7.0</v>
      </c>
      <c r="B8" s="5" t="s">
        <v>56</v>
      </c>
      <c r="C8" s="5" t="s">
        <v>20</v>
      </c>
      <c r="D8" s="5">
        <v>78.0</v>
      </c>
      <c r="E8" s="5">
        <v>40.0</v>
      </c>
      <c r="H8" s="5" t="s">
        <v>21</v>
      </c>
      <c r="I8" s="7">
        <v>46125.9825462963</v>
      </c>
      <c r="K8" s="5">
        <v>40.0</v>
      </c>
      <c r="L8" s="5">
        <v>1500.0</v>
      </c>
      <c r="M8" s="5">
        <v>2000.0</v>
      </c>
      <c r="N8" s="9">
        <v>45261.0</v>
      </c>
      <c r="O8" s="5" t="s">
        <v>24</v>
      </c>
      <c r="P8" s="5" t="s">
        <v>25</v>
      </c>
      <c r="S8" s="5" t="s">
        <v>36</v>
      </c>
    </row>
    <row r="9">
      <c r="A9" s="5">
        <v>8.0</v>
      </c>
      <c r="B9" s="5" t="s">
        <v>61</v>
      </c>
      <c r="C9" s="5" t="s">
        <v>20</v>
      </c>
      <c r="D9" s="5">
        <v>73.0</v>
      </c>
      <c r="E9" s="5">
        <v>10.0</v>
      </c>
      <c r="H9" s="5" t="s">
        <v>19</v>
      </c>
      <c r="I9" s="7">
        <v>46162.07824074074</v>
      </c>
      <c r="J9" s="5" t="s">
        <v>40</v>
      </c>
      <c r="K9" s="5">
        <v>10.0</v>
      </c>
      <c r="L9" s="5">
        <v>1100.0</v>
      </c>
      <c r="M9" s="5">
        <v>1200.0</v>
      </c>
      <c r="N9" s="9">
        <v>44099.0</v>
      </c>
      <c r="O9" s="5" t="s">
        <v>33</v>
      </c>
      <c r="P9" s="5" t="s">
        <v>25</v>
      </c>
      <c r="S9" s="5" t="s">
        <v>36</v>
      </c>
    </row>
    <row r="10">
      <c r="A10" s="5">
        <v>9.0</v>
      </c>
      <c r="B10" s="5" t="s">
        <v>67</v>
      </c>
      <c r="C10" s="5" t="s">
        <v>20</v>
      </c>
      <c r="E10" s="5">
        <v>10.0</v>
      </c>
      <c r="K10" s="5">
        <v>10.0</v>
      </c>
      <c r="N10" s="9">
        <v>42303.0</v>
      </c>
    </row>
    <row r="11">
      <c r="A11" s="5">
        <v>10.0</v>
      </c>
      <c r="B11" s="5" t="s">
        <v>70</v>
      </c>
      <c r="C11" s="5" t="s">
        <v>20</v>
      </c>
      <c r="I11" s="7"/>
      <c r="N11" s="9">
        <v>44545.0</v>
      </c>
    </row>
    <row r="12">
      <c r="A12" s="5">
        <v>11.0</v>
      </c>
      <c r="B12" s="5" t="s">
        <v>73</v>
      </c>
      <c r="C12" s="5" t="s">
        <v>20</v>
      </c>
      <c r="I12" s="7"/>
      <c r="K12" s="5">
        <v>100.0</v>
      </c>
      <c r="N12" s="9">
        <v>45565.0</v>
      </c>
    </row>
    <row r="13">
      <c r="A13" s="5">
        <v>12.0</v>
      </c>
      <c r="B13" s="5" t="s">
        <v>76</v>
      </c>
      <c r="C13" s="5" t="s">
        <v>20</v>
      </c>
      <c r="K13" s="5">
        <v>200.0</v>
      </c>
      <c r="N13" s="9">
        <v>44152.0</v>
      </c>
    </row>
    <row r="14">
      <c r="A14" s="5">
        <v>13.0</v>
      </c>
      <c r="B14" s="5" t="s">
        <v>78</v>
      </c>
      <c r="C14" s="5" t="s">
        <v>20</v>
      </c>
      <c r="I14" s="7"/>
      <c r="N14" s="9">
        <v>42449.0</v>
      </c>
    </row>
    <row r="15">
      <c r="A15" s="5">
        <v>14.0</v>
      </c>
      <c r="B15" s="5" t="s">
        <v>81</v>
      </c>
      <c r="C15" s="5" t="s">
        <v>20</v>
      </c>
      <c r="N15" s="9">
        <v>43882.0</v>
      </c>
      <c r="O15" s="5" t="s">
        <v>83</v>
      </c>
      <c r="P15" s="5" t="s">
        <v>25</v>
      </c>
      <c r="S15" s="5" t="s">
        <v>36</v>
      </c>
    </row>
    <row r="16">
      <c r="A16" s="5">
        <v>15.0</v>
      </c>
      <c r="B16" s="5" t="s">
        <v>85</v>
      </c>
      <c r="C16" s="5" t="s">
        <v>20</v>
      </c>
      <c r="K16" s="5">
        <v>90.0</v>
      </c>
      <c r="N16" s="9">
        <v>45547.0</v>
      </c>
    </row>
    <row r="17">
      <c r="A17" s="5">
        <v>16.0</v>
      </c>
      <c r="B17" s="5" t="s">
        <v>88</v>
      </c>
      <c r="C17" s="5" t="s">
        <v>20</v>
      </c>
      <c r="K17" s="5">
        <v>60.0</v>
      </c>
      <c r="N17" s="9">
        <v>43940.0</v>
      </c>
    </row>
    <row r="18">
      <c r="A18" s="5">
        <v>17.0</v>
      </c>
      <c r="B18" s="5" t="s">
        <v>44</v>
      </c>
      <c r="C18" s="5" t="s">
        <v>20</v>
      </c>
      <c r="K18" s="5">
        <v>7300.0</v>
      </c>
      <c r="N18" s="9">
        <v>43848.0</v>
      </c>
    </row>
    <row r="19">
      <c r="A19" s="5">
        <v>18.0</v>
      </c>
      <c r="B19" s="5" t="s">
        <v>93</v>
      </c>
      <c r="C19" s="5" t="s">
        <v>20</v>
      </c>
      <c r="K19" s="5">
        <v>200.0</v>
      </c>
      <c r="N19" s="9">
        <v>44344.0</v>
      </c>
    </row>
    <row r="20">
      <c r="A20" s="5">
        <v>19.0</v>
      </c>
      <c r="B20" s="5" t="s">
        <v>96</v>
      </c>
      <c r="C20" s="5" t="s">
        <v>20</v>
      </c>
      <c r="K20" s="5">
        <v>400.0</v>
      </c>
      <c r="N20" s="9">
        <v>44241.0</v>
      </c>
    </row>
    <row r="21">
      <c r="A21" s="5">
        <v>20.0</v>
      </c>
      <c r="B21" s="5" t="s">
        <v>22</v>
      </c>
      <c r="C21" s="5" t="s">
        <v>20</v>
      </c>
      <c r="K21" s="5">
        <v>250.0</v>
      </c>
      <c r="N21" s="9">
        <v>45003.0</v>
      </c>
    </row>
    <row r="22">
      <c r="A22" s="5">
        <v>21.0</v>
      </c>
      <c r="B22" s="5" t="s">
        <v>101</v>
      </c>
      <c r="C22" s="5" t="s">
        <v>20</v>
      </c>
      <c r="N22" s="9">
        <v>45416.0</v>
      </c>
    </row>
    <row r="23">
      <c r="A23" s="5">
        <v>22.0</v>
      </c>
      <c r="B23" s="5" t="s">
        <v>104</v>
      </c>
      <c r="C23" s="5" t="s">
        <v>20</v>
      </c>
      <c r="K23" s="5">
        <v>800.0</v>
      </c>
      <c r="N23" s="9">
        <v>44936.0</v>
      </c>
    </row>
    <row r="24">
      <c r="A24" s="5">
        <v>23.0</v>
      </c>
      <c r="B24" s="5" t="s">
        <v>107</v>
      </c>
      <c r="C24" s="5" t="s">
        <v>20</v>
      </c>
      <c r="K24" s="5">
        <v>400.0</v>
      </c>
      <c r="N24" s="9">
        <v>44098.0</v>
      </c>
    </row>
    <row r="25">
      <c r="A25" s="5">
        <v>24.0</v>
      </c>
      <c r="B25" s="5" t="s">
        <v>45</v>
      </c>
      <c r="C25" s="5" t="s">
        <v>20</v>
      </c>
      <c r="K25" s="5">
        <v>800.0</v>
      </c>
      <c r="N25" s="9">
        <v>44306.0</v>
      </c>
    </row>
    <row r="26">
      <c r="A26" s="5">
        <v>25.0</v>
      </c>
      <c r="B26" s="5" t="s">
        <v>109</v>
      </c>
      <c r="C26" s="5" t="s">
        <v>20</v>
      </c>
      <c r="K26" s="5">
        <v>2600.0</v>
      </c>
      <c r="N26" s="9">
        <v>44390.0</v>
      </c>
    </row>
    <row r="27">
      <c r="A27" s="5">
        <v>26.0</v>
      </c>
      <c r="B27" s="5" t="s">
        <v>110</v>
      </c>
      <c r="C27" s="5" t="s">
        <v>20</v>
      </c>
      <c r="K27" s="5">
        <v>10.0</v>
      </c>
      <c r="N27" s="9">
        <v>44701.0</v>
      </c>
    </row>
    <row r="28">
      <c r="A28" s="5">
        <v>27.0</v>
      </c>
      <c r="B28" s="5" t="s">
        <v>112</v>
      </c>
      <c r="C28" s="5" t="s">
        <v>20</v>
      </c>
      <c r="K28" s="5">
        <v>20.0</v>
      </c>
      <c r="N28" s="9">
        <v>45217.0</v>
      </c>
    </row>
    <row r="29">
      <c r="A29" s="5">
        <v>28.0</v>
      </c>
      <c r="B29" s="5" t="s">
        <v>46</v>
      </c>
      <c r="C29" s="5" t="s">
        <v>20</v>
      </c>
      <c r="K29" s="5">
        <v>3000.0</v>
      </c>
      <c r="N29" s="9">
        <v>43392.0</v>
      </c>
    </row>
    <row r="30">
      <c r="A30" s="5">
        <v>29.0</v>
      </c>
      <c r="B30" s="5" t="s">
        <v>117</v>
      </c>
      <c r="C30" s="5" t="s">
        <v>20</v>
      </c>
      <c r="K30" s="5">
        <v>300.0</v>
      </c>
      <c r="N30" s="9">
        <v>44298.0</v>
      </c>
    </row>
    <row r="31">
      <c r="A31" s="5">
        <v>30.0</v>
      </c>
      <c r="B31" s="5" t="s">
        <v>120</v>
      </c>
      <c r="C31" s="5" t="s">
        <v>20</v>
      </c>
      <c r="K31" s="5">
        <v>30.0</v>
      </c>
      <c r="N31" s="9">
        <v>44645.0</v>
      </c>
    </row>
    <row r="32">
      <c r="A32" s="5">
        <v>31.0</v>
      </c>
      <c r="B32" s="5" t="s">
        <v>123</v>
      </c>
      <c r="C32" s="5" t="s">
        <v>20</v>
      </c>
      <c r="K32" s="5">
        <v>1000.0</v>
      </c>
      <c r="N32" s="9">
        <v>44460.0</v>
      </c>
    </row>
    <row r="33">
      <c r="A33" s="5">
        <v>32.0</v>
      </c>
      <c r="B33" s="5" t="s">
        <v>125</v>
      </c>
      <c r="C33" s="5" t="s">
        <v>20</v>
      </c>
      <c r="N33" s="9">
        <v>43971.0</v>
      </c>
    </row>
    <row r="34">
      <c r="A34" s="5">
        <v>33.0</v>
      </c>
      <c r="B34" s="5" t="s">
        <v>128</v>
      </c>
      <c r="C34" s="5" t="s">
        <v>20</v>
      </c>
      <c r="K34" s="5">
        <v>300.0</v>
      </c>
      <c r="N34" s="9">
        <v>44063.0</v>
      </c>
    </row>
    <row r="35">
      <c r="A35" s="5">
        <v>34.0</v>
      </c>
      <c r="B35" s="5" t="s">
        <v>131</v>
      </c>
      <c r="C35" s="5" t="s">
        <v>20</v>
      </c>
      <c r="K35" s="5">
        <v>300.0</v>
      </c>
      <c r="N35" s="9">
        <v>44566.0</v>
      </c>
    </row>
    <row r="36">
      <c r="A36" s="5">
        <v>35.0</v>
      </c>
      <c r="B36" s="5" t="s">
        <v>134</v>
      </c>
      <c r="C36" s="5" t="s">
        <v>20</v>
      </c>
      <c r="D36" s="5">
        <v>78.0</v>
      </c>
      <c r="H36" s="5" t="s">
        <v>21</v>
      </c>
      <c r="I36" s="7">
        <v>46146.6003125</v>
      </c>
      <c r="L36" s="5">
        <v>1600.0</v>
      </c>
      <c r="M36" s="5">
        <v>2100.0</v>
      </c>
      <c r="N36" s="9">
        <v>42896.0</v>
      </c>
      <c r="O36" s="5" t="s">
        <v>33</v>
      </c>
      <c r="P36" s="5" t="s">
        <v>25</v>
      </c>
      <c r="S36" s="5" t="s">
        <v>29</v>
      </c>
    </row>
    <row r="37">
      <c r="A37" s="5">
        <v>36.0</v>
      </c>
      <c r="B37" s="5" t="s">
        <v>138</v>
      </c>
      <c r="C37" s="5" t="s">
        <v>20</v>
      </c>
      <c r="K37" s="5">
        <v>1300.0</v>
      </c>
      <c r="N37" s="9">
        <v>44271.0</v>
      </c>
    </row>
    <row r="38">
      <c r="A38" s="5">
        <v>37.0</v>
      </c>
      <c r="B38" s="5" t="s">
        <v>141</v>
      </c>
      <c r="C38" s="5" t="s">
        <v>20</v>
      </c>
      <c r="K38" s="5">
        <v>700.0</v>
      </c>
      <c r="N38" s="9">
        <v>44974.0</v>
      </c>
    </row>
    <row r="39">
      <c r="A39" s="5">
        <v>38.0</v>
      </c>
      <c r="B39" s="5" t="s">
        <v>144</v>
      </c>
      <c r="C39" s="5" t="s">
        <v>20</v>
      </c>
      <c r="N39" s="9">
        <v>42872.0</v>
      </c>
    </row>
    <row r="40">
      <c r="A40" s="5">
        <v>39.0</v>
      </c>
      <c r="B40" s="5" t="s">
        <v>147</v>
      </c>
      <c r="C40" s="5" t="s">
        <v>20</v>
      </c>
      <c r="K40" s="5">
        <v>300.0</v>
      </c>
      <c r="N40" s="9">
        <v>43844.0</v>
      </c>
    </row>
    <row r="41">
      <c r="A41" s="5">
        <v>40.0</v>
      </c>
      <c r="B41" s="5" t="s">
        <v>150</v>
      </c>
      <c r="C41" s="5" t="s">
        <v>20</v>
      </c>
      <c r="K41" s="5">
        <v>600.0</v>
      </c>
      <c r="N41" s="9">
        <v>45995.0</v>
      </c>
    </row>
    <row r="42">
      <c r="A42" s="5">
        <v>41.0</v>
      </c>
      <c r="B42" s="5" t="s">
        <v>153</v>
      </c>
      <c r="C42" s="5" t="s">
        <v>20</v>
      </c>
      <c r="K42" s="5">
        <v>30.0</v>
      </c>
      <c r="N42" s="9">
        <v>44534.0</v>
      </c>
    </row>
    <row r="43">
      <c r="A43" s="5">
        <v>42.0</v>
      </c>
      <c r="B43" s="5" t="s">
        <v>156</v>
      </c>
      <c r="C43" s="5" t="s">
        <v>20</v>
      </c>
      <c r="K43" s="5">
        <v>700.0</v>
      </c>
      <c r="N43" s="9">
        <v>44544.0</v>
      </c>
    </row>
    <row r="44">
      <c r="A44" s="5">
        <v>43.0</v>
      </c>
      <c r="B44" s="5" t="s">
        <v>159</v>
      </c>
      <c r="C44" s="5" t="s">
        <v>20</v>
      </c>
      <c r="K44" s="5">
        <v>100.0</v>
      </c>
      <c r="N44" s="9">
        <v>44516.0</v>
      </c>
    </row>
    <row r="45">
      <c r="A45" s="5">
        <v>44.0</v>
      </c>
      <c r="B45" s="5" t="s">
        <v>161</v>
      </c>
      <c r="C45" s="5" t="s">
        <v>20</v>
      </c>
      <c r="F45" s="5">
        <v>0.4</v>
      </c>
      <c r="N45" s="9">
        <v>44417.0</v>
      </c>
    </row>
    <row r="46">
      <c r="A46" s="5">
        <v>45.0</v>
      </c>
      <c r="B46" s="5" t="s">
        <v>47</v>
      </c>
      <c r="C46" s="5" t="s">
        <v>20</v>
      </c>
      <c r="K46" s="5">
        <v>800.0</v>
      </c>
      <c r="N46" s="9">
        <v>44365.0</v>
      </c>
    </row>
    <row r="47">
      <c r="A47" s="5">
        <v>46.0</v>
      </c>
      <c r="B47" s="5" t="s">
        <v>50</v>
      </c>
      <c r="C47" s="5" t="s">
        <v>20</v>
      </c>
      <c r="K47" s="5">
        <v>6700.0</v>
      </c>
      <c r="N47" s="9">
        <v>44167.0</v>
      </c>
    </row>
    <row r="48">
      <c r="A48" s="5">
        <v>47.0</v>
      </c>
      <c r="B48" s="5" t="s">
        <v>51</v>
      </c>
      <c r="C48" s="5" t="s">
        <v>20</v>
      </c>
      <c r="K48" s="5">
        <v>20.0</v>
      </c>
      <c r="N48" s="9">
        <v>43232.0</v>
      </c>
    </row>
    <row r="49">
      <c r="A49" s="5">
        <v>48.0</v>
      </c>
      <c r="B49" s="5" t="s">
        <v>169</v>
      </c>
      <c r="C49" s="5" t="s">
        <v>20</v>
      </c>
      <c r="F49" s="5">
        <v>0.4</v>
      </c>
      <c r="N49" s="9">
        <v>43918.0</v>
      </c>
    </row>
    <row r="50">
      <c r="A50" s="5">
        <v>49.0</v>
      </c>
      <c r="B50" s="5" t="s">
        <v>172</v>
      </c>
      <c r="C50" s="5" t="s">
        <v>20</v>
      </c>
      <c r="N50" s="9">
        <v>42456.0</v>
      </c>
    </row>
    <row r="51">
      <c r="A51" s="5">
        <v>50.0</v>
      </c>
      <c r="B51" s="5" t="s">
        <v>176</v>
      </c>
      <c r="C51" s="5" t="s">
        <v>20</v>
      </c>
      <c r="K51" s="5">
        <v>1900.0</v>
      </c>
      <c r="N51" s="9">
        <v>44476.0</v>
      </c>
    </row>
    <row r="52">
      <c r="A52" s="5">
        <v>51.0</v>
      </c>
      <c r="B52" s="5" t="s">
        <v>179</v>
      </c>
      <c r="C52" s="5" t="s">
        <v>20</v>
      </c>
      <c r="K52" s="5">
        <v>50.0</v>
      </c>
      <c r="N52" s="9">
        <v>44302.0</v>
      </c>
    </row>
    <row r="53">
      <c r="A53" s="5">
        <v>52.0</v>
      </c>
      <c r="B53" s="5" t="s">
        <v>181</v>
      </c>
      <c r="C53" s="5" t="s">
        <v>20</v>
      </c>
      <c r="K53" s="5">
        <v>1400.0</v>
      </c>
      <c r="N53" s="9">
        <v>43880.0</v>
      </c>
    </row>
    <row r="54">
      <c r="A54" s="5">
        <v>53.0</v>
      </c>
      <c r="B54" s="5" t="s">
        <v>184</v>
      </c>
      <c r="C54" s="5" t="s">
        <v>20</v>
      </c>
      <c r="K54" s="5">
        <v>700.0</v>
      </c>
      <c r="N54" s="9">
        <v>45451.0</v>
      </c>
    </row>
    <row r="55">
      <c r="A55" s="5">
        <v>54.0</v>
      </c>
      <c r="B55" s="5" t="s">
        <v>54</v>
      </c>
      <c r="C55" s="5" t="s">
        <v>20</v>
      </c>
      <c r="K55" s="5">
        <v>500.0</v>
      </c>
      <c r="N55" s="9">
        <v>44201.0</v>
      </c>
    </row>
    <row r="56">
      <c r="A56" s="5">
        <v>55.0</v>
      </c>
      <c r="B56" s="5" t="s">
        <v>188</v>
      </c>
      <c r="C56" s="5" t="s">
        <v>20</v>
      </c>
      <c r="K56" s="5">
        <v>350.0</v>
      </c>
      <c r="N56" s="9">
        <v>44323.0</v>
      </c>
    </row>
    <row r="57">
      <c r="A57" s="5">
        <v>56.0</v>
      </c>
      <c r="B57" s="5" t="s">
        <v>190</v>
      </c>
      <c r="C57" s="5" t="s">
        <v>20</v>
      </c>
      <c r="K57" s="5">
        <v>1000.0</v>
      </c>
      <c r="N57" s="9">
        <v>43976.0</v>
      </c>
    </row>
    <row r="58">
      <c r="A58" s="5">
        <v>57.0</v>
      </c>
      <c r="B58" s="5" t="s">
        <v>26</v>
      </c>
      <c r="C58" s="5" t="s">
        <v>20</v>
      </c>
      <c r="K58" s="5">
        <v>100.0</v>
      </c>
      <c r="N58" s="9">
        <v>44497.0</v>
      </c>
    </row>
    <row r="59">
      <c r="A59" s="5">
        <v>58.0</v>
      </c>
      <c r="B59" s="5" t="s">
        <v>194</v>
      </c>
      <c r="C59" s="5" t="s">
        <v>20</v>
      </c>
      <c r="K59" s="5">
        <v>1400.0</v>
      </c>
      <c r="N59" s="9">
        <v>44866.0</v>
      </c>
    </row>
    <row r="60">
      <c r="A60" s="5">
        <v>59.0</v>
      </c>
      <c r="B60" s="5" t="s">
        <v>196</v>
      </c>
      <c r="C60" s="5" t="s">
        <v>20</v>
      </c>
      <c r="N60" s="9">
        <v>44106.0</v>
      </c>
    </row>
    <row r="61">
      <c r="A61" s="5">
        <v>60.0</v>
      </c>
      <c r="B61" s="5" t="s">
        <v>57</v>
      </c>
      <c r="C61" s="5" t="s">
        <v>20</v>
      </c>
      <c r="K61" s="5">
        <v>700.0</v>
      </c>
      <c r="N61" s="9">
        <v>44872.0</v>
      </c>
    </row>
    <row r="62">
      <c r="A62" s="5">
        <v>61.0</v>
      </c>
      <c r="B62" s="5" t="s">
        <v>200</v>
      </c>
      <c r="C62" s="5" t="s">
        <v>20</v>
      </c>
      <c r="K62" s="5">
        <v>300.0</v>
      </c>
      <c r="N62" s="9">
        <v>44747.0</v>
      </c>
    </row>
    <row r="63">
      <c r="A63" s="5">
        <v>62.0</v>
      </c>
      <c r="B63" s="5" t="s">
        <v>202</v>
      </c>
      <c r="C63" s="5" t="s">
        <v>20</v>
      </c>
      <c r="K63" s="5">
        <v>60.0</v>
      </c>
      <c r="N63" s="9">
        <v>44986.0</v>
      </c>
    </row>
    <row r="64">
      <c r="A64" s="5">
        <v>63.0</v>
      </c>
      <c r="B64" s="5" t="s">
        <v>58</v>
      </c>
      <c r="C64" s="5" t="s">
        <v>20</v>
      </c>
      <c r="K64" s="5">
        <v>11000.0</v>
      </c>
      <c r="N64" s="9">
        <v>44048.0</v>
      </c>
    </row>
    <row r="65">
      <c r="A65" s="5">
        <v>64.0</v>
      </c>
      <c r="B65" s="5" t="s">
        <v>206</v>
      </c>
      <c r="C65" s="5" t="s">
        <v>20</v>
      </c>
      <c r="K65" s="5">
        <v>50.0</v>
      </c>
      <c r="N65" s="9">
        <v>44278.0</v>
      </c>
    </row>
    <row r="66">
      <c r="A66" s="5">
        <v>65.0</v>
      </c>
      <c r="B66" s="5" t="s">
        <v>209</v>
      </c>
      <c r="C66" s="5" t="s">
        <v>20</v>
      </c>
      <c r="K66" s="5">
        <v>1500.0</v>
      </c>
      <c r="N66" s="9">
        <v>44206.0</v>
      </c>
    </row>
    <row r="67">
      <c r="A67" s="5">
        <v>66.0</v>
      </c>
      <c r="B67" s="5" t="s">
        <v>211</v>
      </c>
      <c r="C67" s="5" t="s">
        <v>20</v>
      </c>
      <c r="K67" s="5">
        <v>150.0</v>
      </c>
      <c r="N67" s="9">
        <v>44677.0</v>
      </c>
    </row>
    <row r="68">
      <c r="A68" s="5">
        <v>67.0</v>
      </c>
      <c r="B68" s="5" t="s">
        <v>213</v>
      </c>
      <c r="C68" s="5" t="s">
        <v>20</v>
      </c>
      <c r="K68" s="5">
        <v>300.0</v>
      </c>
      <c r="N68" s="9">
        <v>44358.0</v>
      </c>
    </row>
    <row r="69">
      <c r="A69" s="5">
        <v>68.0</v>
      </c>
      <c r="B69" s="5" t="s">
        <v>216</v>
      </c>
      <c r="C69" s="5" t="s">
        <v>20</v>
      </c>
      <c r="N69" s="9">
        <v>43889.0</v>
      </c>
    </row>
    <row r="70">
      <c r="A70" s="5">
        <v>69.0</v>
      </c>
      <c r="B70" s="5" t="s">
        <v>218</v>
      </c>
      <c r="C70" s="5" t="s">
        <v>20</v>
      </c>
      <c r="K70" s="5">
        <v>600.0</v>
      </c>
      <c r="N70" s="9">
        <v>43854.0</v>
      </c>
    </row>
    <row r="71">
      <c r="A71" s="5">
        <v>70.0</v>
      </c>
      <c r="B71" s="5" t="s">
        <v>221</v>
      </c>
      <c r="C71" s="5" t="s">
        <v>20</v>
      </c>
      <c r="K71" s="5">
        <v>350.0</v>
      </c>
      <c r="N71" s="9">
        <v>44299.0</v>
      </c>
    </row>
    <row r="72">
      <c r="A72" s="5">
        <v>71.0</v>
      </c>
      <c r="B72" s="5" t="s">
        <v>223</v>
      </c>
      <c r="C72" s="5" t="s">
        <v>20</v>
      </c>
      <c r="N72" s="9">
        <v>46089.0</v>
      </c>
    </row>
    <row r="73">
      <c r="N73" s="9"/>
    </row>
    <row r="74">
      <c r="N74" s="9"/>
    </row>
    <row r="75">
      <c r="N75" s="9"/>
    </row>
    <row r="76">
      <c r="N76" s="9"/>
    </row>
    <row r="77">
      <c r="N77" s="9"/>
    </row>
    <row r="78">
      <c r="N78" s="9"/>
    </row>
    <row r="79">
      <c r="N79" s="9"/>
    </row>
    <row r="80">
      <c r="N80" s="9"/>
    </row>
    <row r="81">
      <c r="N81" s="9"/>
    </row>
    <row r="82">
      <c r="N82" s="9"/>
    </row>
    <row r="83">
      <c r="N83" s="9"/>
    </row>
    <row r="84">
      <c r="N84" s="9"/>
    </row>
    <row r="85">
      <c r="N85" s="9"/>
    </row>
    <row r="86">
      <c r="N86" s="9"/>
    </row>
    <row r="87">
      <c r="N87" s="9"/>
    </row>
    <row r="88">
      <c r="N88" s="9"/>
    </row>
    <row r="89">
      <c r="N89" s="9"/>
    </row>
    <row r="90">
      <c r="N90" s="9"/>
    </row>
    <row r="91">
      <c r="N91" s="9"/>
    </row>
    <row r="92">
      <c r="N92" s="9"/>
    </row>
    <row r="93">
      <c r="N93" s="9"/>
    </row>
    <row r="94">
      <c r="N94" s="9"/>
    </row>
    <row r="95">
      <c r="N95" s="9"/>
    </row>
    <row r="96">
      <c r="N96" s="9"/>
    </row>
    <row r="97">
      <c r="N97" s="9"/>
    </row>
    <row r="98"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N103" s="9"/>
    </row>
    <row r="104">
      <c r="N104" s="9"/>
    </row>
  </sheetData>
  <autoFilter ref="$A$1:$O$1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22</v>
      </c>
      <c r="C2" s="5" t="s">
        <v>20</v>
      </c>
      <c r="I2" s="7"/>
      <c r="K2" s="5">
        <v>250.0</v>
      </c>
      <c r="N2" s="9">
        <v>45003.0</v>
      </c>
    </row>
    <row r="3">
      <c r="A3" s="5">
        <v>2.0</v>
      </c>
      <c r="B3" s="5" t="s">
        <v>26</v>
      </c>
      <c r="C3" s="5" t="s">
        <v>20</v>
      </c>
      <c r="I3" s="7"/>
      <c r="K3" s="5">
        <v>100.0</v>
      </c>
      <c r="N3" s="9">
        <v>44497.0</v>
      </c>
    </row>
    <row r="4">
      <c r="I4" s="7"/>
      <c r="N4" s="9"/>
    </row>
    <row r="5">
      <c r="I5" s="7"/>
      <c r="N5" s="9"/>
    </row>
    <row r="6">
      <c r="N6" s="9"/>
    </row>
    <row r="7">
      <c r="I7" s="7"/>
      <c r="N7" s="9"/>
    </row>
    <row r="8">
      <c r="I8" s="7"/>
      <c r="N8" s="9"/>
    </row>
    <row r="9">
      <c r="I9" s="7"/>
      <c r="N9" s="9"/>
    </row>
    <row r="10">
      <c r="I10" s="7"/>
      <c r="N10" s="9"/>
    </row>
    <row r="11">
      <c r="I11" s="7"/>
      <c r="N11" s="9"/>
    </row>
    <row r="12">
      <c r="I12" s="7"/>
      <c r="N12" s="9"/>
    </row>
    <row r="13">
      <c r="I13" s="7"/>
      <c r="N13" s="9"/>
    </row>
    <row r="14">
      <c r="I14" s="7"/>
      <c r="N14" s="9"/>
    </row>
    <row r="15">
      <c r="I15" s="7"/>
      <c r="N15" s="9"/>
    </row>
    <row r="16">
      <c r="I16" s="7"/>
      <c r="N16" s="9"/>
    </row>
    <row r="17">
      <c r="I17" s="7"/>
      <c r="N17" s="9"/>
    </row>
    <row r="18">
      <c r="I18" s="7"/>
      <c r="N18" s="9"/>
    </row>
    <row r="19">
      <c r="I19" s="7"/>
      <c r="N19" s="9"/>
    </row>
    <row r="20">
      <c r="I20" s="7"/>
      <c r="N20" s="9"/>
    </row>
    <row r="21">
      <c r="I21" s="7"/>
      <c r="N21" s="9"/>
    </row>
    <row r="22">
      <c r="I22" s="7"/>
      <c r="N22" s="9"/>
    </row>
    <row r="23">
      <c r="I23" s="7"/>
      <c r="N23" s="9"/>
    </row>
    <row r="24">
      <c r="I24" s="7"/>
      <c r="N24" s="9"/>
    </row>
    <row r="25">
      <c r="N25" s="9"/>
    </row>
    <row r="26">
      <c r="I26" s="7"/>
      <c r="N26" s="9"/>
    </row>
    <row r="27">
      <c r="I27" s="7"/>
      <c r="N27" s="9"/>
    </row>
    <row r="28">
      <c r="I28" s="7"/>
      <c r="N28" s="9"/>
    </row>
    <row r="29">
      <c r="I29" s="7"/>
      <c r="N29" s="9"/>
    </row>
    <row r="30">
      <c r="I30" s="7"/>
      <c r="N30" s="9"/>
    </row>
    <row r="31">
      <c r="I31" s="7"/>
      <c r="N31" s="9"/>
    </row>
    <row r="32">
      <c r="I32" s="7"/>
      <c r="N32" s="9"/>
    </row>
    <row r="33">
      <c r="I33" s="7"/>
      <c r="N33" s="9"/>
    </row>
    <row r="34">
      <c r="N34" s="9"/>
    </row>
    <row r="35">
      <c r="I35" s="7"/>
      <c r="N35" s="9"/>
    </row>
    <row r="36">
      <c r="I36" s="7"/>
      <c r="N36" s="9"/>
    </row>
    <row r="37">
      <c r="I37" s="7"/>
      <c r="N37" s="9"/>
    </row>
    <row r="38">
      <c r="I38" s="7"/>
      <c r="N38" s="9"/>
    </row>
    <row r="39">
      <c r="N39" s="9"/>
    </row>
    <row r="40">
      <c r="I40" s="7"/>
      <c r="N40" s="9"/>
    </row>
    <row r="41">
      <c r="I41" s="7"/>
      <c r="N41" s="9"/>
    </row>
    <row r="42">
      <c r="I42" s="7"/>
      <c r="N42" s="9"/>
    </row>
    <row r="43">
      <c r="N43" s="9"/>
    </row>
    <row r="44">
      <c r="I44" s="7"/>
      <c r="N44" s="9"/>
    </row>
    <row r="45">
      <c r="I45" s="7"/>
      <c r="N45" s="9"/>
    </row>
    <row r="46">
      <c r="I46" s="7"/>
      <c r="N46" s="9"/>
    </row>
    <row r="47">
      <c r="I47" s="7"/>
      <c r="N47" s="9"/>
    </row>
    <row r="48">
      <c r="I48" s="7"/>
      <c r="N48" s="9"/>
    </row>
    <row r="49">
      <c r="N49" s="9"/>
    </row>
    <row r="50">
      <c r="I50" s="7"/>
      <c r="N50" s="9"/>
    </row>
    <row r="51">
      <c r="I51" s="7"/>
      <c r="N51" s="9"/>
    </row>
    <row r="52">
      <c r="I52" s="7"/>
      <c r="N52" s="9"/>
    </row>
    <row r="53">
      <c r="N53" s="9"/>
    </row>
    <row r="54">
      <c r="N54" s="9"/>
    </row>
    <row r="55">
      <c r="N55" s="9"/>
    </row>
    <row r="56">
      <c r="N56" s="9"/>
    </row>
    <row r="57">
      <c r="N57" s="9"/>
    </row>
    <row r="58">
      <c r="N58" s="9"/>
    </row>
    <row r="59">
      <c r="I59" s="7"/>
      <c r="N59" s="9"/>
    </row>
    <row r="60">
      <c r="N60" s="9"/>
    </row>
    <row r="61">
      <c r="I61" s="7"/>
      <c r="N61" s="9"/>
    </row>
    <row r="62">
      <c r="I62" s="7"/>
      <c r="N62" s="9"/>
    </row>
    <row r="63">
      <c r="N63" s="9"/>
    </row>
    <row r="64">
      <c r="N64" s="9"/>
    </row>
    <row r="65">
      <c r="I65" s="7"/>
      <c r="N65" s="9"/>
    </row>
    <row r="66">
      <c r="I66" s="7"/>
      <c r="N66" s="9"/>
    </row>
    <row r="67">
      <c r="N67" s="9"/>
    </row>
    <row r="68">
      <c r="N68" s="9"/>
    </row>
    <row r="69">
      <c r="N69" s="9"/>
    </row>
    <row r="70">
      <c r="N70" s="9"/>
    </row>
    <row r="71">
      <c r="N71" s="9"/>
    </row>
    <row r="72">
      <c r="N72" s="9"/>
    </row>
    <row r="73">
      <c r="I73" s="7"/>
      <c r="N73" s="9"/>
    </row>
    <row r="74">
      <c r="I74" s="7"/>
      <c r="N74" s="9"/>
    </row>
    <row r="75">
      <c r="I75" s="7"/>
      <c r="N75" s="9"/>
    </row>
    <row r="76">
      <c r="N76" s="9"/>
    </row>
    <row r="77">
      <c r="N77" s="9"/>
    </row>
    <row r="78">
      <c r="I78" s="7"/>
      <c r="N78" s="9"/>
    </row>
    <row r="79">
      <c r="N79" s="9"/>
    </row>
    <row r="80">
      <c r="I80" s="7"/>
      <c r="N80" s="9"/>
    </row>
    <row r="81">
      <c r="I81" s="7"/>
      <c r="N81" s="9"/>
    </row>
    <row r="82">
      <c r="N82" s="9"/>
    </row>
    <row r="83">
      <c r="I83" s="7"/>
      <c r="N83" s="9"/>
    </row>
    <row r="84">
      <c r="N84" s="9"/>
    </row>
    <row r="85">
      <c r="N85" s="9"/>
    </row>
    <row r="86">
      <c r="N86" s="9"/>
    </row>
    <row r="87">
      <c r="N87" s="9"/>
    </row>
    <row r="88">
      <c r="I88" s="7"/>
      <c r="N88" s="9"/>
    </row>
    <row r="89">
      <c r="N89" s="9"/>
    </row>
    <row r="90">
      <c r="I90" s="7"/>
      <c r="N90" s="9"/>
    </row>
    <row r="91">
      <c r="N91" s="9"/>
    </row>
    <row r="92">
      <c r="N92" s="9"/>
    </row>
    <row r="93">
      <c r="I93" s="7"/>
      <c r="N93" s="9"/>
    </row>
    <row r="94">
      <c r="I94" s="7"/>
      <c r="N94" s="9"/>
    </row>
    <row r="95">
      <c r="N95" s="9"/>
    </row>
    <row r="96">
      <c r="I96" s="7"/>
      <c r="N96" s="9"/>
    </row>
    <row r="97">
      <c r="N97" s="9"/>
    </row>
    <row r="98">
      <c r="I98" s="7"/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I103" s="7"/>
      <c r="N103" s="9"/>
    </row>
    <row r="104">
      <c r="N104" s="9"/>
    </row>
    <row r="105">
      <c r="N105" s="9"/>
    </row>
    <row r="106">
      <c r="N106" s="9"/>
    </row>
    <row r="107">
      <c r="N107" s="9"/>
    </row>
    <row r="108">
      <c r="N108" s="9"/>
    </row>
    <row r="109">
      <c r="N109" s="9"/>
    </row>
    <row r="110">
      <c r="N110" s="9"/>
    </row>
    <row r="111">
      <c r="I111" s="7"/>
      <c r="N111" s="9"/>
    </row>
    <row r="112">
      <c r="N112" s="9"/>
    </row>
    <row r="113">
      <c r="I113" s="7"/>
      <c r="N113" s="9"/>
    </row>
    <row r="114">
      <c r="N114" s="9"/>
    </row>
    <row r="115">
      <c r="I115" s="7"/>
      <c r="N115" s="9"/>
    </row>
    <row r="116">
      <c r="I116" s="7"/>
      <c r="N116" s="9"/>
    </row>
    <row r="117">
      <c r="I117" s="7"/>
      <c r="N117" s="9"/>
    </row>
    <row r="118">
      <c r="N118" s="9"/>
    </row>
    <row r="119">
      <c r="N119" s="9"/>
    </row>
    <row r="120">
      <c r="N120" s="9"/>
    </row>
    <row r="121">
      <c r="N121" s="9"/>
    </row>
    <row r="122">
      <c r="N122" s="9"/>
    </row>
    <row r="123">
      <c r="N123" s="9"/>
    </row>
    <row r="124">
      <c r="N124" s="9"/>
    </row>
    <row r="125">
      <c r="N125" s="9"/>
    </row>
    <row r="126">
      <c r="N126" s="9"/>
    </row>
    <row r="127">
      <c r="N127" s="9"/>
    </row>
    <row r="128">
      <c r="N128" s="9"/>
    </row>
    <row r="129">
      <c r="N129" s="9"/>
    </row>
    <row r="130">
      <c r="N130" s="9"/>
    </row>
    <row r="131">
      <c r="N131" s="9"/>
    </row>
    <row r="132">
      <c r="N132" s="9"/>
    </row>
    <row r="133">
      <c r="N133" s="9"/>
    </row>
    <row r="134">
      <c r="N134" s="9"/>
    </row>
    <row r="135">
      <c r="I135" s="7"/>
      <c r="N135" s="9"/>
    </row>
    <row r="136">
      <c r="N136" s="9"/>
    </row>
    <row r="137">
      <c r="N137" s="9"/>
    </row>
    <row r="138">
      <c r="N138" s="9"/>
    </row>
    <row r="139">
      <c r="N139" s="9"/>
    </row>
    <row r="140">
      <c r="N140" s="9"/>
    </row>
    <row r="141">
      <c r="N141" s="9"/>
    </row>
    <row r="142">
      <c r="N142" s="9"/>
    </row>
    <row r="143">
      <c r="N143" s="9"/>
    </row>
    <row r="144">
      <c r="N144" s="9"/>
    </row>
    <row r="145">
      <c r="N145" s="9"/>
    </row>
    <row r="146">
      <c r="N146" s="9"/>
    </row>
    <row r="147">
      <c r="N147" s="9"/>
    </row>
    <row r="148">
      <c r="N148" s="9"/>
    </row>
    <row r="149">
      <c r="N149" s="9"/>
    </row>
    <row r="150">
      <c r="N150" s="9"/>
    </row>
    <row r="151">
      <c r="N151" s="9"/>
    </row>
    <row r="152">
      <c r="N152" s="9"/>
    </row>
    <row r="153">
      <c r="N153" s="9"/>
    </row>
    <row r="154">
      <c r="N154" s="9"/>
    </row>
    <row r="155">
      <c r="N155" s="9"/>
    </row>
    <row r="156">
      <c r="N156" s="9"/>
    </row>
    <row r="157">
      <c r="N157" s="9"/>
    </row>
    <row r="158">
      <c r="N158" s="9"/>
    </row>
    <row r="159">
      <c r="N159" s="9"/>
    </row>
    <row r="160">
      <c r="N160" s="9"/>
    </row>
    <row r="161">
      <c r="N161" s="9"/>
    </row>
    <row r="162">
      <c r="N162" s="9"/>
    </row>
    <row r="163">
      <c r="N163" s="9"/>
    </row>
    <row r="164">
      <c r="N164" s="9"/>
    </row>
    <row r="165">
      <c r="N165" s="9"/>
    </row>
    <row r="166">
      <c r="N166" s="9"/>
    </row>
    <row r="167">
      <c r="N167" s="9"/>
    </row>
    <row r="168">
      <c r="N168" s="9"/>
    </row>
    <row r="169">
      <c r="N169" s="9"/>
    </row>
    <row r="170">
      <c r="N170" s="9"/>
    </row>
    <row r="171">
      <c r="N171" s="9"/>
    </row>
    <row r="172">
      <c r="N172" s="9"/>
    </row>
    <row r="173">
      <c r="N173" s="9"/>
    </row>
    <row r="174">
      <c r="N174" s="9"/>
    </row>
    <row r="175">
      <c r="N175" s="9"/>
    </row>
    <row r="176">
      <c r="N176" s="9"/>
    </row>
    <row r="177">
      <c r="N177" s="9"/>
    </row>
    <row r="178">
      <c r="N178" s="9"/>
    </row>
    <row r="179">
      <c r="N179" s="9"/>
    </row>
    <row r="180">
      <c r="N180" s="9"/>
    </row>
    <row r="181">
      <c r="N181" s="9"/>
    </row>
    <row r="182">
      <c r="N182" s="9"/>
    </row>
    <row r="183">
      <c r="N183" s="9"/>
    </row>
    <row r="184">
      <c r="N184" s="9"/>
    </row>
    <row r="185">
      <c r="N185" s="9"/>
    </row>
    <row r="186">
      <c r="N186" s="9"/>
    </row>
    <row r="187">
      <c r="N187" s="9"/>
    </row>
    <row r="188">
      <c r="N188" s="9"/>
    </row>
    <row r="189">
      <c r="N189" s="9"/>
    </row>
    <row r="190">
      <c r="N190" s="9"/>
    </row>
    <row r="191">
      <c r="N191" s="9"/>
    </row>
    <row r="192">
      <c r="N192" s="9"/>
    </row>
    <row r="193">
      <c r="N193" s="9"/>
    </row>
    <row r="194">
      <c r="N194" s="9"/>
    </row>
    <row r="195">
      <c r="N195" s="9"/>
    </row>
    <row r="196">
      <c r="N196" s="9"/>
    </row>
    <row r="197">
      <c r="N197" s="9"/>
    </row>
    <row r="198">
      <c r="N198" s="9"/>
    </row>
    <row r="199"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I255" s="7"/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22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332</v>
      </c>
      <c r="C2" s="5" t="s">
        <v>20</v>
      </c>
      <c r="D2" s="5">
        <v>85.0</v>
      </c>
      <c r="E2" s="5">
        <v>2800.0</v>
      </c>
      <c r="F2" s="5">
        <v>0.6</v>
      </c>
      <c r="H2" s="5" t="s">
        <v>21</v>
      </c>
      <c r="I2" s="7">
        <v>46149.25770833333</v>
      </c>
      <c r="K2" s="5">
        <v>21000.0</v>
      </c>
      <c r="L2" s="5">
        <v>2100.0</v>
      </c>
      <c r="M2" s="5">
        <v>2700.0</v>
      </c>
      <c r="N2" s="9">
        <v>42254.0</v>
      </c>
      <c r="O2" s="5" t="s">
        <v>24</v>
      </c>
      <c r="P2" s="5" t="s">
        <v>25</v>
      </c>
      <c r="Q2" s="5" t="s">
        <v>337</v>
      </c>
      <c r="R2" s="5" t="s">
        <v>338</v>
      </c>
      <c r="S2" s="5" t="s">
        <v>36</v>
      </c>
    </row>
    <row r="3">
      <c r="A3" s="5">
        <v>2.0</v>
      </c>
      <c r="B3" s="5" t="s">
        <v>21</v>
      </c>
      <c r="C3" s="5" t="s">
        <v>20</v>
      </c>
      <c r="D3" s="5">
        <v>83.0</v>
      </c>
      <c r="E3" s="5">
        <v>2700.0</v>
      </c>
      <c r="F3" s="5">
        <v>0.6</v>
      </c>
      <c r="G3" s="5">
        <v>1.54</v>
      </c>
      <c r="H3" s="5" t="s">
        <v>21</v>
      </c>
      <c r="I3" s="7">
        <v>46149.24729166667</v>
      </c>
      <c r="J3" s="5" t="s">
        <v>342</v>
      </c>
      <c r="K3" s="5">
        <v>21000.0</v>
      </c>
      <c r="L3" s="5">
        <v>2100.0</v>
      </c>
      <c r="M3" s="5">
        <v>2700.0</v>
      </c>
      <c r="N3" s="9">
        <v>42248.0</v>
      </c>
      <c r="O3" s="5" t="s">
        <v>24</v>
      </c>
      <c r="P3" s="5" t="s">
        <v>25</v>
      </c>
      <c r="Q3" s="5" t="s">
        <v>345</v>
      </c>
      <c r="R3" s="5" t="s">
        <v>346</v>
      </c>
      <c r="S3" s="5" t="s">
        <v>36</v>
      </c>
    </row>
    <row r="4">
      <c r="A4" s="5">
        <v>3.0</v>
      </c>
      <c r="B4" s="5" t="s">
        <v>348</v>
      </c>
      <c r="C4" s="5" t="s">
        <v>20</v>
      </c>
      <c r="D4" s="5">
        <v>89.0</v>
      </c>
      <c r="E4" s="5">
        <v>1100.0</v>
      </c>
      <c r="F4" s="5">
        <v>0.6</v>
      </c>
      <c r="H4" s="5" t="s">
        <v>21</v>
      </c>
      <c r="I4" s="7">
        <v>45896.83646990741</v>
      </c>
      <c r="J4" s="5" t="s">
        <v>351</v>
      </c>
      <c r="K4" s="5">
        <v>3900.0</v>
      </c>
      <c r="L4" s="5">
        <v>5400.0</v>
      </c>
      <c r="M4" s="5">
        <v>6500.0</v>
      </c>
      <c r="N4" s="9">
        <v>43188.0</v>
      </c>
      <c r="O4" s="5" t="s">
        <v>41</v>
      </c>
      <c r="P4" s="5" t="s">
        <v>25</v>
      </c>
      <c r="Q4" s="5" t="s">
        <v>354</v>
      </c>
      <c r="R4" s="5" t="s">
        <v>356</v>
      </c>
      <c r="S4" s="5" t="s">
        <v>36</v>
      </c>
    </row>
    <row r="5">
      <c r="A5" s="5">
        <v>4.0</v>
      </c>
      <c r="B5" s="5" t="s">
        <v>358</v>
      </c>
      <c r="C5" s="5" t="s">
        <v>20</v>
      </c>
      <c r="D5" s="5">
        <v>57.0</v>
      </c>
      <c r="E5" s="5">
        <v>1000.0</v>
      </c>
      <c r="F5" s="5">
        <v>0.6</v>
      </c>
      <c r="G5" s="5">
        <v>1.28</v>
      </c>
      <c r="H5" s="5" t="s">
        <v>21</v>
      </c>
      <c r="I5" s="7">
        <v>45896.67324074074</v>
      </c>
      <c r="J5" s="5" t="s">
        <v>361</v>
      </c>
      <c r="K5" s="5">
        <v>1200.0</v>
      </c>
      <c r="L5" s="5">
        <v>5400.0</v>
      </c>
      <c r="M5" s="5">
        <v>6500.0</v>
      </c>
      <c r="N5" s="9">
        <v>42252.0</v>
      </c>
      <c r="O5" s="5" t="s">
        <v>33</v>
      </c>
      <c r="P5" s="5" t="s">
        <v>25</v>
      </c>
      <c r="Q5" s="5" t="s">
        <v>363</v>
      </c>
      <c r="R5" s="5" t="s">
        <v>364</v>
      </c>
      <c r="S5" s="5" t="s">
        <v>36</v>
      </c>
    </row>
    <row r="6">
      <c r="A6" s="5">
        <v>5.0</v>
      </c>
      <c r="B6" s="5" t="s">
        <v>366</v>
      </c>
      <c r="C6" s="5" t="s">
        <v>20</v>
      </c>
      <c r="D6" s="5">
        <v>59.0</v>
      </c>
      <c r="E6" s="5">
        <v>1000.0</v>
      </c>
      <c r="F6" s="5">
        <v>0.6</v>
      </c>
      <c r="H6" s="5" t="s">
        <v>21</v>
      </c>
      <c r="I6" s="7">
        <v>45896.608460648145</v>
      </c>
      <c r="J6" s="5" t="s">
        <v>39</v>
      </c>
      <c r="K6" s="5">
        <v>1100.0</v>
      </c>
      <c r="L6" s="5">
        <v>5400.0</v>
      </c>
      <c r="M6" s="5">
        <v>6500.0</v>
      </c>
      <c r="N6" s="9">
        <v>42337.0</v>
      </c>
      <c r="O6" s="5" t="s">
        <v>24</v>
      </c>
      <c r="P6" s="5" t="s">
        <v>25</v>
      </c>
      <c r="Q6" s="5" t="s">
        <v>369</v>
      </c>
      <c r="R6" s="5" t="s">
        <v>370</v>
      </c>
      <c r="S6" s="5" t="s">
        <v>29</v>
      </c>
    </row>
    <row r="7">
      <c r="A7" s="5">
        <v>6.0</v>
      </c>
      <c r="B7" s="5" t="s">
        <v>371</v>
      </c>
      <c r="C7" s="5" t="s">
        <v>20</v>
      </c>
      <c r="D7" s="5">
        <v>74.0</v>
      </c>
      <c r="E7" s="5">
        <v>800.0</v>
      </c>
      <c r="F7" s="5">
        <v>0.5</v>
      </c>
      <c r="G7" s="5">
        <v>1.44</v>
      </c>
      <c r="H7" s="5" t="s">
        <v>21</v>
      </c>
      <c r="I7" s="7">
        <v>45896.83689814815</v>
      </c>
      <c r="J7" s="5" t="s">
        <v>374</v>
      </c>
      <c r="K7" s="5">
        <v>900.0</v>
      </c>
      <c r="L7" s="5">
        <v>5400.0</v>
      </c>
      <c r="M7" s="5">
        <v>6500.0</v>
      </c>
      <c r="N7" s="9">
        <v>42251.0</v>
      </c>
      <c r="O7" s="5" t="s">
        <v>24</v>
      </c>
      <c r="P7" s="5" t="s">
        <v>25</v>
      </c>
      <c r="Q7" s="5" t="s">
        <v>376</v>
      </c>
      <c r="R7" s="5" t="s">
        <v>377</v>
      </c>
      <c r="S7" s="5" t="s">
        <v>36</v>
      </c>
    </row>
    <row r="8">
      <c r="A8" s="5">
        <v>7.0</v>
      </c>
      <c r="B8" s="5" t="s">
        <v>31</v>
      </c>
      <c r="C8" s="5" t="s">
        <v>20</v>
      </c>
      <c r="D8" s="5">
        <v>56.0</v>
      </c>
      <c r="E8" s="5">
        <v>700.0</v>
      </c>
      <c r="F8" s="5">
        <v>0.6</v>
      </c>
      <c r="G8" s="5">
        <v>1.18</v>
      </c>
      <c r="H8" s="5" t="s">
        <v>31</v>
      </c>
      <c r="I8" s="7">
        <v>45893.55287037037</v>
      </c>
      <c r="J8" s="5" t="s">
        <v>32</v>
      </c>
      <c r="K8" s="5">
        <v>1100.0</v>
      </c>
      <c r="L8" s="5">
        <v>1700.0</v>
      </c>
      <c r="M8" s="5">
        <v>1700.0</v>
      </c>
      <c r="N8" s="9">
        <v>42313.0</v>
      </c>
      <c r="O8" s="5" t="s">
        <v>33</v>
      </c>
      <c r="Q8" s="5" t="s">
        <v>384</v>
      </c>
      <c r="R8" s="5" t="s">
        <v>386</v>
      </c>
      <c r="S8" s="5" t="s">
        <v>36</v>
      </c>
    </row>
    <row r="9">
      <c r="A9" s="5">
        <v>8.0</v>
      </c>
      <c r="B9" s="5" t="s">
        <v>388</v>
      </c>
      <c r="C9" s="5" t="s">
        <v>20</v>
      </c>
      <c r="D9" s="5">
        <v>92.0</v>
      </c>
      <c r="E9" s="5">
        <v>600.0</v>
      </c>
      <c r="F9" s="5">
        <v>0.6</v>
      </c>
      <c r="H9" s="5" t="s">
        <v>21</v>
      </c>
      <c r="I9" s="7">
        <v>45910.98322916667</v>
      </c>
      <c r="K9" s="5">
        <v>1900.0</v>
      </c>
      <c r="L9" s="5">
        <v>5300.0</v>
      </c>
      <c r="M9" s="5">
        <v>5900.0</v>
      </c>
      <c r="N9" s="9">
        <v>42414.0</v>
      </c>
      <c r="O9" s="5" t="s">
        <v>41</v>
      </c>
      <c r="P9" s="5" t="s">
        <v>25</v>
      </c>
      <c r="Q9" s="5" t="s">
        <v>393</v>
      </c>
      <c r="R9" s="5" t="s">
        <v>394</v>
      </c>
      <c r="S9" s="5" t="s">
        <v>36</v>
      </c>
    </row>
    <row r="10">
      <c r="A10" s="5">
        <v>9.0</v>
      </c>
      <c r="B10" s="5" t="s">
        <v>19</v>
      </c>
      <c r="C10" s="5" t="s">
        <v>20</v>
      </c>
      <c r="D10" s="5">
        <v>68.0</v>
      </c>
      <c r="E10" s="5">
        <v>500.0</v>
      </c>
      <c r="F10" s="5">
        <v>0.6</v>
      </c>
      <c r="H10" s="5" t="s">
        <v>21</v>
      </c>
      <c r="I10" s="7">
        <v>46055.75746527778</v>
      </c>
      <c r="J10" s="5" t="s">
        <v>23</v>
      </c>
      <c r="K10" s="5">
        <v>500.0</v>
      </c>
      <c r="L10" s="5">
        <v>2100.0</v>
      </c>
      <c r="M10" s="5">
        <v>2200.0</v>
      </c>
      <c r="N10" s="9">
        <v>42345.0</v>
      </c>
      <c r="O10" s="5" t="s">
        <v>24</v>
      </c>
      <c r="P10" s="5" t="s">
        <v>25</v>
      </c>
      <c r="Q10" s="5" t="s">
        <v>27</v>
      </c>
      <c r="R10" s="5" t="s">
        <v>28</v>
      </c>
      <c r="S10" s="5" t="s">
        <v>29</v>
      </c>
    </row>
    <row r="11">
      <c r="A11" s="5">
        <v>10.0</v>
      </c>
      <c r="B11" s="5" t="s">
        <v>403</v>
      </c>
      <c r="C11" s="5" t="s">
        <v>20</v>
      </c>
      <c r="D11" s="5">
        <v>88.0</v>
      </c>
      <c r="E11" s="5">
        <v>450.0</v>
      </c>
      <c r="F11" s="5">
        <v>0.6</v>
      </c>
      <c r="G11" s="5">
        <v>1.27</v>
      </c>
      <c r="H11" s="5" t="s">
        <v>403</v>
      </c>
      <c r="I11" s="7">
        <v>45979.32341435185</v>
      </c>
      <c r="J11" s="5" t="s">
        <v>374</v>
      </c>
      <c r="K11" s="5">
        <v>40000.0</v>
      </c>
      <c r="L11" s="5">
        <v>6200.0</v>
      </c>
      <c r="M11" s="5">
        <v>6600.0</v>
      </c>
      <c r="N11" s="9">
        <v>42323.0</v>
      </c>
      <c r="O11" s="5" t="s">
        <v>24</v>
      </c>
      <c r="P11" s="5" t="s">
        <v>25</v>
      </c>
      <c r="Q11" s="5" t="s">
        <v>411</v>
      </c>
      <c r="R11" s="5" t="s">
        <v>412</v>
      </c>
      <c r="S11" s="5" t="s">
        <v>29</v>
      </c>
    </row>
    <row r="12">
      <c r="A12" s="5">
        <v>11.0</v>
      </c>
      <c r="B12" s="5" t="s">
        <v>30</v>
      </c>
      <c r="C12" s="5" t="s">
        <v>20</v>
      </c>
      <c r="D12" s="5">
        <v>58.0</v>
      </c>
      <c r="E12" s="5">
        <v>450.0</v>
      </c>
      <c r="F12" s="5">
        <v>0.6</v>
      </c>
      <c r="H12" s="5" t="s">
        <v>31</v>
      </c>
      <c r="I12" s="7">
        <v>45892.69390046296</v>
      </c>
      <c r="J12" s="5" t="s">
        <v>32</v>
      </c>
      <c r="K12" s="5">
        <v>500.0</v>
      </c>
      <c r="L12" s="5">
        <v>1700.0</v>
      </c>
      <c r="M12" s="5">
        <v>1700.0</v>
      </c>
      <c r="N12" s="9">
        <v>42250.0</v>
      </c>
      <c r="O12" s="5" t="s">
        <v>33</v>
      </c>
      <c r="P12" s="5" t="s">
        <v>25</v>
      </c>
      <c r="Q12" s="5" t="s">
        <v>34</v>
      </c>
      <c r="R12" s="5" t="s">
        <v>35</v>
      </c>
      <c r="S12" s="5" t="s">
        <v>36</v>
      </c>
    </row>
    <row r="13">
      <c r="A13" s="5">
        <v>12.0</v>
      </c>
      <c r="B13" s="5" t="s">
        <v>420</v>
      </c>
      <c r="C13" s="5" t="s">
        <v>20</v>
      </c>
      <c r="D13" s="5">
        <v>88.0</v>
      </c>
      <c r="E13" s="5">
        <v>400.0</v>
      </c>
      <c r="F13" s="5">
        <v>0.6</v>
      </c>
      <c r="H13" s="5" t="s">
        <v>21</v>
      </c>
      <c r="I13" s="7">
        <v>45891.39775462963</v>
      </c>
      <c r="J13" s="5" t="s">
        <v>422</v>
      </c>
      <c r="K13" s="5">
        <v>2000.0</v>
      </c>
      <c r="L13" s="5">
        <v>5300.0</v>
      </c>
      <c r="M13" s="5">
        <v>6500.0</v>
      </c>
      <c r="N13" s="9">
        <v>42248.0</v>
      </c>
      <c r="O13" s="5" t="s">
        <v>41</v>
      </c>
      <c r="P13" s="5" t="s">
        <v>25</v>
      </c>
      <c r="Q13" s="5" t="s">
        <v>424</v>
      </c>
      <c r="R13" s="5" t="s">
        <v>425</v>
      </c>
      <c r="S13" s="5" t="s">
        <v>36</v>
      </c>
    </row>
    <row r="14">
      <c r="A14" s="5">
        <v>13.0</v>
      </c>
      <c r="B14" s="5" t="s">
        <v>427</v>
      </c>
      <c r="C14" s="5" t="s">
        <v>20</v>
      </c>
      <c r="D14" s="5">
        <v>75.0</v>
      </c>
      <c r="E14" s="5">
        <v>400.0</v>
      </c>
      <c r="F14" s="5">
        <v>0.6</v>
      </c>
      <c r="H14" s="5" t="s">
        <v>21</v>
      </c>
      <c r="I14" s="7">
        <v>45887.41909722222</v>
      </c>
      <c r="J14" s="5" t="s">
        <v>429</v>
      </c>
      <c r="K14" s="5">
        <v>400.0</v>
      </c>
      <c r="L14" s="5">
        <v>5100.0</v>
      </c>
      <c r="M14" s="5">
        <v>6300.0</v>
      </c>
      <c r="N14" s="9">
        <v>42256.0</v>
      </c>
      <c r="O14" s="5" t="s">
        <v>33</v>
      </c>
      <c r="P14" s="5" t="s">
        <v>25</v>
      </c>
      <c r="Q14" s="5" t="s">
        <v>431</v>
      </c>
      <c r="R14" s="5" t="s">
        <v>432</v>
      </c>
      <c r="S14" s="5" t="s">
        <v>29</v>
      </c>
    </row>
    <row r="15">
      <c r="A15" s="5">
        <v>14.0</v>
      </c>
      <c r="B15" s="5" t="s">
        <v>433</v>
      </c>
      <c r="C15" s="5" t="s">
        <v>20</v>
      </c>
      <c r="D15" s="5">
        <v>52.0</v>
      </c>
      <c r="E15" s="5">
        <v>350.0</v>
      </c>
      <c r="F15" s="5">
        <v>0.6</v>
      </c>
      <c r="H15" s="5" t="s">
        <v>21</v>
      </c>
      <c r="I15" s="7">
        <v>45898.77753472222</v>
      </c>
      <c r="K15" s="5">
        <v>350.0</v>
      </c>
      <c r="L15" s="5">
        <v>3000.0</v>
      </c>
      <c r="M15" s="5">
        <v>3100.0</v>
      </c>
      <c r="N15" s="9">
        <v>42313.0</v>
      </c>
      <c r="O15" s="5" t="s">
        <v>33</v>
      </c>
      <c r="P15" s="5" t="s">
        <v>25</v>
      </c>
      <c r="Q15" s="5" t="s">
        <v>436</v>
      </c>
      <c r="R15" s="5" t="s">
        <v>437</v>
      </c>
      <c r="S15" s="5" t="s">
        <v>29</v>
      </c>
    </row>
    <row r="16">
      <c r="A16" s="5">
        <v>15.0</v>
      </c>
      <c r="B16" s="5" t="s">
        <v>439</v>
      </c>
      <c r="C16" s="5" t="s">
        <v>20</v>
      </c>
      <c r="D16" s="5">
        <v>91.0</v>
      </c>
      <c r="E16" s="5">
        <v>300.0</v>
      </c>
      <c r="F16" s="5">
        <v>0.6</v>
      </c>
      <c r="H16" s="5" t="s">
        <v>21</v>
      </c>
      <c r="I16" s="7">
        <v>45935.22761574074</v>
      </c>
      <c r="J16" s="5" t="s">
        <v>374</v>
      </c>
      <c r="K16" s="5">
        <v>2300.0</v>
      </c>
      <c r="L16" s="5">
        <v>5400.0</v>
      </c>
      <c r="M16" s="5">
        <v>5800.0</v>
      </c>
      <c r="N16" s="9">
        <v>42496.0</v>
      </c>
      <c r="O16" s="5" t="s">
        <v>41</v>
      </c>
      <c r="P16" s="5" t="s">
        <v>25</v>
      </c>
      <c r="Q16" s="5" t="s">
        <v>443</v>
      </c>
      <c r="R16" s="5" t="s">
        <v>444</v>
      </c>
      <c r="S16" s="5" t="s">
        <v>36</v>
      </c>
    </row>
    <row r="17">
      <c r="A17" s="5">
        <v>16.0</v>
      </c>
      <c r="B17" s="5" t="s">
        <v>446</v>
      </c>
      <c r="C17" s="5" t="s">
        <v>20</v>
      </c>
      <c r="D17" s="5">
        <v>0.0</v>
      </c>
      <c r="E17" s="5">
        <v>250.0</v>
      </c>
      <c r="H17" s="5" t="s">
        <v>447</v>
      </c>
      <c r="I17" s="7">
        <v>46084.699224537035</v>
      </c>
      <c r="J17" s="5" t="s">
        <v>351</v>
      </c>
      <c r="K17" s="5">
        <v>1100.0</v>
      </c>
      <c r="L17" s="5">
        <v>21000.0</v>
      </c>
      <c r="M17" s="5">
        <v>23000.0</v>
      </c>
      <c r="N17" s="9">
        <v>45191.0</v>
      </c>
      <c r="O17" s="5" t="s">
        <v>33</v>
      </c>
      <c r="Q17" s="5" t="s">
        <v>450</v>
      </c>
      <c r="R17" s="5">
        <v>404.0</v>
      </c>
      <c r="S17" s="5" t="s">
        <v>451</v>
      </c>
    </row>
    <row r="18">
      <c r="A18" s="5">
        <v>17.0</v>
      </c>
      <c r="B18" s="5" t="s">
        <v>37</v>
      </c>
      <c r="C18" s="5" t="s">
        <v>20</v>
      </c>
      <c r="D18" s="5">
        <v>76.0</v>
      </c>
      <c r="E18" s="5">
        <v>200.0</v>
      </c>
      <c r="F18" s="5">
        <v>0.6</v>
      </c>
      <c r="H18" s="5" t="s">
        <v>21</v>
      </c>
      <c r="I18" s="7">
        <v>45897.39072916667</v>
      </c>
      <c r="J18" s="5" t="s">
        <v>39</v>
      </c>
      <c r="K18" s="5">
        <v>200.0</v>
      </c>
      <c r="L18" s="5">
        <v>3000.0</v>
      </c>
      <c r="M18" s="5">
        <v>3100.0</v>
      </c>
      <c r="N18" s="9">
        <v>43260.0</v>
      </c>
      <c r="O18" s="5" t="s">
        <v>41</v>
      </c>
      <c r="P18" s="5" t="s">
        <v>25</v>
      </c>
      <c r="S18" s="5" t="s">
        <v>36</v>
      </c>
    </row>
    <row r="19">
      <c r="A19" s="5">
        <v>18.0</v>
      </c>
      <c r="B19" s="5" t="s">
        <v>38</v>
      </c>
      <c r="C19" s="5" t="s">
        <v>20</v>
      </c>
      <c r="D19" s="5">
        <v>75.0</v>
      </c>
      <c r="E19" s="5">
        <v>200.0</v>
      </c>
      <c r="F19" s="5">
        <v>0.4</v>
      </c>
      <c r="H19" s="5" t="s">
        <v>19</v>
      </c>
      <c r="I19" s="7">
        <v>45978.11121527778</v>
      </c>
      <c r="J19" s="5" t="s">
        <v>40</v>
      </c>
      <c r="K19" s="5">
        <v>200.0</v>
      </c>
      <c r="L19" s="5">
        <v>2400.0</v>
      </c>
      <c r="M19" s="5">
        <v>2500.0</v>
      </c>
      <c r="N19" s="9">
        <v>43798.0</v>
      </c>
      <c r="O19" s="5" t="s">
        <v>24</v>
      </c>
      <c r="P19" s="5" t="s">
        <v>25</v>
      </c>
      <c r="Q19" s="5" t="s">
        <v>42</v>
      </c>
      <c r="R19" s="5" t="s">
        <v>43</v>
      </c>
      <c r="S19" s="5" t="s">
        <v>29</v>
      </c>
    </row>
    <row r="20">
      <c r="A20" s="5">
        <v>19.0</v>
      </c>
      <c r="B20" s="5" t="s">
        <v>457</v>
      </c>
      <c r="C20" s="5" t="s">
        <v>20</v>
      </c>
      <c r="D20" s="5">
        <v>73.0</v>
      </c>
      <c r="E20" s="5">
        <v>200.0</v>
      </c>
      <c r="F20" s="5">
        <v>0.6</v>
      </c>
      <c r="H20" s="5" t="s">
        <v>21</v>
      </c>
      <c r="I20" s="7">
        <v>45941.18817129629</v>
      </c>
      <c r="K20" s="5">
        <v>800.0</v>
      </c>
      <c r="L20" s="5">
        <v>5300.0</v>
      </c>
      <c r="M20" s="5">
        <v>5700.0</v>
      </c>
      <c r="N20" s="9">
        <v>42253.0</v>
      </c>
      <c r="O20" s="5" t="s">
        <v>83</v>
      </c>
      <c r="P20" s="5" t="s">
        <v>25</v>
      </c>
      <c r="Q20" s="5" t="s">
        <v>460</v>
      </c>
      <c r="R20" s="5" t="s">
        <v>461</v>
      </c>
      <c r="S20" s="5" t="s">
        <v>36</v>
      </c>
    </row>
    <row r="21">
      <c r="A21" s="5">
        <v>20.0</v>
      </c>
      <c r="B21" s="5" t="s">
        <v>463</v>
      </c>
      <c r="C21" s="5" t="s">
        <v>20</v>
      </c>
      <c r="D21" s="5">
        <v>83.0</v>
      </c>
      <c r="E21" s="5">
        <v>200.0</v>
      </c>
      <c r="H21" s="5" t="s">
        <v>21</v>
      </c>
      <c r="I21" s="7">
        <v>46123.90818287037</v>
      </c>
      <c r="K21" s="5">
        <v>200.0</v>
      </c>
      <c r="L21" s="5">
        <v>1700.0</v>
      </c>
      <c r="M21" s="5">
        <v>2300.0</v>
      </c>
      <c r="N21" s="9">
        <v>42574.0</v>
      </c>
      <c r="O21" s="5" t="s">
        <v>24</v>
      </c>
      <c r="P21" s="5" t="s">
        <v>25</v>
      </c>
      <c r="S21" s="5" t="s">
        <v>29</v>
      </c>
    </row>
    <row r="22">
      <c r="A22" s="5">
        <v>21.0</v>
      </c>
      <c r="B22" s="5" t="s">
        <v>466</v>
      </c>
      <c r="C22" s="5" t="s">
        <v>20</v>
      </c>
      <c r="D22" s="5">
        <v>28.0</v>
      </c>
      <c r="E22" s="5">
        <v>200.0</v>
      </c>
      <c r="F22" s="5">
        <v>0.7</v>
      </c>
      <c r="H22" s="5" t="s">
        <v>332</v>
      </c>
      <c r="I22" s="7">
        <v>45985.5021412037</v>
      </c>
      <c r="J22" s="5" t="s">
        <v>374</v>
      </c>
      <c r="K22" s="5">
        <v>200.0</v>
      </c>
      <c r="L22" s="5">
        <v>6300.0</v>
      </c>
      <c r="M22" s="5">
        <v>6700.0</v>
      </c>
      <c r="N22" s="9">
        <v>42346.0</v>
      </c>
      <c r="O22" s="5" t="s">
        <v>468</v>
      </c>
      <c r="P22" s="5" t="s">
        <v>25</v>
      </c>
      <c r="Q22" s="5" t="s">
        <v>470</v>
      </c>
      <c r="R22" s="5" t="s">
        <v>471</v>
      </c>
      <c r="S22" s="5" t="s">
        <v>29</v>
      </c>
    </row>
    <row r="23">
      <c r="A23" s="5">
        <v>22.0</v>
      </c>
      <c r="B23" s="5" t="s">
        <v>473</v>
      </c>
      <c r="C23" s="5" t="s">
        <v>20</v>
      </c>
      <c r="D23" s="5">
        <v>77.0</v>
      </c>
      <c r="E23" s="5">
        <v>150.0</v>
      </c>
      <c r="H23" s="5" t="s">
        <v>474</v>
      </c>
      <c r="I23" s="7">
        <v>46123.39202546296</v>
      </c>
      <c r="J23" s="5" t="s">
        <v>40</v>
      </c>
      <c r="K23" s="5">
        <v>150.0</v>
      </c>
      <c r="L23" s="5">
        <v>136000.0</v>
      </c>
      <c r="M23" s="5">
        <v>140000.0</v>
      </c>
      <c r="N23" s="9">
        <v>43091.0</v>
      </c>
      <c r="O23" s="5" t="s">
        <v>33</v>
      </c>
      <c r="P23" s="5" t="s">
        <v>25</v>
      </c>
      <c r="S23" s="5" t="s">
        <v>36</v>
      </c>
    </row>
    <row r="24">
      <c r="A24" s="5">
        <v>23.0</v>
      </c>
      <c r="B24" s="5" t="s">
        <v>477</v>
      </c>
      <c r="C24" s="5" t="s">
        <v>20</v>
      </c>
      <c r="D24" s="5">
        <v>69.0</v>
      </c>
      <c r="E24" s="5">
        <v>150.0</v>
      </c>
      <c r="F24" s="5">
        <v>0.25</v>
      </c>
      <c r="H24" s="5" t="s">
        <v>19</v>
      </c>
      <c r="I24" s="7">
        <v>46155.224490740744</v>
      </c>
      <c r="K24" s="5">
        <v>150.0</v>
      </c>
      <c r="L24" s="5">
        <v>1000.0</v>
      </c>
      <c r="M24" s="5">
        <v>1100.0</v>
      </c>
      <c r="N24" s="9">
        <v>43695.0</v>
      </c>
      <c r="O24" s="5" t="s">
        <v>33</v>
      </c>
      <c r="P24" s="5" t="s">
        <v>25</v>
      </c>
      <c r="S24" s="5" t="s">
        <v>29</v>
      </c>
    </row>
    <row r="25">
      <c r="A25" s="5">
        <v>24.0</v>
      </c>
      <c r="B25" s="5" t="s">
        <v>481</v>
      </c>
      <c r="C25" s="5" t="s">
        <v>20</v>
      </c>
      <c r="D25" s="5">
        <v>86.0</v>
      </c>
      <c r="E25" s="5">
        <v>150.0</v>
      </c>
      <c r="F25" s="5">
        <v>0.2</v>
      </c>
      <c r="H25" s="5" t="s">
        <v>21</v>
      </c>
      <c r="I25" s="7">
        <v>46149.46625</v>
      </c>
      <c r="K25" s="5">
        <v>800.0</v>
      </c>
      <c r="L25" s="5">
        <v>2100.0</v>
      </c>
      <c r="M25" s="5">
        <v>2700.0</v>
      </c>
      <c r="N25" s="9">
        <v>43843.0</v>
      </c>
      <c r="O25" s="5" t="s">
        <v>24</v>
      </c>
      <c r="P25" s="5" t="s">
        <v>25</v>
      </c>
      <c r="S25" s="5" t="s">
        <v>484</v>
      </c>
    </row>
    <row r="26">
      <c r="A26" s="5">
        <v>25.0</v>
      </c>
      <c r="B26" s="5" t="s">
        <v>485</v>
      </c>
      <c r="C26" s="5" t="s">
        <v>20</v>
      </c>
      <c r="D26" s="5">
        <v>75.0</v>
      </c>
      <c r="E26" s="5">
        <v>150.0</v>
      </c>
      <c r="F26" s="5">
        <v>0.25</v>
      </c>
      <c r="H26" s="5" t="s">
        <v>332</v>
      </c>
      <c r="I26" s="7">
        <v>46072.293078703704</v>
      </c>
      <c r="J26" s="5" t="s">
        <v>40</v>
      </c>
      <c r="K26" s="5">
        <v>200.0</v>
      </c>
      <c r="L26" s="5">
        <v>3500.0</v>
      </c>
      <c r="M26" s="5">
        <v>3900.0</v>
      </c>
      <c r="N26" s="9">
        <v>42763.0</v>
      </c>
      <c r="O26" s="5" t="s">
        <v>24</v>
      </c>
      <c r="P26" s="5" t="s">
        <v>25</v>
      </c>
      <c r="Q26" s="5" t="s">
        <v>488</v>
      </c>
      <c r="R26" s="5" t="s">
        <v>489</v>
      </c>
      <c r="S26" s="5" t="s">
        <v>29</v>
      </c>
    </row>
    <row r="27">
      <c r="A27" s="5">
        <v>26.0</v>
      </c>
      <c r="B27" s="5" t="s">
        <v>491</v>
      </c>
      <c r="C27" s="5" t="s">
        <v>20</v>
      </c>
      <c r="D27" s="5">
        <v>65.0</v>
      </c>
      <c r="E27" s="5">
        <v>150.0</v>
      </c>
      <c r="F27" s="5">
        <v>1.4</v>
      </c>
      <c r="H27" s="5" t="s">
        <v>19</v>
      </c>
      <c r="I27" s="7">
        <v>46163.15738425926</v>
      </c>
      <c r="J27" s="5" t="s">
        <v>40</v>
      </c>
      <c r="K27" s="5">
        <v>150.0</v>
      </c>
      <c r="L27" s="5">
        <v>1100.0</v>
      </c>
      <c r="M27" s="5">
        <v>1200.0</v>
      </c>
      <c r="N27" s="9">
        <v>42280.0</v>
      </c>
      <c r="O27" s="5" t="s">
        <v>33</v>
      </c>
      <c r="P27" s="5" t="s">
        <v>25</v>
      </c>
      <c r="S27" s="5" t="s">
        <v>36</v>
      </c>
    </row>
    <row r="28">
      <c r="A28" s="5">
        <v>27.0</v>
      </c>
      <c r="B28" s="5" t="s">
        <v>494</v>
      </c>
      <c r="C28" s="5" t="s">
        <v>20</v>
      </c>
      <c r="D28" s="5">
        <v>82.0</v>
      </c>
      <c r="E28" s="5">
        <v>150.0</v>
      </c>
      <c r="H28" s="5" t="s">
        <v>332</v>
      </c>
      <c r="I28" s="7">
        <v>46090.17050925926</v>
      </c>
      <c r="J28" s="5" t="s">
        <v>40</v>
      </c>
      <c r="K28" s="5">
        <v>150.0</v>
      </c>
      <c r="L28" s="5">
        <v>3400.0</v>
      </c>
      <c r="M28" s="5">
        <v>3800.0</v>
      </c>
      <c r="N28" s="9">
        <v>44504.0</v>
      </c>
      <c r="O28" s="5" t="s">
        <v>24</v>
      </c>
      <c r="P28" s="5" t="s">
        <v>25</v>
      </c>
      <c r="S28" s="5" t="s">
        <v>36</v>
      </c>
    </row>
    <row r="29">
      <c r="A29" s="5">
        <v>28.0</v>
      </c>
      <c r="B29" s="5" t="s">
        <v>498</v>
      </c>
      <c r="C29" s="5" t="s">
        <v>20</v>
      </c>
      <c r="D29" s="5">
        <v>87.0</v>
      </c>
      <c r="E29" s="5">
        <v>150.0</v>
      </c>
      <c r="F29" s="5">
        <v>1.0</v>
      </c>
      <c r="H29" s="5" t="s">
        <v>21</v>
      </c>
      <c r="I29" s="7">
        <v>46125.23094907407</v>
      </c>
      <c r="J29" s="5" t="s">
        <v>501</v>
      </c>
      <c r="K29" s="5">
        <v>9100.0</v>
      </c>
      <c r="L29" s="5">
        <v>1900.0</v>
      </c>
      <c r="M29" s="5">
        <v>2400.0</v>
      </c>
      <c r="N29" s="9">
        <v>42433.0</v>
      </c>
      <c r="O29" s="5" t="s">
        <v>24</v>
      </c>
      <c r="P29" s="5" t="s">
        <v>25</v>
      </c>
      <c r="S29" s="5" t="s">
        <v>29</v>
      </c>
    </row>
    <row r="30">
      <c r="A30" s="5">
        <v>29.0</v>
      </c>
      <c r="B30" s="5" t="s">
        <v>504</v>
      </c>
      <c r="C30" s="5" t="s">
        <v>20</v>
      </c>
      <c r="D30" s="5">
        <v>90.0</v>
      </c>
      <c r="E30" s="5">
        <v>100.0</v>
      </c>
      <c r="F30" s="5">
        <v>0.3</v>
      </c>
      <c r="H30" s="5" t="s">
        <v>332</v>
      </c>
      <c r="I30" s="7">
        <v>46066.338912037034</v>
      </c>
      <c r="K30" s="5">
        <v>200.0</v>
      </c>
      <c r="L30" s="5">
        <v>3600.0</v>
      </c>
      <c r="M30" s="5">
        <v>4100.0</v>
      </c>
      <c r="N30" s="9">
        <v>43845.0</v>
      </c>
      <c r="O30" s="5" t="s">
        <v>24</v>
      </c>
      <c r="P30" s="5" t="s">
        <v>25</v>
      </c>
      <c r="S30" s="5" t="s">
        <v>36</v>
      </c>
    </row>
    <row r="31">
      <c r="A31" s="5">
        <v>30.0</v>
      </c>
      <c r="B31" s="5" t="s">
        <v>507</v>
      </c>
      <c r="C31" s="5" t="s">
        <v>20</v>
      </c>
      <c r="D31" s="5">
        <v>72.0</v>
      </c>
      <c r="E31" s="5">
        <v>100.0</v>
      </c>
      <c r="F31" s="5">
        <v>0.6</v>
      </c>
      <c r="H31" s="5" t="s">
        <v>19</v>
      </c>
      <c r="I31" s="7">
        <v>46162.12048611111</v>
      </c>
      <c r="K31" s="5">
        <v>150.0</v>
      </c>
      <c r="L31" s="5">
        <v>1100.0</v>
      </c>
      <c r="M31" s="5">
        <v>1200.0</v>
      </c>
      <c r="N31" s="9">
        <v>42307.0</v>
      </c>
      <c r="O31" s="5" t="s">
        <v>33</v>
      </c>
      <c r="P31" s="5" t="s">
        <v>25</v>
      </c>
      <c r="Q31" s="5" t="s">
        <v>510</v>
      </c>
      <c r="R31" s="5" t="s">
        <v>511</v>
      </c>
      <c r="S31" s="5" t="s">
        <v>29</v>
      </c>
    </row>
    <row r="32">
      <c r="A32" s="5">
        <v>31.0</v>
      </c>
      <c r="B32" s="5" t="s">
        <v>513</v>
      </c>
      <c r="C32" s="5" t="s">
        <v>20</v>
      </c>
      <c r="D32" s="5">
        <v>75.0</v>
      </c>
      <c r="E32" s="5">
        <v>100.0</v>
      </c>
      <c r="H32" s="5" t="s">
        <v>19</v>
      </c>
      <c r="I32" s="7">
        <v>46159.5093287037</v>
      </c>
      <c r="J32" s="5" t="s">
        <v>40</v>
      </c>
      <c r="K32" s="5">
        <v>150.0</v>
      </c>
      <c r="L32" s="5">
        <v>1000.0</v>
      </c>
      <c r="M32" s="5">
        <v>1100.0</v>
      </c>
      <c r="N32" s="9">
        <v>42451.0</v>
      </c>
      <c r="O32" s="5" t="s">
        <v>24</v>
      </c>
      <c r="P32" s="5" t="s">
        <v>25</v>
      </c>
      <c r="S32" s="5" t="s">
        <v>36</v>
      </c>
    </row>
    <row r="33">
      <c r="A33" s="5">
        <v>32.0</v>
      </c>
      <c r="B33" s="5" t="s">
        <v>516</v>
      </c>
      <c r="C33" s="5" t="s">
        <v>20</v>
      </c>
      <c r="D33" s="5">
        <v>48.0</v>
      </c>
      <c r="E33" s="5">
        <v>100.0</v>
      </c>
      <c r="F33" s="5">
        <v>0.6</v>
      </c>
      <c r="H33" s="5" t="s">
        <v>518</v>
      </c>
      <c r="I33" s="7">
        <v>46047.28605324074</v>
      </c>
      <c r="J33" s="5" t="s">
        <v>40</v>
      </c>
      <c r="K33" s="5">
        <v>100.0</v>
      </c>
      <c r="L33" s="5">
        <v>1500.0</v>
      </c>
      <c r="M33" s="5">
        <v>1700.0</v>
      </c>
      <c r="N33" s="9">
        <v>44075.0</v>
      </c>
      <c r="O33" s="5" t="s">
        <v>520</v>
      </c>
      <c r="P33" s="5" t="s">
        <v>25</v>
      </c>
      <c r="Q33" s="5" t="s">
        <v>521</v>
      </c>
      <c r="R33" s="5" t="s">
        <v>522</v>
      </c>
      <c r="S33" s="5" t="s">
        <v>36</v>
      </c>
    </row>
    <row r="34">
      <c r="A34" s="5">
        <v>33.0</v>
      </c>
      <c r="B34" s="5" t="s">
        <v>524</v>
      </c>
      <c r="C34" s="5" t="s">
        <v>20</v>
      </c>
      <c r="D34" s="5">
        <v>85.0</v>
      </c>
      <c r="E34" s="5">
        <v>100.0</v>
      </c>
      <c r="F34" s="5">
        <v>1.7</v>
      </c>
      <c r="H34" s="5" t="s">
        <v>21</v>
      </c>
      <c r="I34" s="7">
        <v>46145.15158564815</v>
      </c>
      <c r="J34" s="5" t="s">
        <v>526</v>
      </c>
      <c r="K34" s="5">
        <v>500.0</v>
      </c>
      <c r="L34" s="5">
        <v>2100.0</v>
      </c>
      <c r="M34" s="5">
        <v>2700.0</v>
      </c>
      <c r="N34" s="9">
        <v>42393.0</v>
      </c>
      <c r="O34" s="5" t="s">
        <v>41</v>
      </c>
      <c r="P34" s="5" t="s">
        <v>25</v>
      </c>
      <c r="S34" s="5" t="s">
        <v>36</v>
      </c>
    </row>
    <row r="35">
      <c r="A35" s="5">
        <v>34.0</v>
      </c>
      <c r="B35" s="5" t="s">
        <v>528</v>
      </c>
      <c r="C35" s="5" t="s">
        <v>20</v>
      </c>
      <c r="D35" s="5">
        <v>76.0</v>
      </c>
      <c r="E35" s="5">
        <v>100.0</v>
      </c>
      <c r="H35" s="5" t="s">
        <v>21</v>
      </c>
      <c r="I35" s="7">
        <v>46149.00409722222</v>
      </c>
      <c r="K35" s="5">
        <v>150.0</v>
      </c>
      <c r="L35" s="5">
        <v>2100.0</v>
      </c>
      <c r="M35" s="5">
        <v>2700.0</v>
      </c>
      <c r="N35" s="9">
        <v>42277.0</v>
      </c>
      <c r="O35" s="5" t="s">
        <v>33</v>
      </c>
      <c r="P35" s="5" t="s">
        <v>25</v>
      </c>
      <c r="S35" s="5" t="s">
        <v>36</v>
      </c>
    </row>
    <row r="36">
      <c r="A36" s="5">
        <v>35.0</v>
      </c>
      <c r="B36" s="5" t="s">
        <v>531</v>
      </c>
      <c r="C36" s="5" t="s">
        <v>20</v>
      </c>
      <c r="D36" s="5">
        <v>86.0</v>
      </c>
      <c r="E36" s="5">
        <v>100.0</v>
      </c>
      <c r="H36" s="5" t="s">
        <v>19</v>
      </c>
      <c r="I36" s="7">
        <v>46160.84069444444</v>
      </c>
      <c r="J36" s="5" t="s">
        <v>374</v>
      </c>
      <c r="K36" s="5">
        <v>600.0</v>
      </c>
      <c r="L36" s="5">
        <v>1000.0</v>
      </c>
      <c r="M36" s="5">
        <v>1100.0</v>
      </c>
      <c r="N36" s="9">
        <v>43182.0</v>
      </c>
      <c r="O36" s="5" t="s">
        <v>24</v>
      </c>
      <c r="P36" s="5" t="s">
        <v>25</v>
      </c>
      <c r="S36" s="5" t="s">
        <v>36</v>
      </c>
    </row>
    <row r="37">
      <c r="A37" s="5">
        <v>36.0</v>
      </c>
      <c r="B37" s="5" t="s">
        <v>532</v>
      </c>
      <c r="C37" s="5" t="s">
        <v>20</v>
      </c>
      <c r="D37" s="5">
        <v>64.0</v>
      </c>
      <c r="E37" s="5">
        <v>100.0</v>
      </c>
      <c r="F37" s="5">
        <v>1.4</v>
      </c>
      <c r="H37" s="5" t="s">
        <v>447</v>
      </c>
      <c r="I37" s="7">
        <v>46162.07782407408</v>
      </c>
      <c r="J37" s="5" t="s">
        <v>374</v>
      </c>
      <c r="K37" s="5">
        <v>100.0</v>
      </c>
      <c r="L37" s="5">
        <v>17000.0</v>
      </c>
      <c r="M37" s="5">
        <v>19000.0</v>
      </c>
      <c r="N37" s="9">
        <v>42504.0</v>
      </c>
      <c r="O37" s="5" t="s">
        <v>33</v>
      </c>
      <c r="P37" s="5" t="s">
        <v>25</v>
      </c>
      <c r="S37" s="5" t="s">
        <v>29</v>
      </c>
    </row>
    <row r="38">
      <c r="A38" s="5">
        <v>37.0</v>
      </c>
      <c r="B38" s="5" t="s">
        <v>533</v>
      </c>
      <c r="C38" s="5" t="s">
        <v>20</v>
      </c>
      <c r="D38" s="5">
        <v>86.0</v>
      </c>
      <c r="E38" s="5">
        <v>100.0</v>
      </c>
      <c r="H38" s="5" t="s">
        <v>19</v>
      </c>
      <c r="I38" s="7">
        <v>46157.10711805556</v>
      </c>
      <c r="K38" s="5">
        <v>1500.0</v>
      </c>
      <c r="L38" s="5">
        <v>1000.0</v>
      </c>
      <c r="M38" s="5">
        <v>1100.0</v>
      </c>
      <c r="N38" s="9">
        <v>42733.0</v>
      </c>
      <c r="O38" s="5" t="s">
        <v>41</v>
      </c>
      <c r="P38" s="5" t="s">
        <v>25</v>
      </c>
      <c r="S38" s="5" t="s">
        <v>36</v>
      </c>
    </row>
    <row r="39">
      <c r="A39" s="5">
        <v>38.0</v>
      </c>
      <c r="B39" s="5" t="s">
        <v>534</v>
      </c>
      <c r="C39" s="5" t="s">
        <v>20</v>
      </c>
      <c r="D39" s="5">
        <v>2.0</v>
      </c>
      <c r="E39" s="5">
        <v>100.0</v>
      </c>
      <c r="F39" s="5">
        <v>1.6</v>
      </c>
      <c r="H39" s="5" t="s">
        <v>474</v>
      </c>
      <c r="I39" s="7">
        <v>46107.385092592594</v>
      </c>
      <c r="J39" s="5" t="s">
        <v>374</v>
      </c>
      <c r="K39" s="5">
        <v>100.0</v>
      </c>
      <c r="L39" s="5">
        <v>137000.0</v>
      </c>
      <c r="M39" s="5">
        <v>141000.0</v>
      </c>
      <c r="N39" s="9">
        <v>42518.0</v>
      </c>
      <c r="O39" s="5" t="s">
        <v>535</v>
      </c>
      <c r="P39" s="5" t="s">
        <v>25</v>
      </c>
      <c r="Q39" s="5" t="s">
        <v>536</v>
      </c>
      <c r="R39" s="5" t="s">
        <v>537</v>
      </c>
      <c r="S39" s="5" t="s">
        <v>538</v>
      </c>
    </row>
    <row r="40">
      <c r="A40" s="5">
        <v>39.0</v>
      </c>
      <c r="B40" s="5" t="s">
        <v>539</v>
      </c>
      <c r="C40" s="5" t="s">
        <v>20</v>
      </c>
      <c r="D40" s="5">
        <v>57.0</v>
      </c>
      <c r="E40" s="5">
        <v>100.0</v>
      </c>
      <c r="F40" s="5">
        <v>0.5</v>
      </c>
      <c r="H40" s="5" t="s">
        <v>21</v>
      </c>
      <c r="I40" s="7">
        <v>46122.44516203704</v>
      </c>
      <c r="K40" s="5">
        <v>100.0</v>
      </c>
      <c r="L40" s="5">
        <v>1700.0</v>
      </c>
      <c r="M40" s="5">
        <v>2300.0</v>
      </c>
      <c r="N40" s="9">
        <v>42564.0</v>
      </c>
      <c r="O40" s="5" t="s">
        <v>540</v>
      </c>
      <c r="P40" s="5" t="s">
        <v>25</v>
      </c>
      <c r="S40" s="5" t="s">
        <v>36</v>
      </c>
    </row>
    <row r="41">
      <c r="A41" s="5">
        <v>40.0</v>
      </c>
      <c r="B41" s="5" t="s">
        <v>541</v>
      </c>
      <c r="C41" s="5" t="s">
        <v>20</v>
      </c>
      <c r="D41" s="5">
        <v>87.0</v>
      </c>
      <c r="E41" s="5">
        <v>90.0</v>
      </c>
      <c r="H41" s="5" t="s">
        <v>21</v>
      </c>
      <c r="I41" s="7">
        <v>46075.91813657407</v>
      </c>
      <c r="K41" s="5">
        <v>1640000.0</v>
      </c>
      <c r="L41" s="5">
        <v>1900.0</v>
      </c>
      <c r="M41" s="5">
        <v>2000.0</v>
      </c>
      <c r="N41" s="9">
        <v>42590.0</v>
      </c>
      <c r="O41" s="5" t="s">
        <v>24</v>
      </c>
      <c r="P41" s="5" t="s">
        <v>25</v>
      </c>
      <c r="S41" s="5" t="s">
        <v>29</v>
      </c>
    </row>
    <row r="42">
      <c r="A42" s="5">
        <v>41.0</v>
      </c>
      <c r="B42" s="5" t="s">
        <v>542</v>
      </c>
      <c r="C42" s="5" t="s">
        <v>20</v>
      </c>
      <c r="D42" s="5">
        <v>64.0</v>
      </c>
      <c r="E42" s="5">
        <v>80.0</v>
      </c>
      <c r="H42" s="5" t="s">
        <v>21</v>
      </c>
      <c r="I42" s="7">
        <v>46087.716990740744</v>
      </c>
      <c r="J42" s="5" t="s">
        <v>40</v>
      </c>
      <c r="K42" s="5">
        <v>200.0</v>
      </c>
      <c r="L42" s="5">
        <v>1900.0</v>
      </c>
      <c r="M42" s="5">
        <v>2000.0</v>
      </c>
      <c r="N42" s="9">
        <v>42574.0</v>
      </c>
      <c r="O42" s="5" t="s">
        <v>33</v>
      </c>
      <c r="P42" s="5" t="s">
        <v>25</v>
      </c>
      <c r="S42" s="5" t="s">
        <v>543</v>
      </c>
    </row>
    <row r="43">
      <c r="A43" s="5">
        <v>42.0</v>
      </c>
      <c r="B43" s="5" t="s">
        <v>544</v>
      </c>
      <c r="C43" s="5" t="s">
        <v>20</v>
      </c>
      <c r="D43" s="5">
        <v>88.0</v>
      </c>
      <c r="E43" s="5">
        <v>80.0</v>
      </c>
      <c r="H43" s="5" t="s">
        <v>332</v>
      </c>
      <c r="I43" s="7">
        <v>46090.056875</v>
      </c>
      <c r="K43" s="5">
        <v>900.0</v>
      </c>
      <c r="L43" s="5">
        <v>3400.0</v>
      </c>
      <c r="M43" s="5">
        <v>3800.0</v>
      </c>
      <c r="N43" s="9">
        <v>43902.0</v>
      </c>
      <c r="O43" s="5" t="s">
        <v>24</v>
      </c>
      <c r="P43" s="5" t="s">
        <v>25</v>
      </c>
      <c r="S43" s="5" t="s">
        <v>36</v>
      </c>
    </row>
    <row r="44">
      <c r="A44" s="5">
        <v>43.0</v>
      </c>
      <c r="B44" s="5" t="s">
        <v>545</v>
      </c>
      <c r="C44" s="5" t="s">
        <v>20</v>
      </c>
      <c r="D44" s="5">
        <v>58.0</v>
      </c>
      <c r="E44" s="5">
        <v>80.0</v>
      </c>
      <c r="H44" s="5" t="s">
        <v>332</v>
      </c>
      <c r="I44" s="7">
        <v>46077.05436342592</v>
      </c>
      <c r="J44" s="5" t="s">
        <v>40</v>
      </c>
      <c r="K44" s="5">
        <v>80.0</v>
      </c>
      <c r="L44" s="5">
        <v>3500.0</v>
      </c>
      <c r="M44" s="5">
        <v>3700.0</v>
      </c>
      <c r="N44" s="9">
        <v>42261.0</v>
      </c>
      <c r="O44" s="5" t="s">
        <v>468</v>
      </c>
      <c r="P44" s="5" t="s">
        <v>25</v>
      </c>
      <c r="S44" s="5" t="s">
        <v>36</v>
      </c>
    </row>
    <row r="45">
      <c r="A45" s="5">
        <v>44.0</v>
      </c>
      <c r="B45" s="5" t="s">
        <v>546</v>
      </c>
      <c r="C45" s="5" t="s">
        <v>20</v>
      </c>
      <c r="D45" s="5">
        <v>63.0</v>
      </c>
      <c r="E45" s="5">
        <v>80.0</v>
      </c>
      <c r="F45" s="5">
        <v>1.4</v>
      </c>
      <c r="G45" s="5">
        <v>0.87</v>
      </c>
      <c r="H45" s="5" t="s">
        <v>474</v>
      </c>
      <c r="I45" s="7">
        <v>46147.80615740741</v>
      </c>
      <c r="J45" s="5" t="s">
        <v>547</v>
      </c>
      <c r="K45" s="5">
        <v>90.0</v>
      </c>
      <c r="L45" s="5">
        <v>137000.0</v>
      </c>
      <c r="M45" s="5">
        <v>140000.0</v>
      </c>
      <c r="N45" s="9">
        <v>42250.0</v>
      </c>
      <c r="O45" s="5" t="s">
        <v>33</v>
      </c>
      <c r="P45" s="5" t="s">
        <v>25</v>
      </c>
      <c r="S45" s="5" t="s">
        <v>36</v>
      </c>
    </row>
    <row r="46">
      <c r="A46" s="5">
        <v>45.0</v>
      </c>
      <c r="B46" s="5" t="s">
        <v>48</v>
      </c>
      <c r="C46" s="5" t="s">
        <v>20</v>
      </c>
      <c r="D46" s="5">
        <v>75.0</v>
      </c>
      <c r="E46" s="5">
        <v>80.0</v>
      </c>
      <c r="F46" s="5">
        <v>1.4</v>
      </c>
      <c r="H46" s="5" t="s">
        <v>21</v>
      </c>
      <c r="I46" s="7">
        <v>46100.09276620371</v>
      </c>
      <c r="J46" s="5" t="s">
        <v>40</v>
      </c>
      <c r="K46" s="5">
        <v>90.0</v>
      </c>
      <c r="L46" s="5">
        <v>1800.0</v>
      </c>
      <c r="M46" s="5">
        <v>2500.0</v>
      </c>
      <c r="N46" s="9">
        <v>43040.0</v>
      </c>
      <c r="O46" s="5" t="s">
        <v>24</v>
      </c>
      <c r="P46" s="5" t="s">
        <v>25</v>
      </c>
      <c r="S46" s="5" t="s">
        <v>36</v>
      </c>
    </row>
    <row r="47">
      <c r="A47" s="5">
        <v>46.0</v>
      </c>
      <c r="B47" s="5" t="s">
        <v>548</v>
      </c>
      <c r="C47" s="5" t="s">
        <v>20</v>
      </c>
      <c r="D47" s="5">
        <v>81.0</v>
      </c>
      <c r="E47" s="5">
        <v>70.0</v>
      </c>
      <c r="F47" s="5">
        <v>0.4</v>
      </c>
      <c r="G47" s="5">
        <v>1.12</v>
      </c>
      <c r="H47" s="5" t="s">
        <v>21</v>
      </c>
      <c r="I47" s="7">
        <v>46142.4137962963</v>
      </c>
      <c r="J47" s="5" t="s">
        <v>40</v>
      </c>
      <c r="K47" s="5">
        <v>3800.0</v>
      </c>
      <c r="L47" s="5">
        <v>2100.0</v>
      </c>
      <c r="M47" s="5">
        <v>3200.0</v>
      </c>
      <c r="N47" s="9">
        <v>42256.0</v>
      </c>
      <c r="O47" s="5" t="s">
        <v>83</v>
      </c>
      <c r="P47" s="5" t="s">
        <v>25</v>
      </c>
      <c r="Q47" s="5" t="s">
        <v>549</v>
      </c>
      <c r="R47" s="5" t="s">
        <v>550</v>
      </c>
      <c r="S47" s="5" t="s">
        <v>551</v>
      </c>
    </row>
    <row r="48">
      <c r="A48" s="5">
        <v>47.0</v>
      </c>
      <c r="B48" s="5" t="s">
        <v>552</v>
      </c>
      <c r="C48" s="5" t="s">
        <v>20</v>
      </c>
      <c r="D48" s="5">
        <v>26.0</v>
      </c>
      <c r="E48" s="5">
        <v>70.0</v>
      </c>
      <c r="H48" s="5" t="s">
        <v>332</v>
      </c>
      <c r="I48" s="7">
        <v>46099.90355324074</v>
      </c>
      <c r="K48" s="5">
        <v>150.0</v>
      </c>
      <c r="L48" s="5">
        <v>3300.0</v>
      </c>
      <c r="M48" s="5">
        <v>3600.0</v>
      </c>
      <c r="N48" s="9">
        <v>42378.0</v>
      </c>
      <c r="O48" s="5" t="s">
        <v>24</v>
      </c>
      <c r="P48" s="5" t="s">
        <v>25</v>
      </c>
      <c r="S48" s="5" t="s">
        <v>553</v>
      </c>
    </row>
    <row r="49">
      <c r="A49" s="5">
        <v>48.0</v>
      </c>
      <c r="B49" s="5" t="s">
        <v>554</v>
      </c>
      <c r="C49" s="5" t="s">
        <v>20</v>
      </c>
      <c r="D49" s="5">
        <v>66.0</v>
      </c>
      <c r="E49" s="5">
        <v>70.0</v>
      </c>
      <c r="F49" s="5">
        <v>0.1</v>
      </c>
      <c r="H49" s="5" t="s">
        <v>21</v>
      </c>
      <c r="I49" s="7">
        <v>46147.08127314815</v>
      </c>
      <c r="K49" s="5">
        <v>70.0</v>
      </c>
      <c r="L49" s="5">
        <v>600.0</v>
      </c>
      <c r="M49" s="5">
        <v>600.0</v>
      </c>
      <c r="N49" s="9">
        <v>42514.0</v>
      </c>
      <c r="O49" s="5" t="s">
        <v>33</v>
      </c>
      <c r="P49" s="5" t="s">
        <v>25</v>
      </c>
      <c r="Q49" s="5" t="s">
        <v>555</v>
      </c>
      <c r="R49" s="5" t="s">
        <v>556</v>
      </c>
      <c r="S49" s="5" t="s">
        <v>29</v>
      </c>
    </row>
    <row r="50">
      <c r="A50" s="5">
        <v>49.0</v>
      </c>
      <c r="B50" s="5" t="s">
        <v>557</v>
      </c>
      <c r="C50" s="5" t="s">
        <v>20</v>
      </c>
      <c r="D50" s="5">
        <v>64.0</v>
      </c>
      <c r="E50" s="5">
        <v>70.0</v>
      </c>
      <c r="H50" s="5" t="s">
        <v>332</v>
      </c>
      <c r="I50" s="7">
        <v>46156.701377314814</v>
      </c>
      <c r="J50" s="5" t="s">
        <v>374</v>
      </c>
      <c r="K50" s="5">
        <v>70.0</v>
      </c>
      <c r="L50" s="5">
        <v>3100.0</v>
      </c>
      <c r="M50" s="5">
        <v>3500.0</v>
      </c>
      <c r="N50" s="9">
        <v>42344.0</v>
      </c>
      <c r="O50" s="5" t="s">
        <v>33</v>
      </c>
      <c r="P50" s="5" t="s">
        <v>25</v>
      </c>
      <c r="S50" s="5" t="s">
        <v>29</v>
      </c>
    </row>
    <row r="51">
      <c r="A51" s="5">
        <v>50.0</v>
      </c>
      <c r="B51" s="5" t="s">
        <v>558</v>
      </c>
      <c r="C51" s="5" t="s">
        <v>20</v>
      </c>
      <c r="D51" s="5">
        <v>63.0</v>
      </c>
      <c r="E51" s="5">
        <v>70.0</v>
      </c>
      <c r="F51" s="5">
        <v>0.8</v>
      </c>
      <c r="H51" s="5" t="s">
        <v>559</v>
      </c>
      <c r="I51" s="7">
        <v>46126.6094212963</v>
      </c>
      <c r="J51" s="5" t="s">
        <v>429</v>
      </c>
      <c r="K51" s="5">
        <v>70.0</v>
      </c>
      <c r="L51" s="5">
        <v>3600.0</v>
      </c>
      <c r="M51" s="5">
        <v>3700.0</v>
      </c>
      <c r="N51" s="9">
        <v>43408.0</v>
      </c>
      <c r="O51" s="5" t="s">
        <v>33</v>
      </c>
      <c r="P51" s="5" t="s">
        <v>25</v>
      </c>
      <c r="S51" s="5" t="s">
        <v>560</v>
      </c>
    </row>
    <row r="52">
      <c r="A52" s="5">
        <v>51.0</v>
      </c>
      <c r="B52" s="5" t="s">
        <v>561</v>
      </c>
      <c r="C52" s="5" t="s">
        <v>20</v>
      </c>
      <c r="D52" s="5">
        <v>75.0</v>
      </c>
      <c r="E52" s="5">
        <v>70.0</v>
      </c>
      <c r="H52" s="5" t="s">
        <v>19</v>
      </c>
      <c r="I52" s="7">
        <v>46163.41612268519</v>
      </c>
      <c r="K52" s="5">
        <v>70.0</v>
      </c>
      <c r="L52" s="5">
        <v>1100.0</v>
      </c>
      <c r="M52" s="5">
        <v>1200.0</v>
      </c>
      <c r="N52" s="9">
        <v>44275.0</v>
      </c>
      <c r="O52" s="5" t="s">
        <v>33</v>
      </c>
      <c r="P52" s="5" t="s">
        <v>25</v>
      </c>
      <c r="S52" s="5" t="s">
        <v>29</v>
      </c>
    </row>
    <row r="53">
      <c r="A53" s="5">
        <v>52.0</v>
      </c>
      <c r="B53" s="5" t="s">
        <v>562</v>
      </c>
      <c r="C53" s="5" t="s">
        <v>20</v>
      </c>
      <c r="D53" s="5">
        <v>88.0</v>
      </c>
      <c r="E53" s="5">
        <v>70.0</v>
      </c>
      <c r="H53" s="5" t="s">
        <v>332</v>
      </c>
      <c r="I53" s="7">
        <v>46089.235914351855</v>
      </c>
      <c r="K53" s="5">
        <v>500.0</v>
      </c>
      <c r="L53" s="5">
        <v>3400.0</v>
      </c>
      <c r="M53" s="5">
        <v>3800.0</v>
      </c>
      <c r="N53" s="9">
        <v>44152.0</v>
      </c>
      <c r="O53" s="5" t="s">
        <v>24</v>
      </c>
      <c r="P53" s="5" t="s">
        <v>25</v>
      </c>
      <c r="S53" s="5" t="s">
        <v>36</v>
      </c>
    </row>
    <row r="54">
      <c r="A54" s="5">
        <v>53.0</v>
      </c>
      <c r="B54" s="5" t="s">
        <v>563</v>
      </c>
      <c r="C54" s="5" t="s">
        <v>20</v>
      </c>
      <c r="D54" s="5">
        <v>74.0</v>
      </c>
      <c r="E54" s="5">
        <v>60.0</v>
      </c>
      <c r="H54" s="5" t="s">
        <v>21</v>
      </c>
      <c r="I54" s="7">
        <v>46124.87150462963</v>
      </c>
      <c r="J54" s="5" t="s">
        <v>40</v>
      </c>
      <c r="K54" s="5">
        <v>60.0</v>
      </c>
      <c r="L54" s="5">
        <v>1800.0</v>
      </c>
      <c r="M54" s="5">
        <v>2300.0</v>
      </c>
      <c r="N54" s="9">
        <v>42346.0</v>
      </c>
      <c r="O54" s="5" t="s">
        <v>33</v>
      </c>
      <c r="P54" s="5" t="s">
        <v>25</v>
      </c>
      <c r="S54" s="5" t="s">
        <v>36</v>
      </c>
    </row>
    <row r="55">
      <c r="A55" s="5">
        <v>54.0</v>
      </c>
      <c r="B55" s="5" t="s">
        <v>564</v>
      </c>
      <c r="C55" s="5" t="s">
        <v>20</v>
      </c>
      <c r="D55" s="5">
        <v>82.0</v>
      </c>
      <c r="E55" s="5">
        <v>60.0</v>
      </c>
      <c r="H55" s="5" t="s">
        <v>21</v>
      </c>
      <c r="I55" s="7">
        <v>46144.66819444444</v>
      </c>
      <c r="J55" s="5" t="s">
        <v>40</v>
      </c>
      <c r="K55" s="5">
        <v>60.0</v>
      </c>
      <c r="L55" s="5">
        <v>2100.0</v>
      </c>
      <c r="M55" s="5">
        <v>2700.0</v>
      </c>
      <c r="N55" s="9">
        <v>42676.0</v>
      </c>
      <c r="O55" s="5" t="s">
        <v>24</v>
      </c>
      <c r="P55" s="5" t="s">
        <v>25</v>
      </c>
      <c r="S55" s="5" t="s">
        <v>543</v>
      </c>
    </row>
    <row r="56">
      <c r="A56" s="5">
        <v>55.0</v>
      </c>
      <c r="B56" s="5" t="s">
        <v>565</v>
      </c>
      <c r="C56" s="5" t="s">
        <v>20</v>
      </c>
      <c r="D56" s="5">
        <v>65.0</v>
      </c>
      <c r="E56" s="5">
        <v>60.0</v>
      </c>
      <c r="H56" s="5" t="s">
        <v>332</v>
      </c>
      <c r="I56" s="7">
        <v>46161.422268518516</v>
      </c>
      <c r="J56" s="5" t="s">
        <v>566</v>
      </c>
      <c r="K56" s="5">
        <v>60.0</v>
      </c>
      <c r="L56" s="5">
        <v>3200.0</v>
      </c>
      <c r="M56" s="5">
        <v>81000.0</v>
      </c>
      <c r="N56" s="9">
        <v>42465.0</v>
      </c>
      <c r="O56" s="5" t="s">
        <v>33</v>
      </c>
      <c r="P56" s="5" t="s">
        <v>25</v>
      </c>
      <c r="S56" s="5" t="s">
        <v>29</v>
      </c>
    </row>
    <row r="57">
      <c r="A57" s="5">
        <v>56.0</v>
      </c>
      <c r="B57" s="5" t="s">
        <v>567</v>
      </c>
      <c r="C57" s="5" t="s">
        <v>20</v>
      </c>
      <c r="D57" s="5">
        <v>67.0</v>
      </c>
      <c r="E57" s="5">
        <v>50.0</v>
      </c>
      <c r="H57" s="5" t="s">
        <v>21</v>
      </c>
      <c r="I57" s="7">
        <v>46088.40268518519</v>
      </c>
      <c r="J57" s="5" t="s">
        <v>40</v>
      </c>
      <c r="K57" s="5">
        <v>80.0</v>
      </c>
      <c r="L57" s="5">
        <v>1900.0</v>
      </c>
      <c r="M57" s="5">
        <v>2000.0</v>
      </c>
      <c r="N57" s="9">
        <v>42302.0</v>
      </c>
      <c r="O57" s="5" t="s">
        <v>33</v>
      </c>
      <c r="Q57" s="5" t="s">
        <v>568</v>
      </c>
      <c r="R57" s="5" t="s">
        <v>569</v>
      </c>
      <c r="S57" s="5" t="s">
        <v>36</v>
      </c>
    </row>
    <row r="58">
      <c r="A58" s="5">
        <v>57.0</v>
      </c>
      <c r="B58" s="5" t="s">
        <v>570</v>
      </c>
      <c r="C58" s="5" t="s">
        <v>20</v>
      </c>
      <c r="D58" s="5">
        <v>62.0</v>
      </c>
      <c r="E58" s="5">
        <v>50.0</v>
      </c>
      <c r="H58" s="5" t="s">
        <v>332</v>
      </c>
      <c r="I58" s="7">
        <v>46085.47074074074</v>
      </c>
      <c r="J58" s="5" t="s">
        <v>40</v>
      </c>
      <c r="K58" s="5">
        <v>60.0</v>
      </c>
      <c r="L58" s="5">
        <v>3500.0</v>
      </c>
      <c r="M58" s="5">
        <v>3700.0</v>
      </c>
      <c r="N58" s="9">
        <v>42463.0</v>
      </c>
      <c r="O58" s="5" t="s">
        <v>24</v>
      </c>
      <c r="P58" s="5" t="s">
        <v>25</v>
      </c>
      <c r="S58" s="5" t="s">
        <v>36</v>
      </c>
    </row>
    <row r="59">
      <c r="A59" s="5">
        <v>58.0</v>
      </c>
      <c r="B59" s="5" t="s">
        <v>571</v>
      </c>
      <c r="C59" s="5" t="s">
        <v>20</v>
      </c>
      <c r="D59" s="5">
        <v>69.0</v>
      </c>
      <c r="E59" s="5">
        <v>50.0</v>
      </c>
      <c r="F59" s="5">
        <v>1.5</v>
      </c>
      <c r="H59" s="5" t="s">
        <v>571</v>
      </c>
      <c r="I59" s="7">
        <v>46155.04751157408</v>
      </c>
      <c r="J59" s="5" t="s">
        <v>572</v>
      </c>
      <c r="K59" s="5">
        <v>509000.0</v>
      </c>
      <c r="L59" s="5">
        <v>0.0</v>
      </c>
      <c r="M59" s="5">
        <v>800.0</v>
      </c>
      <c r="N59" s="9">
        <v>42266.0</v>
      </c>
      <c r="O59" s="5" t="s">
        <v>24</v>
      </c>
      <c r="P59" s="5" t="s">
        <v>25</v>
      </c>
      <c r="Q59" s="5" t="s">
        <v>573</v>
      </c>
      <c r="R59" s="5" t="s">
        <v>574</v>
      </c>
      <c r="S59" s="5" t="s">
        <v>575</v>
      </c>
    </row>
    <row r="60">
      <c r="A60" s="5">
        <v>59.0</v>
      </c>
      <c r="B60" s="5" t="s">
        <v>53</v>
      </c>
      <c r="C60" s="5" t="s">
        <v>20</v>
      </c>
      <c r="D60" s="5">
        <v>69.0</v>
      </c>
      <c r="E60" s="5">
        <v>50.0</v>
      </c>
      <c r="H60" s="5" t="s">
        <v>21</v>
      </c>
      <c r="I60" s="7">
        <v>46111.604791666665</v>
      </c>
      <c r="K60" s="5">
        <v>50.0</v>
      </c>
      <c r="L60" s="5">
        <v>1800.0</v>
      </c>
      <c r="M60" s="5">
        <v>54000.0</v>
      </c>
      <c r="N60" s="9">
        <v>43342.0</v>
      </c>
      <c r="O60" s="5" t="s">
        <v>24</v>
      </c>
      <c r="P60" s="5" t="s">
        <v>25</v>
      </c>
      <c r="S60" s="5" t="s">
        <v>36</v>
      </c>
    </row>
    <row r="61">
      <c r="A61" s="5">
        <v>60.0</v>
      </c>
      <c r="B61" s="5" t="s">
        <v>576</v>
      </c>
      <c r="C61" s="5" t="s">
        <v>20</v>
      </c>
      <c r="D61" s="5">
        <v>89.0</v>
      </c>
      <c r="E61" s="5">
        <v>50.0</v>
      </c>
      <c r="F61" s="5">
        <v>0.9</v>
      </c>
      <c r="H61" s="5" t="s">
        <v>332</v>
      </c>
      <c r="I61" s="7">
        <v>46089.67269675926</v>
      </c>
      <c r="J61" s="5" t="s">
        <v>577</v>
      </c>
      <c r="K61" s="5">
        <v>14000.0</v>
      </c>
      <c r="L61" s="5">
        <v>3400.0</v>
      </c>
      <c r="M61" s="5">
        <v>3800.0</v>
      </c>
      <c r="N61" s="9">
        <v>42312.0</v>
      </c>
      <c r="O61" s="5" t="s">
        <v>24</v>
      </c>
      <c r="P61" s="5" t="s">
        <v>25</v>
      </c>
      <c r="S61" s="5" t="s">
        <v>29</v>
      </c>
    </row>
    <row r="62">
      <c r="A62" s="5">
        <v>61.0</v>
      </c>
      <c r="B62" s="5" t="s">
        <v>578</v>
      </c>
      <c r="C62" s="5" t="s">
        <v>20</v>
      </c>
      <c r="D62" s="5">
        <v>86.0</v>
      </c>
      <c r="E62" s="5">
        <v>50.0</v>
      </c>
      <c r="F62" s="5">
        <v>1.3</v>
      </c>
      <c r="H62" s="5" t="s">
        <v>21</v>
      </c>
      <c r="I62" s="7">
        <v>46125.58221064815</v>
      </c>
      <c r="K62" s="5">
        <v>350.0</v>
      </c>
      <c r="L62" s="5">
        <v>1900.0</v>
      </c>
      <c r="M62" s="5">
        <v>2400.0</v>
      </c>
      <c r="N62" s="9">
        <v>42266.0</v>
      </c>
      <c r="O62" s="5" t="s">
        <v>24</v>
      </c>
      <c r="P62" s="5" t="s">
        <v>25</v>
      </c>
      <c r="S62" s="5" t="s">
        <v>36</v>
      </c>
    </row>
    <row r="63">
      <c r="A63" s="5">
        <v>62.0</v>
      </c>
      <c r="B63" s="5" t="s">
        <v>579</v>
      </c>
      <c r="C63" s="5" t="s">
        <v>20</v>
      </c>
      <c r="D63" s="5">
        <v>86.0</v>
      </c>
      <c r="E63" s="5">
        <v>50.0</v>
      </c>
      <c r="F63" s="5">
        <v>0.4</v>
      </c>
      <c r="H63" s="5" t="s">
        <v>21</v>
      </c>
      <c r="I63" s="7">
        <v>46123.144791666666</v>
      </c>
      <c r="J63" s="5" t="s">
        <v>580</v>
      </c>
      <c r="K63" s="5">
        <v>700.0</v>
      </c>
      <c r="L63" s="5">
        <v>1700.0</v>
      </c>
      <c r="M63" s="5">
        <v>2300.0</v>
      </c>
      <c r="N63" s="9">
        <v>42363.0</v>
      </c>
      <c r="O63" s="5" t="s">
        <v>24</v>
      </c>
      <c r="P63" s="5" t="s">
        <v>25</v>
      </c>
      <c r="S63" s="5" t="s">
        <v>36</v>
      </c>
    </row>
    <row r="64">
      <c r="A64" s="5">
        <v>63.0</v>
      </c>
      <c r="B64" s="5" t="s">
        <v>581</v>
      </c>
      <c r="C64" s="5" t="s">
        <v>20</v>
      </c>
      <c r="D64" s="5">
        <v>40.0</v>
      </c>
      <c r="E64" s="5">
        <v>40.0</v>
      </c>
      <c r="H64" s="5" t="s">
        <v>21</v>
      </c>
      <c r="I64" s="7">
        <v>46162.965625</v>
      </c>
      <c r="K64" s="5">
        <v>60.0</v>
      </c>
      <c r="L64" s="5">
        <v>450.0</v>
      </c>
      <c r="M64" s="5">
        <v>500.0</v>
      </c>
      <c r="N64" s="9">
        <v>43840.0</v>
      </c>
      <c r="O64" s="5" t="s">
        <v>24</v>
      </c>
      <c r="P64" s="5" t="s">
        <v>25</v>
      </c>
      <c r="S64" s="5" t="s">
        <v>29</v>
      </c>
    </row>
    <row r="65">
      <c r="A65" s="5">
        <v>64.0</v>
      </c>
      <c r="B65" s="5" t="s">
        <v>582</v>
      </c>
      <c r="C65" s="5" t="s">
        <v>20</v>
      </c>
      <c r="D65" s="5">
        <v>73.0</v>
      </c>
      <c r="E65" s="5">
        <v>40.0</v>
      </c>
      <c r="H65" s="5" t="s">
        <v>582</v>
      </c>
      <c r="I65" s="7">
        <v>46160.014872685184</v>
      </c>
      <c r="J65" s="5" t="s">
        <v>429</v>
      </c>
      <c r="K65" s="5">
        <v>472000.0</v>
      </c>
      <c r="L65" s="5">
        <v>10.0</v>
      </c>
      <c r="M65" s="5">
        <v>281000.0</v>
      </c>
      <c r="N65" s="9">
        <v>42908.0</v>
      </c>
      <c r="O65" s="5" t="s">
        <v>33</v>
      </c>
      <c r="P65" s="5" t="s">
        <v>25</v>
      </c>
      <c r="S65" s="5" t="s">
        <v>543</v>
      </c>
    </row>
    <row r="66">
      <c r="A66" s="5">
        <v>65.0</v>
      </c>
      <c r="B66" s="5" t="s">
        <v>583</v>
      </c>
      <c r="C66" s="5" t="s">
        <v>20</v>
      </c>
      <c r="D66" s="5">
        <v>79.0</v>
      </c>
      <c r="E66" s="5">
        <v>40.0</v>
      </c>
      <c r="G66" s="5">
        <v>0.15</v>
      </c>
      <c r="H66" s="5" t="s">
        <v>583</v>
      </c>
      <c r="I66" s="7">
        <v>46145.83603009259</v>
      </c>
      <c r="J66" s="5" t="s">
        <v>40</v>
      </c>
      <c r="K66" s="5">
        <v>454000.0</v>
      </c>
      <c r="L66" s="5">
        <v>0.0</v>
      </c>
      <c r="M66" s="5">
        <v>8600.0</v>
      </c>
      <c r="N66" s="9">
        <v>42265.0</v>
      </c>
      <c r="O66" s="5" t="s">
        <v>24</v>
      </c>
      <c r="P66" s="5" t="s">
        <v>25</v>
      </c>
      <c r="Q66" s="5" t="s">
        <v>584</v>
      </c>
      <c r="R66" s="5" t="s">
        <v>585</v>
      </c>
      <c r="S66" s="5" t="s">
        <v>575</v>
      </c>
    </row>
    <row r="67">
      <c r="A67" s="5">
        <v>66.0</v>
      </c>
      <c r="B67" s="5" t="s">
        <v>586</v>
      </c>
      <c r="C67" s="5" t="s">
        <v>20</v>
      </c>
      <c r="D67" s="5">
        <v>26.0</v>
      </c>
      <c r="E67" s="5">
        <v>40.0</v>
      </c>
      <c r="H67" s="5" t="s">
        <v>466</v>
      </c>
      <c r="I67" s="7">
        <v>46088.97670138889</v>
      </c>
      <c r="J67" s="5" t="s">
        <v>374</v>
      </c>
      <c r="K67" s="5">
        <v>40.0</v>
      </c>
      <c r="L67" s="5">
        <v>40.0</v>
      </c>
      <c r="M67" s="5">
        <v>40.0</v>
      </c>
      <c r="N67" s="9">
        <v>42480.0</v>
      </c>
      <c r="O67" s="5" t="s">
        <v>468</v>
      </c>
      <c r="P67" s="5" t="s">
        <v>25</v>
      </c>
      <c r="S67" s="5" t="s">
        <v>29</v>
      </c>
    </row>
    <row r="68">
      <c r="A68" s="5">
        <v>67.0</v>
      </c>
      <c r="B68" s="5" t="s">
        <v>587</v>
      </c>
      <c r="C68" s="5" t="s">
        <v>20</v>
      </c>
      <c r="D68" s="5">
        <v>33.0</v>
      </c>
      <c r="E68" s="5">
        <v>40.0</v>
      </c>
      <c r="H68" s="5" t="s">
        <v>332</v>
      </c>
      <c r="I68" s="7">
        <v>46099.384571759256</v>
      </c>
      <c r="K68" s="5">
        <v>50.0</v>
      </c>
      <c r="L68" s="5">
        <v>3300.0</v>
      </c>
      <c r="M68" s="5">
        <v>3600.0</v>
      </c>
      <c r="N68" s="9">
        <v>43742.0</v>
      </c>
      <c r="O68" s="5" t="s">
        <v>24</v>
      </c>
      <c r="P68" s="5" t="s">
        <v>25</v>
      </c>
      <c r="S68" s="5" t="s">
        <v>29</v>
      </c>
    </row>
    <row r="69">
      <c r="A69" s="5">
        <v>68.0</v>
      </c>
      <c r="B69" s="5" t="s">
        <v>588</v>
      </c>
      <c r="C69" s="5" t="s">
        <v>20</v>
      </c>
      <c r="D69" s="5">
        <v>76.0</v>
      </c>
      <c r="E69" s="5">
        <v>40.0</v>
      </c>
      <c r="H69" s="5" t="s">
        <v>21</v>
      </c>
      <c r="I69" s="7">
        <v>46125.464907407404</v>
      </c>
      <c r="K69" s="5">
        <v>40.0</v>
      </c>
      <c r="L69" s="5">
        <v>1500.0</v>
      </c>
      <c r="M69" s="5">
        <v>57000.0</v>
      </c>
      <c r="N69" s="9">
        <v>43867.0</v>
      </c>
      <c r="O69" s="5" t="s">
        <v>33</v>
      </c>
      <c r="S69" s="5" t="s">
        <v>36</v>
      </c>
    </row>
    <row r="70">
      <c r="A70" s="5">
        <v>69.0</v>
      </c>
      <c r="B70" s="5" t="s">
        <v>56</v>
      </c>
      <c r="C70" s="5" t="s">
        <v>20</v>
      </c>
      <c r="D70" s="5">
        <v>78.0</v>
      </c>
      <c r="E70" s="5">
        <v>40.0</v>
      </c>
      <c r="H70" s="5" t="s">
        <v>21</v>
      </c>
      <c r="I70" s="7">
        <v>46125.9825462963</v>
      </c>
      <c r="K70" s="5">
        <v>40.0</v>
      </c>
      <c r="L70" s="5">
        <v>1500.0</v>
      </c>
      <c r="M70" s="5">
        <v>2000.0</v>
      </c>
      <c r="N70" s="9">
        <v>45261.0</v>
      </c>
      <c r="O70" s="5" t="s">
        <v>24</v>
      </c>
      <c r="P70" s="5" t="s">
        <v>25</v>
      </c>
      <c r="S70" s="5" t="s">
        <v>36</v>
      </c>
    </row>
    <row r="71">
      <c r="A71" s="5">
        <v>70.0</v>
      </c>
      <c r="B71" s="5" t="s">
        <v>589</v>
      </c>
      <c r="C71" s="5" t="s">
        <v>20</v>
      </c>
      <c r="D71" s="5">
        <v>89.0</v>
      </c>
      <c r="E71" s="5">
        <v>40.0</v>
      </c>
      <c r="F71" s="5">
        <v>0.15</v>
      </c>
      <c r="H71" s="5" t="s">
        <v>589</v>
      </c>
      <c r="I71" s="7">
        <v>46073.10797453704</v>
      </c>
      <c r="J71" s="5" t="s">
        <v>422</v>
      </c>
      <c r="K71" s="5">
        <v>295000.0</v>
      </c>
      <c r="L71" s="5">
        <v>20.0</v>
      </c>
      <c r="M71" s="5">
        <v>56000.0</v>
      </c>
      <c r="N71" s="9">
        <v>42304.0</v>
      </c>
      <c r="O71" s="5" t="s">
        <v>24</v>
      </c>
      <c r="P71" s="5" t="s">
        <v>25</v>
      </c>
      <c r="S71" s="5" t="s">
        <v>29</v>
      </c>
    </row>
    <row r="72">
      <c r="A72" s="5">
        <v>71.0</v>
      </c>
      <c r="B72" s="5" t="s">
        <v>590</v>
      </c>
      <c r="C72" s="5" t="s">
        <v>20</v>
      </c>
      <c r="D72" s="5">
        <v>75.0</v>
      </c>
      <c r="E72" s="5">
        <v>40.0</v>
      </c>
      <c r="H72" s="5" t="s">
        <v>21</v>
      </c>
      <c r="I72" s="7">
        <v>46126.70096064815</v>
      </c>
      <c r="J72" s="5" t="s">
        <v>351</v>
      </c>
      <c r="K72" s="5">
        <v>1640000.0</v>
      </c>
      <c r="L72" s="5">
        <v>1900.0</v>
      </c>
      <c r="M72" s="5">
        <v>17000.0</v>
      </c>
      <c r="N72" s="9">
        <v>42599.0</v>
      </c>
      <c r="O72" s="5" t="s">
        <v>24</v>
      </c>
      <c r="P72" s="5" t="s">
        <v>25</v>
      </c>
      <c r="S72" s="5" t="s">
        <v>29</v>
      </c>
    </row>
    <row r="73">
      <c r="A73" s="5">
        <v>72.0</v>
      </c>
      <c r="B73" s="5" t="s">
        <v>591</v>
      </c>
      <c r="C73" s="5" t="s">
        <v>20</v>
      </c>
      <c r="D73" s="5">
        <v>77.0</v>
      </c>
      <c r="E73" s="5">
        <v>40.0</v>
      </c>
      <c r="H73" s="5" t="s">
        <v>332</v>
      </c>
      <c r="I73" s="7">
        <v>46085.18548611111</v>
      </c>
      <c r="J73" s="5" t="s">
        <v>40</v>
      </c>
      <c r="K73" s="5">
        <v>70.0</v>
      </c>
      <c r="L73" s="5">
        <v>3500.0</v>
      </c>
      <c r="M73" s="5">
        <v>3700.0</v>
      </c>
      <c r="N73" s="9">
        <v>42307.0</v>
      </c>
      <c r="O73" s="5" t="s">
        <v>24</v>
      </c>
      <c r="P73" s="5" t="s">
        <v>25</v>
      </c>
      <c r="S73" s="5" t="s">
        <v>36</v>
      </c>
    </row>
    <row r="74">
      <c r="A74" s="5">
        <v>73.0</v>
      </c>
      <c r="B74" s="5" t="s">
        <v>592</v>
      </c>
      <c r="C74" s="5" t="s">
        <v>20</v>
      </c>
      <c r="D74" s="5">
        <v>24.0</v>
      </c>
      <c r="E74" s="5">
        <v>30.0</v>
      </c>
      <c r="H74" s="5" t="s">
        <v>332</v>
      </c>
      <c r="I74" s="7">
        <v>46155.517060185186</v>
      </c>
      <c r="J74" s="5" t="s">
        <v>40</v>
      </c>
      <c r="K74" s="5">
        <v>30.0</v>
      </c>
      <c r="L74" s="5">
        <v>3100.0</v>
      </c>
      <c r="M74" s="5">
        <v>3500.0</v>
      </c>
      <c r="N74" s="9">
        <v>42502.0</v>
      </c>
      <c r="O74" s="5" t="s">
        <v>83</v>
      </c>
      <c r="P74" s="5" t="s">
        <v>25</v>
      </c>
      <c r="S74" s="5" t="s">
        <v>29</v>
      </c>
    </row>
    <row r="75">
      <c r="A75" s="5">
        <v>74.0</v>
      </c>
      <c r="B75" s="5" t="s">
        <v>593</v>
      </c>
      <c r="C75" s="5" t="s">
        <v>20</v>
      </c>
      <c r="D75" s="5">
        <v>70.0</v>
      </c>
      <c r="E75" s="5">
        <v>30.0</v>
      </c>
      <c r="F75" s="5">
        <v>0.4</v>
      </c>
      <c r="H75" s="5" t="s">
        <v>21</v>
      </c>
      <c r="I75" s="7">
        <v>46143.53990740741</v>
      </c>
      <c r="J75" s="5" t="s">
        <v>40</v>
      </c>
      <c r="K75" s="5">
        <v>300.0</v>
      </c>
      <c r="L75" s="5">
        <v>2100.0</v>
      </c>
      <c r="M75" s="5">
        <v>3200.0</v>
      </c>
      <c r="N75" s="9">
        <v>43926.0</v>
      </c>
      <c r="O75" s="5" t="s">
        <v>83</v>
      </c>
      <c r="P75" s="5" t="s">
        <v>25</v>
      </c>
      <c r="S75" s="5" t="s">
        <v>29</v>
      </c>
    </row>
    <row r="76">
      <c r="A76" s="5">
        <v>75.0</v>
      </c>
      <c r="B76" s="5" t="s">
        <v>594</v>
      </c>
      <c r="C76" s="5" t="s">
        <v>20</v>
      </c>
      <c r="D76" s="5">
        <v>85.0</v>
      </c>
      <c r="E76" s="5">
        <v>30.0</v>
      </c>
      <c r="F76" s="5">
        <v>0.2</v>
      </c>
      <c r="H76" s="5" t="s">
        <v>332</v>
      </c>
      <c r="I76" s="7">
        <v>46111.8999537037</v>
      </c>
      <c r="K76" s="5">
        <v>60.0</v>
      </c>
      <c r="L76" s="5">
        <v>2700.0</v>
      </c>
      <c r="M76" s="5">
        <v>66000.0</v>
      </c>
      <c r="N76" s="9">
        <v>44217.0</v>
      </c>
      <c r="O76" s="5" t="s">
        <v>24</v>
      </c>
      <c r="P76" s="5" t="s">
        <v>25</v>
      </c>
      <c r="S76" s="5" t="s">
        <v>451</v>
      </c>
    </row>
    <row r="77">
      <c r="A77" s="5">
        <v>76.0</v>
      </c>
      <c r="B77" s="5" t="s">
        <v>595</v>
      </c>
      <c r="C77" s="5" t="s">
        <v>20</v>
      </c>
      <c r="D77" s="5">
        <v>65.0</v>
      </c>
      <c r="E77" s="5">
        <v>30.0</v>
      </c>
      <c r="F77" s="5">
        <v>0.7</v>
      </c>
      <c r="H77" s="5" t="s">
        <v>516</v>
      </c>
      <c r="I77" s="7">
        <v>46143.76708333333</v>
      </c>
      <c r="J77" s="5" t="s">
        <v>40</v>
      </c>
      <c r="K77" s="5">
        <v>80.0</v>
      </c>
      <c r="L77" s="5">
        <v>150.0</v>
      </c>
      <c r="M77" s="5">
        <v>350.0</v>
      </c>
      <c r="N77" s="9">
        <v>43509.0</v>
      </c>
      <c r="O77" s="5" t="s">
        <v>33</v>
      </c>
      <c r="P77" s="5" t="s">
        <v>25</v>
      </c>
      <c r="S77" s="5" t="s">
        <v>29</v>
      </c>
    </row>
    <row r="78">
      <c r="A78" s="5">
        <v>77.0</v>
      </c>
      <c r="B78" s="5" t="s">
        <v>596</v>
      </c>
      <c r="C78" s="5" t="s">
        <v>20</v>
      </c>
      <c r="D78" s="5">
        <v>86.0</v>
      </c>
      <c r="E78" s="5">
        <v>30.0</v>
      </c>
      <c r="H78" s="5" t="s">
        <v>19</v>
      </c>
      <c r="I78" s="7">
        <v>46156.33568287037</v>
      </c>
      <c r="J78" s="5" t="s">
        <v>374</v>
      </c>
      <c r="K78" s="5">
        <v>100.0</v>
      </c>
      <c r="L78" s="5">
        <v>1000.0</v>
      </c>
      <c r="M78" s="5">
        <v>1100.0</v>
      </c>
      <c r="N78" s="9">
        <v>43908.0</v>
      </c>
      <c r="O78" s="5" t="s">
        <v>24</v>
      </c>
      <c r="P78" s="5" t="s">
        <v>25</v>
      </c>
      <c r="S78" s="5" t="s">
        <v>36</v>
      </c>
    </row>
    <row r="79">
      <c r="A79" s="5">
        <v>78.0</v>
      </c>
      <c r="B79" s="5" t="s">
        <v>597</v>
      </c>
      <c r="C79" s="5" t="s">
        <v>20</v>
      </c>
      <c r="D79" s="5">
        <v>89.0</v>
      </c>
      <c r="E79" s="5">
        <v>30.0</v>
      </c>
      <c r="H79" s="5" t="s">
        <v>332</v>
      </c>
      <c r="I79" s="7">
        <v>46083.55755787037</v>
      </c>
      <c r="K79" s="5">
        <v>50.0</v>
      </c>
      <c r="L79" s="5">
        <v>3500.0</v>
      </c>
      <c r="M79" s="5">
        <v>3700.0</v>
      </c>
      <c r="N79" s="9">
        <v>42253.0</v>
      </c>
      <c r="O79" s="5" t="s">
        <v>41</v>
      </c>
      <c r="P79" s="5" t="s">
        <v>25</v>
      </c>
      <c r="S79" s="5" t="s">
        <v>36</v>
      </c>
    </row>
    <row r="80">
      <c r="A80" s="5">
        <v>79.0</v>
      </c>
      <c r="B80" s="5" t="s">
        <v>598</v>
      </c>
      <c r="C80" s="5" t="s">
        <v>20</v>
      </c>
      <c r="D80" s="5">
        <v>60.0</v>
      </c>
      <c r="E80" s="5">
        <v>30.0</v>
      </c>
      <c r="H80" s="5" t="s">
        <v>19</v>
      </c>
      <c r="I80" s="7">
        <v>46155.81842592593</v>
      </c>
      <c r="K80" s="5">
        <v>40.0</v>
      </c>
      <c r="L80" s="5">
        <v>1000.0</v>
      </c>
      <c r="M80" s="5">
        <v>1100.0</v>
      </c>
      <c r="N80" s="9">
        <v>44518.0</v>
      </c>
      <c r="O80" s="5" t="s">
        <v>33</v>
      </c>
      <c r="P80" s="5" t="s">
        <v>25</v>
      </c>
      <c r="S80" s="5" t="s">
        <v>29</v>
      </c>
    </row>
    <row r="81">
      <c r="A81" s="5">
        <v>80.0</v>
      </c>
      <c r="B81" s="5" t="s">
        <v>599</v>
      </c>
      <c r="C81" s="5" t="s">
        <v>20</v>
      </c>
      <c r="D81" s="5">
        <v>12.0</v>
      </c>
      <c r="E81" s="5">
        <v>30.0</v>
      </c>
      <c r="H81" s="5" t="s">
        <v>474</v>
      </c>
      <c r="I81" s="7">
        <v>46089.892280092594</v>
      </c>
      <c r="J81" s="5" t="s">
        <v>429</v>
      </c>
      <c r="K81" s="5">
        <v>30.0</v>
      </c>
      <c r="L81" s="5">
        <v>145000.0</v>
      </c>
      <c r="M81" s="5">
        <v>149000.0</v>
      </c>
      <c r="N81" s="9">
        <v>45022.0</v>
      </c>
      <c r="O81" s="5" t="s">
        <v>535</v>
      </c>
      <c r="P81" s="5" t="s">
        <v>25</v>
      </c>
      <c r="S81" s="5" t="s">
        <v>29</v>
      </c>
    </row>
    <row r="82">
      <c r="A82" s="5">
        <v>81.0</v>
      </c>
      <c r="B82" s="5" t="s">
        <v>600</v>
      </c>
      <c r="C82" s="5" t="s">
        <v>20</v>
      </c>
      <c r="D82" s="5">
        <v>75.0</v>
      </c>
      <c r="E82" s="5">
        <v>20.0</v>
      </c>
      <c r="H82" s="5" t="s">
        <v>21</v>
      </c>
      <c r="I82" s="7">
        <v>46124.595</v>
      </c>
      <c r="K82" s="5">
        <v>30.0</v>
      </c>
      <c r="L82" s="5">
        <v>1500.0</v>
      </c>
      <c r="M82" s="5">
        <v>57000.0</v>
      </c>
      <c r="N82" s="9">
        <v>44858.0</v>
      </c>
      <c r="O82" s="5" t="s">
        <v>24</v>
      </c>
      <c r="P82" s="5" t="s">
        <v>25</v>
      </c>
      <c r="S82" s="5" t="s">
        <v>36</v>
      </c>
    </row>
    <row r="83">
      <c r="A83" s="5">
        <v>82.0</v>
      </c>
      <c r="B83" s="5" t="s">
        <v>601</v>
      </c>
      <c r="C83" s="5" t="s">
        <v>20</v>
      </c>
      <c r="D83" s="5">
        <v>82.0</v>
      </c>
      <c r="E83" s="5">
        <v>20.0</v>
      </c>
      <c r="H83" s="5" t="s">
        <v>21</v>
      </c>
      <c r="I83" s="7">
        <v>46143.36033564815</v>
      </c>
      <c r="K83" s="5">
        <v>20.0</v>
      </c>
      <c r="L83" s="5">
        <v>1600.0</v>
      </c>
      <c r="M83" s="5">
        <v>2900.0</v>
      </c>
      <c r="N83" s="9">
        <v>42326.0</v>
      </c>
      <c r="O83" s="5" t="s">
        <v>24</v>
      </c>
      <c r="P83" s="5" t="s">
        <v>25</v>
      </c>
      <c r="S83" s="5" t="s">
        <v>36</v>
      </c>
    </row>
    <row r="84">
      <c r="A84" s="5">
        <v>83.0</v>
      </c>
      <c r="B84" s="5" t="s">
        <v>602</v>
      </c>
      <c r="C84" s="5" t="s">
        <v>20</v>
      </c>
      <c r="D84" s="5">
        <v>87.0</v>
      </c>
      <c r="E84" s="5">
        <v>20.0</v>
      </c>
      <c r="H84" s="5" t="s">
        <v>332</v>
      </c>
      <c r="I84" s="7">
        <v>46083.777662037035</v>
      </c>
      <c r="K84" s="5">
        <v>200.0</v>
      </c>
      <c r="L84" s="5">
        <v>3500.0</v>
      </c>
      <c r="M84" s="5">
        <v>3700.0</v>
      </c>
      <c r="N84" s="9">
        <v>44287.0</v>
      </c>
      <c r="O84" s="5" t="s">
        <v>41</v>
      </c>
      <c r="P84" s="5" t="s">
        <v>25</v>
      </c>
      <c r="S84" s="5" t="s">
        <v>36</v>
      </c>
    </row>
    <row r="85">
      <c r="A85" s="5">
        <v>84.0</v>
      </c>
      <c r="B85" s="5" t="s">
        <v>603</v>
      </c>
      <c r="C85" s="5" t="s">
        <v>20</v>
      </c>
      <c r="D85" s="5">
        <v>73.0</v>
      </c>
      <c r="E85" s="5">
        <v>20.0</v>
      </c>
      <c r="F85" s="5">
        <v>0.25</v>
      </c>
      <c r="H85" s="5" t="s">
        <v>19</v>
      </c>
      <c r="I85" s="7">
        <v>46160.83896990741</v>
      </c>
      <c r="K85" s="5">
        <v>20.0</v>
      </c>
      <c r="L85" s="5">
        <v>1000.0</v>
      </c>
      <c r="M85" s="5">
        <v>1100.0</v>
      </c>
      <c r="N85" s="9">
        <v>42536.0</v>
      </c>
      <c r="O85" s="5" t="s">
        <v>33</v>
      </c>
      <c r="P85" s="5" t="s">
        <v>25</v>
      </c>
      <c r="S85" s="5" t="s">
        <v>29</v>
      </c>
    </row>
    <row r="86">
      <c r="A86" s="5">
        <v>85.0</v>
      </c>
      <c r="B86" s="5" t="s">
        <v>604</v>
      </c>
      <c r="C86" s="5" t="s">
        <v>20</v>
      </c>
      <c r="D86" s="5">
        <v>86.0</v>
      </c>
      <c r="E86" s="5">
        <v>20.0</v>
      </c>
      <c r="F86" s="5">
        <v>0.2</v>
      </c>
      <c r="H86" s="5" t="s">
        <v>332</v>
      </c>
      <c r="I86" s="7">
        <v>46100.87322916667</v>
      </c>
      <c r="J86" s="5" t="s">
        <v>374</v>
      </c>
      <c r="K86" s="5">
        <v>900.0</v>
      </c>
      <c r="L86" s="5">
        <v>2800.0</v>
      </c>
      <c r="M86" s="5">
        <v>3100.0</v>
      </c>
      <c r="N86" s="9">
        <v>44054.0</v>
      </c>
      <c r="O86" s="5" t="s">
        <v>24</v>
      </c>
      <c r="P86" s="5" t="s">
        <v>25</v>
      </c>
      <c r="S86" s="5" t="s">
        <v>451</v>
      </c>
    </row>
    <row r="87">
      <c r="A87" s="5">
        <v>86.0</v>
      </c>
      <c r="B87" s="5" t="s">
        <v>605</v>
      </c>
      <c r="C87" s="5" t="s">
        <v>20</v>
      </c>
      <c r="D87" s="5">
        <v>63.0</v>
      </c>
      <c r="E87" s="5">
        <v>20.0</v>
      </c>
      <c r="H87" s="5" t="s">
        <v>332</v>
      </c>
      <c r="I87" s="7">
        <v>46082.531180555554</v>
      </c>
      <c r="J87" s="5" t="s">
        <v>40</v>
      </c>
      <c r="K87" s="5">
        <v>20.0</v>
      </c>
      <c r="L87" s="5">
        <v>3500.0</v>
      </c>
      <c r="M87" s="5">
        <v>3700.0</v>
      </c>
      <c r="N87" s="9">
        <v>44872.0</v>
      </c>
      <c r="O87" s="5" t="s">
        <v>33</v>
      </c>
      <c r="P87" s="5" t="s">
        <v>25</v>
      </c>
      <c r="S87" s="5" t="s">
        <v>36</v>
      </c>
    </row>
    <row r="88">
      <c r="A88" s="5">
        <v>87.0</v>
      </c>
      <c r="B88" s="5" t="s">
        <v>606</v>
      </c>
      <c r="C88" s="5" t="s">
        <v>20</v>
      </c>
      <c r="D88" s="5">
        <v>84.0</v>
      </c>
      <c r="E88" s="5">
        <v>20.0</v>
      </c>
      <c r="H88" s="5" t="s">
        <v>606</v>
      </c>
      <c r="I88" s="7">
        <v>46089.42878472222</v>
      </c>
      <c r="K88" s="5">
        <v>101000.0</v>
      </c>
      <c r="L88" s="5">
        <v>20.0</v>
      </c>
      <c r="M88" s="5">
        <v>194000.0</v>
      </c>
      <c r="N88" s="9">
        <v>42491.0</v>
      </c>
      <c r="O88" s="5" t="s">
        <v>41</v>
      </c>
      <c r="P88" s="5" t="s">
        <v>25</v>
      </c>
      <c r="S88" s="5" t="s">
        <v>36</v>
      </c>
    </row>
    <row r="89">
      <c r="A89" s="5">
        <v>88.0</v>
      </c>
      <c r="B89" s="5" t="s">
        <v>607</v>
      </c>
      <c r="C89" s="5" t="s">
        <v>20</v>
      </c>
      <c r="D89" s="5">
        <v>90.0</v>
      </c>
      <c r="E89" s="5">
        <v>20.0</v>
      </c>
      <c r="F89" s="5">
        <v>0.25</v>
      </c>
      <c r="H89" s="5" t="s">
        <v>21</v>
      </c>
      <c r="I89" s="7">
        <v>46082.246724537035</v>
      </c>
      <c r="J89" s="5" t="s">
        <v>351</v>
      </c>
      <c r="K89" s="5">
        <v>2900.0</v>
      </c>
      <c r="L89" s="5">
        <v>1900.0</v>
      </c>
      <c r="M89" s="5">
        <v>2100.0</v>
      </c>
      <c r="N89" s="9">
        <v>42347.0</v>
      </c>
      <c r="O89" s="5" t="s">
        <v>41</v>
      </c>
      <c r="P89" s="5" t="s">
        <v>25</v>
      </c>
      <c r="S89" s="5" t="s">
        <v>36</v>
      </c>
    </row>
    <row r="90">
      <c r="A90" s="5">
        <v>89.0</v>
      </c>
      <c r="B90" s="5" t="s">
        <v>608</v>
      </c>
      <c r="C90" s="5" t="s">
        <v>20</v>
      </c>
      <c r="D90" s="5">
        <v>71.0</v>
      </c>
      <c r="E90" s="5">
        <v>20.0</v>
      </c>
      <c r="H90" s="5" t="s">
        <v>21</v>
      </c>
      <c r="I90" s="7">
        <v>46142.56380787037</v>
      </c>
      <c r="J90" s="5" t="s">
        <v>40</v>
      </c>
      <c r="K90" s="5">
        <v>20.0</v>
      </c>
      <c r="L90" s="5">
        <v>2100.0</v>
      </c>
      <c r="M90" s="5">
        <v>3200.0</v>
      </c>
      <c r="N90" s="9">
        <v>44521.0</v>
      </c>
      <c r="O90" s="5" t="s">
        <v>33</v>
      </c>
      <c r="P90" s="5" t="s">
        <v>25</v>
      </c>
      <c r="S90" s="5" t="s">
        <v>538</v>
      </c>
    </row>
    <row r="91">
      <c r="A91" s="5">
        <v>90.0</v>
      </c>
      <c r="B91" s="5" t="s">
        <v>609</v>
      </c>
      <c r="C91" s="5" t="s">
        <v>20</v>
      </c>
      <c r="D91" s="5">
        <v>86.0</v>
      </c>
      <c r="E91" s="5">
        <v>20.0</v>
      </c>
      <c r="H91" s="5" t="s">
        <v>21</v>
      </c>
      <c r="I91" s="7">
        <v>46088.90267361111</v>
      </c>
      <c r="K91" s="5">
        <v>700.0</v>
      </c>
      <c r="L91" s="5">
        <v>600.0</v>
      </c>
      <c r="M91" s="5">
        <v>57000.0</v>
      </c>
      <c r="N91" s="9">
        <v>43906.0</v>
      </c>
      <c r="O91" s="5" t="s">
        <v>24</v>
      </c>
      <c r="P91" s="5" t="s">
        <v>25</v>
      </c>
      <c r="S91" s="5" t="s">
        <v>29</v>
      </c>
    </row>
    <row r="92">
      <c r="A92" s="5">
        <v>91.0</v>
      </c>
      <c r="B92" s="5" t="s">
        <v>610</v>
      </c>
      <c r="C92" s="5" t="s">
        <v>20</v>
      </c>
      <c r="D92" s="5">
        <v>88.0</v>
      </c>
      <c r="E92" s="5">
        <v>20.0</v>
      </c>
      <c r="H92" s="5" t="s">
        <v>21</v>
      </c>
      <c r="I92" s="7">
        <v>46089.06028935185</v>
      </c>
      <c r="K92" s="5">
        <v>350.0</v>
      </c>
      <c r="L92" s="5">
        <v>500.0</v>
      </c>
      <c r="M92" s="5">
        <v>500.0</v>
      </c>
      <c r="N92" s="9">
        <v>42335.0</v>
      </c>
      <c r="O92" s="5" t="s">
        <v>24</v>
      </c>
      <c r="P92" s="5" t="s">
        <v>25</v>
      </c>
      <c r="S92" s="5" t="s">
        <v>36</v>
      </c>
    </row>
    <row r="93">
      <c r="A93" s="5">
        <v>92.0</v>
      </c>
      <c r="B93" s="5" t="s">
        <v>611</v>
      </c>
      <c r="C93" s="5" t="s">
        <v>20</v>
      </c>
      <c r="D93" s="5">
        <v>80.0</v>
      </c>
      <c r="E93" s="5">
        <v>20.0</v>
      </c>
      <c r="H93" s="5" t="s">
        <v>612</v>
      </c>
      <c r="I93" s="7">
        <v>46146.34075231481</v>
      </c>
      <c r="J93" s="5" t="s">
        <v>613</v>
      </c>
      <c r="K93" s="5">
        <v>597000.0</v>
      </c>
      <c r="L93" s="5">
        <v>30.0</v>
      </c>
      <c r="M93" s="5">
        <v>47000.0</v>
      </c>
      <c r="N93" s="9">
        <v>42787.0</v>
      </c>
      <c r="O93" s="5" t="s">
        <v>24</v>
      </c>
      <c r="P93" s="5" t="s">
        <v>25</v>
      </c>
      <c r="S93" s="5" t="s">
        <v>29</v>
      </c>
    </row>
    <row r="94">
      <c r="A94" s="5">
        <v>93.0</v>
      </c>
      <c r="B94" s="5" t="s">
        <v>614</v>
      </c>
      <c r="C94" s="5" t="s">
        <v>20</v>
      </c>
      <c r="D94" s="5">
        <v>89.0</v>
      </c>
      <c r="E94" s="5">
        <v>20.0</v>
      </c>
      <c r="H94" s="5" t="s">
        <v>615</v>
      </c>
      <c r="I94" s="7">
        <v>46083.18681712963</v>
      </c>
      <c r="J94" s="5" t="s">
        <v>40</v>
      </c>
      <c r="K94" s="5">
        <v>28000.0</v>
      </c>
      <c r="L94" s="5">
        <v>20.0</v>
      </c>
      <c r="M94" s="5">
        <v>48000.0</v>
      </c>
      <c r="N94" s="9">
        <v>42313.0</v>
      </c>
      <c r="O94" s="5" t="s">
        <v>24</v>
      </c>
      <c r="P94" s="5" t="s">
        <v>25</v>
      </c>
      <c r="S94" s="5" t="s">
        <v>36</v>
      </c>
    </row>
    <row r="95">
      <c r="A95" s="5">
        <v>94.0</v>
      </c>
      <c r="B95" s="5" t="s">
        <v>616</v>
      </c>
      <c r="C95" s="5" t="s">
        <v>20</v>
      </c>
      <c r="D95" s="5">
        <v>66.0</v>
      </c>
      <c r="E95" s="5">
        <v>20.0</v>
      </c>
      <c r="H95" s="5" t="s">
        <v>617</v>
      </c>
      <c r="I95" s="7">
        <v>46083.55385416667</v>
      </c>
      <c r="J95" s="5" t="s">
        <v>429</v>
      </c>
      <c r="K95" s="5">
        <v>30.0</v>
      </c>
      <c r="L95" s="5">
        <v>10.0</v>
      </c>
      <c r="M95" s="5">
        <v>10.0</v>
      </c>
      <c r="N95" s="9">
        <v>44109.0</v>
      </c>
      <c r="O95" s="5" t="s">
        <v>33</v>
      </c>
      <c r="P95" s="5" t="s">
        <v>25</v>
      </c>
      <c r="S95" s="5" t="s">
        <v>36</v>
      </c>
    </row>
    <row r="96">
      <c r="A96" s="5">
        <v>95.0</v>
      </c>
      <c r="B96" s="5" t="s">
        <v>618</v>
      </c>
      <c r="C96" s="5" t="s">
        <v>20</v>
      </c>
      <c r="D96" s="5">
        <v>61.0</v>
      </c>
      <c r="E96" s="5">
        <v>20.0</v>
      </c>
      <c r="F96" s="5">
        <v>1.4</v>
      </c>
      <c r="H96" s="5" t="s">
        <v>21</v>
      </c>
      <c r="I96" s="7">
        <v>46147.71747685185</v>
      </c>
      <c r="J96" s="5" t="s">
        <v>547</v>
      </c>
      <c r="K96" s="5">
        <v>20.0</v>
      </c>
      <c r="L96" s="5">
        <v>2100.0</v>
      </c>
      <c r="M96" s="5">
        <v>2700.0</v>
      </c>
      <c r="N96" s="9">
        <v>42261.0</v>
      </c>
      <c r="O96" s="5" t="s">
        <v>619</v>
      </c>
      <c r="P96" s="5" t="s">
        <v>25</v>
      </c>
      <c r="S96" s="5" t="s">
        <v>620</v>
      </c>
    </row>
    <row r="97">
      <c r="A97" s="5">
        <v>96.0</v>
      </c>
      <c r="B97" s="5" t="s">
        <v>621</v>
      </c>
      <c r="C97" s="5" t="s">
        <v>20</v>
      </c>
      <c r="D97" s="5">
        <v>85.0</v>
      </c>
      <c r="E97" s="5">
        <v>20.0</v>
      </c>
      <c r="F97" s="5">
        <v>0.25</v>
      </c>
      <c r="H97" s="5" t="s">
        <v>21</v>
      </c>
      <c r="I97" s="7">
        <v>46127.30180555556</v>
      </c>
      <c r="J97" s="5" t="s">
        <v>622</v>
      </c>
      <c r="K97" s="5">
        <v>5000.0</v>
      </c>
      <c r="L97" s="5">
        <v>2000.0</v>
      </c>
      <c r="M97" s="5">
        <v>17000.0</v>
      </c>
      <c r="N97" s="9">
        <v>43867.0</v>
      </c>
      <c r="O97" s="5" t="s">
        <v>24</v>
      </c>
      <c r="P97" s="5" t="s">
        <v>25</v>
      </c>
      <c r="S97" s="5" t="s">
        <v>29</v>
      </c>
    </row>
    <row r="98">
      <c r="A98" s="5">
        <v>97.0</v>
      </c>
      <c r="B98" s="5" t="s">
        <v>623</v>
      </c>
      <c r="C98" s="5" t="s">
        <v>20</v>
      </c>
      <c r="D98" s="5">
        <v>85.0</v>
      </c>
      <c r="E98" s="5">
        <v>10.0</v>
      </c>
      <c r="H98" s="5" t="s">
        <v>332</v>
      </c>
      <c r="I98" s="7">
        <v>46155.122407407405</v>
      </c>
      <c r="J98" s="5" t="s">
        <v>23</v>
      </c>
      <c r="K98" s="5">
        <v>10.0</v>
      </c>
      <c r="L98" s="5">
        <v>3100.0</v>
      </c>
      <c r="M98" s="5">
        <v>3500.0</v>
      </c>
      <c r="N98" s="9">
        <v>43180.0</v>
      </c>
      <c r="O98" s="5" t="s">
        <v>24</v>
      </c>
      <c r="P98" s="5" t="s">
        <v>25</v>
      </c>
      <c r="S98" s="5" t="s">
        <v>29</v>
      </c>
    </row>
    <row r="99">
      <c r="A99" s="5">
        <v>98.0</v>
      </c>
      <c r="B99" s="5" t="s">
        <v>624</v>
      </c>
      <c r="C99" s="5" t="s">
        <v>20</v>
      </c>
      <c r="D99" s="5">
        <v>81.0</v>
      </c>
      <c r="E99" s="5">
        <v>10.0</v>
      </c>
      <c r="H99" s="5" t="s">
        <v>606</v>
      </c>
      <c r="I99" s="7">
        <v>46142.73431712963</v>
      </c>
      <c r="J99" s="5" t="s">
        <v>374</v>
      </c>
      <c r="K99" s="5">
        <v>23000.0</v>
      </c>
      <c r="L99" s="5">
        <v>20.0</v>
      </c>
      <c r="M99" s="5">
        <v>198000.0</v>
      </c>
      <c r="N99" s="9">
        <v>42737.0</v>
      </c>
      <c r="O99" s="5" t="s">
        <v>540</v>
      </c>
      <c r="P99" s="5" t="s">
        <v>25</v>
      </c>
      <c r="S99" s="5" t="s">
        <v>543</v>
      </c>
    </row>
    <row r="100">
      <c r="A100" s="5">
        <v>99.0</v>
      </c>
      <c r="B100" s="5" t="s">
        <v>61</v>
      </c>
      <c r="C100" s="5" t="s">
        <v>20</v>
      </c>
      <c r="D100" s="5">
        <v>73.0</v>
      </c>
      <c r="E100" s="5">
        <v>10.0</v>
      </c>
      <c r="H100" s="5" t="s">
        <v>19</v>
      </c>
      <c r="I100" s="7">
        <v>46162.07824074074</v>
      </c>
      <c r="J100" s="5" t="s">
        <v>40</v>
      </c>
      <c r="K100" s="5">
        <v>10.0</v>
      </c>
      <c r="L100" s="5">
        <v>1100.0</v>
      </c>
      <c r="M100" s="5">
        <v>1200.0</v>
      </c>
      <c r="N100" s="9">
        <v>44099.0</v>
      </c>
      <c r="O100" s="5" t="s">
        <v>33</v>
      </c>
      <c r="P100" s="5" t="s">
        <v>25</v>
      </c>
      <c r="S100" s="5" t="s">
        <v>36</v>
      </c>
    </row>
    <row r="101">
      <c r="A101" s="5">
        <v>100.0</v>
      </c>
      <c r="B101" s="5" t="s">
        <v>625</v>
      </c>
      <c r="C101" s="5" t="s">
        <v>20</v>
      </c>
      <c r="D101" s="5">
        <v>86.0</v>
      </c>
      <c r="E101" s="5">
        <v>10.0</v>
      </c>
      <c r="H101" s="5" t="s">
        <v>21</v>
      </c>
      <c r="I101" s="7">
        <v>46123.63851851852</v>
      </c>
      <c r="K101" s="5">
        <v>200.0</v>
      </c>
      <c r="L101" s="5">
        <v>1700.0</v>
      </c>
      <c r="M101" s="5">
        <v>2300.0</v>
      </c>
      <c r="N101" s="9">
        <v>43840.0</v>
      </c>
      <c r="O101" s="5" t="s">
        <v>33</v>
      </c>
      <c r="P101" s="5" t="s">
        <v>25</v>
      </c>
      <c r="S101" s="5" t="s">
        <v>29</v>
      </c>
    </row>
    <row r="102">
      <c r="A102" s="5">
        <v>101.0</v>
      </c>
      <c r="B102" s="5" t="s">
        <v>626</v>
      </c>
      <c r="C102" s="5" t="s">
        <v>20</v>
      </c>
      <c r="D102" s="5">
        <v>81.0</v>
      </c>
      <c r="E102" s="5">
        <v>10.0</v>
      </c>
      <c r="H102" s="5" t="s">
        <v>332</v>
      </c>
      <c r="I102" s="7">
        <v>46088.503703703704</v>
      </c>
      <c r="J102" s="5" t="s">
        <v>374</v>
      </c>
      <c r="K102" s="5">
        <v>20.0</v>
      </c>
      <c r="L102" s="5">
        <v>3400.0</v>
      </c>
      <c r="M102" s="5">
        <v>3800.0</v>
      </c>
      <c r="N102" s="9">
        <v>43840.0</v>
      </c>
      <c r="O102" s="5" t="s">
        <v>33</v>
      </c>
      <c r="P102" s="5" t="s">
        <v>25</v>
      </c>
      <c r="S102" s="5" t="s">
        <v>36</v>
      </c>
    </row>
    <row r="103">
      <c r="A103" s="5">
        <v>102.0</v>
      </c>
      <c r="B103" s="5" t="s">
        <v>627</v>
      </c>
      <c r="C103" s="5" t="s">
        <v>20</v>
      </c>
      <c r="D103" s="5">
        <v>86.0</v>
      </c>
      <c r="E103" s="5">
        <v>10.0</v>
      </c>
      <c r="F103" s="5">
        <v>0.2</v>
      </c>
      <c r="H103" s="5" t="s">
        <v>21</v>
      </c>
      <c r="I103" s="7">
        <v>46124.389710648145</v>
      </c>
      <c r="J103" s="5" t="s">
        <v>374</v>
      </c>
      <c r="K103" s="5">
        <v>200.0</v>
      </c>
      <c r="L103" s="5">
        <v>1800.0</v>
      </c>
      <c r="M103" s="5">
        <v>2300.0</v>
      </c>
      <c r="N103" s="9">
        <v>43914.0</v>
      </c>
      <c r="O103" s="5" t="s">
        <v>24</v>
      </c>
      <c r="P103" s="5" t="s">
        <v>25</v>
      </c>
      <c r="S103" s="5" t="s">
        <v>29</v>
      </c>
    </row>
    <row r="104">
      <c r="A104" s="5">
        <v>103.0</v>
      </c>
      <c r="B104" s="5" t="s">
        <v>628</v>
      </c>
      <c r="C104" s="5" t="s">
        <v>20</v>
      </c>
      <c r="D104" s="5">
        <v>89.0</v>
      </c>
      <c r="E104" s="5">
        <v>10.0</v>
      </c>
      <c r="H104" s="5" t="s">
        <v>21</v>
      </c>
      <c r="I104" s="7">
        <v>46149.38681712963</v>
      </c>
      <c r="J104" s="5" t="s">
        <v>622</v>
      </c>
      <c r="K104" s="5">
        <v>3000.0</v>
      </c>
      <c r="L104" s="5">
        <v>2100.0</v>
      </c>
      <c r="M104" s="5">
        <v>2700.0</v>
      </c>
      <c r="N104" s="9">
        <v>43892.0</v>
      </c>
      <c r="O104" s="5" t="s">
        <v>41</v>
      </c>
      <c r="P104" s="5" t="s">
        <v>25</v>
      </c>
      <c r="S104" s="5" t="s">
        <v>36</v>
      </c>
    </row>
    <row r="105">
      <c r="A105" s="5">
        <v>104.0</v>
      </c>
      <c r="B105" s="5" t="s">
        <v>629</v>
      </c>
      <c r="C105" s="5" t="s">
        <v>20</v>
      </c>
      <c r="D105" s="5">
        <v>85.0</v>
      </c>
      <c r="E105" s="5">
        <v>10.0</v>
      </c>
      <c r="H105" s="5" t="s">
        <v>21</v>
      </c>
      <c r="I105" s="7">
        <v>46098.43613425926</v>
      </c>
      <c r="K105" s="5">
        <v>400.0</v>
      </c>
      <c r="L105" s="5">
        <v>600.0</v>
      </c>
      <c r="M105" s="5">
        <v>56000.0</v>
      </c>
      <c r="N105" s="9">
        <v>42272.0</v>
      </c>
      <c r="O105" s="5" t="s">
        <v>41</v>
      </c>
      <c r="P105" s="5" t="s">
        <v>25</v>
      </c>
      <c r="S105" s="5" t="s">
        <v>36</v>
      </c>
    </row>
    <row r="106">
      <c r="A106" s="5">
        <v>105.0</v>
      </c>
      <c r="B106" s="5" t="s">
        <v>630</v>
      </c>
      <c r="C106" s="5" t="s">
        <v>20</v>
      </c>
      <c r="D106" s="5">
        <v>73.0</v>
      </c>
      <c r="E106" s="5">
        <v>10.0</v>
      </c>
      <c r="H106" s="5" t="s">
        <v>21</v>
      </c>
      <c r="I106" s="7">
        <v>46126.542037037034</v>
      </c>
      <c r="J106" s="5" t="s">
        <v>429</v>
      </c>
      <c r="K106" s="5">
        <v>20.0</v>
      </c>
      <c r="L106" s="5">
        <v>1900.0</v>
      </c>
      <c r="M106" s="5">
        <v>17000.0</v>
      </c>
      <c r="N106" s="9">
        <v>44351.0</v>
      </c>
      <c r="O106" s="5" t="s">
        <v>24</v>
      </c>
      <c r="P106" s="5" t="s">
        <v>25</v>
      </c>
      <c r="S106" s="5" t="s">
        <v>29</v>
      </c>
    </row>
    <row r="107">
      <c r="A107" s="5">
        <v>106.0</v>
      </c>
      <c r="B107" s="5" t="s">
        <v>631</v>
      </c>
      <c r="C107" s="5" t="s">
        <v>20</v>
      </c>
      <c r="D107" s="5">
        <v>89.0</v>
      </c>
      <c r="E107" s="5">
        <v>10.0</v>
      </c>
      <c r="H107" s="5" t="s">
        <v>21</v>
      </c>
      <c r="I107" s="7">
        <v>46082.13018518518</v>
      </c>
      <c r="K107" s="5">
        <v>500.0</v>
      </c>
      <c r="L107" s="5">
        <v>1900.0</v>
      </c>
      <c r="M107" s="5">
        <v>2100.0</v>
      </c>
      <c r="N107" s="9">
        <v>43864.0</v>
      </c>
      <c r="O107" s="5" t="s">
        <v>24</v>
      </c>
      <c r="P107" s="5" t="s">
        <v>25</v>
      </c>
      <c r="S107" s="5" t="s">
        <v>36</v>
      </c>
    </row>
    <row r="108">
      <c r="A108" s="5">
        <v>107.0</v>
      </c>
      <c r="B108" s="5" t="s">
        <v>632</v>
      </c>
      <c r="C108" s="5" t="s">
        <v>20</v>
      </c>
      <c r="D108" s="5">
        <v>87.0</v>
      </c>
      <c r="E108" s="5">
        <v>10.0</v>
      </c>
      <c r="H108" s="5" t="s">
        <v>21</v>
      </c>
      <c r="I108" s="7">
        <v>46148.67773148148</v>
      </c>
      <c r="K108" s="5">
        <v>1100.0</v>
      </c>
      <c r="L108" s="5">
        <v>1600.0</v>
      </c>
      <c r="M108" s="5">
        <v>1900.0</v>
      </c>
      <c r="N108" s="9">
        <v>42806.0</v>
      </c>
      <c r="O108" s="5" t="s">
        <v>41</v>
      </c>
      <c r="P108" s="5" t="s">
        <v>25</v>
      </c>
      <c r="S108" s="5" t="s">
        <v>29</v>
      </c>
    </row>
    <row r="109">
      <c r="A109" s="5">
        <v>108.0</v>
      </c>
      <c r="B109" s="5" t="s">
        <v>633</v>
      </c>
      <c r="C109" s="5" t="s">
        <v>20</v>
      </c>
      <c r="D109" s="5">
        <v>87.0</v>
      </c>
      <c r="E109" s="5">
        <v>10.0</v>
      </c>
      <c r="H109" s="5" t="s">
        <v>21</v>
      </c>
      <c r="I109" s="7">
        <v>46125.241574074076</v>
      </c>
      <c r="J109" s="5" t="s">
        <v>374</v>
      </c>
      <c r="K109" s="5">
        <v>1900.0</v>
      </c>
      <c r="L109" s="5">
        <v>1900.0</v>
      </c>
      <c r="M109" s="5">
        <v>2400.0</v>
      </c>
      <c r="N109" s="9">
        <v>44012.0</v>
      </c>
      <c r="O109" s="5" t="s">
        <v>24</v>
      </c>
      <c r="P109" s="5" t="s">
        <v>25</v>
      </c>
      <c r="S109" s="5" t="s">
        <v>36</v>
      </c>
    </row>
    <row r="110">
      <c r="A110" s="5">
        <v>109.0</v>
      </c>
      <c r="B110" s="5" t="s">
        <v>634</v>
      </c>
      <c r="C110" s="5" t="s">
        <v>20</v>
      </c>
      <c r="D110" s="5">
        <v>87.0</v>
      </c>
      <c r="H110" s="5" t="s">
        <v>332</v>
      </c>
      <c r="I110" s="7">
        <v>46152.66574074074</v>
      </c>
      <c r="J110" s="5" t="s">
        <v>40</v>
      </c>
      <c r="L110" s="5">
        <v>3100.0</v>
      </c>
      <c r="M110" s="5">
        <v>3500.0</v>
      </c>
      <c r="N110" s="9">
        <v>43840.0</v>
      </c>
      <c r="O110" s="5" t="s">
        <v>24</v>
      </c>
      <c r="P110" s="5" t="s">
        <v>25</v>
      </c>
      <c r="S110" s="5" t="s">
        <v>36</v>
      </c>
    </row>
    <row r="111">
      <c r="A111" s="5">
        <v>110.0</v>
      </c>
      <c r="B111" s="5" t="s">
        <v>635</v>
      </c>
      <c r="C111" s="5" t="s">
        <v>20</v>
      </c>
      <c r="D111" s="5">
        <v>86.0</v>
      </c>
      <c r="H111" s="5" t="s">
        <v>544</v>
      </c>
      <c r="I111" s="7">
        <v>46156.35642361111</v>
      </c>
      <c r="K111" s="5">
        <v>3500.0</v>
      </c>
      <c r="L111" s="5">
        <v>10.0</v>
      </c>
      <c r="M111" s="5">
        <v>44000.0</v>
      </c>
      <c r="N111" s="9">
        <v>43857.0</v>
      </c>
      <c r="O111" s="5" t="s">
        <v>24</v>
      </c>
      <c r="P111" s="5" t="s">
        <v>25</v>
      </c>
      <c r="S111" s="5" t="s">
        <v>36</v>
      </c>
    </row>
    <row r="112">
      <c r="A112" s="5">
        <v>111.0</v>
      </c>
      <c r="B112" s="5" t="s">
        <v>636</v>
      </c>
      <c r="C112" s="5" t="s">
        <v>20</v>
      </c>
      <c r="D112" s="5">
        <v>87.0</v>
      </c>
      <c r="H112" s="5" t="s">
        <v>21</v>
      </c>
      <c r="I112" s="7">
        <v>46149.001863425925</v>
      </c>
      <c r="K112" s="5">
        <v>600.0</v>
      </c>
      <c r="L112" s="5">
        <v>2100.0</v>
      </c>
      <c r="M112" s="5">
        <v>2700.0</v>
      </c>
      <c r="N112" s="9">
        <v>43896.0</v>
      </c>
      <c r="O112" s="5" t="s">
        <v>24</v>
      </c>
      <c r="P112" s="5" t="s">
        <v>25</v>
      </c>
      <c r="S112" s="5" t="s">
        <v>538</v>
      </c>
    </row>
    <row r="113">
      <c r="A113" s="5">
        <v>112.0</v>
      </c>
      <c r="B113" s="5" t="s">
        <v>637</v>
      </c>
      <c r="C113" s="5" t="s">
        <v>20</v>
      </c>
      <c r="D113" s="5">
        <v>31.0</v>
      </c>
      <c r="H113" s="5" t="s">
        <v>638</v>
      </c>
      <c r="I113" s="7">
        <v>46077.42224537037</v>
      </c>
      <c r="J113" s="5" t="s">
        <v>547</v>
      </c>
      <c r="L113" s="5">
        <v>13000.0</v>
      </c>
      <c r="M113" s="5">
        <v>18000.0</v>
      </c>
      <c r="N113" s="9">
        <v>44005.0</v>
      </c>
      <c r="O113" s="5" t="s">
        <v>33</v>
      </c>
      <c r="P113" s="5" t="s">
        <v>25</v>
      </c>
      <c r="S113" s="5" t="s">
        <v>29</v>
      </c>
    </row>
    <row r="114">
      <c r="A114" s="5">
        <v>113.0</v>
      </c>
      <c r="B114" s="10" t="s">
        <v>639</v>
      </c>
      <c r="C114" s="5" t="s">
        <v>20</v>
      </c>
      <c r="D114" s="5">
        <v>43.0</v>
      </c>
      <c r="H114" s="5" t="s">
        <v>447</v>
      </c>
      <c r="I114" s="7">
        <v>46125.223761574074</v>
      </c>
      <c r="J114" s="5" t="s">
        <v>374</v>
      </c>
      <c r="L114" s="5">
        <v>20000.0</v>
      </c>
      <c r="M114" s="5">
        <v>22000.0</v>
      </c>
      <c r="N114" s="9">
        <v>45191.0</v>
      </c>
      <c r="O114" s="5" t="s">
        <v>535</v>
      </c>
      <c r="S114" s="5" t="s">
        <v>543</v>
      </c>
    </row>
    <row r="115">
      <c r="A115" s="5">
        <v>114.0</v>
      </c>
      <c r="B115" s="5" t="s">
        <v>640</v>
      </c>
      <c r="C115" s="5" t="s">
        <v>20</v>
      </c>
      <c r="D115" s="5">
        <v>73.0</v>
      </c>
      <c r="H115" s="5" t="s">
        <v>332</v>
      </c>
      <c r="I115" s="7">
        <v>46076.080462962964</v>
      </c>
      <c r="L115" s="5">
        <v>3500.0</v>
      </c>
      <c r="M115" s="5">
        <v>3700.0</v>
      </c>
      <c r="N115" s="9">
        <v>45058.0</v>
      </c>
      <c r="O115" s="5" t="s">
        <v>24</v>
      </c>
      <c r="S115" s="5" t="s">
        <v>29</v>
      </c>
    </row>
    <row r="116">
      <c r="A116" s="5">
        <v>115.0</v>
      </c>
      <c r="B116" s="5" t="s">
        <v>134</v>
      </c>
      <c r="C116" s="5" t="s">
        <v>20</v>
      </c>
      <c r="D116" s="5">
        <v>78.0</v>
      </c>
      <c r="H116" s="5" t="s">
        <v>21</v>
      </c>
      <c r="I116" s="7">
        <v>46146.6003125</v>
      </c>
      <c r="L116" s="5">
        <v>1600.0</v>
      </c>
      <c r="M116" s="5">
        <v>2100.0</v>
      </c>
      <c r="N116" s="9">
        <v>42896.0</v>
      </c>
      <c r="O116" s="5" t="s">
        <v>33</v>
      </c>
      <c r="P116" s="5" t="s">
        <v>25</v>
      </c>
      <c r="S116" s="5" t="s">
        <v>29</v>
      </c>
    </row>
    <row r="117">
      <c r="A117" s="5">
        <v>116.0</v>
      </c>
      <c r="B117" s="5" t="s">
        <v>641</v>
      </c>
      <c r="C117" s="5" t="s">
        <v>20</v>
      </c>
      <c r="D117" s="5">
        <v>78.0</v>
      </c>
      <c r="H117" s="5" t="s">
        <v>21</v>
      </c>
      <c r="I117" s="7">
        <v>46122.509780092594</v>
      </c>
      <c r="J117" s="5" t="s">
        <v>642</v>
      </c>
      <c r="L117" s="5">
        <v>1700.0</v>
      </c>
      <c r="M117" s="5">
        <v>2300.0</v>
      </c>
      <c r="N117" s="9">
        <v>42419.0</v>
      </c>
      <c r="O117" s="5" t="s">
        <v>24</v>
      </c>
      <c r="P117" s="5" t="s">
        <v>25</v>
      </c>
      <c r="S117" s="5" t="s">
        <v>36</v>
      </c>
    </row>
    <row r="118">
      <c r="A118" s="5">
        <v>117.0</v>
      </c>
      <c r="B118" s="5" t="s">
        <v>643</v>
      </c>
      <c r="C118" s="5" t="s">
        <v>20</v>
      </c>
      <c r="D118" s="5">
        <v>62.0</v>
      </c>
      <c r="H118" s="5" t="s">
        <v>21</v>
      </c>
      <c r="I118" s="7">
        <v>46123.04677083333</v>
      </c>
      <c r="L118" s="5">
        <v>1700.0</v>
      </c>
      <c r="M118" s="5">
        <v>2300.0</v>
      </c>
      <c r="N118" s="9">
        <v>42264.0</v>
      </c>
      <c r="O118" s="5" t="s">
        <v>540</v>
      </c>
      <c r="P118" s="5" t="s">
        <v>25</v>
      </c>
      <c r="S118" s="5" t="s">
        <v>36</v>
      </c>
    </row>
    <row r="119">
      <c r="A119" s="5">
        <v>118.0</v>
      </c>
      <c r="B119" s="5" t="s">
        <v>644</v>
      </c>
      <c r="C119" s="5" t="s">
        <v>20</v>
      </c>
      <c r="D119" s="5">
        <v>79.0</v>
      </c>
      <c r="H119" s="5" t="s">
        <v>19</v>
      </c>
      <c r="I119" s="7">
        <v>46162.00922453704</v>
      </c>
      <c r="J119" s="5" t="s">
        <v>429</v>
      </c>
      <c r="L119" s="5">
        <v>1100.0</v>
      </c>
      <c r="M119" s="5">
        <v>1200.0</v>
      </c>
      <c r="N119" s="9">
        <v>43060.0</v>
      </c>
      <c r="O119" s="5" t="s">
        <v>24</v>
      </c>
      <c r="P119" s="5" t="s">
        <v>25</v>
      </c>
      <c r="S119" s="5" t="s">
        <v>36</v>
      </c>
    </row>
    <row r="120">
      <c r="A120" s="5">
        <v>119.0</v>
      </c>
      <c r="B120" s="5" t="s">
        <v>645</v>
      </c>
      <c r="C120" s="5" t="s">
        <v>20</v>
      </c>
      <c r="D120" s="5">
        <v>67.0</v>
      </c>
      <c r="H120" s="5" t="s">
        <v>516</v>
      </c>
      <c r="I120" s="7">
        <v>46152.294756944444</v>
      </c>
      <c r="K120" s="5">
        <v>30.0</v>
      </c>
      <c r="L120" s="5">
        <v>150.0</v>
      </c>
      <c r="M120" s="5">
        <v>350.0</v>
      </c>
      <c r="N120" s="9">
        <v>44075.0</v>
      </c>
      <c r="O120" s="5" t="s">
        <v>619</v>
      </c>
      <c r="P120" s="5" t="s">
        <v>25</v>
      </c>
      <c r="S120" s="5" t="s">
        <v>543</v>
      </c>
    </row>
    <row r="121">
      <c r="A121" s="5">
        <v>120.0</v>
      </c>
      <c r="B121" s="5" t="s">
        <v>646</v>
      </c>
      <c r="C121" s="5" t="s">
        <v>20</v>
      </c>
      <c r="D121" s="5">
        <v>69.0</v>
      </c>
      <c r="H121" s="5" t="s">
        <v>532</v>
      </c>
      <c r="I121" s="7">
        <v>46144.65122685185</v>
      </c>
      <c r="J121" s="5" t="s">
        <v>429</v>
      </c>
      <c r="L121" s="5">
        <v>100.0</v>
      </c>
      <c r="M121" s="5">
        <v>1100.0</v>
      </c>
      <c r="N121" s="9">
        <v>45292.0</v>
      </c>
      <c r="O121" s="5" t="s">
        <v>647</v>
      </c>
      <c r="P121" s="5" t="s">
        <v>25</v>
      </c>
      <c r="S121" s="5" t="s">
        <v>538</v>
      </c>
    </row>
    <row r="122">
      <c r="A122" s="5">
        <v>121.0</v>
      </c>
      <c r="B122" s="5" t="s">
        <v>648</v>
      </c>
      <c r="C122" s="5" t="s">
        <v>20</v>
      </c>
      <c r="D122" s="5">
        <v>73.0</v>
      </c>
      <c r="F122" s="5">
        <v>0.1</v>
      </c>
      <c r="H122" s="5" t="s">
        <v>21</v>
      </c>
      <c r="I122" s="7">
        <v>46142.259351851855</v>
      </c>
      <c r="L122" s="5">
        <v>1600.0</v>
      </c>
      <c r="M122" s="5">
        <v>2900.0</v>
      </c>
      <c r="N122" s="9">
        <v>42327.0</v>
      </c>
      <c r="O122" s="5" t="s">
        <v>33</v>
      </c>
      <c r="S122" s="5" t="s">
        <v>538</v>
      </c>
    </row>
    <row r="123">
      <c r="A123" s="5">
        <v>122.0</v>
      </c>
      <c r="B123" s="5" t="s">
        <v>649</v>
      </c>
      <c r="C123" s="5" t="s">
        <v>20</v>
      </c>
      <c r="D123" s="5">
        <v>86.0</v>
      </c>
      <c r="H123" s="5" t="s">
        <v>21</v>
      </c>
      <c r="I123" s="7">
        <v>46149.28826388889</v>
      </c>
      <c r="J123" s="5" t="s">
        <v>374</v>
      </c>
      <c r="K123" s="5">
        <v>600.0</v>
      </c>
      <c r="L123" s="5">
        <v>2100.0</v>
      </c>
      <c r="M123" s="5">
        <v>2700.0</v>
      </c>
      <c r="N123" s="9">
        <v>43922.0</v>
      </c>
      <c r="O123" s="5" t="s">
        <v>41</v>
      </c>
      <c r="P123" s="5" t="s">
        <v>25</v>
      </c>
      <c r="S123" s="5" t="s">
        <v>36</v>
      </c>
    </row>
    <row r="124">
      <c r="A124" s="5">
        <v>123.0</v>
      </c>
      <c r="B124" s="5" t="s">
        <v>650</v>
      </c>
      <c r="C124" s="5" t="s">
        <v>20</v>
      </c>
      <c r="D124" s="5">
        <v>42.0</v>
      </c>
      <c r="H124" s="5" t="s">
        <v>21</v>
      </c>
      <c r="I124" s="7">
        <v>46149.00237268519</v>
      </c>
      <c r="J124" s="5" t="s">
        <v>651</v>
      </c>
      <c r="K124" s="5">
        <v>10.0</v>
      </c>
      <c r="L124" s="5">
        <v>1600.0</v>
      </c>
      <c r="M124" s="5">
        <v>1900.0</v>
      </c>
      <c r="N124" s="9">
        <v>43840.0</v>
      </c>
      <c r="O124" s="5" t="s">
        <v>24</v>
      </c>
      <c r="P124" s="5" t="s">
        <v>25</v>
      </c>
      <c r="S124" s="5" t="s">
        <v>652</v>
      </c>
    </row>
    <row r="125">
      <c r="A125" s="5">
        <v>124.0</v>
      </c>
      <c r="B125" s="5" t="s">
        <v>653</v>
      </c>
      <c r="C125" s="5" t="s">
        <v>20</v>
      </c>
      <c r="D125" s="5">
        <v>54.0</v>
      </c>
      <c r="H125" s="5" t="s">
        <v>21</v>
      </c>
      <c r="I125" s="7">
        <v>46142.252800925926</v>
      </c>
      <c r="J125" s="5" t="s">
        <v>40</v>
      </c>
      <c r="L125" s="5">
        <v>1600.0</v>
      </c>
      <c r="M125" s="5">
        <v>2900.0</v>
      </c>
      <c r="N125" s="9">
        <v>43841.0</v>
      </c>
      <c r="O125" s="5" t="s">
        <v>33</v>
      </c>
      <c r="P125" s="5" t="s">
        <v>25</v>
      </c>
      <c r="S125" s="5" t="s">
        <v>538</v>
      </c>
    </row>
    <row r="126">
      <c r="A126" s="5">
        <v>125.0</v>
      </c>
      <c r="B126" s="5" t="s">
        <v>654</v>
      </c>
      <c r="C126" s="5" t="s">
        <v>20</v>
      </c>
      <c r="D126" s="5">
        <v>83.0</v>
      </c>
      <c r="H126" s="5" t="s">
        <v>332</v>
      </c>
      <c r="I126" s="7">
        <v>46082.535046296296</v>
      </c>
      <c r="J126" s="5" t="s">
        <v>422</v>
      </c>
      <c r="K126" s="5">
        <v>300.0</v>
      </c>
      <c r="L126" s="5">
        <v>3500.0</v>
      </c>
      <c r="M126" s="5">
        <v>3700.0</v>
      </c>
      <c r="N126" s="9">
        <v>43235.0</v>
      </c>
      <c r="O126" s="5" t="s">
        <v>24</v>
      </c>
      <c r="P126" s="5" t="s">
        <v>25</v>
      </c>
      <c r="S126" s="5" t="s">
        <v>451</v>
      </c>
    </row>
  </sheetData>
  <hyperlinks>
    <hyperlink r:id="rId1" ref="B114"/>
  </hyperlinks>
  <drawing r:id="rId2"/>
</worksheet>
</file>