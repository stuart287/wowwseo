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2" name="_xlnm._FilterDatabase">matching!$A$1:$O$104</definedName>
  </definedNames>
  <calcPr/>
</workbook>
</file>

<file path=xl/sharedStrings.xml><?xml version="1.0" encoding="utf-8"?>
<sst xmlns="http://schemas.openxmlformats.org/spreadsheetml/2006/main" count="3599" uniqueCount="1706">
  <si>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</si>
  <si>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</si>
  <si>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</si>
  <si>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</si>
  <si>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</si>
  <si>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</si>
  <si>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</si>
  <si>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</si>
  <si>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</si>
  <si>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</si>
  <si>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</si>
  <si>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</si>
  <si>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</si>
  <si>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</si>
  <si>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</si>
  <si>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</si>
  <si>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</si>
  <si>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</si>
  <si>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</si>
  <si>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premier league fixtures</t>
  </si>
  <si>
    <t>bs</t>
  </si>
  <si>
    <t>what does draw no bet mean in soccer betting</t>
  </si>
  <si>
    <t>bet365 premier league betting odds</t>
  </si>
  <si>
    <t>how to win on football betting</t>
  </si>
  <si>
    <t>epl fixtures</t>
  </si>
  <si>
    <t>next premier league manager to leave odds</t>
  </si>
  <si>
    <t>college betting lines football</t>
  </si>
  <si>
    <t>odds on who to win the premier league</t>
  </si>
  <si>
    <t>football betting picks</t>
  </si>
  <si>
    <t>betting accumulator tips football</t>
  </si>
  <si>
    <t>how does sports betting work football</t>
  </si>
  <si>
    <t>0-10</t>
  </si>
  <si>
    <t>football predictions today</t>
  </si>
  <si>
    <t>what is a push in football betting</t>
  </si>
  <si>
    <t>australian rules football betting offers</t>
  </si>
  <si>
    <t>what does handicap mean in soccer betting</t>
  </si>
  <si>
    <t>premier league scores today</t>
  </si>
  <si>
    <t>football betting help</t>
  </si>
  <si>
    <t>what is over 1.5 in soccer betting</t>
  </si>
  <si>
    <t>premier league schedule</t>
  </si>
  <si>
    <t>best american football betting sites</t>
  </si>
  <si>
    <t>how to win at football betting</t>
  </si>
  <si>
    <t>premier league bets</t>
  </si>
  <si>
    <t>live betting tips soccer</t>
  </si>
  <si>
    <t>what is dnb in soccer betting</t>
  </si>
  <si>
    <t>golden boot odds premier league</t>
  </si>
  <si>
    <t>how to win money betting on football</t>
  </si>
  <si>
    <t>best american football betting apps</t>
  </si>
  <si>
    <t>what is spread betting football</t>
  </si>
  <si>
    <t>rules for betting on football</t>
  </si>
  <si>
    <t>what does 3-way mean in football betting</t>
  </si>
  <si>
    <t>football betting tonight</t>
  </si>
  <si>
    <t>college football betting sites</t>
  </si>
  <si>
    <t>what is 3-way betting in football</t>
  </si>
  <si>
    <t>paddy power</t>
  </si>
  <si>
    <t>premier league relegation odds 20 21</t>
  </si>
  <si>
    <t>football betting odds today</t>
  </si>
  <si>
    <t>what does gg mean in soccer betting</t>
  </si>
  <si>
    <t>unibet football betting</t>
  </si>
  <si>
    <t>what does 1/2 mean in soccer betting</t>
  </si>
  <si>
    <t>football fixtures premier league</t>
  </si>
  <si>
    <t>premier league fixtures today</t>
  </si>
  <si>
    <t>what is asian total in soccer betting</t>
  </si>
  <si>
    <t>reverse football betting</t>
  </si>
  <si>
    <t>how to win betting on football</t>
  </si>
  <si>
    <t>football betting today</t>
  </si>
  <si>
    <t>what does -1 spread mean in football betting</t>
  </si>
  <si>
    <t>how does soccer betting work</t>
  </si>
  <si>
    <t>betting tips premier league accumulator</t>
  </si>
  <si>
    <t>football betting</t>
  </si>
  <si>
    <t>what is 1x2 in soccer betting</t>
  </si>
  <si>
    <t>best premier league betting sites</t>
  </si>
  <si>
    <t>how does betting on soccer work</t>
  </si>
  <si>
    <t>football betting live</t>
  </si>
  <si>
    <t>premier league relegation predictions 2019</t>
  </si>
  <si>
    <t>what does to qualify mean in soccer betting</t>
  </si>
  <si>
    <t>football betting nfl</t>
  </si>
  <si>
    <t>football betting results</t>
  </si>
  <si>
    <t>how does betting on football work</t>
  </si>
  <si>
    <t>online soccer betting sites</t>
  </si>
  <si>
    <t>top football betting sites</t>
  </si>
  <si>
    <t>how to play spread betting football</t>
  </si>
  <si>
    <t>premier league bet</t>
  </si>
  <si>
    <t>football betting for dummies</t>
  </si>
  <si>
    <t>how sports betting works football</t>
  </si>
  <si>
    <t>british football betting tips</t>
  </si>
  <si>
    <t>soccer betting</t>
  </si>
  <si>
    <t>how to win in virtual football betting</t>
  </si>
  <si>
    <t>cryptocurrency football betting</t>
  </si>
  <si>
    <t>man city odds to win premier league</t>
  </si>
  <si>
    <t>premier league predictions today</t>
  </si>
  <si>
    <t>how to make money betting on football</t>
  </si>
  <si>
    <t>online football betting uk</t>
  </si>
  <si>
    <t>premier league transfer betting</t>
  </si>
  <si>
    <t>which betting site is best for football</t>
  </si>
  <si>
    <t>soccer betting picks</t>
  </si>
  <si>
    <t>best betting app soccer</t>
  </si>
  <si>
    <t>best soccer picks today</t>
  </si>
  <si>
    <t>what is football betting</t>
  </si>
  <si>
    <t>betting world cup football</t>
  </si>
  <si>
    <t>premier league odds</t>
  </si>
  <si>
    <t>0-24</t>
  </si>
  <si>
    <t>how soccer betting works</t>
  </si>
  <si>
    <t>inverse football betting</t>
  </si>
  <si>
    <t>premier league betting tonight</t>
  </si>
  <si>
    <t>betting football site</t>
  </si>
  <si>
    <t>premier league bets today</t>
  </si>
  <si>
    <t>what is under 0.5 in soccer betting</t>
  </si>
  <si>
    <t>football betting systems that work</t>
  </si>
  <si>
    <t>premier league betting</t>
  </si>
  <si>
    <t>egypt premier league predictions</t>
  </si>
  <si>
    <t>premier league scores</t>
  </si>
  <si>
    <t>what does 1x2 mean in soccer betting</t>
  </si>
  <si>
    <t>betting odds premier league winner</t>
  </si>
  <si>
    <t>premier league predictions bet</t>
  </si>
  <si>
    <t>weekend premier league odds</t>
  </si>
  <si>
    <t>what does -1 mean in football betting</t>
  </si>
  <si>
    <t>premier league betting odds today</t>
  </si>
  <si>
    <t>premier league transfer odds</t>
  </si>
  <si>
    <t>football betting accumulator</t>
  </si>
  <si>
    <t>what does pk mean in soccer betting</t>
  </si>
  <si>
    <t>football odds premier league</t>
  </si>
  <si>
    <t>premier league betting tips</t>
  </si>
  <si>
    <t>football accumulator and betting tips</t>
  </si>
  <si>
    <t>what is virtual football betting</t>
  </si>
  <si>
    <t>premier league predictions</t>
  </si>
  <si>
    <t>pro football betting picks</t>
  </si>
  <si>
    <t>soccer betting tips</t>
  </si>
  <si>
    <t>premier league outright winner odds</t>
  </si>
  <si>
    <t>how to win football betting</t>
  </si>
  <si>
    <t>epl betting</t>
  </si>
  <si>
    <t>betting football tips for today</t>
  </si>
  <si>
    <t>epl betting tips</t>
  </si>
  <si>
    <t>premier league 2021 odds</t>
  </si>
  <si>
    <t>what does x2 mean in soccer betting</t>
  </si>
  <si>
    <t>premier league bet tips</t>
  </si>
  <si>
    <t>vegas football betting online</t>
  </si>
  <si>
    <t>football betting tips</t>
  </si>
  <si>
    <t>soccer betting strategies</t>
  </si>
  <si>
    <t>epl betting accumulator</t>
  </si>
  <si>
    <t>what is pk in soccer betting</t>
  </si>
  <si>
    <t>epl betting arsenal</t>
  </si>
  <si>
    <t>epl betting bahamas</t>
  </si>
  <si>
    <t>epl betting best</t>
  </si>
  <si>
    <t>what is under 4.5 in soccer betting</t>
  </si>
  <si>
    <t>football acca betting tips</t>
  </si>
  <si>
    <t>epl betting bet</t>
  </si>
  <si>
    <t>epl betting bet online</t>
  </si>
  <si>
    <t>odds to win premier league 2020 21</t>
  </si>
  <si>
    <t>epl betting bets</t>
  </si>
  <si>
    <t>what does spread mean in betting football</t>
  </si>
  <si>
    <t>epl betting betting app</t>
  </si>
  <si>
    <t>live betting tips football</t>
  </si>
  <si>
    <t>epl betting caribbean</t>
  </si>
  <si>
    <t>epl betting chances</t>
  </si>
  <si>
    <t>what is double chance in soccer betting</t>
  </si>
  <si>
    <t>epl betting chelsea</t>
  </si>
  <si>
    <t>odds premier league</t>
  </si>
  <si>
    <t>epl betting english premier league</t>
  </si>
  <si>
    <t>what is the best betting app for football</t>
  </si>
  <si>
    <t>epl betting fixtures today</t>
  </si>
  <si>
    <t>best betting football</t>
  </si>
  <si>
    <t>epl betting island luck</t>
  </si>
  <si>
    <t>what does btts mean in football betting</t>
  </si>
  <si>
    <t>epl betting live</t>
  </si>
  <si>
    <t>premier league odds top scorer</t>
  </si>
  <si>
    <t>epl betting live odds</t>
  </si>
  <si>
    <t>betting on football games</t>
  </si>
  <si>
    <t>epl betting liverpool</t>
  </si>
  <si>
    <t>how to read betting odds football</t>
  </si>
  <si>
    <t>best football betting tips for today</t>
  </si>
  <si>
    <t>epl betting manchester united</t>
  </si>
  <si>
    <t>epl betting matches today</t>
  </si>
  <si>
    <t>what does pk mean in football betting</t>
  </si>
  <si>
    <t>epl betting odds today</t>
  </si>
  <si>
    <t>epl betting paradise games</t>
  </si>
  <si>
    <t>epl betting parlay</t>
  </si>
  <si>
    <t>what does x mean in soccer betting</t>
  </si>
  <si>
    <t>premier league fixtures betting tips</t>
  </si>
  <si>
    <t>epl betting picks</t>
  </si>
  <si>
    <t>epl betting results</t>
  </si>
  <si>
    <t>european soccer betting</t>
  </si>
  <si>
    <t>how to win sports betting football</t>
  </si>
  <si>
    <t>epl betting scores today</t>
  </si>
  <si>
    <t>epl betting soccer odds</t>
  </si>
  <si>
    <t>live football betting tips</t>
  </si>
  <si>
    <t>what does spread mean in football betting</t>
  </si>
  <si>
    <t>epl betting sportsbook</t>
  </si>
  <si>
    <t>make money betting on football</t>
  </si>
  <si>
    <t>epl betting standings</t>
  </si>
  <si>
    <t>how to read betting odds soccer</t>
  </si>
  <si>
    <t>epl betting table</t>
  </si>
  <si>
    <t>live premier league scores</t>
  </si>
  <si>
    <t>epl betting teams</t>
  </si>
  <si>
    <t>how does football betting work</t>
  </si>
  <si>
    <t>epl betting today</t>
  </si>
  <si>
    <t>epl betting tonight</t>
  </si>
  <si>
    <t>tip betting football</t>
  </si>
  <si>
    <t>what does dnb mean in soccer betting</t>
  </si>
  <si>
    <t>epl betting ultra games</t>
  </si>
  <si>
    <t>premier league title winner odds</t>
  </si>
  <si>
    <t>football betting arsenal</t>
  </si>
  <si>
    <t>best app for football betting</t>
  </si>
  <si>
    <t>football betting bahamas</t>
  </si>
  <si>
    <t>football betting best</t>
  </si>
  <si>
    <t>top online football betting sites</t>
  </si>
  <si>
    <t>football betting bet</t>
  </si>
  <si>
    <t>liverpool premier league odds</t>
  </si>
  <si>
    <t>football betting bet online</t>
  </si>
  <si>
    <t>football betting bets</t>
  </si>
  <si>
    <t>football betting ladbrokes</t>
  </si>
  <si>
    <t>football betting betting app</t>
  </si>
  <si>
    <t>soccer betting lines explained</t>
  </si>
  <si>
    <t>football betting caribbean</t>
  </si>
  <si>
    <t>football betting chances</t>
  </si>
  <si>
    <t>betting on the football</t>
  </si>
  <si>
    <t>football betting chelsea</t>
  </si>
  <si>
    <t>football betting english premier league</t>
  </si>
  <si>
    <t>betting tips football today</t>
  </si>
  <si>
    <t>football betting epl</t>
  </si>
  <si>
    <t>betting tips for football</t>
  </si>
  <si>
    <t>football betting fixtures today</t>
  </si>
  <si>
    <t>premier league odds to win league</t>
  </si>
  <si>
    <t>football betting island luck</t>
  </si>
  <si>
    <t>football betting live odds</t>
  </si>
  <si>
    <t>premier league matches fixtures</t>
  </si>
  <si>
    <t>football betting liverpool</t>
  </si>
  <si>
    <t>football betting manchester united</t>
  </si>
  <si>
    <t>football betting matches today</t>
  </si>
  <si>
    <t>football betting paradise games</t>
  </si>
  <si>
    <t>football free betting</t>
  </si>
  <si>
    <t>football betting parlay</t>
  </si>
  <si>
    <t>best betting site for football</t>
  </si>
  <si>
    <t>football betting scores today</t>
  </si>
  <si>
    <t>football betting tips today</t>
  </si>
  <si>
    <t>football betting soccer odds</t>
  </si>
  <si>
    <t>football betting sportsbook</t>
  </si>
  <si>
    <t>soccer betting forums</t>
  </si>
  <si>
    <t>football betting standings</t>
  </si>
  <si>
    <t>premier league betting relegation</t>
  </si>
  <si>
    <t>football betting table</t>
  </si>
  <si>
    <t>football betting teams</t>
  </si>
  <si>
    <t>betting college football</t>
  </si>
  <si>
    <t>football betting ultra games</t>
  </si>
  <si>
    <t>premier league match odds</t>
  </si>
  <si>
    <t>premier league bet accumulator</t>
  </si>
  <si>
    <t>premier league bet arsenal</t>
  </si>
  <si>
    <t>football betting strategy guide</t>
  </si>
  <si>
    <t>premier league bet bahamas</t>
  </si>
  <si>
    <t>premier league bet best</t>
  </si>
  <si>
    <t>soccer betting canada</t>
  </si>
  <si>
    <t>premier league bet bet online</t>
  </si>
  <si>
    <t>handicap betting football explained</t>
  </si>
  <si>
    <t>premier league bet betting</t>
  </si>
  <si>
    <t>premier league bet betting app</t>
  </si>
  <si>
    <t>premier league top goalscorer odds</t>
  </si>
  <si>
    <t>premier league bet caribbean</t>
  </si>
  <si>
    <t>football only betting sites</t>
  </si>
  <si>
    <t>premier league bet chances</t>
  </si>
  <si>
    <t>best soccer betting site usa</t>
  </si>
  <si>
    <t>premier league bet chelsea</t>
  </si>
  <si>
    <t>premier league bet english premier league</t>
  </si>
  <si>
    <t>best football betting</t>
  </si>
  <si>
    <t>premier league bet epl</t>
  </si>
  <si>
    <t>transfer betting football</t>
  </si>
  <si>
    <t>premier league bet fixtures today</t>
  </si>
  <si>
    <t>premier league betting tips today</t>
  </si>
  <si>
    <t>premier league bet island luck</t>
  </si>
  <si>
    <t>premier league bet live</t>
  </si>
  <si>
    <t>football betting sites prediction</t>
  </si>
  <si>
    <t>premier league bet live odds</t>
  </si>
  <si>
    <t>best online football betting site</t>
  </si>
  <si>
    <t>premier league bet liverpool</t>
  </si>
  <si>
    <t>premier league bet manchester united</t>
  </si>
  <si>
    <t>football promotion betting</t>
  </si>
  <si>
    <t>premier league bet matches today</t>
  </si>
  <si>
    <t>premier league top scores</t>
  </si>
  <si>
    <t>premier league bet odds today</t>
  </si>
  <si>
    <t>football in play betting</t>
  </si>
  <si>
    <t>premier league bet paradise games</t>
  </si>
  <si>
    <t>bet bull football betting</t>
  </si>
  <si>
    <t>premier league bet parlay</t>
  </si>
  <si>
    <t>football betting specials</t>
  </si>
  <si>
    <t>premier league bet picks</t>
  </si>
  <si>
    <t>handicap in soccer betting</t>
  </si>
  <si>
    <t>premier league bet results</t>
  </si>
  <si>
    <t>premier league manager sacked odds</t>
  </si>
  <si>
    <t>premier league bet scores today</t>
  </si>
  <si>
    <t>premier league darts live scores</t>
  </si>
  <si>
    <t>premier league bet soccer odds</t>
  </si>
  <si>
    <t>college football bowl games betting lines</t>
  </si>
  <si>
    <t>premier league bet sportsbook</t>
  </si>
  <si>
    <t>premier league bet standings</t>
  </si>
  <si>
    <t>best football betting tips free</t>
  </si>
  <si>
    <t>premier league bet table</t>
  </si>
  <si>
    <t>premier league bet teams</t>
  </si>
  <si>
    <t>premier league bet today</t>
  </si>
  <si>
    <t>538 premier league odds</t>
  </si>
  <si>
    <t>premier league bet tonight</t>
  </si>
  <si>
    <t>premier league bet ultra games</t>
  </si>
  <si>
    <t>soccer betting website</t>
  </si>
  <si>
    <t>premier league bets accumulator</t>
  </si>
  <si>
    <t>premier league bets arsenal</t>
  </si>
  <si>
    <t>top football betting tips</t>
  </si>
  <si>
    <t>premier league bets bahamas</t>
  </si>
  <si>
    <t>premier league bets best</t>
  </si>
  <si>
    <t>football games betting</t>
  </si>
  <si>
    <t>premier league bets bet</t>
  </si>
  <si>
    <t>free football betting tips and predictions</t>
  </si>
  <si>
    <t>premier league bets bet online</t>
  </si>
  <si>
    <t>premier league bets betting</t>
  </si>
  <si>
    <t>bangladesh premier league predictions</t>
  </si>
  <si>
    <t>premier league bets betting app</t>
  </si>
  <si>
    <t>premier league bets caribbean</t>
  </si>
  <si>
    <t>premier league bets chances</t>
  </si>
  <si>
    <t>free football betting sites</t>
  </si>
  <si>
    <t>premier league bets chelsea</t>
  </si>
  <si>
    <t>premier league bets english premier league</t>
  </si>
  <si>
    <t>handicap football betting</t>
  </si>
  <si>
    <t>premier league bets epl</t>
  </si>
  <si>
    <t>premier league bets fixtures today</t>
  </si>
  <si>
    <t>top premier league scorers odds</t>
  </si>
  <si>
    <t>premier league bets island luck</t>
  </si>
  <si>
    <t>premier league bets live</t>
  </si>
  <si>
    <t>football betting stats</t>
  </si>
  <si>
    <t>premier league bets live odds</t>
  </si>
  <si>
    <t>premier league bets liverpool</t>
  </si>
  <si>
    <t>england premier league soccer predictions</t>
  </si>
  <si>
    <t>premier league bets manchester united</t>
  </si>
  <si>
    <t>premier league bets matches today</t>
  </si>
  <si>
    <t>betting tips today football</t>
  </si>
  <si>
    <t>premier league bets odds today</t>
  </si>
  <si>
    <t>premier league bets paradise games</t>
  </si>
  <si>
    <t>betting transfers football</t>
  </si>
  <si>
    <t>premier league bets parlay</t>
  </si>
  <si>
    <t>premier league bets picks</t>
  </si>
  <si>
    <t>premier league week 12 predictions</t>
  </si>
  <si>
    <t>premier league bets results</t>
  </si>
  <si>
    <t>premier league bets scores today</t>
  </si>
  <si>
    <t>premier league bets soccer odds</t>
  </si>
  <si>
    <t>odds to be relegated from the premier league</t>
  </si>
  <si>
    <t>premier league bets sportsbook</t>
  </si>
  <si>
    <t>premier league bets standings</t>
  </si>
  <si>
    <t>bet365 premier league betting</t>
  </si>
  <si>
    <t>premier league bets table</t>
  </si>
  <si>
    <t>premier league bets teams</t>
  </si>
  <si>
    <t>premier league bets tips</t>
  </si>
  <si>
    <t>premier league bets tonight</t>
  </si>
  <si>
    <t>premier league bets ultra games</t>
  </si>
  <si>
    <t>premier league betting accumulator</t>
  </si>
  <si>
    <t>premier league betting arsenal</t>
  </si>
  <si>
    <t>football betting apps</t>
  </si>
  <si>
    <t>premier league betting bahamas</t>
  </si>
  <si>
    <t>premier league betting best</t>
  </si>
  <si>
    <t>premier league goalscorer odds</t>
  </si>
  <si>
    <t>premier league betting bet</t>
  </si>
  <si>
    <t>premier league betting bet online</t>
  </si>
  <si>
    <t>soccer betting app</t>
  </si>
  <si>
    <t>premier league betting bets</t>
  </si>
  <si>
    <t>premier league betting betting app</t>
  </si>
  <si>
    <t>best site for betting on football</t>
  </si>
  <si>
    <t>premier league betting caribbean</t>
  </si>
  <si>
    <t>premier league betting chances</t>
  </si>
  <si>
    <t>premier league odds to be relegated</t>
  </si>
  <si>
    <t>premier league betting chelsea</t>
  </si>
  <si>
    <t>premier league betting english premier league</t>
  </si>
  <si>
    <t>premier league betting epl</t>
  </si>
  <si>
    <t>premier league betting fixtures today</t>
  </si>
  <si>
    <t>premier league betting island luck</t>
  </si>
  <si>
    <t>scotland premier league predictions</t>
  </si>
  <si>
    <t>premier league betting live</t>
  </si>
  <si>
    <t>premier league betting live odds</t>
  </si>
  <si>
    <t>latest football betting</t>
  </si>
  <si>
    <t>premier league betting liverpool</t>
  </si>
  <si>
    <t>premier league betting manchester united</t>
  </si>
  <si>
    <t>odds premier league relegation</t>
  </si>
  <si>
    <t>premier league betting matches today</t>
  </si>
  <si>
    <t>premier league betting paradise games</t>
  </si>
  <si>
    <t>online football betting tips</t>
  </si>
  <si>
    <t>premier league betting parlay</t>
  </si>
  <si>
    <t>premier league betting picks</t>
  </si>
  <si>
    <t>football betting odds to win premier league</t>
  </si>
  <si>
    <t>premier league betting results</t>
  </si>
  <si>
    <t>premier league betting scores today</t>
  </si>
  <si>
    <t>uk football betting tips</t>
  </si>
  <si>
    <t>coral football betting odds</t>
  </si>
  <si>
    <t>premier league darts fixtures</t>
  </si>
  <si>
    <t>safe soccer betting strategy</t>
  </si>
  <si>
    <t>liverpool premier league fixtures</t>
  </si>
  <si>
    <t>premier league odds winners</t>
  </si>
  <si>
    <t>premier league betting soccer odds</t>
  </si>
  <si>
    <t>football betting accumulators tips</t>
  </si>
  <si>
    <t>premier league betting sportsbook</t>
  </si>
  <si>
    <t>best betting tips today football</t>
  </si>
  <si>
    <t>premier league betting standings</t>
  </si>
  <si>
    <t>football betting strategies</t>
  </si>
  <si>
    <t>premier league betting table</t>
  </si>
  <si>
    <t>premier league betting teams</t>
  </si>
  <si>
    <t>american football betting picks</t>
  </si>
  <si>
    <t>premier league betting today</t>
  </si>
  <si>
    <t>premier league champions odds</t>
  </si>
  <si>
    <t>premier league betting ultra games</t>
  </si>
  <si>
    <t>soccer betting tipsters</t>
  </si>
  <si>
    <t>premier league fixtures accumulator</t>
  </si>
  <si>
    <t>premier league fixtures arsenal</t>
  </si>
  <si>
    <t>soccer sport betting</t>
  </si>
  <si>
    <t>premier league fixtures bahamas</t>
  </si>
  <si>
    <t>betting online football</t>
  </si>
  <si>
    <t>premier league fixtures best</t>
  </si>
  <si>
    <t>soccer betting prediction</t>
  </si>
  <si>
    <t>premier league fixtures bet</t>
  </si>
  <si>
    <t>william hill live football betting</t>
  </si>
  <si>
    <t>premier league fixtures bet online</t>
  </si>
  <si>
    <t>betting tips premier league weekend</t>
  </si>
  <si>
    <t>premier league fixtures bets</t>
  </si>
  <si>
    <t>premier league outright betting</t>
  </si>
  <si>
    <t>football outright betting</t>
  </si>
  <si>
    <t>premier league fixtures betting</t>
  </si>
  <si>
    <t>soccer betting odds</t>
  </si>
  <si>
    <t>premier league fixtures betting app</t>
  </si>
  <si>
    <t>football premier league predictions</t>
  </si>
  <si>
    <t>premier league fixtures caribbean</t>
  </si>
  <si>
    <t>premier league darts betting</t>
  </si>
  <si>
    <t>premier league fixtures chances</t>
  </si>
  <si>
    <t>premier league fixtures chelsea</t>
  </si>
  <si>
    <t>sky sport betting football</t>
  </si>
  <si>
    <t>premier league fixtures english premier league</t>
  </si>
  <si>
    <t>best football betting tipsters</t>
  </si>
  <si>
    <t>premier league fixtures epl</t>
  </si>
  <si>
    <t>premier league betting odds winner</t>
  </si>
  <si>
    <t>premier league fixtures fixtures today</t>
  </si>
  <si>
    <t>premier league fixtures island luck</t>
  </si>
  <si>
    <t>malaysia soccer betting</t>
  </si>
  <si>
    <t>premier league fixtures live</t>
  </si>
  <si>
    <t>premier league fixtures live odds</t>
  </si>
  <si>
    <t>bet365 premier league odds</t>
  </si>
  <si>
    <t>premier league fixtures liverpool</t>
  </si>
  <si>
    <t>premier league fixtures manchester united</t>
  </si>
  <si>
    <t>epl premier league fixtures</t>
  </si>
  <si>
    <t>premier league fixtures matches today</t>
  </si>
  <si>
    <t>betting odds premier league relegation</t>
  </si>
  <si>
    <t>premier league fixtures odds today</t>
  </si>
  <si>
    <t>odds for premier league title</t>
  </si>
  <si>
    <t>premier league fixtures paradise games</t>
  </si>
  <si>
    <t>football betting tipster</t>
  </si>
  <si>
    <t>premier league fixtures parlay</t>
  </si>
  <si>
    <t>premier league odds relegation</t>
  </si>
  <si>
    <t>premier league fixtures picks</t>
  </si>
  <si>
    <t>football betting canada</t>
  </si>
  <si>
    <t>premier league fixtures results</t>
  </si>
  <si>
    <t>premier league fixtures scores today</t>
  </si>
  <si>
    <t>football league betting tips</t>
  </si>
  <si>
    <t>premier league fixtures soccer odds</t>
  </si>
  <si>
    <t>betting tips premier league</t>
  </si>
  <si>
    <t>premier league fixtures sportsbook</t>
  </si>
  <si>
    <t>odds to win premier league 2020</t>
  </si>
  <si>
    <t>premier league fixtures standings</t>
  </si>
  <si>
    <t>football betting predictions for today</t>
  </si>
  <si>
    <t>premier league fixtures table</t>
  </si>
  <si>
    <t>england premier league 2 predictions</t>
  </si>
  <si>
    <t>premier league fixtures teams</t>
  </si>
  <si>
    <t>premier league fixtures tips</t>
  </si>
  <si>
    <t>coral football betting</t>
  </si>
  <si>
    <t>premier league fixtures tonight</t>
  </si>
  <si>
    <t>betting on the premier league</t>
  </si>
  <si>
    <t>premier league fixtures ultra games</t>
  </si>
  <si>
    <t>soccer betting sites in usa</t>
  </si>
  <si>
    <t>premier league odds accumulator</t>
  </si>
  <si>
    <t>free soccer betting tips</t>
  </si>
  <si>
    <t>premier league odds arsenal</t>
  </si>
  <si>
    <t>football betting platform</t>
  </si>
  <si>
    <t>premier league odds bahamas</t>
  </si>
  <si>
    <t>premier league odds best</t>
  </si>
  <si>
    <t>virtual soccer betting tips</t>
  </si>
  <si>
    <t>premier league odds bet</t>
  </si>
  <si>
    <t>william hill betting on football</t>
  </si>
  <si>
    <t>premier league odds bet online</t>
  </si>
  <si>
    <t>premier league odds bets</t>
  </si>
  <si>
    <t>betting tips for today football</t>
  </si>
  <si>
    <t>premier league odds betting</t>
  </si>
  <si>
    <t>football betting preview</t>
  </si>
  <si>
    <t>premier league odds betting app</t>
  </si>
  <si>
    <t>football betting slips</t>
  </si>
  <si>
    <t>premier league odds caribbean</t>
  </si>
  <si>
    <t>premier league odds chances</t>
  </si>
  <si>
    <t>premier league odds chelsea</t>
  </si>
  <si>
    <t>football betting on line</t>
  </si>
  <si>
    <t>premier league odds english premier league</t>
  </si>
  <si>
    <t>football betting tips for this weekend</t>
  </si>
  <si>
    <t>premier league odds epl</t>
  </si>
  <si>
    <t>odds for winning premier league</t>
  </si>
  <si>
    <t>premier league odds fixtures today</t>
  </si>
  <si>
    <t>profitable football betting</t>
  </si>
  <si>
    <t>premier league odds island luck</t>
  </si>
  <si>
    <t>premier league odds live</t>
  </si>
  <si>
    <t>football matches betting</t>
  </si>
  <si>
    <t>premier league odds live odds</t>
  </si>
  <si>
    <t>premier league fixtures predictions</t>
  </si>
  <si>
    <t>premier league odds liverpool</t>
  </si>
  <si>
    <t>leicester odds to win premier league</t>
  </si>
  <si>
    <t>premier league odds manchester united</t>
  </si>
  <si>
    <t>premier league odds matches today</t>
  </si>
  <si>
    <t>soccer betting predictions today</t>
  </si>
  <si>
    <t>premier league odds odds today</t>
  </si>
  <si>
    <t>premier league manager sack odds</t>
  </si>
  <si>
    <t>premier league odds paradise games</t>
  </si>
  <si>
    <t>betting on football uk</t>
  </si>
  <si>
    <t>premier league odds parlay</t>
  </si>
  <si>
    <t>premier league odds picks</t>
  </si>
  <si>
    <t>ncaa football betting lines</t>
  </si>
  <si>
    <t>premier league odds results</t>
  </si>
  <si>
    <t>betting nfl football</t>
  </si>
  <si>
    <t>premier league odds scores today</t>
  </si>
  <si>
    <t>premier league odds soccer odds</t>
  </si>
  <si>
    <t>odds on relegation from premier league</t>
  </si>
  <si>
    <t>premier league odds sportsbook</t>
  </si>
  <si>
    <t>football betting calculator</t>
  </si>
  <si>
    <t>premier league odds standings</t>
  </si>
  <si>
    <t>football betting with bitcoin</t>
  </si>
  <si>
    <t>premier league odds table</t>
  </si>
  <si>
    <t>tonight's football betting</t>
  </si>
  <si>
    <t>premier league odds teams</t>
  </si>
  <si>
    <t>premier league odds tips</t>
  </si>
  <si>
    <t>today's football betting odds</t>
  </si>
  <si>
    <t>premier league odds today</t>
  </si>
  <si>
    <t>premier league 2021 22 odds</t>
  </si>
  <si>
    <t>premier league odds tonight</t>
  </si>
  <si>
    <t>football betting tips 1x2</t>
  </si>
  <si>
    <t>premier league odds ultra games</t>
  </si>
  <si>
    <t>live betting football</t>
  </si>
  <si>
    <t>premier league predictions accumulator</t>
  </si>
  <si>
    <t>best betting app for soccer</t>
  </si>
  <si>
    <t>premier league predictions arsenal</t>
  </si>
  <si>
    <t>premier league predictions bahamas</t>
  </si>
  <si>
    <t>william hill premier league odds</t>
  </si>
  <si>
    <t>premier league predictions best</t>
  </si>
  <si>
    <t>premier league weekend predictions</t>
  </si>
  <si>
    <t>premier league predictions bet online</t>
  </si>
  <si>
    <t>football betting software</t>
  </si>
  <si>
    <t>premier league predictions bets</t>
  </si>
  <si>
    <t>english premier league tips and predictions</t>
  </si>
  <si>
    <t>premier league predictions betting</t>
  </si>
  <si>
    <t>premier league predictions betting app</t>
  </si>
  <si>
    <t>ladbrokes football betting</t>
  </si>
  <si>
    <t>premier league predictions caribbean</t>
  </si>
  <si>
    <t>premier league predictions chances</t>
  </si>
  <si>
    <t>sunday football betting tips</t>
  </si>
  <si>
    <t>premier league predictions chelsea</t>
  </si>
  <si>
    <t>barclays premier league odds to win</t>
  </si>
  <si>
    <t>premier league predictions english premier league</t>
  </si>
  <si>
    <t>football today betting</t>
  </si>
  <si>
    <t>premier league predictions epl</t>
  </si>
  <si>
    <t>premier league predictions fixtures today</t>
  </si>
  <si>
    <t>premier league betting odds</t>
  </si>
  <si>
    <t>premier league predictions island luck</t>
  </si>
  <si>
    <t>football betting for today</t>
  </si>
  <si>
    <t>premier league predictions live</t>
  </si>
  <si>
    <t>official football accumulators betting tips</t>
  </si>
  <si>
    <t>premier league predictions live odds</t>
  </si>
  <si>
    <t>premier league predictions liverpool</t>
  </si>
  <si>
    <t>cfg football betting</t>
  </si>
  <si>
    <t>premier league 2 fixtures</t>
  </si>
  <si>
    <t>premier league predictions manchester united</t>
  </si>
  <si>
    <t>odds winner premier league</t>
  </si>
  <si>
    <t>premier league predictions matches today</t>
  </si>
  <si>
    <t>football betting transfers</t>
  </si>
  <si>
    <t>premier league predictions odds today</t>
  </si>
  <si>
    <t>betting football games</t>
  </si>
  <si>
    <t>premier league predictions paradise games</t>
  </si>
  <si>
    <t>premier league predictions parlay</t>
  </si>
  <si>
    <t>premier league predictions picks</t>
  </si>
  <si>
    <t>football predictions premier league</t>
  </si>
  <si>
    <t>premier league predictions results</t>
  </si>
  <si>
    <t>premier league predictions scores today</t>
  </si>
  <si>
    <t>football betting guide</t>
  </si>
  <si>
    <t>premier league predictions soccer odds</t>
  </si>
  <si>
    <t>premier league predictions sportsbook</t>
  </si>
  <si>
    <t>football accumulators and betting tips</t>
  </si>
  <si>
    <t>premier league predictions standings</t>
  </si>
  <si>
    <t>premier league predictions table</t>
  </si>
  <si>
    <t>to win premier league odds</t>
  </si>
  <si>
    <t>premier league predictions teams</t>
  </si>
  <si>
    <t>premier league predictions tips</t>
  </si>
  <si>
    <t>premier league predictions tonight</t>
  </si>
  <si>
    <t>football betting tips over 2.5 goals</t>
  </si>
  <si>
    <t>premier league predictions ultra games</t>
  </si>
  <si>
    <t>premier league scores accumulator</t>
  </si>
  <si>
    <t>professional football betting lines</t>
  </si>
  <si>
    <t>premier league scores arsenal</t>
  </si>
  <si>
    <t>premier league scores bahamas</t>
  </si>
  <si>
    <t>betting on tonights football</t>
  </si>
  <si>
    <t>premier league scores best</t>
  </si>
  <si>
    <t>premier league scores bet</t>
  </si>
  <si>
    <t>premier league scores bet online</t>
  </si>
  <si>
    <t>premier league scores bets</t>
  </si>
  <si>
    <t>odds goalscorer premier league</t>
  </si>
  <si>
    <t>premier league scores betting</t>
  </si>
  <si>
    <t>premier league scores betting app</t>
  </si>
  <si>
    <t>football betting tips uk</t>
  </si>
  <si>
    <t>premier league scores caribbean</t>
  </si>
  <si>
    <t>american football betting app</t>
  </si>
  <si>
    <t>premier league scores chances</t>
  </si>
  <si>
    <t>premier league scores chelsea</t>
  </si>
  <si>
    <t>premier league scores english premier league</t>
  </si>
  <si>
    <t>best site for football betting</t>
  </si>
  <si>
    <t>premier league scores epl</t>
  </si>
  <si>
    <t>premier league scores fixtures today</t>
  </si>
  <si>
    <t>odds for relegation from premier league</t>
  </si>
  <si>
    <t>premier league scores island luck</t>
  </si>
  <si>
    <t>premier league scores live</t>
  </si>
  <si>
    <t>mr fixit football betting tips</t>
  </si>
  <si>
    <t>premier league scores live odds</t>
  </si>
  <si>
    <t>premier league scores liverpool</t>
  </si>
  <si>
    <t>online football betting site</t>
  </si>
  <si>
    <t>premier league scores manchester united</t>
  </si>
  <si>
    <t>premier league scores matches today</t>
  </si>
  <si>
    <t>best soccer betting sites malaysia</t>
  </si>
  <si>
    <t>premier league scores odds today</t>
  </si>
  <si>
    <t>premier league scores paradise games</t>
  </si>
  <si>
    <t>premier league scores parlay</t>
  </si>
  <si>
    <t>free online football betting</t>
  </si>
  <si>
    <t>premier league scores picks</t>
  </si>
  <si>
    <t>premier league scores results</t>
  </si>
  <si>
    <t>man city to win premier league odds</t>
  </si>
  <si>
    <t>premier league scores scores today</t>
  </si>
  <si>
    <t>premier league scores soccer odds</t>
  </si>
  <si>
    <t>premier league scores sportsbook</t>
  </si>
  <si>
    <t>premier league scores standings</t>
  </si>
  <si>
    <t>william football betting</t>
  </si>
  <si>
    <t>premier league scores table</t>
  </si>
  <si>
    <t>premier league scores teams</t>
  </si>
  <si>
    <t>premier league scores tips</t>
  </si>
  <si>
    <t>football betting cards</t>
  </si>
  <si>
    <t>premier league scores tonight</t>
  </si>
  <si>
    <t>premier league scores ultra games</t>
  </si>
  <si>
    <t>free soccer betting apps</t>
  </si>
  <si>
    <t>soccer betting accumulator</t>
  </si>
  <si>
    <t>soccer betting arsenal</t>
  </si>
  <si>
    <t>today's football accumulator betting tips</t>
  </si>
  <si>
    <t>soccer betting bahamas</t>
  </si>
  <si>
    <t>soccer betting best</t>
  </si>
  <si>
    <t>cfg football betting malaysia</t>
  </si>
  <si>
    <t>soccer betting bet</t>
  </si>
  <si>
    <t>soccer betting bet online</t>
  </si>
  <si>
    <t>soccer betting bets</t>
  </si>
  <si>
    <t>online betting on football</t>
  </si>
  <si>
    <t>soccer betting betting app</t>
  </si>
  <si>
    <t>soccer betting caribbean</t>
  </si>
  <si>
    <t>odds on premier league darts</t>
  </si>
  <si>
    <t>soccer betting chances</t>
  </si>
  <si>
    <t>soccer betting chelsea</t>
  </si>
  <si>
    <t>handicap football betting explained</t>
  </si>
  <si>
    <t>soccer betting english premier league</t>
  </si>
  <si>
    <t>soccer betting epl</t>
  </si>
  <si>
    <t>vegas betting lines college football</t>
  </si>
  <si>
    <t>soccer betting fixtures today</t>
  </si>
  <si>
    <t>soccer betting island luck</t>
  </si>
  <si>
    <t>football betting site</t>
  </si>
  <si>
    <t>soccer betting live</t>
  </si>
  <si>
    <t>soccer betting live odds</t>
  </si>
  <si>
    <t>soccer betting liverpool</t>
  </si>
  <si>
    <t>premier league manager sacking odds</t>
  </si>
  <si>
    <t>soccer betting manchester united</t>
  </si>
  <si>
    <t>soccer betting matches today</t>
  </si>
  <si>
    <t>sport betting football</t>
  </si>
  <si>
    <t>soccer betting odds today</t>
  </si>
  <si>
    <t>soccer betting paradise games</t>
  </si>
  <si>
    <t>football accumulator betting tips weekend</t>
  </si>
  <si>
    <t>soccer betting parlay</t>
  </si>
  <si>
    <t>none</t>
  </si>
  <si>
    <t>soccer betting online singapore</t>
  </si>
  <si>
    <t>soccer betting results</t>
  </si>
  <si>
    <t>soccer betting scores today</t>
  </si>
  <si>
    <t>soccer betting soccer odds</t>
  </si>
  <si>
    <t>sports william hill bet betting football</t>
  </si>
  <si>
    <t>soccer betting sportsbook</t>
  </si>
  <si>
    <t>soccer betting standings</t>
  </si>
  <si>
    <t>football betting india</t>
  </si>
  <si>
    <t>soccer betting table</t>
  </si>
  <si>
    <t>soccer betting teams</t>
  </si>
  <si>
    <t>betting on soccer games</t>
  </si>
  <si>
    <t>soccer betting today</t>
  </si>
  <si>
    <t>soccer betting tonight</t>
  </si>
  <si>
    <t>scottish premier league fixtures</t>
  </si>
  <si>
    <t>soccer betting ultra games</t>
  </si>
  <si>
    <t>chelsea odds to win premier league</t>
  </si>
  <si>
    <t>top betting sites football</t>
  </si>
  <si>
    <t>football betting line</t>
  </si>
  <si>
    <t>premier league match fixtures</t>
  </si>
  <si>
    <t>is football betting legal in malaysia</t>
  </si>
  <si>
    <t>football line betting college</t>
  </si>
  <si>
    <t>todays football betting odds</t>
  </si>
  <si>
    <t>liverpool to win premier league odds</t>
  </si>
  <si>
    <t>next premier league manager to be sacked odds</t>
  </si>
  <si>
    <t>ukraine premier league predictions</t>
  </si>
  <si>
    <t>fantasy football betting sites</t>
  </si>
  <si>
    <t>best odds for football betting</t>
  </si>
  <si>
    <t>english premier league predictions tomorrow</t>
  </si>
  <si>
    <t>international football betting sites</t>
  </si>
  <si>
    <t>melhores odds da premier league</t>
  </si>
  <si>
    <t>premier league betting sites</t>
  </si>
  <si>
    <t>football betting odds premiership</t>
  </si>
  <si>
    <t>betting odds explained football</t>
  </si>
  <si>
    <t>betting stats football</t>
  </si>
  <si>
    <t>online soccer betting singapore</t>
  </si>
  <si>
    <t>odds on next premier league manager to leave</t>
  </si>
  <si>
    <t>afl football betting</t>
  </si>
  <si>
    <t>monday night football betting odds</t>
  </si>
  <si>
    <t>football betting sites uk</t>
  </si>
  <si>
    <t>betting sites for soccer</t>
  </si>
  <si>
    <t>football betting promotions</t>
  </si>
  <si>
    <t>odds on premier league title</t>
  </si>
  <si>
    <t>football betting spreadsheet</t>
  </si>
  <si>
    <t>football betting tips europa league</t>
  </si>
  <si>
    <t>tottenham to win premier league odds</t>
  </si>
  <si>
    <t>football betting tips twitter</t>
  </si>
  <si>
    <t>saturday football betting odds</t>
  </si>
  <si>
    <t>premier league top scorer odds</t>
  </si>
  <si>
    <t>premier league champions betting</t>
  </si>
  <si>
    <t>best football betting app android</t>
  </si>
  <si>
    <t>nfl football betting lines</t>
  </si>
  <si>
    <t>football betting analysis</t>
  </si>
  <si>
    <t>tips for football betting</t>
  </si>
  <si>
    <t>football betting jobs</t>
  </si>
  <si>
    <t>fixed odds football betting</t>
  </si>
  <si>
    <t>premier league relegation odds 2021 22</t>
  </si>
  <si>
    <t>betting on transfers football</t>
  </si>
  <si>
    <t>premier league fixtures march 4 2026</t>
  </si>
  <si>
    <t>football betting tips for tonight</t>
  </si>
  <si>
    <t>monday night football betting</t>
  </si>
  <si>
    <t>betting uk football</t>
  </si>
  <si>
    <t>betfair football betting</t>
  </si>
  <si>
    <t>premier league betting offers</t>
  </si>
  <si>
    <t>soccer betting predictions</t>
  </si>
  <si>
    <t>soccer betting companies</t>
  </si>
  <si>
    <t>football point spread betting online</t>
  </si>
  <si>
    <t>live soccer betting tips</t>
  </si>
  <si>
    <t>odds to win the premier league</t>
  </si>
  <si>
    <t>german football betting tips</t>
  </si>
  <si>
    <t>soccer betting calculator</t>
  </si>
  <si>
    <t>football betting odds</t>
  </si>
  <si>
    <t>accumulator betting tips football</t>
  </si>
  <si>
    <t>top 10 football betting sites</t>
  </si>
  <si>
    <t>football game betting</t>
  </si>
  <si>
    <t>best betting sites for football uk</t>
  </si>
  <si>
    <t>championship football betting odds</t>
  </si>
  <si>
    <t>premier league sack race odds</t>
  </si>
  <si>
    <t>premier league predictions this weekend bbc</t>
  </si>
  <si>
    <t>bitcoin football betting</t>
  </si>
  <si>
    <t>premier league accumulator predictions</t>
  </si>
  <si>
    <t>indian premier league betting</t>
  </si>
  <si>
    <t>william hill football betting</t>
  </si>
  <si>
    <t>american football betting odds explained</t>
  </si>
  <si>
    <t>odds on chelsea winning the premier league</t>
  </si>
  <si>
    <t>premier league football predictions</t>
  </si>
  <si>
    <t>football moneyline betting sites</t>
  </si>
  <si>
    <t>odds arsenal winning premier league</t>
  </si>
  <si>
    <t>premier league assists odds</t>
  </si>
  <si>
    <t>football betting sites kenya</t>
  </si>
  <si>
    <t>soccer betting south africa</t>
  </si>
  <si>
    <t>romania premier league predictions</t>
  </si>
  <si>
    <t>premier league odds outright winner</t>
  </si>
  <si>
    <t>english premier league fixtures results</t>
  </si>
  <si>
    <t>tomorrow football betting</t>
  </si>
  <si>
    <t>free football betting tips for this weekend</t>
  </si>
  <si>
    <t>football betting statistics</t>
  </si>
  <si>
    <t>betting odds for premier league</t>
  </si>
  <si>
    <t>football online betting</t>
  </si>
  <si>
    <t>football betting podcast</t>
  </si>
  <si>
    <t>football live betting</t>
  </si>
  <si>
    <t>betting app soccer</t>
  </si>
  <si>
    <t>best football betting site</t>
  </si>
  <si>
    <t>odds winning premier league</t>
  </si>
  <si>
    <t>darts premier league betting sites</t>
  </si>
  <si>
    <t>premier league fixtures 2022/23</t>
  </si>
  <si>
    <t>odds for premier league relegation</t>
  </si>
  <si>
    <t>ukrainian premier league odds</t>
  </si>
  <si>
    <t>uk football betting sites</t>
  </si>
  <si>
    <t>odds of arsenal winning the premier league</t>
  </si>
  <si>
    <t>football betting website</t>
  </si>
  <si>
    <t>soccer betting with bitcoin</t>
  </si>
  <si>
    <t>premier league betting odds to win league</t>
  </si>
  <si>
    <t>odds to win premier league 2021</t>
  </si>
  <si>
    <t>betting tips on football</t>
  </si>
  <si>
    <t>betting tips football weekend</t>
  </si>
  <si>
    <t>australian rules football betting odds</t>
  </si>
  <si>
    <t>premier league top four odds</t>
  </si>
  <si>
    <t>betting football predictions</t>
  </si>
  <si>
    <t>best soccer betting sites</t>
  </si>
  <si>
    <t>odds on premier league relegation</t>
  </si>
  <si>
    <t>william hill football betting rules</t>
  </si>
  <si>
    <t>weekend football accumulator betting tips</t>
  </si>
  <si>
    <t>betting english premier league</t>
  </si>
  <si>
    <t>premier league predictions 2020/21</t>
  </si>
  <si>
    <t>betting tips football free</t>
  </si>
  <si>
    <t>soccer betting strategy</t>
  </si>
  <si>
    <t>soccer betting pick</t>
  </si>
  <si>
    <t>betting football tips today</t>
  </si>
  <si>
    <t>jamaica premier league fixtures 2023/24</t>
  </si>
  <si>
    <t>gaelic football betting</t>
  </si>
  <si>
    <t>betting football</t>
  </si>
  <si>
    <t>football betting sheets printable</t>
  </si>
  <si>
    <t>www football betting tips</t>
  </si>
  <si>
    <t>all football betting sites</t>
  </si>
  <si>
    <t>scottish premier league betting</t>
  </si>
  <si>
    <t>premier league odds of relegation</t>
  </si>
  <si>
    <t>free football accumulator betting tips</t>
  </si>
  <si>
    <t>top 4 finish premier league odds</t>
  </si>
  <si>
    <t>betting tips football premier league</t>
  </si>
  <si>
    <t>english football betting tips</t>
  </si>
  <si>
    <t>football betting predictions free</t>
  </si>
  <si>
    <t>premier league fixtures today results and table</t>
  </si>
  <si>
    <t>premier league tips predictions</t>
  </si>
  <si>
    <t>premier league odds 21/22</t>
  </si>
  <si>
    <t>brighton to win premier league odds</t>
  </si>
  <si>
    <t>soccer betting tips for today matches</t>
  </si>
  <si>
    <t>betting on football tips</t>
  </si>
  <si>
    <t>sky sports football betting</t>
  </si>
  <si>
    <t>best football online betting</t>
  </si>
  <si>
    <t>soccer accumulator betting</t>
  </si>
  <si>
    <t>soccer betting singapore</t>
  </si>
  <si>
    <t>soccer betting usa</t>
  </si>
  <si>
    <t>odds checker premier league</t>
  </si>
  <si>
    <t>pk in soccer betting</t>
  </si>
  <si>
    <t>college football online betting</t>
  </si>
  <si>
    <t>football world cup betting</t>
  </si>
  <si>
    <t>odds on to win premier league</t>
  </si>
  <si>
    <t>european football betting</t>
  </si>
  <si>
    <t>football betting this weekend</t>
  </si>
  <si>
    <t>soccer betting in usa</t>
  </si>
  <si>
    <t>next season premier league odds</t>
  </si>
  <si>
    <t>bitcoin betting on football</t>
  </si>
  <si>
    <t>football betting south africa</t>
  </si>
  <si>
    <t>gihon betting football</t>
  </si>
  <si>
    <t>free football betting systems</t>
  </si>
  <si>
    <t>today football betting</t>
  </si>
  <si>
    <t>college football betting trends</t>
  </si>
  <si>
    <t>premier league title betting</t>
  </si>
  <si>
    <t>pdc darts premier league fixtures</t>
  </si>
  <si>
    <t>darts premier league predictions</t>
  </si>
  <si>
    <t>football betting online singapore</t>
  </si>
  <si>
    <t>college football betting</t>
  </si>
  <si>
    <t>online football betting india</t>
  </si>
  <si>
    <t>college football public betting</t>
  </si>
  <si>
    <t>top scores premier league</t>
  </si>
  <si>
    <t>virtual football betting</t>
  </si>
  <si>
    <t>premier league title odds</t>
  </si>
  <si>
    <t>ncaa football betting forums</t>
  </si>
  <si>
    <t>william hill online football betting</t>
  </si>
  <si>
    <t>ireland premier league predictions</t>
  </si>
  <si>
    <t>american football betting explained</t>
  </si>
  <si>
    <t>sports betting soccer</t>
  </si>
  <si>
    <t>soccer sports betting</t>
  </si>
  <si>
    <t>odds da premier league</t>
  </si>
  <si>
    <t>double chance football betting system</t>
  </si>
  <si>
    <t>betting football online</t>
  </si>
  <si>
    <t>serious football betting</t>
  </si>
  <si>
    <t>premier league football odds</t>
  </si>
  <si>
    <t>american football betting rules</t>
  </si>
  <si>
    <t>las vegas betting line college football</t>
  </si>
  <si>
    <t>live football betting</t>
  </si>
  <si>
    <t>betting picks college football</t>
  </si>
  <si>
    <t>bet35 premier league odds</t>
  </si>
  <si>
    <t>football betting prediction</t>
  </si>
  <si>
    <t>premier league odds title</t>
  </si>
  <si>
    <t>betting odds football today</t>
  </si>
  <si>
    <t>odds on premier league managers to be sacked</t>
  </si>
  <si>
    <t>betting in play football</t>
  </si>
  <si>
    <t>odds for winner of premier league</t>
  </si>
  <si>
    <t>football sheets for betting</t>
  </si>
  <si>
    <t>fa premier league fixtures</t>
  </si>
  <si>
    <t>betting line college football</t>
  </si>
  <si>
    <t>sports betting rules football</t>
  </si>
  <si>
    <t>premier league betting odds relegation</t>
  </si>
  <si>
    <t>odds for the premier league</t>
  </si>
  <si>
    <t>football betting odds explained</t>
  </si>
  <si>
    <t>belarus premier league predictions</t>
  </si>
  <si>
    <t>russian premier league betting</t>
  </si>
  <si>
    <t>soccer betting sites</t>
  </si>
  <si>
    <t>premier league top 4 odds</t>
  </si>
  <si>
    <t>relegation odds premier league</t>
  </si>
  <si>
    <t>football betting odds for today</t>
  </si>
  <si>
    <t>germany premier league predictions</t>
  </si>
  <si>
    <t>vegas football betting lines</t>
  </si>
  <si>
    <t>online soccer betting tips</t>
  </si>
  <si>
    <t>football betting offers</t>
  </si>
  <si>
    <t>soccer spread betting</t>
  </si>
  <si>
    <t>online betting football</t>
  </si>
  <si>
    <t>handicap betting football</t>
  </si>
  <si>
    <t>mali premier league predictions</t>
  </si>
  <si>
    <t>monday night football betting line</t>
  </si>
  <si>
    <t>football betting and odds</t>
  </si>
  <si>
    <t>paddy power football betting</t>
  </si>
  <si>
    <t>football betting tipsters</t>
  </si>
  <si>
    <t>odds to win premier league 2019</t>
  </si>
  <si>
    <t>betting offers football</t>
  </si>
  <si>
    <t>william hill football betting today</t>
  </si>
  <si>
    <t>online college football betting</t>
  </si>
  <si>
    <t>odds relegation premier league</t>
  </si>
  <si>
    <t>wm hill football betting</t>
  </si>
  <si>
    <t>live soccer betting</t>
  </si>
  <si>
    <t>ladies football betting</t>
  </si>
  <si>
    <t>betting odds for the premier league</t>
  </si>
  <si>
    <t>holland premier league predictions</t>
  </si>
  <si>
    <t>liverpool odds to win premier league</t>
  </si>
  <si>
    <t>football betting in india</t>
  </si>
  <si>
    <t>alabama football betting line</t>
  </si>
  <si>
    <t>premier league predictions 20 21</t>
  </si>
  <si>
    <t>premier league odds to stay up</t>
  </si>
  <si>
    <t>double chance in soccer betting</t>
  </si>
  <si>
    <t>college football betting lines today</t>
  </si>
  <si>
    <t>premier league match predictions</t>
  </si>
  <si>
    <t>australian rules football betting</t>
  </si>
  <si>
    <t>chelsea to win premier league odds</t>
  </si>
  <si>
    <t>american football betting sites</t>
  </si>
  <si>
    <t>best football betting prediction site</t>
  </si>
  <si>
    <t>proven football betting system</t>
  </si>
  <si>
    <t>premier league odds checker</t>
  </si>
  <si>
    <t>english soccer betting</t>
  </si>
  <si>
    <t>pro football betting line</t>
  </si>
  <si>
    <t>betting the spread in football</t>
  </si>
  <si>
    <t>barclays premier league betting tips</t>
  </si>
  <si>
    <t>weekend football betting tips</t>
  </si>
  <si>
    <t>soccer odds premier league</t>
  </si>
  <si>
    <t>odds for premier league</t>
  </si>
  <si>
    <t>betting app for football</t>
  </si>
  <si>
    <t>best soccer betting apps</t>
  </si>
  <si>
    <t>kenya premier league fixtures</t>
  </si>
  <si>
    <t>football online betting malaysia</t>
  </si>
  <si>
    <t>betting sites for football</t>
  </si>
  <si>
    <t>best premier league betting offers</t>
  </si>
  <si>
    <t>football betting accumulators</t>
  </si>
  <si>
    <t>football betting tips for today</t>
  </si>
  <si>
    <t>football betting sheets</t>
  </si>
  <si>
    <t>chelsea fixtures premier league</t>
  </si>
  <si>
    <t>football betting tips tonight</t>
  </si>
  <si>
    <t>2024 premier league odds</t>
  </si>
  <si>
    <t>live soccer betting odds</t>
  </si>
  <si>
    <t>ladbrokes betting odds football</t>
  </si>
  <si>
    <t>football transfer betting</t>
  </si>
  <si>
    <t>turkey premier league predictions</t>
  </si>
  <si>
    <t>football betting sites malaysia</t>
  </si>
  <si>
    <t>best soccer betting tips</t>
  </si>
  <si>
    <t>football and betting</t>
  </si>
  <si>
    <t>premier league fixtures weekend</t>
  </si>
  <si>
    <t>betting site football</t>
  </si>
  <si>
    <t>predictions premier league</t>
  </si>
  <si>
    <t>non league football betting</t>
  </si>
  <si>
    <t>ladbrokes football betting tonight</t>
  </si>
  <si>
    <t>football betting companies in nigeria</t>
  </si>
  <si>
    <t>premier league relegation odds</t>
  </si>
  <si>
    <t>premier league fixtures 2023/24</t>
  </si>
  <si>
    <t>best soccer betting sites usa</t>
  </si>
  <si>
    <t>australian football betting tips</t>
  </si>
  <si>
    <t>singapore football betting</t>
  </si>
  <si>
    <t>american football betting</t>
  </si>
  <si>
    <t>top soccer betting sites</t>
  </si>
  <si>
    <t>william hill football betting app</t>
  </si>
  <si>
    <t>premier league football fixtures today</t>
  </si>
  <si>
    <t>premier league survival odds</t>
  </si>
  <si>
    <t>virtual football betting software</t>
  </si>
  <si>
    <t>betting on football today</t>
  </si>
  <si>
    <t>best online football betting sites</t>
  </si>
  <si>
    <t>1st premier league manager to be sacked odds</t>
  </si>
  <si>
    <t>premier league top 6 finish odds</t>
  </si>
  <si>
    <t>today betting tips football</t>
  </si>
  <si>
    <t>football betting websites uk</t>
  </si>
  <si>
    <t>mexico premier league predictions</t>
  </si>
  <si>
    <t>betting zone football tips</t>
  </si>
  <si>
    <t>totesport football betting</t>
  </si>
  <si>
    <t>live football betting william hill</t>
  </si>
  <si>
    <t>today's football betting</t>
  </si>
  <si>
    <t>pundits premier league predictions this weekend</t>
  </si>
  <si>
    <t>betting for premier league</t>
  </si>
  <si>
    <t>football world cup betting odds</t>
  </si>
  <si>
    <t>premier league champions betting odds</t>
  </si>
  <si>
    <t>soccer betting guide</t>
  </si>
  <si>
    <t>jamaica premier league fixtures</t>
  </si>
  <si>
    <t>premier league match betting</t>
  </si>
  <si>
    <t>premier league darts predictions tonight</t>
  </si>
  <si>
    <t>premier league top 10 finish odds</t>
  </si>
  <si>
    <t>sky betting football</t>
  </si>
  <si>
    <t>gaa football betting</t>
  </si>
  <si>
    <t>monday night football betting picks</t>
  </si>
  <si>
    <t>premier league winner predictions</t>
  </si>
  <si>
    <t>football betting odds tonight</t>
  </si>
  <si>
    <t>charlie's premier league predictions</t>
  </si>
  <si>
    <t>odds premier league vinnare</t>
  </si>
  <si>
    <t>paddy power football betting odds</t>
  </si>
  <si>
    <t>best betting app football</t>
  </si>
  <si>
    <t>premier league without top 6 odds</t>
  </si>
  <si>
    <t>soccer betting forum</t>
  </si>
  <si>
    <t>odds for premier league top 4</t>
  </si>
  <si>
    <t>corals football betting</t>
  </si>
  <si>
    <t>iraq premier league predictions</t>
  </si>
  <si>
    <t>best betting apps for football</t>
  </si>
  <si>
    <t>wales premier league predictions</t>
  </si>
  <si>
    <t>scottish football betting tips</t>
  </si>
  <si>
    <t>soccer world cup 2018 betting</t>
  </si>
  <si>
    <t>betting on premier league relegation</t>
  </si>
  <si>
    <t>betting for soccer</t>
  </si>
  <si>
    <t>best betting site for soccer</t>
  </si>
  <si>
    <t>betting prediction football</t>
  </si>
  <si>
    <t>ncaa football betting lines las vegas</t>
  </si>
  <si>
    <t>lawro premier league predictions</t>
  </si>
  <si>
    <t>colombia premier league predictions</t>
  </si>
  <si>
    <t>best bitcoin football betting sites</t>
  </si>
  <si>
    <t>kuwait premier league predictions</t>
  </si>
  <si>
    <t>arsenal odds to win premier league</t>
  </si>
  <si>
    <t>soccer betting software</t>
  </si>
  <si>
    <t>college football betting forum</t>
  </si>
  <si>
    <t>top goalscorer premier league odds</t>
  </si>
  <si>
    <t>football betting odds comparison</t>
  </si>
  <si>
    <t>tips for betting on football</t>
  </si>
  <si>
    <t>best ncaa football betting site</t>
  </si>
  <si>
    <t>college football betting lines 2023</t>
  </si>
  <si>
    <t>odds to be relegated premier league</t>
  </si>
  <si>
    <t>premier league darts odds tonight</t>
  </si>
  <si>
    <t>australia premier league predictions</t>
  </si>
  <si>
    <t>odds on premier league winners</t>
  </si>
  <si>
    <t>betting odds for football</t>
  </si>
  <si>
    <t>premier league 2020 odds</t>
  </si>
  <si>
    <t>football manager betting</t>
  </si>
  <si>
    <t>enhanced odds premier league</t>
  </si>
  <si>
    <t>mls soccer betting</t>
  </si>
  <si>
    <t>premier league odds this weekend</t>
  </si>
  <si>
    <t>premier league online betting</t>
  </si>
  <si>
    <t>las vegas betting lines college football</t>
  </si>
  <si>
    <t>barclays premier league betting</t>
  </si>
  <si>
    <t>scottish premier league odds</t>
  </si>
  <si>
    <t>free football betting predictions for today</t>
  </si>
  <si>
    <t>college football betting props</t>
  </si>
  <si>
    <t>spanish football betting tips</t>
  </si>
  <si>
    <t>football betting coral</t>
  </si>
  <si>
    <t>premier league odds to win</t>
  </si>
  <si>
    <t>premier league betting outright</t>
  </si>
  <si>
    <t>england premier league predictions</t>
  </si>
  <si>
    <t>uk football betting site</t>
  </si>
  <si>
    <t>best soccer betting strategy</t>
  </si>
  <si>
    <t>english premier league relegation odds</t>
  </si>
  <si>
    <t>football betting oddschecker</t>
  </si>
  <si>
    <t>soccer betting lines</t>
  </si>
  <si>
    <t>williamhill football betting</t>
  </si>
  <si>
    <t>spanish football betting</t>
  </si>
  <si>
    <t>premier league football scores</t>
  </si>
  <si>
    <t>premier league winner betting</t>
  </si>
  <si>
    <t>william hill betting soccer</t>
  </si>
  <si>
    <t>pk in football betting</t>
  </si>
  <si>
    <t>premier league soccer scores</t>
  </si>
  <si>
    <t>over under betting football</t>
  </si>
  <si>
    <t>football betting unibet</t>
  </si>
  <si>
    <t>odds first manager sacked premier league</t>
  </si>
  <si>
    <t>sportsbook football betting</t>
  </si>
  <si>
    <t>ethereum american football betting sites</t>
  </si>
  <si>
    <t>betting forum college football</t>
  </si>
  <si>
    <t>odds leicester to win premier league</t>
  </si>
  <si>
    <t>weekend football betting</t>
  </si>
  <si>
    <t>malaysian football betting</t>
  </si>
  <si>
    <t>premier league winners betting odds</t>
  </si>
  <si>
    <t>in play soccer betting</t>
  </si>
  <si>
    <t>football prediction betting tips</t>
  </si>
  <si>
    <t>betting football today</t>
  </si>
  <si>
    <t>football betting prices</t>
  </si>
  <si>
    <t>premier league top goal scorers odds</t>
  </si>
  <si>
    <t>premier league relegation betting odds</t>
  </si>
  <si>
    <t>online betting football games</t>
  </si>
  <si>
    <t>malaysia online football betting</t>
  </si>
  <si>
    <t>football betting strategy</t>
  </si>
  <si>
    <t>football betting predictions for weekend</t>
  </si>
  <si>
    <t>soccer betting system</t>
  </si>
  <si>
    <t>soccer betting rules</t>
  </si>
  <si>
    <t>soccer online betting</t>
  </si>
  <si>
    <t>best football betting site uk</t>
  </si>
  <si>
    <t>football betting online uk</t>
  </si>
  <si>
    <t>betting tip football</t>
  </si>
  <si>
    <t>betting odds for soccer</t>
  </si>
  <si>
    <t>football betting game</t>
  </si>
  <si>
    <t>scottish premier league predictions</t>
  </si>
  <si>
    <t>odds premier league title</t>
  </si>
  <si>
    <t>football betting systems free</t>
  </si>
  <si>
    <t>football today betting odds</t>
  </si>
  <si>
    <t>football handicap betting explained</t>
  </si>
  <si>
    <t>premier league futures odds</t>
  </si>
  <si>
    <t>soccer handicap betting</t>
  </si>
  <si>
    <t>world cup football betting</t>
  </si>
  <si>
    <t>best football betting website</t>
  </si>
  <si>
    <t>premier league today predictions</t>
  </si>
  <si>
    <t>premier league fixtures on tv</t>
  </si>
  <si>
    <t>euro football betting</t>
  </si>
  <si>
    <t>soccer betting reddit</t>
  </si>
  <si>
    <t>college football sports betting</t>
  </si>
  <si>
    <t>football betting lines</t>
  </si>
  <si>
    <t>betting strategies football</t>
  </si>
  <si>
    <t>odds next premier league manager sacked</t>
  </si>
  <si>
    <t>football betting softwares</t>
  </si>
  <si>
    <t>premier league outright odds</t>
  </si>
  <si>
    <t>scottish junior football betting</t>
  </si>
  <si>
    <t>championship football betting</t>
  </si>
  <si>
    <t>odds top 4 finish premier league</t>
  </si>
  <si>
    <t>live scores premier league</t>
  </si>
  <si>
    <t>best soccer betting</t>
  </si>
  <si>
    <t>college football betting predictions</t>
  </si>
  <si>
    <t>english football betting</t>
  </si>
  <si>
    <t>betting on nfl football</t>
  </si>
  <si>
    <t>japan premier league predictions</t>
  </si>
  <si>
    <t>college football betting picks</t>
  </si>
  <si>
    <t>football betting calculator accumulator</t>
  </si>
  <si>
    <t>football betting apps with cash out</t>
  </si>
  <si>
    <t>football betting broker</t>
  </si>
  <si>
    <t>michigan football betting</t>
  </si>
  <si>
    <t>today football betting tips</t>
  </si>
  <si>
    <t>soccer betting site</t>
  </si>
  <si>
    <t>football betting systems</t>
  </si>
  <si>
    <t>odds to win english premier league</t>
  </si>
  <si>
    <t>soccer spread betting explained</t>
  </si>
  <si>
    <t>outright premier league odds</t>
  </si>
  <si>
    <t>betting tips for football today</t>
  </si>
  <si>
    <t>football betting org</t>
  </si>
  <si>
    <t>premier league player scores</t>
  </si>
  <si>
    <t>best strategy to win football betting</t>
  </si>
  <si>
    <t>betting odds on today's football</t>
  </si>
  <si>
    <t>betting odds for saturday's football</t>
  </si>
  <si>
    <t>free football betting</t>
  </si>
  <si>
    <t>weekend football betting odds</t>
  </si>
  <si>
    <t>premier league betting apps</t>
  </si>
  <si>
    <t>football betting offer</t>
  </si>
  <si>
    <t>best betting site for football accumulators</t>
  </si>
  <si>
    <t>las vegas college football betting lines</t>
  </si>
  <si>
    <t>betting football tips</t>
  </si>
  <si>
    <t>english premier league predictions</t>
  </si>
  <si>
    <t>football betting bonuses</t>
  </si>
  <si>
    <t>football betting at william hill</t>
  </si>
  <si>
    <t>virtual football betting strategy</t>
  </si>
  <si>
    <t>best football betting sites uk</t>
  </si>
  <si>
    <t>premier league latest scores</t>
  </si>
  <si>
    <t>football betting sites with cash out</t>
  </si>
  <si>
    <t>tips betting football</t>
  </si>
  <si>
    <t>betting betfair football</t>
  </si>
  <si>
    <t>best soccer betting app</t>
  </si>
  <si>
    <t>football betting tips for tomorrow</t>
  </si>
  <si>
    <t>football premier league betting odds</t>
  </si>
  <si>
    <t>betting premier league</t>
  </si>
  <si>
    <t>sky football betting</t>
  </si>
  <si>
    <t>russia premier league predictions</t>
  </si>
  <si>
    <t>football betting singapore</t>
  </si>
  <si>
    <t>inplay football betting tips</t>
  </si>
  <si>
    <t>the best football betting site</t>
  </si>
  <si>
    <t>betting tips for today football matches</t>
  </si>
  <si>
    <t>premier league winner odds</t>
  </si>
  <si>
    <t>odds on next premier league manager sacked</t>
  </si>
  <si>
    <t>odds to win premier league</t>
  </si>
  <si>
    <t>tips football betting</t>
  </si>
  <si>
    <t>football handicap betting</t>
  </si>
  <si>
    <t>europa league football betting</t>
  </si>
  <si>
    <t>uk betting tips football</t>
  </si>
  <si>
    <t>premier league fixtures this weekend</t>
  </si>
  <si>
    <t>man utd to win premier league odds</t>
  </si>
  <si>
    <t>college football betting strategies</t>
  </si>
  <si>
    <t>english premier league odds</t>
  </si>
  <si>
    <t>england football betting tips</t>
  </si>
  <si>
    <t>betting on a football game</t>
  </si>
  <si>
    <t>virtual football betting secrets</t>
  </si>
  <si>
    <t>premier league table betting</t>
  </si>
  <si>
    <t>football manager betting odds</t>
  </si>
  <si>
    <t>soccer betting online usa</t>
  </si>
  <si>
    <t>college football betting lines 2021</t>
  </si>
  <si>
    <t>best betting sites for football</t>
  </si>
  <si>
    <t>manchester united odds to win premier league</t>
  </si>
  <si>
    <t>spread in soccer betting</t>
  </si>
  <si>
    <t>best uk football betting sites</t>
  </si>
  <si>
    <t>william hill premier league betting</t>
  </si>
  <si>
    <t>nfl football betting odds</t>
  </si>
  <si>
    <t>betting on college football online</t>
  </si>
  <si>
    <t>betting in football</t>
  </si>
  <si>
    <t>free soccer betting tips and predictions</t>
  </si>
  <si>
    <t>premier league game odds</t>
  </si>
  <si>
    <t>winner premier league odds</t>
  </si>
  <si>
    <t>premier league young player of the year odds</t>
  </si>
  <si>
    <t>tips on betting football</t>
  </si>
  <si>
    <t>ladbrokes football betting odds</t>
  </si>
  <si>
    <t>ncaa football betting picks</t>
  </si>
  <si>
    <t>betting soccer</t>
  </si>
  <si>
    <t>william hill football betting odds</t>
  </si>
  <si>
    <t>football betting free bet</t>
  </si>
  <si>
    <t>coral betting football</t>
  </si>
  <si>
    <t>england football betting</t>
  </si>
  <si>
    <t>odds for premier league next season</t>
  </si>
  <si>
    <t>premier league top 6 odds</t>
  </si>
  <si>
    <t>odds on winning premier league</t>
  </si>
  <si>
    <t>vegas betting odds college football</t>
  </si>
  <si>
    <t>american football betting markets</t>
  </si>
  <si>
    <t>soccer betting websites</t>
  </si>
  <si>
    <t>barclays premier league fixtures today</t>
  </si>
  <si>
    <t>online soccer betting usa</t>
  </si>
  <si>
    <t>football betting companies</t>
  </si>
  <si>
    <t>soccer tips betting</t>
  </si>
  <si>
    <t>betting tips weekend football</t>
  </si>
  <si>
    <t>bahrain premier league predictions</t>
  </si>
  <si>
    <t>football betting fa cup</t>
  </si>
  <si>
    <t>odds for premier league top scorer</t>
  </si>
  <si>
    <t>soccer betting for beginners</t>
  </si>
  <si>
    <t>betting odds soccer</t>
  </si>
  <si>
    <t>football odds betting</t>
  </si>
  <si>
    <t>football betting odds calculator</t>
  </si>
  <si>
    <t>american football betting tips</t>
  </si>
  <si>
    <t>premier league football fixtures this weekend</t>
  </si>
  <si>
    <t>pokerstars football betting</t>
  </si>
  <si>
    <t>odds on the premier league</t>
  </si>
  <si>
    <t>tips on football betting</t>
  </si>
  <si>
    <t>sky bet premier league relegation odds</t>
  </si>
  <si>
    <t>premier league to win odds</t>
  </si>
  <si>
    <t>latest premier league odds</t>
  </si>
  <si>
    <t>premier league predictions 2019/20</t>
  </si>
  <si>
    <t>english premier league fixtures</t>
  </si>
  <si>
    <t>premier league predictions this weekend</t>
  </si>
  <si>
    <t>barclays premier league odds</t>
  </si>
  <si>
    <t>best football betting odds</t>
  </si>
  <si>
    <t>football betting predictions today</t>
  </si>
  <si>
    <t>online betting soccer</t>
  </si>
  <si>
    <t>premier league sack odds</t>
  </si>
  <si>
    <t>uk football betting odds</t>
  </si>
  <si>
    <t>bangladesh premier league betting tips</t>
  </si>
  <si>
    <t>barclays premier league betting predictions</t>
  </si>
  <si>
    <t>football betting online</t>
  </si>
  <si>
    <t>football sports betting promo codes</t>
  </si>
  <si>
    <t>spurs to win premier league odds</t>
  </si>
  <si>
    <t>football betting free bets</t>
  </si>
  <si>
    <t>premier league team predictions</t>
  </si>
  <si>
    <t>football betting techniques</t>
  </si>
  <si>
    <t>football betting free</t>
  </si>
  <si>
    <t>best football betting tips</t>
  </si>
  <si>
    <t>college football betting lines</t>
  </si>
  <si>
    <t>football betting predictor</t>
  </si>
  <si>
    <t>football betting chart</t>
  </si>
  <si>
    <t>football online betting sites</t>
  </si>
  <si>
    <t>bet365 online sports betting soccer</t>
  </si>
  <si>
    <t>top scorer odds premier league</t>
  </si>
  <si>
    <t>major league soccer betting</t>
  </si>
  <si>
    <t>live betting strategy soccer</t>
  </si>
  <si>
    <t>betting on premier league</t>
  </si>
  <si>
    <t>william hill betting rules football</t>
  </si>
  <si>
    <t>football betting promo codes</t>
  </si>
  <si>
    <t>premier league winner betting odds</t>
  </si>
  <si>
    <t>fkf premier league fixtures</t>
  </si>
  <si>
    <t>malaysia football betting</t>
  </si>
  <si>
    <t>football betting handicap</t>
  </si>
  <si>
    <t>relegation premier league odds</t>
  </si>
  <si>
    <t>betting sites football</t>
  </si>
  <si>
    <t>premier league odds for relegation</t>
  </si>
  <si>
    <t>handicap soccer betting</t>
  </si>
  <si>
    <t>premier league predictions 2020 21</t>
  </si>
  <si>
    <t>odds on winning the premier league</t>
  </si>
  <si>
    <t>latest football betting tips</t>
  </si>
  <si>
    <t>football betting guides</t>
  </si>
  <si>
    <t>best online soccer betting sites</t>
  </si>
  <si>
    <t>free betting tips football</t>
  </si>
  <si>
    <t>italian football betting tips</t>
  </si>
  <si>
    <t>the sun football betting tips</t>
  </si>
  <si>
    <t>betting tips football world cup</t>
  </si>
  <si>
    <t>premier league odds to win the league</t>
  </si>
  <si>
    <t>best football betting websites</t>
  </si>
  <si>
    <t>premier league referee fixtures</t>
  </si>
  <si>
    <t>sports betting football</t>
  </si>
  <si>
    <t>premier league football fixtures</t>
  </si>
  <si>
    <t>first table football betting market</t>
  </si>
  <si>
    <t>betting expert football</t>
  </si>
  <si>
    <t>latest football betting odds</t>
  </si>
  <si>
    <t>football player transfer betting</t>
  </si>
  <si>
    <t>betting on soccer</t>
  </si>
  <si>
    <t>football betting betfred</t>
  </si>
  <si>
    <t>premiership football betting odds</t>
  </si>
  <si>
    <t>football betting malaysia</t>
  </si>
  <si>
    <t>reddit soccer betting</t>
  </si>
  <si>
    <t>football betting coupons</t>
  </si>
  <si>
    <t>football betting explanation</t>
  </si>
  <si>
    <t>ncaa betting line football</t>
  </si>
  <si>
    <t>top scorer premier league odds</t>
  </si>
  <si>
    <t>cfg football betting legit</t>
  </si>
  <si>
    <t>odds on next premier league manager to be sacked</t>
  </si>
  <si>
    <t>premier league fixtures odds</t>
  </si>
  <si>
    <t>premier league darts predictions</t>
  </si>
  <si>
    <t>premier league golden boot odds</t>
  </si>
  <si>
    <t>nigeria premier league live scores</t>
  </si>
  <si>
    <t>betting odds american football</t>
  </si>
  <si>
    <t>football sports betting</t>
  </si>
  <si>
    <t>college football playoff betting</t>
  </si>
  <si>
    <t>latest premier league relegation odds</t>
  </si>
  <si>
    <t>fcs football betting lines</t>
  </si>
  <si>
    <t>premier league winners odds</t>
  </si>
  <si>
    <t>relegation odds for premier league</t>
  </si>
  <si>
    <t>odds for next premier league manager to be sacked</t>
  </si>
  <si>
    <t>football fixtures betting</t>
  </si>
  <si>
    <t>betting websites for football</t>
  </si>
  <si>
    <t>football match betting</t>
  </si>
  <si>
    <t>english premier league scores today</t>
  </si>
  <si>
    <t>best apps for football betting</t>
  </si>
  <si>
    <t>premier league odds outright</t>
  </si>
  <si>
    <t>chelsea odds premier league</t>
  </si>
  <si>
    <t>ncaa football betting predictions</t>
  </si>
  <si>
    <t>college football sports betting picks</t>
  </si>
  <si>
    <t>premier league manager sacked betting</t>
  </si>
  <si>
    <t>football betting squares</t>
  </si>
  <si>
    <t>football betting games with friends</t>
  </si>
  <si>
    <t>corals football betting odds</t>
  </si>
  <si>
    <t>scottish premier league betting odds</t>
  </si>
  <si>
    <t>new football betting site</t>
  </si>
  <si>
    <t>best premier league betting site</t>
  </si>
  <si>
    <t>best football betting strategies</t>
  </si>
  <si>
    <t>premier league win odds</t>
  </si>
  <si>
    <t>bet365 football betting</t>
  </si>
  <si>
    <t>premier league manager odds</t>
  </si>
  <si>
    <t>college football betting apps</t>
  </si>
  <si>
    <t>top goalscorer odds premier league</t>
  </si>
  <si>
    <t>football accumulator betting tips</t>
  </si>
  <si>
    <t>english premier league scores</t>
  </si>
  <si>
    <t>betting on fantasy football</t>
  </si>
  <si>
    <t>betting odds football premier league</t>
  </si>
  <si>
    <t>betting tips football predictions</t>
  </si>
  <si>
    <t>football betting sign up offers</t>
  </si>
  <si>
    <t>premier league predictions this week</t>
  </si>
  <si>
    <t>premier league enhanced odds</t>
  </si>
  <si>
    <t>best football betting sites in india</t>
  </si>
  <si>
    <t>portugal premier league predictions</t>
  </si>
  <si>
    <t>free betting tips 1x2 football predictions</t>
  </si>
  <si>
    <t>best football betting tips for tomorrow</t>
  </si>
  <si>
    <t>champions league football betting</t>
  </si>
  <si>
    <t>premier league odds 2022</t>
  </si>
  <si>
    <t>betting odds on football</t>
  </si>
  <si>
    <t>football betting calculator odds</t>
  </si>
  <si>
    <t>current premier league odds</t>
  </si>
  <si>
    <t>leicester to win premier league odds</t>
  </si>
  <si>
    <t>meaning of handicap in soccer betting</t>
  </si>
  <si>
    <t>betting odds for football today</t>
  </si>
  <si>
    <t>leeds to win premier league odds</t>
  </si>
  <si>
    <t>betting football accumulator</t>
  </si>
  <si>
    <t>ncaa betting lines football</t>
  </si>
  <si>
    <t>college football betting stats</t>
  </si>
  <si>
    <t>betfred football betting</t>
  </si>
  <si>
    <t>premier league top scorer betting</t>
  </si>
  <si>
    <t>premier league winner odds bet365</t>
  </si>
  <si>
    <t>world sports betting soccer fixture</t>
  </si>
  <si>
    <t>betting apps soccer</t>
  </si>
  <si>
    <t>free football betting tips</t>
  </si>
  <si>
    <t>scottish football betting</t>
  </si>
  <si>
    <t>daily football betting tips</t>
  </si>
  <si>
    <t>soccer betting sites that accept bitcoin</t>
  </si>
  <si>
    <t>premier league outright handicap betting</t>
  </si>
  <si>
    <t>football betting expert</t>
  </si>
  <si>
    <t>football betting deals</t>
  </si>
  <si>
    <t>odds on favourite to win premier league</t>
  </si>
  <si>
    <t>premier league top 8 finish odds</t>
  </si>
  <si>
    <t>football betting offers today</t>
  </si>
  <si>
    <t>chile premier league predictions</t>
  </si>
  <si>
    <t>english premier league betting odds</t>
  </si>
  <si>
    <t>football betting online malaysia</t>
  </si>
  <si>
    <t>football spread betting</t>
  </si>
  <si>
    <t>premier league odds for title</t>
  </si>
  <si>
    <t>betting for premier league relegation</t>
  </si>
  <si>
    <t>todays football betting tips</t>
  </si>
  <si>
    <t>football betting tips tomorrow</t>
  </si>
  <si>
    <t>football betting accumulator tips</t>
  </si>
  <si>
    <t>premier league odds winner</t>
  </si>
  <si>
    <t>meaning of handicap in betting football</t>
  </si>
  <si>
    <t>premier league sports betting</t>
  </si>
  <si>
    <t>football betting tips and predictions</t>
  </si>
  <si>
    <t>betting tips for english premier league</t>
  </si>
  <si>
    <t>football betting app</t>
  </si>
  <si>
    <t>best football betting system</t>
  </si>
  <si>
    <t>odds win premier league</t>
  </si>
  <si>
    <t>betting on tamil nadu premier league</t>
  </si>
  <si>
    <t>betting premier league winner</t>
  </si>
  <si>
    <t>football betting today tips</t>
  </si>
  <si>
    <t>soccer betting tip</t>
  </si>
  <si>
    <t>betting strategy football</t>
  </si>
  <si>
    <t>virtual womens football betting</t>
  </si>
  <si>
    <t>betting on scottish premier league</t>
  </si>
  <si>
    <t>betting on college football</t>
  </si>
  <si>
    <t>football betting sites in india</t>
  </si>
  <si>
    <t>mls soccer betting tips</t>
  </si>
  <si>
    <t>odds on relegation premier league</t>
  </si>
  <si>
    <t>premier league fixtures 2019 20</t>
  </si>
  <si>
    <t>soccer betting tips and predictions</t>
  </si>
  <si>
    <t>over/under betting football</t>
  </si>
  <si>
    <t>ladbrokes online football betting</t>
  </si>
  <si>
    <t>online football betting singapore</t>
  </si>
  <si>
    <t>english premier league predictions for saturday</t>
  </si>
  <si>
    <t>best college football betting sites</t>
  </si>
  <si>
    <t>premier league betting in play</t>
  </si>
  <si>
    <t>football betting best odds</t>
  </si>
  <si>
    <t>tips for betting football</t>
  </si>
  <si>
    <t>betting on football in india</t>
  </si>
  <si>
    <t>hills football betting</t>
  </si>
  <si>
    <t>best online betting site for football</t>
  </si>
  <si>
    <t>football betting tips premier league</t>
  </si>
  <si>
    <t>betting predictions football</t>
  </si>
  <si>
    <t>hollywood soccer betting tips</t>
  </si>
  <si>
    <t>best soccer betting site</t>
  </si>
  <si>
    <t>football betting predictions</t>
  </si>
  <si>
    <t>premier league top 4 betting</t>
  </si>
  <si>
    <t>william hill betting football</t>
  </si>
  <si>
    <t>football scores today premier league</t>
  </si>
  <si>
    <t>vegas betting college football</t>
  </si>
  <si>
    <t>best odds premier league</t>
  </si>
  <si>
    <t>betting odds premier league</t>
  </si>
  <si>
    <t>free football betting prediction</t>
  </si>
  <si>
    <t>betting on tonight's football</t>
  </si>
  <si>
    <t>free football betting platform</t>
  </si>
  <si>
    <t>live football on betting sites</t>
  </si>
  <si>
    <t>womens football betting</t>
  </si>
  <si>
    <t>european football betting tips</t>
  </si>
  <si>
    <t>college football betting guide</t>
  </si>
  <si>
    <t>betting football spread</t>
  </si>
  <si>
    <t>english premier league fixtures today</t>
  </si>
  <si>
    <t>israeli premier league betting odds</t>
  </si>
  <si>
    <t>english premier league betting</t>
  </si>
  <si>
    <t>online soccer betting</t>
  </si>
  <si>
    <t>american football betting odds</t>
  </si>
  <si>
    <t>premier league live scores</t>
  </si>
  <si>
    <t>football betting data</t>
  </si>
  <si>
    <t>football betting websites</t>
  </si>
  <si>
    <t>sky sport premier league fixtures</t>
  </si>
  <si>
    <t>major league soccer betting odds</t>
  </si>
  <si>
    <t>best betting app for football</t>
  </si>
  <si>
    <t>premier league darts betting odds</t>
  </si>
  <si>
    <t>australia national premier league predictions</t>
  </si>
  <si>
    <t>everton to win premier league odds</t>
  </si>
  <si>
    <t>bet36 premier league odds</t>
  </si>
  <si>
    <t>soccer betting 1x2 meaning</t>
  </si>
  <si>
    <t>odds for premier league winner</t>
  </si>
  <si>
    <t>football betting in morocco</t>
  </si>
  <si>
    <t>football odds to win premier league</t>
  </si>
  <si>
    <t>odds on premier league</t>
  </si>
  <si>
    <t>best soccer betting app in usa</t>
  </si>
  <si>
    <t>college football betting online</t>
  </si>
  <si>
    <t>barclays premier league scores</t>
  </si>
  <si>
    <t>paddy power premier league odds</t>
  </si>
  <si>
    <t>bitcoin football betting sites</t>
  </si>
  <si>
    <t>next premier league manager sacked odds</t>
  </si>
  <si>
    <t>singapore soccer betting</t>
  </si>
  <si>
    <t>english premier league predictions today</t>
  </si>
  <si>
    <t>football tips betting</t>
  </si>
  <si>
    <t>sky bet premier league winner odds</t>
  </si>
  <si>
    <t>winning premier league odds</t>
  </si>
  <si>
    <t>college football betting lines espn</t>
  </si>
  <si>
    <t>best mobile football betting app</t>
  </si>
  <si>
    <t>premier league winning odds</t>
  </si>
  <si>
    <t>euro football betting odds</t>
  </si>
  <si>
    <t>best odds premier league winner</t>
  </si>
  <si>
    <t>odds for the premier league title</t>
  </si>
  <si>
    <t>las vegas football betting line</t>
  </si>
  <si>
    <t>betting tips football</t>
  </si>
  <si>
    <t>inplay football betting</t>
  </si>
  <si>
    <t>football betting games</t>
  </si>
  <si>
    <t>national football league betting line</t>
  </si>
  <si>
    <t>football betting forums</t>
  </si>
  <si>
    <t>this week premier league fixtures</t>
  </si>
  <si>
    <t>football sports betting explained</t>
  </si>
  <si>
    <t>betting odds college football</t>
  </si>
  <si>
    <t>best online football betting</t>
  </si>
  <si>
    <t>best betting strategy for football</t>
  </si>
  <si>
    <t>over under football betting</t>
  </si>
  <si>
    <t>best football betting odds today</t>
  </si>
  <si>
    <t>ncaa football public betting</t>
  </si>
  <si>
    <t>football betting terms</t>
  </si>
  <si>
    <t>next premier league manager to be sacked betting</t>
  </si>
  <si>
    <t>football betting app malaysia</t>
  </si>
  <si>
    <t>today's soccer betting tips and predictions</t>
  </si>
  <si>
    <t>latest soccer betting odds</t>
  </si>
  <si>
    <t>football betting books</t>
  </si>
  <si>
    <t>epl football betting tips</t>
  </si>
  <si>
    <t>national football league betting</t>
  </si>
  <si>
    <t>football acca betting</t>
  </si>
  <si>
    <t>denmark premier league predictions</t>
  </si>
  <si>
    <t>live football betting strategy</t>
  </si>
  <si>
    <t>best football betting sites</t>
  </si>
  <si>
    <t>in play football betting</t>
  </si>
  <si>
    <t>football betting book</t>
  </si>
  <si>
    <t>football betting tips sites</t>
  </si>
  <si>
    <t>online football betting malaysia</t>
  </si>
  <si>
    <t>premier league and fixtures</t>
  </si>
  <si>
    <t>tips for betting on soccer</t>
  </si>
  <si>
    <t>jamaica premier league predictions</t>
  </si>
  <si>
    <t>football betting explained</t>
  </si>
  <si>
    <t>odds premier league winner</t>
  </si>
  <si>
    <t>best betting football sites</t>
  </si>
  <si>
    <t>pro football betting lines</t>
  </si>
  <si>
    <t>soccer betting advice</t>
  </si>
  <si>
    <t>egypt premier league table predictions</t>
  </si>
  <si>
    <t>best premier league betting apps</t>
  </si>
  <si>
    <t>college football betting tips</t>
  </si>
  <si>
    <t>ncaaf football betting sites</t>
  </si>
  <si>
    <t>football betting saturday</t>
  </si>
  <si>
    <t>soccer betting apps</t>
  </si>
  <si>
    <t>betting tips in football</t>
  </si>
  <si>
    <t>football betting form</t>
  </si>
  <si>
    <t>betting on football</t>
  </si>
  <si>
    <t>premier league player of the year odds</t>
  </si>
  <si>
    <t>soccer world cup betting</t>
  </si>
  <si>
    <t>premier league relegation betting</t>
  </si>
  <si>
    <t>south africa premier league predictions</t>
  </si>
  <si>
    <t>premier league handicap betting</t>
  </si>
  <si>
    <t>football betting bonus</t>
  </si>
  <si>
    <t>scottish premier league title odds</t>
  </si>
  <si>
    <t>football betting tips uk accumulator</t>
  </si>
  <si>
    <t>soccer betting sites in south africa</t>
  </si>
  <si>
    <t>online football betting odds</t>
  </si>
  <si>
    <t>odds on relegation from the premier league</t>
  </si>
  <si>
    <t>betting on football online</t>
  </si>
  <si>
    <t>saturday premier league predictions</t>
  </si>
  <si>
    <t>spread betting football</t>
  </si>
  <si>
    <t>premier league odds online</t>
  </si>
  <si>
    <t>betting on football transfers</t>
  </si>
  <si>
    <t>professional football betting</t>
  </si>
  <si>
    <t>premier league table predictions</t>
  </si>
  <si>
    <t>premier league fixtures this weekend please</t>
  </si>
  <si>
    <t>odds on chelsea winning premier league</t>
  </si>
  <si>
    <t>premier league darts odds</t>
  </si>
  <si>
    <t>football specials betting</t>
  </si>
  <si>
    <t>syracuse football betting line</t>
  </si>
  <si>
    <t>paddy power soccer betting</t>
  </si>
  <si>
    <t>odds på premier league</t>
  </si>
  <si>
    <t>football betting app development</t>
  </si>
  <si>
    <t>football betting forum</t>
  </si>
  <si>
    <t>fantasy football betting</t>
  </si>
  <si>
    <t>man united odds to win premier league</t>
  </si>
  <si>
    <t>english premier league title odds</t>
  </si>
  <si>
    <t>football betting slip</t>
  </si>
  <si>
    <t>best football betting app</t>
  </si>
  <si>
    <t>new football betting sites</t>
  </si>
  <si>
    <t>free football betting tips of the day</t>
  </si>
  <si>
    <t>football league betting</t>
  </si>
  <si>
    <t>premier league betting sites uk</t>
  </si>
  <si>
    <t>list of football betting sites</t>
  </si>
  <si>
    <t>premier league fixtures and results</t>
  </si>
  <si>
    <t>premier league top scorer betting odds</t>
  </si>
  <si>
    <t>football betting tip</t>
  </si>
  <si>
    <t>premier league fixtures tomorrow</t>
  </si>
  <si>
    <t>football betting uk</t>
  </si>
  <si>
    <t>football betting champions league</t>
  </si>
  <si>
    <t>betting rules - football</t>
  </si>
  <si>
    <t>premier league to be relegated odds</t>
  </si>
  <si>
    <t>fantasy premier league predictions</t>
  </si>
  <si>
    <t>soccer betting sites usa</t>
  </si>
  <si>
    <t>football betting william hill</t>
  </si>
  <si>
    <t>barclays premier league fixtures</t>
  </si>
  <si>
    <t>premier league winner 2022 odds</t>
  </si>
  <si>
    <t>best soccer betting tips sites</t>
  </si>
  <si>
    <t>premier league table 2023/24 fixtures</t>
  </si>
  <si>
    <t>football betting markets</t>
  </si>
  <si>
    <t>football betting apps for android</t>
  </si>
  <si>
    <t>football betting tips accumulator</t>
  </si>
  <si>
    <t>scottish football betting odds</t>
  </si>
  <si>
    <t>william hill football betting world cup</t>
  </si>
  <si>
    <t>football betting coupon</t>
  </si>
  <si>
    <t>soccer betting trends</t>
  </si>
  <si>
    <t>online sports betting football</t>
  </si>
  <si>
    <t>sky bet football betting</t>
  </si>
  <si>
    <t>betting zone football</t>
  </si>
  <si>
    <t>ladies soccer betting</t>
  </si>
  <si>
    <t>football betting experts</t>
  </si>
  <si>
    <t>in play betting football</t>
  </si>
  <si>
    <t>football betting not on gamstop</t>
  </si>
  <si>
    <t>bet366 premier league odds</t>
  </si>
  <si>
    <t>premier league live scores today</t>
  </si>
  <si>
    <t>bitcoin online football betting</t>
  </si>
  <si>
    <t>football betting rules</t>
  </si>
  <si>
    <t>tips on betting on football</t>
  </si>
  <si>
    <t>croatia premier league predictions</t>
  </si>
  <si>
    <t>premier league 2020/21 odds</t>
  </si>
  <si>
    <t>premier league top goalscorer betting offers</t>
  </si>
  <si>
    <t>premier league odds 2021</t>
  </si>
  <si>
    <t>premier league fixtures 2017/2018</t>
  </si>
  <si>
    <t>odds tips premier league</t>
  </si>
  <si>
    <t>russian premier league predictions</t>
  </si>
  <si>
    <t>first premier league manager to be sacked odds</t>
  </si>
  <si>
    <t>football betting spread</t>
  </si>
  <si>
    <t>odds for relegation premier league</t>
  </si>
  <si>
    <t>premier league clean sheet odds</t>
  </si>
  <si>
    <t>nfl football betting tips</t>
  </si>
  <si>
    <t>football stats for betting</t>
  </si>
  <si>
    <t>ecuador premier league predictions</t>
  </si>
  <si>
    <t>football betting sites</t>
  </si>
  <si>
    <t>online football betting canada</t>
  </si>
  <si>
    <t>bitcoin soccer betting</t>
  </si>
  <si>
    <t>odds to be relegated from premier league</t>
  </si>
  <si>
    <t>free soccer betting picks</t>
  </si>
  <si>
    <t>premier league betting predictions</t>
  </si>
  <si>
    <t>football betting statistic</t>
  </si>
  <si>
    <t>football live betting strategy</t>
  </si>
  <si>
    <t>betting odds football</t>
  </si>
  <si>
    <t>darts premier league betting</t>
  </si>
  <si>
    <t>betting on american football</t>
  </si>
  <si>
    <t>premier league champion odds</t>
  </si>
  <si>
    <t>premier league top 4 predictions</t>
  </si>
  <si>
    <t>online premier league betting</t>
  </si>
  <si>
    <t>best soccer betting prediction sites</t>
  </si>
  <si>
    <t>premier league anytime goalscorer odds</t>
  </si>
  <si>
    <t>best betting sites football</t>
  </si>
  <si>
    <t>football betting advice</t>
  </si>
  <si>
    <t>football betting blog</t>
  </si>
  <si>
    <t>william hill soccer betting</t>
  </si>
  <si>
    <t>premier league betting strategy</t>
  </si>
  <si>
    <t>ethiopia premier league predictions</t>
  </si>
  <si>
    <t>sky football betting odds</t>
  </si>
  <si>
    <t>best betting site football</t>
  </si>
  <si>
    <t>barclays premier league predictions</t>
  </si>
  <si>
    <t>premier league betting online</t>
  </si>
  <si>
    <t>public betting college football</t>
  </si>
  <si>
    <t>football betting sites that accept bitcoin</t>
  </si>
  <si>
    <t>arsenal to win premier league odds</t>
  </si>
  <si>
    <t>football betting calculators</t>
  </si>
  <si>
    <t>betting premier league tips</t>
  </si>
  <si>
    <t>betting tipsters football</t>
  </si>
  <si>
    <t>betting tips football accumulator</t>
  </si>
  <si>
    <t>ncaa football betting odds</t>
  </si>
  <si>
    <t>football transfer betting odds</t>
  </si>
  <si>
    <t>latest premier league title odds</t>
  </si>
  <si>
    <t>betting for football</t>
  </si>
  <si>
    <t>football sport betting</t>
  </si>
  <si>
    <t>best college football betting site</t>
  </si>
  <si>
    <t>italian football betting</t>
  </si>
  <si>
    <t>football betting sites new</t>
  </si>
  <si>
    <t>football betting previews</t>
  </si>
  <si>
    <t>online betting for football</t>
  </si>
  <si>
    <t>college football betting odds</t>
  </si>
  <si>
    <t>latest premier league scores</t>
  </si>
  <si>
    <t>football betting handicap explained</t>
  </si>
  <si>
    <t>soccer betting online</t>
  </si>
  <si>
    <t>win premier league odds</t>
  </si>
  <si>
    <t>win the premier league odds</t>
  </si>
  <si>
    <t>today's football betting tips</t>
  </si>
  <si>
    <t>betting football odds</t>
  </si>
  <si>
    <t>best football betting app india</t>
  </si>
  <si>
    <t>indian super league soccer betting</t>
  </si>
  <si>
    <t>tanzania premier league predictions</t>
  </si>
  <si>
    <t>football parlay betting online</t>
  </si>
  <si>
    <t>betting on thursday night football</t>
  </si>
  <si>
    <t>football betting sites not on gamstop</t>
  </si>
  <si>
    <t>ncaa football betting</t>
  </si>
  <si>
    <t>odds for english premier league</t>
  </si>
  <si>
    <t>odds on premier league winner</t>
  </si>
  <si>
    <t>english premier league odds to win</t>
  </si>
  <si>
    <t>ncaa football betting line</t>
  </si>
  <si>
    <t>indian premier league odds</t>
  </si>
  <si>
    <t>bet365 football betting odds</t>
  </si>
  <si>
    <t>football betting in play</t>
  </si>
  <si>
    <t>football accumulator betting</t>
  </si>
  <si>
    <t>england premier league fixtures</t>
  </si>
  <si>
    <t>football betting william</t>
  </si>
  <si>
    <t>premier league scores yesterday</t>
  </si>
  <si>
    <t>soccer betting explained</t>
  </si>
  <si>
    <t>scottish premier league scores</t>
  </si>
  <si>
    <t>football moneyline betting</t>
  </si>
  <si>
    <t>online football betting sites</t>
  </si>
  <si>
    <t>football betting system</t>
  </si>
  <si>
    <t>best football betting tips today</t>
  </si>
  <si>
    <t>todays football betting</t>
  </si>
  <si>
    <t>football betting tips forum</t>
  </si>
  <si>
    <t>premier league managers sacked odds</t>
  </si>
  <si>
    <t>oddschecker football betting</t>
  </si>
  <si>
    <t>premier league betting tips for tonight</t>
  </si>
  <si>
    <t>pro football betting</t>
  </si>
  <si>
    <t>odds on chelsea to win premier league</t>
  </si>
  <si>
    <t>betting in soccer</t>
  </si>
  <si>
    <t>football betting tips free</t>
  </si>
  <si>
    <t>betting tips football accumulator today</t>
  </si>
  <si>
    <t>college football betting line</t>
  </si>
  <si>
    <t>todays premier league fixtures</t>
  </si>
  <si>
    <t>888 football betting</t>
  </si>
  <si>
    <t>best betting tips football</t>
  </si>
  <si>
    <t>latest odds to win premier league</t>
  </si>
  <si>
    <t>vegas football betting</t>
  </si>
  <si>
    <t>betting tips football tomorrow</t>
  </si>
  <si>
    <t>best football betting strategy</t>
  </si>
  <si>
    <t>plus and minus in betting football</t>
  </si>
  <si>
    <t>football betting online sites</t>
  </si>
  <si>
    <t>premier league football betting</t>
  </si>
  <si>
    <t>nfl football betting</t>
  </si>
  <si>
    <t>best football betting app uk</t>
  </si>
  <si>
    <t>betting odds football world cup</t>
  </si>
  <si>
    <t>premier league points spread betting</t>
  </si>
  <si>
    <t>caribbean premier league online betting</t>
  </si>
  <si>
    <t>betting odds on premier league</t>
  </si>
  <si>
    <t>betting odds next premier league manager sacked</t>
  </si>
  <si>
    <t>caribbean premier league predictions</t>
  </si>
  <si>
    <t>best football betting apps</t>
  </si>
  <si>
    <t>online football betting</t>
  </si>
  <si>
    <t>premier league football score predictions</t>
  </si>
  <si>
    <t>bbc premier league predictions</t>
  </si>
  <si>
    <t>odds english premier league</t>
  </si>
  <si>
    <t>premier league relegation predictions</t>
  </si>
  <si>
    <t>premier league score predictions</t>
  </si>
  <si>
    <t>belgium premier league predictions</t>
  </si>
  <si>
    <t>football betting algorithm</t>
  </si>
  <si>
    <t>paul merson premier league predictions</t>
  </si>
  <si>
    <t>betting on premier league games</t>
  </si>
  <si>
    <t>uk football betting</t>
  </si>
  <si>
    <t>vinnare premier league odds</t>
  </si>
  <si>
    <t>english premier league betting tips</t>
  </si>
  <si>
    <t>saturday football betting tips</t>
  </si>
  <si>
    <t>best betting strategy football</t>
  </si>
  <si>
    <t>football transfer betting bet365</t>
  </si>
  <si>
    <t>women's football betting</t>
  </si>
  <si>
    <t>football betting online india</t>
  </si>
  <si>
    <t>top 4 premier league odds</t>
  </si>
  <si>
    <t>premier league fixtures this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</si>
</sst>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3" fontId="4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6" t="str">
        <f>IFERROR(__xludf.DUMMYFUNCTION("IMPORTRANGE(""https://docs.google.com/spreadsheets/d/1LduFx7JK4t-GmGIaBexReDj5uh95VZrwzy2h8Fs4wwk/edit?usp=sharing"", ""'Bracket 7 - Premier League Betting'!M3:M"")"),"premier league betting bahamas")</f>
        <v>premier league betting bahamas</v>
      </c>
      <c r="C2" s="8"/>
      <c r="N2" s="9"/>
    </row>
    <row r="3">
      <c r="B3" s="6" t="str">
        <f>IFERROR(__xludf.DUMMYFUNCTION("""COMPUTED_VALUE"""),"premier league bets bahamas")</f>
        <v>premier league bets bahamas</v>
      </c>
      <c r="N3" s="9"/>
    </row>
    <row r="4">
      <c r="B4" s="6" t="str">
        <f>IFERROR(__xludf.DUMMYFUNCTION("""COMPUTED_VALUE"""),"premier league bet bahamas")</f>
        <v>premier league bet bahamas</v>
      </c>
      <c r="N4" s="9"/>
    </row>
    <row r="5">
      <c r="B5" s="6" t="str">
        <f>IFERROR(__xludf.DUMMYFUNCTION("""COMPUTED_VALUE"""),"premier league odds bahamas")</f>
        <v>premier league odds bahamas</v>
      </c>
      <c r="N5" s="9"/>
    </row>
    <row r="6">
      <c r="B6" s="6" t="str">
        <f>IFERROR(__xludf.DUMMYFUNCTION("""COMPUTED_VALUE"""),"premier league predictions bahamas")</f>
        <v>premier league predictions bahamas</v>
      </c>
    </row>
    <row r="7">
      <c r="B7" s="6" t="str">
        <f>IFERROR(__xludf.DUMMYFUNCTION("""COMPUTED_VALUE"""),"premier league scores bahamas")</f>
        <v>premier league scores bahamas</v>
      </c>
    </row>
    <row r="8">
      <c r="B8" s="6" t="str">
        <f>IFERROR(__xludf.DUMMYFUNCTION("""COMPUTED_VALUE"""),"premier league fixtures bahamas")</f>
        <v>premier league fixtures bahamas</v>
      </c>
    </row>
    <row r="9">
      <c r="B9" s="6" t="str">
        <f>IFERROR(__xludf.DUMMYFUNCTION("""COMPUTED_VALUE"""),"football betting bahamas")</f>
        <v>football betting bahamas</v>
      </c>
    </row>
    <row r="10">
      <c r="B10" s="6" t="str">
        <f>IFERROR(__xludf.DUMMYFUNCTION("""COMPUTED_VALUE"""),"soccer betting bahamas")</f>
        <v>soccer betting bahamas</v>
      </c>
    </row>
    <row r="11">
      <c r="B11" s="6" t="str">
        <f>IFERROR(__xludf.DUMMYFUNCTION("""COMPUTED_VALUE"""),"EPL betting bahamas")</f>
        <v>EPL betting bahamas</v>
      </c>
    </row>
    <row r="12">
      <c r="B12" s="6" t="str">
        <f>IFERROR(__xludf.DUMMYFUNCTION("""COMPUTED_VALUE"""),"premier league betting caribbean")</f>
        <v>premier league betting caribbean</v>
      </c>
    </row>
    <row r="13">
      <c r="B13" s="6" t="str">
        <f>IFERROR(__xludf.DUMMYFUNCTION("""COMPUTED_VALUE"""),"premier league bets caribbean")</f>
        <v>premier league bets caribbean</v>
      </c>
    </row>
    <row r="14">
      <c r="B14" s="6" t="str">
        <f>IFERROR(__xludf.DUMMYFUNCTION("""COMPUTED_VALUE"""),"premier league bet caribbean")</f>
        <v>premier league bet caribbean</v>
      </c>
    </row>
    <row r="15">
      <c r="B15" s="6" t="str">
        <f>IFERROR(__xludf.DUMMYFUNCTION("""COMPUTED_VALUE"""),"premier league odds caribbean")</f>
        <v>premier league odds caribbean</v>
      </c>
    </row>
    <row r="16">
      <c r="B16" s="6" t="str">
        <f>IFERROR(__xludf.DUMMYFUNCTION("""COMPUTED_VALUE"""),"premier league predictions caribbean")</f>
        <v>premier league predictions caribbean</v>
      </c>
    </row>
    <row r="17">
      <c r="B17" s="6" t="str">
        <f>IFERROR(__xludf.DUMMYFUNCTION("""COMPUTED_VALUE"""),"premier league scores caribbean")</f>
        <v>premier league scores caribbean</v>
      </c>
    </row>
    <row r="18">
      <c r="B18" s="6" t="str">
        <f>IFERROR(__xludf.DUMMYFUNCTION("""COMPUTED_VALUE"""),"premier league fixtures caribbean")</f>
        <v>premier league fixtures caribbean</v>
      </c>
    </row>
    <row r="19">
      <c r="B19" s="6" t="str">
        <f>IFERROR(__xludf.DUMMYFUNCTION("""COMPUTED_VALUE"""),"football betting caribbean")</f>
        <v>football betting caribbean</v>
      </c>
    </row>
    <row r="20">
      <c r="B20" s="6" t="str">
        <f>IFERROR(__xludf.DUMMYFUNCTION("""COMPUTED_VALUE"""),"soccer betting caribbean")</f>
        <v>soccer betting caribbean</v>
      </c>
    </row>
    <row r="21">
      <c r="B21" s="6" t="str">
        <f>IFERROR(__xludf.DUMMYFUNCTION("""COMPUTED_VALUE"""),"EPL betting caribbean")</f>
        <v>EPL betting caribbean</v>
      </c>
    </row>
    <row r="22">
      <c r="B22" s="6" t="str">
        <f>IFERROR(__xludf.DUMMYFUNCTION("""COMPUTED_VALUE"""),"premier league betting today")</f>
        <v>premier league betting today</v>
      </c>
    </row>
    <row r="23">
      <c r="B23" s="6" t="str">
        <f>IFERROR(__xludf.DUMMYFUNCTION("""COMPUTED_VALUE"""),"premier league bets today")</f>
        <v>premier league bets today</v>
      </c>
    </row>
    <row r="24">
      <c r="B24" s="6" t="str">
        <f>IFERROR(__xludf.DUMMYFUNCTION("""COMPUTED_VALUE"""),"premier league bet today")</f>
        <v>premier league bet today</v>
      </c>
    </row>
    <row r="25">
      <c r="B25" s="6" t="str">
        <f>IFERROR(__xludf.DUMMYFUNCTION("""COMPUTED_VALUE"""),"premier league odds today")</f>
        <v>premier league odds today</v>
      </c>
    </row>
    <row r="26">
      <c r="B26" s="6" t="str">
        <f>IFERROR(__xludf.DUMMYFUNCTION("""COMPUTED_VALUE"""),"premier league predictions today")</f>
        <v>premier league predictions today</v>
      </c>
    </row>
    <row r="27">
      <c r="B27" s="6" t="str">
        <f>IFERROR(__xludf.DUMMYFUNCTION("""COMPUTED_VALUE"""),"premier league scores today")</f>
        <v>premier league scores today</v>
      </c>
    </row>
    <row r="28">
      <c r="B28" s="6" t="str">
        <f>IFERROR(__xludf.DUMMYFUNCTION("""COMPUTED_VALUE"""),"premier league fixtures today")</f>
        <v>premier league fixtures today</v>
      </c>
    </row>
    <row r="29">
      <c r="B29" s="6" t="str">
        <f>IFERROR(__xludf.DUMMYFUNCTION("""COMPUTED_VALUE"""),"football betting today")</f>
        <v>football betting today</v>
      </c>
    </row>
    <row r="30">
      <c r="B30" s="6" t="str">
        <f>IFERROR(__xludf.DUMMYFUNCTION("""COMPUTED_VALUE"""),"soccer betting today")</f>
        <v>soccer betting today</v>
      </c>
    </row>
    <row r="31">
      <c r="B31" s="6" t="str">
        <f>IFERROR(__xludf.DUMMYFUNCTION("""COMPUTED_VALUE"""),"EPL betting today")</f>
        <v>EPL betting today</v>
      </c>
    </row>
    <row r="32">
      <c r="B32" s="6" t="str">
        <f>IFERROR(__xludf.DUMMYFUNCTION("""COMPUTED_VALUE"""),"premier league betting tonight")</f>
        <v>premier league betting tonight</v>
      </c>
    </row>
    <row r="33">
      <c r="B33" s="6" t="str">
        <f>IFERROR(__xludf.DUMMYFUNCTION("""COMPUTED_VALUE"""),"premier league bets tonight")</f>
        <v>premier league bets tonight</v>
      </c>
    </row>
    <row r="34">
      <c r="B34" s="6" t="str">
        <f>IFERROR(__xludf.DUMMYFUNCTION("""COMPUTED_VALUE"""),"premier league bet tonight")</f>
        <v>premier league bet tonight</v>
      </c>
    </row>
    <row r="35">
      <c r="B35" s="6" t="str">
        <f>IFERROR(__xludf.DUMMYFUNCTION("""COMPUTED_VALUE"""),"premier league odds tonight")</f>
        <v>premier league odds tonight</v>
      </c>
    </row>
    <row r="36">
      <c r="B36" s="6" t="str">
        <f>IFERROR(__xludf.DUMMYFUNCTION("""COMPUTED_VALUE"""),"premier league predictions tonight")</f>
        <v>premier league predictions tonight</v>
      </c>
    </row>
    <row r="37">
      <c r="B37" s="6" t="str">
        <f>IFERROR(__xludf.DUMMYFUNCTION("""COMPUTED_VALUE"""),"premier league scores tonight")</f>
        <v>premier league scores tonight</v>
      </c>
    </row>
    <row r="38">
      <c r="B38" s="6" t="str">
        <f>IFERROR(__xludf.DUMMYFUNCTION("""COMPUTED_VALUE"""),"premier league fixtures tonight")</f>
        <v>premier league fixtures tonight</v>
      </c>
    </row>
    <row r="39">
      <c r="B39" s="6" t="str">
        <f>IFERROR(__xludf.DUMMYFUNCTION("""COMPUTED_VALUE"""),"football betting tonight")</f>
        <v>football betting tonight</v>
      </c>
    </row>
    <row r="40">
      <c r="B40" s="6" t="str">
        <f>IFERROR(__xludf.DUMMYFUNCTION("""COMPUTED_VALUE"""),"soccer betting tonight")</f>
        <v>soccer betting tonight</v>
      </c>
    </row>
    <row r="41">
      <c r="B41" s="6" t="str">
        <f>IFERROR(__xludf.DUMMYFUNCTION("""COMPUTED_VALUE"""),"EPL betting tonight")</f>
        <v>EPL betting tonight</v>
      </c>
    </row>
    <row r="42">
      <c r="B42" s="6" t="str">
        <f>IFERROR(__xludf.DUMMYFUNCTION("""COMPUTED_VALUE"""),"premier league betting live")</f>
        <v>premier league betting live</v>
      </c>
    </row>
    <row r="43">
      <c r="B43" s="6" t="str">
        <f>IFERROR(__xludf.DUMMYFUNCTION("""COMPUTED_VALUE"""),"premier league bets live")</f>
        <v>premier league bets live</v>
      </c>
    </row>
    <row r="44">
      <c r="B44" s="6" t="str">
        <f>IFERROR(__xludf.DUMMYFUNCTION("""COMPUTED_VALUE"""),"premier league bet live")</f>
        <v>premier league bet live</v>
      </c>
    </row>
    <row r="45">
      <c r="B45" s="6" t="str">
        <f>IFERROR(__xludf.DUMMYFUNCTION("""COMPUTED_VALUE"""),"premier league odds live")</f>
        <v>premier league odds live</v>
      </c>
    </row>
    <row r="46">
      <c r="B46" s="6" t="str">
        <f>IFERROR(__xludf.DUMMYFUNCTION("""COMPUTED_VALUE"""),"premier league predictions live")</f>
        <v>premier league predictions live</v>
      </c>
    </row>
    <row r="47">
      <c r="B47" s="6" t="str">
        <f>IFERROR(__xludf.DUMMYFUNCTION("""COMPUTED_VALUE"""),"premier league scores live")</f>
        <v>premier league scores live</v>
      </c>
    </row>
    <row r="48">
      <c r="B48" s="6" t="str">
        <f>IFERROR(__xludf.DUMMYFUNCTION("""COMPUTED_VALUE"""),"premier league fixtures live")</f>
        <v>premier league fixtures live</v>
      </c>
    </row>
    <row r="49">
      <c r="B49" s="6" t="str">
        <f>IFERROR(__xludf.DUMMYFUNCTION("""COMPUTED_VALUE"""),"football betting live")</f>
        <v>football betting live</v>
      </c>
    </row>
    <row r="50">
      <c r="B50" s="6" t="str">
        <f>IFERROR(__xludf.DUMMYFUNCTION("""COMPUTED_VALUE"""),"soccer betting live")</f>
        <v>soccer betting live</v>
      </c>
    </row>
    <row r="51">
      <c r="B51" s="6" t="str">
        <f>IFERROR(__xludf.DUMMYFUNCTION("""COMPUTED_VALUE"""),"EPL betting live")</f>
        <v>EPL betting live</v>
      </c>
    </row>
    <row r="52">
      <c r="B52" s="6" t="str">
        <f>IFERROR(__xludf.DUMMYFUNCTION("""COMPUTED_VALUE"""),"premier league betting matches today")</f>
        <v>premier league betting matches today</v>
      </c>
    </row>
    <row r="53">
      <c r="B53" s="6" t="str">
        <f>IFERROR(__xludf.DUMMYFUNCTION("""COMPUTED_VALUE"""),"premier league bets matches today")</f>
        <v>premier league bets matches today</v>
      </c>
    </row>
    <row r="54">
      <c r="B54" s="6" t="str">
        <f>IFERROR(__xludf.DUMMYFUNCTION("""COMPUTED_VALUE"""),"premier league bet matches today")</f>
        <v>premier league bet matches today</v>
      </c>
    </row>
    <row r="55">
      <c r="B55" s="6" t="str">
        <f>IFERROR(__xludf.DUMMYFUNCTION("""COMPUTED_VALUE"""),"premier league odds matches today")</f>
        <v>premier league odds matches today</v>
      </c>
    </row>
    <row r="56">
      <c r="B56" s="6" t="str">
        <f>IFERROR(__xludf.DUMMYFUNCTION("""COMPUTED_VALUE"""),"premier league predictions matches today")</f>
        <v>premier league predictions matches today</v>
      </c>
    </row>
    <row r="57">
      <c r="B57" s="6" t="str">
        <f>IFERROR(__xludf.DUMMYFUNCTION("""COMPUTED_VALUE"""),"premier league scores matches today")</f>
        <v>premier league scores matches today</v>
      </c>
    </row>
    <row r="58">
      <c r="B58" s="6" t="str">
        <f>IFERROR(__xludf.DUMMYFUNCTION("""COMPUTED_VALUE"""),"premier league fixtures matches today")</f>
        <v>premier league fixtures matches today</v>
      </c>
    </row>
    <row r="59">
      <c r="B59" s="6" t="str">
        <f>IFERROR(__xludf.DUMMYFUNCTION("""COMPUTED_VALUE"""),"football betting matches today")</f>
        <v>football betting matches today</v>
      </c>
    </row>
    <row r="60">
      <c r="B60" s="6" t="str">
        <f>IFERROR(__xludf.DUMMYFUNCTION("""COMPUTED_VALUE"""),"soccer betting matches today")</f>
        <v>soccer betting matches today</v>
      </c>
    </row>
    <row r="61">
      <c r="B61" s="6" t="str">
        <f>IFERROR(__xludf.DUMMYFUNCTION("""COMPUTED_VALUE"""),"EPL betting matches today")</f>
        <v>EPL betting matches today</v>
      </c>
    </row>
    <row r="62">
      <c r="B62" s="6" t="str">
        <f>IFERROR(__xludf.DUMMYFUNCTION("""COMPUTED_VALUE"""),"premier league betting fixtures today")</f>
        <v>premier league betting fixtures today</v>
      </c>
    </row>
    <row r="63">
      <c r="B63" s="6" t="str">
        <f>IFERROR(__xludf.DUMMYFUNCTION("""COMPUTED_VALUE"""),"premier league bets fixtures today")</f>
        <v>premier league bets fixtures today</v>
      </c>
    </row>
    <row r="64">
      <c r="B64" s="6" t="str">
        <f>IFERROR(__xludf.DUMMYFUNCTION("""COMPUTED_VALUE"""),"premier league bet fixtures today")</f>
        <v>premier league bet fixtures today</v>
      </c>
    </row>
    <row r="65">
      <c r="B65" s="6" t="str">
        <f>IFERROR(__xludf.DUMMYFUNCTION("""COMPUTED_VALUE"""),"premier league odds fixtures today")</f>
        <v>premier league odds fixtures today</v>
      </c>
    </row>
    <row r="66">
      <c r="B66" s="6" t="str">
        <f>IFERROR(__xludf.DUMMYFUNCTION("""COMPUTED_VALUE"""),"premier league predictions fixtures today")</f>
        <v>premier league predictions fixtures today</v>
      </c>
    </row>
    <row r="67">
      <c r="B67" s="6" t="str">
        <f>IFERROR(__xludf.DUMMYFUNCTION("""COMPUTED_VALUE"""),"premier league scores fixtures today")</f>
        <v>premier league scores fixtures today</v>
      </c>
    </row>
    <row r="68">
      <c r="B68" s="6" t="str">
        <f>IFERROR(__xludf.DUMMYFUNCTION("""COMPUTED_VALUE"""),"premier league fixtures fixtures today")</f>
        <v>premier league fixtures fixtures today</v>
      </c>
    </row>
    <row r="69">
      <c r="B69" s="6" t="str">
        <f>IFERROR(__xludf.DUMMYFUNCTION("""COMPUTED_VALUE"""),"football betting fixtures today")</f>
        <v>football betting fixtures today</v>
      </c>
    </row>
    <row r="70">
      <c r="B70" s="6" t="str">
        <f>IFERROR(__xludf.DUMMYFUNCTION("""COMPUTED_VALUE"""),"soccer betting fixtures today")</f>
        <v>soccer betting fixtures today</v>
      </c>
    </row>
    <row r="71">
      <c r="B71" s="6" t="str">
        <f>IFERROR(__xludf.DUMMYFUNCTION("""COMPUTED_VALUE"""),"EPL betting fixtures today")</f>
        <v>EPL betting fixtures today</v>
      </c>
    </row>
    <row r="72">
      <c r="B72" s="6" t="str">
        <f>IFERROR(__xludf.DUMMYFUNCTION("""COMPUTED_VALUE"""),"premier league betting scores today")</f>
        <v>premier league betting scores today</v>
      </c>
    </row>
    <row r="73">
      <c r="B73" s="6" t="str">
        <f>IFERROR(__xludf.DUMMYFUNCTION("""COMPUTED_VALUE"""),"premier league bets scores today")</f>
        <v>premier league bets scores today</v>
      </c>
    </row>
    <row r="74">
      <c r="B74" s="6" t="str">
        <f>IFERROR(__xludf.DUMMYFUNCTION("""COMPUTED_VALUE"""),"premier league bet scores today")</f>
        <v>premier league bet scores today</v>
      </c>
    </row>
    <row r="75">
      <c r="B75" s="6" t="str">
        <f>IFERROR(__xludf.DUMMYFUNCTION("""COMPUTED_VALUE"""),"premier league odds scores today")</f>
        <v>premier league odds scores today</v>
      </c>
    </row>
    <row r="76">
      <c r="B76" s="6" t="str">
        <f>IFERROR(__xludf.DUMMYFUNCTION("""COMPUTED_VALUE"""),"premier league predictions scores today")</f>
        <v>premier league predictions scores today</v>
      </c>
    </row>
    <row r="77">
      <c r="B77" s="6" t="str">
        <f>IFERROR(__xludf.DUMMYFUNCTION("""COMPUTED_VALUE"""),"premier league scores scores today")</f>
        <v>premier league scores scores today</v>
      </c>
    </row>
    <row r="78">
      <c r="B78" s="6" t="str">
        <f>IFERROR(__xludf.DUMMYFUNCTION("""COMPUTED_VALUE"""),"premier league fixtures scores today")</f>
        <v>premier league fixtures scores today</v>
      </c>
    </row>
    <row r="79">
      <c r="B79" s="6" t="str">
        <f>IFERROR(__xludf.DUMMYFUNCTION("""COMPUTED_VALUE"""),"football betting scores today")</f>
        <v>football betting scores today</v>
      </c>
    </row>
    <row r="80">
      <c r="B80" s="6" t="str">
        <f>IFERROR(__xludf.DUMMYFUNCTION("""COMPUTED_VALUE"""),"soccer betting scores today")</f>
        <v>soccer betting scores today</v>
      </c>
    </row>
    <row r="81">
      <c r="B81" s="6" t="str">
        <f>IFERROR(__xludf.DUMMYFUNCTION("""COMPUTED_VALUE"""),"EPL betting scores today")</f>
        <v>EPL betting scores today</v>
      </c>
    </row>
    <row r="82">
      <c r="B82" s="6" t="str">
        <f>IFERROR(__xludf.DUMMYFUNCTION("""COMPUTED_VALUE"""),"premier league betting results")</f>
        <v>premier league betting results</v>
      </c>
    </row>
    <row r="83">
      <c r="B83" s="6" t="str">
        <f>IFERROR(__xludf.DUMMYFUNCTION("""COMPUTED_VALUE"""),"premier league bets results")</f>
        <v>premier league bets results</v>
      </c>
    </row>
    <row r="84">
      <c r="B84" s="6" t="str">
        <f>IFERROR(__xludf.DUMMYFUNCTION("""COMPUTED_VALUE"""),"premier league bet results")</f>
        <v>premier league bet results</v>
      </c>
    </row>
    <row r="85">
      <c r="B85" s="6" t="str">
        <f>IFERROR(__xludf.DUMMYFUNCTION("""COMPUTED_VALUE"""),"premier league odds results")</f>
        <v>premier league odds results</v>
      </c>
    </row>
    <row r="86">
      <c r="B86" s="6" t="str">
        <f>IFERROR(__xludf.DUMMYFUNCTION("""COMPUTED_VALUE"""),"premier league predictions results")</f>
        <v>premier league predictions results</v>
      </c>
    </row>
    <row r="87">
      <c r="B87" s="6" t="str">
        <f>IFERROR(__xludf.DUMMYFUNCTION("""COMPUTED_VALUE"""),"premier league scores results")</f>
        <v>premier league scores results</v>
      </c>
    </row>
    <row r="88">
      <c r="B88" s="6" t="str">
        <f>IFERROR(__xludf.DUMMYFUNCTION("""COMPUTED_VALUE"""),"premier league fixtures results")</f>
        <v>premier league fixtures results</v>
      </c>
    </row>
    <row r="89">
      <c r="B89" s="6" t="str">
        <f>IFERROR(__xludf.DUMMYFUNCTION("""COMPUTED_VALUE"""),"football betting results")</f>
        <v>football betting results</v>
      </c>
    </row>
    <row r="90">
      <c r="B90" s="6" t="str">
        <f>IFERROR(__xludf.DUMMYFUNCTION("""COMPUTED_VALUE"""),"soccer betting results")</f>
        <v>soccer betting results</v>
      </c>
    </row>
    <row r="91">
      <c r="B91" s="6" t="str">
        <f>IFERROR(__xludf.DUMMYFUNCTION("""COMPUTED_VALUE"""),"EPL betting results")</f>
        <v>EPL betting results</v>
      </c>
    </row>
    <row r="92">
      <c r="B92" s="6" t="str">
        <f>IFERROR(__xludf.DUMMYFUNCTION("""COMPUTED_VALUE"""),"premier league betting table")</f>
        <v>premier league betting table</v>
      </c>
    </row>
    <row r="93">
      <c r="B93" s="6" t="str">
        <f>IFERROR(__xludf.DUMMYFUNCTION("""COMPUTED_VALUE"""),"premier league bets table")</f>
        <v>premier league bets table</v>
      </c>
    </row>
    <row r="94">
      <c r="B94" s="6" t="str">
        <f>IFERROR(__xludf.DUMMYFUNCTION("""COMPUTED_VALUE"""),"premier league bet table")</f>
        <v>premier league bet table</v>
      </c>
    </row>
    <row r="95">
      <c r="B95" s="6" t="str">
        <f>IFERROR(__xludf.DUMMYFUNCTION("""COMPUTED_VALUE"""),"premier league odds table")</f>
        <v>premier league odds table</v>
      </c>
    </row>
    <row r="96">
      <c r="B96" s="6" t="str">
        <f>IFERROR(__xludf.DUMMYFUNCTION("""COMPUTED_VALUE"""),"premier league predictions table")</f>
        <v>premier league predictions table</v>
      </c>
    </row>
    <row r="97">
      <c r="B97" s="6" t="str">
        <f>IFERROR(__xludf.DUMMYFUNCTION("""COMPUTED_VALUE"""),"premier league scores table")</f>
        <v>premier league scores table</v>
      </c>
    </row>
    <row r="98">
      <c r="B98" s="6" t="str">
        <f>IFERROR(__xludf.DUMMYFUNCTION("""COMPUTED_VALUE"""),"premier league fixtures table")</f>
        <v>premier league fixtures table</v>
      </c>
    </row>
    <row r="99">
      <c r="B99" s="6" t="str">
        <f>IFERROR(__xludf.DUMMYFUNCTION("""COMPUTED_VALUE"""),"football betting table")</f>
        <v>football betting table</v>
      </c>
    </row>
    <row r="100">
      <c r="B100" s="6" t="str">
        <f>IFERROR(__xludf.DUMMYFUNCTION("""COMPUTED_VALUE"""),"soccer betting table")</f>
        <v>soccer betting table</v>
      </c>
    </row>
    <row r="101">
      <c r="B101" s="6" t="str">
        <f>IFERROR(__xludf.DUMMYFUNCTION("""COMPUTED_VALUE"""),"EPL betting table")</f>
        <v>EPL betting table</v>
      </c>
    </row>
    <row r="102">
      <c r="B102" s="6" t="str">
        <f>IFERROR(__xludf.DUMMYFUNCTION("""COMPUTED_VALUE"""),"premier league betting standings")</f>
        <v>premier league betting standings</v>
      </c>
    </row>
    <row r="103">
      <c r="B103" s="6" t="str">
        <f>IFERROR(__xludf.DUMMYFUNCTION("""COMPUTED_VALUE"""),"premier league bets standings")</f>
        <v>premier league bets standings</v>
      </c>
    </row>
    <row r="104">
      <c r="B104" s="6" t="str">
        <f>IFERROR(__xludf.DUMMYFUNCTION("""COMPUTED_VALUE"""),"premier league bet standings")</f>
        <v>premier league bet standings</v>
      </c>
    </row>
    <row r="105">
      <c r="B105" s="6" t="str">
        <f>IFERROR(__xludf.DUMMYFUNCTION("""COMPUTED_VALUE"""),"premier league odds standings")</f>
        <v>premier league odds standings</v>
      </c>
    </row>
    <row r="106">
      <c r="B106" s="6" t="str">
        <f>IFERROR(__xludf.DUMMYFUNCTION("""COMPUTED_VALUE"""),"premier league predictions standings")</f>
        <v>premier league predictions standings</v>
      </c>
    </row>
    <row r="107">
      <c r="B107" s="6" t="str">
        <f>IFERROR(__xludf.DUMMYFUNCTION("""COMPUTED_VALUE"""),"premier league scores standings")</f>
        <v>premier league scores standings</v>
      </c>
    </row>
    <row r="108">
      <c r="B108" s="6" t="str">
        <f>IFERROR(__xludf.DUMMYFUNCTION("""COMPUTED_VALUE"""),"premier league fixtures standings")</f>
        <v>premier league fixtures standings</v>
      </c>
    </row>
    <row r="109">
      <c r="B109" s="6" t="str">
        <f>IFERROR(__xludf.DUMMYFUNCTION("""COMPUTED_VALUE"""),"football betting standings")</f>
        <v>football betting standings</v>
      </c>
    </row>
    <row r="110">
      <c r="B110" s="6" t="str">
        <f>IFERROR(__xludf.DUMMYFUNCTION("""COMPUTED_VALUE"""),"soccer betting standings")</f>
        <v>soccer betting standings</v>
      </c>
    </row>
    <row r="111">
      <c r="B111" s="6" t="str">
        <f>IFERROR(__xludf.DUMMYFUNCTION("""COMPUTED_VALUE"""),"EPL betting standings")</f>
        <v>EPL betting standings</v>
      </c>
    </row>
    <row r="112">
      <c r="B112" s="6" t="str">
        <f>IFERROR(__xludf.DUMMYFUNCTION("""COMPUTED_VALUE"""),"premier league betting odds today")</f>
        <v>premier league betting odds today</v>
      </c>
    </row>
    <row r="113">
      <c r="B113" s="6" t="str">
        <f>IFERROR(__xludf.DUMMYFUNCTION("""COMPUTED_VALUE"""),"premier league bets odds today")</f>
        <v>premier league bets odds today</v>
      </c>
    </row>
    <row r="114">
      <c r="B114" s="6" t="str">
        <f>IFERROR(__xludf.DUMMYFUNCTION("""COMPUTED_VALUE"""),"premier league bet odds today")</f>
        <v>premier league bet odds today</v>
      </c>
    </row>
    <row r="115">
      <c r="B115" s="6" t="str">
        <f>IFERROR(__xludf.DUMMYFUNCTION("""COMPUTED_VALUE"""),"premier league odds odds today")</f>
        <v>premier league odds odds today</v>
      </c>
    </row>
    <row r="116">
      <c r="B116" s="6" t="str">
        <f>IFERROR(__xludf.DUMMYFUNCTION("""COMPUTED_VALUE"""),"premier league predictions odds today")</f>
        <v>premier league predictions odds today</v>
      </c>
    </row>
    <row r="117">
      <c r="B117" s="6" t="str">
        <f>IFERROR(__xludf.DUMMYFUNCTION("""COMPUTED_VALUE"""),"premier league scores odds today")</f>
        <v>premier league scores odds today</v>
      </c>
    </row>
    <row r="118">
      <c r="B118" s="6" t="str">
        <f>IFERROR(__xludf.DUMMYFUNCTION("""COMPUTED_VALUE"""),"premier league fixtures odds today")</f>
        <v>premier league fixtures odds today</v>
      </c>
    </row>
    <row r="119">
      <c r="B119" s="6" t="str">
        <f>IFERROR(__xludf.DUMMYFUNCTION("""COMPUTED_VALUE"""),"football betting odds today")</f>
        <v>football betting odds today</v>
      </c>
    </row>
    <row r="120">
      <c r="B120" s="6" t="str">
        <f>IFERROR(__xludf.DUMMYFUNCTION("""COMPUTED_VALUE"""),"soccer betting odds today")</f>
        <v>soccer betting odds today</v>
      </c>
    </row>
    <row r="121">
      <c r="B121" s="6" t="str">
        <f>IFERROR(__xludf.DUMMYFUNCTION("""COMPUTED_VALUE"""),"EPL betting odds today")</f>
        <v>EPL betting odds today</v>
      </c>
    </row>
    <row r="122">
      <c r="B122" s="6" t="str">
        <f>IFERROR(__xludf.DUMMYFUNCTION("""COMPUTED_VALUE"""),"premier league betting live odds")</f>
        <v>premier league betting live odds</v>
      </c>
    </row>
    <row r="123">
      <c r="B123" s="6" t="str">
        <f>IFERROR(__xludf.DUMMYFUNCTION("""COMPUTED_VALUE"""),"premier league bets live odds")</f>
        <v>premier league bets live odds</v>
      </c>
    </row>
    <row r="124">
      <c r="B124" s="6" t="str">
        <f>IFERROR(__xludf.DUMMYFUNCTION("""COMPUTED_VALUE"""),"premier league bet live odds")</f>
        <v>premier league bet live odds</v>
      </c>
    </row>
    <row r="125">
      <c r="B125" s="6" t="str">
        <f>IFERROR(__xludf.DUMMYFUNCTION("""COMPUTED_VALUE"""),"premier league odds live odds")</f>
        <v>premier league odds live odds</v>
      </c>
    </row>
    <row r="126">
      <c r="B126" s="6" t="str">
        <f>IFERROR(__xludf.DUMMYFUNCTION("""COMPUTED_VALUE"""),"premier league predictions live odds")</f>
        <v>premier league predictions live odds</v>
      </c>
    </row>
    <row r="127">
      <c r="B127" s="6" t="str">
        <f>IFERROR(__xludf.DUMMYFUNCTION("""COMPUTED_VALUE"""),"premier league scores live odds")</f>
        <v>premier league scores live odds</v>
      </c>
    </row>
    <row r="128">
      <c r="B128" s="6" t="str">
        <f>IFERROR(__xludf.DUMMYFUNCTION("""COMPUTED_VALUE"""),"premier league fixtures live odds")</f>
        <v>premier league fixtures live odds</v>
      </c>
    </row>
    <row r="129">
      <c r="B129" s="6" t="str">
        <f>IFERROR(__xludf.DUMMYFUNCTION("""COMPUTED_VALUE"""),"football betting live odds")</f>
        <v>football betting live odds</v>
      </c>
    </row>
    <row r="130">
      <c r="B130" s="6" t="str">
        <f>IFERROR(__xludf.DUMMYFUNCTION("""COMPUTED_VALUE"""),"soccer betting live odds")</f>
        <v>soccer betting live odds</v>
      </c>
    </row>
    <row r="131">
      <c r="B131" s="6" t="str">
        <f>IFERROR(__xludf.DUMMYFUNCTION("""COMPUTED_VALUE"""),"EPL betting live odds")</f>
        <v>EPL betting live odds</v>
      </c>
    </row>
    <row r="132">
      <c r="B132" s="6" t="str">
        <f>IFERROR(__xludf.DUMMYFUNCTION("""COMPUTED_VALUE"""),"premier league betting picks")</f>
        <v>premier league betting picks</v>
      </c>
    </row>
    <row r="133">
      <c r="B133" s="6" t="str">
        <f>IFERROR(__xludf.DUMMYFUNCTION("""COMPUTED_VALUE"""),"premier league bets picks")</f>
        <v>premier league bets picks</v>
      </c>
    </row>
    <row r="134">
      <c r="B134" s="6" t="str">
        <f>IFERROR(__xludf.DUMMYFUNCTION("""COMPUTED_VALUE"""),"premier league bet picks")</f>
        <v>premier league bet picks</v>
      </c>
    </row>
    <row r="135">
      <c r="B135" s="6" t="str">
        <f>IFERROR(__xludf.DUMMYFUNCTION("""COMPUTED_VALUE"""),"premier league odds picks")</f>
        <v>premier league odds picks</v>
      </c>
    </row>
    <row r="136">
      <c r="B136" s="6" t="str">
        <f>IFERROR(__xludf.DUMMYFUNCTION("""COMPUTED_VALUE"""),"premier league predictions picks")</f>
        <v>premier league predictions picks</v>
      </c>
    </row>
    <row r="137">
      <c r="B137" s="6" t="str">
        <f>IFERROR(__xludf.DUMMYFUNCTION("""COMPUTED_VALUE"""),"premier league scores picks")</f>
        <v>premier league scores picks</v>
      </c>
    </row>
    <row r="138">
      <c r="B138" s="6" t="str">
        <f>IFERROR(__xludf.DUMMYFUNCTION("""COMPUTED_VALUE"""),"premier league fixtures picks")</f>
        <v>premier league fixtures picks</v>
      </c>
    </row>
    <row r="139">
      <c r="B139" s="6" t="str">
        <f>IFERROR(__xludf.DUMMYFUNCTION("""COMPUTED_VALUE"""),"football betting picks")</f>
        <v>football betting picks</v>
      </c>
    </row>
    <row r="140">
      <c r="B140" s="6" t="str">
        <f>IFERROR(__xludf.DUMMYFUNCTION("""COMPUTED_VALUE"""),"soccer betting picks")</f>
        <v>soccer betting picks</v>
      </c>
    </row>
    <row r="141">
      <c r="B141" s="6" t="str">
        <f>IFERROR(__xludf.DUMMYFUNCTION("""COMPUTED_VALUE"""),"EPL betting picks")</f>
        <v>EPL betting picks</v>
      </c>
    </row>
    <row r="142">
      <c r="B142" s="6" t="str">
        <f>IFERROR(__xludf.DUMMYFUNCTION("""COMPUTED_VALUE"""),"premier league betting tips")</f>
        <v>premier league betting tips</v>
      </c>
    </row>
    <row r="143">
      <c r="B143" s="6" t="str">
        <f>IFERROR(__xludf.DUMMYFUNCTION("""COMPUTED_VALUE"""),"premier league bets tips")</f>
        <v>premier league bets tips</v>
      </c>
    </row>
    <row r="144">
      <c r="B144" s="6" t="str">
        <f>IFERROR(__xludf.DUMMYFUNCTION("""COMPUTED_VALUE"""),"premier league bet tips")</f>
        <v>premier league bet tips</v>
      </c>
    </row>
    <row r="145">
      <c r="B145" s="6" t="str">
        <f>IFERROR(__xludf.DUMMYFUNCTION("""COMPUTED_VALUE"""),"premier league odds tips")</f>
        <v>premier league odds tips</v>
      </c>
    </row>
    <row r="146">
      <c r="B146" s="6" t="str">
        <f>IFERROR(__xludf.DUMMYFUNCTION("""COMPUTED_VALUE"""),"premier league predictions tips")</f>
        <v>premier league predictions tips</v>
      </c>
    </row>
    <row r="147">
      <c r="B147" s="6" t="str">
        <f>IFERROR(__xludf.DUMMYFUNCTION("""COMPUTED_VALUE"""),"premier league scores tips")</f>
        <v>premier league scores tips</v>
      </c>
    </row>
    <row r="148">
      <c r="B148" s="6" t="str">
        <f>IFERROR(__xludf.DUMMYFUNCTION("""COMPUTED_VALUE"""),"premier league fixtures tips")</f>
        <v>premier league fixtures tips</v>
      </c>
    </row>
    <row r="149">
      <c r="B149" s="6" t="str">
        <f>IFERROR(__xludf.DUMMYFUNCTION("""COMPUTED_VALUE"""),"football betting tips")</f>
        <v>football betting tips</v>
      </c>
    </row>
    <row r="150">
      <c r="B150" s="6" t="str">
        <f>IFERROR(__xludf.DUMMYFUNCTION("""COMPUTED_VALUE"""),"soccer betting tips")</f>
        <v>soccer betting tips</v>
      </c>
    </row>
    <row r="151">
      <c r="B151" s="6" t="str">
        <f>IFERROR(__xludf.DUMMYFUNCTION("""COMPUTED_VALUE"""),"EPL betting tips")</f>
        <v>EPL betting tips</v>
      </c>
    </row>
    <row r="152">
      <c r="B152" s="6" t="str">
        <f>IFERROR(__xludf.DUMMYFUNCTION("""COMPUTED_VALUE"""),"premier league betting parlay")</f>
        <v>premier league betting parlay</v>
      </c>
    </row>
    <row r="153">
      <c r="B153" s="6" t="str">
        <f>IFERROR(__xludf.DUMMYFUNCTION("""COMPUTED_VALUE"""),"premier league bets parlay")</f>
        <v>premier league bets parlay</v>
      </c>
    </row>
    <row r="154">
      <c r="B154" s="6" t="str">
        <f>IFERROR(__xludf.DUMMYFUNCTION("""COMPUTED_VALUE"""),"premier league bet parlay")</f>
        <v>premier league bet parlay</v>
      </c>
    </row>
    <row r="155">
      <c r="B155" s="6" t="str">
        <f>IFERROR(__xludf.DUMMYFUNCTION("""COMPUTED_VALUE"""),"premier league odds parlay")</f>
        <v>premier league odds parlay</v>
      </c>
    </row>
    <row r="156">
      <c r="B156" s="6" t="str">
        <f>IFERROR(__xludf.DUMMYFUNCTION("""COMPUTED_VALUE"""),"premier league predictions parlay")</f>
        <v>premier league predictions parlay</v>
      </c>
    </row>
    <row r="157">
      <c r="B157" s="6" t="str">
        <f>IFERROR(__xludf.DUMMYFUNCTION("""COMPUTED_VALUE"""),"premier league scores parlay")</f>
        <v>premier league scores parlay</v>
      </c>
    </row>
    <row r="158">
      <c r="B158" s="6" t="str">
        <f>IFERROR(__xludf.DUMMYFUNCTION("""COMPUTED_VALUE"""),"premier league fixtures parlay")</f>
        <v>premier league fixtures parlay</v>
      </c>
    </row>
    <row r="159">
      <c r="B159" s="6" t="str">
        <f>IFERROR(__xludf.DUMMYFUNCTION("""COMPUTED_VALUE"""),"football betting parlay")</f>
        <v>football betting parlay</v>
      </c>
    </row>
    <row r="160">
      <c r="B160" s="6" t="str">
        <f>IFERROR(__xludf.DUMMYFUNCTION("""COMPUTED_VALUE"""),"soccer betting parlay")</f>
        <v>soccer betting parlay</v>
      </c>
    </row>
    <row r="161">
      <c r="B161" s="6" t="str">
        <f>IFERROR(__xludf.DUMMYFUNCTION("""COMPUTED_VALUE"""),"EPL betting parlay")</f>
        <v>EPL betting parlay</v>
      </c>
    </row>
    <row r="162">
      <c r="B162" s="6" t="str">
        <f>IFERROR(__xludf.DUMMYFUNCTION("""COMPUTED_VALUE"""),"premier league betting accumulator")</f>
        <v>premier league betting accumulator</v>
      </c>
    </row>
    <row r="163">
      <c r="B163" s="6" t="str">
        <f>IFERROR(__xludf.DUMMYFUNCTION("""COMPUTED_VALUE"""),"premier league bets accumulator")</f>
        <v>premier league bets accumulator</v>
      </c>
    </row>
    <row r="164">
      <c r="B164" s="6" t="str">
        <f>IFERROR(__xludf.DUMMYFUNCTION("""COMPUTED_VALUE"""),"premier league bet accumulator")</f>
        <v>premier league bet accumulator</v>
      </c>
    </row>
    <row r="165">
      <c r="B165" s="6" t="str">
        <f>IFERROR(__xludf.DUMMYFUNCTION("""COMPUTED_VALUE"""),"premier league odds accumulator")</f>
        <v>premier league odds accumulator</v>
      </c>
    </row>
    <row r="166">
      <c r="B166" s="6" t="str">
        <f>IFERROR(__xludf.DUMMYFUNCTION("""COMPUTED_VALUE"""),"premier league predictions accumulator")</f>
        <v>premier league predictions accumulator</v>
      </c>
    </row>
    <row r="167">
      <c r="B167" s="6" t="str">
        <f>IFERROR(__xludf.DUMMYFUNCTION("""COMPUTED_VALUE"""),"premier league scores accumulator")</f>
        <v>premier league scores accumulator</v>
      </c>
    </row>
    <row r="168">
      <c r="B168" s="6" t="str">
        <f>IFERROR(__xludf.DUMMYFUNCTION("""COMPUTED_VALUE"""),"premier league fixtures accumulator")</f>
        <v>premier league fixtures accumulator</v>
      </c>
    </row>
    <row r="169">
      <c r="B169" s="6" t="str">
        <f>IFERROR(__xludf.DUMMYFUNCTION("""COMPUTED_VALUE"""),"football betting accumulator")</f>
        <v>football betting accumulator</v>
      </c>
    </row>
    <row r="170">
      <c r="B170" s="6" t="str">
        <f>IFERROR(__xludf.DUMMYFUNCTION("""COMPUTED_VALUE"""),"soccer betting accumulator")</f>
        <v>soccer betting accumulator</v>
      </c>
    </row>
    <row r="171">
      <c r="B171" s="6" t="str">
        <f>IFERROR(__xludf.DUMMYFUNCTION("""COMPUTED_VALUE"""),"EPL betting accumulator")</f>
        <v>EPL betting accumulator</v>
      </c>
    </row>
    <row r="172">
      <c r="B172" s="6" t="str">
        <f>IFERROR(__xludf.DUMMYFUNCTION("""COMPUTED_VALUE"""),"premier league betting bet online")</f>
        <v>premier league betting bet online</v>
      </c>
    </row>
    <row r="173">
      <c r="B173" s="6" t="str">
        <f>IFERROR(__xludf.DUMMYFUNCTION("""COMPUTED_VALUE"""),"premier league bets bet online")</f>
        <v>premier league bets bet online</v>
      </c>
    </row>
    <row r="174">
      <c r="B174" s="6" t="str">
        <f>IFERROR(__xludf.DUMMYFUNCTION("""COMPUTED_VALUE"""),"premier league bet bet online")</f>
        <v>premier league bet bet online</v>
      </c>
    </row>
    <row r="175">
      <c r="B175" s="6" t="str">
        <f>IFERROR(__xludf.DUMMYFUNCTION("""COMPUTED_VALUE"""),"premier league odds bet online")</f>
        <v>premier league odds bet online</v>
      </c>
    </row>
    <row r="176">
      <c r="B176" s="6" t="str">
        <f>IFERROR(__xludf.DUMMYFUNCTION("""COMPUTED_VALUE"""),"premier league predictions bet online")</f>
        <v>premier league predictions bet online</v>
      </c>
    </row>
    <row r="177">
      <c r="B177" s="6" t="str">
        <f>IFERROR(__xludf.DUMMYFUNCTION("""COMPUTED_VALUE"""),"premier league scores bet online")</f>
        <v>premier league scores bet online</v>
      </c>
    </row>
    <row r="178">
      <c r="B178" s="6" t="str">
        <f>IFERROR(__xludf.DUMMYFUNCTION("""COMPUTED_VALUE"""),"premier league fixtures bet online")</f>
        <v>premier league fixtures bet online</v>
      </c>
    </row>
    <row r="179">
      <c r="B179" s="6" t="str">
        <f>IFERROR(__xludf.DUMMYFUNCTION("""COMPUTED_VALUE"""),"football betting bet online")</f>
        <v>football betting bet online</v>
      </c>
    </row>
    <row r="180">
      <c r="B180" s="6" t="str">
        <f>IFERROR(__xludf.DUMMYFUNCTION("""COMPUTED_VALUE"""),"soccer betting bet online")</f>
        <v>soccer betting bet online</v>
      </c>
    </row>
    <row r="181">
      <c r="B181" s="6" t="str">
        <f>IFERROR(__xludf.DUMMYFUNCTION("""COMPUTED_VALUE"""),"EPL betting bet online")</f>
        <v>EPL betting bet online</v>
      </c>
    </row>
    <row r="182">
      <c r="B182" s="6" t="str">
        <f>IFERROR(__xludf.DUMMYFUNCTION("""COMPUTED_VALUE"""),"premier league betting sportsbook")</f>
        <v>premier league betting sportsbook</v>
      </c>
    </row>
    <row r="183">
      <c r="B183" s="6" t="str">
        <f>IFERROR(__xludf.DUMMYFUNCTION("""COMPUTED_VALUE"""),"premier league bets sportsbook")</f>
        <v>premier league bets sportsbook</v>
      </c>
    </row>
    <row r="184">
      <c r="B184" s="6" t="str">
        <f>IFERROR(__xludf.DUMMYFUNCTION("""COMPUTED_VALUE"""),"premier league bet sportsbook")</f>
        <v>premier league bet sportsbook</v>
      </c>
    </row>
    <row r="185">
      <c r="B185" s="6" t="str">
        <f>IFERROR(__xludf.DUMMYFUNCTION("""COMPUTED_VALUE"""),"premier league odds sportsbook")</f>
        <v>premier league odds sportsbook</v>
      </c>
    </row>
    <row r="186">
      <c r="B186" s="6" t="str">
        <f>IFERROR(__xludf.DUMMYFUNCTION("""COMPUTED_VALUE"""),"premier league predictions sportsbook")</f>
        <v>premier league predictions sportsbook</v>
      </c>
    </row>
    <row r="187">
      <c r="B187" s="6" t="str">
        <f>IFERROR(__xludf.DUMMYFUNCTION("""COMPUTED_VALUE"""),"premier league scores sportsbook")</f>
        <v>premier league scores sportsbook</v>
      </c>
    </row>
    <row r="188">
      <c r="B188" s="6" t="str">
        <f>IFERROR(__xludf.DUMMYFUNCTION("""COMPUTED_VALUE"""),"premier league fixtures sportsbook")</f>
        <v>premier league fixtures sportsbook</v>
      </c>
    </row>
    <row r="189">
      <c r="B189" s="6" t="str">
        <f>IFERROR(__xludf.DUMMYFUNCTION("""COMPUTED_VALUE"""),"football betting sportsbook")</f>
        <v>football betting sportsbook</v>
      </c>
    </row>
    <row r="190">
      <c r="B190" s="6" t="str">
        <f>IFERROR(__xludf.DUMMYFUNCTION("""COMPUTED_VALUE"""),"soccer betting sportsbook")</f>
        <v>soccer betting sportsbook</v>
      </c>
    </row>
    <row r="191">
      <c r="B191" s="6" t="str">
        <f>IFERROR(__xludf.DUMMYFUNCTION("""COMPUTED_VALUE"""),"EPL betting sportsbook")</f>
        <v>EPL betting sportsbook</v>
      </c>
    </row>
    <row r="192">
      <c r="B192" s="6" t="str">
        <f>IFERROR(__xludf.DUMMYFUNCTION("""COMPUTED_VALUE"""),"premier league betting betting app")</f>
        <v>premier league betting betting app</v>
      </c>
    </row>
    <row r="193">
      <c r="B193" s="6" t="str">
        <f>IFERROR(__xludf.DUMMYFUNCTION("""COMPUTED_VALUE"""),"premier league bets betting app")</f>
        <v>premier league bets betting app</v>
      </c>
    </row>
    <row r="194">
      <c r="B194" s="6" t="str">
        <f>IFERROR(__xludf.DUMMYFUNCTION("""COMPUTED_VALUE"""),"premier league bet betting app")</f>
        <v>premier league bet betting app</v>
      </c>
    </row>
    <row r="195">
      <c r="B195" s="6" t="str">
        <f>IFERROR(__xludf.DUMMYFUNCTION("""COMPUTED_VALUE"""),"premier league odds betting app")</f>
        <v>premier league odds betting app</v>
      </c>
    </row>
    <row r="196">
      <c r="B196" s="6" t="str">
        <f>IFERROR(__xludf.DUMMYFUNCTION("""COMPUTED_VALUE"""),"premier league predictions betting app")</f>
        <v>premier league predictions betting app</v>
      </c>
    </row>
    <row r="197">
      <c r="B197" s="6" t="str">
        <f>IFERROR(__xludf.DUMMYFUNCTION("""COMPUTED_VALUE"""),"premier league scores betting app")</f>
        <v>premier league scores betting app</v>
      </c>
    </row>
    <row r="198">
      <c r="B198" s="6" t="str">
        <f>IFERROR(__xludf.DUMMYFUNCTION("""COMPUTED_VALUE"""),"premier league fixtures betting app")</f>
        <v>premier league fixtures betting app</v>
      </c>
    </row>
    <row r="199">
      <c r="B199" s="6" t="str">
        <f>IFERROR(__xludf.DUMMYFUNCTION("""COMPUTED_VALUE"""),"football betting betting app")</f>
        <v>football betting betting app</v>
      </c>
    </row>
    <row r="200">
      <c r="B200" s="6" t="str">
        <f>IFERROR(__xludf.DUMMYFUNCTION("""COMPUTED_VALUE"""),"soccer betting betting app")</f>
        <v>soccer betting betting app</v>
      </c>
    </row>
    <row r="201">
      <c r="B201" s="6" t="str">
        <f>IFERROR(__xludf.DUMMYFUNCTION("""COMPUTED_VALUE"""),"EPL betting betting app")</f>
        <v>EPL betting betting app</v>
      </c>
    </row>
    <row r="202">
      <c r="B202" s="6" t="str">
        <f>IFERROR(__xludf.DUMMYFUNCTION("""COMPUTED_VALUE"""),"premier league betting best")</f>
        <v>premier league betting best</v>
      </c>
    </row>
    <row r="203">
      <c r="B203" s="6" t="str">
        <f>IFERROR(__xludf.DUMMYFUNCTION("""COMPUTED_VALUE"""),"premier league bets best")</f>
        <v>premier league bets best</v>
      </c>
    </row>
    <row r="204">
      <c r="B204" s="6" t="str">
        <f>IFERROR(__xludf.DUMMYFUNCTION("""COMPUTED_VALUE"""),"premier league bet best")</f>
        <v>premier league bet best</v>
      </c>
    </row>
    <row r="205">
      <c r="B205" s="6" t="str">
        <f>IFERROR(__xludf.DUMMYFUNCTION("""COMPUTED_VALUE"""),"premier league odds best")</f>
        <v>premier league odds best</v>
      </c>
    </row>
    <row r="206">
      <c r="B206" s="6" t="str">
        <f>IFERROR(__xludf.DUMMYFUNCTION("""COMPUTED_VALUE"""),"premier league predictions best")</f>
        <v>premier league predictions best</v>
      </c>
    </row>
    <row r="207">
      <c r="B207" s="6" t="str">
        <f>IFERROR(__xludf.DUMMYFUNCTION("""COMPUTED_VALUE"""),"premier league scores best")</f>
        <v>premier league scores best</v>
      </c>
    </row>
    <row r="208">
      <c r="B208" s="6" t="str">
        <f>IFERROR(__xludf.DUMMYFUNCTION("""COMPUTED_VALUE"""),"premier league fixtures best")</f>
        <v>premier league fixtures best</v>
      </c>
    </row>
    <row r="209">
      <c r="B209" s="6" t="str">
        <f>IFERROR(__xludf.DUMMYFUNCTION("""COMPUTED_VALUE"""),"football betting best")</f>
        <v>football betting best</v>
      </c>
    </row>
    <row r="210">
      <c r="B210" s="6" t="str">
        <f>IFERROR(__xludf.DUMMYFUNCTION("""COMPUTED_VALUE"""),"soccer betting best")</f>
        <v>soccer betting best</v>
      </c>
    </row>
    <row r="211">
      <c r="B211" s="6" t="str">
        <f>IFERROR(__xludf.DUMMYFUNCTION("""COMPUTED_VALUE"""),"EPL betting best")</f>
        <v>EPL betting best</v>
      </c>
    </row>
    <row r="212">
      <c r="B212" s="6" t="str">
        <f>IFERROR(__xludf.DUMMYFUNCTION("""COMPUTED_VALUE"""),"premier league betting teams")</f>
        <v>premier league betting teams</v>
      </c>
    </row>
    <row r="213">
      <c r="B213" s="6" t="str">
        <f>IFERROR(__xludf.DUMMYFUNCTION("""COMPUTED_VALUE"""),"premier league bets teams")</f>
        <v>premier league bets teams</v>
      </c>
    </row>
    <row r="214">
      <c r="B214" s="6" t="str">
        <f>IFERROR(__xludf.DUMMYFUNCTION("""COMPUTED_VALUE"""),"premier league bet teams")</f>
        <v>premier league bet teams</v>
      </c>
    </row>
    <row r="215">
      <c r="B215" s="6" t="str">
        <f>IFERROR(__xludf.DUMMYFUNCTION("""COMPUTED_VALUE"""),"premier league odds teams")</f>
        <v>premier league odds teams</v>
      </c>
    </row>
    <row r="216">
      <c r="B216" s="6" t="str">
        <f>IFERROR(__xludf.DUMMYFUNCTION("""COMPUTED_VALUE"""),"premier league predictions teams")</f>
        <v>premier league predictions teams</v>
      </c>
    </row>
    <row r="217">
      <c r="B217" s="6" t="str">
        <f>IFERROR(__xludf.DUMMYFUNCTION("""COMPUTED_VALUE"""),"premier league scores teams")</f>
        <v>premier league scores teams</v>
      </c>
    </row>
    <row r="218">
      <c r="B218" s="6" t="str">
        <f>IFERROR(__xludf.DUMMYFUNCTION("""COMPUTED_VALUE"""),"premier league fixtures teams")</f>
        <v>premier league fixtures teams</v>
      </c>
    </row>
    <row r="219">
      <c r="B219" s="6" t="str">
        <f>IFERROR(__xludf.DUMMYFUNCTION("""COMPUTED_VALUE"""),"football betting teams")</f>
        <v>football betting teams</v>
      </c>
    </row>
    <row r="220">
      <c r="B220" s="6" t="str">
        <f>IFERROR(__xludf.DUMMYFUNCTION("""COMPUTED_VALUE"""),"soccer betting teams")</f>
        <v>soccer betting teams</v>
      </c>
    </row>
    <row r="221">
      <c r="B221" s="6" t="str">
        <f>IFERROR(__xludf.DUMMYFUNCTION("""COMPUTED_VALUE"""),"EPL betting teams")</f>
        <v>EPL betting teams</v>
      </c>
    </row>
    <row r="222">
      <c r="B222" s="6" t="str">
        <f>IFERROR(__xludf.DUMMYFUNCTION("""COMPUTED_VALUE"""),"premier league betting Manchester United")</f>
        <v>premier league betting Manchester United</v>
      </c>
    </row>
    <row r="223">
      <c r="B223" s="6" t="str">
        <f>IFERROR(__xludf.DUMMYFUNCTION("""COMPUTED_VALUE"""),"premier league bets Manchester United")</f>
        <v>premier league bets Manchester United</v>
      </c>
    </row>
    <row r="224">
      <c r="B224" s="6" t="str">
        <f>IFERROR(__xludf.DUMMYFUNCTION("""COMPUTED_VALUE"""),"premier league bet Manchester United")</f>
        <v>premier league bet Manchester United</v>
      </c>
    </row>
    <row r="225">
      <c r="B225" s="6" t="str">
        <f>IFERROR(__xludf.DUMMYFUNCTION("""COMPUTED_VALUE"""),"premier league odds Manchester United")</f>
        <v>premier league odds Manchester United</v>
      </c>
    </row>
    <row r="226">
      <c r="B226" s="6" t="str">
        <f>IFERROR(__xludf.DUMMYFUNCTION("""COMPUTED_VALUE"""),"premier league predictions Manchester United")</f>
        <v>premier league predictions Manchester United</v>
      </c>
    </row>
    <row r="227">
      <c r="B227" s="6" t="str">
        <f>IFERROR(__xludf.DUMMYFUNCTION("""COMPUTED_VALUE"""),"premier league scores Manchester United")</f>
        <v>premier league scores Manchester United</v>
      </c>
    </row>
    <row r="228">
      <c r="B228" s="6" t="str">
        <f>IFERROR(__xludf.DUMMYFUNCTION("""COMPUTED_VALUE"""),"premier league fixtures Manchester United")</f>
        <v>premier league fixtures Manchester United</v>
      </c>
    </row>
    <row r="229">
      <c r="B229" s="6" t="str">
        <f>IFERROR(__xludf.DUMMYFUNCTION("""COMPUTED_VALUE"""),"football betting Manchester United")</f>
        <v>football betting Manchester United</v>
      </c>
    </row>
    <row r="230">
      <c r="B230" s="6" t="str">
        <f>IFERROR(__xludf.DUMMYFUNCTION("""COMPUTED_VALUE"""),"soccer betting Manchester United")</f>
        <v>soccer betting Manchester United</v>
      </c>
    </row>
    <row r="231">
      <c r="B231" s="6" t="str">
        <f>IFERROR(__xludf.DUMMYFUNCTION("""COMPUTED_VALUE"""),"EPL betting Manchester United")</f>
        <v>EPL betting Manchester United</v>
      </c>
    </row>
    <row r="232">
      <c r="B232" s="6" t="str">
        <f>IFERROR(__xludf.DUMMYFUNCTION("""COMPUTED_VALUE"""),"premier league betting Liverpool")</f>
        <v>premier league betting Liverpool</v>
      </c>
    </row>
    <row r="233">
      <c r="B233" s="6" t="str">
        <f>IFERROR(__xludf.DUMMYFUNCTION("""COMPUTED_VALUE"""),"premier league bets Liverpool")</f>
        <v>premier league bets Liverpool</v>
      </c>
    </row>
    <row r="234">
      <c r="B234" s="6" t="str">
        <f>IFERROR(__xludf.DUMMYFUNCTION("""COMPUTED_VALUE"""),"premier league bet Liverpool")</f>
        <v>premier league bet Liverpool</v>
      </c>
    </row>
    <row r="235">
      <c r="B235" s="6" t="str">
        <f>IFERROR(__xludf.DUMMYFUNCTION("""COMPUTED_VALUE"""),"premier league odds Liverpool")</f>
        <v>premier league odds Liverpool</v>
      </c>
    </row>
    <row r="236">
      <c r="B236" s="6" t="str">
        <f>IFERROR(__xludf.DUMMYFUNCTION("""COMPUTED_VALUE"""),"premier league predictions Liverpool")</f>
        <v>premier league predictions Liverpool</v>
      </c>
    </row>
    <row r="237">
      <c r="B237" s="6" t="str">
        <f>IFERROR(__xludf.DUMMYFUNCTION("""COMPUTED_VALUE"""),"premier league scores Liverpool")</f>
        <v>premier league scores Liverpool</v>
      </c>
    </row>
    <row r="238">
      <c r="B238" s="6" t="str">
        <f>IFERROR(__xludf.DUMMYFUNCTION("""COMPUTED_VALUE"""),"premier league fixtures Liverpool")</f>
        <v>premier league fixtures Liverpool</v>
      </c>
    </row>
    <row r="239">
      <c r="B239" s="6" t="str">
        <f>IFERROR(__xludf.DUMMYFUNCTION("""COMPUTED_VALUE"""),"football betting Liverpool")</f>
        <v>football betting Liverpool</v>
      </c>
    </row>
    <row r="240">
      <c r="B240" s="6" t="str">
        <f>IFERROR(__xludf.DUMMYFUNCTION("""COMPUTED_VALUE"""),"soccer betting Liverpool")</f>
        <v>soccer betting Liverpool</v>
      </c>
    </row>
    <row r="241">
      <c r="B241" s="6" t="str">
        <f>IFERROR(__xludf.DUMMYFUNCTION("""COMPUTED_VALUE"""),"EPL betting Liverpool")</f>
        <v>EPL betting Liverpool</v>
      </c>
    </row>
    <row r="242">
      <c r="B242" s="6" t="str">
        <f>IFERROR(__xludf.DUMMYFUNCTION("""COMPUTED_VALUE"""),"premier league betting Arsenal")</f>
        <v>premier league betting Arsenal</v>
      </c>
    </row>
    <row r="243">
      <c r="B243" s="6" t="str">
        <f>IFERROR(__xludf.DUMMYFUNCTION("""COMPUTED_VALUE"""),"premier league bets Arsenal")</f>
        <v>premier league bets Arsenal</v>
      </c>
    </row>
    <row r="244">
      <c r="B244" s="6" t="str">
        <f>IFERROR(__xludf.DUMMYFUNCTION("""COMPUTED_VALUE"""),"premier league bet Arsenal")</f>
        <v>premier league bet Arsenal</v>
      </c>
    </row>
    <row r="245">
      <c r="B245" s="6" t="str">
        <f>IFERROR(__xludf.DUMMYFUNCTION("""COMPUTED_VALUE"""),"premier league odds Arsenal")</f>
        <v>premier league odds Arsenal</v>
      </c>
    </row>
    <row r="246">
      <c r="B246" s="6" t="str">
        <f>IFERROR(__xludf.DUMMYFUNCTION("""COMPUTED_VALUE"""),"premier league predictions Arsenal")</f>
        <v>premier league predictions Arsenal</v>
      </c>
    </row>
    <row r="247">
      <c r="B247" s="6" t="str">
        <f>IFERROR(__xludf.DUMMYFUNCTION("""COMPUTED_VALUE"""),"premier league scores Arsenal")</f>
        <v>premier league scores Arsenal</v>
      </c>
    </row>
    <row r="248">
      <c r="B248" s="6" t="str">
        <f>IFERROR(__xludf.DUMMYFUNCTION("""COMPUTED_VALUE"""),"premier league fixtures Arsenal")</f>
        <v>premier league fixtures Arsenal</v>
      </c>
    </row>
    <row r="249">
      <c r="B249" s="6" t="str">
        <f>IFERROR(__xludf.DUMMYFUNCTION("""COMPUTED_VALUE"""),"football betting Arsenal")</f>
        <v>football betting Arsenal</v>
      </c>
    </row>
    <row r="250">
      <c r="B250" s="6" t="str">
        <f>IFERROR(__xludf.DUMMYFUNCTION("""COMPUTED_VALUE"""),"soccer betting Arsenal")</f>
        <v>soccer betting Arsenal</v>
      </c>
    </row>
    <row r="251">
      <c r="B251" s="6" t="str">
        <f>IFERROR(__xludf.DUMMYFUNCTION("""COMPUTED_VALUE"""),"EPL betting Arsenal")</f>
        <v>EPL betting Arsenal</v>
      </c>
    </row>
    <row r="252">
      <c r="B252" s="6" t="str">
        <f>IFERROR(__xludf.DUMMYFUNCTION("""COMPUTED_VALUE"""),"premier league betting Chelsea")</f>
        <v>premier league betting Chelsea</v>
      </c>
    </row>
    <row r="253">
      <c r="B253" s="6" t="str">
        <f>IFERROR(__xludf.DUMMYFUNCTION("""COMPUTED_VALUE"""),"premier league bets Chelsea")</f>
        <v>premier league bets Chelsea</v>
      </c>
    </row>
    <row r="254">
      <c r="B254" s="6" t="str">
        <f>IFERROR(__xludf.DUMMYFUNCTION("""COMPUTED_VALUE"""),"premier league bet Chelsea")</f>
        <v>premier league bet Chelsea</v>
      </c>
    </row>
    <row r="255">
      <c r="B255" s="6" t="str">
        <f>IFERROR(__xludf.DUMMYFUNCTION("""COMPUTED_VALUE"""),"premier league odds Chelsea")</f>
        <v>premier league odds Chelsea</v>
      </c>
    </row>
    <row r="256">
      <c r="B256" s="6" t="str">
        <f>IFERROR(__xludf.DUMMYFUNCTION("""COMPUTED_VALUE"""),"premier league predictions Chelsea")</f>
        <v>premier league predictions Chelsea</v>
      </c>
    </row>
    <row r="257">
      <c r="B257" s="6" t="str">
        <f>IFERROR(__xludf.DUMMYFUNCTION("""COMPUTED_VALUE"""),"premier league scores Chelsea")</f>
        <v>premier league scores Chelsea</v>
      </c>
    </row>
    <row r="258">
      <c r="B258" s="6" t="str">
        <f>IFERROR(__xludf.DUMMYFUNCTION("""COMPUTED_VALUE"""),"premier league fixtures Chelsea")</f>
        <v>premier league fixtures Chelsea</v>
      </c>
    </row>
    <row r="259">
      <c r="B259" s="6" t="str">
        <f>IFERROR(__xludf.DUMMYFUNCTION("""COMPUTED_VALUE"""),"football betting Chelsea")</f>
        <v>football betting Chelsea</v>
      </c>
    </row>
    <row r="260">
      <c r="B260" s="6" t="str">
        <f>IFERROR(__xludf.DUMMYFUNCTION("""COMPUTED_VALUE"""),"soccer betting Chelsea")</f>
        <v>soccer betting Chelsea</v>
      </c>
    </row>
    <row r="261">
      <c r="B261" s="6" t="str">
        <f>IFERROR(__xludf.DUMMYFUNCTION("""COMPUTED_VALUE"""),"EPL betting Chelsea")</f>
        <v>EPL betting Chelsea</v>
      </c>
    </row>
    <row r="262">
      <c r="B262" s="6" t="str">
        <f>IFERROR(__xludf.DUMMYFUNCTION("""COMPUTED_VALUE"""),"premier league betting bet")</f>
        <v>premier league betting bet</v>
      </c>
    </row>
    <row r="263">
      <c r="B263" s="6" t="str">
        <f>IFERROR(__xludf.DUMMYFUNCTION("""COMPUTED_VALUE"""),"premier league bets bet")</f>
        <v>premier league bets bet</v>
      </c>
    </row>
    <row r="264">
      <c r="B264" s="6" t="str">
        <f>IFERROR(__xludf.DUMMYFUNCTION("""COMPUTED_VALUE"""),"premier league bet")</f>
        <v>premier league bet</v>
      </c>
    </row>
    <row r="265">
      <c r="B265" s="6" t="str">
        <f>IFERROR(__xludf.DUMMYFUNCTION("""COMPUTED_VALUE"""),"premier league odds bet")</f>
        <v>premier league odds bet</v>
      </c>
    </row>
    <row r="266">
      <c r="B266" s="6" t="str">
        <f>IFERROR(__xludf.DUMMYFUNCTION("""COMPUTED_VALUE"""),"premier league predictions bet")</f>
        <v>premier league predictions bet</v>
      </c>
    </row>
    <row r="267">
      <c r="B267" s="6" t="str">
        <f>IFERROR(__xludf.DUMMYFUNCTION("""COMPUTED_VALUE"""),"premier league scores bet")</f>
        <v>premier league scores bet</v>
      </c>
    </row>
    <row r="268">
      <c r="B268" s="6" t="str">
        <f>IFERROR(__xludf.DUMMYFUNCTION("""COMPUTED_VALUE"""),"premier league fixtures bet")</f>
        <v>premier league fixtures bet</v>
      </c>
    </row>
    <row r="269">
      <c r="B269" s="6" t="str">
        <f>IFERROR(__xludf.DUMMYFUNCTION("""COMPUTED_VALUE"""),"football betting bet")</f>
        <v>football betting bet</v>
      </c>
    </row>
    <row r="270">
      <c r="B270" s="6" t="str">
        <f>IFERROR(__xludf.DUMMYFUNCTION("""COMPUTED_VALUE"""),"soccer betting bet")</f>
        <v>soccer betting bet</v>
      </c>
    </row>
    <row r="271">
      <c r="B271" s="6" t="str">
        <f>IFERROR(__xludf.DUMMYFUNCTION("""COMPUTED_VALUE"""),"EPL betting bet")</f>
        <v>EPL betting bet</v>
      </c>
    </row>
    <row r="272">
      <c r="B272" s="6" t="str">
        <f>IFERROR(__xludf.DUMMYFUNCTION("""COMPUTED_VALUE"""),"premier league betting bets")</f>
        <v>premier league betting bets</v>
      </c>
    </row>
    <row r="273">
      <c r="B273" s="6" t="str">
        <f>IFERROR(__xludf.DUMMYFUNCTION("""COMPUTED_VALUE"""),"premier league bets")</f>
        <v>premier league bets</v>
      </c>
    </row>
    <row r="274">
      <c r="B274" s="6" t="str">
        <f>IFERROR(__xludf.DUMMYFUNCTION("""COMPUTED_VALUE"""),"premier league bet")</f>
        <v>premier league bet</v>
      </c>
    </row>
    <row r="275">
      <c r="B275" s="6" t="str">
        <f>IFERROR(__xludf.DUMMYFUNCTION("""COMPUTED_VALUE"""),"premier league odds bets")</f>
        <v>premier league odds bets</v>
      </c>
    </row>
    <row r="276">
      <c r="B276" s="6" t="str">
        <f>IFERROR(__xludf.DUMMYFUNCTION("""COMPUTED_VALUE"""),"premier league predictions bets")</f>
        <v>premier league predictions bets</v>
      </c>
    </row>
    <row r="277">
      <c r="B277" s="6" t="str">
        <f>IFERROR(__xludf.DUMMYFUNCTION("""COMPUTED_VALUE"""),"premier league scores bets")</f>
        <v>premier league scores bets</v>
      </c>
    </row>
    <row r="278">
      <c r="B278" s="6" t="str">
        <f>IFERROR(__xludf.DUMMYFUNCTION("""COMPUTED_VALUE"""),"premier league fixtures bets")</f>
        <v>premier league fixtures bets</v>
      </c>
    </row>
    <row r="279">
      <c r="B279" s="6" t="str">
        <f>IFERROR(__xludf.DUMMYFUNCTION("""COMPUTED_VALUE"""),"football betting bets")</f>
        <v>football betting bets</v>
      </c>
    </row>
    <row r="280">
      <c r="B280" s="6" t="str">
        <f>IFERROR(__xludf.DUMMYFUNCTION("""COMPUTED_VALUE"""),"soccer betting bets")</f>
        <v>soccer betting bets</v>
      </c>
    </row>
    <row r="281">
      <c r="B281" s="6" t="str">
        <f>IFERROR(__xludf.DUMMYFUNCTION("""COMPUTED_VALUE"""),"EPL betting bets")</f>
        <v>EPL betting bets</v>
      </c>
    </row>
    <row r="282">
      <c r="B282" s="6" t="str">
        <f>IFERROR(__xludf.DUMMYFUNCTION("""COMPUTED_VALUE"""),"premier league betting")</f>
        <v>premier league betting</v>
      </c>
    </row>
    <row r="283">
      <c r="B283" s="6" t="str">
        <f>IFERROR(__xludf.DUMMYFUNCTION("""COMPUTED_VALUE"""),"premier league bets betting")</f>
        <v>premier league bets betting</v>
      </c>
    </row>
    <row r="284">
      <c r="B284" s="6" t="str">
        <f>IFERROR(__xludf.DUMMYFUNCTION("""COMPUTED_VALUE"""),"premier league bet betting")</f>
        <v>premier league bet betting</v>
      </c>
    </row>
    <row r="285">
      <c r="B285" s="6" t="str">
        <f>IFERROR(__xludf.DUMMYFUNCTION("""COMPUTED_VALUE"""),"premier league odds betting")</f>
        <v>premier league odds betting</v>
      </c>
    </row>
    <row r="286">
      <c r="B286" s="6" t="str">
        <f>IFERROR(__xludf.DUMMYFUNCTION("""COMPUTED_VALUE"""),"premier league predictions betting")</f>
        <v>premier league predictions betting</v>
      </c>
    </row>
    <row r="287">
      <c r="B287" s="6" t="str">
        <f>IFERROR(__xludf.DUMMYFUNCTION("""COMPUTED_VALUE"""),"premier league scores betting")</f>
        <v>premier league scores betting</v>
      </c>
    </row>
    <row r="288">
      <c r="B288" s="6" t="str">
        <f>IFERROR(__xludf.DUMMYFUNCTION("""COMPUTED_VALUE"""),"premier league fixtures betting")</f>
        <v>premier league fixtures betting</v>
      </c>
    </row>
    <row r="289">
      <c r="B289" s="6" t="str">
        <f>IFERROR(__xludf.DUMMYFUNCTION("""COMPUTED_VALUE"""),"football betting")</f>
        <v>football betting</v>
      </c>
    </row>
    <row r="290">
      <c r="B290" s="6" t="str">
        <f>IFERROR(__xludf.DUMMYFUNCTION("""COMPUTED_VALUE"""),"soccer betting")</f>
        <v>soccer betting</v>
      </c>
    </row>
    <row r="291">
      <c r="B291" s="6" t="str">
        <f>IFERROR(__xludf.DUMMYFUNCTION("""COMPUTED_VALUE"""),"EPL betting")</f>
        <v>EPL betting</v>
      </c>
    </row>
    <row r="292">
      <c r="B292" s="6" t="str">
        <f>IFERROR(__xludf.DUMMYFUNCTION("""COMPUTED_VALUE"""),"premier league betting paradise games")</f>
        <v>premier league betting paradise games</v>
      </c>
    </row>
    <row r="293">
      <c r="B293" s="6" t="str">
        <f>IFERROR(__xludf.DUMMYFUNCTION("""COMPUTED_VALUE"""),"premier league bets paradise games")</f>
        <v>premier league bets paradise games</v>
      </c>
    </row>
    <row r="294">
      <c r="B294" s="6" t="str">
        <f>IFERROR(__xludf.DUMMYFUNCTION("""COMPUTED_VALUE"""),"premier league bet paradise games")</f>
        <v>premier league bet paradise games</v>
      </c>
    </row>
    <row r="295">
      <c r="B295" s="6" t="str">
        <f>IFERROR(__xludf.DUMMYFUNCTION("""COMPUTED_VALUE"""),"premier league odds paradise games")</f>
        <v>premier league odds paradise games</v>
      </c>
    </row>
    <row r="296">
      <c r="B296" s="6" t="str">
        <f>IFERROR(__xludf.DUMMYFUNCTION("""COMPUTED_VALUE"""),"premier league predictions paradise games")</f>
        <v>premier league predictions paradise games</v>
      </c>
    </row>
    <row r="297">
      <c r="B297" s="6" t="str">
        <f>IFERROR(__xludf.DUMMYFUNCTION("""COMPUTED_VALUE"""),"premier league scores paradise games")</f>
        <v>premier league scores paradise games</v>
      </c>
    </row>
    <row r="298">
      <c r="B298" s="6" t="str">
        <f>IFERROR(__xludf.DUMMYFUNCTION("""COMPUTED_VALUE"""),"premier league fixtures paradise games")</f>
        <v>premier league fixtures paradise games</v>
      </c>
    </row>
    <row r="299">
      <c r="B299" s="6" t="str">
        <f>IFERROR(__xludf.DUMMYFUNCTION("""COMPUTED_VALUE"""),"football betting paradise games")</f>
        <v>football betting paradise games</v>
      </c>
    </row>
    <row r="300">
      <c r="B300" s="6" t="str">
        <f>IFERROR(__xludf.DUMMYFUNCTION("""COMPUTED_VALUE"""),"soccer betting paradise games")</f>
        <v>soccer betting paradise games</v>
      </c>
    </row>
    <row r="301">
      <c r="B301" s="6" t="str">
        <f>IFERROR(__xludf.DUMMYFUNCTION("""COMPUTED_VALUE"""),"EPL betting paradise games")</f>
        <v>EPL betting paradise games</v>
      </c>
    </row>
    <row r="302">
      <c r="B302" s="6" t="str">
        <f>IFERROR(__xludf.DUMMYFUNCTION("""COMPUTED_VALUE"""),"premier league betting island luck")</f>
        <v>premier league betting island luck</v>
      </c>
    </row>
    <row r="303">
      <c r="B303" s="6" t="str">
        <f>IFERROR(__xludf.DUMMYFUNCTION("""COMPUTED_VALUE"""),"premier league bets island luck")</f>
        <v>premier league bets island luck</v>
      </c>
    </row>
    <row r="304">
      <c r="B304" s="6" t="str">
        <f>IFERROR(__xludf.DUMMYFUNCTION("""COMPUTED_VALUE"""),"premier league bet island luck")</f>
        <v>premier league bet island luck</v>
      </c>
    </row>
    <row r="305">
      <c r="B305" s="6" t="str">
        <f>IFERROR(__xludf.DUMMYFUNCTION("""COMPUTED_VALUE"""),"premier league odds island luck")</f>
        <v>premier league odds island luck</v>
      </c>
    </row>
    <row r="306">
      <c r="B306" s="6" t="str">
        <f>IFERROR(__xludf.DUMMYFUNCTION("""COMPUTED_VALUE"""),"premier league predictions island luck")</f>
        <v>premier league predictions island luck</v>
      </c>
    </row>
    <row r="307">
      <c r="B307" s="6" t="str">
        <f>IFERROR(__xludf.DUMMYFUNCTION("""COMPUTED_VALUE"""),"premier league scores island luck")</f>
        <v>premier league scores island luck</v>
      </c>
    </row>
    <row r="308">
      <c r="B308" s="6" t="str">
        <f>IFERROR(__xludf.DUMMYFUNCTION("""COMPUTED_VALUE"""),"premier league fixtures island luck")</f>
        <v>premier league fixtures island luck</v>
      </c>
    </row>
    <row r="309">
      <c r="B309" s="6" t="str">
        <f>IFERROR(__xludf.DUMMYFUNCTION("""COMPUTED_VALUE"""),"football betting island luck")</f>
        <v>football betting island luck</v>
      </c>
    </row>
    <row r="310">
      <c r="B310" s="6" t="str">
        <f>IFERROR(__xludf.DUMMYFUNCTION("""COMPUTED_VALUE"""),"soccer betting island luck")</f>
        <v>soccer betting island luck</v>
      </c>
    </row>
    <row r="311">
      <c r="B311" s="6" t="str">
        <f>IFERROR(__xludf.DUMMYFUNCTION("""COMPUTED_VALUE"""),"EPL betting island luck")</f>
        <v>EPL betting island luck</v>
      </c>
    </row>
    <row r="312">
      <c r="B312" s="6" t="str">
        <f>IFERROR(__xludf.DUMMYFUNCTION("""COMPUTED_VALUE"""),"premier league betting chances")</f>
        <v>premier league betting chances</v>
      </c>
    </row>
    <row r="313">
      <c r="B313" s="6" t="str">
        <f>IFERROR(__xludf.DUMMYFUNCTION("""COMPUTED_VALUE"""),"premier league bets chances")</f>
        <v>premier league bets chances</v>
      </c>
    </row>
    <row r="314">
      <c r="B314" s="6" t="str">
        <f>IFERROR(__xludf.DUMMYFUNCTION("""COMPUTED_VALUE"""),"premier league bet chances")</f>
        <v>premier league bet chances</v>
      </c>
    </row>
    <row r="315">
      <c r="B315" s="6" t="str">
        <f>IFERROR(__xludf.DUMMYFUNCTION("""COMPUTED_VALUE"""),"premier league odds chances")</f>
        <v>premier league odds chances</v>
      </c>
    </row>
    <row r="316">
      <c r="B316" s="6" t="str">
        <f>IFERROR(__xludf.DUMMYFUNCTION("""COMPUTED_VALUE"""),"premier league predictions chances")</f>
        <v>premier league predictions chances</v>
      </c>
    </row>
    <row r="317">
      <c r="B317" s="6" t="str">
        <f>IFERROR(__xludf.DUMMYFUNCTION("""COMPUTED_VALUE"""),"premier league scores chances")</f>
        <v>premier league scores chances</v>
      </c>
    </row>
    <row r="318">
      <c r="B318" s="6" t="str">
        <f>IFERROR(__xludf.DUMMYFUNCTION("""COMPUTED_VALUE"""),"premier league fixtures chances")</f>
        <v>premier league fixtures chances</v>
      </c>
    </row>
    <row r="319">
      <c r="B319" s="6" t="str">
        <f>IFERROR(__xludf.DUMMYFUNCTION("""COMPUTED_VALUE"""),"football betting chances")</f>
        <v>football betting chances</v>
      </c>
    </row>
    <row r="320">
      <c r="B320" s="6" t="str">
        <f>IFERROR(__xludf.DUMMYFUNCTION("""COMPUTED_VALUE"""),"soccer betting chances")</f>
        <v>soccer betting chances</v>
      </c>
    </row>
    <row r="321">
      <c r="B321" s="6" t="str">
        <f>IFERROR(__xludf.DUMMYFUNCTION("""COMPUTED_VALUE"""),"EPL betting chances")</f>
        <v>EPL betting chances</v>
      </c>
    </row>
    <row r="322">
      <c r="B322" s="6" t="str">
        <f>IFERROR(__xludf.DUMMYFUNCTION("""COMPUTED_VALUE"""),"premier league betting ultra games")</f>
        <v>premier league betting ultra games</v>
      </c>
    </row>
    <row r="323">
      <c r="B323" s="6" t="str">
        <f>IFERROR(__xludf.DUMMYFUNCTION("""COMPUTED_VALUE"""),"premier league bets ultra games")</f>
        <v>premier league bets ultra games</v>
      </c>
    </row>
    <row r="324">
      <c r="B324" s="6" t="str">
        <f>IFERROR(__xludf.DUMMYFUNCTION("""COMPUTED_VALUE"""),"premier league bet ultra games")</f>
        <v>premier league bet ultra games</v>
      </c>
    </row>
    <row r="325">
      <c r="B325" s="6" t="str">
        <f>IFERROR(__xludf.DUMMYFUNCTION("""COMPUTED_VALUE"""),"premier league odds ultra games")</f>
        <v>premier league odds ultra games</v>
      </c>
    </row>
    <row r="326">
      <c r="B326" s="6" t="str">
        <f>IFERROR(__xludf.DUMMYFUNCTION("""COMPUTED_VALUE"""),"premier league predictions ultra games")</f>
        <v>premier league predictions ultra games</v>
      </c>
    </row>
    <row r="327">
      <c r="B327" s="6" t="str">
        <f>IFERROR(__xludf.DUMMYFUNCTION("""COMPUTED_VALUE"""),"premier league scores ultra games")</f>
        <v>premier league scores ultra games</v>
      </c>
    </row>
    <row r="328">
      <c r="B328" s="6" t="str">
        <f>IFERROR(__xludf.DUMMYFUNCTION("""COMPUTED_VALUE"""),"premier league fixtures ultra games")</f>
        <v>premier league fixtures ultra games</v>
      </c>
    </row>
    <row r="329">
      <c r="B329" s="6" t="str">
        <f>IFERROR(__xludf.DUMMYFUNCTION("""COMPUTED_VALUE"""),"football betting ultra games")</f>
        <v>football betting ultra games</v>
      </c>
    </row>
    <row r="330">
      <c r="B330" s="6" t="str">
        <f>IFERROR(__xludf.DUMMYFUNCTION("""COMPUTED_VALUE"""),"soccer betting ultra games")</f>
        <v>soccer betting ultra games</v>
      </c>
    </row>
    <row r="331">
      <c r="B331" s="6" t="str">
        <f>IFERROR(__xludf.DUMMYFUNCTION("""COMPUTED_VALUE"""),"EPL betting ultra games")</f>
        <v>EPL betting ultra games</v>
      </c>
    </row>
    <row r="332">
      <c r="B332" s="6" t="str">
        <f>IFERROR(__xludf.DUMMYFUNCTION("""COMPUTED_VALUE"""),"premier league betting epl")</f>
        <v>premier league betting epl</v>
      </c>
    </row>
    <row r="333">
      <c r="B333" s="6" t="str">
        <f>IFERROR(__xludf.DUMMYFUNCTION("""COMPUTED_VALUE"""),"premier league bets epl")</f>
        <v>premier league bets epl</v>
      </c>
    </row>
    <row r="334">
      <c r="B334" s="6" t="str">
        <f>IFERROR(__xludf.DUMMYFUNCTION("""COMPUTED_VALUE"""),"premier league bet epl")</f>
        <v>premier league bet epl</v>
      </c>
    </row>
    <row r="335">
      <c r="B335" s="6" t="str">
        <f>IFERROR(__xludf.DUMMYFUNCTION("""COMPUTED_VALUE"""),"premier league odds epl")</f>
        <v>premier league odds epl</v>
      </c>
    </row>
    <row r="336">
      <c r="B336" s="6" t="str">
        <f>IFERROR(__xludf.DUMMYFUNCTION("""COMPUTED_VALUE"""),"premier league predictions epl")</f>
        <v>premier league predictions epl</v>
      </c>
    </row>
    <row r="337">
      <c r="B337" s="6" t="str">
        <f>IFERROR(__xludf.DUMMYFUNCTION("""COMPUTED_VALUE"""),"premier league scores epl")</f>
        <v>premier league scores epl</v>
      </c>
    </row>
    <row r="338">
      <c r="B338" s="6" t="str">
        <f>IFERROR(__xludf.DUMMYFUNCTION("""COMPUTED_VALUE"""),"premier league fixtures epl")</f>
        <v>premier league fixtures epl</v>
      </c>
    </row>
    <row r="339">
      <c r="B339" s="6" t="str">
        <f>IFERROR(__xludf.DUMMYFUNCTION("""COMPUTED_VALUE"""),"football betting epl")</f>
        <v>football betting epl</v>
      </c>
    </row>
    <row r="340">
      <c r="B340" s="6" t="str">
        <f>IFERROR(__xludf.DUMMYFUNCTION("""COMPUTED_VALUE"""),"soccer betting epl")</f>
        <v>soccer betting epl</v>
      </c>
    </row>
    <row r="341">
      <c r="B341" s="6" t="str">
        <f>IFERROR(__xludf.DUMMYFUNCTION("""COMPUTED_VALUE"""),"EPL betting")</f>
        <v>EPL betting</v>
      </c>
    </row>
    <row r="342">
      <c r="B342" s="6" t="str">
        <f>IFERROR(__xludf.DUMMYFUNCTION("""COMPUTED_VALUE"""),"premier league betting english premier league")</f>
        <v>premier league betting english premier league</v>
      </c>
    </row>
    <row r="343">
      <c r="B343" s="6" t="str">
        <f>IFERROR(__xludf.DUMMYFUNCTION("""COMPUTED_VALUE"""),"premier league bets english premier league")</f>
        <v>premier league bets english premier league</v>
      </c>
    </row>
    <row r="344">
      <c r="B344" s="6" t="str">
        <f>IFERROR(__xludf.DUMMYFUNCTION("""COMPUTED_VALUE"""),"premier league bet english premier league")</f>
        <v>premier league bet english premier league</v>
      </c>
    </row>
    <row r="345">
      <c r="B345" s="6" t="str">
        <f>IFERROR(__xludf.DUMMYFUNCTION("""COMPUTED_VALUE"""),"premier league odds english premier league")</f>
        <v>premier league odds english premier league</v>
      </c>
    </row>
    <row r="346">
      <c r="B346" s="6" t="str">
        <f>IFERROR(__xludf.DUMMYFUNCTION("""COMPUTED_VALUE"""),"premier league predictions english premier league")</f>
        <v>premier league predictions english premier league</v>
      </c>
    </row>
    <row r="347">
      <c r="B347" s="6" t="str">
        <f>IFERROR(__xludf.DUMMYFUNCTION("""COMPUTED_VALUE"""),"premier league scores english premier league")</f>
        <v>premier league scores english premier league</v>
      </c>
    </row>
    <row r="348">
      <c r="B348" s="6" t="str">
        <f>IFERROR(__xludf.DUMMYFUNCTION("""COMPUTED_VALUE"""),"premier league fixtures english premier league")</f>
        <v>premier league fixtures english premier league</v>
      </c>
    </row>
    <row r="349">
      <c r="B349" s="6" t="str">
        <f>IFERROR(__xludf.DUMMYFUNCTION("""COMPUTED_VALUE"""),"football betting english premier league")</f>
        <v>football betting english premier league</v>
      </c>
    </row>
    <row r="350">
      <c r="B350" s="6" t="str">
        <f>IFERROR(__xludf.DUMMYFUNCTION("""COMPUTED_VALUE"""),"soccer betting english premier league")</f>
        <v>soccer betting english premier league</v>
      </c>
    </row>
    <row r="351">
      <c r="B351" s="6" t="str">
        <f>IFERROR(__xludf.DUMMYFUNCTION("""COMPUTED_VALUE"""),"EPL betting english premier league")</f>
        <v>EPL betting english premier league</v>
      </c>
    </row>
    <row r="352">
      <c r="B352" s="6" t="str">
        <f>IFERROR(__xludf.DUMMYFUNCTION("""COMPUTED_VALUE"""),"premier league betting soccer odds")</f>
        <v>premier league betting soccer odds</v>
      </c>
    </row>
    <row r="353">
      <c r="B353" s="6" t="str">
        <f>IFERROR(__xludf.DUMMYFUNCTION("""COMPUTED_VALUE"""),"premier league bets soccer odds")</f>
        <v>premier league bets soccer odds</v>
      </c>
    </row>
    <row r="354">
      <c r="B354" s="6" t="str">
        <f>IFERROR(__xludf.DUMMYFUNCTION("""COMPUTED_VALUE"""),"premier league bet soccer odds")</f>
        <v>premier league bet soccer odds</v>
      </c>
    </row>
    <row r="355">
      <c r="B355" s="6" t="str">
        <f>IFERROR(__xludf.DUMMYFUNCTION("""COMPUTED_VALUE"""),"premier league odds soccer odds")</f>
        <v>premier league odds soccer odds</v>
      </c>
    </row>
    <row r="356">
      <c r="B356" s="6" t="str">
        <f>IFERROR(__xludf.DUMMYFUNCTION("""COMPUTED_VALUE"""),"premier league predictions soccer odds")</f>
        <v>premier league predictions soccer odds</v>
      </c>
    </row>
    <row r="357">
      <c r="B357" s="6" t="str">
        <f>IFERROR(__xludf.DUMMYFUNCTION("""COMPUTED_VALUE"""),"premier league scores soccer odds")</f>
        <v>premier league scores soccer odds</v>
      </c>
    </row>
    <row r="358">
      <c r="B358" s="6" t="str">
        <f>IFERROR(__xludf.DUMMYFUNCTION("""COMPUTED_VALUE"""),"premier league fixtures soccer odds")</f>
        <v>premier league fixtures soccer odds</v>
      </c>
    </row>
    <row r="359">
      <c r="B359" s="6" t="str">
        <f>IFERROR(__xludf.DUMMYFUNCTION("""COMPUTED_VALUE"""),"football betting soccer odds")</f>
        <v>football betting soccer odds</v>
      </c>
    </row>
    <row r="360">
      <c r="B360" s="6" t="str">
        <f>IFERROR(__xludf.DUMMYFUNCTION("""COMPUTED_VALUE"""),"soccer betting soccer odds")</f>
        <v>soccer betting soccer odds</v>
      </c>
    </row>
    <row r="361">
      <c r="B361" s="6" t="str">
        <f>IFERROR(__xludf.DUMMYFUNCTION("""COMPUTED_VALUE"""),"EPL betting soccer odds")</f>
        <v>EPL betting soccer odds</v>
      </c>
    </row>
    <row r="362">
      <c r="B362" s="6" t="str">
        <f>IFERROR(__xludf.DUMMYFUNCTION("""COMPUTED_VALUE"""),"premier league betting")</f>
        <v>premier league betting</v>
      </c>
    </row>
    <row r="363">
      <c r="B363" s="6" t="str">
        <f>IFERROR(__xludf.DUMMYFUNCTION("""COMPUTED_VALUE"""),"premier league bets")</f>
        <v>premier league bets</v>
      </c>
    </row>
    <row r="364">
      <c r="B364" s="6" t="str">
        <f>IFERROR(__xludf.DUMMYFUNCTION("""COMPUTED_VALUE"""),"premier league bet")</f>
        <v>premier league bet</v>
      </c>
    </row>
    <row r="365">
      <c r="B365" s="6" t="str">
        <f>IFERROR(__xludf.DUMMYFUNCTION("""COMPUTED_VALUE"""),"premier league odds")</f>
        <v>premier league odds</v>
      </c>
    </row>
    <row r="366">
      <c r="B366" s="6" t="str">
        <f>IFERROR(__xludf.DUMMYFUNCTION("""COMPUTED_VALUE"""),"premier league predictions")</f>
        <v>premier league predictions</v>
      </c>
    </row>
    <row r="367">
      <c r="B367" s="6" t="str">
        <f>IFERROR(__xludf.DUMMYFUNCTION("""COMPUTED_VALUE"""),"premier league scores")</f>
        <v>premier league scores</v>
      </c>
    </row>
    <row r="368">
      <c r="B368" s="6" t="str">
        <f>IFERROR(__xludf.DUMMYFUNCTION("""COMPUTED_VALUE"""),"premier league fixtures")</f>
        <v>premier league fixtures</v>
      </c>
    </row>
    <row r="369">
      <c r="B369" s="6" t="str">
        <f>IFERROR(__xludf.DUMMYFUNCTION("""COMPUTED_VALUE"""),"football betting")</f>
        <v>football betting</v>
      </c>
    </row>
    <row r="370">
      <c r="B370" s="6" t="str">
        <f>IFERROR(__xludf.DUMMYFUNCTION("""COMPUTED_VALUE"""),"soccer betting")</f>
        <v>soccer betting</v>
      </c>
    </row>
    <row r="371">
      <c r="B371" s="6" t="str">
        <f>IFERROR(__xludf.DUMMYFUNCTION("""COMPUTED_VALUE"""),"EPL betting")</f>
        <v>EPL betting</v>
      </c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20</v>
      </c>
      <c r="D2" s="5">
        <v>76.0</v>
      </c>
      <c r="E2" s="5">
        <v>20.0</v>
      </c>
      <c r="H2" s="5" t="s">
        <v>24</v>
      </c>
      <c r="I2" s="7">
        <v>46163.57859953704</v>
      </c>
      <c r="K2" s="5">
        <v>1250000.0</v>
      </c>
      <c r="N2" s="9">
        <v>42324.0</v>
      </c>
    </row>
    <row r="3">
      <c r="A3" s="5">
        <v>2.0</v>
      </c>
      <c r="B3" s="5" t="s">
        <v>28</v>
      </c>
      <c r="C3" s="5" t="s">
        <v>20</v>
      </c>
      <c r="D3" s="5">
        <v>85.0</v>
      </c>
      <c r="E3" s="10" t="s">
        <v>31</v>
      </c>
      <c r="H3" s="5" t="s">
        <v>32</v>
      </c>
      <c r="I3" s="7">
        <v>46163.57859953704</v>
      </c>
      <c r="K3" s="5">
        <v>350.0</v>
      </c>
      <c r="N3" s="9">
        <v>44739.0</v>
      </c>
    </row>
    <row r="4">
      <c r="A4" s="5">
        <v>3.0</v>
      </c>
      <c r="B4" s="5" t="s">
        <v>36</v>
      </c>
      <c r="C4" s="5" t="s">
        <v>20</v>
      </c>
      <c r="D4" s="5">
        <v>78.0</v>
      </c>
      <c r="E4" s="10" t="s">
        <v>31</v>
      </c>
      <c r="H4" s="5" t="s">
        <v>39</v>
      </c>
      <c r="I4" s="7">
        <v>46163.57858796296</v>
      </c>
      <c r="K4" s="5">
        <v>23000.0</v>
      </c>
      <c r="N4" s="9">
        <v>44650.0</v>
      </c>
    </row>
    <row r="5">
      <c r="A5" s="5">
        <v>4.0</v>
      </c>
      <c r="B5" s="5" t="s">
        <v>42</v>
      </c>
      <c r="C5" s="5" t="s">
        <v>20</v>
      </c>
      <c r="D5" s="5">
        <v>77.0</v>
      </c>
      <c r="E5" s="10" t="s">
        <v>31</v>
      </c>
      <c r="I5" s="7">
        <v>46163.57859953704</v>
      </c>
      <c r="K5" s="5">
        <v>1500.0</v>
      </c>
      <c r="N5" s="9">
        <v>44551.0</v>
      </c>
    </row>
    <row r="6">
      <c r="A6" s="5">
        <v>5.0</v>
      </c>
      <c r="B6" s="5" t="s">
        <v>51</v>
      </c>
      <c r="C6" s="5" t="s">
        <v>20</v>
      </c>
      <c r="D6" s="5">
        <v>86.0</v>
      </c>
      <c r="E6" s="10" t="s">
        <v>31</v>
      </c>
      <c r="H6" s="5" t="s">
        <v>54</v>
      </c>
      <c r="I6" s="7">
        <v>46163.57863425926</v>
      </c>
      <c r="K6" s="5">
        <v>1300.0</v>
      </c>
      <c r="N6" s="9">
        <v>43850.0</v>
      </c>
    </row>
    <row r="7">
      <c r="A7" s="5">
        <v>6.0</v>
      </c>
      <c r="B7" s="5" t="s">
        <v>56</v>
      </c>
      <c r="C7" s="5" t="s">
        <v>20</v>
      </c>
      <c r="D7" s="5">
        <v>87.0</v>
      </c>
      <c r="E7" s="10" t="s">
        <v>31</v>
      </c>
      <c r="H7" s="5" t="s">
        <v>54</v>
      </c>
      <c r="I7" s="7">
        <v>46163.57864583333</v>
      </c>
      <c r="K7" s="5">
        <v>1800.0</v>
      </c>
      <c r="N7" s="9">
        <v>43892.0</v>
      </c>
    </row>
    <row r="8">
      <c r="A8" s="5">
        <v>7.0</v>
      </c>
      <c r="B8" s="5" t="s">
        <v>61</v>
      </c>
      <c r="C8" s="5" t="s">
        <v>20</v>
      </c>
      <c r="D8" s="5">
        <v>74.0</v>
      </c>
      <c r="E8" s="10" t="s">
        <v>31</v>
      </c>
      <c r="H8" s="5" t="s">
        <v>39</v>
      </c>
      <c r="I8" s="7">
        <v>46163.57859953704</v>
      </c>
      <c r="K8" s="5">
        <v>166000.0</v>
      </c>
      <c r="N8" s="9">
        <v>44086.0</v>
      </c>
    </row>
    <row r="9">
      <c r="A9" s="5">
        <v>8.0</v>
      </c>
      <c r="B9" s="5" t="s">
        <v>65</v>
      </c>
      <c r="C9" s="5" t="s">
        <v>20</v>
      </c>
      <c r="D9" s="5">
        <v>86.0</v>
      </c>
      <c r="E9" s="10" t="s">
        <v>31</v>
      </c>
      <c r="I9" s="7">
        <v>46163.578576388885</v>
      </c>
      <c r="K9" s="5">
        <v>1900.0</v>
      </c>
      <c r="N9" s="9">
        <v>43920.0</v>
      </c>
    </row>
    <row r="10">
      <c r="A10" s="5">
        <v>9.0</v>
      </c>
      <c r="B10" s="5" t="s">
        <v>69</v>
      </c>
      <c r="C10" s="5" t="s">
        <v>20</v>
      </c>
      <c r="D10" s="5">
        <v>84.0</v>
      </c>
      <c r="E10" s="10" t="s">
        <v>31</v>
      </c>
      <c r="H10" s="5" t="s">
        <v>54</v>
      </c>
      <c r="I10" s="7">
        <v>46163.57858796296</v>
      </c>
      <c r="K10" s="5">
        <v>31000.0</v>
      </c>
      <c r="N10" s="9">
        <v>43856.0</v>
      </c>
    </row>
    <row r="11">
      <c r="A11" s="5">
        <v>10.0</v>
      </c>
      <c r="B11" s="5" t="s">
        <v>73</v>
      </c>
      <c r="C11" s="5" t="s">
        <v>20</v>
      </c>
      <c r="D11" s="5">
        <v>78.0</v>
      </c>
      <c r="E11" s="10" t="s">
        <v>31</v>
      </c>
      <c r="I11" s="7">
        <v>46163.57859953704</v>
      </c>
      <c r="K11" s="5">
        <v>500.0</v>
      </c>
      <c r="N11" s="9">
        <v>44619.0</v>
      </c>
    </row>
    <row r="12">
      <c r="A12" s="5">
        <v>11.0</v>
      </c>
      <c r="B12" s="5" t="s">
        <v>77</v>
      </c>
      <c r="C12" s="5" t="s">
        <v>20</v>
      </c>
      <c r="D12" s="5">
        <v>85.0</v>
      </c>
      <c r="E12" s="10" t="s">
        <v>31</v>
      </c>
      <c r="I12" s="7">
        <v>46163.578622685185</v>
      </c>
      <c r="K12" s="5">
        <v>100.0</v>
      </c>
      <c r="N12" s="9">
        <v>44570.0</v>
      </c>
    </row>
    <row r="13">
      <c r="A13" s="5">
        <v>12.0</v>
      </c>
      <c r="B13" s="5" t="s">
        <v>82</v>
      </c>
      <c r="C13" s="5" t="s">
        <v>20</v>
      </c>
      <c r="D13" s="5">
        <v>77.0</v>
      </c>
      <c r="E13" s="10" t="s">
        <v>31</v>
      </c>
      <c r="I13" s="7">
        <v>46163.57859953704</v>
      </c>
      <c r="K13" s="5">
        <v>1500.0</v>
      </c>
      <c r="N13" s="9">
        <v>44469.0</v>
      </c>
    </row>
    <row r="14">
      <c r="A14" s="5">
        <v>13.0</v>
      </c>
      <c r="B14" s="5" t="s">
        <v>86</v>
      </c>
      <c r="C14" s="5" t="s">
        <v>20</v>
      </c>
      <c r="D14" s="5">
        <v>74.0</v>
      </c>
      <c r="E14" s="10" t="s">
        <v>31</v>
      </c>
      <c r="I14" s="7">
        <v>46163.57858796296</v>
      </c>
      <c r="K14" s="5">
        <v>34000.0</v>
      </c>
      <c r="N14" s="9">
        <v>43838.0</v>
      </c>
    </row>
    <row r="15">
      <c r="A15" s="5">
        <v>14.0</v>
      </c>
      <c r="B15" s="5" t="s">
        <v>90</v>
      </c>
      <c r="C15" s="5" t="s">
        <v>20</v>
      </c>
      <c r="E15" s="10"/>
      <c r="K15" s="5">
        <v>3600.0</v>
      </c>
      <c r="N15" s="9">
        <v>44172.0</v>
      </c>
    </row>
    <row r="16">
      <c r="A16" s="5">
        <v>15.0</v>
      </c>
      <c r="B16" s="5" t="s">
        <v>95</v>
      </c>
      <c r="C16" s="5" t="s">
        <v>20</v>
      </c>
      <c r="D16" s="5">
        <v>70.0</v>
      </c>
      <c r="E16" s="10" t="s">
        <v>31</v>
      </c>
      <c r="H16" s="5" t="s">
        <v>97</v>
      </c>
      <c r="I16" s="7">
        <v>46163.57858796296</v>
      </c>
      <c r="K16" s="5">
        <v>700.0</v>
      </c>
      <c r="N16" s="9">
        <v>42925.0</v>
      </c>
    </row>
    <row r="17">
      <c r="A17" s="5">
        <v>16.0</v>
      </c>
      <c r="B17" s="5" t="s">
        <v>100</v>
      </c>
      <c r="C17" s="5" t="s">
        <v>20</v>
      </c>
      <c r="D17" s="5">
        <v>82.0</v>
      </c>
      <c r="E17" s="10" t="s">
        <v>101</v>
      </c>
      <c r="I17" s="7">
        <v>46163.57858796296</v>
      </c>
      <c r="K17" s="5">
        <v>19000.0</v>
      </c>
      <c r="N17" s="9">
        <v>43881.0</v>
      </c>
    </row>
    <row r="18">
      <c r="A18" s="5">
        <v>17.0</v>
      </c>
      <c r="B18" s="5" t="s">
        <v>104</v>
      </c>
      <c r="C18" s="5" t="s">
        <v>20</v>
      </c>
      <c r="N18" s="9">
        <v>44610.0</v>
      </c>
    </row>
    <row r="19">
      <c r="A19" s="5">
        <v>18.0</v>
      </c>
      <c r="B19" s="5" t="s">
        <v>106</v>
      </c>
      <c r="C19" s="5" t="s">
        <v>20</v>
      </c>
      <c r="K19" s="5">
        <v>300.0</v>
      </c>
      <c r="N19" s="9">
        <v>44661.0</v>
      </c>
    </row>
    <row r="20">
      <c r="A20" s="5">
        <v>19.0</v>
      </c>
      <c r="B20" s="5" t="s">
        <v>109</v>
      </c>
      <c r="C20" s="5" t="s">
        <v>20</v>
      </c>
      <c r="K20" s="5">
        <v>7900.0</v>
      </c>
      <c r="N20" s="9">
        <v>44047.0</v>
      </c>
    </row>
    <row r="21">
      <c r="A21" s="5">
        <v>20.0</v>
      </c>
      <c r="B21" s="5" t="s">
        <v>111</v>
      </c>
      <c r="C21" s="5" t="s">
        <v>20</v>
      </c>
      <c r="K21" s="5">
        <v>158000.0</v>
      </c>
      <c r="N21" s="9">
        <v>44170.0</v>
      </c>
    </row>
    <row r="22">
      <c r="A22" s="5">
        <v>21.0</v>
      </c>
      <c r="B22" s="5" t="s">
        <v>114</v>
      </c>
      <c r="C22" s="5" t="s">
        <v>20</v>
      </c>
      <c r="K22" s="5">
        <v>30.0</v>
      </c>
      <c r="N22" s="9">
        <v>44571.0</v>
      </c>
    </row>
    <row r="23">
      <c r="A23" s="5">
        <v>22.0</v>
      </c>
      <c r="B23" s="5" t="s">
        <v>117</v>
      </c>
      <c r="C23" s="5" t="s">
        <v>20</v>
      </c>
      <c r="F23" s="5">
        <v>0.0</v>
      </c>
      <c r="K23" s="5">
        <v>30.0</v>
      </c>
      <c r="N23" s="9">
        <v>44621.0</v>
      </c>
    </row>
    <row r="24">
      <c r="A24" s="5">
        <v>23.0</v>
      </c>
      <c r="B24" s="5" t="s">
        <v>119</v>
      </c>
      <c r="C24" s="5" t="s">
        <v>20</v>
      </c>
      <c r="K24" s="5">
        <v>600.0</v>
      </c>
      <c r="N24" s="9">
        <v>44038.0</v>
      </c>
    </row>
    <row r="25">
      <c r="A25" s="5">
        <v>24.0</v>
      </c>
      <c r="B25" s="5" t="s">
        <v>122</v>
      </c>
      <c r="C25" s="5" t="s">
        <v>20</v>
      </c>
      <c r="K25" s="5">
        <v>3700.0</v>
      </c>
      <c r="N25" s="9">
        <v>44036.0</v>
      </c>
    </row>
    <row r="26">
      <c r="A26" s="5">
        <v>25.0</v>
      </c>
      <c r="B26" s="5" t="s">
        <v>125</v>
      </c>
      <c r="C26" s="5" t="s">
        <v>20</v>
      </c>
      <c r="K26" s="5">
        <v>48000.0</v>
      </c>
      <c r="N26" s="9">
        <v>43686.0</v>
      </c>
    </row>
    <row r="27">
      <c r="A27" s="5">
        <v>26.0</v>
      </c>
      <c r="B27" s="5" t="s">
        <v>127</v>
      </c>
      <c r="C27" s="5" t="s">
        <v>20</v>
      </c>
      <c r="K27" s="5">
        <v>5300.0</v>
      </c>
      <c r="N27" s="9">
        <v>43912.0</v>
      </c>
    </row>
    <row r="28">
      <c r="A28" s="5">
        <v>27.0</v>
      </c>
      <c r="B28" s="5" t="s">
        <v>130</v>
      </c>
      <c r="C28" s="5" t="s">
        <v>20</v>
      </c>
      <c r="K28" s="5">
        <v>2200.0</v>
      </c>
      <c r="N28" s="9">
        <v>44377.0</v>
      </c>
    </row>
    <row r="29">
      <c r="A29" s="5">
        <v>28.0</v>
      </c>
      <c r="B29" s="5" t="s">
        <v>132</v>
      </c>
      <c r="C29" s="5" t="s">
        <v>20</v>
      </c>
      <c r="K29" s="5">
        <v>1400.0</v>
      </c>
      <c r="N29" s="9">
        <v>43841.0</v>
      </c>
    </row>
    <row r="30">
      <c r="A30" s="5">
        <v>29.0</v>
      </c>
      <c r="B30" s="5" t="s">
        <v>135</v>
      </c>
      <c r="C30" s="5" t="s">
        <v>20</v>
      </c>
      <c r="K30" s="5">
        <v>100.0</v>
      </c>
      <c r="N30" s="9">
        <v>44597.0</v>
      </c>
    </row>
    <row r="31">
      <c r="A31" s="5">
        <v>30.0</v>
      </c>
      <c r="B31" s="5" t="s">
        <v>137</v>
      </c>
      <c r="C31" s="5" t="s">
        <v>20</v>
      </c>
      <c r="K31" s="5">
        <v>38000.0</v>
      </c>
      <c r="N31" s="9">
        <v>43860.0</v>
      </c>
    </row>
    <row r="32">
      <c r="A32" s="5">
        <v>31.0</v>
      </c>
      <c r="B32" s="5" t="s">
        <v>139</v>
      </c>
      <c r="C32" s="5" t="s">
        <v>20</v>
      </c>
    </row>
    <row r="33">
      <c r="A33" s="5">
        <v>32.0</v>
      </c>
      <c r="B33" s="5" t="s">
        <v>141</v>
      </c>
      <c r="C33" s="5" t="s">
        <v>20</v>
      </c>
    </row>
    <row r="34">
      <c r="A34" s="5">
        <v>33.0</v>
      </c>
      <c r="B34" s="5" t="s">
        <v>142</v>
      </c>
      <c r="C34" s="5" t="s">
        <v>20</v>
      </c>
    </row>
    <row r="35">
      <c r="A35" s="5">
        <v>34.0</v>
      </c>
      <c r="B35" s="5" t="s">
        <v>143</v>
      </c>
      <c r="C35" s="5" t="s">
        <v>20</v>
      </c>
    </row>
    <row r="36">
      <c r="A36" s="5">
        <v>35.0</v>
      </c>
      <c r="B36" s="5" t="s">
        <v>146</v>
      </c>
      <c r="C36" s="5" t="s">
        <v>20</v>
      </c>
    </row>
    <row r="37">
      <c r="A37" s="5">
        <v>36.0</v>
      </c>
      <c r="B37" s="5" t="s">
        <v>147</v>
      </c>
      <c r="C37" s="5" t="s">
        <v>20</v>
      </c>
    </row>
    <row r="38">
      <c r="A38" s="5">
        <v>37.0</v>
      </c>
      <c r="B38" s="5" t="s">
        <v>149</v>
      </c>
      <c r="C38" s="5" t="s">
        <v>20</v>
      </c>
    </row>
    <row r="39">
      <c r="A39" s="5">
        <v>38.0</v>
      </c>
      <c r="B39" s="5" t="s">
        <v>151</v>
      </c>
      <c r="C39" s="5" t="s">
        <v>20</v>
      </c>
    </row>
    <row r="40">
      <c r="A40" s="5">
        <v>39.0</v>
      </c>
      <c r="B40" s="5" t="s">
        <v>153</v>
      </c>
      <c r="C40" s="5" t="s">
        <v>20</v>
      </c>
    </row>
    <row r="41">
      <c r="A41" s="5">
        <v>40.0</v>
      </c>
      <c r="B41" s="5" t="s">
        <v>154</v>
      </c>
      <c r="C41" s="5" t="s">
        <v>20</v>
      </c>
    </row>
    <row r="42">
      <c r="A42" s="5">
        <v>41.0</v>
      </c>
      <c r="B42" s="5" t="s">
        <v>156</v>
      </c>
      <c r="C42" s="5" t="s">
        <v>20</v>
      </c>
    </row>
    <row r="43">
      <c r="A43" s="5">
        <v>42.0</v>
      </c>
      <c r="B43" s="5" t="s">
        <v>158</v>
      </c>
      <c r="C43" s="5" t="s">
        <v>20</v>
      </c>
    </row>
    <row r="44">
      <c r="A44" s="5">
        <v>43.0</v>
      </c>
      <c r="B44" s="5" t="s">
        <v>160</v>
      </c>
      <c r="C44" s="5" t="s">
        <v>20</v>
      </c>
    </row>
    <row r="45">
      <c r="A45" s="5">
        <v>44.0</v>
      </c>
      <c r="B45" s="5" t="s">
        <v>162</v>
      </c>
      <c r="C45" s="5" t="s">
        <v>20</v>
      </c>
    </row>
    <row r="46">
      <c r="A46" s="5">
        <v>45.0</v>
      </c>
      <c r="B46" s="5" t="s">
        <v>164</v>
      </c>
      <c r="C46" s="5" t="s">
        <v>20</v>
      </c>
    </row>
    <row r="47">
      <c r="A47" s="5">
        <v>46.0</v>
      </c>
      <c r="B47" s="5" t="s">
        <v>166</v>
      </c>
      <c r="C47" s="5" t="s">
        <v>20</v>
      </c>
    </row>
    <row r="48">
      <c r="A48" s="5">
        <v>47.0</v>
      </c>
      <c r="B48" s="5" t="s">
        <v>168</v>
      </c>
      <c r="C48" s="5" t="s">
        <v>20</v>
      </c>
    </row>
    <row r="49">
      <c r="A49" s="5">
        <v>48.0</v>
      </c>
      <c r="B49" s="5" t="s">
        <v>171</v>
      </c>
      <c r="C49" s="5" t="s">
        <v>20</v>
      </c>
    </row>
    <row r="50">
      <c r="A50" s="5">
        <v>49.0</v>
      </c>
      <c r="B50" s="5" t="s">
        <v>172</v>
      </c>
      <c r="C50" s="5" t="s">
        <v>20</v>
      </c>
    </row>
    <row r="51">
      <c r="A51" s="5">
        <v>50.0</v>
      </c>
      <c r="B51" s="5" t="s">
        <v>174</v>
      </c>
      <c r="C51" s="5" t="s">
        <v>20</v>
      </c>
    </row>
    <row r="52">
      <c r="A52" s="5">
        <v>51.0</v>
      </c>
      <c r="B52" s="5" t="s">
        <v>175</v>
      </c>
      <c r="C52" s="5" t="s">
        <v>20</v>
      </c>
    </row>
    <row r="53">
      <c r="A53" s="5">
        <v>52.0</v>
      </c>
      <c r="B53" s="5" t="s">
        <v>176</v>
      </c>
      <c r="C53" s="5" t="s">
        <v>20</v>
      </c>
    </row>
    <row r="54">
      <c r="A54" s="5">
        <v>53.0</v>
      </c>
      <c r="B54" s="5" t="s">
        <v>179</v>
      </c>
      <c r="C54" s="5" t="s">
        <v>20</v>
      </c>
    </row>
    <row r="55">
      <c r="A55" s="5">
        <v>54.0</v>
      </c>
      <c r="B55" s="5" t="s">
        <v>180</v>
      </c>
      <c r="C55" s="5" t="s">
        <v>20</v>
      </c>
    </row>
    <row r="56">
      <c r="A56" s="5">
        <v>55.0</v>
      </c>
      <c r="B56" s="5" t="s">
        <v>183</v>
      </c>
      <c r="C56" s="5" t="s">
        <v>20</v>
      </c>
    </row>
    <row r="57">
      <c r="A57" s="5">
        <v>56.0</v>
      </c>
      <c r="B57" s="5" t="s">
        <v>184</v>
      </c>
      <c r="C57" s="5" t="s">
        <v>20</v>
      </c>
    </row>
    <row r="58">
      <c r="A58" s="5">
        <v>57.0</v>
      </c>
      <c r="B58" s="5" t="s">
        <v>187</v>
      </c>
      <c r="C58" s="5" t="s">
        <v>20</v>
      </c>
    </row>
    <row r="59">
      <c r="A59" s="5">
        <v>58.0</v>
      </c>
      <c r="B59" s="5" t="s">
        <v>189</v>
      </c>
      <c r="C59" s="5" t="s">
        <v>20</v>
      </c>
    </row>
    <row r="60">
      <c r="A60" s="5">
        <v>59.0</v>
      </c>
      <c r="B60" s="5" t="s">
        <v>191</v>
      </c>
      <c r="C60" s="5" t="s">
        <v>20</v>
      </c>
    </row>
    <row r="61">
      <c r="A61" s="5">
        <v>60.0</v>
      </c>
      <c r="B61" s="5" t="s">
        <v>193</v>
      </c>
      <c r="C61" s="5" t="s">
        <v>20</v>
      </c>
    </row>
    <row r="62">
      <c r="A62" s="5">
        <v>61.0</v>
      </c>
      <c r="B62" s="5" t="s">
        <v>195</v>
      </c>
      <c r="C62" s="5" t="s">
        <v>20</v>
      </c>
    </row>
    <row r="63">
      <c r="A63" s="5">
        <v>62.0</v>
      </c>
      <c r="B63" s="5" t="s">
        <v>196</v>
      </c>
      <c r="C63" s="5" t="s">
        <v>20</v>
      </c>
    </row>
    <row r="64">
      <c r="A64" s="5">
        <v>63.0</v>
      </c>
      <c r="B64" s="5" t="s">
        <v>199</v>
      </c>
      <c r="C64" s="5" t="s">
        <v>20</v>
      </c>
    </row>
    <row r="65">
      <c r="A65" s="5">
        <v>64.0</v>
      </c>
      <c r="B65" s="5" t="s">
        <v>201</v>
      </c>
      <c r="C65" s="5" t="s">
        <v>20</v>
      </c>
    </row>
    <row r="66">
      <c r="A66" s="5">
        <v>65.0</v>
      </c>
      <c r="B66" s="5" t="s">
        <v>203</v>
      </c>
      <c r="C66" s="5" t="s">
        <v>20</v>
      </c>
    </row>
    <row r="67">
      <c r="A67" s="5">
        <v>66.0</v>
      </c>
      <c r="B67" s="5" t="s">
        <v>204</v>
      </c>
      <c r="C67" s="5" t="s">
        <v>20</v>
      </c>
    </row>
    <row r="68">
      <c r="A68" s="5">
        <v>67.0</v>
      </c>
      <c r="B68" s="5" t="s">
        <v>206</v>
      </c>
      <c r="C68" s="5" t="s">
        <v>20</v>
      </c>
    </row>
    <row r="69">
      <c r="A69" s="5">
        <v>68.0</v>
      </c>
      <c r="B69" s="5" t="s">
        <v>208</v>
      </c>
      <c r="C69" s="5" t="s">
        <v>20</v>
      </c>
    </row>
    <row r="70">
      <c r="A70" s="5">
        <v>69.0</v>
      </c>
      <c r="B70" s="5" t="s">
        <v>209</v>
      </c>
      <c r="C70" s="5" t="s">
        <v>20</v>
      </c>
    </row>
    <row r="71">
      <c r="A71" s="5">
        <v>70.0</v>
      </c>
      <c r="B71" s="5" t="s">
        <v>211</v>
      </c>
      <c r="C71" s="5" t="s">
        <v>20</v>
      </c>
    </row>
    <row r="72">
      <c r="A72" s="5">
        <v>71.0</v>
      </c>
      <c r="B72" s="5" t="s">
        <v>213</v>
      </c>
      <c r="C72" s="5" t="s">
        <v>20</v>
      </c>
    </row>
    <row r="73">
      <c r="A73" s="5">
        <v>72.0</v>
      </c>
      <c r="B73" s="5" t="s">
        <v>214</v>
      </c>
      <c r="C73" s="5" t="s">
        <v>20</v>
      </c>
    </row>
    <row r="74">
      <c r="A74" s="5">
        <v>73.0</v>
      </c>
      <c r="B74" s="5" t="s">
        <v>216</v>
      </c>
      <c r="C74" s="5" t="s">
        <v>20</v>
      </c>
    </row>
    <row r="75">
      <c r="A75" s="5">
        <v>74.0</v>
      </c>
      <c r="B75" s="5" t="s">
        <v>217</v>
      </c>
      <c r="C75" s="5" t="s">
        <v>20</v>
      </c>
    </row>
    <row r="76">
      <c r="A76" s="5">
        <v>75.0</v>
      </c>
      <c r="B76" s="5" t="s">
        <v>219</v>
      </c>
      <c r="C76" s="5" t="s">
        <v>20</v>
      </c>
    </row>
    <row r="77">
      <c r="A77" s="5">
        <v>76.0</v>
      </c>
      <c r="B77" s="5" t="s">
        <v>221</v>
      </c>
      <c r="C77" s="5" t="s">
        <v>20</v>
      </c>
    </row>
    <row r="78">
      <c r="A78" s="5">
        <v>77.0</v>
      </c>
      <c r="B78" s="5" t="s">
        <v>223</v>
      </c>
      <c r="C78" s="5" t="s">
        <v>20</v>
      </c>
    </row>
    <row r="79">
      <c r="A79" s="5">
        <v>78.0</v>
      </c>
      <c r="B79" s="5" t="s">
        <v>224</v>
      </c>
      <c r="C79" s="5" t="s">
        <v>20</v>
      </c>
    </row>
    <row r="80">
      <c r="A80" s="5">
        <v>79.0</v>
      </c>
      <c r="B80" s="5" t="s">
        <v>226</v>
      </c>
      <c r="C80" s="5" t="s">
        <v>20</v>
      </c>
    </row>
    <row r="81">
      <c r="A81" s="5">
        <v>80.0</v>
      </c>
      <c r="B81" s="5" t="s">
        <v>227</v>
      </c>
      <c r="C81" s="5" t="s">
        <v>20</v>
      </c>
    </row>
    <row r="82">
      <c r="A82" s="5">
        <v>81.0</v>
      </c>
      <c r="B82" s="5" t="s">
        <v>228</v>
      </c>
      <c r="C82" s="5" t="s">
        <v>20</v>
      </c>
    </row>
    <row r="83">
      <c r="A83" s="5">
        <v>82.0</v>
      </c>
      <c r="B83" s="5" t="s">
        <v>229</v>
      </c>
      <c r="C83" s="5" t="s">
        <v>20</v>
      </c>
    </row>
    <row r="84">
      <c r="A84" s="5">
        <v>83.0</v>
      </c>
      <c r="B84" s="5" t="s">
        <v>231</v>
      </c>
      <c r="C84" s="5" t="s">
        <v>20</v>
      </c>
    </row>
    <row r="85">
      <c r="A85" s="5">
        <v>84.0</v>
      </c>
      <c r="B85" s="5" t="s">
        <v>233</v>
      </c>
      <c r="C85" s="5" t="s">
        <v>20</v>
      </c>
    </row>
    <row r="86">
      <c r="A86" s="5">
        <v>85.0</v>
      </c>
      <c r="B86" s="5" t="s">
        <v>235</v>
      </c>
      <c r="C86" s="5" t="s">
        <v>20</v>
      </c>
    </row>
    <row r="87">
      <c r="A87" s="5">
        <v>86.0</v>
      </c>
      <c r="B87" s="5" t="s">
        <v>236</v>
      </c>
      <c r="C87" s="5" t="s">
        <v>20</v>
      </c>
    </row>
    <row r="88">
      <c r="A88" s="5">
        <v>87.0</v>
      </c>
      <c r="B88" s="5" t="s">
        <v>238</v>
      </c>
      <c r="C88" s="5" t="s">
        <v>20</v>
      </c>
    </row>
    <row r="89">
      <c r="A89" s="5">
        <v>88.0</v>
      </c>
      <c r="B89" s="5" t="s">
        <v>240</v>
      </c>
      <c r="C89" s="5" t="s">
        <v>20</v>
      </c>
    </row>
    <row r="90">
      <c r="A90" s="5">
        <v>89.0</v>
      </c>
      <c r="B90" s="5" t="s">
        <v>241</v>
      </c>
      <c r="C90" s="5" t="s">
        <v>20</v>
      </c>
    </row>
    <row r="91">
      <c r="A91" s="5">
        <v>90.0</v>
      </c>
      <c r="B91" s="5" t="s">
        <v>243</v>
      </c>
      <c r="C91" s="5" t="s">
        <v>20</v>
      </c>
    </row>
    <row r="92">
      <c r="A92" s="5">
        <v>91.0</v>
      </c>
      <c r="B92" s="5" t="s">
        <v>245</v>
      </c>
      <c r="C92" s="5" t="s">
        <v>20</v>
      </c>
    </row>
    <row r="93">
      <c r="A93" s="5">
        <v>92.0</v>
      </c>
      <c r="B93" s="5" t="s">
        <v>246</v>
      </c>
      <c r="C93" s="5" t="s">
        <v>20</v>
      </c>
    </row>
    <row r="94">
      <c r="A94" s="5">
        <v>93.0</v>
      </c>
      <c r="B94" s="5" t="s">
        <v>248</v>
      </c>
      <c r="C94" s="5" t="s">
        <v>20</v>
      </c>
    </row>
    <row r="95">
      <c r="A95" s="5">
        <v>94.0</v>
      </c>
      <c r="B95" s="5" t="s">
        <v>249</v>
      </c>
      <c r="C95" s="5" t="s">
        <v>20</v>
      </c>
    </row>
    <row r="96">
      <c r="A96" s="5">
        <v>95.0</v>
      </c>
      <c r="B96" s="5" t="s">
        <v>251</v>
      </c>
      <c r="C96" s="5" t="s">
        <v>20</v>
      </c>
    </row>
    <row r="97">
      <c r="A97" s="5">
        <v>96.0</v>
      </c>
      <c r="B97" s="5" t="s">
        <v>253</v>
      </c>
      <c r="C97" s="5" t="s">
        <v>20</v>
      </c>
    </row>
    <row r="98">
      <c r="A98" s="5">
        <v>97.0</v>
      </c>
      <c r="B98" s="5" t="s">
        <v>254</v>
      </c>
      <c r="C98" s="5" t="s">
        <v>20</v>
      </c>
    </row>
    <row r="99">
      <c r="A99" s="5">
        <v>98.0</v>
      </c>
      <c r="B99" s="5" t="s">
        <v>256</v>
      </c>
      <c r="C99" s="5" t="s">
        <v>20</v>
      </c>
    </row>
    <row r="100">
      <c r="A100" s="5">
        <v>99.0</v>
      </c>
      <c r="B100" s="5" t="s">
        <v>258</v>
      </c>
      <c r="C100" s="5" t="s">
        <v>20</v>
      </c>
    </row>
    <row r="101">
      <c r="A101" s="5">
        <v>100.0</v>
      </c>
      <c r="B101" s="5" t="s">
        <v>260</v>
      </c>
      <c r="C101" s="5" t="s">
        <v>20</v>
      </c>
    </row>
    <row r="102">
      <c r="A102" s="5">
        <v>101.0</v>
      </c>
      <c r="B102" s="5" t="s">
        <v>261</v>
      </c>
      <c r="C102" s="5" t="s">
        <v>20</v>
      </c>
    </row>
    <row r="103">
      <c r="A103" s="5">
        <v>102.0</v>
      </c>
      <c r="B103" s="5" t="s">
        <v>263</v>
      </c>
      <c r="C103" s="5" t="s">
        <v>20</v>
      </c>
    </row>
    <row r="104">
      <c r="A104" s="5">
        <v>103.0</v>
      </c>
      <c r="B104" s="5" t="s">
        <v>265</v>
      </c>
      <c r="C104" s="5" t="s">
        <v>20</v>
      </c>
    </row>
    <row r="105">
      <c r="A105" s="5">
        <v>104.0</v>
      </c>
      <c r="B105" s="5" t="s">
        <v>267</v>
      </c>
      <c r="C105" s="5" t="s">
        <v>20</v>
      </c>
    </row>
    <row r="106">
      <c r="A106" s="5">
        <v>105.0</v>
      </c>
      <c r="B106" s="5" t="s">
        <v>268</v>
      </c>
      <c r="C106" s="5" t="s">
        <v>20</v>
      </c>
    </row>
    <row r="107">
      <c r="A107" s="5">
        <v>106.0</v>
      </c>
      <c r="B107" s="5" t="s">
        <v>270</v>
      </c>
      <c r="C107" s="5" t="s">
        <v>20</v>
      </c>
    </row>
    <row r="108">
      <c r="A108" s="5">
        <v>107.0</v>
      </c>
      <c r="B108" s="5" t="s">
        <v>272</v>
      </c>
      <c r="C108" s="5" t="s">
        <v>20</v>
      </c>
    </row>
    <row r="109">
      <c r="A109" s="5">
        <v>108.0</v>
      </c>
      <c r="B109" s="5" t="s">
        <v>273</v>
      </c>
      <c r="C109" s="5" t="s">
        <v>20</v>
      </c>
    </row>
    <row r="110">
      <c r="A110" s="5">
        <v>109.0</v>
      </c>
      <c r="B110" s="5" t="s">
        <v>275</v>
      </c>
      <c r="C110" s="5" t="s">
        <v>20</v>
      </c>
    </row>
    <row r="111">
      <c r="A111" s="5">
        <v>110.0</v>
      </c>
      <c r="B111" s="5" t="s">
        <v>277</v>
      </c>
      <c r="C111" s="5" t="s">
        <v>20</v>
      </c>
    </row>
    <row r="112">
      <c r="A112" s="5">
        <v>111.0</v>
      </c>
      <c r="B112" s="5" t="s">
        <v>279</v>
      </c>
      <c r="C112" s="5" t="s">
        <v>20</v>
      </c>
    </row>
    <row r="113">
      <c r="A113" s="5">
        <v>112.0</v>
      </c>
      <c r="B113" s="5" t="s">
        <v>281</v>
      </c>
      <c r="C113" s="5" t="s">
        <v>20</v>
      </c>
    </row>
    <row r="114">
      <c r="A114" s="5">
        <v>113.0</v>
      </c>
      <c r="B114" s="5" t="s">
        <v>283</v>
      </c>
      <c r="C114" s="5" t="s">
        <v>20</v>
      </c>
    </row>
    <row r="115">
      <c r="A115" s="5">
        <v>114.0</v>
      </c>
      <c r="B115" s="5" t="s">
        <v>285</v>
      </c>
      <c r="C115" s="5" t="s">
        <v>20</v>
      </c>
    </row>
    <row r="116">
      <c r="A116" s="5">
        <v>115.0</v>
      </c>
      <c r="B116" s="5" t="s">
        <v>287</v>
      </c>
      <c r="C116" s="5" t="s">
        <v>20</v>
      </c>
    </row>
    <row r="117">
      <c r="A117" s="5">
        <v>116.0</v>
      </c>
      <c r="B117" s="5" t="s">
        <v>289</v>
      </c>
      <c r="C117" s="5" t="s">
        <v>20</v>
      </c>
    </row>
    <row r="118">
      <c r="A118" s="5">
        <v>117.0</v>
      </c>
      <c r="B118" s="5" t="s">
        <v>291</v>
      </c>
      <c r="C118" s="5" t="s">
        <v>20</v>
      </c>
    </row>
    <row r="119">
      <c r="A119" s="5">
        <v>118.0</v>
      </c>
      <c r="B119" s="5" t="s">
        <v>292</v>
      </c>
      <c r="C119" s="5" t="s">
        <v>20</v>
      </c>
    </row>
    <row r="120">
      <c r="A120" s="5">
        <v>119.0</v>
      </c>
      <c r="B120" s="5" t="s">
        <v>294</v>
      </c>
      <c r="C120" s="5" t="s">
        <v>20</v>
      </c>
    </row>
    <row r="121">
      <c r="A121" s="5">
        <v>120.0</v>
      </c>
      <c r="B121" s="5" t="s">
        <v>295</v>
      </c>
      <c r="C121" s="5" t="s">
        <v>20</v>
      </c>
    </row>
    <row r="122">
      <c r="A122" s="5">
        <v>121.0</v>
      </c>
      <c r="B122" s="5" t="s">
        <v>296</v>
      </c>
      <c r="C122" s="5" t="s">
        <v>20</v>
      </c>
    </row>
    <row r="123">
      <c r="A123" s="5">
        <v>122.0</v>
      </c>
      <c r="B123" s="5" t="s">
        <v>298</v>
      </c>
      <c r="C123" s="5" t="s">
        <v>20</v>
      </c>
    </row>
    <row r="124">
      <c r="A124" s="5">
        <v>123.0</v>
      </c>
      <c r="B124" s="5" t="s">
        <v>299</v>
      </c>
      <c r="C124" s="5" t="s">
        <v>20</v>
      </c>
    </row>
    <row r="125">
      <c r="A125" s="5">
        <v>124.0</v>
      </c>
      <c r="B125" s="5" t="s">
        <v>301</v>
      </c>
      <c r="C125" s="5" t="s">
        <v>20</v>
      </c>
    </row>
    <row r="126">
      <c r="A126" s="5">
        <v>125.0</v>
      </c>
      <c r="B126" s="5" t="s">
        <v>302</v>
      </c>
      <c r="C126" s="5" t="s">
        <v>20</v>
      </c>
    </row>
    <row r="127">
      <c r="A127" s="5">
        <v>126.0</v>
      </c>
      <c r="B127" s="5" t="s">
        <v>304</v>
      </c>
      <c r="C127" s="5" t="s">
        <v>20</v>
      </c>
    </row>
    <row r="128">
      <c r="A128" s="5">
        <v>127.0</v>
      </c>
      <c r="B128" s="5" t="s">
        <v>305</v>
      </c>
      <c r="C128" s="5" t="s">
        <v>20</v>
      </c>
    </row>
    <row r="129">
      <c r="A129" s="5">
        <v>128.0</v>
      </c>
      <c r="B129" s="5" t="s">
        <v>307</v>
      </c>
      <c r="C129" s="5" t="s">
        <v>20</v>
      </c>
    </row>
    <row r="130">
      <c r="A130" s="5">
        <v>129.0</v>
      </c>
      <c r="B130" s="5" t="s">
        <v>309</v>
      </c>
      <c r="C130" s="5" t="s">
        <v>20</v>
      </c>
    </row>
    <row r="131">
      <c r="A131" s="5">
        <v>130.0</v>
      </c>
      <c r="B131" s="5" t="s">
        <v>310</v>
      </c>
      <c r="C131" s="5" t="s">
        <v>20</v>
      </c>
    </row>
    <row r="132">
      <c r="A132" s="5">
        <v>131.0</v>
      </c>
      <c r="B132" s="5" t="s">
        <v>312</v>
      </c>
      <c r="C132" s="5" t="s">
        <v>20</v>
      </c>
    </row>
    <row r="133">
      <c r="A133" s="5">
        <v>132.0</v>
      </c>
      <c r="B133" s="5" t="s">
        <v>313</v>
      </c>
      <c r="C133" s="5" t="s">
        <v>20</v>
      </c>
    </row>
    <row r="134">
      <c r="A134" s="5">
        <v>133.0</v>
      </c>
      <c r="B134" s="5" t="s">
        <v>314</v>
      </c>
      <c r="C134" s="5" t="s">
        <v>20</v>
      </c>
    </row>
    <row r="135">
      <c r="A135" s="5">
        <v>134.0</v>
      </c>
      <c r="B135" s="5" t="s">
        <v>316</v>
      </c>
      <c r="C135" s="5" t="s">
        <v>20</v>
      </c>
    </row>
    <row r="136">
      <c r="A136" s="5">
        <v>135.0</v>
      </c>
      <c r="B136" s="5" t="s">
        <v>317</v>
      </c>
      <c r="C136" s="5" t="s">
        <v>20</v>
      </c>
    </row>
    <row r="137">
      <c r="A137" s="5">
        <v>136.0</v>
      </c>
      <c r="B137" s="5" t="s">
        <v>319</v>
      </c>
      <c r="C137" s="5" t="s">
        <v>20</v>
      </c>
    </row>
    <row r="138">
      <c r="A138" s="5">
        <v>137.0</v>
      </c>
      <c r="B138" s="5" t="s">
        <v>320</v>
      </c>
      <c r="C138" s="5" t="s">
        <v>20</v>
      </c>
    </row>
    <row r="139">
      <c r="A139" s="5">
        <v>138.0</v>
      </c>
      <c r="B139" s="5" t="s">
        <v>322</v>
      </c>
      <c r="C139" s="5" t="s">
        <v>20</v>
      </c>
    </row>
    <row r="140">
      <c r="A140" s="5">
        <v>139.0</v>
      </c>
      <c r="B140" s="5" t="s">
        <v>323</v>
      </c>
      <c r="C140" s="5" t="s">
        <v>20</v>
      </c>
    </row>
    <row r="141">
      <c r="A141" s="5">
        <v>140.0</v>
      </c>
      <c r="B141" s="5" t="s">
        <v>325</v>
      </c>
      <c r="C141" s="5" t="s">
        <v>20</v>
      </c>
    </row>
    <row r="142">
      <c r="A142" s="5">
        <v>141.0</v>
      </c>
      <c r="B142" s="5" t="s">
        <v>326</v>
      </c>
      <c r="C142" s="5" t="s">
        <v>20</v>
      </c>
    </row>
    <row r="143">
      <c r="A143" s="5">
        <v>142.0</v>
      </c>
      <c r="B143" s="5" t="s">
        <v>328</v>
      </c>
      <c r="C143" s="5" t="s">
        <v>20</v>
      </c>
    </row>
    <row r="144">
      <c r="A144" s="5">
        <v>143.0</v>
      </c>
      <c r="B144" s="5" t="s">
        <v>329</v>
      </c>
      <c r="C144" s="5" t="s">
        <v>20</v>
      </c>
    </row>
    <row r="145">
      <c r="A145" s="5">
        <v>144.0</v>
      </c>
      <c r="B145" s="5" t="s">
        <v>331</v>
      </c>
      <c r="C145" s="5" t="s">
        <v>20</v>
      </c>
    </row>
    <row r="146">
      <c r="A146" s="5">
        <v>145.0</v>
      </c>
      <c r="B146" s="5" t="s">
        <v>332</v>
      </c>
      <c r="C146" s="5" t="s">
        <v>20</v>
      </c>
    </row>
    <row r="147">
      <c r="A147" s="5">
        <v>146.0</v>
      </c>
      <c r="B147" s="5" t="s">
        <v>334</v>
      </c>
      <c r="C147" s="5" t="s">
        <v>20</v>
      </c>
    </row>
    <row r="148">
      <c r="A148" s="5">
        <v>147.0</v>
      </c>
      <c r="B148" s="5" t="s">
        <v>335</v>
      </c>
      <c r="C148" s="5" t="s">
        <v>20</v>
      </c>
    </row>
    <row r="149">
      <c r="A149" s="5">
        <v>148.0</v>
      </c>
      <c r="B149" s="5" t="s">
        <v>337</v>
      </c>
      <c r="C149" s="5" t="s">
        <v>20</v>
      </c>
    </row>
    <row r="150">
      <c r="A150" s="5">
        <v>149.0</v>
      </c>
      <c r="B150" s="5" t="s">
        <v>338</v>
      </c>
      <c r="C150" s="5" t="s">
        <v>20</v>
      </c>
    </row>
    <row r="151">
      <c r="A151" s="5">
        <v>150.0</v>
      </c>
      <c r="B151" s="5" t="s">
        <v>339</v>
      </c>
      <c r="C151" s="5" t="s">
        <v>20</v>
      </c>
    </row>
    <row r="152">
      <c r="A152" s="5">
        <v>151.0</v>
      </c>
      <c r="B152" s="5" t="s">
        <v>341</v>
      </c>
      <c r="C152" s="5" t="s">
        <v>20</v>
      </c>
    </row>
    <row r="153">
      <c r="A153" s="5">
        <v>152.0</v>
      </c>
      <c r="B153" s="5" t="s">
        <v>342</v>
      </c>
      <c r="C153" s="5" t="s">
        <v>20</v>
      </c>
    </row>
    <row r="154">
      <c r="A154" s="5">
        <v>153.0</v>
      </c>
      <c r="B154" s="5" t="s">
        <v>344</v>
      </c>
      <c r="C154" s="5" t="s">
        <v>20</v>
      </c>
    </row>
    <row r="155">
      <c r="A155" s="5">
        <v>154.0</v>
      </c>
      <c r="B155" s="5" t="s">
        <v>345</v>
      </c>
      <c r="C155" s="5" t="s">
        <v>20</v>
      </c>
    </row>
    <row r="156">
      <c r="A156" s="5">
        <v>155.0</v>
      </c>
      <c r="B156" s="5" t="s">
        <v>346</v>
      </c>
      <c r="C156" s="5" t="s">
        <v>20</v>
      </c>
    </row>
    <row r="157">
      <c r="A157" s="5">
        <v>156.0</v>
      </c>
      <c r="B157" s="5" t="s">
        <v>347</v>
      </c>
      <c r="C157" s="5" t="s">
        <v>20</v>
      </c>
    </row>
    <row r="158">
      <c r="A158" s="5">
        <v>157.0</v>
      </c>
      <c r="B158" s="5" t="s">
        <v>348</v>
      </c>
      <c r="C158" s="5" t="s">
        <v>20</v>
      </c>
    </row>
    <row r="159">
      <c r="A159" s="5">
        <v>158.0</v>
      </c>
      <c r="B159" s="5" t="s">
        <v>349</v>
      </c>
      <c r="C159" s="5" t="s">
        <v>20</v>
      </c>
    </row>
    <row r="160">
      <c r="A160" s="5">
        <v>159.0</v>
      </c>
      <c r="B160" s="5" t="s">
        <v>350</v>
      </c>
      <c r="C160" s="5" t="s">
        <v>20</v>
      </c>
    </row>
    <row r="161">
      <c r="A161" s="5">
        <v>160.0</v>
      </c>
      <c r="B161" s="5" t="s">
        <v>352</v>
      </c>
      <c r="C161" s="5" t="s">
        <v>20</v>
      </c>
    </row>
    <row r="162">
      <c r="A162" s="5">
        <v>161.0</v>
      </c>
      <c r="B162" s="5" t="s">
        <v>353</v>
      </c>
      <c r="C162" s="5" t="s">
        <v>20</v>
      </c>
    </row>
    <row r="163">
      <c r="A163" s="5">
        <v>162.0</v>
      </c>
      <c r="B163" s="5" t="s">
        <v>355</v>
      </c>
      <c r="C163" s="5" t="s">
        <v>20</v>
      </c>
    </row>
    <row r="164">
      <c r="A164" s="5">
        <v>163.0</v>
      </c>
      <c r="B164" s="5" t="s">
        <v>356</v>
      </c>
      <c r="C164" s="5" t="s">
        <v>20</v>
      </c>
    </row>
    <row r="165">
      <c r="A165" s="5">
        <v>164.0</v>
      </c>
      <c r="B165" s="5" t="s">
        <v>358</v>
      </c>
      <c r="C165" s="5" t="s">
        <v>20</v>
      </c>
    </row>
    <row r="166">
      <c r="A166" s="5">
        <v>165.0</v>
      </c>
      <c r="B166" s="5" t="s">
        <v>359</v>
      </c>
      <c r="C166" s="5" t="s">
        <v>20</v>
      </c>
    </row>
    <row r="167">
      <c r="A167" s="5">
        <v>166.0</v>
      </c>
      <c r="B167" s="5" t="s">
        <v>361</v>
      </c>
      <c r="C167" s="5" t="s">
        <v>20</v>
      </c>
    </row>
    <row r="168">
      <c r="A168" s="5">
        <v>167.0</v>
      </c>
      <c r="B168" s="5" t="s">
        <v>362</v>
      </c>
      <c r="C168" s="5" t="s">
        <v>20</v>
      </c>
    </row>
    <row r="169">
      <c r="A169" s="5">
        <v>168.0</v>
      </c>
      <c r="B169" s="5" t="s">
        <v>364</v>
      </c>
      <c r="C169" s="5" t="s">
        <v>20</v>
      </c>
    </row>
    <row r="170">
      <c r="A170" s="5">
        <v>169.0</v>
      </c>
      <c r="B170" s="5" t="s">
        <v>365</v>
      </c>
      <c r="C170" s="5" t="s">
        <v>20</v>
      </c>
    </row>
    <row r="171">
      <c r="A171" s="5">
        <v>170.0</v>
      </c>
      <c r="B171" s="5" t="s">
        <v>366</v>
      </c>
      <c r="C171" s="5" t="s">
        <v>20</v>
      </c>
    </row>
    <row r="172">
      <c r="A172" s="5">
        <v>171.0</v>
      </c>
      <c r="B172" s="5" t="s">
        <v>367</v>
      </c>
      <c r="C172" s="5" t="s">
        <v>20</v>
      </c>
    </row>
    <row r="173">
      <c r="A173" s="5">
        <v>172.0</v>
      </c>
      <c r="B173" s="5" t="s">
        <v>368</v>
      </c>
      <c r="C173" s="5" t="s">
        <v>20</v>
      </c>
    </row>
    <row r="174">
      <c r="A174" s="5">
        <v>173.0</v>
      </c>
      <c r="B174" s="5" t="s">
        <v>370</v>
      </c>
      <c r="C174" s="5" t="s">
        <v>20</v>
      </c>
    </row>
    <row r="175">
      <c r="A175" s="5">
        <v>174.0</v>
      </c>
      <c r="B175" s="5" t="s">
        <v>371</v>
      </c>
      <c r="C175" s="5" t="s">
        <v>20</v>
      </c>
    </row>
    <row r="176">
      <c r="A176" s="5">
        <v>175.0</v>
      </c>
      <c r="B176" s="5" t="s">
        <v>373</v>
      </c>
      <c r="C176" s="5" t="s">
        <v>20</v>
      </c>
    </row>
    <row r="177">
      <c r="A177" s="5">
        <v>176.0</v>
      </c>
      <c r="B177" s="5" t="s">
        <v>374</v>
      </c>
      <c r="C177" s="5" t="s">
        <v>20</v>
      </c>
    </row>
    <row r="178">
      <c r="A178" s="5">
        <v>177.0</v>
      </c>
      <c r="B178" s="5" t="s">
        <v>376</v>
      </c>
      <c r="C178" s="5" t="s">
        <v>20</v>
      </c>
    </row>
    <row r="179">
      <c r="A179" s="5">
        <v>178.0</v>
      </c>
      <c r="B179" s="5" t="s">
        <v>377</v>
      </c>
      <c r="C179" s="5" t="s">
        <v>20</v>
      </c>
    </row>
    <row r="180">
      <c r="A180" s="5">
        <v>179.0</v>
      </c>
      <c r="B180" s="5" t="s">
        <v>379</v>
      </c>
      <c r="C180" s="5" t="s">
        <v>20</v>
      </c>
    </row>
    <row r="181">
      <c r="A181" s="5">
        <v>180.0</v>
      </c>
      <c r="B181" s="5" t="s">
        <v>380</v>
      </c>
      <c r="C181" s="5" t="s">
        <v>20</v>
      </c>
    </row>
    <row r="182">
      <c r="A182" s="5">
        <v>181.0</v>
      </c>
      <c r="B182" s="5" t="s">
        <v>382</v>
      </c>
      <c r="C182" s="5" t="s">
        <v>20</v>
      </c>
    </row>
    <row r="183">
      <c r="A183" s="5">
        <v>182.0</v>
      </c>
      <c r="B183" s="5" t="s">
        <v>383</v>
      </c>
      <c r="C183" s="5" t="s">
        <v>20</v>
      </c>
    </row>
    <row r="184">
      <c r="A184" s="5">
        <v>183.0</v>
      </c>
      <c r="B184" s="5" t="s">
        <v>390</v>
      </c>
      <c r="C184" s="5" t="s">
        <v>20</v>
      </c>
    </row>
    <row r="185">
      <c r="A185" s="5">
        <v>184.0</v>
      </c>
      <c r="B185" s="5" t="s">
        <v>392</v>
      </c>
      <c r="C185" s="5" t="s">
        <v>20</v>
      </c>
    </row>
    <row r="186">
      <c r="A186" s="5">
        <v>185.0</v>
      </c>
      <c r="B186" s="5" t="s">
        <v>394</v>
      </c>
      <c r="C186" s="5" t="s">
        <v>20</v>
      </c>
    </row>
    <row r="187">
      <c r="A187" s="5">
        <v>186.0</v>
      </c>
      <c r="B187" s="5" t="s">
        <v>396</v>
      </c>
      <c r="C187" s="5" t="s">
        <v>20</v>
      </c>
    </row>
    <row r="188">
      <c r="A188" s="5">
        <v>187.0</v>
      </c>
      <c r="B188" s="5" t="s">
        <v>397</v>
      </c>
      <c r="C188" s="5" t="s">
        <v>20</v>
      </c>
    </row>
    <row r="189">
      <c r="A189" s="5">
        <v>188.0</v>
      </c>
      <c r="B189" s="5" t="s">
        <v>399</v>
      </c>
      <c r="C189" s="5" t="s">
        <v>20</v>
      </c>
    </row>
    <row r="190">
      <c r="A190" s="5">
        <v>189.0</v>
      </c>
      <c r="B190" s="5" t="s">
        <v>401</v>
      </c>
      <c r="C190" s="5" t="s">
        <v>20</v>
      </c>
    </row>
    <row r="191">
      <c r="A191" s="5">
        <v>190.0</v>
      </c>
      <c r="B191" s="5" t="s">
        <v>403</v>
      </c>
      <c r="C191" s="5" t="s">
        <v>20</v>
      </c>
    </row>
    <row r="192">
      <c r="A192" s="5">
        <v>191.0</v>
      </c>
      <c r="B192" s="5" t="s">
        <v>404</v>
      </c>
      <c r="C192" s="5" t="s">
        <v>20</v>
      </c>
    </row>
    <row r="193">
      <c r="A193" s="5">
        <v>192.0</v>
      </c>
      <c r="B193" s="5" t="s">
        <v>406</v>
      </c>
      <c r="C193" s="5" t="s">
        <v>20</v>
      </c>
    </row>
    <row r="194">
      <c r="A194" s="5">
        <v>193.0</v>
      </c>
      <c r="B194" s="5" t="s">
        <v>408</v>
      </c>
      <c r="C194" s="5" t="s">
        <v>20</v>
      </c>
    </row>
    <row r="195">
      <c r="A195" s="5">
        <v>194.0</v>
      </c>
      <c r="B195" s="5" t="s">
        <v>410</v>
      </c>
      <c r="C195" s="5" t="s">
        <v>20</v>
      </c>
    </row>
    <row r="196">
      <c r="A196" s="5">
        <v>195.0</v>
      </c>
      <c r="B196" s="5" t="s">
        <v>412</v>
      </c>
      <c r="C196" s="5" t="s">
        <v>20</v>
      </c>
    </row>
    <row r="197">
      <c r="A197" s="5">
        <v>196.0</v>
      </c>
      <c r="B197" s="5" t="s">
        <v>414</v>
      </c>
      <c r="C197" s="5" t="s">
        <v>20</v>
      </c>
    </row>
    <row r="198">
      <c r="A198" s="5">
        <v>197.0</v>
      </c>
      <c r="B198" s="5" t="s">
        <v>417</v>
      </c>
      <c r="C198" s="5" t="s">
        <v>20</v>
      </c>
    </row>
    <row r="199">
      <c r="A199" s="5">
        <v>198.0</v>
      </c>
      <c r="B199" s="5" t="s">
        <v>419</v>
      </c>
      <c r="C199" s="5" t="s">
        <v>20</v>
      </c>
    </row>
    <row r="200">
      <c r="A200" s="5">
        <v>199.0</v>
      </c>
      <c r="B200" s="5" t="s">
        <v>421</v>
      </c>
      <c r="C200" s="5" t="s">
        <v>20</v>
      </c>
    </row>
    <row r="201">
      <c r="A201" s="5">
        <v>200.0</v>
      </c>
      <c r="B201" s="5" t="s">
        <v>423</v>
      </c>
      <c r="C201" s="5" t="s">
        <v>20</v>
      </c>
    </row>
    <row r="202">
      <c r="A202" s="5">
        <v>201.0</v>
      </c>
      <c r="B202" s="5" t="s">
        <v>424</v>
      </c>
      <c r="C202" s="5" t="s">
        <v>20</v>
      </c>
    </row>
    <row r="203">
      <c r="A203" s="5">
        <v>202.0</v>
      </c>
      <c r="B203" s="5" t="s">
        <v>426</v>
      </c>
      <c r="C203" s="5" t="s">
        <v>20</v>
      </c>
    </row>
    <row r="204">
      <c r="A204" s="5">
        <v>203.0</v>
      </c>
      <c r="B204" s="5" t="s">
        <v>428</v>
      </c>
      <c r="C204" s="5" t="s">
        <v>20</v>
      </c>
    </row>
    <row r="205">
      <c r="A205" s="5">
        <v>204.0</v>
      </c>
      <c r="B205" s="5" t="s">
        <v>430</v>
      </c>
      <c r="C205" s="5" t="s">
        <v>20</v>
      </c>
    </row>
    <row r="206">
      <c r="A206" s="5">
        <v>205.0</v>
      </c>
      <c r="B206" s="5" t="s">
        <v>431</v>
      </c>
      <c r="C206" s="5" t="s">
        <v>20</v>
      </c>
    </row>
    <row r="207">
      <c r="A207" s="5">
        <v>206.0</v>
      </c>
      <c r="B207" s="5" t="s">
        <v>433</v>
      </c>
      <c r="C207" s="5" t="s">
        <v>20</v>
      </c>
    </row>
    <row r="208">
      <c r="A208" s="5">
        <v>207.0</v>
      </c>
      <c r="B208" s="5" t="s">
        <v>434</v>
      </c>
      <c r="C208" s="5" t="s">
        <v>20</v>
      </c>
    </row>
    <row r="209">
      <c r="A209" s="5">
        <v>208.0</v>
      </c>
      <c r="B209" s="5" t="s">
        <v>436</v>
      </c>
      <c r="C209" s="5" t="s">
        <v>20</v>
      </c>
    </row>
    <row r="210">
      <c r="A210" s="5">
        <v>209.0</v>
      </c>
      <c r="B210" s="5" t="s">
        <v>437</v>
      </c>
      <c r="C210" s="5" t="s">
        <v>20</v>
      </c>
    </row>
    <row r="211">
      <c r="A211" s="5">
        <v>210.0</v>
      </c>
      <c r="B211" s="5" t="s">
        <v>439</v>
      </c>
      <c r="C211" s="5" t="s">
        <v>20</v>
      </c>
    </row>
    <row r="212">
      <c r="A212" s="5">
        <v>211.0</v>
      </c>
      <c r="B212" s="5" t="s">
        <v>441</v>
      </c>
      <c r="C212" s="5" t="s">
        <v>20</v>
      </c>
    </row>
    <row r="213">
      <c r="A213" s="5">
        <v>212.0</v>
      </c>
      <c r="B213" s="5" t="s">
        <v>443</v>
      </c>
      <c r="C213" s="5" t="s">
        <v>20</v>
      </c>
    </row>
    <row r="214">
      <c r="A214" s="5">
        <v>213.0</v>
      </c>
      <c r="B214" s="5" t="s">
        <v>445</v>
      </c>
      <c r="C214" s="5" t="s">
        <v>20</v>
      </c>
    </row>
    <row r="215">
      <c r="A215" s="5">
        <v>214.0</v>
      </c>
      <c r="B215" s="5" t="s">
        <v>447</v>
      </c>
      <c r="C215" s="5" t="s">
        <v>20</v>
      </c>
    </row>
    <row r="216">
      <c r="A216" s="5">
        <v>215.0</v>
      </c>
      <c r="B216" s="5" t="s">
        <v>449</v>
      </c>
      <c r="C216" s="5" t="s">
        <v>20</v>
      </c>
    </row>
    <row r="217">
      <c r="A217" s="5">
        <v>216.0</v>
      </c>
      <c r="B217" s="5" t="s">
        <v>450</v>
      </c>
      <c r="C217" s="5" t="s">
        <v>20</v>
      </c>
    </row>
    <row r="218">
      <c r="A218" s="5">
        <v>217.0</v>
      </c>
      <c r="B218" s="5" t="s">
        <v>452</v>
      </c>
      <c r="C218" s="5" t="s">
        <v>20</v>
      </c>
    </row>
    <row r="219">
      <c r="A219" s="5">
        <v>218.0</v>
      </c>
      <c r="B219" s="5" t="s">
        <v>454</v>
      </c>
      <c r="C219" s="5" t="s">
        <v>20</v>
      </c>
    </row>
    <row r="220">
      <c r="A220" s="5">
        <v>219.0</v>
      </c>
      <c r="B220" s="5" t="s">
        <v>456</v>
      </c>
      <c r="C220" s="5" t="s">
        <v>20</v>
      </c>
    </row>
    <row r="221">
      <c r="A221" s="5">
        <v>220.0</v>
      </c>
      <c r="B221" s="5" t="s">
        <v>458</v>
      </c>
      <c r="C221" s="5" t="s">
        <v>20</v>
      </c>
    </row>
    <row r="222">
      <c r="A222" s="5">
        <v>221.0</v>
      </c>
      <c r="B222" s="5" t="s">
        <v>460</v>
      </c>
      <c r="C222" s="5" t="s">
        <v>20</v>
      </c>
    </row>
    <row r="223">
      <c r="A223" s="5">
        <v>222.0</v>
      </c>
      <c r="B223" s="5" t="s">
        <v>461</v>
      </c>
      <c r="C223" s="5" t="s">
        <v>20</v>
      </c>
    </row>
    <row r="224">
      <c r="A224" s="5">
        <v>223.0</v>
      </c>
      <c r="B224" s="5" t="s">
        <v>463</v>
      </c>
      <c r="C224" s="5" t="s">
        <v>20</v>
      </c>
    </row>
    <row r="225">
      <c r="A225" s="5">
        <v>224.0</v>
      </c>
      <c r="B225" s="5" t="s">
        <v>465</v>
      </c>
      <c r="C225" s="5" t="s">
        <v>20</v>
      </c>
    </row>
    <row r="226">
      <c r="A226" s="5">
        <v>225.0</v>
      </c>
      <c r="B226" s="5" t="s">
        <v>467</v>
      </c>
      <c r="C226" s="5" t="s">
        <v>20</v>
      </c>
    </row>
    <row r="227">
      <c r="A227" s="5">
        <v>226.0</v>
      </c>
      <c r="B227" s="5" t="s">
        <v>469</v>
      </c>
      <c r="C227" s="5" t="s">
        <v>20</v>
      </c>
    </row>
    <row r="228">
      <c r="A228" s="5">
        <v>227.0</v>
      </c>
      <c r="B228" s="5" t="s">
        <v>471</v>
      </c>
      <c r="C228" s="5" t="s">
        <v>20</v>
      </c>
    </row>
    <row r="229">
      <c r="A229" s="5">
        <v>228.0</v>
      </c>
      <c r="B229" s="5" t="s">
        <v>472</v>
      </c>
      <c r="C229" s="5" t="s">
        <v>20</v>
      </c>
    </row>
    <row r="230">
      <c r="A230" s="5">
        <v>229.0</v>
      </c>
      <c r="B230" s="5" t="s">
        <v>474</v>
      </c>
      <c r="C230" s="5" t="s">
        <v>20</v>
      </c>
    </row>
    <row r="231">
      <c r="A231" s="5">
        <v>230.0</v>
      </c>
      <c r="B231" s="5" t="s">
        <v>476</v>
      </c>
      <c r="C231" s="5" t="s">
        <v>20</v>
      </c>
    </row>
    <row r="232">
      <c r="A232" s="5">
        <v>231.0</v>
      </c>
      <c r="B232" s="5" t="s">
        <v>477</v>
      </c>
      <c r="C232" s="5" t="s">
        <v>20</v>
      </c>
    </row>
    <row r="233">
      <c r="A233" s="5">
        <v>232.0</v>
      </c>
      <c r="B233" s="5" t="s">
        <v>479</v>
      </c>
      <c r="C233" s="5" t="s">
        <v>20</v>
      </c>
    </row>
    <row r="234">
      <c r="A234" s="5">
        <v>233.0</v>
      </c>
      <c r="B234" s="5" t="s">
        <v>481</v>
      </c>
      <c r="C234" s="5" t="s">
        <v>20</v>
      </c>
    </row>
    <row r="235">
      <c r="A235" s="5">
        <v>234.0</v>
      </c>
      <c r="B235" s="5" t="s">
        <v>483</v>
      </c>
      <c r="C235" s="5" t="s">
        <v>20</v>
      </c>
    </row>
    <row r="236">
      <c r="A236" s="5">
        <v>235.0</v>
      </c>
      <c r="B236" s="5" t="s">
        <v>484</v>
      </c>
      <c r="C236" s="5" t="s">
        <v>20</v>
      </c>
    </row>
    <row r="237">
      <c r="A237" s="5">
        <v>236.0</v>
      </c>
      <c r="B237" s="5" t="s">
        <v>485</v>
      </c>
      <c r="C237" s="5" t="s">
        <v>20</v>
      </c>
    </row>
    <row r="238">
      <c r="A238" s="5">
        <v>237.0</v>
      </c>
      <c r="B238" s="5" t="s">
        <v>487</v>
      </c>
      <c r="C238" s="5" t="s">
        <v>20</v>
      </c>
    </row>
    <row r="239">
      <c r="A239" s="5">
        <v>238.0</v>
      </c>
      <c r="B239" s="5" t="s">
        <v>489</v>
      </c>
      <c r="C239" s="5" t="s">
        <v>20</v>
      </c>
    </row>
    <row r="240">
      <c r="A240" s="5">
        <v>239.0</v>
      </c>
      <c r="B240" s="5" t="s">
        <v>491</v>
      </c>
      <c r="C240" s="5" t="s">
        <v>20</v>
      </c>
    </row>
    <row r="241">
      <c r="A241" s="5">
        <v>240.0</v>
      </c>
      <c r="B241" s="5" t="s">
        <v>493</v>
      </c>
      <c r="C241" s="5" t="s">
        <v>20</v>
      </c>
    </row>
    <row r="242">
      <c r="A242" s="5">
        <v>241.0</v>
      </c>
      <c r="B242" s="5" t="s">
        <v>494</v>
      </c>
      <c r="C242" s="5" t="s">
        <v>20</v>
      </c>
    </row>
    <row r="243">
      <c r="A243" s="5">
        <v>242.0</v>
      </c>
      <c r="B243" s="5" t="s">
        <v>496</v>
      </c>
      <c r="C243" s="5" t="s">
        <v>20</v>
      </c>
    </row>
    <row r="244">
      <c r="A244" s="5">
        <v>243.0</v>
      </c>
      <c r="B244" s="5" t="s">
        <v>498</v>
      </c>
      <c r="C244" s="5" t="s">
        <v>20</v>
      </c>
    </row>
    <row r="245">
      <c r="A245" s="5">
        <v>244.0</v>
      </c>
      <c r="B245" s="5" t="s">
        <v>500</v>
      </c>
      <c r="C245" s="5" t="s">
        <v>20</v>
      </c>
    </row>
    <row r="246">
      <c r="A246" s="5">
        <v>245.0</v>
      </c>
      <c r="B246" s="5" t="s">
        <v>501</v>
      </c>
      <c r="C246" s="5" t="s">
        <v>20</v>
      </c>
    </row>
    <row r="247">
      <c r="A247" s="5">
        <v>246.0</v>
      </c>
      <c r="B247" s="5" t="s">
        <v>503</v>
      </c>
      <c r="C247" s="5" t="s">
        <v>20</v>
      </c>
    </row>
    <row r="248">
      <c r="A248" s="5">
        <v>247.0</v>
      </c>
      <c r="B248" s="5" t="s">
        <v>505</v>
      </c>
      <c r="C248" s="5" t="s">
        <v>20</v>
      </c>
    </row>
    <row r="249">
      <c r="A249" s="5">
        <v>248.0</v>
      </c>
      <c r="B249" s="5" t="s">
        <v>507</v>
      </c>
      <c r="C249" s="5" t="s">
        <v>20</v>
      </c>
    </row>
    <row r="250">
      <c r="A250" s="5">
        <v>249.0</v>
      </c>
      <c r="B250" s="5" t="s">
        <v>508</v>
      </c>
      <c r="C250" s="5" t="s">
        <v>20</v>
      </c>
    </row>
    <row r="251">
      <c r="A251" s="5">
        <v>250.0</v>
      </c>
      <c r="B251" s="5" t="s">
        <v>510</v>
      </c>
      <c r="C251" s="5" t="s">
        <v>20</v>
      </c>
    </row>
    <row r="252">
      <c r="A252" s="5">
        <v>251.0</v>
      </c>
      <c r="B252" s="5" t="s">
        <v>512</v>
      </c>
      <c r="C252" s="5" t="s">
        <v>20</v>
      </c>
    </row>
    <row r="253">
      <c r="A253" s="5">
        <v>252.0</v>
      </c>
      <c r="B253" s="5" t="s">
        <v>513</v>
      </c>
      <c r="C253" s="5" t="s">
        <v>20</v>
      </c>
    </row>
    <row r="254">
      <c r="A254" s="5">
        <v>253.0</v>
      </c>
      <c r="B254" s="5" t="s">
        <v>515</v>
      </c>
      <c r="C254" s="5" t="s">
        <v>20</v>
      </c>
    </row>
    <row r="255">
      <c r="A255" s="5">
        <v>254.0</v>
      </c>
      <c r="B255" s="5" t="s">
        <v>517</v>
      </c>
      <c r="C255" s="5" t="s">
        <v>20</v>
      </c>
    </row>
    <row r="256">
      <c r="A256" s="5">
        <v>255.0</v>
      </c>
      <c r="B256" s="5" t="s">
        <v>519</v>
      </c>
      <c r="C256" s="5" t="s">
        <v>20</v>
      </c>
    </row>
    <row r="257">
      <c r="A257" s="5">
        <v>256.0</v>
      </c>
      <c r="B257" s="5" t="s">
        <v>521</v>
      </c>
      <c r="C257" s="5" t="s">
        <v>20</v>
      </c>
    </row>
    <row r="258">
      <c r="A258" s="5">
        <v>257.0</v>
      </c>
      <c r="B258" s="5" t="s">
        <v>522</v>
      </c>
      <c r="C258" s="5" t="s">
        <v>20</v>
      </c>
    </row>
    <row r="259">
      <c r="A259" s="5">
        <v>258.0</v>
      </c>
      <c r="B259" s="5" t="s">
        <v>524</v>
      </c>
      <c r="C259" s="5" t="s">
        <v>20</v>
      </c>
    </row>
    <row r="260">
      <c r="A260" s="5">
        <v>259.0</v>
      </c>
      <c r="B260" s="5" t="s">
        <v>526</v>
      </c>
      <c r="C260" s="5" t="s">
        <v>20</v>
      </c>
    </row>
    <row r="261">
      <c r="A261" s="5">
        <v>260.0</v>
      </c>
      <c r="B261" s="5" t="s">
        <v>528</v>
      </c>
      <c r="C261" s="5" t="s">
        <v>20</v>
      </c>
    </row>
    <row r="262">
      <c r="A262" s="5">
        <v>261.0</v>
      </c>
      <c r="B262" s="5" t="s">
        <v>530</v>
      </c>
      <c r="C262" s="5" t="s">
        <v>20</v>
      </c>
    </row>
    <row r="263">
      <c r="A263" s="5">
        <v>262.0</v>
      </c>
      <c r="B263" s="5" t="s">
        <v>532</v>
      </c>
      <c r="C263" s="5" t="s">
        <v>20</v>
      </c>
    </row>
    <row r="264">
      <c r="A264" s="5">
        <v>263.0</v>
      </c>
      <c r="B264" s="5" t="s">
        <v>533</v>
      </c>
      <c r="C264" s="5" t="s">
        <v>20</v>
      </c>
    </row>
    <row r="265">
      <c r="A265" s="5">
        <v>264.0</v>
      </c>
      <c r="B265" s="5" t="s">
        <v>535</v>
      </c>
      <c r="C265" s="5" t="s">
        <v>20</v>
      </c>
    </row>
    <row r="266">
      <c r="A266" s="5">
        <v>265.0</v>
      </c>
      <c r="B266" s="5" t="s">
        <v>537</v>
      </c>
      <c r="C266" s="5" t="s">
        <v>20</v>
      </c>
    </row>
    <row r="267">
      <c r="A267" s="5">
        <v>266.0</v>
      </c>
      <c r="B267" s="5" t="s">
        <v>539</v>
      </c>
      <c r="C267" s="5" t="s">
        <v>20</v>
      </c>
    </row>
    <row r="268">
      <c r="A268" s="5">
        <v>267.0</v>
      </c>
      <c r="B268" s="5" t="s">
        <v>541</v>
      </c>
      <c r="C268" s="5" t="s">
        <v>20</v>
      </c>
    </row>
    <row r="269">
      <c r="A269" s="5">
        <v>268.0</v>
      </c>
      <c r="B269" s="5" t="s">
        <v>542</v>
      </c>
      <c r="C269" s="5" t="s">
        <v>20</v>
      </c>
    </row>
    <row r="270">
      <c r="A270" s="5">
        <v>269.0</v>
      </c>
      <c r="B270" s="5" t="s">
        <v>544</v>
      </c>
      <c r="C270" s="5" t="s">
        <v>20</v>
      </c>
    </row>
    <row r="271">
      <c r="A271" s="5">
        <v>270.0</v>
      </c>
      <c r="B271" s="5" t="s">
        <v>545</v>
      </c>
      <c r="C271" s="5" t="s">
        <v>20</v>
      </c>
    </row>
    <row r="272">
      <c r="A272" s="5">
        <v>271.0</v>
      </c>
      <c r="B272" s="5" t="s">
        <v>547</v>
      </c>
      <c r="C272" s="5" t="s">
        <v>20</v>
      </c>
    </row>
    <row r="273">
      <c r="A273" s="5">
        <v>272.0</v>
      </c>
      <c r="B273" s="5" t="s">
        <v>549</v>
      </c>
      <c r="C273" s="5" t="s">
        <v>20</v>
      </c>
    </row>
    <row r="274">
      <c r="A274" s="5">
        <v>273.0</v>
      </c>
      <c r="B274" s="5" t="s">
        <v>551</v>
      </c>
      <c r="C274" s="5" t="s">
        <v>20</v>
      </c>
    </row>
    <row r="275">
      <c r="A275" s="5">
        <v>274.0</v>
      </c>
      <c r="B275" s="5" t="s">
        <v>552</v>
      </c>
      <c r="C275" s="5" t="s">
        <v>20</v>
      </c>
    </row>
    <row r="276">
      <c r="A276" s="5">
        <v>275.0</v>
      </c>
      <c r="B276" s="5" t="s">
        <v>554</v>
      </c>
      <c r="C276" s="5" t="s">
        <v>20</v>
      </c>
    </row>
    <row r="277">
      <c r="A277" s="5">
        <v>276.0</v>
      </c>
      <c r="B277" s="5" t="s">
        <v>556</v>
      </c>
      <c r="C277" s="5" t="s">
        <v>20</v>
      </c>
    </row>
    <row r="278">
      <c r="A278" s="5">
        <v>277.0</v>
      </c>
      <c r="B278" s="5" t="s">
        <v>558</v>
      </c>
      <c r="C278" s="5" t="s">
        <v>20</v>
      </c>
    </row>
    <row r="279">
      <c r="A279" s="5">
        <v>278.0</v>
      </c>
      <c r="B279" s="5" t="s">
        <v>559</v>
      </c>
      <c r="C279" s="5" t="s">
        <v>20</v>
      </c>
    </row>
    <row r="280">
      <c r="A280" s="5">
        <v>279.0</v>
      </c>
      <c r="B280" s="5" t="s">
        <v>562</v>
      </c>
      <c r="C280" s="5" t="s">
        <v>20</v>
      </c>
    </row>
    <row r="281">
      <c r="A281" s="5">
        <v>280.0</v>
      </c>
      <c r="B281" s="5" t="s">
        <v>564</v>
      </c>
      <c r="C281" s="5" t="s">
        <v>20</v>
      </c>
    </row>
    <row r="282">
      <c r="A282" s="5">
        <v>281.0</v>
      </c>
      <c r="B282" s="5" t="s">
        <v>566</v>
      </c>
      <c r="C282" s="5" t="s">
        <v>20</v>
      </c>
    </row>
    <row r="283">
      <c r="A283" s="5">
        <v>282.0</v>
      </c>
      <c r="B283" s="5" t="s">
        <v>568</v>
      </c>
      <c r="C283" s="5" t="s">
        <v>20</v>
      </c>
    </row>
    <row r="284">
      <c r="A284" s="5">
        <v>283.0</v>
      </c>
      <c r="B284" s="5" t="s">
        <v>569</v>
      </c>
      <c r="C284" s="5" t="s">
        <v>20</v>
      </c>
    </row>
    <row r="285">
      <c r="A285" s="5">
        <v>284.0</v>
      </c>
      <c r="B285" s="5" t="s">
        <v>570</v>
      </c>
      <c r="C285" s="5" t="s">
        <v>20</v>
      </c>
    </row>
    <row r="286">
      <c r="A286" s="5">
        <v>285.0</v>
      </c>
      <c r="B286" s="5" t="s">
        <v>572</v>
      </c>
      <c r="C286" s="5" t="s">
        <v>20</v>
      </c>
    </row>
    <row r="287">
      <c r="A287" s="5">
        <v>286.0</v>
      </c>
      <c r="B287" s="5" t="s">
        <v>573</v>
      </c>
      <c r="C287" s="5" t="s">
        <v>20</v>
      </c>
    </row>
    <row r="288">
      <c r="A288" s="5">
        <v>287.0</v>
      </c>
      <c r="B288" s="5" t="s">
        <v>575</v>
      </c>
      <c r="C288" s="5" t="s">
        <v>20</v>
      </c>
    </row>
    <row r="289">
      <c r="A289" s="5">
        <v>288.0</v>
      </c>
      <c r="B289" s="5" t="s">
        <v>576</v>
      </c>
      <c r="C289" s="5" t="s">
        <v>20</v>
      </c>
    </row>
    <row r="290">
      <c r="A290" s="5">
        <v>289.0</v>
      </c>
      <c r="B290" s="5" t="s">
        <v>578</v>
      </c>
      <c r="C290" s="5" t="s">
        <v>20</v>
      </c>
    </row>
    <row r="291">
      <c r="A291" s="5">
        <v>290.0</v>
      </c>
      <c r="B291" s="5" t="s">
        <v>579</v>
      </c>
      <c r="C291" s="5" t="s">
        <v>20</v>
      </c>
    </row>
    <row r="292">
      <c r="A292" s="5">
        <v>291.0</v>
      </c>
      <c r="B292" s="5" t="s">
        <v>581</v>
      </c>
      <c r="C292" s="5" t="s">
        <v>20</v>
      </c>
    </row>
    <row r="293">
      <c r="A293" s="5">
        <v>292.0</v>
      </c>
      <c r="B293" s="5" t="s">
        <v>582</v>
      </c>
      <c r="C293" s="5" t="s">
        <v>20</v>
      </c>
    </row>
    <row r="294">
      <c r="A294" s="5">
        <v>293.0</v>
      </c>
      <c r="B294" s="5" t="s">
        <v>583</v>
      </c>
      <c r="C294" s="5" t="s">
        <v>20</v>
      </c>
    </row>
    <row r="295">
      <c r="A295" s="5">
        <v>294.0</v>
      </c>
      <c r="B295" s="5" t="s">
        <v>585</v>
      </c>
      <c r="C295" s="5" t="s">
        <v>20</v>
      </c>
    </row>
    <row r="296">
      <c r="A296" s="5">
        <v>295.0</v>
      </c>
      <c r="B296" s="5" t="s">
        <v>586</v>
      </c>
      <c r="C296" s="5" t="s">
        <v>20</v>
      </c>
    </row>
    <row r="297">
      <c r="A297" s="5">
        <v>296.0</v>
      </c>
      <c r="B297" s="5" t="s">
        <v>588</v>
      </c>
      <c r="C297" s="5" t="s">
        <v>20</v>
      </c>
    </row>
    <row r="298">
      <c r="A298" s="5">
        <v>297.0</v>
      </c>
      <c r="B298" s="5" t="s">
        <v>589</v>
      </c>
      <c r="C298" s="5" t="s">
        <v>20</v>
      </c>
    </row>
    <row r="299">
      <c r="A299" s="5">
        <v>298.0</v>
      </c>
      <c r="B299" s="5" t="s">
        <v>591</v>
      </c>
      <c r="C299" s="5" t="s">
        <v>20</v>
      </c>
    </row>
    <row r="300">
      <c r="A300" s="5">
        <v>299.0</v>
      </c>
      <c r="B300" s="5" t="s">
        <v>592</v>
      </c>
      <c r="C300" s="5" t="s">
        <v>20</v>
      </c>
    </row>
    <row r="301">
      <c r="A301" s="5">
        <v>300.0</v>
      </c>
      <c r="B301" s="5" t="s">
        <v>593</v>
      </c>
      <c r="C301" s="5" t="s">
        <v>20</v>
      </c>
    </row>
    <row r="302">
      <c r="A302" s="5">
        <v>301.0</v>
      </c>
      <c r="B302" s="5" t="s">
        <v>594</v>
      </c>
      <c r="C302" s="5" t="s">
        <v>20</v>
      </c>
    </row>
    <row r="303">
      <c r="A303" s="5">
        <v>302.0</v>
      </c>
      <c r="B303" s="5" t="s">
        <v>596</v>
      </c>
      <c r="C303" s="5" t="s">
        <v>20</v>
      </c>
    </row>
    <row r="304">
      <c r="A304" s="5">
        <v>303.0</v>
      </c>
      <c r="B304" s="5" t="s">
        <v>597</v>
      </c>
      <c r="C304" s="5" t="s">
        <v>20</v>
      </c>
    </row>
    <row r="305">
      <c r="A305" s="5">
        <v>304.0</v>
      </c>
      <c r="B305" s="5" t="s">
        <v>599</v>
      </c>
      <c r="C305" s="5" t="s">
        <v>20</v>
      </c>
    </row>
    <row r="306">
      <c r="A306" s="5">
        <v>305.0</v>
      </c>
      <c r="B306" s="5" t="s">
        <v>601</v>
      </c>
      <c r="C306" s="5" t="s">
        <v>20</v>
      </c>
    </row>
    <row r="307">
      <c r="A307" s="5">
        <v>306.0</v>
      </c>
      <c r="B307" s="5" t="s">
        <v>602</v>
      </c>
      <c r="C307" s="5" t="s">
        <v>20</v>
      </c>
    </row>
    <row r="308">
      <c r="A308" s="5">
        <v>307.0</v>
      </c>
      <c r="B308" s="5" t="s">
        <v>603</v>
      </c>
      <c r="C308" s="5" t="s">
        <v>20</v>
      </c>
    </row>
    <row r="309">
      <c r="A309" s="5">
        <v>308.0</v>
      </c>
      <c r="B309" s="5" t="s">
        <v>605</v>
      </c>
      <c r="C309" s="5" t="s">
        <v>20</v>
      </c>
    </row>
    <row r="310">
      <c r="A310" s="5">
        <v>309.0</v>
      </c>
      <c r="B310" s="5" t="s">
        <v>606</v>
      </c>
      <c r="C310" s="5" t="s">
        <v>20</v>
      </c>
    </row>
    <row r="311">
      <c r="A311" s="5">
        <v>310.0</v>
      </c>
      <c r="B311" s="5" t="s">
        <v>608</v>
      </c>
      <c r="C311" s="5" t="s">
        <v>20</v>
      </c>
    </row>
    <row r="312">
      <c r="A312" s="5">
        <v>311.0</v>
      </c>
      <c r="B312" s="5" t="s">
        <v>609</v>
      </c>
      <c r="C312" s="5" t="s">
        <v>20</v>
      </c>
    </row>
    <row r="313">
      <c r="A313" s="5">
        <v>312.0</v>
      </c>
      <c r="B313" s="5" t="s">
        <v>611</v>
      </c>
      <c r="C313" s="5" t="s">
        <v>20</v>
      </c>
    </row>
    <row r="314">
      <c r="A314" s="5">
        <v>313.0</v>
      </c>
      <c r="B314" s="5" t="s">
        <v>612</v>
      </c>
      <c r="C314" s="5" t="s">
        <v>20</v>
      </c>
    </row>
    <row r="315">
      <c r="A315" s="5">
        <v>314.0</v>
      </c>
      <c r="B315" s="5" t="s">
        <v>614</v>
      </c>
      <c r="C315" s="5" t="s">
        <v>20</v>
      </c>
    </row>
    <row r="316">
      <c r="A316" s="5">
        <v>315.0</v>
      </c>
      <c r="B316" s="5" t="s">
        <v>615</v>
      </c>
      <c r="C316" s="5" t="s">
        <v>20</v>
      </c>
    </row>
    <row r="317">
      <c r="A317" s="5">
        <v>316.0</v>
      </c>
      <c r="B317" s="5" t="s">
        <v>617</v>
      </c>
      <c r="C317" s="5" t="s">
        <v>20</v>
      </c>
    </row>
    <row r="318">
      <c r="A318" s="5">
        <v>317.0</v>
      </c>
      <c r="B318" s="5" t="s">
        <v>618</v>
      </c>
      <c r="C318" s="5" t="s">
        <v>20</v>
      </c>
    </row>
    <row r="319">
      <c r="A319" s="5">
        <v>318.0</v>
      </c>
      <c r="B319" s="5" t="s">
        <v>619</v>
      </c>
      <c r="C319" s="5" t="s">
        <v>20</v>
      </c>
    </row>
    <row r="320">
      <c r="A320" s="5">
        <v>319.0</v>
      </c>
      <c r="B320" s="5" t="s">
        <v>621</v>
      </c>
      <c r="C320" s="5" t="s">
        <v>20</v>
      </c>
    </row>
    <row r="321">
      <c r="A321" s="5">
        <v>320.0</v>
      </c>
      <c r="B321" s="5" t="s">
        <v>622</v>
      </c>
      <c r="C321" s="5" t="s">
        <v>20</v>
      </c>
    </row>
    <row r="322">
      <c r="A322" s="5">
        <v>321.0</v>
      </c>
      <c r="B322" s="5" t="s">
        <v>624</v>
      </c>
      <c r="C322" s="5" t="s">
        <v>20</v>
      </c>
    </row>
    <row r="323">
      <c r="A323" s="5">
        <v>322.0</v>
      </c>
      <c r="B323" s="5" t="s">
        <v>625</v>
      </c>
      <c r="C323" s="5" t="s">
        <v>20</v>
      </c>
    </row>
    <row r="324">
      <c r="A324" s="5">
        <v>323.0</v>
      </c>
      <c r="B324" s="5" t="s">
        <v>626</v>
      </c>
      <c r="C324" s="5" t="s">
        <v>20</v>
      </c>
    </row>
    <row r="325">
      <c r="A325" s="5">
        <v>324.0</v>
      </c>
      <c r="B325" s="5" t="s">
        <v>627</v>
      </c>
      <c r="C325" s="5" t="s">
        <v>20</v>
      </c>
    </row>
    <row r="326">
      <c r="A326" s="5">
        <v>325.0</v>
      </c>
      <c r="B326" s="5" t="s">
        <v>629</v>
      </c>
      <c r="C326" s="5" t="s">
        <v>20</v>
      </c>
    </row>
    <row r="327">
      <c r="A327" s="5">
        <v>326.0</v>
      </c>
      <c r="B327" s="5" t="s">
        <v>630</v>
      </c>
      <c r="C327" s="5" t="s">
        <v>20</v>
      </c>
    </row>
    <row r="328">
      <c r="A328" s="5">
        <v>327.0</v>
      </c>
      <c r="B328" s="5" t="s">
        <v>631</v>
      </c>
      <c r="C328" s="5" t="s">
        <v>20</v>
      </c>
    </row>
    <row r="329">
      <c r="A329" s="5">
        <v>328.0</v>
      </c>
      <c r="B329" s="5" t="s">
        <v>633</v>
      </c>
      <c r="C329" s="5" t="s">
        <v>20</v>
      </c>
    </row>
    <row r="330">
      <c r="A330" s="5">
        <v>329.0</v>
      </c>
      <c r="B330" s="5" t="s">
        <v>634</v>
      </c>
      <c r="C330" s="5" t="s">
        <v>20</v>
      </c>
    </row>
    <row r="331">
      <c r="A331" s="5">
        <v>330.0</v>
      </c>
      <c r="B331" s="5" t="s">
        <v>636</v>
      </c>
      <c r="C331" s="5" t="s">
        <v>20</v>
      </c>
    </row>
    <row r="332">
      <c r="A332" s="5">
        <v>331.0</v>
      </c>
      <c r="B332" s="5" t="s">
        <v>637</v>
      </c>
      <c r="C332" s="5" t="s">
        <v>20</v>
      </c>
    </row>
    <row r="333">
      <c r="A333" s="5">
        <v>332.0</v>
      </c>
      <c r="B333" s="5" t="s">
        <v>639</v>
      </c>
      <c r="C333" s="5" t="s">
        <v>20</v>
      </c>
    </row>
    <row r="334">
      <c r="A334" s="5">
        <v>333.0</v>
      </c>
      <c r="B334" s="5" t="s">
        <v>640</v>
      </c>
      <c r="C334" s="5" t="s">
        <v>20</v>
      </c>
    </row>
    <row r="335">
      <c r="A335" s="5">
        <v>334.0</v>
      </c>
      <c r="B335" s="5" t="s">
        <v>642</v>
      </c>
      <c r="C335" s="5" t="s">
        <v>20</v>
      </c>
    </row>
    <row r="336">
      <c r="A336" s="5">
        <v>335.0</v>
      </c>
      <c r="B336" s="5" t="s">
        <v>643</v>
      </c>
      <c r="C336" s="5" t="s">
        <v>20</v>
      </c>
    </row>
    <row r="337">
      <c r="A337" s="5">
        <v>336.0</v>
      </c>
      <c r="B337" s="5" t="s">
        <v>644</v>
      </c>
      <c r="C337" s="5" t="s">
        <v>20</v>
      </c>
    </row>
    <row r="338">
      <c r="A338" s="5">
        <v>337.0</v>
      </c>
      <c r="B338" s="5" t="s">
        <v>646</v>
      </c>
      <c r="C338" s="5" t="s">
        <v>20</v>
      </c>
    </row>
    <row r="339">
      <c r="A339" s="5">
        <v>338.0</v>
      </c>
      <c r="B339" s="5" t="s">
        <v>647</v>
      </c>
      <c r="C339" s="5" t="s">
        <v>20</v>
      </c>
    </row>
    <row r="340">
      <c r="A340" s="5">
        <v>339.0</v>
      </c>
      <c r="B340" s="5" t="s">
        <v>649</v>
      </c>
      <c r="C340" s="5" t="s">
        <v>20</v>
      </c>
    </row>
    <row r="341">
      <c r="A341" s="5">
        <v>340.0</v>
      </c>
      <c r="B341" s="5" t="s">
        <v>650</v>
      </c>
      <c r="C341" s="5" t="s">
        <v>20</v>
      </c>
    </row>
    <row r="342">
      <c r="A342" s="5">
        <v>341.0</v>
      </c>
      <c r="B342" s="5" t="s">
        <v>652</v>
      </c>
      <c r="C342" s="5" t="s">
        <v>20</v>
      </c>
    </row>
    <row r="343">
      <c r="A343" s="5">
        <v>342.0</v>
      </c>
      <c r="B343" s="5" t="s">
        <v>653</v>
      </c>
      <c r="C343" s="5" t="s">
        <v>20</v>
      </c>
    </row>
    <row r="344">
      <c r="A344" s="5">
        <v>343.0</v>
      </c>
      <c r="B344" s="5" t="s">
        <v>655</v>
      </c>
      <c r="C344" s="5" t="s">
        <v>20</v>
      </c>
    </row>
    <row r="345">
      <c r="A345" s="5">
        <v>344.0</v>
      </c>
      <c r="B345" s="5" t="s">
        <v>656</v>
      </c>
      <c r="C345" s="5" t="s">
        <v>20</v>
      </c>
    </row>
    <row r="346">
      <c r="A346" s="5">
        <v>345.0</v>
      </c>
      <c r="B346" s="5" t="s">
        <v>658</v>
      </c>
      <c r="C346" s="5" t="s">
        <v>20</v>
      </c>
    </row>
    <row r="347">
      <c r="A347" s="5">
        <v>346.0</v>
      </c>
      <c r="B347" s="5" t="s">
        <v>659</v>
      </c>
      <c r="C347" s="5" t="s">
        <v>20</v>
      </c>
    </row>
    <row r="348">
      <c r="A348" s="5">
        <v>347.0</v>
      </c>
      <c r="B348" s="5" t="s">
        <v>660</v>
      </c>
      <c r="C348" s="5" t="s">
        <v>20</v>
      </c>
    </row>
    <row r="349">
      <c r="A349" s="5">
        <v>348.0</v>
      </c>
      <c r="B349" s="5" t="s">
        <v>662</v>
      </c>
      <c r="C349" s="5" t="s">
        <v>20</v>
      </c>
    </row>
    <row r="350">
      <c r="A350" s="5">
        <v>349.0</v>
      </c>
      <c r="B350" s="5" t="s">
        <v>663</v>
      </c>
      <c r="C350" s="5" t="s">
        <v>20</v>
      </c>
    </row>
    <row r="351">
      <c r="A351" s="5">
        <v>350.0</v>
      </c>
      <c r="B351" s="5" t="s">
        <v>665</v>
      </c>
      <c r="C351" s="5" t="s">
        <v>20</v>
      </c>
    </row>
    <row r="352">
      <c r="A352" s="5">
        <v>351.0</v>
      </c>
      <c r="B352" s="5" t="s">
        <v>666</v>
      </c>
      <c r="C352" s="5" t="s">
        <v>20</v>
      </c>
    </row>
    <row r="353">
      <c r="A353" s="5">
        <v>352.0</v>
      </c>
      <c r="B353" s="5" t="s">
        <v>668</v>
      </c>
      <c r="C353" s="5" t="s">
        <v>20</v>
      </c>
    </row>
    <row r="354">
      <c r="A354" s="5">
        <v>353.0</v>
      </c>
      <c r="B354" s="5" t="s">
        <v>671</v>
      </c>
      <c r="C354" s="5" t="s">
        <v>20</v>
      </c>
    </row>
    <row r="355">
      <c r="A355" s="5">
        <v>354.0</v>
      </c>
      <c r="B355" s="5" t="s">
        <v>672</v>
      </c>
      <c r="C355" s="5" t="s">
        <v>20</v>
      </c>
    </row>
    <row r="356">
      <c r="A356" s="5">
        <v>355.0</v>
      </c>
      <c r="B356" s="5" t="s">
        <v>673</v>
      </c>
      <c r="C356" s="5" t="s">
        <v>20</v>
      </c>
    </row>
    <row r="357">
      <c r="A357" s="5">
        <v>356.0</v>
      </c>
      <c r="B357" s="5" t="s">
        <v>675</v>
      </c>
      <c r="C357" s="5" t="s">
        <v>20</v>
      </c>
    </row>
    <row r="358">
      <c r="A358" s="5">
        <v>357.0</v>
      </c>
      <c r="B358" s="5" t="s">
        <v>676</v>
      </c>
      <c r="C358" s="5" t="s">
        <v>20</v>
      </c>
    </row>
    <row r="359">
      <c r="A359" s="5">
        <v>358.0</v>
      </c>
      <c r="B359" s="5" t="s">
        <v>678</v>
      </c>
      <c r="C359" s="5" t="s">
        <v>20</v>
      </c>
    </row>
    <row r="360">
      <c r="A360" s="5">
        <v>359.0</v>
      </c>
      <c r="B360" s="5" t="s">
        <v>679</v>
      </c>
      <c r="C360" s="5" t="s">
        <v>20</v>
      </c>
    </row>
    <row r="361">
      <c r="A361" s="5">
        <v>360.0</v>
      </c>
      <c r="B361" s="5" t="s">
        <v>681</v>
      </c>
      <c r="C361" s="5" t="s">
        <v>20</v>
      </c>
    </row>
    <row r="362">
      <c r="A362" s="5">
        <v>361.0</v>
      </c>
      <c r="B362" s="5" t="s">
        <v>682</v>
      </c>
      <c r="C362" s="5" t="s">
        <v>20</v>
      </c>
    </row>
    <row r="363">
      <c r="A363" s="5">
        <v>362.0</v>
      </c>
      <c r="B363" s="5" t="s">
        <v>684</v>
      </c>
      <c r="C363" s="5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20</v>
      </c>
      <c r="E2" s="5">
        <v>20.0</v>
      </c>
      <c r="I2" s="7"/>
      <c r="K2" s="5">
        <v>1250000.0</v>
      </c>
      <c r="N2" s="9">
        <v>42324.0</v>
      </c>
    </row>
    <row r="3">
      <c r="A3" s="5">
        <v>2.0</v>
      </c>
      <c r="B3" s="5" t="s">
        <v>22</v>
      </c>
      <c r="C3" s="5" t="s">
        <v>20</v>
      </c>
      <c r="I3" s="7"/>
      <c r="K3" s="5">
        <v>3500.0</v>
      </c>
      <c r="N3" s="9">
        <v>44904.0</v>
      </c>
    </row>
    <row r="4">
      <c r="A4" s="5">
        <v>3.0</v>
      </c>
      <c r="B4" s="5" t="s">
        <v>25</v>
      </c>
      <c r="C4" s="5" t="s">
        <v>20</v>
      </c>
      <c r="I4" s="7"/>
      <c r="K4" s="5">
        <v>250.0</v>
      </c>
      <c r="N4" s="9">
        <v>44600.0</v>
      </c>
    </row>
    <row r="5">
      <c r="A5" s="5">
        <v>4.0</v>
      </c>
      <c r="B5" s="5" t="s">
        <v>26</v>
      </c>
      <c r="C5" s="5" t="s">
        <v>20</v>
      </c>
      <c r="I5" s="7"/>
      <c r="K5" s="5">
        <v>150.0</v>
      </c>
      <c r="N5" s="9">
        <v>44532.0</v>
      </c>
    </row>
    <row r="6">
      <c r="A6" s="5">
        <v>5.0</v>
      </c>
      <c r="B6" s="5" t="s">
        <v>29</v>
      </c>
      <c r="C6" s="5" t="s">
        <v>20</v>
      </c>
      <c r="I6" s="7"/>
      <c r="K6" s="5">
        <v>300.0</v>
      </c>
      <c r="N6" s="9">
        <v>44884.0</v>
      </c>
    </row>
    <row r="7">
      <c r="A7" s="5">
        <v>6.0</v>
      </c>
      <c r="B7" s="5" t="s">
        <v>34</v>
      </c>
      <c r="C7" s="5" t="s">
        <v>20</v>
      </c>
      <c r="I7" s="7"/>
      <c r="K7" s="5">
        <v>70.0</v>
      </c>
      <c r="N7" s="9">
        <v>44985.0</v>
      </c>
    </row>
    <row r="8">
      <c r="A8" s="5">
        <v>7.0</v>
      </c>
      <c r="B8" s="5" t="s">
        <v>37</v>
      </c>
      <c r="C8" s="5" t="s">
        <v>20</v>
      </c>
      <c r="I8" s="7"/>
      <c r="K8" s="5">
        <v>450.0</v>
      </c>
      <c r="N8" s="9">
        <v>44565.0</v>
      </c>
    </row>
    <row r="9">
      <c r="A9" s="5">
        <v>8.0</v>
      </c>
      <c r="B9" s="5" t="s">
        <v>40</v>
      </c>
      <c r="C9" s="5" t="s">
        <v>20</v>
      </c>
      <c r="I9" s="7"/>
      <c r="K9" s="5">
        <v>400.0</v>
      </c>
      <c r="N9" s="9">
        <v>44349.0</v>
      </c>
    </row>
    <row r="10">
      <c r="A10" s="5">
        <v>9.0</v>
      </c>
      <c r="B10" s="5" t="s">
        <v>43</v>
      </c>
      <c r="C10" s="5" t="s">
        <v>20</v>
      </c>
      <c r="K10" s="5">
        <v>40.0</v>
      </c>
      <c r="N10" s="9">
        <v>44559.0</v>
      </c>
    </row>
    <row r="11">
      <c r="A11" s="5">
        <v>10.0</v>
      </c>
      <c r="B11" s="5" t="s">
        <v>45</v>
      </c>
      <c r="C11" s="5" t="s">
        <v>20</v>
      </c>
      <c r="I11" s="7"/>
      <c r="K11" s="5">
        <v>40.0</v>
      </c>
      <c r="N11" s="9">
        <v>44640.0</v>
      </c>
    </row>
    <row r="12">
      <c r="A12" s="5">
        <v>11.0</v>
      </c>
      <c r="B12" s="5" t="s">
        <v>47</v>
      </c>
      <c r="C12" s="5" t="s">
        <v>20</v>
      </c>
      <c r="I12" s="7"/>
      <c r="N12" s="9">
        <v>44610.0</v>
      </c>
    </row>
    <row r="13">
      <c r="A13" s="5">
        <v>12.0</v>
      </c>
      <c r="B13" s="5" t="s">
        <v>49</v>
      </c>
      <c r="C13" s="5" t="s">
        <v>20</v>
      </c>
      <c r="K13" s="5">
        <v>10.0</v>
      </c>
      <c r="N13" s="9">
        <v>44736.0</v>
      </c>
    </row>
    <row r="14">
      <c r="A14" s="5">
        <v>13.0</v>
      </c>
      <c r="B14" s="5" t="s">
        <v>52</v>
      </c>
      <c r="C14" s="5" t="s">
        <v>20</v>
      </c>
      <c r="I14" s="7"/>
      <c r="K14" s="5">
        <v>4700.0</v>
      </c>
      <c r="N14" s="9">
        <v>44285.0</v>
      </c>
    </row>
    <row r="15">
      <c r="A15" s="5">
        <v>14.0</v>
      </c>
      <c r="B15" s="5" t="s">
        <v>55</v>
      </c>
      <c r="C15" s="5" t="s">
        <v>20</v>
      </c>
      <c r="N15" s="9">
        <v>44565.0</v>
      </c>
    </row>
    <row r="16">
      <c r="A16" s="5">
        <v>15.0</v>
      </c>
      <c r="B16" s="5" t="s">
        <v>21</v>
      </c>
      <c r="C16" s="5" t="s">
        <v>20</v>
      </c>
      <c r="K16" s="5">
        <v>20.0</v>
      </c>
      <c r="N16" s="9">
        <v>44925.0</v>
      </c>
    </row>
    <row r="17">
      <c r="A17" s="5">
        <v>16.0</v>
      </c>
      <c r="B17" s="5" t="s">
        <v>58</v>
      </c>
      <c r="C17" s="5" t="s">
        <v>20</v>
      </c>
      <c r="K17" s="5">
        <v>200.0</v>
      </c>
      <c r="N17" s="9">
        <v>44368.0</v>
      </c>
    </row>
    <row r="18">
      <c r="A18" s="5">
        <v>17.0</v>
      </c>
      <c r="B18" s="5" t="s">
        <v>60</v>
      </c>
      <c r="C18" s="5" t="s">
        <v>20</v>
      </c>
      <c r="K18" s="5">
        <v>800.0</v>
      </c>
      <c r="N18" s="9">
        <v>44656.0</v>
      </c>
    </row>
    <row r="19">
      <c r="A19" s="5">
        <v>18.0</v>
      </c>
      <c r="B19" s="5" t="s">
        <v>63</v>
      </c>
      <c r="C19" s="5" t="s">
        <v>20</v>
      </c>
      <c r="N19" s="9">
        <v>44840.0</v>
      </c>
    </row>
    <row r="20">
      <c r="A20" s="5">
        <v>19.0</v>
      </c>
      <c r="B20" s="5" t="s">
        <v>68</v>
      </c>
      <c r="C20" s="5" t="s">
        <v>20</v>
      </c>
      <c r="K20" s="5">
        <v>250.0</v>
      </c>
      <c r="N20" s="9">
        <v>44531.0</v>
      </c>
    </row>
    <row r="21">
      <c r="A21" s="5">
        <v>20.0</v>
      </c>
      <c r="B21" s="5" t="s">
        <v>71</v>
      </c>
      <c r="C21" s="5" t="s">
        <v>20</v>
      </c>
      <c r="K21" s="5">
        <v>200.0</v>
      </c>
      <c r="N21" s="9">
        <v>44556.0</v>
      </c>
    </row>
    <row r="22">
      <c r="A22" s="5">
        <v>21.0</v>
      </c>
      <c r="B22" s="5" t="s">
        <v>74</v>
      </c>
      <c r="C22" s="5" t="s">
        <v>20</v>
      </c>
      <c r="N22" s="9">
        <v>44556.0</v>
      </c>
    </row>
    <row r="23">
      <c r="A23" s="5">
        <v>22.0</v>
      </c>
      <c r="B23" s="5" t="s">
        <v>76</v>
      </c>
      <c r="C23" s="5" t="s">
        <v>20</v>
      </c>
      <c r="K23" s="5">
        <v>60.0</v>
      </c>
      <c r="N23" s="9">
        <v>45322.0</v>
      </c>
    </row>
    <row r="24">
      <c r="A24" s="5">
        <v>23.0</v>
      </c>
      <c r="B24" s="5" t="s">
        <v>79</v>
      </c>
      <c r="C24" s="5" t="s">
        <v>20</v>
      </c>
      <c r="K24" s="5">
        <v>700.0</v>
      </c>
      <c r="N24" s="9">
        <v>45283.0</v>
      </c>
    </row>
    <row r="25">
      <c r="A25" s="5">
        <v>24.0</v>
      </c>
      <c r="B25" s="5" t="s">
        <v>80</v>
      </c>
      <c r="C25" s="5" t="s">
        <v>20</v>
      </c>
      <c r="K25" s="5">
        <v>1700.0</v>
      </c>
      <c r="N25" s="9">
        <v>43870.0</v>
      </c>
    </row>
    <row r="26">
      <c r="A26" s="5">
        <v>25.0</v>
      </c>
      <c r="B26" s="5" t="s">
        <v>83</v>
      </c>
      <c r="C26" s="5" t="s">
        <v>20</v>
      </c>
      <c r="K26" s="5">
        <v>150.0</v>
      </c>
      <c r="N26" s="9">
        <v>44926.0</v>
      </c>
    </row>
    <row r="27">
      <c r="A27" s="5">
        <v>26.0</v>
      </c>
      <c r="B27" s="5" t="s">
        <v>85</v>
      </c>
      <c r="C27" s="5" t="s">
        <v>20</v>
      </c>
      <c r="K27" s="5">
        <v>250.0</v>
      </c>
      <c r="N27" s="9">
        <v>45654.0</v>
      </c>
    </row>
    <row r="28">
      <c r="A28" s="5">
        <v>27.0</v>
      </c>
      <c r="B28" s="5" t="s">
        <v>88</v>
      </c>
      <c r="C28" s="5" t="s">
        <v>20</v>
      </c>
      <c r="K28" s="5">
        <v>20.0</v>
      </c>
      <c r="N28" s="9">
        <v>44622.0</v>
      </c>
    </row>
    <row r="29">
      <c r="A29" s="5">
        <v>28.0</v>
      </c>
      <c r="B29" s="5" t="s">
        <v>89</v>
      </c>
      <c r="C29" s="5" t="s">
        <v>20</v>
      </c>
      <c r="K29" s="5">
        <v>350.0</v>
      </c>
      <c r="N29" s="9">
        <v>44561.0</v>
      </c>
    </row>
    <row r="30">
      <c r="A30" s="5">
        <v>29.0</v>
      </c>
      <c r="B30" s="5" t="s">
        <v>92</v>
      </c>
      <c r="C30" s="5" t="s">
        <v>20</v>
      </c>
      <c r="K30" s="5">
        <v>800.0</v>
      </c>
      <c r="N30" s="9">
        <v>44426.0</v>
      </c>
    </row>
    <row r="31">
      <c r="A31" s="5">
        <v>30.0</v>
      </c>
      <c r="B31" s="5" t="s">
        <v>93</v>
      </c>
      <c r="C31" s="5" t="s">
        <v>20</v>
      </c>
      <c r="K31" s="5">
        <v>250.0</v>
      </c>
      <c r="N31" s="9">
        <v>44600.0</v>
      </c>
    </row>
    <row r="32">
      <c r="A32" s="5">
        <v>31.0</v>
      </c>
      <c r="B32" s="5" t="s">
        <v>96</v>
      </c>
      <c r="C32" s="5" t="s">
        <v>20</v>
      </c>
      <c r="K32" s="5">
        <v>250.0</v>
      </c>
      <c r="N32" s="9">
        <v>44527.0</v>
      </c>
    </row>
    <row r="33">
      <c r="A33" s="5">
        <v>32.0</v>
      </c>
      <c r="B33" s="5" t="s">
        <v>99</v>
      </c>
      <c r="C33" s="5" t="s">
        <v>20</v>
      </c>
      <c r="K33" s="5">
        <v>300.0</v>
      </c>
      <c r="N33" s="9">
        <v>45239.0</v>
      </c>
    </row>
    <row r="34">
      <c r="A34" s="5">
        <v>33.0</v>
      </c>
      <c r="B34" s="5" t="s">
        <v>23</v>
      </c>
      <c r="C34" s="5" t="s">
        <v>20</v>
      </c>
      <c r="K34" s="5">
        <v>20.0</v>
      </c>
      <c r="N34" s="9">
        <v>44548.0</v>
      </c>
    </row>
    <row r="35">
      <c r="A35" s="5">
        <v>34.0</v>
      </c>
      <c r="B35" s="5" t="s">
        <v>103</v>
      </c>
      <c r="C35" s="5" t="s">
        <v>20</v>
      </c>
      <c r="K35" s="5">
        <v>30.0</v>
      </c>
      <c r="N35" s="9">
        <v>44998.0</v>
      </c>
    </row>
    <row r="36">
      <c r="A36" s="5">
        <v>35.0</v>
      </c>
      <c r="B36" s="5" t="s">
        <v>105</v>
      </c>
      <c r="C36" s="5" t="s">
        <v>20</v>
      </c>
      <c r="K36" s="5">
        <v>400.0</v>
      </c>
      <c r="N36" s="9">
        <v>44213.0</v>
      </c>
    </row>
    <row r="37">
      <c r="A37" s="5">
        <v>36.0</v>
      </c>
      <c r="B37" s="5" t="s">
        <v>108</v>
      </c>
      <c r="C37" s="5" t="s">
        <v>20</v>
      </c>
      <c r="K37" s="5">
        <v>200.0</v>
      </c>
      <c r="N37" s="9">
        <v>44530.0</v>
      </c>
    </row>
    <row r="38">
      <c r="A38" s="5">
        <v>37.0</v>
      </c>
      <c r="B38" s="5" t="s">
        <v>110</v>
      </c>
      <c r="C38" s="5" t="s">
        <v>20</v>
      </c>
      <c r="K38" s="5">
        <v>1300.0</v>
      </c>
      <c r="N38" s="9">
        <v>44607.0</v>
      </c>
    </row>
    <row r="39">
      <c r="A39" s="5">
        <v>38.0</v>
      </c>
      <c r="B39" s="5" t="s">
        <v>113</v>
      </c>
      <c r="C39" s="5" t="s">
        <v>20</v>
      </c>
      <c r="K39" s="5">
        <v>400.0</v>
      </c>
      <c r="N39" s="9">
        <v>44936.0</v>
      </c>
    </row>
    <row r="40">
      <c r="A40" s="5">
        <v>39.0</v>
      </c>
      <c r="B40" s="5" t="s">
        <v>115</v>
      </c>
      <c r="C40" s="5" t="s">
        <v>20</v>
      </c>
      <c r="K40" s="5">
        <v>10.0</v>
      </c>
      <c r="N40" s="9">
        <v>44541.0</v>
      </c>
    </row>
    <row r="41">
      <c r="A41" s="5">
        <v>40.0</v>
      </c>
      <c r="B41" s="5" t="s">
        <v>118</v>
      </c>
      <c r="C41" s="5" t="s">
        <v>20</v>
      </c>
      <c r="K41" s="5">
        <v>800.0</v>
      </c>
      <c r="N41" s="9">
        <v>44466.0</v>
      </c>
    </row>
    <row r="42">
      <c r="A42" s="5">
        <v>41.0</v>
      </c>
      <c r="B42" s="5" t="s">
        <v>121</v>
      </c>
      <c r="C42" s="5" t="s">
        <v>20</v>
      </c>
      <c r="K42" s="5">
        <v>800.0</v>
      </c>
      <c r="N42" s="9">
        <v>44249.0</v>
      </c>
    </row>
    <row r="43">
      <c r="A43" s="5">
        <v>42.0</v>
      </c>
      <c r="B43" s="5" t="s">
        <v>123</v>
      </c>
      <c r="C43" s="5" t="s">
        <v>20</v>
      </c>
      <c r="K43" s="5">
        <v>300.0</v>
      </c>
      <c r="N43" s="9">
        <v>44504.0</v>
      </c>
    </row>
    <row r="44">
      <c r="A44" s="5">
        <v>43.0</v>
      </c>
      <c r="B44" s="5" t="s">
        <v>126</v>
      </c>
      <c r="C44" s="5" t="s">
        <v>20</v>
      </c>
      <c r="K44" s="5">
        <v>150.0</v>
      </c>
      <c r="N44" s="9">
        <v>44741.0</v>
      </c>
    </row>
    <row r="45">
      <c r="A45" s="5">
        <v>44.0</v>
      </c>
      <c r="B45" s="5" t="s">
        <v>128</v>
      </c>
      <c r="C45" s="5" t="s">
        <v>20</v>
      </c>
      <c r="K45" s="5">
        <v>700.0</v>
      </c>
      <c r="N45" s="9">
        <v>44326.0</v>
      </c>
    </row>
    <row r="46">
      <c r="A46" s="5">
        <v>45.0</v>
      </c>
      <c r="B46" s="5" t="s">
        <v>131</v>
      </c>
      <c r="C46" s="5" t="s">
        <v>20</v>
      </c>
      <c r="K46" s="5">
        <v>80.0</v>
      </c>
      <c r="N46" s="9">
        <v>44685.0</v>
      </c>
    </row>
    <row r="47">
      <c r="A47" s="5">
        <v>46.0</v>
      </c>
      <c r="B47" s="5" t="s">
        <v>133</v>
      </c>
      <c r="C47" s="5" t="s">
        <v>20</v>
      </c>
      <c r="K47" s="5">
        <v>10.0</v>
      </c>
      <c r="N47" s="9">
        <v>44542.0</v>
      </c>
    </row>
    <row r="48">
      <c r="A48" s="5">
        <v>47.0</v>
      </c>
      <c r="B48" s="5" t="s">
        <v>136</v>
      </c>
      <c r="C48" s="5" t="s">
        <v>20</v>
      </c>
      <c r="K48" s="5">
        <v>150.0</v>
      </c>
      <c r="N48" s="9">
        <v>45555.0</v>
      </c>
    </row>
    <row r="49">
      <c r="A49" s="5">
        <v>48.0</v>
      </c>
      <c r="B49" s="5" t="s">
        <v>138</v>
      </c>
      <c r="C49" s="5" t="s">
        <v>20</v>
      </c>
      <c r="K49" s="5">
        <v>1000.0</v>
      </c>
      <c r="N49" s="9">
        <v>44011.0</v>
      </c>
    </row>
    <row r="50">
      <c r="A50" s="5">
        <v>49.0</v>
      </c>
      <c r="B50" s="5" t="s">
        <v>28</v>
      </c>
      <c r="C50" s="5" t="s">
        <v>20</v>
      </c>
      <c r="K50" s="5">
        <v>350.0</v>
      </c>
      <c r="N50" s="9">
        <v>44739.0</v>
      </c>
    </row>
    <row r="51">
      <c r="A51" s="5">
        <v>50.0</v>
      </c>
      <c r="B51" s="5" t="s">
        <v>145</v>
      </c>
      <c r="C51" s="5" t="s">
        <v>20</v>
      </c>
      <c r="K51" s="5">
        <v>250.0</v>
      </c>
      <c r="N51" s="9">
        <v>44531.0</v>
      </c>
    </row>
    <row r="52">
      <c r="A52" s="5">
        <v>51.0</v>
      </c>
      <c r="B52" s="5" t="s">
        <v>148</v>
      </c>
      <c r="C52" s="5" t="s">
        <v>20</v>
      </c>
      <c r="K52" s="5">
        <v>10.0</v>
      </c>
      <c r="N52" s="9">
        <v>44437.0</v>
      </c>
    </row>
    <row r="53">
      <c r="A53" s="5">
        <v>52.0</v>
      </c>
      <c r="B53" s="5" t="s">
        <v>152</v>
      </c>
      <c r="C53" s="5" t="s">
        <v>20</v>
      </c>
      <c r="K53" s="5">
        <v>250.0</v>
      </c>
      <c r="N53" s="9">
        <v>44757.0</v>
      </c>
    </row>
    <row r="54">
      <c r="A54" s="5">
        <v>53.0</v>
      </c>
      <c r="B54" s="5" t="s">
        <v>157</v>
      </c>
      <c r="C54" s="5" t="s">
        <v>20</v>
      </c>
      <c r="K54" s="5">
        <v>2500.0</v>
      </c>
      <c r="N54" s="9">
        <v>44208.0</v>
      </c>
    </row>
    <row r="55">
      <c r="A55" s="5">
        <v>54.0</v>
      </c>
      <c r="B55" s="5" t="s">
        <v>161</v>
      </c>
      <c r="C55" s="5" t="s">
        <v>20</v>
      </c>
      <c r="K55" s="5">
        <v>600.0</v>
      </c>
      <c r="N55" s="9">
        <v>43858.0</v>
      </c>
    </row>
    <row r="56">
      <c r="A56" s="5">
        <v>55.0</v>
      </c>
      <c r="B56" s="5" t="s">
        <v>165</v>
      </c>
      <c r="C56" s="5" t="s">
        <v>20</v>
      </c>
      <c r="K56" s="5">
        <v>10.0</v>
      </c>
      <c r="N56" s="9">
        <v>44560.0</v>
      </c>
    </row>
    <row r="57">
      <c r="A57" s="5">
        <v>56.0</v>
      </c>
      <c r="B57" s="5" t="s">
        <v>167</v>
      </c>
      <c r="C57" s="5" t="s">
        <v>20</v>
      </c>
      <c r="K57" s="5">
        <v>900.0</v>
      </c>
      <c r="N57" s="9">
        <v>44066.0</v>
      </c>
    </row>
    <row r="58">
      <c r="A58" s="5">
        <v>57.0</v>
      </c>
      <c r="B58" s="5" t="s">
        <v>170</v>
      </c>
      <c r="C58" s="5" t="s">
        <v>20</v>
      </c>
      <c r="K58" s="5">
        <v>350.0</v>
      </c>
      <c r="N58" s="9">
        <v>45536.0</v>
      </c>
    </row>
    <row r="59">
      <c r="A59" s="5">
        <v>58.0</v>
      </c>
      <c r="B59" s="5" t="s">
        <v>27</v>
      </c>
      <c r="C59" s="5" t="s">
        <v>20</v>
      </c>
      <c r="K59" s="5">
        <v>20.0</v>
      </c>
      <c r="N59" s="9">
        <v>44954.0</v>
      </c>
    </row>
    <row r="60">
      <c r="A60" s="5">
        <v>59.0</v>
      </c>
      <c r="B60" s="5" t="s">
        <v>178</v>
      </c>
      <c r="C60" s="5" t="s">
        <v>20</v>
      </c>
      <c r="N60" s="9">
        <v>44542.0</v>
      </c>
    </row>
    <row r="61">
      <c r="A61" s="5">
        <v>60.0</v>
      </c>
      <c r="B61" s="5" t="s">
        <v>181</v>
      </c>
      <c r="C61" s="5" t="s">
        <v>20</v>
      </c>
      <c r="K61" s="5">
        <v>200.0</v>
      </c>
      <c r="N61" s="9">
        <v>44385.0</v>
      </c>
    </row>
    <row r="62">
      <c r="A62" s="5">
        <v>61.0</v>
      </c>
      <c r="B62" s="5" t="s">
        <v>185</v>
      </c>
      <c r="C62" s="5" t="s">
        <v>20</v>
      </c>
      <c r="K62" s="5">
        <v>450.0</v>
      </c>
      <c r="N62" s="9">
        <v>44592.0</v>
      </c>
    </row>
    <row r="63">
      <c r="A63" s="5">
        <v>62.0</v>
      </c>
      <c r="B63" s="5" t="s">
        <v>188</v>
      </c>
      <c r="C63" s="5" t="s">
        <v>20</v>
      </c>
      <c r="K63" s="5">
        <v>300.0</v>
      </c>
      <c r="N63" s="9">
        <v>44515.0</v>
      </c>
    </row>
    <row r="64">
      <c r="A64" s="5">
        <v>63.0</v>
      </c>
      <c r="B64" s="5" t="s">
        <v>192</v>
      </c>
      <c r="C64" s="5" t="s">
        <v>20</v>
      </c>
      <c r="K64" s="5">
        <v>5000.0</v>
      </c>
      <c r="N64" s="9">
        <v>44696.0</v>
      </c>
    </row>
    <row r="65">
      <c r="A65" s="5">
        <v>64.0</v>
      </c>
      <c r="B65" s="5" t="s">
        <v>197</v>
      </c>
      <c r="C65" s="5" t="s">
        <v>20</v>
      </c>
      <c r="K65" s="5">
        <v>200.0</v>
      </c>
      <c r="N65" s="9">
        <v>44519.0</v>
      </c>
    </row>
    <row r="66">
      <c r="A66" s="5">
        <v>65.0</v>
      </c>
      <c r="B66" s="5" t="s">
        <v>200</v>
      </c>
      <c r="C66" s="5" t="s">
        <v>20</v>
      </c>
      <c r="K66" s="5">
        <v>80.0</v>
      </c>
      <c r="N66" s="9">
        <v>45100.0</v>
      </c>
    </row>
    <row r="67">
      <c r="A67" s="5">
        <v>66.0</v>
      </c>
      <c r="B67" s="5" t="s">
        <v>202</v>
      </c>
      <c r="C67" s="5" t="s">
        <v>20</v>
      </c>
      <c r="K67" s="5">
        <v>200.0</v>
      </c>
      <c r="N67" s="9">
        <v>44562.0</v>
      </c>
    </row>
    <row r="68">
      <c r="A68" s="5">
        <v>67.0</v>
      </c>
      <c r="B68" s="5" t="s">
        <v>205</v>
      </c>
      <c r="C68" s="5" t="s">
        <v>20</v>
      </c>
      <c r="K68" s="5">
        <v>60.0</v>
      </c>
      <c r="N68" s="9">
        <v>44600.0</v>
      </c>
    </row>
    <row r="69">
      <c r="A69" s="5">
        <v>68.0</v>
      </c>
      <c r="B69" s="5" t="s">
        <v>207</v>
      </c>
      <c r="C69" s="5" t="s">
        <v>20</v>
      </c>
      <c r="K69" s="5">
        <v>450.0</v>
      </c>
      <c r="N69" s="9">
        <v>44521.0</v>
      </c>
    </row>
    <row r="70">
      <c r="A70" s="5">
        <v>69.0</v>
      </c>
      <c r="B70" s="5" t="s">
        <v>210</v>
      </c>
      <c r="C70" s="5" t="s">
        <v>20</v>
      </c>
      <c r="K70" s="5">
        <v>40.0</v>
      </c>
      <c r="N70" s="9">
        <v>43857.0</v>
      </c>
    </row>
    <row r="71">
      <c r="A71" s="5">
        <v>70.0</v>
      </c>
      <c r="B71" s="5" t="s">
        <v>212</v>
      </c>
      <c r="C71" s="5" t="s">
        <v>20</v>
      </c>
      <c r="K71" s="5">
        <v>150.0</v>
      </c>
      <c r="N71" s="9">
        <v>44200.0</v>
      </c>
    </row>
    <row r="72">
      <c r="A72" s="5">
        <v>71.0</v>
      </c>
      <c r="B72" s="5" t="s">
        <v>215</v>
      </c>
      <c r="C72" s="5" t="s">
        <v>20</v>
      </c>
      <c r="K72" s="5">
        <v>700.0</v>
      </c>
      <c r="N72" s="9">
        <v>44550.0</v>
      </c>
    </row>
    <row r="73">
      <c r="A73" s="5">
        <v>72.0</v>
      </c>
      <c r="B73" s="5" t="s">
        <v>218</v>
      </c>
      <c r="C73" s="5" t="s">
        <v>20</v>
      </c>
      <c r="K73" s="5">
        <v>500.0</v>
      </c>
      <c r="N73" s="9">
        <v>44562.0</v>
      </c>
    </row>
    <row r="74">
      <c r="A74" s="5">
        <v>73.0</v>
      </c>
      <c r="B74" s="5" t="s">
        <v>220</v>
      </c>
      <c r="C74" s="5" t="s">
        <v>20</v>
      </c>
      <c r="K74" s="5">
        <v>250.0</v>
      </c>
      <c r="N74" s="9">
        <v>43994.0</v>
      </c>
    </row>
    <row r="75">
      <c r="A75" s="5">
        <v>74.0</v>
      </c>
      <c r="B75" s="5" t="s">
        <v>222</v>
      </c>
      <c r="C75" s="5" t="s">
        <v>20</v>
      </c>
      <c r="K75" s="5">
        <v>150.0</v>
      </c>
      <c r="N75" s="9">
        <v>45196.0</v>
      </c>
    </row>
    <row r="76">
      <c r="A76" s="5">
        <v>75.0</v>
      </c>
      <c r="B76" s="5" t="s">
        <v>36</v>
      </c>
      <c r="C76" s="5" t="s">
        <v>20</v>
      </c>
      <c r="K76" s="5">
        <v>23000.0</v>
      </c>
      <c r="N76" s="9">
        <v>44650.0</v>
      </c>
    </row>
    <row r="77">
      <c r="A77" s="5">
        <v>76.0</v>
      </c>
      <c r="B77" s="5" t="s">
        <v>225</v>
      </c>
      <c r="C77" s="5" t="s">
        <v>20</v>
      </c>
      <c r="K77" s="5">
        <v>50.0</v>
      </c>
      <c r="N77" s="9">
        <v>45873.0</v>
      </c>
    </row>
    <row r="78">
      <c r="A78" s="5">
        <v>77.0</v>
      </c>
      <c r="B78" s="5" t="s">
        <v>30</v>
      </c>
      <c r="C78" s="5" t="s">
        <v>20</v>
      </c>
      <c r="K78" s="5">
        <v>60.0</v>
      </c>
      <c r="N78" s="9">
        <v>44526.0</v>
      </c>
    </row>
    <row r="79">
      <c r="A79" s="5">
        <v>78.0</v>
      </c>
      <c r="B79" s="5" t="s">
        <v>230</v>
      </c>
      <c r="C79" s="5" t="s">
        <v>20</v>
      </c>
      <c r="K79" s="5">
        <v>250.0</v>
      </c>
      <c r="N79" s="9">
        <v>44565.0</v>
      </c>
    </row>
    <row r="80">
      <c r="A80" s="5">
        <v>79.0</v>
      </c>
      <c r="B80" s="5" t="s">
        <v>232</v>
      </c>
      <c r="C80" s="5" t="s">
        <v>20</v>
      </c>
      <c r="K80" s="5">
        <v>800.0</v>
      </c>
      <c r="N80" s="9">
        <v>44598.0</v>
      </c>
    </row>
    <row r="81">
      <c r="A81" s="5">
        <v>80.0</v>
      </c>
      <c r="B81" s="5" t="s">
        <v>234</v>
      </c>
      <c r="C81" s="5" t="s">
        <v>20</v>
      </c>
      <c r="K81" s="5">
        <v>8300.0</v>
      </c>
      <c r="N81" s="9">
        <v>43920.0</v>
      </c>
    </row>
    <row r="82">
      <c r="A82" s="5">
        <v>81.0</v>
      </c>
      <c r="B82" s="5" t="s">
        <v>237</v>
      </c>
      <c r="C82" s="5" t="s">
        <v>20</v>
      </c>
      <c r="K82" s="5">
        <v>30.0</v>
      </c>
      <c r="N82" s="9">
        <v>44565.0</v>
      </c>
    </row>
    <row r="83">
      <c r="A83" s="5">
        <v>82.0</v>
      </c>
      <c r="B83" s="5" t="s">
        <v>239</v>
      </c>
      <c r="C83" s="5" t="s">
        <v>20</v>
      </c>
      <c r="K83" s="5">
        <v>10.0</v>
      </c>
      <c r="N83" s="9">
        <v>44737.0</v>
      </c>
    </row>
    <row r="84">
      <c r="A84" s="5">
        <v>83.0</v>
      </c>
      <c r="B84" s="5" t="s">
        <v>242</v>
      </c>
      <c r="C84" s="5" t="s">
        <v>20</v>
      </c>
      <c r="K84" s="5">
        <v>700.0</v>
      </c>
      <c r="N84" s="9">
        <v>44301.0</v>
      </c>
    </row>
    <row r="85">
      <c r="A85" s="5">
        <v>84.0</v>
      </c>
      <c r="B85" s="5" t="s">
        <v>244</v>
      </c>
      <c r="C85" s="5" t="s">
        <v>20</v>
      </c>
      <c r="K85" s="5">
        <v>700.0</v>
      </c>
      <c r="N85" s="9">
        <v>44516.0</v>
      </c>
    </row>
    <row r="86">
      <c r="A86" s="5">
        <v>85.0</v>
      </c>
      <c r="B86" s="5" t="s">
        <v>247</v>
      </c>
      <c r="C86" s="5" t="s">
        <v>20</v>
      </c>
      <c r="K86" s="5">
        <v>200.0</v>
      </c>
      <c r="N86" s="9">
        <v>44388.0</v>
      </c>
    </row>
    <row r="87">
      <c r="A87" s="5">
        <v>86.0</v>
      </c>
      <c r="B87" s="5" t="s">
        <v>250</v>
      </c>
      <c r="C87" s="5" t="s">
        <v>20</v>
      </c>
      <c r="K87" s="5">
        <v>450.0</v>
      </c>
      <c r="N87" s="9">
        <v>44407.0</v>
      </c>
    </row>
    <row r="88">
      <c r="A88" s="5">
        <v>87.0</v>
      </c>
      <c r="B88" s="5" t="s">
        <v>252</v>
      </c>
      <c r="C88" s="5" t="s">
        <v>20</v>
      </c>
      <c r="K88" s="5">
        <v>70.0</v>
      </c>
      <c r="N88" s="9">
        <v>43841.0</v>
      </c>
    </row>
    <row r="89">
      <c r="A89" s="5">
        <v>88.0</v>
      </c>
      <c r="B89" s="5" t="s">
        <v>255</v>
      </c>
      <c r="C89" s="5" t="s">
        <v>20</v>
      </c>
      <c r="K89" s="5">
        <v>350.0</v>
      </c>
      <c r="N89" s="9">
        <v>44465.0</v>
      </c>
    </row>
    <row r="90">
      <c r="A90" s="5">
        <v>89.0</v>
      </c>
      <c r="B90" s="5" t="s">
        <v>257</v>
      </c>
      <c r="C90" s="5" t="s">
        <v>20</v>
      </c>
      <c r="K90" s="5">
        <v>60.0</v>
      </c>
      <c r="N90" s="9">
        <v>44651.0</v>
      </c>
    </row>
    <row r="91">
      <c r="A91" s="5">
        <v>90.0</v>
      </c>
      <c r="B91" s="5" t="s">
        <v>259</v>
      </c>
      <c r="C91" s="5" t="s">
        <v>20</v>
      </c>
      <c r="K91" s="5">
        <v>150.0</v>
      </c>
      <c r="N91" s="9">
        <v>44568.0</v>
      </c>
    </row>
    <row r="92">
      <c r="A92" s="5">
        <v>91.0</v>
      </c>
      <c r="B92" s="5" t="s">
        <v>262</v>
      </c>
      <c r="C92" s="5" t="s">
        <v>20</v>
      </c>
      <c r="K92" s="5">
        <v>1500.0</v>
      </c>
      <c r="N92" s="9">
        <v>44530.0</v>
      </c>
    </row>
    <row r="93">
      <c r="A93" s="5">
        <v>92.0</v>
      </c>
      <c r="B93" s="5" t="s">
        <v>264</v>
      </c>
      <c r="C93" s="5" t="s">
        <v>20</v>
      </c>
      <c r="K93" s="5">
        <v>60.0</v>
      </c>
      <c r="N93" s="9">
        <v>44982.0</v>
      </c>
    </row>
    <row r="94">
      <c r="A94" s="5">
        <v>93.0</v>
      </c>
      <c r="B94" s="5" t="s">
        <v>266</v>
      </c>
      <c r="C94" s="5" t="s">
        <v>20</v>
      </c>
      <c r="K94" s="5">
        <v>350.0</v>
      </c>
      <c r="N94" s="9">
        <v>44619.0</v>
      </c>
    </row>
    <row r="95">
      <c r="A95" s="5">
        <v>94.0</v>
      </c>
      <c r="B95" s="5" t="s">
        <v>269</v>
      </c>
      <c r="C95" s="5" t="s">
        <v>20</v>
      </c>
      <c r="K95" s="5">
        <v>100.0</v>
      </c>
      <c r="N95" s="9">
        <v>44458.0</v>
      </c>
    </row>
    <row r="96">
      <c r="A96" s="5">
        <v>95.0</v>
      </c>
      <c r="B96" s="5" t="s">
        <v>271</v>
      </c>
      <c r="C96" s="5" t="s">
        <v>20</v>
      </c>
      <c r="K96" s="5">
        <v>450.0</v>
      </c>
      <c r="N96" s="9">
        <v>44272.0</v>
      </c>
    </row>
    <row r="97">
      <c r="A97" s="5">
        <v>96.0</v>
      </c>
      <c r="B97" s="5" t="s">
        <v>274</v>
      </c>
      <c r="C97" s="5" t="s">
        <v>20</v>
      </c>
      <c r="K97" s="5">
        <v>200.0</v>
      </c>
      <c r="N97" s="9">
        <v>44328.0</v>
      </c>
    </row>
    <row r="98">
      <c r="A98" s="5">
        <v>97.0</v>
      </c>
      <c r="B98" s="5" t="s">
        <v>276</v>
      </c>
      <c r="C98" s="5" t="s">
        <v>20</v>
      </c>
      <c r="K98" s="5">
        <v>600.0</v>
      </c>
      <c r="N98" s="9">
        <v>44826.0</v>
      </c>
    </row>
    <row r="99">
      <c r="A99" s="5">
        <v>98.0</v>
      </c>
      <c r="B99" s="5" t="s">
        <v>278</v>
      </c>
      <c r="C99" s="5" t="s">
        <v>20</v>
      </c>
      <c r="K99" s="5">
        <v>450.0</v>
      </c>
      <c r="N99" s="9">
        <v>44536.0</v>
      </c>
    </row>
    <row r="100">
      <c r="A100" s="5">
        <v>99.0</v>
      </c>
      <c r="B100" s="5" t="s">
        <v>280</v>
      </c>
      <c r="C100" s="5" t="s">
        <v>20</v>
      </c>
      <c r="N100" s="9">
        <v>44573.0</v>
      </c>
    </row>
    <row r="101">
      <c r="A101" s="5">
        <v>100.0</v>
      </c>
      <c r="B101" s="5" t="s">
        <v>282</v>
      </c>
      <c r="C101" s="5" t="s">
        <v>20</v>
      </c>
      <c r="K101" s="5">
        <v>200.0</v>
      </c>
      <c r="N101" s="9">
        <v>44713.0</v>
      </c>
    </row>
    <row r="102">
      <c r="A102" s="5">
        <v>101.0</v>
      </c>
      <c r="B102" s="5" t="s">
        <v>284</v>
      </c>
      <c r="C102" s="5" t="s">
        <v>20</v>
      </c>
      <c r="K102" s="5">
        <v>40.0</v>
      </c>
      <c r="N102" s="9">
        <v>44808.0</v>
      </c>
    </row>
    <row r="103">
      <c r="A103" s="5">
        <v>102.0</v>
      </c>
      <c r="B103" s="5" t="s">
        <v>286</v>
      </c>
      <c r="C103" s="5" t="s">
        <v>20</v>
      </c>
      <c r="K103" s="5">
        <v>200.0</v>
      </c>
      <c r="N103" s="9">
        <v>45931.0</v>
      </c>
    </row>
    <row r="104">
      <c r="A104" s="5">
        <v>103.0</v>
      </c>
      <c r="B104" s="5" t="s">
        <v>288</v>
      </c>
      <c r="C104" s="5" t="s">
        <v>20</v>
      </c>
      <c r="K104" s="5">
        <v>200.0</v>
      </c>
      <c r="N104" s="9">
        <v>45107.0</v>
      </c>
    </row>
    <row r="105">
      <c r="A105" s="5">
        <v>104.0</v>
      </c>
      <c r="B105" s="5" t="s">
        <v>290</v>
      </c>
      <c r="C105" s="5" t="s">
        <v>20</v>
      </c>
      <c r="K105" s="5">
        <v>10.0</v>
      </c>
      <c r="N105" s="9">
        <v>44537.0</v>
      </c>
    </row>
    <row r="106">
      <c r="A106" s="5">
        <v>105.0</v>
      </c>
      <c r="B106" s="5" t="s">
        <v>293</v>
      </c>
      <c r="C106" s="5" t="s">
        <v>20</v>
      </c>
      <c r="K106" s="5">
        <v>50.0</v>
      </c>
      <c r="N106" s="9">
        <v>44895.0</v>
      </c>
    </row>
    <row r="107">
      <c r="A107" s="5">
        <v>106.0</v>
      </c>
      <c r="B107" s="5" t="s">
        <v>297</v>
      </c>
      <c r="C107" s="5" t="s">
        <v>20</v>
      </c>
      <c r="K107" s="5">
        <v>20.0</v>
      </c>
      <c r="N107" s="9">
        <v>44577.0</v>
      </c>
    </row>
    <row r="108">
      <c r="A108" s="5">
        <v>107.0</v>
      </c>
      <c r="B108" s="5" t="s">
        <v>300</v>
      </c>
      <c r="C108" s="5" t="s">
        <v>20</v>
      </c>
      <c r="K108" s="5">
        <v>400.0</v>
      </c>
      <c r="N108" s="9">
        <v>44862.0</v>
      </c>
    </row>
    <row r="109">
      <c r="A109" s="5">
        <v>108.0</v>
      </c>
      <c r="B109" s="5" t="s">
        <v>303</v>
      </c>
      <c r="C109" s="5" t="s">
        <v>20</v>
      </c>
      <c r="K109" s="5">
        <v>150.0</v>
      </c>
      <c r="N109" s="9">
        <v>44510.0</v>
      </c>
    </row>
    <row r="110">
      <c r="A110" s="5">
        <v>109.0</v>
      </c>
      <c r="B110" s="5" t="s">
        <v>306</v>
      </c>
      <c r="C110" s="5" t="s">
        <v>20</v>
      </c>
      <c r="K110" s="5">
        <v>20.0</v>
      </c>
      <c r="N110" s="9">
        <v>44866.0</v>
      </c>
    </row>
    <row r="111">
      <c r="A111" s="5">
        <v>110.0</v>
      </c>
      <c r="B111" s="5" t="s">
        <v>308</v>
      </c>
      <c r="C111" s="5" t="s">
        <v>20</v>
      </c>
      <c r="K111" s="5">
        <v>250.0</v>
      </c>
      <c r="N111" s="9">
        <v>44025.0</v>
      </c>
    </row>
    <row r="112">
      <c r="A112" s="5">
        <v>111.0</v>
      </c>
      <c r="B112" s="5" t="s">
        <v>311</v>
      </c>
      <c r="C112" s="5" t="s">
        <v>20</v>
      </c>
      <c r="K112" s="5">
        <v>200.0</v>
      </c>
      <c r="N112" s="9">
        <v>43894.0</v>
      </c>
    </row>
    <row r="113">
      <c r="A113" s="5">
        <v>112.0</v>
      </c>
      <c r="B113" s="5" t="s">
        <v>315</v>
      </c>
      <c r="C113" s="5" t="s">
        <v>20</v>
      </c>
      <c r="K113" s="5">
        <v>350.0</v>
      </c>
      <c r="N113" s="9">
        <v>44326.0</v>
      </c>
    </row>
    <row r="114">
      <c r="A114" s="5">
        <v>113.0</v>
      </c>
      <c r="B114" s="5" t="s">
        <v>318</v>
      </c>
      <c r="C114" s="5" t="s">
        <v>20</v>
      </c>
      <c r="K114" s="5">
        <v>800.0</v>
      </c>
      <c r="N114" s="9">
        <v>43847.0</v>
      </c>
    </row>
    <row r="115">
      <c r="A115" s="5">
        <v>114.0</v>
      </c>
      <c r="B115" s="5" t="s">
        <v>321</v>
      </c>
      <c r="C115" s="5" t="s">
        <v>20</v>
      </c>
      <c r="N115" s="9">
        <v>45251.0</v>
      </c>
    </row>
    <row r="116">
      <c r="A116" s="5">
        <v>115.0</v>
      </c>
      <c r="B116" s="5" t="s">
        <v>324</v>
      </c>
      <c r="C116" s="5" t="s">
        <v>20</v>
      </c>
      <c r="K116" s="5">
        <v>800.0</v>
      </c>
      <c r="N116" s="9">
        <v>44436.0</v>
      </c>
    </row>
    <row r="117">
      <c r="A117" s="5">
        <v>116.0</v>
      </c>
      <c r="B117" s="5" t="s">
        <v>327</v>
      </c>
      <c r="C117" s="5" t="s">
        <v>20</v>
      </c>
      <c r="N117" s="9">
        <v>45326.0</v>
      </c>
    </row>
    <row r="118">
      <c r="A118" s="5">
        <v>117.0</v>
      </c>
      <c r="B118" s="5" t="s">
        <v>330</v>
      </c>
      <c r="C118" s="5" t="s">
        <v>20</v>
      </c>
      <c r="K118" s="5">
        <v>3000.0</v>
      </c>
      <c r="N118" s="9">
        <v>44558.0</v>
      </c>
    </row>
    <row r="119">
      <c r="A119" s="5">
        <v>118.0</v>
      </c>
      <c r="B119" s="5" t="s">
        <v>333</v>
      </c>
      <c r="C119" s="5" t="s">
        <v>20</v>
      </c>
      <c r="N119" s="9">
        <v>44538.0</v>
      </c>
    </row>
    <row r="120">
      <c r="A120" s="5">
        <v>119.0</v>
      </c>
      <c r="B120" s="5" t="s">
        <v>336</v>
      </c>
      <c r="C120" s="5" t="s">
        <v>20</v>
      </c>
      <c r="K120" s="5">
        <v>20.0</v>
      </c>
      <c r="N120" s="9">
        <v>45441.0</v>
      </c>
    </row>
    <row r="121">
      <c r="A121" s="5">
        <v>120.0</v>
      </c>
      <c r="B121" s="5" t="s">
        <v>340</v>
      </c>
      <c r="C121" s="5" t="s">
        <v>20</v>
      </c>
      <c r="K121" s="5">
        <v>40.0</v>
      </c>
      <c r="N121" s="9">
        <v>44552.0</v>
      </c>
    </row>
    <row r="122">
      <c r="A122" s="5">
        <v>121.0</v>
      </c>
      <c r="B122" s="5" t="s">
        <v>343</v>
      </c>
      <c r="C122" s="5" t="s">
        <v>20</v>
      </c>
      <c r="K122" s="5">
        <v>2400.0</v>
      </c>
      <c r="N122" s="9">
        <v>44926.0</v>
      </c>
    </row>
    <row r="123">
      <c r="A123" s="5">
        <v>122.0</v>
      </c>
      <c r="B123" s="5" t="s">
        <v>351</v>
      </c>
      <c r="C123" s="5" t="s">
        <v>20</v>
      </c>
      <c r="K123" s="5">
        <v>6600.0</v>
      </c>
      <c r="N123" s="9">
        <v>43853.0</v>
      </c>
    </row>
    <row r="124">
      <c r="A124" s="5">
        <v>123.0</v>
      </c>
      <c r="B124" s="5" t="s">
        <v>354</v>
      </c>
      <c r="C124" s="5" t="s">
        <v>20</v>
      </c>
      <c r="K124" s="5">
        <v>200.0</v>
      </c>
      <c r="N124" s="9">
        <v>44099.0</v>
      </c>
    </row>
    <row r="125">
      <c r="A125" s="5">
        <v>124.0</v>
      </c>
      <c r="B125" s="5" t="s">
        <v>357</v>
      </c>
      <c r="C125" s="5" t="s">
        <v>20</v>
      </c>
      <c r="K125" s="5">
        <v>700.0</v>
      </c>
      <c r="N125" s="9">
        <v>43886.0</v>
      </c>
    </row>
    <row r="126">
      <c r="A126" s="5">
        <v>125.0</v>
      </c>
      <c r="B126" s="5" t="s">
        <v>360</v>
      </c>
      <c r="C126" s="5" t="s">
        <v>20</v>
      </c>
      <c r="K126" s="5">
        <v>200.0</v>
      </c>
      <c r="N126" s="9">
        <v>44531.0</v>
      </c>
    </row>
    <row r="127">
      <c r="A127" s="5">
        <v>126.0</v>
      </c>
      <c r="B127" s="5" t="s">
        <v>363</v>
      </c>
      <c r="C127" s="5" t="s">
        <v>20</v>
      </c>
      <c r="K127" s="5">
        <v>30.0</v>
      </c>
      <c r="N127" s="9">
        <v>44609.0</v>
      </c>
    </row>
    <row r="128">
      <c r="A128" s="5">
        <v>127.0</v>
      </c>
      <c r="B128" s="5" t="s">
        <v>369</v>
      </c>
      <c r="C128" s="5" t="s">
        <v>20</v>
      </c>
      <c r="K128" s="5">
        <v>450.0</v>
      </c>
      <c r="N128" s="9">
        <v>44531.0</v>
      </c>
    </row>
    <row r="129">
      <c r="A129" s="5">
        <v>128.0</v>
      </c>
      <c r="B129" s="5" t="s">
        <v>372</v>
      </c>
      <c r="C129" s="5" t="s">
        <v>20</v>
      </c>
      <c r="K129" s="5">
        <v>450.0</v>
      </c>
      <c r="N129" s="9">
        <v>44600.0</v>
      </c>
    </row>
    <row r="130">
      <c r="A130" s="5">
        <v>129.0</v>
      </c>
      <c r="B130" s="5" t="s">
        <v>375</v>
      </c>
      <c r="C130" s="5" t="s">
        <v>20</v>
      </c>
      <c r="K130" s="5">
        <v>200.0</v>
      </c>
      <c r="N130" s="9">
        <v>44595.0</v>
      </c>
    </row>
    <row r="131">
      <c r="A131" s="5">
        <v>130.0</v>
      </c>
      <c r="B131" s="5" t="s">
        <v>378</v>
      </c>
      <c r="C131" s="5" t="s">
        <v>20</v>
      </c>
      <c r="K131" s="5">
        <v>200.0</v>
      </c>
      <c r="N131" s="9">
        <v>44741.0</v>
      </c>
    </row>
    <row r="132">
      <c r="A132" s="5">
        <v>131.0</v>
      </c>
      <c r="B132" s="5" t="s">
        <v>381</v>
      </c>
      <c r="C132" s="5" t="s">
        <v>20</v>
      </c>
      <c r="K132" s="5">
        <v>150.0</v>
      </c>
      <c r="N132" s="9">
        <v>44592.0</v>
      </c>
    </row>
    <row r="133">
      <c r="A133" s="5">
        <v>132.0</v>
      </c>
      <c r="B133" s="5" t="s">
        <v>384</v>
      </c>
      <c r="C133" s="5" t="s">
        <v>20</v>
      </c>
      <c r="K133" s="5">
        <v>200.0</v>
      </c>
      <c r="N133" s="9">
        <v>44053.0</v>
      </c>
    </row>
    <row r="134">
      <c r="A134" s="5">
        <v>133.0</v>
      </c>
      <c r="B134" s="5" t="s">
        <v>385</v>
      </c>
      <c r="C134" s="5" t="s">
        <v>20</v>
      </c>
      <c r="K134" s="5">
        <v>20.0</v>
      </c>
      <c r="N134" s="9">
        <v>44585.0</v>
      </c>
    </row>
    <row r="135">
      <c r="A135" s="5">
        <v>134.0</v>
      </c>
      <c r="B135" s="5" t="s">
        <v>386</v>
      </c>
      <c r="C135" s="5" t="s">
        <v>20</v>
      </c>
      <c r="K135" s="5">
        <v>800.0</v>
      </c>
      <c r="N135" s="9">
        <v>44581.0</v>
      </c>
    </row>
    <row r="136">
      <c r="A136" s="5">
        <v>135.0</v>
      </c>
      <c r="B136" s="5" t="s">
        <v>387</v>
      </c>
      <c r="C136" s="5" t="s">
        <v>20</v>
      </c>
      <c r="K136" s="5">
        <v>200.0</v>
      </c>
      <c r="N136" s="9">
        <v>44848.0</v>
      </c>
    </row>
    <row r="137">
      <c r="A137" s="5">
        <v>136.0</v>
      </c>
      <c r="B137" s="5" t="s">
        <v>388</v>
      </c>
      <c r="C137" s="5" t="s">
        <v>20</v>
      </c>
      <c r="K137" s="5">
        <v>4500.0</v>
      </c>
      <c r="N137" s="9">
        <v>43088.0</v>
      </c>
    </row>
    <row r="138">
      <c r="A138" s="5">
        <v>137.0</v>
      </c>
      <c r="B138" s="5" t="s">
        <v>389</v>
      </c>
      <c r="C138" s="5" t="s">
        <v>20</v>
      </c>
      <c r="K138" s="5">
        <v>100.0</v>
      </c>
      <c r="N138" s="9">
        <v>44954.0</v>
      </c>
    </row>
    <row r="139">
      <c r="A139" s="5">
        <v>138.0</v>
      </c>
      <c r="B139" s="5" t="s">
        <v>391</v>
      </c>
      <c r="C139" s="5" t="s">
        <v>20</v>
      </c>
      <c r="K139" s="5">
        <v>60.0</v>
      </c>
      <c r="N139" s="9">
        <v>44738.0</v>
      </c>
    </row>
    <row r="140">
      <c r="A140" s="5">
        <v>139.0</v>
      </c>
      <c r="B140" s="5" t="s">
        <v>393</v>
      </c>
      <c r="C140" s="5" t="s">
        <v>20</v>
      </c>
      <c r="K140" s="5">
        <v>150.0</v>
      </c>
      <c r="N140" s="9">
        <v>44762.0</v>
      </c>
    </row>
    <row r="141">
      <c r="A141" s="5">
        <v>140.0</v>
      </c>
      <c r="B141" s="5" t="s">
        <v>395</v>
      </c>
      <c r="C141" s="5" t="s">
        <v>20</v>
      </c>
      <c r="K141" s="5">
        <v>700.0</v>
      </c>
      <c r="N141" s="9">
        <v>44532.0</v>
      </c>
    </row>
    <row r="142">
      <c r="A142" s="5">
        <v>141.0</v>
      </c>
      <c r="B142" s="5" t="s">
        <v>398</v>
      </c>
      <c r="C142" s="5" t="s">
        <v>20</v>
      </c>
      <c r="K142" s="5">
        <v>100.0</v>
      </c>
      <c r="N142" s="9">
        <v>45302.0</v>
      </c>
    </row>
    <row r="143">
      <c r="A143" s="5">
        <v>142.0</v>
      </c>
      <c r="B143" s="5" t="s">
        <v>400</v>
      </c>
      <c r="C143" s="5" t="s">
        <v>20</v>
      </c>
      <c r="K143" s="5">
        <v>1000.0</v>
      </c>
      <c r="N143" s="9">
        <v>44525.0</v>
      </c>
    </row>
    <row r="144">
      <c r="A144" s="5">
        <v>143.0</v>
      </c>
      <c r="B144" s="5" t="s">
        <v>402</v>
      </c>
      <c r="C144" s="5" t="s">
        <v>20</v>
      </c>
      <c r="K144" s="5">
        <v>10.0</v>
      </c>
      <c r="N144" s="9">
        <v>44477.0</v>
      </c>
    </row>
    <row r="145">
      <c r="A145" s="5">
        <v>144.0</v>
      </c>
      <c r="B145" s="5" t="s">
        <v>405</v>
      </c>
      <c r="C145" s="5" t="s">
        <v>20</v>
      </c>
      <c r="K145" s="5">
        <v>700.0</v>
      </c>
      <c r="N145" s="9">
        <v>44992.0</v>
      </c>
    </row>
    <row r="146">
      <c r="A146" s="5">
        <v>145.0</v>
      </c>
      <c r="B146" s="5" t="s">
        <v>407</v>
      </c>
      <c r="C146" s="5" t="s">
        <v>20</v>
      </c>
      <c r="K146" s="5">
        <v>500.0</v>
      </c>
      <c r="N146" s="9">
        <v>44685.0</v>
      </c>
    </row>
    <row r="147">
      <c r="A147" s="5">
        <v>146.0</v>
      </c>
      <c r="B147" s="5" t="s">
        <v>409</v>
      </c>
      <c r="C147" s="5" t="s">
        <v>20</v>
      </c>
      <c r="K147" s="5">
        <v>200.0</v>
      </c>
      <c r="N147" s="9">
        <v>44159.0</v>
      </c>
    </row>
    <row r="148">
      <c r="A148" s="5">
        <v>147.0</v>
      </c>
      <c r="B148" s="5" t="s">
        <v>411</v>
      </c>
      <c r="C148" s="5" t="s">
        <v>20</v>
      </c>
      <c r="K148" s="5">
        <v>400.0</v>
      </c>
      <c r="N148" s="9">
        <v>44531.0</v>
      </c>
    </row>
    <row r="149">
      <c r="A149" s="5">
        <v>148.0</v>
      </c>
      <c r="B149" s="5" t="s">
        <v>413</v>
      </c>
      <c r="C149" s="5" t="s">
        <v>20</v>
      </c>
      <c r="K149" s="5">
        <v>90.0</v>
      </c>
      <c r="N149" s="9">
        <v>44134.0</v>
      </c>
    </row>
    <row r="150">
      <c r="A150" s="5">
        <v>149.0</v>
      </c>
      <c r="B150" s="5" t="s">
        <v>415</v>
      </c>
      <c r="C150" s="5" t="s">
        <v>20</v>
      </c>
      <c r="K150" s="5">
        <v>1000.0</v>
      </c>
      <c r="N150" s="9">
        <v>44533.0</v>
      </c>
    </row>
    <row r="151">
      <c r="A151" s="5">
        <v>150.0</v>
      </c>
      <c r="B151" s="5" t="s">
        <v>416</v>
      </c>
      <c r="C151" s="5" t="s">
        <v>20</v>
      </c>
      <c r="K151" s="5">
        <v>200.0</v>
      </c>
      <c r="N151" s="9">
        <v>44213.0</v>
      </c>
    </row>
    <row r="152">
      <c r="A152" s="5">
        <v>151.0</v>
      </c>
      <c r="B152" s="5" t="s">
        <v>418</v>
      </c>
      <c r="C152" s="5" t="s">
        <v>20</v>
      </c>
      <c r="K152" s="5">
        <v>2600.0</v>
      </c>
      <c r="N152" s="9">
        <v>44030.0</v>
      </c>
    </row>
    <row r="153">
      <c r="A153" s="5">
        <v>152.0</v>
      </c>
      <c r="B153" s="5" t="s">
        <v>420</v>
      </c>
      <c r="C153" s="5" t="s">
        <v>20</v>
      </c>
      <c r="K153" s="5">
        <v>400.0</v>
      </c>
      <c r="N153" s="9">
        <v>44570.0</v>
      </c>
    </row>
    <row r="154">
      <c r="A154" s="5">
        <v>153.0</v>
      </c>
      <c r="B154" s="5" t="s">
        <v>422</v>
      </c>
      <c r="C154" s="5" t="s">
        <v>20</v>
      </c>
      <c r="K154" s="5">
        <v>900.0</v>
      </c>
      <c r="N154" s="9">
        <v>43930.0</v>
      </c>
    </row>
    <row r="155">
      <c r="A155" s="5">
        <v>154.0</v>
      </c>
      <c r="B155" s="5" t="s">
        <v>425</v>
      </c>
      <c r="C155" s="5" t="s">
        <v>20</v>
      </c>
      <c r="K155" s="5">
        <v>10.0</v>
      </c>
      <c r="N155" s="9">
        <v>44542.0</v>
      </c>
    </row>
    <row r="156">
      <c r="A156" s="5">
        <v>155.0</v>
      </c>
      <c r="B156" s="5" t="s">
        <v>427</v>
      </c>
      <c r="C156" s="5" t="s">
        <v>20</v>
      </c>
      <c r="K156" s="5">
        <v>200.0</v>
      </c>
      <c r="N156" s="9">
        <v>44727.0</v>
      </c>
    </row>
    <row r="157">
      <c r="A157" s="5">
        <v>156.0</v>
      </c>
      <c r="B157" s="5" t="s">
        <v>429</v>
      </c>
      <c r="C157" s="5" t="s">
        <v>20</v>
      </c>
      <c r="K157" s="5">
        <v>250.0</v>
      </c>
      <c r="N157" s="9">
        <v>45411.0</v>
      </c>
    </row>
    <row r="158">
      <c r="A158" s="5">
        <v>157.0</v>
      </c>
      <c r="B158" s="5" t="s">
        <v>432</v>
      </c>
      <c r="C158" s="5" t="s">
        <v>20</v>
      </c>
      <c r="K158" s="5">
        <v>80.0</v>
      </c>
      <c r="N158" s="9">
        <v>45329.0</v>
      </c>
    </row>
    <row r="159">
      <c r="A159" s="5">
        <v>158.0</v>
      </c>
      <c r="B159" s="5" t="s">
        <v>435</v>
      </c>
      <c r="C159" s="5" t="s">
        <v>20</v>
      </c>
      <c r="K159" s="5">
        <v>2700.0</v>
      </c>
      <c r="N159" s="9">
        <v>44904.0</v>
      </c>
    </row>
    <row r="160">
      <c r="A160" s="5">
        <v>159.0</v>
      </c>
      <c r="B160" s="5" t="s">
        <v>438</v>
      </c>
      <c r="C160" s="5" t="s">
        <v>20</v>
      </c>
      <c r="K160" s="5">
        <v>100.0</v>
      </c>
      <c r="N160" s="9">
        <v>44716.0</v>
      </c>
    </row>
    <row r="161">
      <c r="A161" s="5">
        <v>160.0</v>
      </c>
      <c r="B161" s="5" t="s">
        <v>440</v>
      </c>
      <c r="C161" s="5" t="s">
        <v>20</v>
      </c>
      <c r="K161" s="5">
        <v>400.0</v>
      </c>
      <c r="N161" s="9">
        <v>44579.0</v>
      </c>
    </row>
    <row r="162">
      <c r="A162" s="5">
        <v>161.0</v>
      </c>
      <c r="B162" s="5" t="s">
        <v>442</v>
      </c>
      <c r="C162" s="5" t="s">
        <v>20</v>
      </c>
      <c r="K162" s="5">
        <v>80.0</v>
      </c>
      <c r="N162" s="9">
        <v>44531.0</v>
      </c>
    </row>
    <row r="163">
      <c r="A163" s="5">
        <v>162.0</v>
      </c>
      <c r="B163" s="5" t="s">
        <v>444</v>
      </c>
      <c r="C163" s="5" t="s">
        <v>20</v>
      </c>
      <c r="K163" s="5">
        <v>250.0</v>
      </c>
      <c r="N163" s="9">
        <v>44416.0</v>
      </c>
    </row>
    <row r="164">
      <c r="A164" s="5">
        <v>163.0</v>
      </c>
      <c r="B164" s="5" t="s">
        <v>446</v>
      </c>
      <c r="C164" s="5" t="s">
        <v>20</v>
      </c>
      <c r="K164" s="5">
        <v>250.0</v>
      </c>
      <c r="N164" s="9">
        <v>44933.0</v>
      </c>
    </row>
    <row r="165">
      <c r="A165" s="5">
        <v>164.0</v>
      </c>
      <c r="B165" s="5" t="s">
        <v>448</v>
      </c>
      <c r="C165" s="5" t="s">
        <v>20</v>
      </c>
      <c r="K165" s="5">
        <v>90.0</v>
      </c>
      <c r="N165" s="9">
        <v>45432.0</v>
      </c>
    </row>
    <row r="166">
      <c r="A166" s="5">
        <v>165.0</v>
      </c>
      <c r="B166" s="5" t="s">
        <v>33</v>
      </c>
      <c r="C166" s="5" t="s">
        <v>20</v>
      </c>
      <c r="K166" s="5">
        <v>10.0</v>
      </c>
      <c r="N166" s="9">
        <v>44159.0</v>
      </c>
    </row>
    <row r="167">
      <c r="A167" s="5">
        <v>166.0</v>
      </c>
      <c r="B167" s="5" t="s">
        <v>451</v>
      </c>
      <c r="C167" s="5" t="s">
        <v>20</v>
      </c>
      <c r="K167" s="5">
        <v>400.0</v>
      </c>
      <c r="N167" s="9">
        <v>44293.0</v>
      </c>
    </row>
    <row r="168">
      <c r="A168" s="5">
        <v>167.0</v>
      </c>
      <c r="B168" s="5" t="s">
        <v>453</v>
      </c>
      <c r="C168" s="5" t="s">
        <v>20</v>
      </c>
      <c r="K168" s="5">
        <v>500.0</v>
      </c>
      <c r="N168" s="9">
        <v>44567.0</v>
      </c>
    </row>
    <row r="169">
      <c r="A169" s="5">
        <v>168.0</v>
      </c>
      <c r="B169" s="5" t="s">
        <v>455</v>
      </c>
      <c r="C169" s="5" t="s">
        <v>20</v>
      </c>
      <c r="K169" s="5">
        <v>70.0</v>
      </c>
      <c r="N169" s="9">
        <v>44076.0</v>
      </c>
    </row>
    <row r="170">
      <c r="A170" s="5">
        <v>169.0</v>
      </c>
      <c r="B170" s="5" t="s">
        <v>457</v>
      </c>
      <c r="C170" s="5" t="s">
        <v>20</v>
      </c>
      <c r="K170" s="5">
        <v>200.0</v>
      </c>
      <c r="N170" s="9">
        <v>45240.0</v>
      </c>
    </row>
    <row r="171">
      <c r="A171" s="5">
        <v>170.0</v>
      </c>
      <c r="B171" s="5" t="s">
        <v>459</v>
      </c>
      <c r="C171" s="5" t="s">
        <v>20</v>
      </c>
      <c r="K171" s="5">
        <v>40.0</v>
      </c>
      <c r="N171" s="9">
        <v>44089.0</v>
      </c>
    </row>
    <row r="172">
      <c r="A172" s="5">
        <v>171.0</v>
      </c>
      <c r="B172" s="5" t="s">
        <v>462</v>
      </c>
      <c r="C172" s="5" t="s">
        <v>20</v>
      </c>
      <c r="K172" s="5">
        <v>150.0</v>
      </c>
      <c r="N172" s="9">
        <v>44569.0</v>
      </c>
    </row>
    <row r="173">
      <c r="A173" s="5">
        <v>172.0</v>
      </c>
      <c r="B173" s="5" t="s">
        <v>464</v>
      </c>
      <c r="C173" s="5" t="s">
        <v>20</v>
      </c>
      <c r="K173" s="5">
        <v>500.0</v>
      </c>
      <c r="N173" s="9">
        <v>43877.0</v>
      </c>
    </row>
    <row r="174">
      <c r="A174" s="5">
        <v>173.0</v>
      </c>
      <c r="B174" s="5" t="s">
        <v>466</v>
      </c>
      <c r="C174" s="5" t="s">
        <v>20</v>
      </c>
      <c r="K174" s="5">
        <v>400.0</v>
      </c>
      <c r="N174" s="9">
        <v>44518.0</v>
      </c>
    </row>
    <row r="175">
      <c r="A175" s="5">
        <v>174.0</v>
      </c>
      <c r="B175" s="5" t="s">
        <v>468</v>
      </c>
      <c r="C175" s="5" t="s">
        <v>20</v>
      </c>
      <c r="K175" s="5">
        <v>500.0</v>
      </c>
      <c r="N175" s="9">
        <v>44530.0</v>
      </c>
    </row>
    <row r="176">
      <c r="A176" s="5">
        <v>175.0</v>
      </c>
      <c r="B176" s="5" t="s">
        <v>470</v>
      </c>
      <c r="C176" s="5" t="s">
        <v>20</v>
      </c>
      <c r="K176" s="5">
        <v>600.0</v>
      </c>
      <c r="N176" s="9">
        <v>44354.0</v>
      </c>
    </row>
    <row r="177">
      <c r="A177" s="5">
        <v>176.0</v>
      </c>
      <c r="B177" s="5" t="s">
        <v>473</v>
      </c>
      <c r="C177" s="5" t="s">
        <v>20</v>
      </c>
      <c r="K177" s="5">
        <v>30.0</v>
      </c>
      <c r="N177" s="9">
        <v>44304.0</v>
      </c>
    </row>
    <row r="178">
      <c r="A178" s="5">
        <v>177.0</v>
      </c>
      <c r="B178" s="5" t="s">
        <v>475</v>
      </c>
      <c r="C178" s="5" t="s">
        <v>20</v>
      </c>
      <c r="N178" s="9">
        <v>44570.0</v>
      </c>
    </row>
    <row r="179">
      <c r="A179" s="5">
        <v>178.0</v>
      </c>
      <c r="B179" s="5" t="s">
        <v>478</v>
      </c>
      <c r="C179" s="5" t="s">
        <v>20</v>
      </c>
      <c r="K179" s="5">
        <v>200.0</v>
      </c>
      <c r="N179" s="9">
        <v>44530.0</v>
      </c>
    </row>
    <row r="180">
      <c r="A180" s="5">
        <v>179.0</v>
      </c>
      <c r="B180" s="5" t="s">
        <v>480</v>
      </c>
      <c r="C180" s="5" t="s">
        <v>20</v>
      </c>
      <c r="K180" s="5">
        <v>200.0</v>
      </c>
      <c r="N180" s="9">
        <v>44558.0</v>
      </c>
    </row>
    <row r="181">
      <c r="A181" s="5">
        <v>180.0</v>
      </c>
      <c r="B181" s="5" t="s">
        <v>482</v>
      </c>
      <c r="C181" s="5" t="s">
        <v>20</v>
      </c>
      <c r="K181" s="5">
        <v>250.0</v>
      </c>
      <c r="N181" s="9">
        <v>44571.0</v>
      </c>
    </row>
    <row r="182">
      <c r="A182" s="5">
        <v>181.0</v>
      </c>
      <c r="B182" s="5" t="s">
        <v>35</v>
      </c>
      <c r="C182" s="5" t="s">
        <v>20</v>
      </c>
      <c r="K182" s="5">
        <v>30.0</v>
      </c>
      <c r="N182" s="9">
        <v>44895.0</v>
      </c>
    </row>
    <row r="183">
      <c r="A183" s="5">
        <v>182.0</v>
      </c>
      <c r="B183" s="5" t="s">
        <v>486</v>
      </c>
      <c r="C183" s="5" t="s">
        <v>20</v>
      </c>
      <c r="K183" s="5">
        <v>250.0</v>
      </c>
      <c r="N183" s="9">
        <v>44316.0</v>
      </c>
    </row>
    <row r="184">
      <c r="A184" s="5">
        <v>183.0</v>
      </c>
      <c r="B184" s="5" t="s">
        <v>488</v>
      </c>
      <c r="C184" s="5" t="s">
        <v>20</v>
      </c>
      <c r="K184" s="5">
        <v>300.0</v>
      </c>
      <c r="N184" s="9">
        <v>43859.0</v>
      </c>
    </row>
    <row r="185">
      <c r="A185" s="5">
        <v>184.0</v>
      </c>
      <c r="B185" s="5" t="s">
        <v>490</v>
      </c>
      <c r="C185" s="5" t="s">
        <v>20</v>
      </c>
      <c r="K185" s="5">
        <v>200.0</v>
      </c>
      <c r="N185" s="9">
        <v>44580.0</v>
      </c>
    </row>
    <row r="186">
      <c r="A186" s="5">
        <v>185.0</v>
      </c>
      <c r="B186" s="5" t="s">
        <v>492</v>
      </c>
      <c r="C186" s="5" t="s">
        <v>20</v>
      </c>
      <c r="K186" s="5">
        <v>250.0</v>
      </c>
      <c r="N186" s="9">
        <v>44132.0</v>
      </c>
    </row>
    <row r="187">
      <c r="A187" s="5">
        <v>186.0</v>
      </c>
      <c r="B187" s="5" t="s">
        <v>495</v>
      </c>
      <c r="C187" s="5" t="s">
        <v>20</v>
      </c>
      <c r="K187" s="5">
        <v>200.0</v>
      </c>
      <c r="N187" s="9">
        <v>44790.0</v>
      </c>
    </row>
    <row r="188">
      <c r="A188" s="5">
        <v>187.0</v>
      </c>
      <c r="B188" s="5" t="s">
        <v>497</v>
      </c>
      <c r="C188" s="5" t="s">
        <v>20</v>
      </c>
      <c r="K188" s="5">
        <v>500.0</v>
      </c>
      <c r="N188" s="9">
        <v>44536.0</v>
      </c>
    </row>
    <row r="189">
      <c r="A189" s="5">
        <v>188.0</v>
      </c>
      <c r="B189" s="5" t="s">
        <v>499</v>
      </c>
      <c r="C189" s="5" t="s">
        <v>20</v>
      </c>
      <c r="K189" s="5">
        <v>50.0</v>
      </c>
      <c r="N189" s="9">
        <v>45130.0</v>
      </c>
    </row>
    <row r="190">
      <c r="A190" s="5">
        <v>189.0</v>
      </c>
      <c r="B190" s="5" t="s">
        <v>502</v>
      </c>
      <c r="C190" s="5" t="s">
        <v>20</v>
      </c>
      <c r="K190" s="5">
        <v>250.0</v>
      </c>
      <c r="N190" s="9">
        <v>42556.0</v>
      </c>
    </row>
    <row r="191">
      <c r="A191" s="5">
        <v>190.0</v>
      </c>
      <c r="B191" s="5" t="s">
        <v>504</v>
      </c>
      <c r="C191" s="5" t="s">
        <v>20</v>
      </c>
      <c r="K191" s="5">
        <v>800.0</v>
      </c>
      <c r="N191" s="9">
        <v>44574.0</v>
      </c>
    </row>
    <row r="192">
      <c r="A192" s="5">
        <v>191.0</v>
      </c>
      <c r="B192" s="5" t="s">
        <v>506</v>
      </c>
      <c r="C192" s="5" t="s">
        <v>20</v>
      </c>
      <c r="K192" s="5">
        <v>100.0</v>
      </c>
      <c r="N192" s="9">
        <v>44588.0</v>
      </c>
    </row>
    <row r="193">
      <c r="A193" s="5">
        <v>192.0</v>
      </c>
      <c r="B193" s="5" t="s">
        <v>509</v>
      </c>
      <c r="C193" s="5" t="s">
        <v>20</v>
      </c>
      <c r="K193" s="5">
        <v>1800.0</v>
      </c>
      <c r="N193" s="9">
        <v>44120.0</v>
      </c>
    </row>
    <row r="194">
      <c r="A194" s="5">
        <v>193.0</v>
      </c>
      <c r="B194" s="5" t="s">
        <v>511</v>
      </c>
      <c r="C194" s="5" t="s">
        <v>20</v>
      </c>
      <c r="K194" s="5">
        <v>60.0</v>
      </c>
      <c r="N194" s="9">
        <v>44269.0</v>
      </c>
    </row>
    <row r="195">
      <c r="A195" s="5">
        <v>194.0</v>
      </c>
      <c r="B195" s="5" t="s">
        <v>514</v>
      </c>
      <c r="C195" s="5" t="s">
        <v>20</v>
      </c>
      <c r="K195" s="5">
        <v>100.0</v>
      </c>
      <c r="N195" s="9">
        <v>44542.0</v>
      </c>
    </row>
    <row r="196">
      <c r="A196" s="5">
        <v>195.0</v>
      </c>
      <c r="B196" s="5" t="s">
        <v>516</v>
      </c>
      <c r="C196" s="5" t="s">
        <v>20</v>
      </c>
      <c r="K196" s="5">
        <v>600.0</v>
      </c>
      <c r="N196" s="9">
        <v>44135.0</v>
      </c>
    </row>
    <row r="197">
      <c r="A197" s="5">
        <v>196.0</v>
      </c>
      <c r="B197" s="5" t="s">
        <v>518</v>
      </c>
      <c r="C197" s="5" t="s">
        <v>20</v>
      </c>
      <c r="K197" s="5">
        <v>1200.0</v>
      </c>
      <c r="N197" s="9">
        <v>45151.0</v>
      </c>
    </row>
    <row r="198">
      <c r="A198" s="5">
        <v>197.0</v>
      </c>
      <c r="B198" s="5" t="s">
        <v>520</v>
      </c>
      <c r="C198" s="5" t="s">
        <v>20</v>
      </c>
      <c r="K198" s="5">
        <v>250.0</v>
      </c>
      <c r="N198" s="9">
        <v>44670.0</v>
      </c>
    </row>
    <row r="199">
      <c r="A199" s="5">
        <v>198.0</v>
      </c>
      <c r="B199" s="5" t="s">
        <v>523</v>
      </c>
      <c r="C199" s="5" t="s">
        <v>20</v>
      </c>
      <c r="K199" s="5">
        <v>500.0</v>
      </c>
      <c r="N199" s="9">
        <v>44262.0</v>
      </c>
    </row>
    <row r="200">
      <c r="A200" s="5">
        <v>199.0</v>
      </c>
      <c r="B200" s="5" t="s">
        <v>525</v>
      </c>
      <c r="C200" s="5" t="s">
        <v>20</v>
      </c>
      <c r="N200" s="9">
        <v>44541.0</v>
      </c>
    </row>
    <row r="201">
      <c r="A201" s="5">
        <v>200.0</v>
      </c>
      <c r="B201" s="5" t="s">
        <v>527</v>
      </c>
      <c r="C201" s="5" t="s">
        <v>20</v>
      </c>
      <c r="K201" s="5">
        <v>1900.0</v>
      </c>
      <c r="N201" s="9">
        <v>44792.0</v>
      </c>
    </row>
    <row r="202">
      <c r="A202" s="5">
        <v>201.0</v>
      </c>
      <c r="B202" s="5" t="s">
        <v>529</v>
      </c>
      <c r="C202" s="5" t="s">
        <v>20</v>
      </c>
      <c r="K202" s="5">
        <v>700.0</v>
      </c>
      <c r="N202" s="9">
        <v>44540.0</v>
      </c>
    </row>
    <row r="203">
      <c r="A203" s="5">
        <v>202.0</v>
      </c>
      <c r="B203" s="5" t="s">
        <v>531</v>
      </c>
      <c r="C203" s="5" t="s">
        <v>20</v>
      </c>
      <c r="K203" s="5">
        <v>150.0</v>
      </c>
      <c r="N203" s="9">
        <v>45176.0</v>
      </c>
    </row>
    <row r="204">
      <c r="A204" s="5">
        <v>203.0</v>
      </c>
      <c r="B204" s="5" t="s">
        <v>534</v>
      </c>
      <c r="C204" s="5" t="s">
        <v>20</v>
      </c>
      <c r="K204" s="5">
        <v>90.0</v>
      </c>
      <c r="N204" s="9">
        <v>44570.0</v>
      </c>
    </row>
    <row r="205">
      <c r="A205" s="5">
        <v>204.0</v>
      </c>
      <c r="B205" s="5" t="s">
        <v>536</v>
      </c>
      <c r="C205" s="5" t="s">
        <v>20</v>
      </c>
      <c r="K205" s="5">
        <v>500.0</v>
      </c>
      <c r="N205" s="9">
        <v>45518.0</v>
      </c>
    </row>
    <row r="206">
      <c r="A206" s="5">
        <v>205.0</v>
      </c>
      <c r="B206" s="5" t="s">
        <v>538</v>
      </c>
      <c r="C206" s="5" t="s">
        <v>20</v>
      </c>
      <c r="K206" s="5">
        <v>600.0</v>
      </c>
      <c r="N206" s="9">
        <v>44540.0</v>
      </c>
    </row>
    <row r="207">
      <c r="A207" s="5">
        <v>206.0</v>
      </c>
      <c r="B207" s="5" t="s">
        <v>540</v>
      </c>
      <c r="C207" s="5" t="s">
        <v>20</v>
      </c>
      <c r="K207" s="5">
        <v>150.0</v>
      </c>
      <c r="N207" s="9">
        <v>44684.0</v>
      </c>
    </row>
    <row r="208">
      <c r="A208" s="5">
        <v>207.0</v>
      </c>
      <c r="B208" s="5" t="s">
        <v>543</v>
      </c>
      <c r="C208" s="5" t="s">
        <v>20</v>
      </c>
      <c r="K208" s="5">
        <v>800.0</v>
      </c>
      <c r="N208" s="9">
        <v>43909.0</v>
      </c>
    </row>
    <row r="209">
      <c r="A209" s="5">
        <v>208.0</v>
      </c>
      <c r="B209" s="5" t="s">
        <v>546</v>
      </c>
      <c r="C209" s="5" t="s">
        <v>20</v>
      </c>
      <c r="K209" s="5">
        <v>400.0</v>
      </c>
      <c r="N209" s="9">
        <v>44545.0</v>
      </c>
    </row>
    <row r="210">
      <c r="A210" s="5">
        <v>209.0</v>
      </c>
      <c r="B210" s="5" t="s">
        <v>548</v>
      </c>
      <c r="C210" s="5" t="s">
        <v>20</v>
      </c>
      <c r="K210" s="5">
        <v>40.0</v>
      </c>
      <c r="N210" s="9">
        <v>45460.0</v>
      </c>
    </row>
    <row r="211">
      <c r="A211" s="5">
        <v>210.0</v>
      </c>
      <c r="B211" s="5" t="s">
        <v>550</v>
      </c>
      <c r="C211" s="5" t="s">
        <v>20</v>
      </c>
      <c r="K211" s="5">
        <v>450.0</v>
      </c>
      <c r="N211" s="9">
        <v>44685.0</v>
      </c>
    </row>
    <row r="212">
      <c r="A212" s="5">
        <v>211.0</v>
      </c>
      <c r="B212" s="5" t="s">
        <v>553</v>
      </c>
      <c r="C212" s="5" t="s">
        <v>20</v>
      </c>
      <c r="K212" s="5">
        <v>5900.0</v>
      </c>
      <c r="N212" s="9">
        <v>43868.0</v>
      </c>
    </row>
    <row r="213">
      <c r="A213" s="5">
        <v>212.0</v>
      </c>
      <c r="B213" s="5" t="s">
        <v>555</v>
      </c>
      <c r="C213" s="5" t="s">
        <v>20</v>
      </c>
      <c r="K213" s="5">
        <v>600.0</v>
      </c>
      <c r="N213" s="9">
        <v>44161.0</v>
      </c>
    </row>
    <row r="214">
      <c r="A214" s="5">
        <v>213.0</v>
      </c>
      <c r="B214" s="5" t="s">
        <v>557</v>
      </c>
      <c r="C214" s="5" t="s">
        <v>20</v>
      </c>
      <c r="K214" s="5">
        <v>250.0</v>
      </c>
      <c r="N214" s="9">
        <v>45597.0</v>
      </c>
    </row>
    <row r="215">
      <c r="A215" s="5">
        <v>214.0</v>
      </c>
      <c r="B215" s="5" t="s">
        <v>560</v>
      </c>
      <c r="C215" s="5" t="s">
        <v>20</v>
      </c>
      <c r="K215" s="5">
        <v>20.0</v>
      </c>
      <c r="N215" s="9">
        <v>44917.0</v>
      </c>
    </row>
    <row r="216">
      <c r="A216" s="5">
        <v>215.0</v>
      </c>
      <c r="B216" s="5" t="s">
        <v>561</v>
      </c>
      <c r="C216" s="5" t="s">
        <v>20</v>
      </c>
      <c r="K216" s="5">
        <v>250.0</v>
      </c>
      <c r="N216" s="9">
        <v>44897.0</v>
      </c>
    </row>
    <row r="217">
      <c r="A217" s="5">
        <v>216.0</v>
      </c>
      <c r="B217" s="5" t="s">
        <v>563</v>
      </c>
      <c r="C217" s="5" t="s">
        <v>20</v>
      </c>
      <c r="K217" s="5">
        <v>150.0</v>
      </c>
      <c r="N217" s="9">
        <v>45089.0</v>
      </c>
    </row>
    <row r="218">
      <c r="A218" s="5">
        <v>217.0</v>
      </c>
      <c r="B218" s="5" t="s">
        <v>565</v>
      </c>
      <c r="C218" s="5" t="s">
        <v>20</v>
      </c>
      <c r="K218" s="5">
        <v>150.0</v>
      </c>
      <c r="N218" s="9">
        <v>44466.0</v>
      </c>
    </row>
    <row r="219">
      <c r="A219" s="5">
        <v>218.0</v>
      </c>
      <c r="B219" s="5" t="s">
        <v>567</v>
      </c>
      <c r="C219" s="5" t="s">
        <v>20</v>
      </c>
      <c r="K219" s="5">
        <v>800.0</v>
      </c>
      <c r="N219" s="9">
        <v>44548.0</v>
      </c>
    </row>
    <row r="220">
      <c r="A220" s="5">
        <v>219.0</v>
      </c>
      <c r="B220" s="5" t="s">
        <v>38</v>
      </c>
      <c r="C220" s="5" t="s">
        <v>20</v>
      </c>
      <c r="K220" s="5">
        <v>30.0</v>
      </c>
      <c r="N220" s="9">
        <v>44819.0</v>
      </c>
    </row>
    <row r="221">
      <c r="A221" s="5">
        <v>220.0</v>
      </c>
      <c r="B221" s="5" t="s">
        <v>571</v>
      </c>
      <c r="C221" s="5" t="s">
        <v>20</v>
      </c>
      <c r="K221" s="5">
        <v>350.0</v>
      </c>
      <c r="N221" s="9">
        <v>45302.0</v>
      </c>
    </row>
    <row r="222">
      <c r="A222" s="5">
        <v>221.0</v>
      </c>
      <c r="B222" s="5" t="s">
        <v>574</v>
      </c>
      <c r="C222" s="5" t="s">
        <v>20</v>
      </c>
      <c r="K222" s="5">
        <v>1200.0</v>
      </c>
      <c r="N222" s="9">
        <v>43885.0</v>
      </c>
    </row>
    <row r="223">
      <c r="A223" s="5">
        <v>222.0</v>
      </c>
      <c r="B223" s="5" t="s">
        <v>577</v>
      </c>
      <c r="C223" s="5" t="s">
        <v>20</v>
      </c>
      <c r="K223" s="5">
        <v>250.0</v>
      </c>
      <c r="N223" s="9">
        <v>44172.0</v>
      </c>
    </row>
    <row r="224">
      <c r="A224" s="5">
        <v>223.0</v>
      </c>
      <c r="B224" s="5" t="s">
        <v>580</v>
      </c>
      <c r="C224" s="5" t="s">
        <v>20</v>
      </c>
      <c r="K224" s="5">
        <v>400.0</v>
      </c>
      <c r="N224" s="9">
        <v>44131.0</v>
      </c>
    </row>
    <row r="225">
      <c r="A225" s="5">
        <v>224.0</v>
      </c>
      <c r="B225" s="5" t="s">
        <v>584</v>
      </c>
      <c r="C225" s="5" t="s">
        <v>20</v>
      </c>
      <c r="K225" s="5">
        <v>300.0</v>
      </c>
      <c r="N225" s="9">
        <v>44436.0</v>
      </c>
    </row>
    <row r="226">
      <c r="A226" s="5">
        <v>225.0</v>
      </c>
      <c r="B226" s="5" t="s">
        <v>587</v>
      </c>
      <c r="C226" s="5" t="s">
        <v>20</v>
      </c>
      <c r="K226" s="5">
        <v>100.0</v>
      </c>
      <c r="N226" s="9">
        <v>45551.0</v>
      </c>
    </row>
    <row r="227">
      <c r="A227" s="5">
        <v>226.0</v>
      </c>
      <c r="B227" s="5" t="s">
        <v>590</v>
      </c>
      <c r="C227" s="5" t="s">
        <v>20</v>
      </c>
      <c r="K227" s="5">
        <v>150.0</v>
      </c>
      <c r="N227" s="9">
        <v>45014.0</v>
      </c>
    </row>
    <row r="228">
      <c r="A228" s="5">
        <v>227.0</v>
      </c>
      <c r="B228" s="5" t="s">
        <v>41</v>
      </c>
      <c r="C228" s="5" t="s">
        <v>20</v>
      </c>
      <c r="K228" s="5">
        <v>150.0</v>
      </c>
      <c r="N228" s="9">
        <v>43868.0</v>
      </c>
    </row>
    <row r="229">
      <c r="A229" s="5">
        <v>228.0</v>
      </c>
      <c r="B229" s="5" t="s">
        <v>595</v>
      </c>
      <c r="C229" s="5" t="s">
        <v>20</v>
      </c>
      <c r="N229" s="9">
        <v>44662.0</v>
      </c>
    </row>
    <row r="230">
      <c r="A230" s="5">
        <v>229.0</v>
      </c>
      <c r="B230" s="5" t="s">
        <v>598</v>
      </c>
      <c r="C230" s="5" t="s">
        <v>20</v>
      </c>
      <c r="K230" s="5">
        <v>450.0</v>
      </c>
      <c r="N230" s="9">
        <v>44528.0</v>
      </c>
    </row>
    <row r="231">
      <c r="A231" s="5">
        <v>230.0</v>
      </c>
      <c r="B231" s="5" t="s">
        <v>600</v>
      </c>
      <c r="C231" s="5" t="s">
        <v>20</v>
      </c>
      <c r="K231" s="5">
        <v>150.0</v>
      </c>
      <c r="N231" s="9">
        <v>44671.0</v>
      </c>
    </row>
    <row r="232">
      <c r="A232" s="5">
        <v>231.0</v>
      </c>
      <c r="B232" s="5" t="s">
        <v>604</v>
      </c>
      <c r="C232" s="5" t="s">
        <v>20</v>
      </c>
      <c r="K232" s="5">
        <v>150.0</v>
      </c>
      <c r="N232" s="9">
        <v>44473.0</v>
      </c>
    </row>
    <row r="233">
      <c r="A233" s="5">
        <v>232.0</v>
      </c>
      <c r="B233" s="5" t="s">
        <v>607</v>
      </c>
      <c r="C233" s="5" t="s">
        <v>20</v>
      </c>
      <c r="K233" s="5">
        <v>50.0</v>
      </c>
      <c r="N233" s="9">
        <v>44523.0</v>
      </c>
    </row>
    <row r="234">
      <c r="A234" s="5">
        <v>233.0</v>
      </c>
      <c r="B234" s="5" t="s">
        <v>610</v>
      </c>
      <c r="C234" s="5" t="s">
        <v>20</v>
      </c>
      <c r="K234" s="5">
        <v>250.0</v>
      </c>
      <c r="N234" s="9">
        <v>44531.0</v>
      </c>
    </row>
    <row r="235">
      <c r="A235" s="5">
        <v>234.0</v>
      </c>
      <c r="B235" s="5" t="s">
        <v>613</v>
      </c>
      <c r="C235" s="5" t="s">
        <v>20</v>
      </c>
      <c r="K235" s="5">
        <v>300.0</v>
      </c>
      <c r="N235" s="9">
        <v>44573.0</v>
      </c>
    </row>
    <row r="236">
      <c r="A236" s="5">
        <v>235.0</v>
      </c>
      <c r="B236" s="5" t="s">
        <v>616</v>
      </c>
      <c r="C236" s="5" t="s">
        <v>20</v>
      </c>
      <c r="K236" s="5">
        <v>30.0</v>
      </c>
      <c r="N236" s="9">
        <v>44928.0</v>
      </c>
    </row>
    <row r="237">
      <c r="A237" s="5">
        <v>236.0</v>
      </c>
      <c r="B237" s="5" t="s">
        <v>620</v>
      </c>
      <c r="C237" s="5" t="s">
        <v>20</v>
      </c>
      <c r="K237" s="5">
        <v>150.0</v>
      </c>
      <c r="N237" s="9">
        <v>44512.0</v>
      </c>
    </row>
    <row r="238">
      <c r="A238" s="5">
        <v>237.0</v>
      </c>
      <c r="B238" s="5" t="s">
        <v>623</v>
      </c>
      <c r="C238" s="5" t="s">
        <v>20</v>
      </c>
      <c r="K238" s="5">
        <v>300.0</v>
      </c>
      <c r="N238" s="9">
        <v>44550.0</v>
      </c>
    </row>
    <row r="239">
      <c r="A239" s="5">
        <v>238.0</v>
      </c>
      <c r="B239" s="5" t="s">
        <v>51</v>
      </c>
      <c r="C239" s="5" t="s">
        <v>20</v>
      </c>
      <c r="K239" s="5">
        <v>1300.0</v>
      </c>
      <c r="N239" s="9">
        <v>43850.0</v>
      </c>
    </row>
    <row r="240">
      <c r="A240" s="5">
        <v>239.0</v>
      </c>
      <c r="B240" s="5" t="s">
        <v>628</v>
      </c>
      <c r="C240" s="5" t="s">
        <v>20</v>
      </c>
      <c r="K240" s="5">
        <v>40.0</v>
      </c>
      <c r="N240" s="9">
        <v>43863.0</v>
      </c>
    </row>
    <row r="241">
      <c r="A241" s="5">
        <v>240.0</v>
      </c>
      <c r="B241" s="5" t="s">
        <v>632</v>
      </c>
      <c r="C241" s="5" t="s">
        <v>20</v>
      </c>
      <c r="K241" s="5">
        <v>300.0</v>
      </c>
      <c r="N241" s="9">
        <v>45324.0</v>
      </c>
    </row>
    <row r="242">
      <c r="A242" s="5">
        <v>241.0</v>
      </c>
      <c r="B242" s="5" t="s">
        <v>635</v>
      </c>
      <c r="C242" s="5" t="s">
        <v>20</v>
      </c>
      <c r="K242" s="5">
        <v>200.0</v>
      </c>
      <c r="N242" s="9">
        <v>44469.0</v>
      </c>
    </row>
    <row r="243">
      <c r="A243" s="5">
        <v>242.0</v>
      </c>
      <c r="B243" s="5" t="s">
        <v>638</v>
      </c>
      <c r="C243" s="5" t="s">
        <v>20</v>
      </c>
      <c r="K243" s="5">
        <v>250.0</v>
      </c>
      <c r="N243" s="9">
        <v>45102.0</v>
      </c>
    </row>
    <row r="244">
      <c r="A244" s="5">
        <v>243.0</v>
      </c>
      <c r="B244" s="5" t="s">
        <v>641</v>
      </c>
      <c r="C244" s="5" t="s">
        <v>20</v>
      </c>
      <c r="K244" s="5">
        <v>10.0</v>
      </c>
      <c r="N244" s="9">
        <v>44883.0</v>
      </c>
    </row>
    <row r="245">
      <c r="A245" s="5">
        <v>244.0</v>
      </c>
      <c r="B245" s="5" t="s">
        <v>645</v>
      </c>
      <c r="C245" s="5" t="s">
        <v>20</v>
      </c>
      <c r="K245" s="5">
        <v>450.0</v>
      </c>
      <c r="N245" s="9">
        <v>44962.0</v>
      </c>
    </row>
    <row r="246">
      <c r="A246" s="5">
        <v>245.0</v>
      </c>
      <c r="B246" s="5" t="s">
        <v>648</v>
      </c>
      <c r="C246" s="5" t="s">
        <v>20</v>
      </c>
      <c r="K246" s="5">
        <v>150.0</v>
      </c>
      <c r="N246" s="9">
        <v>44430.0</v>
      </c>
    </row>
    <row r="247">
      <c r="A247" s="5">
        <v>246.0</v>
      </c>
      <c r="B247" s="5" t="s">
        <v>651</v>
      </c>
      <c r="C247" s="5" t="s">
        <v>20</v>
      </c>
      <c r="K247" s="5">
        <v>20.0</v>
      </c>
      <c r="N247" s="9">
        <v>44565.0</v>
      </c>
    </row>
    <row r="248">
      <c r="A248" s="5">
        <v>247.0</v>
      </c>
      <c r="B248" s="5" t="s">
        <v>654</v>
      </c>
      <c r="C248" s="5" t="s">
        <v>20</v>
      </c>
      <c r="K248" s="5">
        <v>200.0</v>
      </c>
      <c r="N248" s="9">
        <v>44243.0</v>
      </c>
    </row>
    <row r="249">
      <c r="A249" s="5">
        <v>248.0</v>
      </c>
      <c r="B249" s="5" t="s">
        <v>657</v>
      </c>
      <c r="C249" s="5" t="s">
        <v>20</v>
      </c>
      <c r="K249" s="5">
        <v>2900.0</v>
      </c>
      <c r="N249" s="9">
        <v>43880.0</v>
      </c>
    </row>
    <row r="250">
      <c r="A250" s="5">
        <v>249.0</v>
      </c>
      <c r="B250" s="5" t="s">
        <v>661</v>
      </c>
      <c r="C250" s="5" t="s">
        <v>20</v>
      </c>
      <c r="K250" s="5">
        <v>250.0</v>
      </c>
      <c r="N250" s="9">
        <v>44564.0</v>
      </c>
    </row>
    <row r="251">
      <c r="A251" s="5">
        <v>250.0</v>
      </c>
      <c r="B251" s="5" t="s">
        <v>664</v>
      </c>
      <c r="C251" s="5" t="s">
        <v>20</v>
      </c>
      <c r="K251" s="5">
        <v>150.0</v>
      </c>
      <c r="N251" s="9">
        <v>44681.0</v>
      </c>
    </row>
    <row r="252">
      <c r="A252" s="5">
        <v>251.0</v>
      </c>
      <c r="B252" s="5" t="s">
        <v>667</v>
      </c>
      <c r="C252" s="5" t="s">
        <v>20</v>
      </c>
      <c r="K252" s="5">
        <v>250.0</v>
      </c>
      <c r="N252" s="9">
        <v>44348.0</v>
      </c>
    </row>
    <row r="253">
      <c r="A253" s="5">
        <v>252.0</v>
      </c>
      <c r="B253" s="5" t="s">
        <v>670</v>
      </c>
      <c r="C253" s="5" t="s">
        <v>20</v>
      </c>
      <c r="K253" s="5">
        <v>60.0</v>
      </c>
      <c r="N253" s="9">
        <v>45394.0</v>
      </c>
    </row>
    <row r="254">
      <c r="A254" s="5">
        <v>253.0</v>
      </c>
      <c r="B254" s="5" t="s">
        <v>674</v>
      </c>
      <c r="C254" s="5" t="s">
        <v>20</v>
      </c>
      <c r="K254" s="5">
        <v>30.0</v>
      </c>
      <c r="N254" s="9">
        <v>44629.0</v>
      </c>
    </row>
    <row r="255">
      <c r="A255" s="5">
        <v>254.0</v>
      </c>
      <c r="B255" s="5" t="s">
        <v>677</v>
      </c>
      <c r="C255" s="5" t="s">
        <v>20</v>
      </c>
      <c r="K255" s="5">
        <v>350.0</v>
      </c>
      <c r="N255" s="9">
        <v>44579.0</v>
      </c>
    </row>
    <row r="256">
      <c r="A256" s="5">
        <v>255.0</v>
      </c>
      <c r="B256" s="5" t="s">
        <v>680</v>
      </c>
      <c r="C256" s="5" t="s">
        <v>20</v>
      </c>
      <c r="K256" s="5">
        <v>50.0</v>
      </c>
      <c r="N256" s="9">
        <v>44420.0</v>
      </c>
    </row>
    <row r="257">
      <c r="A257" s="5">
        <v>256.0</v>
      </c>
      <c r="B257" s="5" t="s">
        <v>683</v>
      </c>
      <c r="C257" s="5" t="s">
        <v>20</v>
      </c>
      <c r="K257" s="5">
        <v>3700.0</v>
      </c>
      <c r="N257" s="9">
        <v>43946.0</v>
      </c>
    </row>
    <row r="258">
      <c r="A258" s="5">
        <v>257.0</v>
      </c>
      <c r="B258" s="5" t="s">
        <v>685</v>
      </c>
      <c r="C258" s="5" t="s">
        <v>20</v>
      </c>
      <c r="K258" s="5">
        <v>350.0</v>
      </c>
      <c r="N258" s="9">
        <v>44718.0</v>
      </c>
    </row>
    <row r="259">
      <c r="A259" s="5">
        <v>258.0</v>
      </c>
      <c r="B259" s="5" t="s">
        <v>686</v>
      </c>
      <c r="C259" s="5" t="s">
        <v>20</v>
      </c>
      <c r="K259" s="5">
        <v>100.0</v>
      </c>
      <c r="N259" s="9">
        <v>44565.0</v>
      </c>
    </row>
    <row r="260">
      <c r="A260" s="5">
        <v>259.0</v>
      </c>
      <c r="B260" s="5" t="s">
        <v>687</v>
      </c>
      <c r="C260" s="5" t="s">
        <v>20</v>
      </c>
      <c r="K260" s="5">
        <v>100.0</v>
      </c>
      <c r="N260" s="9">
        <v>44639.0</v>
      </c>
    </row>
    <row r="261">
      <c r="A261" s="5">
        <v>260.0</v>
      </c>
      <c r="B261" s="5" t="s">
        <v>688</v>
      </c>
      <c r="C261" s="5" t="s">
        <v>20</v>
      </c>
      <c r="K261" s="5">
        <v>250.0</v>
      </c>
      <c r="N261" s="9">
        <v>44639.0</v>
      </c>
    </row>
    <row r="262">
      <c r="A262" s="5">
        <v>261.0</v>
      </c>
      <c r="B262" s="5" t="s">
        <v>689</v>
      </c>
      <c r="C262" s="5" t="s">
        <v>20</v>
      </c>
      <c r="K262" s="5">
        <v>40.0</v>
      </c>
      <c r="N262" s="9">
        <v>44983.0</v>
      </c>
    </row>
    <row r="263">
      <c r="A263" s="5">
        <v>262.0</v>
      </c>
      <c r="B263" s="5" t="s">
        <v>690</v>
      </c>
      <c r="C263" s="5" t="s">
        <v>20</v>
      </c>
      <c r="N263" s="9">
        <v>45249.0</v>
      </c>
    </row>
    <row r="264">
      <c r="A264" s="5">
        <v>263.0</v>
      </c>
      <c r="B264" s="5" t="s">
        <v>691</v>
      </c>
      <c r="C264" s="5" t="s">
        <v>20</v>
      </c>
      <c r="K264" s="5">
        <v>200.0</v>
      </c>
      <c r="N264" s="9">
        <v>44208.0</v>
      </c>
    </row>
    <row r="265">
      <c r="A265" s="5">
        <v>264.0</v>
      </c>
      <c r="B265" s="5" t="s">
        <v>692</v>
      </c>
      <c r="C265" s="5" t="s">
        <v>20</v>
      </c>
      <c r="K265" s="5">
        <v>250.0</v>
      </c>
      <c r="N265" s="9">
        <v>44555.0</v>
      </c>
    </row>
    <row r="266">
      <c r="A266" s="5">
        <v>265.0</v>
      </c>
      <c r="B266" s="5" t="s">
        <v>693</v>
      </c>
      <c r="C266" s="5" t="s">
        <v>20</v>
      </c>
      <c r="K266" s="5">
        <v>4300.0</v>
      </c>
      <c r="N266" s="9">
        <v>44553.0</v>
      </c>
    </row>
    <row r="267">
      <c r="A267" s="5">
        <v>266.0</v>
      </c>
      <c r="B267" s="5" t="s">
        <v>694</v>
      </c>
      <c r="C267" s="5" t="s">
        <v>20</v>
      </c>
      <c r="K267" s="5">
        <v>1100.0</v>
      </c>
      <c r="N267" s="9">
        <v>44402.0</v>
      </c>
    </row>
    <row r="268">
      <c r="A268" s="5">
        <v>267.0</v>
      </c>
      <c r="B268" s="5" t="s">
        <v>695</v>
      </c>
      <c r="C268" s="5" t="s">
        <v>20</v>
      </c>
      <c r="K268" s="5">
        <v>150.0</v>
      </c>
      <c r="N268" s="9">
        <v>44433.0</v>
      </c>
    </row>
    <row r="269">
      <c r="A269" s="5">
        <v>268.0</v>
      </c>
      <c r="B269" s="5" t="s">
        <v>44</v>
      </c>
      <c r="C269" s="5" t="s">
        <v>20</v>
      </c>
      <c r="K269" s="5">
        <v>10.0</v>
      </c>
      <c r="N269" s="9">
        <v>44485.0</v>
      </c>
    </row>
    <row r="270">
      <c r="A270" s="5">
        <v>269.0</v>
      </c>
      <c r="B270" s="5" t="s">
        <v>696</v>
      </c>
      <c r="C270" s="5" t="s">
        <v>20</v>
      </c>
      <c r="K270" s="5">
        <v>200.0</v>
      </c>
      <c r="N270" s="9">
        <v>44528.0</v>
      </c>
    </row>
    <row r="271">
      <c r="A271" s="5">
        <v>270.0</v>
      </c>
      <c r="B271" s="5" t="s">
        <v>697</v>
      </c>
      <c r="C271" s="5" t="s">
        <v>20</v>
      </c>
      <c r="K271" s="5">
        <v>40.0</v>
      </c>
      <c r="N271" s="9">
        <v>46062.0</v>
      </c>
    </row>
    <row r="272">
      <c r="A272" s="5">
        <v>271.0</v>
      </c>
      <c r="B272" s="5" t="s">
        <v>698</v>
      </c>
      <c r="C272" s="5" t="s">
        <v>20</v>
      </c>
      <c r="K272" s="5">
        <v>150.0</v>
      </c>
      <c r="N272" s="9">
        <v>44437.0</v>
      </c>
    </row>
    <row r="273">
      <c r="A273" s="5">
        <v>272.0</v>
      </c>
      <c r="B273" s="5" t="s">
        <v>699</v>
      </c>
      <c r="C273" s="5" t="s">
        <v>20</v>
      </c>
      <c r="N273" s="9">
        <v>44962.0</v>
      </c>
    </row>
    <row r="274">
      <c r="A274" s="5">
        <v>273.0</v>
      </c>
      <c r="B274" s="5" t="s">
        <v>700</v>
      </c>
      <c r="C274" s="5" t="s">
        <v>20</v>
      </c>
      <c r="K274" s="5">
        <v>1000.0</v>
      </c>
      <c r="N274" s="9">
        <v>44350.0</v>
      </c>
    </row>
    <row r="275">
      <c r="A275" s="5">
        <v>274.0</v>
      </c>
      <c r="B275" s="5" t="s">
        <v>701</v>
      </c>
      <c r="C275" s="5" t="s">
        <v>20</v>
      </c>
      <c r="K275" s="5">
        <v>250.0</v>
      </c>
      <c r="N275" s="9">
        <v>44706.0</v>
      </c>
    </row>
    <row r="276">
      <c r="A276" s="5">
        <v>275.0</v>
      </c>
      <c r="B276" s="5" t="s">
        <v>702</v>
      </c>
      <c r="C276" s="5" t="s">
        <v>20</v>
      </c>
      <c r="K276" s="5">
        <v>150.0</v>
      </c>
      <c r="N276" s="9">
        <v>44605.0</v>
      </c>
    </row>
    <row r="277">
      <c r="A277" s="5">
        <v>276.0</v>
      </c>
      <c r="B277" s="5" t="s">
        <v>703</v>
      </c>
      <c r="C277" s="5" t="s">
        <v>20</v>
      </c>
      <c r="K277" s="5">
        <v>70.0</v>
      </c>
      <c r="N277" s="9">
        <v>43947.0</v>
      </c>
    </row>
    <row r="278">
      <c r="A278" s="5">
        <v>277.0</v>
      </c>
      <c r="B278" s="5" t="s">
        <v>704</v>
      </c>
      <c r="C278" s="5" t="s">
        <v>20</v>
      </c>
      <c r="K278" s="5">
        <v>350.0</v>
      </c>
      <c r="N278" s="9">
        <v>44596.0</v>
      </c>
    </row>
    <row r="279">
      <c r="A279" s="5">
        <v>278.0</v>
      </c>
      <c r="B279" s="5" t="s">
        <v>705</v>
      </c>
      <c r="C279" s="5" t="s">
        <v>20</v>
      </c>
      <c r="K279" s="5">
        <v>20.0</v>
      </c>
      <c r="N279" s="9">
        <v>44778.0</v>
      </c>
    </row>
    <row r="280">
      <c r="A280" s="5">
        <v>279.0</v>
      </c>
      <c r="B280" s="5" t="s">
        <v>706</v>
      </c>
      <c r="C280" s="5" t="s">
        <v>20</v>
      </c>
      <c r="K280" s="5">
        <v>250.0</v>
      </c>
      <c r="N280" s="9">
        <v>43853.0</v>
      </c>
    </row>
    <row r="281">
      <c r="A281" s="5">
        <v>280.0</v>
      </c>
      <c r="B281" s="5" t="s">
        <v>707</v>
      </c>
      <c r="C281" s="5" t="s">
        <v>20</v>
      </c>
      <c r="K281" s="5">
        <v>100.0</v>
      </c>
      <c r="N281" s="9">
        <v>44272.0</v>
      </c>
    </row>
    <row r="282">
      <c r="A282" s="5">
        <v>281.0</v>
      </c>
      <c r="B282" s="5" t="s">
        <v>46</v>
      </c>
      <c r="C282" s="5" t="s">
        <v>20</v>
      </c>
      <c r="K282" s="5">
        <v>100.0</v>
      </c>
      <c r="N282" s="9">
        <v>44379.0</v>
      </c>
    </row>
    <row r="283">
      <c r="A283" s="5">
        <v>282.0</v>
      </c>
      <c r="B283" s="5" t="s">
        <v>708</v>
      </c>
      <c r="C283" s="5" t="s">
        <v>20</v>
      </c>
      <c r="K283" s="5">
        <v>1900.0</v>
      </c>
      <c r="N283" s="9">
        <v>44529.0</v>
      </c>
    </row>
    <row r="284">
      <c r="A284" s="5">
        <v>283.0</v>
      </c>
      <c r="B284" s="5" t="s">
        <v>709</v>
      </c>
      <c r="C284" s="5" t="s">
        <v>20</v>
      </c>
      <c r="K284" s="5">
        <v>150.0</v>
      </c>
      <c r="N284" s="9">
        <v>45358.0</v>
      </c>
    </row>
    <row r="285">
      <c r="A285" s="5">
        <v>284.0</v>
      </c>
      <c r="B285" s="5" t="s">
        <v>710</v>
      </c>
      <c r="C285" s="5" t="s">
        <v>20</v>
      </c>
      <c r="K285" s="5">
        <v>800.0</v>
      </c>
      <c r="N285" s="9">
        <v>43998.0</v>
      </c>
    </row>
    <row r="286">
      <c r="A286" s="5">
        <v>285.0</v>
      </c>
      <c r="B286" s="5" t="s">
        <v>711</v>
      </c>
      <c r="C286" s="5" t="s">
        <v>20</v>
      </c>
      <c r="K286" s="5">
        <v>70.0</v>
      </c>
      <c r="N286" s="9">
        <v>44647.0</v>
      </c>
    </row>
    <row r="287">
      <c r="A287" s="5">
        <v>286.0</v>
      </c>
      <c r="B287" s="5" t="s">
        <v>712</v>
      </c>
      <c r="C287" s="5" t="s">
        <v>20</v>
      </c>
      <c r="K287" s="5">
        <v>70.0</v>
      </c>
      <c r="N287" s="9">
        <v>44551.0</v>
      </c>
    </row>
    <row r="288">
      <c r="A288" s="5">
        <v>287.0</v>
      </c>
      <c r="B288" s="5" t="s">
        <v>713</v>
      </c>
      <c r="C288" s="5" t="s">
        <v>20</v>
      </c>
      <c r="K288" s="5">
        <v>300.0</v>
      </c>
      <c r="N288" s="9">
        <v>44384.0</v>
      </c>
    </row>
    <row r="289">
      <c r="A289" s="5">
        <v>288.0</v>
      </c>
      <c r="B289" s="5" t="s">
        <v>714</v>
      </c>
      <c r="C289" s="5" t="s">
        <v>20</v>
      </c>
      <c r="K289" s="5">
        <v>150.0</v>
      </c>
      <c r="N289" s="9">
        <v>44542.0</v>
      </c>
    </row>
    <row r="290">
      <c r="A290" s="5">
        <v>289.0</v>
      </c>
      <c r="B290" s="5" t="s">
        <v>715</v>
      </c>
      <c r="C290" s="5" t="s">
        <v>20</v>
      </c>
      <c r="K290" s="5">
        <v>40.0</v>
      </c>
      <c r="N290" s="9">
        <v>44560.0</v>
      </c>
    </row>
    <row r="291">
      <c r="A291" s="5">
        <v>290.0</v>
      </c>
      <c r="B291" s="5" t="s">
        <v>56</v>
      </c>
      <c r="C291" s="5" t="s">
        <v>20</v>
      </c>
      <c r="K291" s="5">
        <v>1800.0</v>
      </c>
      <c r="N291" s="9">
        <v>43892.0</v>
      </c>
    </row>
    <row r="292">
      <c r="A292" s="5">
        <v>291.0</v>
      </c>
      <c r="B292" s="5" t="s">
        <v>716</v>
      </c>
      <c r="C292" s="5" t="s">
        <v>20</v>
      </c>
      <c r="K292" s="5">
        <v>150.0</v>
      </c>
      <c r="N292" s="9">
        <v>44201.0</v>
      </c>
    </row>
    <row r="293">
      <c r="A293" s="5">
        <v>292.0</v>
      </c>
      <c r="B293" s="5" t="s">
        <v>717</v>
      </c>
      <c r="C293" s="5" t="s">
        <v>20</v>
      </c>
      <c r="K293" s="5">
        <v>900.0</v>
      </c>
      <c r="N293" s="9">
        <v>44294.0</v>
      </c>
    </row>
    <row r="294">
      <c r="A294" s="5">
        <v>293.0</v>
      </c>
      <c r="B294" s="5" t="s">
        <v>718</v>
      </c>
      <c r="C294" s="5" t="s">
        <v>20</v>
      </c>
      <c r="K294" s="5">
        <v>200.0</v>
      </c>
      <c r="N294" s="9">
        <v>44449.0</v>
      </c>
    </row>
    <row r="295">
      <c r="A295" s="5">
        <v>294.0</v>
      </c>
      <c r="B295" s="5" t="s">
        <v>719</v>
      </c>
      <c r="C295" s="5" t="s">
        <v>20</v>
      </c>
      <c r="K295" s="5">
        <v>200.0</v>
      </c>
      <c r="N295" s="9">
        <v>44578.0</v>
      </c>
    </row>
    <row r="296">
      <c r="A296" s="5">
        <v>295.0</v>
      </c>
      <c r="B296" s="5" t="s">
        <v>61</v>
      </c>
      <c r="C296" s="5" t="s">
        <v>20</v>
      </c>
      <c r="K296" s="5">
        <v>166000.0</v>
      </c>
      <c r="N296" s="9">
        <v>44086.0</v>
      </c>
    </row>
    <row r="297">
      <c r="A297" s="5">
        <v>296.0</v>
      </c>
      <c r="B297" s="5" t="s">
        <v>720</v>
      </c>
      <c r="C297" s="5" t="s">
        <v>20</v>
      </c>
      <c r="K297" s="5">
        <v>600.0</v>
      </c>
      <c r="N297" s="9">
        <v>44524.0</v>
      </c>
    </row>
    <row r="298">
      <c r="A298" s="5">
        <v>297.0</v>
      </c>
      <c r="B298" s="5" t="s">
        <v>721</v>
      </c>
      <c r="C298" s="5" t="s">
        <v>20</v>
      </c>
      <c r="K298" s="5">
        <v>100.0</v>
      </c>
      <c r="N298" s="9">
        <v>44579.0</v>
      </c>
    </row>
    <row r="299">
      <c r="A299" s="5">
        <v>298.0</v>
      </c>
      <c r="B299" s="5" t="s">
        <v>722</v>
      </c>
      <c r="C299" s="5" t="s">
        <v>20</v>
      </c>
      <c r="K299" s="5">
        <v>300.0</v>
      </c>
      <c r="N299" s="9">
        <v>44332.0</v>
      </c>
    </row>
    <row r="300">
      <c r="A300" s="5">
        <v>299.0</v>
      </c>
      <c r="B300" s="5" t="s">
        <v>723</v>
      </c>
      <c r="C300" s="5" t="s">
        <v>20</v>
      </c>
      <c r="K300" s="5">
        <v>80.0</v>
      </c>
      <c r="N300" s="9">
        <v>44540.0</v>
      </c>
    </row>
    <row r="301">
      <c r="A301" s="5">
        <v>300.0</v>
      </c>
      <c r="B301" s="5" t="s">
        <v>724</v>
      </c>
      <c r="C301" s="5" t="s">
        <v>20</v>
      </c>
      <c r="K301" s="5">
        <v>250.0</v>
      </c>
      <c r="N301" s="9">
        <v>44524.0</v>
      </c>
    </row>
    <row r="302">
      <c r="A302" s="5">
        <v>301.0</v>
      </c>
      <c r="B302" s="5" t="s">
        <v>725</v>
      </c>
      <c r="C302" s="5" t="s">
        <v>20</v>
      </c>
      <c r="N302" s="9">
        <v>44531.0</v>
      </c>
    </row>
    <row r="303">
      <c r="A303" s="5">
        <v>302.0</v>
      </c>
      <c r="B303" s="5" t="s">
        <v>726</v>
      </c>
      <c r="C303" s="5" t="s">
        <v>20</v>
      </c>
      <c r="K303" s="5">
        <v>100.0</v>
      </c>
      <c r="N303" s="9">
        <v>44601.0</v>
      </c>
    </row>
    <row r="304">
      <c r="A304" s="5">
        <v>303.0</v>
      </c>
      <c r="B304" s="5" t="s">
        <v>727</v>
      </c>
      <c r="C304" s="5" t="s">
        <v>20</v>
      </c>
      <c r="K304" s="5">
        <v>1100.0</v>
      </c>
      <c r="N304" s="9">
        <v>46085.0</v>
      </c>
    </row>
    <row r="305">
      <c r="A305" s="5">
        <v>304.0</v>
      </c>
      <c r="B305" s="5" t="s">
        <v>728</v>
      </c>
      <c r="C305" s="5" t="s">
        <v>20</v>
      </c>
      <c r="K305" s="5">
        <v>600.0</v>
      </c>
      <c r="N305" s="9">
        <v>44531.0</v>
      </c>
    </row>
    <row r="306">
      <c r="A306" s="5">
        <v>305.0</v>
      </c>
      <c r="B306" s="5" t="s">
        <v>729</v>
      </c>
      <c r="C306" s="5" t="s">
        <v>20</v>
      </c>
      <c r="K306" s="5">
        <v>300.0</v>
      </c>
      <c r="N306" s="9">
        <v>44821.0</v>
      </c>
    </row>
    <row r="307">
      <c r="A307" s="5">
        <v>306.0</v>
      </c>
      <c r="B307" s="5" t="s">
        <v>730</v>
      </c>
      <c r="C307" s="5" t="s">
        <v>20</v>
      </c>
      <c r="K307" s="5">
        <v>300.0</v>
      </c>
      <c r="N307" s="9">
        <v>44775.0</v>
      </c>
    </row>
    <row r="308">
      <c r="A308" s="5">
        <v>307.0</v>
      </c>
      <c r="B308" s="5" t="s">
        <v>731</v>
      </c>
      <c r="C308" s="5" t="s">
        <v>20</v>
      </c>
      <c r="K308" s="5">
        <v>50.0</v>
      </c>
      <c r="N308" s="9">
        <v>44583.0</v>
      </c>
    </row>
    <row r="309">
      <c r="A309" s="5">
        <v>308.0</v>
      </c>
      <c r="B309" s="5" t="s">
        <v>732</v>
      </c>
      <c r="C309" s="5" t="s">
        <v>20</v>
      </c>
      <c r="K309" s="5">
        <v>700.0</v>
      </c>
      <c r="N309" s="9">
        <v>44552.0</v>
      </c>
    </row>
    <row r="310">
      <c r="A310" s="5">
        <v>309.0</v>
      </c>
      <c r="B310" s="5" t="s">
        <v>733</v>
      </c>
      <c r="C310" s="5" t="s">
        <v>20</v>
      </c>
      <c r="K310" s="5">
        <v>900.0</v>
      </c>
      <c r="N310" s="9">
        <v>43911.0</v>
      </c>
    </row>
    <row r="311">
      <c r="A311" s="5">
        <v>310.0</v>
      </c>
      <c r="B311" s="5" t="s">
        <v>734</v>
      </c>
      <c r="C311" s="5" t="s">
        <v>20</v>
      </c>
      <c r="K311" s="5">
        <v>40.0</v>
      </c>
      <c r="N311" s="9">
        <v>44423.0</v>
      </c>
    </row>
    <row r="312">
      <c r="A312" s="5">
        <v>311.0</v>
      </c>
      <c r="B312" s="5" t="s">
        <v>735</v>
      </c>
      <c r="C312" s="5" t="s">
        <v>20</v>
      </c>
      <c r="K312" s="5">
        <v>100.0</v>
      </c>
      <c r="N312" s="9">
        <v>45403.0</v>
      </c>
    </row>
    <row r="313">
      <c r="A313" s="5">
        <v>312.0</v>
      </c>
      <c r="B313" s="5" t="s">
        <v>736</v>
      </c>
      <c r="C313" s="5" t="s">
        <v>20</v>
      </c>
      <c r="K313" s="5">
        <v>90.0</v>
      </c>
      <c r="N313" s="9">
        <v>45556.0</v>
      </c>
    </row>
    <row r="314">
      <c r="A314" s="5">
        <v>313.0</v>
      </c>
      <c r="B314" s="5" t="s">
        <v>65</v>
      </c>
      <c r="C314" s="5" t="s">
        <v>20</v>
      </c>
      <c r="K314" s="5">
        <v>1900.0</v>
      </c>
      <c r="N314" s="9">
        <v>43920.0</v>
      </c>
    </row>
    <row r="315">
      <c r="A315" s="5">
        <v>314.0</v>
      </c>
      <c r="B315" s="5" t="s">
        <v>48</v>
      </c>
      <c r="C315" s="5" t="s">
        <v>20</v>
      </c>
      <c r="K315" s="5">
        <v>100.0</v>
      </c>
      <c r="N315" s="9">
        <v>44819.0</v>
      </c>
    </row>
    <row r="316">
      <c r="A316" s="5">
        <v>315.0</v>
      </c>
      <c r="B316" s="5" t="s">
        <v>737</v>
      </c>
      <c r="C316" s="5" t="s">
        <v>20</v>
      </c>
      <c r="K316" s="5">
        <v>350.0</v>
      </c>
      <c r="N316" s="9">
        <v>44714.0</v>
      </c>
    </row>
    <row r="317">
      <c r="A317" s="5">
        <v>316.0</v>
      </c>
      <c r="B317" s="5" t="s">
        <v>738</v>
      </c>
      <c r="C317" s="5" t="s">
        <v>20</v>
      </c>
      <c r="K317" s="5">
        <v>300.0</v>
      </c>
      <c r="N317" s="9">
        <v>44682.0</v>
      </c>
    </row>
    <row r="318">
      <c r="A318" s="5">
        <v>317.0</v>
      </c>
      <c r="B318" s="5" t="s">
        <v>739</v>
      </c>
      <c r="C318" s="5" t="s">
        <v>20</v>
      </c>
      <c r="K318" s="5">
        <v>60.0</v>
      </c>
      <c r="N318" s="9">
        <v>44677.0</v>
      </c>
    </row>
    <row r="319">
      <c r="A319" s="5">
        <v>318.0</v>
      </c>
      <c r="B319" s="5" t="s">
        <v>740</v>
      </c>
      <c r="C319" s="5" t="s">
        <v>20</v>
      </c>
      <c r="K319" s="5">
        <v>7300.0</v>
      </c>
      <c r="N319" s="9">
        <v>43901.0</v>
      </c>
    </row>
    <row r="320">
      <c r="A320" s="5">
        <v>319.0</v>
      </c>
      <c r="B320" s="5" t="s">
        <v>741</v>
      </c>
      <c r="C320" s="5" t="s">
        <v>20</v>
      </c>
      <c r="K320" s="5">
        <v>200.0</v>
      </c>
      <c r="N320" s="9">
        <v>44541.0</v>
      </c>
    </row>
    <row r="321">
      <c r="A321" s="5">
        <v>320.0</v>
      </c>
      <c r="B321" s="5" t="s">
        <v>742</v>
      </c>
      <c r="C321" s="5" t="s">
        <v>20</v>
      </c>
      <c r="K321" s="5">
        <v>800.0</v>
      </c>
      <c r="N321" s="9">
        <v>44544.0</v>
      </c>
    </row>
    <row r="322">
      <c r="A322" s="5">
        <v>321.0</v>
      </c>
      <c r="B322" s="5" t="s">
        <v>743</v>
      </c>
      <c r="C322" s="5" t="s">
        <v>20</v>
      </c>
      <c r="K322" s="5">
        <v>200.0</v>
      </c>
      <c r="N322" s="9">
        <v>44831.0</v>
      </c>
    </row>
    <row r="323">
      <c r="A323" s="5">
        <v>322.0</v>
      </c>
      <c r="B323" s="5" t="s">
        <v>50</v>
      </c>
      <c r="C323" s="5" t="s">
        <v>20</v>
      </c>
      <c r="K323" s="5">
        <v>10.0</v>
      </c>
      <c r="N323" s="9">
        <v>44913.0</v>
      </c>
    </row>
    <row r="324">
      <c r="A324" s="5">
        <v>323.0</v>
      </c>
      <c r="B324" s="5" t="s">
        <v>744</v>
      </c>
      <c r="C324" s="5" t="s">
        <v>20</v>
      </c>
      <c r="K324" s="5">
        <v>350.0</v>
      </c>
      <c r="N324" s="9">
        <v>44773.0</v>
      </c>
    </row>
    <row r="325">
      <c r="A325" s="5">
        <v>324.0</v>
      </c>
      <c r="B325" s="5" t="s">
        <v>745</v>
      </c>
      <c r="C325" s="5" t="s">
        <v>20</v>
      </c>
      <c r="K325" s="5">
        <v>400.0</v>
      </c>
      <c r="N325" s="9">
        <v>44316.0</v>
      </c>
    </row>
    <row r="326">
      <c r="A326" s="5">
        <v>325.0</v>
      </c>
      <c r="B326" s="5" t="s">
        <v>746</v>
      </c>
      <c r="C326" s="5" t="s">
        <v>20</v>
      </c>
      <c r="K326" s="5">
        <v>450.0</v>
      </c>
      <c r="N326" s="9">
        <v>44429.0</v>
      </c>
    </row>
    <row r="327">
      <c r="A327" s="5">
        <v>326.0</v>
      </c>
      <c r="B327" s="5" t="s">
        <v>747</v>
      </c>
      <c r="C327" s="5" t="s">
        <v>20</v>
      </c>
      <c r="K327" s="5">
        <v>1000.0</v>
      </c>
      <c r="N327" s="9">
        <v>44801.0</v>
      </c>
    </row>
    <row r="328">
      <c r="A328" s="5">
        <v>327.0</v>
      </c>
      <c r="B328" s="5" t="s">
        <v>748</v>
      </c>
      <c r="C328" s="5" t="s">
        <v>20</v>
      </c>
      <c r="K328" s="5">
        <v>2400.0</v>
      </c>
      <c r="N328" s="9">
        <v>44586.0</v>
      </c>
    </row>
    <row r="329">
      <c r="A329" s="5">
        <v>328.0</v>
      </c>
      <c r="B329" s="5" t="s">
        <v>749</v>
      </c>
      <c r="C329" s="5" t="s">
        <v>20</v>
      </c>
      <c r="K329" s="5">
        <v>250.0</v>
      </c>
      <c r="N329" s="9">
        <v>45061.0</v>
      </c>
    </row>
    <row r="330">
      <c r="A330" s="5">
        <v>329.0</v>
      </c>
      <c r="B330" s="5" t="s">
        <v>750</v>
      </c>
      <c r="C330" s="5" t="s">
        <v>20</v>
      </c>
      <c r="K330" s="5">
        <v>600.0</v>
      </c>
      <c r="N330" s="9">
        <v>44054.0</v>
      </c>
    </row>
    <row r="331">
      <c r="A331" s="5">
        <v>330.0</v>
      </c>
      <c r="B331" s="5" t="s">
        <v>53</v>
      </c>
      <c r="C331" s="5" t="s">
        <v>20</v>
      </c>
      <c r="K331" s="5">
        <v>150.0</v>
      </c>
      <c r="N331" s="9">
        <v>44820.0</v>
      </c>
    </row>
    <row r="332">
      <c r="A332" s="5">
        <v>331.0</v>
      </c>
      <c r="B332" s="5" t="s">
        <v>751</v>
      </c>
      <c r="C332" s="5" t="s">
        <v>20</v>
      </c>
      <c r="K332" s="5">
        <v>5600.0</v>
      </c>
      <c r="N332" s="9">
        <v>44518.0</v>
      </c>
    </row>
    <row r="333">
      <c r="A333" s="5">
        <v>332.0</v>
      </c>
      <c r="B333" s="5" t="s">
        <v>752</v>
      </c>
      <c r="C333" s="5" t="s">
        <v>20</v>
      </c>
      <c r="K333" s="5">
        <v>70.0</v>
      </c>
      <c r="N333" s="9">
        <v>44600.0</v>
      </c>
    </row>
    <row r="334">
      <c r="A334" s="5">
        <v>333.0</v>
      </c>
      <c r="B334" s="5" t="s">
        <v>753</v>
      </c>
      <c r="C334" s="5" t="s">
        <v>20</v>
      </c>
      <c r="K334" s="5">
        <v>10.0</v>
      </c>
      <c r="N334" s="9">
        <v>45397.0</v>
      </c>
    </row>
    <row r="335">
      <c r="A335" s="5">
        <v>334.0</v>
      </c>
      <c r="B335" s="5" t="s">
        <v>754</v>
      </c>
      <c r="C335" s="5" t="s">
        <v>20</v>
      </c>
      <c r="K335" s="5">
        <v>900.0</v>
      </c>
      <c r="N335" s="9">
        <v>44395.0</v>
      </c>
    </row>
    <row r="336">
      <c r="A336" s="5">
        <v>335.0</v>
      </c>
      <c r="B336" s="5" t="s">
        <v>755</v>
      </c>
      <c r="C336" s="5" t="s">
        <v>20</v>
      </c>
      <c r="K336" s="5">
        <v>150.0</v>
      </c>
      <c r="N336" s="9">
        <v>45292.0</v>
      </c>
    </row>
    <row r="337">
      <c r="A337" s="5">
        <v>336.0</v>
      </c>
      <c r="B337" s="5" t="s">
        <v>756</v>
      </c>
      <c r="C337" s="5" t="s">
        <v>20</v>
      </c>
      <c r="K337" s="5">
        <v>80.0</v>
      </c>
      <c r="N337" s="9">
        <v>44602.0</v>
      </c>
    </row>
    <row r="338">
      <c r="A338" s="5">
        <v>337.0</v>
      </c>
      <c r="B338" s="5" t="s">
        <v>757</v>
      </c>
      <c r="C338" s="5" t="s">
        <v>20</v>
      </c>
      <c r="K338" s="5">
        <v>20.0</v>
      </c>
      <c r="N338" s="9">
        <v>44568.0</v>
      </c>
    </row>
    <row r="339">
      <c r="A339" s="5">
        <v>338.0</v>
      </c>
      <c r="B339" s="5" t="s">
        <v>758</v>
      </c>
      <c r="C339" s="5" t="s">
        <v>20</v>
      </c>
      <c r="K339" s="5">
        <v>60.0</v>
      </c>
      <c r="N339" s="9">
        <v>45080.0</v>
      </c>
    </row>
    <row r="340">
      <c r="A340" s="5">
        <v>339.0</v>
      </c>
      <c r="B340" s="5" t="s">
        <v>57</v>
      </c>
      <c r="C340" s="5" t="s">
        <v>20</v>
      </c>
      <c r="K340" s="5">
        <v>20.0</v>
      </c>
      <c r="N340" s="9">
        <v>44834.0</v>
      </c>
    </row>
    <row r="341">
      <c r="A341" s="5">
        <v>340.0</v>
      </c>
      <c r="B341" s="5" t="s">
        <v>759</v>
      </c>
      <c r="C341" s="5" t="s">
        <v>20</v>
      </c>
      <c r="K341" s="5">
        <v>200.0</v>
      </c>
      <c r="N341" s="9">
        <v>45317.0</v>
      </c>
    </row>
    <row r="342">
      <c r="A342" s="5">
        <v>341.0</v>
      </c>
      <c r="B342" s="5" t="s">
        <v>760</v>
      </c>
      <c r="C342" s="5" t="s">
        <v>20</v>
      </c>
      <c r="K342" s="5">
        <v>70.0</v>
      </c>
      <c r="N342" s="9">
        <v>44402.0</v>
      </c>
    </row>
    <row r="343">
      <c r="A343" s="5">
        <v>342.0</v>
      </c>
      <c r="B343" s="5" t="s">
        <v>761</v>
      </c>
      <c r="C343" s="5" t="s">
        <v>20</v>
      </c>
      <c r="K343" s="5">
        <v>200.0</v>
      </c>
      <c r="N343" s="9">
        <v>44545.0</v>
      </c>
    </row>
    <row r="344">
      <c r="A344" s="5">
        <v>343.0</v>
      </c>
      <c r="B344" s="5" t="s">
        <v>762</v>
      </c>
      <c r="C344" s="5" t="s">
        <v>20</v>
      </c>
      <c r="K344" s="5">
        <v>30.0</v>
      </c>
      <c r="N344" s="9">
        <v>44535.0</v>
      </c>
    </row>
    <row r="345">
      <c r="A345" s="5">
        <v>344.0</v>
      </c>
      <c r="B345" s="5" t="s">
        <v>763</v>
      </c>
      <c r="C345" s="5" t="s">
        <v>20</v>
      </c>
      <c r="K345" s="5">
        <v>500.0</v>
      </c>
      <c r="N345" s="9">
        <v>44377.0</v>
      </c>
    </row>
    <row r="346">
      <c r="A346" s="5">
        <v>345.0</v>
      </c>
      <c r="B346" s="5" t="s">
        <v>764</v>
      </c>
      <c r="C346" s="5" t="s">
        <v>20</v>
      </c>
      <c r="K346" s="5">
        <v>250.0</v>
      </c>
      <c r="N346" s="9">
        <v>44568.0</v>
      </c>
    </row>
    <row r="347">
      <c r="A347" s="5">
        <v>346.0</v>
      </c>
      <c r="B347" s="5" t="s">
        <v>765</v>
      </c>
      <c r="C347" s="5" t="s">
        <v>20</v>
      </c>
      <c r="K347" s="5">
        <v>350.0</v>
      </c>
      <c r="N347" s="9">
        <v>43849.0</v>
      </c>
    </row>
    <row r="348">
      <c r="A348" s="5">
        <v>347.0</v>
      </c>
      <c r="B348" s="5" t="s">
        <v>766</v>
      </c>
      <c r="C348" s="5" t="s">
        <v>20</v>
      </c>
      <c r="K348" s="5">
        <v>300.0</v>
      </c>
      <c r="N348" s="9">
        <v>44867.0</v>
      </c>
    </row>
    <row r="349">
      <c r="A349" s="5">
        <v>348.0</v>
      </c>
      <c r="B349" s="5" t="s">
        <v>767</v>
      </c>
      <c r="C349" s="5" t="s">
        <v>20</v>
      </c>
      <c r="K349" s="5">
        <v>2000.0</v>
      </c>
      <c r="N349" s="9">
        <v>44303.0</v>
      </c>
    </row>
    <row r="350">
      <c r="A350" s="5">
        <v>349.0</v>
      </c>
      <c r="B350" s="5" t="s">
        <v>768</v>
      </c>
      <c r="C350" s="5" t="s">
        <v>20</v>
      </c>
      <c r="K350" s="5">
        <v>100.0</v>
      </c>
      <c r="N350" s="9">
        <v>44393.0</v>
      </c>
    </row>
    <row r="351">
      <c r="A351" s="5">
        <v>350.0</v>
      </c>
      <c r="B351" s="5" t="s">
        <v>769</v>
      </c>
      <c r="C351" s="5" t="s">
        <v>20</v>
      </c>
      <c r="K351" s="5">
        <v>1400.0</v>
      </c>
      <c r="N351" s="9">
        <v>43923.0</v>
      </c>
    </row>
    <row r="352">
      <c r="A352" s="5">
        <v>351.0</v>
      </c>
      <c r="B352" s="5" t="s">
        <v>770</v>
      </c>
      <c r="C352" s="5" t="s">
        <v>20</v>
      </c>
      <c r="K352" s="5">
        <v>250.0</v>
      </c>
      <c r="N352" s="9">
        <v>44577.0</v>
      </c>
    </row>
    <row r="353">
      <c r="A353" s="5">
        <v>352.0</v>
      </c>
      <c r="B353" s="5" t="s">
        <v>771</v>
      </c>
      <c r="C353" s="5" t="s">
        <v>20</v>
      </c>
      <c r="K353" s="5">
        <v>1400.0</v>
      </c>
      <c r="N353" s="9">
        <v>44107.0</v>
      </c>
    </row>
    <row r="354">
      <c r="A354" s="5">
        <v>353.0</v>
      </c>
      <c r="B354" s="5" t="s">
        <v>772</v>
      </c>
      <c r="C354" s="5" t="s">
        <v>20</v>
      </c>
      <c r="K354" s="5">
        <v>80.0</v>
      </c>
      <c r="N354" s="9">
        <v>44517.0</v>
      </c>
    </row>
    <row r="355">
      <c r="A355" s="5">
        <v>354.0</v>
      </c>
      <c r="B355" s="5" t="s">
        <v>773</v>
      </c>
      <c r="C355" s="5" t="s">
        <v>20</v>
      </c>
      <c r="K355" s="5">
        <v>100.0</v>
      </c>
      <c r="N355" s="9">
        <v>45268.0</v>
      </c>
    </row>
    <row r="356">
      <c r="A356" s="5">
        <v>355.0</v>
      </c>
      <c r="B356" s="5" t="s">
        <v>774</v>
      </c>
      <c r="C356" s="5" t="s">
        <v>20</v>
      </c>
      <c r="K356" s="5">
        <v>60.0</v>
      </c>
      <c r="N356" s="9">
        <v>44760.0</v>
      </c>
    </row>
    <row r="357">
      <c r="A357" s="5">
        <v>356.0</v>
      </c>
      <c r="B357" s="5" t="s">
        <v>775</v>
      </c>
      <c r="C357" s="5" t="s">
        <v>20</v>
      </c>
      <c r="K357" s="5">
        <v>100.0</v>
      </c>
      <c r="N357" s="9">
        <v>44421.0</v>
      </c>
    </row>
    <row r="358">
      <c r="A358" s="5">
        <v>357.0</v>
      </c>
      <c r="B358" s="5" t="s">
        <v>776</v>
      </c>
      <c r="C358" s="5" t="s">
        <v>20</v>
      </c>
      <c r="N358" s="9">
        <v>43850.0</v>
      </c>
    </row>
    <row r="359">
      <c r="A359" s="5">
        <v>358.0</v>
      </c>
      <c r="B359" s="5" t="s">
        <v>777</v>
      </c>
      <c r="C359" s="5" t="s">
        <v>20</v>
      </c>
      <c r="K359" s="5">
        <v>700.0</v>
      </c>
      <c r="N359" s="9">
        <v>44517.0</v>
      </c>
    </row>
    <row r="360">
      <c r="A360" s="5">
        <v>359.0</v>
      </c>
      <c r="B360" s="5" t="s">
        <v>778</v>
      </c>
      <c r="C360" s="5" t="s">
        <v>20</v>
      </c>
      <c r="K360" s="5">
        <v>30.0</v>
      </c>
      <c r="N360" s="9">
        <v>44558.0</v>
      </c>
    </row>
    <row r="361">
      <c r="A361" s="5">
        <v>360.0</v>
      </c>
      <c r="B361" s="5" t="s">
        <v>779</v>
      </c>
      <c r="C361" s="5" t="s">
        <v>20</v>
      </c>
      <c r="K361" s="5">
        <v>900.0</v>
      </c>
      <c r="N361" s="9">
        <v>43978.0</v>
      </c>
    </row>
    <row r="362">
      <c r="A362" s="5">
        <v>361.0</v>
      </c>
      <c r="B362" s="5" t="s">
        <v>780</v>
      </c>
      <c r="C362" s="5" t="s">
        <v>20</v>
      </c>
      <c r="K362" s="5">
        <v>1200.0</v>
      </c>
      <c r="N362" s="9">
        <v>45191.0</v>
      </c>
    </row>
    <row r="363">
      <c r="A363" s="5">
        <v>362.0</v>
      </c>
      <c r="B363" s="5" t="s">
        <v>781</v>
      </c>
      <c r="C363" s="5" t="s">
        <v>20</v>
      </c>
      <c r="K363" s="5">
        <v>150.0</v>
      </c>
      <c r="N363" s="9">
        <v>44546.0</v>
      </c>
    </row>
    <row r="364">
      <c r="A364" s="5">
        <v>363.0</v>
      </c>
      <c r="B364" s="5" t="s">
        <v>69</v>
      </c>
      <c r="C364" s="5" t="s">
        <v>20</v>
      </c>
      <c r="K364" s="5">
        <v>31000.0</v>
      </c>
      <c r="N364" s="9">
        <v>43856.0</v>
      </c>
    </row>
    <row r="365">
      <c r="A365" s="5">
        <v>364.0</v>
      </c>
      <c r="B365" s="5" t="s">
        <v>782</v>
      </c>
      <c r="C365" s="5" t="s">
        <v>20</v>
      </c>
      <c r="K365" s="5">
        <v>80.0</v>
      </c>
      <c r="N365" s="9">
        <v>44333.0</v>
      </c>
    </row>
    <row r="366">
      <c r="A366" s="5">
        <v>365.0</v>
      </c>
      <c r="B366" s="5" t="s">
        <v>783</v>
      </c>
      <c r="C366" s="5" t="s">
        <v>20</v>
      </c>
      <c r="K366" s="5">
        <v>300.0</v>
      </c>
      <c r="N366" s="9">
        <v>44351.0</v>
      </c>
    </row>
    <row r="367">
      <c r="A367" s="5">
        <v>366.0</v>
      </c>
      <c r="B367" s="5" t="s">
        <v>784</v>
      </c>
      <c r="C367" s="5" t="s">
        <v>20</v>
      </c>
      <c r="K367" s="5">
        <v>200.0</v>
      </c>
      <c r="N367" s="9">
        <v>44649.0</v>
      </c>
    </row>
    <row r="368">
      <c r="A368" s="5">
        <v>367.0</v>
      </c>
      <c r="B368" s="5" t="s">
        <v>785</v>
      </c>
      <c r="C368" s="5" t="s">
        <v>20</v>
      </c>
      <c r="K368" s="5">
        <v>250.0</v>
      </c>
      <c r="N368" s="9">
        <v>44446.0</v>
      </c>
    </row>
    <row r="369">
      <c r="A369" s="5">
        <v>368.0</v>
      </c>
      <c r="B369" s="5" t="s">
        <v>73</v>
      </c>
      <c r="C369" s="5" t="s">
        <v>20</v>
      </c>
      <c r="K369" s="5">
        <v>500.0</v>
      </c>
      <c r="N369" s="9">
        <v>44619.0</v>
      </c>
    </row>
    <row r="370">
      <c r="A370" s="5">
        <v>369.0</v>
      </c>
      <c r="B370" s="5" t="s">
        <v>786</v>
      </c>
      <c r="C370" s="5" t="s">
        <v>20</v>
      </c>
      <c r="K370" s="5">
        <v>300.0</v>
      </c>
      <c r="N370" s="9">
        <v>44342.0</v>
      </c>
    </row>
    <row r="371">
      <c r="A371" s="5">
        <v>370.0</v>
      </c>
      <c r="B371" s="5" t="s">
        <v>787</v>
      </c>
      <c r="C371" s="5" t="s">
        <v>20</v>
      </c>
      <c r="K371" s="5">
        <v>20.0</v>
      </c>
      <c r="N371" s="9">
        <v>44579.0</v>
      </c>
    </row>
    <row r="372">
      <c r="A372" s="5">
        <v>371.0</v>
      </c>
      <c r="B372" s="5" t="s">
        <v>788</v>
      </c>
      <c r="C372" s="5" t="s">
        <v>20</v>
      </c>
      <c r="K372" s="5">
        <v>2000.0</v>
      </c>
      <c r="N372" s="9">
        <v>44274.0</v>
      </c>
    </row>
    <row r="373">
      <c r="A373" s="5">
        <v>372.0</v>
      </c>
      <c r="B373" s="5" t="s">
        <v>789</v>
      </c>
      <c r="C373" s="5" t="s">
        <v>20</v>
      </c>
      <c r="K373" s="5">
        <v>300.0</v>
      </c>
      <c r="N373" s="9">
        <v>44581.0</v>
      </c>
    </row>
    <row r="374">
      <c r="A374" s="5">
        <v>373.0</v>
      </c>
      <c r="B374" s="5" t="s">
        <v>790</v>
      </c>
      <c r="C374" s="5" t="s">
        <v>20</v>
      </c>
      <c r="K374" s="5">
        <v>10.0</v>
      </c>
      <c r="N374" s="9">
        <v>43869.0</v>
      </c>
    </row>
    <row r="375">
      <c r="A375" s="5">
        <v>374.0</v>
      </c>
      <c r="B375" s="5" t="s">
        <v>791</v>
      </c>
      <c r="C375" s="5" t="s">
        <v>20</v>
      </c>
      <c r="K375" s="5">
        <v>250.0</v>
      </c>
      <c r="N375" s="9">
        <v>44287.0</v>
      </c>
    </row>
    <row r="376">
      <c r="A376" s="5">
        <v>375.0</v>
      </c>
      <c r="B376" s="5" t="s">
        <v>792</v>
      </c>
      <c r="C376" s="5" t="s">
        <v>20</v>
      </c>
      <c r="K376" s="5">
        <v>150.0</v>
      </c>
      <c r="N376" s="9">
        <v>45356.0</v>
      </c>
    </row>
    <row r="377">
      <c r="A377" s="5">
        <v>376.0</v>
      </c>
      <c r="B377" s="5" t="s">
        <v>793</v>
      </c>
      <c r="C377" s="5" t="s">
        <v>20</v>
      </c>
      <c r="K377" s="5">
        <v>50.0</v>
      </c>
      <c r="N377" s="9">
        <v>44592.0</v>
      </c>
    </row>
    <row r="378">
      <c r="A378" s="5">
        <v>377.0</v>
      </c>
      <c r="B378" s="5" t="s">
        <v>794</v>
      </c>
      <c r="C378" s="5" t="s">
        <v>20</v>
      </c>
      <c r="K378" s="5">
        <v>50.0</v>
      </c>
      <c r="N378" s="9">
        <v>44714.0</v>
      </c>
    </row>
    <row r="379">
      <c r="A379" s="5">
        <v>378.0</v>
      </c>
      <c r="B379" s="5" t="s">
        <v>795</v>
      </c>
      <c r="C379" s="5" t="s">
        <v>20</v>
      </c>
      <c r="K379" s="5">
        <v>450.0</v>
      </c>
      <c r="N379" s="9">
        <v>44709.0</v>
      </c>
    </row>
    <row r="380">
      <c r="A380" s="5">
        <v>379.0</v>
      </c>
      <c r="B380" s="5" t="s">
        <v>796</v>
      </c>
      <c r="C380" s="5" t="s">
        <v>20</v>
      </c>
      <c r="K380" s="5">
        <v>200.0</v>
      </c>
      <c r="N380" s="9">
        <v>43945.0</v>
      </c>
    </row>
    <row r="381">
      <c r="A381" s="5">
        <v>380.0</v>
      </c>
      <c r="B381" s="5" t="s">
        <v>797</v>
      </c>
      <c r="C381" s="5" t="s">
        <v>20</v>
      </c>
      <c r="K381" s="5">
        <v>200.0</v>
      </c>
      <c r="N381" s="9">
        <v>44551.0</v>
      </c>
    </row>
    <row r="382">
      <c r="A382" s="5">
        <v>381.0</v>
      </c>
      <c r="B382" s="5" t="s">
        <v>798</v>
      </c>
      <c r="C382" s="5" t="s">
        <v>20</v>
      </c>
      <c r="N382" s="9">
        <v>45216.0</v>
      </c>
    </row>
    <row r="383">
      <c r="A383" s="5">
        <v>382.0</v>
      </c>
      <c r="B383" s="5" t="s">
        <v>799</v>
      </c>
      <c r="C383" s="5" t="s">
        <v>20</v>
      </c>
      <c r="K383" s="5">
        <v>1900.0</v>
      </c>
      <c r="N383" s="9">
        <v>43838.0</v>
      </c>
    </row>
    <row r="384">
      <c r="A384" s="5">
        <v>383.0</v>
      </c>
      <c r="B384" s="5" t="s">
        <v>800</v>
      </c>
      <c r="C384" s="5" t="s">
        <v>20</v>
      </c>
      <c r="K384" s="5">
        <v>5000.0</v>
      </c>
      <c r="N384" s="9">
        <v>44007.0</v>
      </c>
    </row>
    <row r="385">
      <c r="A385" s="5">
        <v>384.0</v>
      </c>
      <c r="B385" s="5" t="s">
        <v>801</v>
      </c>
      <c r="C385" s="5" t="s">
        <v>20</v>
      </c>
      <c r="K385" s="5">
        <v>150.0</v>
      </c>
      <c r="N385" s="9">
        <v>43868.0</v>
      </c>
    </row>
    <row r="386">
      <c r="A386" s="5">
        <v>385.0</v>
      </c>
      <c r="B386" s="5" t="s">
        <v>802</v>
      </c>
      <c r="C386" s="5" t="s">
        <v>20</v>
      </c>
      <c r="K386" s="5">
        <v>50.0</v>
      </c>
      <c r="N386" s="9">
        <v>45186.0</v>
      </c>
    </row>
    <row r="387">
      <c r="A387" s="5">
        <v>386.0</v>
      </c>
      <c r="B387" s="5" t="s">
        <v>803</v>
      </c>
      <c r="C387" s="5" t="s">
        <v>20</v>
      </c>
      <c r="K387" s="5">
        <v>150.0</v>
      </c>
      <c r="N387" s="9">
        <v>44584.0</v>
      </c>
    </row>
    <row r="388">
      <c r="A388" s="5">
        <v>387.0</v>
      </c>
      <c r="B388" s="5" t="s">
        <v>804</v>
      </c>
      <c r="C388" s="5" t="s">
        <v>20</v>
      </c>
      <c r="K388" s="5">
        <v>500.0</v>
      </c>
      <c r="N388" s="9">
        <v>44595.0</v>
      </c>
    </row>
    <row r="389">
      <c r="A389" s="5">
        <v>388.0</v>
      </c>
      <c r="B389" s="5" t="s">
        <v>805</v>
      </c>
      <c r="C389" s="5" t="s">
        <v>20</v>
      </c>
      <c r="K389" s="5">
        <v>40.0</v>
      </c>
      <c r="N389" s="9">
        <v>44480.0</v>
      </c>
    </row>
    <row r="390">
      <c r="A390" s="5">
        <v>389.0</v>
      </c>
      <c r="B390" s="5" t="s">
        <v>806</v>
      </c>
      <c r="C390" s="5" t="s">
        <v>20</v>
      </c>
      <c r="K390" s="5">
        <v>300.0</v>
      </c>
      <c r="N390" s="9">
        <v>44552.0</v>
      </c>
    </row>
    <row r="391">
      <c r="A391" s="5">
        <v>390.0</v>
      </c>
      <c r="B391" s="5" t="s">
        <v>807</v>
      </c>
      <c r="C391" s="5" t="s">
        <v>20</v>
      </c>
      <c r="K391" s="5">
        <v>20.0</v>
      </c>
      <c r="N391" s="9">
        <v>44234.0</v>
      </c>
    </row>
    <row r="392">
      <c r="A392" s="5">
        <v>391.0</v>
      </c>
      <c r="B392" s="5" t="s">
        <v>808</v>
      </c>
      <c r="C392" s="5" t="s">
        <v>20</v>
      </c>
      <c r="K392" s="5">
        <v>400.0</v>
      </c>
      <c r="N392" s="9">
        <v>44773.0</v>
      </c>
    </row>
    <row r="393">
      <c r="A393" s="5">
        <v>392.0</v>
      </c>
      <c r="B393" s="5" t="s">
        <v>809</v>
      </c>
      <c r="C393" s="5" t="s">
        <v>20</v>
      </c>
      <c r="K393" s="5">
        <v>450.0</v>
      </c>
      <c r="N393" s="9">
        <v>43901.0</v>
      </c>
    </row>
    <row r="394">
      <c r="A394" s="5">
        <v>393.0</v>
      </c>
      <c r="B394" s="5" t="s">
        <v>810</v>
      </c>
      <c r="C394" s="5" t="s">
        <v>20</v>
      </c>
      <c r="K394" s="5">
        <v>100.0</v>
      </c>
      <c r="N394" s="9">
        <v>43880.0</v>
      </c>
    </row>
    <row r="395">
      <c r="A395" s="5">
        <v>394.0</v>
      </c>
      <c r="B395" s="5" t="s">
        <v>811</v>
      </c>
      <c r="C395" s="5" t="s">
        <v>20</v>
      </c>
      <c r="K395" s="5">
        <v>56000.0</v>
      </c>
      <c r="N395" s="9">
        <v>45047.0</v>
      </c>
    </row>
    <row r="396">
      <c r="A396" s="5">
        <v>395.0</v>
      </c>
      <c r="B396" s="5" t="s">
        <v>812</v>
      </c>
      <c r="C396" s="5" t="s">
        <v>20</v>
      </c>
      <c r="K396" s="5">
        <v>150.0</v>
      </c>
      <c r="N396" s="9">
        <v>44627.0</v>
      </c>
    </row>
    <row r="397">
      <c r="A397" s="5">
        <v>396.0</v>
      </c>
      <c r="B397" s="5" t="s">
        <v>813</v>
      </c>
      <c r="C397" s="5" t="s">
        <v>20</v>
      </c>
      <c r="N397" s="9">
        <v>44311.0</v>
      </c>
    </row>
    <row r="398">
      <c r="A398" s="5">
        <v>397.0</v>
      </c>
      <c r="B398" s="5" t="s">
        <v>814</v>
      </c>
      <c r="C398" s="5" t="s">
        <v>20</v>
      </c>
      <c r="N398" s="9">
        <v>44430.0</v>
      </c>
    </row>
    <row r="399">
      <c r="A399" s="5">
        <v>398.0</v>
      </c>
      <c r="B399" s="5" t="s">
        <v>815</v>
      </c>
      <c r="C399" s="5" t="s">
        <v>20</v>
      </c>
      <c r="K399" s="5">
        <v>200.0</v>
      </c>
      <c r="N399" s="9">
        <v>44163.0</v>
      </c>
    </row>
    <row r="400">
      <c r="A400" s="5">
        <v>399.0</v>
      </c>
      <c r="B400" s="5" t="s">
        <v>816</v>
      </c>
      <c r="C400" s="5" t="s">
        <v>20</v>
      </c>
      <c r="K400" s="5">
        <v>600.0</v>
      </c>
      <c r="N400" s="9">
        <v>43855.0</v>
      </c>
    </row>
    <row r="401">
      <c r="A401" s="5">
        <v>400.0</v>
      </c>
      <c r="B401" s="5" t="s">
        <v>817</v>
      </c>
      <c r="C401" s="5" t="s">
        <v>20</v>
      </c>
      <c r="K401" s="5">
        <v>40.0</v>
      </c>
      <c r="N401" s="9">
        <v>44581.0</v>
      </c>
    </row>
    <row r="402">
      <c r="A402" s="5">
        <v>401.0</v>
      </c>
      <c r="B402" s="5" t="s">
        <v>818</v>
      </c>
      <c r="C402" s="5" t="s">
        <v>20</v>
      </c>
      <c r="K402" s="5">
        <v>200.0</v>
      </c>
      <c r="N402" s="9">
        <v>45516.0</v>
      </c>
    </row>
    <row r="403">
      <c r="A403" s="5">
        <v>402.0</v>
      </c>
      <c r="B403" s="5" t="s">
        <v>819</v>
      </c>
      <c r="C403" s="5" t="s">
        <v>20</v>
      </c>
      <c r="K403" s="5">
        <v>40.0</v>
      </c>
      <c r="N403" s="9">
        <v>43909.0</v>
      </c>
    </row>
    <row r="404">
      <c r="A404" s="5">
        <v>403.0</v>
      </c>
      <c r="B404" s="5" t="s">
        <v>820</v>
      </c>
      <c r="C404" s="5" t="s">
        <v>20</v>
      </c>
      <c r="K404" s="5">
        <v>900.0</v>
      </c>
      <c r="N404" s="9">
        <v>44695.0</v>
      </c>
    </row>
    <row r="405">
      <c r="A405" s="5">
        <v>404.0</v>
      </c>
      <c r="B405" s="5" t="s">
        <v>821</v>
      </c>
      <c r="C405" s="5" t="s">
        <v>20</v>
      </c>
      <c r="K405" s="5">
        <v>250.0</v>
      </c>
      <c r="N405" s="9">
        <v>44366.0</v>
      </c>
    </row>
    <row r="406">
      <c r="A406" s="5">
        <v>405.0</v>
      </c>
      <c r="B406" s="5" t="s">
        <v>822</v>
      </c>
      <c r="C406" s="5" t="s">
        <v>20</v>
      </c>
      <c r="K406" s="5">
        <v>150.0</v>
      </c>
      <c r="N406" s="9">
        <v>44718.0</v>
      </c>
    </row>
    <row r="407">
      <c r="A407" s="5">
        <v>406.0</v>
      </c>
      <c r="B407" s="5" t="s">
        <v>823</v>
      </c>
      <c r="C407" s="5" t="s">
        <v>20</v>
      </c>
      <c r="K407" s="5">
        <v>20.0</v>
      </c>
      <c r="N407" s="9">
        <v>44177.0</v>
      </c>
    </row>
    <row r="408">
      <c r="A408" s="5">
        <v>407.0</v>
      </c>
      <c r="B408" s="5" t="s">
        <v>824</v>
      </c>
      <c r="C408" s="5" t="s">
        <v>20</v>
      </c>
      <c r="K408" s="5">
        <v>200.0</v>
      </c>
      <c r="N408" s="9">
        <v>45172.0</v>
      </c>
    </row>
    <row r="409">
      <c r="A409" s="5">
        <v>408.0</v>
      </c>
      <c r="B409" s="5" t="s">
        <v>825</v>
      </c>
      <c r="C409" s="5" t="s">
        <v>20</v>
      </c>
      <c r="K409" s="5">
        <v>600.0</v>
      </c>
      <c r="N409" s="9">
        <v>44456.0</v>
      </c>
    </row>
    <row r="410">
      <c r="A410" s="5">
        <v>409.0</v>
      </c>
      <c r="B410" s="5" t="s">
        <v>826</v>
      </c>
      <c r="C410" s="5" t="s">
        <v>20</v>
      </c>
      <c r="K410" s="5">
        <v>10.0</v>
      </c>
      <c r="N410" s="9">
        <v>44543.0</v>
      </c>
    </row>
    <row r="411">
      <c r="A411" s="5">
        <v>410.0</v>
      </c>
      <c r="B411" s="5" t="s">
        <v>827</v>
      </c>
      <c r="C411" s="5" t="s">
        <v>20</v>
      </c>
      <c r="K411" s="5">
        <v>800.0</v>
      </c>
      <c r="N411" s="9">
        <v>44381.0</v>
      </c>
    </row>
    <row r="412">
      <c r="A412" s="5">
        <v>411.0</v>
      </c>
      <c r="B412" s="5" t="s">
        <v>828</v>
      </c>
      <c r="C412" s="5" t="s">
        <v>20</v>
      </c>
      <c r="K412" s="5">
        <v>150.0</v>
      </c>
      <c r="N412" s="9">
        <v>45491.0</v>
      </c>
    </row>
    <row r="413">
      <c r="A413" s="5">
        <v>412.0</v>
      </c>
      <c r="B413" s="5" t="s">
        <v>829</v>
      </c>
      <c r="C413" s="5" t="s">
        <v>20</v>
      </c>
      <c r="K413" s="5">
        <v>150.0</v>
      </c>
      <c r="N413" s="9">
        <v>44533.0</v>
      </c>
    </row>
    <row r="414">
      <c r="A414" s="5">
        <v>413.0</v>
      </c>
      <c r="B414" s="5" t="s">
        <v>830</v>
      </c>
      <c r="C414" s="5" t="s">
        <v>20</v>
      </c>
      <c r="K414" s="5">
        <v>350.0</v>
      </c>
      <c r="N414" s="9">
        <v>44540.0</v>
      </c>
    </row>
    <row r="415">
      <c r="A415" s="5">
        <v>414.0</v>
      </c>
      <c r="B415" s="5" t="s">
        <v>831</v>
      </c>
      <c r="C415" s="5" t="s">
        <v>20</v>
      </c>
      <c r="K415" s="5">
        <v>300.0</v>
      </c>
      <c r="N415" s="9">
        <v>44581.0</v>
      </c>
    </row>
    <row r="416">
      <c r="A416" s="5">
        <v>415.0</v>
      </c>
      <c r="B416" s="5" t="s">
        <v>832</v>
      </c>
      <c r="C416" s="5" t="s">
        <v>20</v>
      </c>
      <c r="K416" s="5">
        <v>200.0</v>
      </c>
      <c r="N416" s="9">
        <v>44878.0</v>
      </c>
    </row>
    <row r="417">
      <c r="A417" s="5">
        <v>416.0</v>
      </c>
      <c r="B417" s="5" t="s">
        <v>833</v>
      </c>
      <c r="C417" s="5" t="s">
        <v>20</v>
      </c>
      <c r="K417" s="5">
        <v>40.0</v>
      </c>
      <c r="N417" s="9">
        <v>45665.0</v>
      </c>
    </row>
    <row r="418">
      <c r="A418" s="5">
        <v>417.0</v>
      </c>
      <c r="B418" s="5" t="s">
        <v>834</v>
      </c>
      <c r="C418" s="5" t="s">
        <v>20</v>
      </c>
      <c r="K418" s="5">
        <v>100.0</v>
      </c>
      <c r="N418" s="9">
        <v>43857.0</v>
      </c>
    </row>
    <row r="419">
      <c r="A419" s="5">
        <v>418.0</v>
      </c>
      <c r="B419" s="5" t="s">
        <v>835</v>
      </c>
      <c r="C419" s="5" t="s">
        <v>20</v>
      </c>
      <c r="K419" s="5">
        <v>200.0</v>
      </c>
      <c r="N419" s="9">
        <v>44563.0</v>
      </c>
    </row>
    <row r="420">
      <c r="A420" s="5">
        <v>419.0</v>
      </c>
      <c r="B420" s="5" t="s">
        <v>836</v>
      </c>
      <c r="C420" s="5" t="s">
        <v>20</v>
      </c>
      <c r="K420" s="5">
        <v>800.0</v>
      </c>
      <c r="N420" s="9">
        <v>44146.0</v>
      </c>
    </row>
    <row r="421">
      <c r="A421" s="5">
        <v>420.0</v>
      </c>
      <c r="B421" s="5" t="s">
        <v>837</v>
      </c>
      <c r="C421" s="5" t="s">
        <v>20</v>
      </c>
      <c r="K421" s="5">
        <v>600.0</v>
      </c>
      <c r="N421" s="9">
        <v>44582.0</v>
      </c>
    </row>
    <row r="422">
      <c r="A422" s="5">
        <v>421.0</v>
      </c>
      <c r="B422" s="5" t="s">
        <v>838</v>
      </c>
      <c r="C422" s="5" t="s">
        <v>20</v>
      </c>
      <c r="K422" s="5">
        <v>80.0</v>
      </c>
      <c r="N422" s="9">
        <v>44946.0</v>
      </c>
    </row>
    <row r="423">
      <c r="A423" s="5">
        <v>422.0</v>
      </c>
      <c r="B423" s="5" t="s">
        <v>839</v>
      </c>
      <c r="C423" s="5" t="s">
        <v>20</v>
      </c>
      <c r="K423" s="5">
        <v>80.0</v>
      </c>
      <c r="N423" s="9">
        <v>44538.0</v>
      </c>
    </row>
    <row r="424">
      <c r="A424" s="5">
        <v>423.0</v>
      </c>
      <c r="B424" s="5" t="s">
        <v>840</v>
      </c>
      <c r="C424" s="5" t="s">
        <v>20</v>
      </c>
      <c r="K424" s="5">
        <v>90.0</v>
      </c>
      <c r="N424" s="9">
        <v>45098.0</v>
      </c>
    </row>
    <row r="425">
      <c r="A425" s="5">
        <v>424.0</v>
      </c>
      <c r="B425" s="5" t="s">
        <v>841</v>
      </c>
      <c r="C425" s="5" t="s">
        <v>20</v>
      </c>
      <c r="K425" s="5">
        <v>2800.0</v>
      </c>
      <c r="N425" s="9">
        <v>44279.0</v>
      </c>
    </row>
    <row r="426">
      <c r="A426" s="5">
        <v>425.0</v>
      </c>
      <c r="B426" s="5" t="s">
        <v>842</v>
      </c>
      <c r="C426" s="5" t="s">
        <v>20</v>
      </c>
      <c r="K426" s="5">
        <v>40.0</v>
      </c>
      <c r="N426" s="9">
        <v>44660.0</v>
      </c>
    </row>
    <row r="427">
      <c r="A427" s="5">
        <v>426.0</v>
      </c>
      <c r="B427" s="5" t="s">
        <v>843</v>
      </c>
      <c r="C427" s="5" t="s">
        <v>20</v>
      </c>
      <c r="K427" s="5">
        <v>1300.0</v>
      </c>
      <c r="N427" s="9">
        <v>44387.0</v>
      </c>
    </row>
    <row r="428">
      <c r="A428" s="5">
        <v>427.0</v>
      </c>
      <c r="B428" s="5" t="s">
        <v>844</v>
      </c>
      <c r="C428" s="5" t="s">
        <v>20</v>
      </c>
      <c r="K428" s="5">
        <v>300.0</v>
      </c>
      <c r="N428" s="9">
        <v>44565.0</v>
      </c>
    </row>
    <row r="429">
      <c r="A429" s="5">
        <v>428.0</v>
      </c>
      <c r="B429" s="5" t="s">
        <v>845</v>
      </c>
      <c r="C429" s="5" t="s">
        <v>20</v>
      </c>
      <c r="K429" s="5">
        <v>1100.0</v>
      </c>
      <c r="N429" s="9">
        <v>43911.0</v>
      </c>
    </row>
    <row r="430">
      <c r="A430" s="5">
        <v>429.0</v>
      </c>
      <c r="B430" s="5" t="s">
        <v>846</v>
      </c>
      <c r="C430" s="5" t="s">
        <v>20</v>
      </c>
      <c r="K430" s="5">
        <v>4300.0</v>
      </c>
      <c r="N430" s="9">
        <v>44136.0</v>
      </c>
    </row>
    <row r="431">
      <c r="A431" s="5">
        <v>430.0</v>
      </c>
      <c r="B431" s="5" t="s">
        <v>847</v>
      </c>
      <c r="C431" s="5" t="s">
        <v>20</v>
      </c>
      <c r="K431" s="5">
        <v>10.0</v>
      </c>
      <c r="N431" s="9">
        <v>44457.0</v>
      </c>
    </row>
    <row r="432">
      <c r="A432" s="5">
        <v>431.0</v>
      </c>
      <c r="B432" s="5" t="s">
        <v>848</v>
      </c>
      <c r="C432" s="5" t="s">
        <v>20</v>
      </c>
      <c r="K432" s="5">
        <v>250.0</v>
      </c>
      <c r="N432" s="9">
        <v>44547.0</v>
      </c>
    </row>
    <row r="433">
      <c r="A433" s="5">
        <v>432.0</v>
      </c>
      <c r="B433" s="5" t="s">
        <v>849</v>
      </c>
      <c r="C433" s="5" t="s">
        <v>20</v>
      </c>
      <c r="K433" s="5">
        <v>350.0</v>
      </c>
      <c r="N433" s="9">
        <v>44184.0</v>
      </c>
    </row>
    <row r="434">
      <c r="A434" s="5">
        <v>433.0</v>
      </c>
      <c r="B434" s="5" t="s">
        <v>850</v>
      </c>
      <c r="C434" s="5" t="s">
        <v>20</v>
      </c>
      <c r="K434" s="5">
        <v>50.0</v>
      </c>
      <c r="N434" s="9">
        <v>44555.0</v>
      </c>
    </row>
    <row r="435">
      <c r="A435" s="5">
        <v>434.0</v>
      </c>
      <c r="B435" s="5" t="s">
        <v>851</v>
      </c>
      <c r="C435" s="5" t="s">
        <v>20</v>
      </c>
      <c r="K435" s="5">
        <v>300.0</v>
      </c>
      <c r="N435" s="9">
        <v>44144.0</v>
      </c>
    </row>
    <row r="436">
      <c r="A436" s="5">
        <v>435.0</v>
      </c>
      <c r="B436" s="5" t="s">
        <v>852</v>
      </c>
      <c r="C436" s="5" t="s">
        <v>20</v>
      </c>
      <c r="K436" s="5">
        <v>700.0</v>
      </c>
      <c r="N436" s="9">
        <v>44618.0</v>
      </c>
    </row>
    <row r="437">
      <c r="A437" s="5">
        <v>436.0</v>
      </c>
      <c r="B437" s="5" t="s">
        <v>853</v>
      </c>
      <c r="C437" s="5" t="s">
        <v>20</v>
      </c>
      <c r="N437" s="9">
        <v>44903.0</v>
      </c>
    </row>
    <row r="438">
      <c r="A438" s="5">
        <v>437.0</v>
      </c>
      <c r="B438" s="5" t="s">
        <v>854</v>
      </c>
      <c r="C438" s="5" t="s">
        <v>20</v>
      </c>
      <c r="K438" s="5">
        <v>150.0</v>
      </c>
      <c r="N438" s="9">
        <v>44711.0</v>
      </c>
    </row>
    <row r="439">
      <c r="A439" s="5">
        <v>438.0</v>
      </c>
      <c r="B439" s="5" t="s">
        <v>855</v>
      </c>
      <c r="C439" s="5" t="s">
        <v>20</v>
      </c>
      <c r="K439" s="5">
        <v>800.0</v>
      </c>
      <c r="N439" s="9">
        <v>43949.0</v>
      </c>
    </row>
    <row r="440">
      <c r="A440" s="5">
        <v>439.0</v>
      </c>
      <c r="B440" s="5" t="s">
        <v>856</v>
      </c>
      <c r="C440" s="5" t="s">
        <v>20</v>
      </c>
      <c r="K440" s="5">
        <v>350.0</v>
      </c>
      <c r="N440" s="9">
        <v>44541.0</v>
      </c>
    </row>
    <row r="441">
      <c r="A441" s="5">
        <v>440.0</v>
      </c>
      <c r="B441" s="5" t="s">
        <v>857</v>
      </c>
      <c r="C441" s="5" t="s">
        <v>20</v>
      </c>
      <c r="K441" s="5">
        <v>250.0</v>
      </c>
      <c r="N441" s="9">
        <v>44304.0</v>
      </c>
    </row>
    <row r="442">
      <c r="A442" s="5">
        <v>441.0</v>
      </c>
      <c r="B442" s="5" t="s">
        <v>858</v>
      </c>
      <c r="C442" s="5" t="s">
        <v>20</v>
      </c>
      <c r="K442" s="5">
        <v>20.0</v>
      </c>
      <c r="N442" s="9">
        <v>45560.0</v>
      </c>
    </row>
    <row r="443">
      <c r="A443" s="5">
        <v>442.0</v>
      </c>
      <c r="B443" s="5" t="s">
        <v>859</v>
      </c>
      <c r="C443" s="5" t="s">
        <v>20</v>
      </c>
      <c r="K443" s="5">
        <v>100.0</v>
      </c>
      <c r="N443" s="9">
        <v>45406.0</v>
      </c>
    </row>
    <row r="444">
      <c r="A444" s="5">
        <v>443.0</v>
      </c>
      <c r="B444" s="5" t="s">
        <v>860</v>
      </c>
      <c r="C444" s="5" t="s">
        <v>20</v>
      </c>
      <c r="K444" s="5">
        <v>3900.0</v>
      </c>
      <c r="N444" s="9">
        <v>43902.0</v>
      </c>
    </row>
    <row r="445">
      <c r="A445" s="5">
        <v>444.0</v>
      </c>
      <c r="B445" s="5" t="s">
        <v>861</v>
      </c>
      <c r="C445" s="5" t="s">
        <v>20</v>
      </c>
      <c r="K445" s="5">
        <v>10.0</v>
      </c>
      <c r="N445" s="9">
        <v>44934.0</v>
      </c>
    </row>
    <row r="446">
      <c r="A446" s="5">
        <v>445.0</v>
      </c>
      <c r="B446" s="5" t="s">
        <v>862</v>
      </c>
      <c r="C446" s="5" t="s">
        <v>20</v>
      </c>
      <c r="K446" s="5">
        <v>2100.0</v>
      </c>
      <c r="N446" s="9">
        <v>44905.0</v>
      </c>
    </row>
    <row r="447">
      <c r="A447" s="5">
        <v>446.0</v>
      </c>
      <c r="B447" s="5" t="s">
        <v>77</v>
      </c>
      <c r="C447" s="5" t="s">
        <v>20</v>
      </c>
      <c r="K447" s="5">
        <v>100.0</v>
      </c>
      <c r="N447" s="9">
        <v>44570.0</v>
      </c>
    </row>
    <row r="448">
      <c r="A448" s="5">
        <v>447.0</v>
      </c>
      <c r="B448" s="5" t="s">
        <v>863</v>
      </c>
      <c r="C448" s="5" t="s">
        <v>20</v>
      </c>
      <c r="K448" s="5">
        <v>2400.0</v>
      </c>
      <c r="N448" s="9">
        <v>43865.0</v>
      </c>
    </row>
    <row r="449">
      <c r="A449" s="5">
        <v>448.0</v>
      </c>
      <c r="B449" s="5" t="s">
        <v>864</v>
      </c>
      <c r="C449" s="5" t="s">
        <v>20</v>
      </c>
      <c r="K449" s="5">
        <v>100.0</v>
      </c>
      <c r="N449" s="9">
        <v>44577.0</v>
      </c>
    </row>
    <row r="450">
      <c r="A450" s="5">
        <v>449.0</v>
      </c>
      <c r="B450" s="5" t="s">
        <v>59</v>
      </c>
      <c r="C450" s="5" t="s">
        <v>20</v>
      </c>
      <c r="K450" s="5">
        <v>50.0</v>
      </c>
      <c r="N450" s="9">
        <v>44943.0</v>
      </c>
    </row>
    <row r="451">
      <c r="A451" s="5">
        <v>450.0</v>
      </c>
      <c r="B451" s="5" t="s">
        <v>62</v>
      </c>
      <c r="C451" s="5" t="s">
        <v>20</v>
      </c>
      <c r="K451" s="5">
        <v>20.0</v>
      </c>
      <c r="N451" s="9">
        <v>44822.0</v>
      </c>
    </row>
    <row r="452">
      <c r="A452" s="5">
        <v>451.0</v>
      </c>
      <c r="B452" s="5" t="s">
        <v>865</v>
      </c>
      <c r="C452" s="5" t="s">
        <v>20</v>
      </c>
      <c r="K452" s="5">
        <v>300.0</v>
      </c>
      <c r="N452" s="9">
        <v>44537.0</v>
      </c>
    </row>
    <row r="453">
      <c r="A453" s="5">
        <v>452.0</v>
      </c>
      <c r="B453" s="5" t="s">
        <v>866</v>
      </c>
      <c r="C453" s="5" t="s">
        <v>20</v>
      </c>
      <c r="K453" s="5">
        <v>150.0</v>
      </c>
      <c r="N453" s="9">
        <v>44775.0</v>
      </c>
    </row>
    <row r="454">
      <c r="A454" s="5">
        <v>453.0</v>
      </c>
      <c r="B454" s="5" t="s">
        <v>867</v>
      </c>
      <c r="C454" s="5" t="s">
        <v>20</v>
      </c>
      <c r="K454" s="5">
        <v>200.0</v>
      </c>
      <c r="N454" s="9">
        <v>43880.0</v>
      </c>
    </row>
    <row r="455">
      <c r="A455" s="5">
        <v>454.0</v>
      </c>
      <c r="B455" s="5" t="s">
        <v>868</v>
      </c>
      <c r="C455" s="5" t="s">
        <v>20</v>
      </c>
      <c r="K455" s="5">
        <v>80.0</v>
      </c>
      <c r="N455" s="9">
        <v>44492.0</v>
      </c>
    </row>
    <row r="456">
      <c r="A456" s="5">
        <v>455.0</v>
      </c>
      <c r="B456" s="5" t="s">
        <v>869</v>
      </c>
      <c r="C456" s="5" t="s">
        <v>20</v>
      </c>
      <c r="K456" s="5">
        <v>150.0</v>
      </c>
      <c r="N456" s="9">
        <v>44106.0</v>
      </c>
    </row>
    <row r="457">
      <c r="A457" s="5">
        <v>456.0</v>
      </c>
      <c r="B457" s="5" t="s">
        <v>870</v>
      </c>
      <c r="C457" s="5" t="s">
        <v>20</v>
      </c>
      <c r="K457" s="5">
        <v>900.0</v>
      </c>
      <c r="N457" s="9">
        <v>45748.0</v>
      </c>
    </row>
    <row r="458">
      <c r="A458" s="5">
        <v>457.0</v>
      </c>
      <c r="B458" s="5" t="s">
        <v>871</v>
      </c>
      <c r="C458" s="5" t="s">
        <v>20</v>
      </c>
      <c r="K458" s="5">
        <v>300.0</v>
      </c>
      <c r="N458" s="9">
        <v>44558.0</v>
      </c>
    </row>
    <row r="459">
      <c r="A459" s="5">
        <v>458.0</v>
      </c>
      <c r="B459" s="5" t="s">
        <v>872</v>
      </c>
      <c r="C459" s="5" t="s">
        <v>20</v>
      </c>
      <c r="N459" s="9">
        <v>44164.0</v>
      </c>
    </row>
    <row r="460">
      <c r="A460" s="5">
        <v>459.0</v>
      </c>
      <c r="B460" s="5" t="s">
        <v>873</v>
      </c>
      <c r="C460" s="5" t="s">
        <v>20</v>
      </c>
      <c r="K460" s="5">
        <v>150.0</v>
      </c>
      <c r="N460" s="9">
        <v>44566.0</v>
      </c>
    </row>
    <row r="461">
      <c r="A461" s="5">
        <v>460.0</v>
      </c>
      <c r="B461" s="5" t="s">
        <v>874</v>
      </c>
      <c r="C461" s="5" t="s">
        <v>20</v>
      </c>
      <c r="K461" s="5">
        <v>100.0</v>
      </c>
      <c r="N461" s="9">
        <v>44651.0</v>
      </c>
    </row>
    <row r="462">
      <c r="A462" s="5">
        <v>461.0</v>
      </c>
      <c r="B462" s="5" t="s">
        <v>875</v>
      </c>
      <c r="C462" s="5" t="s">
        <v>20</v>
      </c>
      <c r="K462" s="5">
        <v>250.0</v>
      </c>
      <c r="N462" s="9">
        <v>44827.0</v>
      </c>
    </row>
    <row r="463">
      <c r="A463" s="5">
        <v>462.0</v>
      </c>
      <c r="B463" s="5" t="s">
        <v>876</v>
      </c>
      <c r="C463" s="5" t="s">
        <v>20</v>
      </c>
      <c r="K463" s="5">
        <v>150.0</v>
      </c>
      <c r="N463" s="9">
        <v>43959.0</v>
      </c>
    </row>
    <row r="464">
      <c r="A464" s="5">
        <v>463.0</v>
      </c>
      <c r="B464" s="5" t="s">
        <v>877</v>
      </c>
      <c r="C464" s="5" t="s">
        <v>20</v>
      </c>
      <c r="K464" s="5">
        <v>150.0</v>
      </c>
      <c r="N464" s="9">
        <v>44738.0</v>
      </c>
    </row>
    <row r="465">
      <c r="A465" s="5">
        <v>464.0</v>
      </c>
      <c r="B465" s="5" t="s">
        <v>878</v>
      </c>
      <c r="C465" s="5" t="s">
        <v>20</v>
      </c>
      <c r="K465" s="5">
        <v>4200.0</v>
      </c>
      <c r="N465" s="9">
        <v>44153.0</v>
      </c>
    </row>
    <row r="466">
      <c r="A466" s="5">
        <v>465.0</v>
      </c>
      <c r="B466" s="5" t="s">
        <v>879</v>
      </c>
      <c r="C466" s="5" t="s">
        <v>20</v>
      </c>
      <c r="K466" s="5">
        <v>2300.0</v>
      </c>
      <c r="N466" s="9">
        <v>43902.0</v>
      </c>
    </row>
    <row r="467">
      <c r="A467" s="5">
        <v>466.0</v>
      </c>
      <c r="B467" s="5" t="s">
        <v>880</v>
      </c>
      <c r="C467" s="5" t="s">
        <v>20</v>
      </c>
      <c r="K467" s="5">
        <v>2000.0</v>
      </c>
      <c r="N467" s="9">
        <v>44065.0</v>
      </c>
    </row>
    <row r="468">
      <c r="A468" s="5">
        <v>467.0</v>
      </c>
      <c r="B468" s="5" t="s">
        <v>881</v>
      </c>
      <c r="C468" s="5" t="s">
        <v>20</v>
      </c>
      <c r="K468" s="5">
        <v>70.0</v>
      </c>
      <c r="N468" s="9">
        <v>44572.0</v>
      </c>
    </row>
    <row r="469">
      <c r="A469" s="5">
        <v>468.0</v>
      </c>
      <c r="B469" s="5" t="s">
        <v>882</v>
      </c>
      <c r="C469" s="5" t="s">
        <v>20</v>
      </c>
      <c r="K469" s="5">
        <v>90.0</v>
      </c>
      <c r="N469" s="9">
        <v>43864.0</v>
      </c>
    </row>
    <row r="470">
      <c r="A470" s="5">
        <v>469.0</v>
      </c>
      <c r="B470" s="5" t="s">
        <v>883</v>
      </c>
      <c r="C470" s="5" t="s">
        <v>20</v>
      </c>
      <c r="K470" s="5">
        <v>100.0</v>
      </c>
      <c r="N470" s="9">
        <v>45172.0</v>
      </c>
    </row>
    <row r="471">
      <c r="A471" s="5">
        <v>470.0</v>
      </c>
      <c r="B471" s="5" t="s">
        <v>884</v>
      </c>
      <c r="C471" s="5" t="s">
        <v>20</v>
      </c>
      <c r="K471" s="5">
        <v>50.0</v>
      </c>
      <c r="N471" s="9">
        <v>44931.0</v>
      </c>
    </row>
    <row r="472">
      <c r="A472" s="5">
        <v>471.0</v>
      </c>
      <c r="B472" s="5" t="s">
        <v>885</v>
      </c>
      <c r="C472" s="5" t="s">
        <v>20</v>
      </c>
      <c r="K472" s="5">
        <v>2400.0</v>
      </c>
      <c r="N472" s="9">
        <v>44264.0</v>
      </c>
    </row>
    <row r="473">
      <c r="A473" s="5">
        <v>472.0</v>
      </c>
      <c r="B473" s="5" t="s">
        <v>886</v>
      </c>
      <c r="C473" s="5" t="s">
        <v>20</v>
      </c>
      <c r="K473" s="5">
        <v>300.0</v>
      </c>
      <c r="N473" s="9">
        <v>44121.0</v>
      </c>
    </row>
    <row r="474">
      <c r="A474" s="5">
        <v>473.0</v>
      </c>
      <c r="B474" s="5" t="s">
        <v>887</v>
      </c>
      <c r="C474" s="5" t="s">
        <v>20</v>
      </c>
      <c r="K474" s="5">
        <v>1500.0</v>
      </c>
      <c r="N474" s="9">
        <v>44450.0</v>
      </c>
    </row>
    <row r="475">
      <c r="A475" s="5">
        <v>474.0</v>
      </c>
      <c r="B475" s="5" t="s">
        <v>888</v>
      </c>
      <c r="C475" s="5" t="s">
        <v>20</v>
      </c>
      <c r="K475" s="5">
        <v>300.0</v>
      </c>
      <c r="N475" s="9">
        <v>43874.0</v>
      </c>
    </row>
    <row r="476">
      <c r="A476" s="5">
        <v>475.0</v>
      </c>
      <c r="B476" s="5" t="s">
        <v>889</v>
      </c>
      <c r="C476" s="5" t="s">
        <v>20</v>
      </c>
      <c r="K476" s="5">
        <v>70.0</v>
      </c>
      <c r="N476" s="9">
        <v>45098.0</v>
      </c>
    </row>
    <row r="477">
      <c r="A477" s="5">
        <v>476.0</v>
      </c>
      <c r="B477" s="5" t="s">
        <v>890</v>
      </c>
      <c r="C477" s="5" t="s">
        <v>20</v>
      </c>
      <c r="K477" s="5">
        <v>300.0</v>
      </c>
      <c r="N477" s="9">
        <v>44691.0</v>
      </c>
    </row>
    <row r="478">
      <c r="A478" s="5">
        <v>477.0</v>
      </c>
      <c r="B478" s="5" t="s">
        <v>891</v>
      </c>
      <c r="C478" s="5" t="s">
        <v>20</v>
      </c>
      <c r="K478" s="5">
        <v>150.0</v>
      </c>
      <c r="N478" s="9">
        <v>44695.0</v>
      </c>
    </row>
    <row r="479">
      <c r="A479" s="5">
        <v>478.0</v>
      </c>
      <c r="B479" s="5" t="s">
        <v>892</v>
      </c>
      <c r="C479" s="5" t="s">
        <v>20</v>
      </c>
      <c r="K479" s="5">
        <v>2300.0</v>
      </c>
      <c r="N479" s="9">
        <v>44553.0</v>
      </c>
    </row>
    <row r="480">
      <c r="A480" s="5">
        <v>479.0</v>
      </c>
      <c r="B480" s="5" t="s">
        <v>893</v>
      </c>
      <c r="C480" s="5" t="s">
        <v>20</v>
      </c>
      <c r="K480" s="5">
        <v>500.0</v>
      </c>
      <c r="N480" s="9">
        <v>44299.0</v>
      </c>
    </row>
    <row r="481">
      <c r="A481" s="5">
        <v>480.0</v>
      </c>
      <c r="B481" s="5" t="s">
        <v>894</v>
      </c>
      <c r="C481" s="5" t="s">
        <v>20</v>
      </c>
      <c r="N481" s="9">
        <v>43912.0</v>
      </c>
    </row>
    <row r="482">
      <c r="A482" s="5">
        <v>481.0</v>
      </c>
      <c r="B482" s="5" t="s">
        <v>895</v>
      </c>
      <c r="C482" s="5" t="s">
        <v>20</v>
      </c>
      <c r="K482" s="5">
        <v>300.0</v>
      </c>
      <c r="N482" s="9">
        <v>44883.0</v>
      </c>
    </row>
    <row r="483">
      <c r="A483" s="5">
        <v>482.0</v>
      </c>
      <c r="B483" s="5" t="s">
        <v>896</v>
      </c>
      <c r="C483" s="5" t="s">
        <v>20</v>
      </c>
      <c r="K483" s="5">
        <v>250.0</v>
      </c>
      <c r="N483" s="9">
        <v>44541.0</v>
      </c>
    </row>
    <row r="484">
      <c r="A484" s="5">
        <v>483.0</v>
      </c>
      <c r="B484" s="5" t="s">
        <v>897</v>
      </c>
      <c r="C484" s="5" t="s">
        <v>20</v>
      </c>
      <c r="K484" s="5">
        <v>1300.0</v>
      </c>
      <c r="N484" s="9">
        <v>44297.0</v>
      </c>
    </row>
    <row r="485">
      <c r="A485" s="5">
        <v>484.0</v>
      </c>
      <c r="B485" s="5" t="s">
        <v>64</v>
      </c>
      <c r="C485" s="5" t="s">
        <v>20</v>
      </c>
      <c r="K485" s="5">
        <v>250.0</v>
      </c>
      <c r="N485" s="9">
        <v>44578.0</v>
      </c>
    </row>
    <row r="486">
      <c r="A486" s="5">
        <v>485.0</v>
      </c>
      <c r="B486" s="5" t="s">
        <v>898</v>
      </c>
      <c r="C486" s="5" t="s">
        <v>20</v>
      </c>
      <c r="K486" s="5">
        <v>250.0</v>
      </c>
      <c r="N486" s="9">
        <v>44262.0</v>
      </c>
    </row>
    <row r="487">
      <c r="A487" s="5">
        <v>486.0</v>
      </c>
      <c r="B487" s="5" t="s">
        <v>899</v>
      </c>
      <c r="C487" s="5" t="s">
        <v>20</v>
      </c>
      <c r="K487" s="5">
        <v>300.0</v>
      </c>
      <c r="N487" s="9">
        <v>44351.0</v>
      </c>
    </row>
    <row r="488">
      <c r="A488" s="5">
        <v>487.0</v>
      </c>
      <c r="B488" s="5" t="s">
        <v>900</v>
      </c>
      <c r="C488" s="5" t="s">
        <v>20</v>
      </c>
      <c r="K488" s="5">
        <v>1100.0</v>
      </c>
      <c r="N488" s="9">
        <v>44663.0</v>
      </c>
    </row>
    <row r="489">
      <c r="A489" s="5">
        <v>488.0</v>
      </c>
      <c r="B489" s="5" t="s">
        <v>901</v>
      </c>
      <c r="C489" s="5" t="s">
        <v>20</v>
      </c>
      <c r="K489" s="5">
        <v>600.0</v>
      </c>
      <c r="N489" s="9">
        <v>43935.0</v>
      </c>
    </row>
    <row r="490">
      <c r="A490" s="5">
        <v>489.0</v>
      </c>
      <c r="B490" s="5" t="s">
        <v>902</v>
      </c>
      <c r="C490" s="5" t="s">
        <v>20</v>
      </c>
      <c r="K490" s="5">
        <v>400.0</v>
      </c>
      <c r="N490" s="9">
        <v>44395.0</v>
      </c>
    </row>
    <row r="491">
      <c r="A491" s="5">
        <v>490.0</v>
      </c>
      <c r="B491" s="5" t="s">
        <v>903</v>
      </c>
      <c r="C491" s="5" t="s">
        <v>20</v>
      </c>
      <c r="K491" s="5">
        <v>20.0</v>
      </c>
      <c r="N491" s="9">
        <v>43862.0</v>
      </c>
    </row>
    <row r="492">
      <c r="A492" s="5">
        <v>491.0</v>
      </c>
      <c r="B492" s="5" t="s">
        <v>904</v>
      </c>
      <c r="C492" s="5" t="s">
        <v>20</v>
      </c>
      <c r="K492" s="5">
        <v>350.0</v>
      </c>
      <c r="N492" s="9">
        <v>44576.0</v>
      </c>
    </row>
    <row r="493">
      <c r="A493" s="5">
        <v>492.0</v>
      </c>
      <c r="B493" s="5" t="s">
        <v>66</v>
      </c>
      <c r="C493" s="5" t="s">
        <v>20</v>
      </c>
      <c r="K493" s="5">
        <v>30.0</v>
      </c>
      <c r="N493" s="9">
        <v>45651.0</v>
      </c>
    </row>
    <row r="494">
      <c r="A494" s="5">
        <v>493.0</v>
      </c>
      <c r="B494" s="5" t="s">
        <v>905</v>
      </c>
      <c r="C494" s="5" t="s">
        <v>20</v>
      </c>
      <c r="K494" s="5">
        <v>200.0</v>
      </c>
      <c r="N494" s="9">
        <v>44648.0</v>
      </c>
    </row>
    <row r="495">
      <c r="A495" s="5">
        <v>494.0</v>
      </c>
      <c r="B495" s="5" t="s">
        <v>67</v>
      </c>
      <c r="C495" s="5" t="s">
        <v>20</v>
      </c>
      <c r="K495" s="5">
        <v>250.0</v>
      </c>
      <c r="N495" s="9">
        <v>44600.0</v>
      </c>
    </row>
    <row r="496">
      <c r="A496" s="5">
        <v>495.0</v>
      </c>
      <c r="B496" s="5" t="s">
        <v>906</v>
      </c>
      <c r="C496" s="5" t="s">
        <v>20</v>
      </c>
      <c r="K496" s="5">
        <v>70.0</v>
      </c>
      <c r="N496" s="9">
        <v>44520.0</v>
      </c>
    </row>
    <row r="497">
      <c r="A497" s="5">
        <v>496.0</v>
      </c>
      <c r="B497" s="5" t="s">
        <v>907</v>
      </c>
      <c r="C497" s="5" t="s">
        <v>20</v>
      </c>
      <c r="K497" s="5">
        <v>40.0</v>
      </c>
      <c r="N497" s="9">
        <v>44638.0</v>
      </c>
    </row>
    <row r="498">
      <c r="A498" s="5">
        <v>497.0</v>
      </c>
      <c r="B498" s="5" t="s">
        <v>908</v>
      </c>
      <c r="C498" s="5" t="s">
        <v>20</v>
      </c>
      <c r="K498" s="5">
        <v>100.0</v>
      </c>
      <c r="N498" s="9">
        <v>44587.0</v>
      </c>
    </row>
    <row r="499">
      <c r="A499" s="5">
        <v>498.0</v>
      </c>
      <c r="B499" s="5" t="s">
        <v>909</v>
      </c>
      <c r="C499" s="5" t="s">
        <v>20</v>
      </c>
      <c r="K499" s="5">
        <v>50.0</v>
      </c>
      <c r="N499" s="9">
        <v>44579.0</v>
      </c>
    </row>
    <row r="500">
      <c r="A500" s="5">
        <v>499.0</v>
      </c>
      <c r="B500" s="5" t="s">
        <v>910</v>
      </c>
      <c r="C500" s="5" t="s">
        <v>20</v>
      </c>
      <c r="K500" s="5">
        <v>450.0</v>
      </c>
      <c r="N500" s="9">
        <v>45168.0</v>
      </c>
    </row>
    <row r="501">
      <c r="A501" s="5">
        <v>500.0</v>
      </c>
      <c r="B501" s="5" t="s">
        <v>911</v>
      </c>
      <c r="C501" s="5" t="s">
        <v>20</v>
      </c>
      <c r="K501" s="5">
        <v>1200.0</v>
      </c>
      <c r="N501" s="9">
        <v>44454.0</v>
      </c>
    </row>
    <row r="502">
      <c r="A502" s="5">
        <v>501.0</v>
      </c>
      <c r="B502" s="5" t="s">
        <v>912</v>
      </c>
      <c r="C502" s="5" t="s">
        <v>20</v>
      </c>
      <c r="K502" s="5">
        <v>400.0</v>
      </c>
      <c r="N502" s="9">
        <v>44587.0</v>
      </c>
    </row>
    <row r="503">
      <c r="A503" s="5">
        <v>502.0</v>
      </c>
      <c r="B503" s="5" t="s">
        <v>913</v>
      </c>
      <c r="C503" s="5" t="s">
        <v>20</v>
      </c>
      <c r="K503" s="5">
        <v>500.0</v>
      </c>
      <c r="N503" s="9">
        <v>43899.0</v>
      </c>
    </row>
    <row r="504">
      <c r="A504" s="5">
        <v>503.0</v>
      </c>
      <c r="B504" s="5" t="s">
        <v>914</v>
      </c>
      <c r="C504" s="5" t="s">
        <v>20</v>
      </c>
      <c r="K504" s="5">
        <v>700.0</v>
      </c>
      <c r="N504" s="9">
        <v>44130.0</v>
      </c>
    </row>
    <row r="505">
      <c r="A505" s="5">
        <v>504.0</v>
      </c>
      <c r="B505" s="5" t="s">
        <v>915</v>
      </c>
      <c r="C505" s="5" t="s">
        <v>20</v>
      </c>
      <c r="K505" s="5">
        <v>350.0</v>
      </c>
      <c r="N505" s="9">
        <v>45251.0</v>
      </c>
    </row>
    <row r="506">
      <c r="A506" s="5">
        <v>505.0</v>
      </c>
      <c r="B506" s="5" t="s">
        <v>916</v>
      </c>
      <c r="C506" s="5" t="s">
        <v>20</v>
      </c>
      <c r="K506" s="5">
        <v>100.0</v>
      </c>
      <c r="N506" s="9">
        <v>44057.0</v>
      </c>
    </row>
    <row r="507">
      <c r="A507" s="5">
        <v>506.0</v>
      </c>
      <c r="B507" s="5" t="s">
        <v>917</v>
      </c>
      <c r="C507" s="5" t="s">
        <v>20</v>
      </c>
      <c r="K507" s="5">
        <v>300.0</v>
      </c>
      <c r="N507" s="9">
        <v>44552.0</v>
      </c>
    </row>
    <row r="508">
      <c r="A508" s="5">
        <v>507.0</v>
      </c>
      <c r="B508" s="5" t="s">
        <v>918</v>
      </c>
      <c r="C508" s="5" t="s">
        <v>20</v>
      </c>
      <c r="K508" s="5">
        <v>200.0</v>
      </c>
      <c r="N508" s="9">
        <v>44294.0</v>
      </c>
    </row>
    <row r="509">
      <c r="A509" s="5">
        <v>508.0</v>
      </c>
      <c r="B509" s="5" t="s">
        <v>919</v>
      </c>
      <c r="C509" s="5" t="s">
        <v>20</v>
      </c>
      <c r="K509" s="5">
        <v>150.0</v>
      </c>
      <c r="N509" s="9">
        <v>44871.0</v>
      </c>
    </row>
    <row r="510">
      <c r="A510" s="5">
        <v>509.0</v>
      </c>
      <c r="B510" s="5" t="s">
        <v>920</v>
      </c>
      <c r="C510" s="5" t="s">
        <v>20</v>
      </c>
      <c r="K510" s="5">
        <v>150.0</v>
      </c>
      <c r="N510" s="9">
        <v>44561.0</v>
      </c>
    </row>
    <row r="511">
      <c r="A511" s="5">
        <v>510.0</v>
      </c>
      <c r="B511" s="5" t="s">
        <v>921</v>
      </c>
      <c r="C511" s="5" t="s">
        <v>20</v>
      </c>
      <c r="K511" s="5">
        <v>20.0</v>
      </c>
      <c r="N511" s="9">
        <v>44831.0</v>
      </c>
    </row>
    <row r="512">
      <c r="A512" s="5">
        <v>511.0</v>
      </c>
      <c r="B512" s="5" t="s">
        <v>922</v>
      </c>
      <c r="C512" s="5" t="s">
        <v>20</v>
      </c>
      <c r="K512" s="5">
        <v>600.0</v>
      </c>
      <c r="N512" s="9">
        <v>44446.0</v>
      </c>
    </row>
    <row r="513">
      <c r="A513" s="5">
        <v>512.0</v>
      </c>
      <c r="B513" s="5" t="s">
        <v>923</v>
      </c>
      <c r="C513" s="5" t="s">
        <v>20</v>
      </c>
      <c r="K513" s="5">
        <v>250.0</v>
      </c>
      <c r="N513" s="9">
        <v>45415.0</v>
      </c>
    </row>
    <row r="514">
      <c r="A514" s="5">
        <v>513.0</v>
      </c>
      <c r="B514" s="5" t="s">
        <v>924</v>
      </c>
      <c r="C514" s="5" t="s">
        <v>20</v>
      </c>
      <c r="K514" s="5">
        <v>600.0</v>
      </c>
      <c r="N514" s="9">
        <v>44275.0</v>
      </c>
    </row>
    <row r="515">
      <c r="A515" s="5">
        <v>514.0</v>
      </c>
      <c r="B515" s="5" t="s">
        <v>925</v>
      </c>
      <c r="C515" s="5" t="s">
        <v>20</v>
      </c>
      <c r="K515" s="5">
        <v>350.0</v>
      </c>
      <c r="N515" s="9">
        <v>44533.0</v>
      </c>
    </row>
    <row r="516">
      <c r="A516" s="5">
        <v>515.0</v>
      </c>
      <c r="B516" s="5" t="s">
        <v>926</v>
      </c>
      <c r="C516" s="5" t="s">
        <v>20</v>
      </c>
      <c r="K516" s="5">
        <v>150.0</v>
      </c>
      <c r="N516" s="9">
        <v>44317.0</v>
      </c>
    </row>
    <row r="517">
      <c r="A517" s="5">
        <v>516.0</v>
      </c>
      <c r="B517" s="5" t="s">
        <v>927</v>
      </c>
      <c r="C517" s="5" t="s">
        <v>20</v>
      </c>
      <c r="K517" s="5">
        <v>1100.0</v>
      </c>
      <c r="N517" s="9">
        <v>44530.0</v>
      </c>
    </row>
    <row r="518">
      <c r="A518" s="5">
        <v>517.0</v>
      </c>
      <c r="B518" s="5" t="s">
        <v>928</v>
      </c>
      <c r="C518" s="5" t="s">
        <v>20</v>
      </c>
      <c r="K518" s="5">
        <v>300.0</v>
      </c>
      <c r="N518" s="9">
        <v>44880.0</v>
      </c>
    </row>
    <row r="519">
      <c r="A519" s="5">
        <v>518.0</v>
      </c>
      <c r="B519" s="5" t="s">
        <v>929</v>
      </c>
      <c r="C519" s="5" t="s">
        <v>20</v>
      </c>
      <c r="K519" s="5">
        <v>600.0</v>
      </c>
      <c r="N519" s="9">
        <v>44530.0</v>
      </c>
    </row>
    <row r="520">
      <c r="A520" s="5">
        <v>519.0</v>
      </c>
      <c r="B520" s="5" t="s">
        <v>930</v>
      </c>
      <c r="C520" s="5" t="s">
        <v>20</v>
      </c>
      <c r="K520" s="5">
        <v>150.0</v>
      </c>
      <c r="N520" s="9">
        <v>44485.0</v>
      </c>
    </row>
    <row r="521">
      <c r="A521" s="5">
        <v>520.0</v>
      </c>
      <c r="B521" s="5" t="s">
        <v>931</v>
      </c>
      <c r="C521" s="5" t="s">
        <v>20</v>
      </c>
      <c r="K521" s="5">
        <v>250.0</v>
      </c>
      <c r="N521" s="9">
        <v>45586.0</v>
      </c>
    </row>
    <row r="522">
      <c r="A522" s="5">
        <v>521.0</v>
      </c>
      <c r="B522" s="5" t="s">
        <v>932</v>
      </c>
      <c r="C522" s="5" t="s">
        <v>20</v>
      </c>
      <c r="K522" s="5">
        <v>600.0</v>
      </c>
      <c r="N522" s="9">
        <v>44516.0</v>
      </c>
    </row>
    <row r="523">
      <c r="A523" s="5">
        <v>522.0</v>
      </c>
      <c r="B523" s="5" t="s">
        <v>933</v>
      </c>
      <c r="C523" s="5" t="s">
        <v>20</v>
      </c>
      <c r="K523" s="5">
        <v>200.0</v>
      </c>
      <c r="N523" s="9">
        <v>44928.0</v>
      </c>
    </row>
    <row r="524">
      <c r="A524" s="5">
        <v>523.0</v>
      </c>
      <c r="B524" s="5" t="s">
        <v>934</v>
      </c>
      <c r="C524" s="5" t="s">
        <v>20</v>
      </c>
      <c r="K524" s="5">
        <v>8300.0</v>
      </c>
      <c r="N524" s="9">
        <v>44689.0</v>
      </c>
    </row>
    <row r="525">
      <c r="A525" s="5">
        <v>524.0</v>
      </c>
      <c r="B525" s="5" t="s">
        <v>935</v>
      </c>
      <c r="C525" s="5" t="s">
        <v>20</v>
      </c>
      <c r="K525" s="5">
        <v>350.0</v>
      </c>
      <c r="N525" s="9">
        <v>44591.0</v>
      </c>
    </row>
    <row r="526">
      <c r="A526" s="5">
        <v>525.0</v>
      </c>
      <c r="B526" s="5" t="s">
        <v>936</v>
      </c>
      <c r="C526" s="5" t="s">
        <v>20</v>
      </c>
      <c r="K526" s="5">
        <v>80.0</v>
      </c>
      <c r="N526" s="9">
        <v>45067.0</v>
      </c>
    </row>
    <row r="527">
      <c r="A527" s="5">
        <v>526.0</v>
      </c>
      <c r="B527" s="5" t="s">
        <v>937</v>
      </c>
      <c r="C527" s="5" t="s">
        <v>20</v>
      </c>
      <c r="K527" s="5">
        <v>350.0</v>
      </c>
      <c r="N527" s="9">
        <v>44381.0</v>
      </c>
    </row>
    <row r="528">
      <c r="A528" s="5">
        <v>527.0</v>
      </c>
      <c r="B528" s="5" t="s">
        <v>70</v>
      </c>
      <c r="C528" s="5" t="s">
        <v>20</v>
      </c>
      <c r="K528" s="5">
        <v>50.0</v>
      </c>
      <c r="N528" s="9">
        <v>44577.0</v>
      </c>
    </row>
    <row r="529">
      <c r="A529" s="5">
        <v>528.0</v>
      </c>
      <c r="B529" s="5" t="s">
        <v>72</v>
      </c>
      <c r="C529" s="5" t="s">
        <v>20</v>
      </c>
      <c r="K529" s="5">
        <v>60.0</v>
      </c>
      <c r="N529" s="9">
        <v>44608.0</v>
      </c>
    </row>
    <row r="530">
      <c r="A530" s="5">
        <v>529.0</v>
      </c>
      <c r="B530" s="5" t="s">
        <v>938</v>
      </c>
      <c r="C530" s="5" t="s">
        <v>20</v>
      </c>
      <c r="N530" s="9">
        <v>44534.0</v>
      </c>
    </row>
    <row r="531">
      <c r="A531" s="5">
        <v>530.0</v>
      </c>
      <c r="B531" s="5" t="s">
        <v>939</v>
      </c>
      <c r="C531" s="5" t="s">
        <v>20</v>
      </c>
      <c r="K531" s="5">
        <v>1500.0</v>
      </c>
      <c r="N531" s="9">
        <v>44119.0</v>
      </c>
    </row>
    <row r="532">
      <c r="A532" s="5">
        <v>531.0</v>
      </c>
      <c r="B532" s="5" t="s">
        <v>940</v>
      </c>
      <c r="C532" s="5" t="s">
        <v>20</v>
      </c>
      <c r="K532" s="5">
        <v>200.0</v>
      </c>
      <c r="N532" s="9">
        <v>43881.0</v>
      </c>
    </row>
    <row r="533">
      <c r="A533" s="5">
        <v>532.0</v>
      </c>
      <c r="B533" s="5" t="s">
        <v>941</v>
      </c>
      <c r="C533" s="5" t="s">
        <v>20</v>
      </c>
      <c r="K533" s="5">
        <v>100.0</v>
      </c>
      <c r="N533" s="9">
        <v>44930.0</v>
      </c>
    </row>
    <row r="534">
      <c r="A534" s="5">
        <v>533.0</v>
      </c>
      <c r="B534" s="5" t="s">
        <v>942</v>
      </c>
      <c r="C534" s="5" t="s">
        <v>20</v>
      </c>
      <c r="K534" s="5">
        <v>600.0</v>
      </c>
      <c r="N534" s="9">
        <v>44202.0</v>
      </c>
    </row>
    <row r="535">
      <c r="A535" s="5">
        <v>534.0</v>
      </c>
      <c r="B535" s="5" t="s">
        <v>943</v>
      </c>
      <c r="C535" s="5" t="s">
        <v>20</v>
      </c>
      <c r="K535" s="5">
        <v>400.0</v>
      </c>
      <c r="N535" s="9">
        <v>45433.0</v>
      </c>
    </row>
    <row r="536">
      <c r="A536" s="5">
        <v>535.0</v>
      </c>
      <c r="B536" s="5" t="s">
        <v>944</v>
      </c>
      <c r="C536" s="5" t="s">
        <v>20</v>
      </c>
      <c r="K536" s="5">
        <v>150.0</v>
      </c>
      <c r="N536" s="9">
        <v>44487.0</v>
      </c>
    </row>
    <row r="537">
      <c r="A537" s="5">
        <v>536.0</v>
      </c>
      <c r="B537" s="5" t="s">
        <v>945</v>
      </c>
      <c r="C537" s="5" t="s">
        <v>20</v>
      </c>
      <c r="K537" s="5">
        <v>500.0</v>
      </c>
      <c r="N537" s="9">
        <v>44511.0</v>
      </c>
    </row>
    <row r="538">
      <c r="A538" s="5">
        <v>537.0</v>
      </c>
      <c r="B538" s="5" t="s">
        <v>75</v>
      </c>
      <c r="C538" s="5" t="s">
        <v>20</v>
      </c>
      <c r="K538" s="5">
        <v>80.0</v>
      </c>
      <c r="N538" s="9">
        <v>45384.0</v>
      </c>
    </row>
    <row r="539">
      <c r="A539" s="5">
        <v>538.0</v>
      </c>
      <c r="B539" s="5" t="s">
        <v>946</v>
      </c>
      <c r="C539" s="5" t="s">
        <v>20</v>
      </c>
      <c r="K539" s="5">
        <v>450.0</v>
      </c>
      <c r="N539" s="9">
        <v>44268.0</v>
      </c>
    </row>
    <row r="540">
      <c r="A540" s="5">
        <v>539.0</v>
      </c>
      <c r="B540" s="5" t="s">
        <v>947</v>
      </c>
      <c r="C540" s="5" t="s">
        <v>20</v>
      </c>
      <c r="K540" s="5">
        <v>150.0</v>
      </c>
      <c r="N540" s="9">
        <v>44534.0</v>
      </c>
    </row>
    <row r="541">
      <c r="A541" s="5">
        <v>540.0</v>
      </c>
      <c r="B541" s="5" t="s">
        <v>948</v>
      </c>
      <c r="C541" s="5" t="s">
        <v>20</v>
      </c>
      <c r="K541" s="5">
        <v>10.0</v>
      </c>
      <c r="N541" s="9">
        <v>45082.0</v>
      </c>
    </row>
    <row r="542">
      <c r="A542" s="5">
        <v>541.0</v>
      </c>
      <c r="B542" s="5" t="s">
        <v>949</v>
      </c>
      <c r="C542" s="5" t="s">
        <v>20</v>
      </c>
      <c r="K542" s="5">
        <v>10.0</v>
      </c>
      <c r="N542" s="9">
        <v>44342.0</v>
      </c>
    </row>
    <row r="543">
      <c r="A543" s="5">
        <v>542.0</v>
      </c>
      <c r="B543" s="5" t="s">
        <v>950</v>
      </c>
      <c r="C543" s="5" t="s">
        <v>20</v>
      </c>
      <c r="K543" s="5">
        <v>12000.0</v>
      </c>
      <c r="N543" s="9">
        <v>43841.0</v>
      </c>
    </row>
    <row r="544">
      <c r="A544" s="5">
        <v>543.0</v>
      </c>
      <c r="B544" s="5" t="s">
        <v>951</v>
      </c>
      <c r="C544" s="5" t="s">
        <v>20</v>
      </c>
      <c r="K544" s="5">
        <v>200.0</v>
      </c>
      <c r="N544" s="9">
        <v>45070.0</v>
      </c>
    </row>
    <row r="545">
      <c r="A545" s="5">
        <v>544.0</v>
      </c>
      <c r="B545" s="5" t="s">
        <v>952</v>
      </c>
      <c r="C545" s="5" t="s">
        <v>20</v>
      </c>
      <c r="K545" s="5">
        <v>150.0</v>
      </c>
      <c r="N545" s="9">
        <v>44269.0</v>
      </c>
    </row>
    <row r="546">
      <c r="A546" s="5">
        <v>545.0</v>
      </c>
      <c r="B546" s="5" t="s">
        <v>953</v>
      </c>
      <c r="C546" s="5" t="s">
        <v>20</v>
      </c>
      <c r="K546" s="5">
        <v>20.0</v>
      </c>
      <c r="N546" s="9">
        <v>44342.0</v>
      </c>
    </row>
    <row r="547">
      <c r="A547" s="5">
        <v>546.0</v>
      </c>
      <c r="B547" s="5" t="s">
        <v>954</v>
      </c>
      <c r="C547" s="5" t="s">
        <v>20</v>
      </c>
      <c r="K547" s="5">
        <v>500.0</v>
      </c>
      <c r="N547" s="9">
        <v>44385.0</v>
      </c>
    </row>
    <row r="548">
      <c r="A548" s="5">
        <v>547.0</v>
      </c>
      <c r="B548" s="5" t="s">
        <v>955</v>
      </c>
      <c r="C548" s="5" t="s">
        <v>20</v>
      </c>
      <c r="K548" s="5">
        <v>3500.0</v>
      </c>
      <c r="N548" s="9">
        <v>43887.0</v>
      </c>
    </row>
    <row r="549">
      <c r="A549" s="5">
        <v>548.0</v>
      </c>
      <c r="B549" s="5" t="s">
        <v>956</v>
      </c>
      <c r="C549" s="5" t="s">
        <v>20</v>
      </c>
      <c r="K549" s="5">
        <v>500.0</v>
      </c>
      <c r="N549" s="9">
        <v>44054.0</v>
      </c>
    </row>
    <row r="550">
      <c r="A550" s="5">
        <v>549.0</v>
      </c>
      <c r="B550" s="5" t="s">
        <v>957</v>
      </c>
      <c r="C550" s="5" t="s">
        <v>20</v>
      </c>
      <c r="N550" s="9">
        <v>44636.0</v>
      </c>
    </row>
    <row r="551">
      <c r="A551" s="5">
        <v>550.0</v>
      </c>
      <c r="B551" s="5" t="s">
        <v>958</v>
      </c>
      <c r="C551" s="5" t="s">
        <v>20</v>
      </c>
      <c r="K551" s="5">
        <v>90.0</v>
      </c>
      <c r="N551" s="9">
        <v>45655.0</v>
      </c>
    </row>
    <row r="552">
      <c r="A552" s="5">
        <v>551.0</v>
      </c>
      <c r="B552" s="5" t="s">
        <v>959</v>
      </c>
      <c r="C552" s="5" t="s">
        <v>20</v>
      </c>
      <c r="K552" s="5">
        <v>350.0</v>
      </c>
      <c r="N552" s="9">
        <v>44420.0</v>
      </c>
    </row>
    <row r="553">
      <c r="A553" s="5">
        <v>552.0</v>
      </c>
      <c r="B553" s="5" t="s">
        <v>960</v>
      </c>
      <c r="C553" s="5" t="s">
        <v>20</v>
      </c>
      <c r="K553" s="5">
        <v>500.0</v>
      </c>
      <c r="N553" s="9">
        <v>45501.0</v>
      </c>
    </row>
    <row r="554">
      <c r="A554" s="5">
        <v>553.0</v>
      </c>
      <c r="B554" s="5" t="s">
        <v>961</v>
      </c>
      <c r="C554" s="5" t="s">
        <v>20</v>
      </c>
      <c r="K554" s="5">
        <v>250.0</v>
      </c>
      <c r="N554" s="9">
        <v>44590.0</v>
      </c>
    </row>
    <row r="555">
      <c r="A555" s="5">
        <v>554.0</v>
      </c>
      <c r="B555" s="5" t="s">
        <v>962</v>
      </c>
      <c r="C555" s="5" t="s">
        <v>20</v>
      </c>
      <c r="K555" s="5">
        <v>2200.0</v>
      </c>
      <c r="N555" s="9">
        <v>43909.0</v>
      </c>
    </row>
    <row r="556">
      <c r="A556" s="5">
        <v>555.0</v>
      </c>
      <c r="B556" s="5" t="s">
        <v>963</v>
      </c>
      <c r="C556" s="5" t="s">
        <v>20</v>
      </c>
      <c r="K556" s="5">
        <v>30.0</v>
      </c>
      <c r="N556" s="9">
        <v>44621.0</v>
      </c>
    </row>
    <row r="557">
      <c r="A557" s="5">
        <v>556.0</v>
      </c>
      <c r="B557" s="5" t="s">
        <v>964</v>
      </c>
      <c r="C557" s="5" t="s">
        <v>20</v>
      </c>
      <c r="K557" s="5">
        <v>200.0</v>
      </c>
      <c r="N557" s="9">
        <v>44600.0</v>
      </c>
    </row>
    <row r="558">
      <c r="A558" s="5">
        <v>557.0</v>
      </c>
      <c r="B558" s="5" t="s">
        <v>965</v>
      </c>
      <c r="C558" s="5" t="s">
        <v>20</v>
      </c>
      <c r="K558" s="5">
        <v>150.0</v>
      </c>
      <c r="N558" s="9">
        <v>44526.0</v>
      </c>
    </row>
    <row r="559">
      <c r="A559" s="5">
        <v>558.0</v>
      </c>
      <c r="B559" s="5" t="s">
        <v>966</v>
      </c>
      <c r="C559" s="5" t="s">
        <v>20</v>
      </c>
      <c r="K559" s="5">
        <v>250.0</v>
      </c>
      <c r="N559" s="9">
        <v>44776.0</v>
      </c>
    </row>
    <row r="560">
      <c r="A560" s="5">
        <v>559.0</v>
      </c>
      <c r="B560" s="5" t="s">
        <v>967</v>
      </c>
      <c r="C560" s="5" t="s">
        <v>20</v>
      </c>
      <c r="K560" s="5">
        <v>70.0</v>
      </c>
      <c r="N560" s="9">
        <v>43862.0</v>
      </c>
    </row>
    <row r="561">
      <c r="A561" s="5">
        <v>560.0</v>
      </c>
      <c r="B561" s="5" t="s">
        <v>968</v>
      </c>
      <c r="C561" s="5" t="s">
        <v>20</v>
      </c>
      <c r="K561" s="5">
        <v>450.0</v>
      </c>
      <c r="N561" s="9">
        <v>44537.0</v>
      </c>
    </row>
    <row r="562">
      <c r="A562" s="5">
        <v>561.0</v>
      </c>
      <c r="B562" s="5" t="s">
        <v>969</v>
      </c>
      <c r="C562" s="5" t="s">
        <v>20</v>
      </c>
      <c r="K562" s="5">
        <v>70.0</v>
      </c>
      <c r="N562" s="9">
        <v>44542.0</v>
      </c>
    </row>
    <row r="563">
      <c r="A563" s="5">
        <v>562.0</v>
      </c>
      <c r="B563" s="5" t="s">
        <v>970</v>
      </c>
      <c r="C563" s="5" t="s">
        <v>20</v>
      </c>
      <c r="K563" s="5">
        <v>10.0</v>
      </c>
      <c r="N563" s="9">
        <v>44542.0</v>
      </c>
    </row>
    <row r="564">
      <c r="A564" s="5">
        <v>563.0</v>
      </c>
      <c r="B564" s="5" t="s">
        <v>971</v>
      </c>
      <c r="C564" s="5" t="s">
        <v>20</v>
      </c>
      <c r="K564" s="5">
        <v>900.0</v>
      </c>
      <c r="N564" s="9">
        <v>44570.0</v>
      </c>
    </row>
    <row r="565">
      <c r="A565" s="5">
        <v>564.0</v>
      </c>
      <c r="B565" s="5" t="s">
        <v>972</v>
      </c>
      <c r="C565" s="5" t="s">
        <v>20</v>
      </c>
      <c r="K565" s="5">
        <v>200.0</v>
      </c>
      <c r="N565" s="9">
        <v>44927.0</v>
      </c>
    </row>
    <row r="566">
      <c r="A566" s="5">
        <v>565.0</v>
      </c>
      <c r="B566" s="5" t="s">
        <v>973</v>
      </c>
      <c r="C566" s="5" t="s">
        <v>20</v>
      </c>
      <c r="K566" s="5">
        <v>250.0</v>
      </c>
      <c r="N566" s="9">
        <v>44679.0</v>
      </c>
    </row>
    <row r="567">
      <c r="A567" s="5">
        <v>566.0</v>
      </c>
      <c r="B567" s="5" t="s">
        <v>974</v>
      </c>
      <c r="C567" s="5" t="s">
        <v>20</v>
      </c>
      <c r="K567" s="5">
        <v>450.0</v>
      </c>
      <c r="N567" s="9">
        <v>45011.0</v>
      </c>
    </row>
    <row r="568">
      <c r="A568" s="5">
        <v>567.0</v>
      </c>
      <c r="B568" s="5" t="s">
        <v>975</v>
      </c>
      <c r="C568" s="5" t="s">
        <v>20</v>
      </c>
      <c r="K568" s="5">
        <v>200.0</v>
      </c>
      <c r="N568" s="9">
        <v>44585.0</v>
      </c>
    </row>
    <row r="569">
      <c r="A569" s="5">
        <v>568.0</v>
      </c>
      <c r="B569" s="5" t="s">
        <v>976</v>
      </c>
      <c r="C569" s="5" t="s">
        <v>20</v>
      </c>
      <c r="K569" s="5">
        <v>500.0</v>
      </c>
      <c r="N569" s="9">
        <v>43967.0</v>
      </c>
    </row>
    <row r="570">
      <c r="A570" s="5">
        <v>569.0</v>
      </c>
      <c r="B570" s="5" t="s">
        <v>78</v>
      </c>
      <c r="C570" s="5" t="s">
        <v>20</v>
      </c>
      <c r="K570" s="5">
        <v>20.0</v>
      </c>
      <c r="N570" s="9">
        <v>43845.0</v>
      </c>
    </row>
    <row r="571">
      <c r="A571" s="5">
        <v>570.0</v>
      </c>
      <c r="B571" s="5" t="s">
        <v>977</v>
      </c>
      <c r="C571" s="5" t="s">
        <v>20</v>
      </c>
      <c r="K571" s="5">
        <v>90.0</v>
      </c>
      <c r="N571" s="9">
        <v>45627.0</v>
      </c>
    </row>
    <row r="572">
      <c r="A572" s="5">
        <v>571.0</v>
      </c>
      <c r="B572" s="5" t="s">
        <v>978</v>
      </c>
      <c r="C572" s="5" t="s">
        <v>20</v>
      </c>
      <c r="K572" s="5">
        <v>300.0</v>
      </c>
      <c r="N572" s="9">
        <v>44663.0</v>
      </c>
    </row>
    <row r="573">
      <c r="A573" s="5">
        <v>572.0</v>
      </c>
      <c r="B573" s="5" t="s">
        <v>979</v>
      </c>
      <c r="C573" s="5" t="s">
        <v>20</v>
      </c>
      <c r="K573" s="5">
        <v>30.0</v>
      </c>
      <c r="N573" s="9">
        <v>44701.0</v>
      </c>
    </row>
    <row r="574">
      <c r="A574" s="5">
        <v>573.0</v>
      </c>
      <c r="B574" s="5" t="s">
        <v>980</v>
      </c>
      <c r="C574" s="5" t="s">
        <v>20</v>
      </c>
      <c r="K574" s="5">
        <v>200.0</v>
      </c>
      <c r="N574" s="9">
        <v>44535.0</v>
      </c>
    </row>
    <row r="575">
      <c r="A575" s="5">
        <v>574.0</v>
      </c>
      <c r="B575" s="5" t="s">
        <v>981</v>
      </c>
      <c r="C575" s="5" t="s">
        <v>20</v>
      </c>
      <c r="K575" s="5">
        <v>60.0</v>
      </c>
      <c r="N575" s="9">
        <v>44567.0</v>
      </c>
    </row>
    <row r="576">
      <c r="A576" s="5">
        <v>575.0</v>
      </c>
      <c r="B576" s="5" t="s">
        <v>982</v>
      </c>
      <c r="C576" s="5" t="s">
        <v>20</v>
      </c>
      <c r="K576" s="5">
        <v>250.0</v>
      </c>
      <c r="N576" s="9">
        <v>44380.0</v>
      </c>
    </row>
    <row r="577">
      <c r="A577" s="5">
        <v>576.0</v>
      </c>
      <c r="B577" s="5" t="s">
        <v>983</v>
      </c>
      <c r="C577" s="5" t="s">
        <v>20</v>
      </c>
      <c r="K577" s="5">
        <v>200.0</v>
      </c>
      <c r="N577" s="9">
        <v>44580.0</v>
      </c>
    </row>
    <row r="578">
      <c r="A578" s="5">
        <v>577.0</v>
      </c>
      <c r="B578" s="5" t="s">
        <v>984</v>
      </c>
      <c r="C578" s="5" t="s">
        <v>20</v>
      </c>
      <c r="K578" s="5">
        <v>250.0</v>
      </c>
      <c r="N578" s="9">
        <v>45383.0</v>
      </c>
    </row>
    <row r="579">
      <c r="A579" s="5">
        <v>578.0</v>
      </c>
      <c r="B579" s="5" t="s">
        <v>985</v>
      </c>
      <c r="C579" s="5" t="s">
        <v>20</v>
      </c>
      <c r="K579" s="5">
        <v>250.0</v>
      </c>
      <c r="N579" s="9">
        <v>44519.0</v>
      </c>
    </row>
    <row r="580">
      <c r="A580" s="5">
        <v>579.0</v>
      </c>
      <c r="B580" s="5" t="s">
        <v>986</v>
      </c>
      <c r="C580" s="5" t="s">
        <v>20</v>
      </c>
      <c r="K580" s="5">
        <v>10.0</v>
      </c>
      <c r="N580" s="9">
        <v>44566.0</v>
      </c>
    </row>
    <row r="581">
      <c r="A581" s="5">
        <v>580.0</v>
      </c>
      <c r="B581" s="5" t="s">
        <v>987</v>
      </c>
      <c r="C581" s="5" t="s">
        <v>20</v>
      </c>
      <c r="K581" s="5">
        <v>200.0</v>
      </c>
      <c r="N581" s="9">
        <v>44627.0</v>
      </c>
    </row>
    <row r="582">
      <c r="A582" s="5">
        <v>581.0</v>
      </c>
      <c r="B582" s="5" t="s">
        <v>988</v>
      </c>
      <c r="C582" s="5" t="s">
        <v>20</v>
      </c>
      <c r="K582" s="5">
        <v>150.0</v>
      </c>
      <c r="N582" s="9">
        <v>44560.0</v>
      </c>
    </row>
    <row r="583">
      <c r="A583" s="5">
        <v>582.0</v>
      </c>
      <c r="B583" s="5" t="s">
        <v>989</v>
      </c>
      <c r="C583" s="5" t="s">
        <v>20</v>
      </c>
      <c r="K583" s="5">
        <v>90.0</v>
      </c>
      <c r="N583" s="9">
        <v>44521.0</v>
      </c>
    </row>
    <row r="584">
      <c r="A584" s="5">
        <v>583.0</v>
      </c>
      <c r="B584" s="5" t="s">
        <v>990</v>
      </c>
      <c r="C584" s="5" t="s">
        <v>20</v>
      </c>
      <c r="N584" s="9">
        <v>44591.0</v>
      </c>
    </row>
    <row r="585">
      <c r="A585" s="5">
        <v>584.0</v>
      </c>
      <c r="B585" s="5" t="s">
        <v>991</v>
      </c>
      <c r="C585" s="5" t="s">
        <v>20</v>
      </c>
      <c r="K585" s="5">
        <v>300.0</v>
      </c>
      <c r="N585" s="9">
        <v>43853.0</v>
      </c>
    </row>
    <row r="586">
      <c r="A586" s="5">
        <v>585.0</v>
      </c>
      <c r="B586" s="5" t="s">
        <v>992</v>
      </c>
      <c r="C586" s="5" t="s">
        <v>20</v>
      </c>
      <c r="K586" s="5">
        <v>80.0</v>
      </c>
      <c r="N586" s="9">
        <v>44494.0</v>
      </c>
    </row>
    <row r="587">
      <c r="A587" s="5">
        <v>586.0</v>
      </c>
      <c r="B587" s="5" t="s">
        <v>993</v>
      </c>
      <c r="C587" s="5" t="s">
        <v>20</v>
      </c>
      <c r="K587" s="5">
        <v>20.0</v>
      </c>
      <c r="N587" s="9">
        <v>43981.0</v>
      </c>
    </row>
    <row r="588">
      <c r="A588" s="5">
        <v>587.0</v>
      </c>
      <c r="B588" s="5" t="s">
        <v>994</v>
      </c>
      <c r="C588" s="5" t="s">
        <v>20</v>
      </c>
      <c r="K588" s="5">
        <v>150.0</v>
      </c>
      <c r="N588" s="9">
        <v>45589.0</v>
      </c>
    </row>
    <row r="589">
      <c r="A589" s="5">
        <v>588.0</v>
      </c>
      <c r="B589" s="5" t="s">
        <v>995</v>
      </c>
      <c r="C589" s="5" t="s">
        <v>20</v>
      </c>
      <c r="K589" s="5">
        <v>600.0</v>
      </c>
      <c r="N589" s="9">
        <v>44533.0</v>
      </c>
    </row>
    <row r="590">
      <c r="A590" s="5">
        <v>589.0</v>
      </c>
      <c r="B590" s="5" t="s">
        <v>996</v>
      </c>
      <c r="C590" s="5" t="s">
        <v>20</v>
      </c>
      <c r="K590" s="5">
        <v>600.0</v>
      </c>
      <c r="N590" s="9">
        <v>44320.0</v>
      </c>
    </row>
    <row r="591">
      <c r="A591" s="5">
        <v>590.0</v>
      </c>
      <c r="B591" s="5" t="s">
        <v>997</v>
      </c>
      <c r="C591" s="5" t="s">
        <v>20</v>
      </c>
      <c r="K591" s="5">
        <v>80.0</v>
      </c>
      <c r="N591" s="9">
        <v>44543.0</v>
      </c>
    </row>
    <row r="592">
      <c r="A592" s="5">
        <v>591.0</v>
      </c>
      <c r="B592" s="5" t="s">
        <v>998</v>
      </c>
      <c r="C592" s="5" t="s">
        <v>20</v>
      </c>
      <c r="K592" s="5">
        <v>40.0</v>
      </c>
      <c r="N592" s="9">
        <v>44656.0</v>
      </c>
    </row>
    <row r="593">
      <c r="A593" s="5">
        <v>592.0</v>
      </c>
      <c r="B593" s="5" t="s">
        <v>999</v>
      </c>
      <c r="C593" s="5" t="s">
        <v>20</v>
      </c>
      <c r="K593" s="5">
        <v>70.0</v>
      </c>
      <c r="N593" s="9">
        <v>44769.0</v>
      </c>
    </row>
    <row r="594">
      <c r="A594" s="5">
        <v>593.0</v>
      </c>
      <c r="B594" s="5" t="s">
        <v>1000</v>
      </c>
      <c r="C594" s="5" t="s">
        <v>20</v>
      </c>
      <c r="K594" s="5">
        <v>10.0</v>
      </c>
      <c r="N594" s="9">
        <v>44857.0</v>
      </c>
    </row>
    <row r="595">
      <c r="A595" s="5">
        <v>594.0</v>
      </c>
      <c r="B595" s="5" t="s">
        <v>1001</v>
      </c>
      <c r="C595" s="5" t="s">
        <v>20</v>
      </c>
      <c r="K595" s="5">
        <v>10.0</v>
      </c>
      <c r="N595" s="9">
        <v>45071.0</v>
      </c>
    </row>
    <row r="596">
      <c r="A596" s="5">
        <v>595.0</v>
      </c>
      <c r="B596" s="5" t="s">
        <v>1002</v>
      </c>
      <c r="C596" s="5" t="s">
        <v>20</v>
      </c>
      <c r="K596" s="5">
        <v>20.0</v>
      </c>
      <c r="N596" s="9">
        <v>44304.0</v>
      </c>
    </row>
    <row r="597">
      <c r="A597" s="5">
        <v>596.0</v>
      </c>
      <c r="B597" s="5" t="s">
        <v>1003</v>
      </c>
      <c r="C597" s="5" t="s">
        <v>20</v>
      </c>
      <c r="K597" s="5">
        <v>20.0</v>
      </c>
      <c r="N597" s="9">
        <v>45905.0</v>
      </c>
    </row>
    <row r="598">
      <c r="A598" s="5">
        <v>597.0</v>
      </c>
      <c r="B598" s="5" t="s">
        <v>1004</v>
      </c>
      <c r="C598" s="5" t="s">
        <v>20</v>
      </c>
      <c r="K598" s="5">
        <v>150.0</v>
      </c>
      <c r="N598" s="9">
        <v>44142.0</v>
      </c>
    </row>
    <row r="599">
      <c r="A599" s="5">
        <v>598.0</v>
      </c>
      <c r="B599" s="5" t="s">
        <v>1005</v>
      </c>
      <c r="C599" s="5" t="s">
        <v>20</v>
      </c>
      <c r="K599" s="5">
        <v>80.0</v>
      </c>
      <c r="N599" s="9">
        <v>44119.0</v>
      </c>
    </row>
    <row r="600">
      <c r="A600" s="5">
        <v>599.0</v>
      </c>
      <c r="B600" s="5" t="s">
        <v>1006</v>
      </c>
      <c r="C600" s="5" t="s">
        <v>20</v>
      </c>
      <c r="K600" s="5">
        <v>500.0</v>
      </c>
      <c r="N600" s="9">
        <v>43898.0</v>
      </c>
    </row>
    <row r="601">
      <c r="A601" s="5">
        <v>600.0</v>
      </c>
      <c r="B601" s="5" t="s">
        <v>1007</v>
      </c>
      <c r="C601" s="5" t="s">
        <v>20</v>
      </c>
      <c r="K601" s="5">
        <v>250.0</v>
      </c>
      <c r="N601" s="9">
        <v>44700.0</v>
      </c>
    </row>
    <row r="602">
      <c r="A602" s="5">
        <v>601.0</v>
      </c>
      <c r="B602" s="5" t="s">
        <v>1008</v>
      </c>
      <c r="C602" s="5" t="s">
        <v>20</v>
      </c>
      <c r="K602" s="5">
        <v>900.0</v>
      </c>
      <c r="N602" s="9">
        <v>44090.0</v>
      </c>
    </row>
    <row r="603">
      <c r="A603" s="5">
        <v>602.0</v>
      </c>
      <c r="B603" s="5" t="s">
        <v>1009</v>
      </c>
      <c r="C603" s="5" t="s">
        <v>20</v>
      </c>
      <c r="K603" s="5">
        <v>150.0</v>
      </c>
      <c r="N603" s="9">
        <v>45472.0</v>
      </c>
    </row>
    <row r="604">
      <c r="A604" s="5">
        <v>603.0</v>
      </c>
      <c r="B604" s="5" t="s">
        <v>1010</v>
      </c>
      <c r="C604" s="5" t="s">
        <v>20</v>
      </c>
      <c r="K604" s="5">
        <v>900.0</v>
      </c>
      <c r="N604" s="9">
        <v>45496.0</v>
      </c>
    </row>
    <row r="605">
      <c r="A605" s="5">
        <v>604.0</v>
      </c>
      <c r="B605" s="5" t="s">
        <v>86</v>
      </c>
      <c r="C605" s="5" t="s">
        <v>20</v>
      </c>
      <c r="K605" s="5">
        <v>34000.0</v>
      </c>
      <c r="N605" s="9">
        <v>43838.0</v>
      </c>
    </row>
    <row r="606">
      <c r="A606" s="5">
        <v>605.0</v>
      </c>
      <c r="B606" s="5" t="s">
        <v>1011</v>
      </c>
      <c r="C606" s="5" t="s">
        <v>20</v>
      </c>
      <c r="K606" s="5">
        <v>250.0</v>
      </c>
      <c r="N606" s="9">
        <v>44530.0</v>
      </c>
    </row>
    <row r="607">
      <c r="A607" s="5">
        <v>606.0</v>
      </c>
      <c r="B607" s="5" t="s">
        <v>1012</v>
      </c>
      <c r="C607" s="5" t="s">
        <v>20</v>
      </c>
      <c r="K607" s="5">
        <v>100.0</v>
      </c>
      <c r="N607" s="9">
        <v>44578.0</v>
      </c>
    </row>
    <row r="608">
      <c r="A608" s="5">
        <v>607.0</v>
      </c>
      <c r="B608" s="5" t="s">
        <v>1013</v>
      </c>
      <c r="C608" s="5" t="s">
        <v>20</v>
      </c>
      <c r="K608" s="5">
        <v>600.0</v>
      </c>
      <c r="N608" s="9">
        <v>44359.0</v>
      </c>
    </row>
    <row r="609">
      <c r="A609" s="5">
        <v>608.0</v>
      </c>
      <c r="B609" s="5" t="s">
        <v>1014</v>
      </c>
      <c r="C609" s="5" t="s">
        <v>20</v>
      </c>
      <c r="K609" s="5">
        <v>150.0</v>
      </c>
      <c r="N609" s="9">
        <v>44775.0</v>
      </c>
    </row>
    <row r="610">
      <c r="A610" s="5">
        <v>609.0</v>
      </c>
      <c r="B610" s="5" t="s">
        <v>1015</v>
      </c>
      <c r="C610" s="5" t="s">
        <v>20</v>
      </c>
      <c r="N610" s="9">
        <v>45162.0</v>
      </c>
    </row>
    <row r="611">
      <c r="A611" s="5">
        <v>610.0</v>
      </c>
      <c r="B611" s="5" t="s">
        <v>1016</v>
      </c>
      <c r="C611" s="5" t="s">
        <v>20</v>
      </c>
      <c r="K611" s="5">
        <v>150.0</v>
      </c>
      <c r="N611" s="9">
        <v>44641.0</v>
      </c>
    </row>
    <row r="612">
      <c r="A612" s="5">
        <v>611.0</v>
      </c>
      <c r="B612" s="5" t="s">
        <v>1017</v>
      </c>
      <c r="C612" s="5" t="s">
        <v>20</v>
      </c>
      <c r="K612" s="5">
        <v>100.0</v>
      </c>
      <c r="N612" s="9">
        <v>44589.0</v>
      </c>
    </row>
    <row r="613">
      <c r="A613" s="5">
        <v>612.0</v>
      </c>
      <c r="B613" s="5" t="s">
        <v>1018</v>
      </c>
      <c r="C613" s="5" t="s">
        <v>20</v>
      </c>
      <c r="N613" s="9">
        <v>44282.0</v>
      </c>
    </row>
    <row r="614">
      <c r="A614" s="5">
        <v>613.0</v>
      </c>
      <c r="B614" s="5" t="s">
        <v>1019</v>
      </c>
      <c r="C614" s="5" t="s">
        <v>20</v>
      </c>
      <c r="K614" s="5">
        <v>350.0</v>
      </c>
      <c r="N614" s="9">
        <v>44563.0</v>
      </c>
    </row>
    <row r="615">
      <c r="A615" s="5">
        <v>614.0</v>
      </c>
      <c r="B615" s="5" t="s">
        <v>1020</v>
      </c>
      <c r="C615" s="5" t="s">
        <v>20</v>
      </c>
      <c r="K615" s="5">
        <v>60.0</v>
      </c>
      <c r="N615" s="9">
        <v>44628.0</v>
      </c>
    </row>
    <row r="616">
      <c r="A616" s="5">
        <v>615.0</v>
      </c>
      <c r="B616" s="5" t="s">
        <v>1021</v>
      </c>
      <c r="C616" s="5" t="s">
        <v>20</v>
      </c>
      <c r="K616" s="5">
        <v>10.0</v>
      </c>
      <c r="N616" s="9">
        <v>44615.0</v>
      </c>
    </row>
    <row r="617">
      <c r="A617" s="5">
        <v>616.0</v>
      </c>
      <c r="B617" s="5" t="s">
        <v>1022</v>
      </c>
      <c r="C617" s="5" t="s">
        <v>20</v>
      </c>
      <c r="K617" s="5">
        <v>300.0</v>
      </c>
      <c r="N617" s="9">
        <v>43922.0</v>
      </c>
    </row>
    <row r="618">
      <c r="A618" s="5">
        <v>617.0</v>
      </c>
      <c r="B618" s="5" t="s">
        <v>1023</v>
      </c>
      <c r="C618" s="5" t="s">
        <v>20</v>
      </c>
      <c r="K618" s="5">
        <v>70.0</v>
      </c>
      <c r="N618" s="9">
        <v>44532.0</v>
      </c>
    </row>
    <row r="619">
      <c r="A619" s="5">
        <v>618.0</v>
      </c>
      <c r="B619" s="5" t="s">
        <v>1024</v>
      </c>
      <c r="C619" s="5" t="s">
        <v>20</v>
      </c>
      <c r="K619" s="5">
        <v>200.0</v>
      </c>
      <c r="N619" s="9">
        <v>44738.0</v>
      </c>
    </row>
    <row r="620">
      <c r="A620" s="5">
        <v>619.0</v>
      </c>
      <c r="B620" s="5" t="s">
        <v>1025</v>
      </c>
      <c r="C620" s="5" t="s">
        <v>20</v>
      </c>
      <c r="K620" s="5">
        <v>500.0</v>
      </c>
      <c r="N620" s="9">
        <v>44219.0</v>
      </c>
    </row>
    <row r="621">
      <c r="A621" s="5">
        <v>620.0</v>
      </c>
      <c r="B621" s="5" t="s">
        <v>1026</v>
      </c>
      <c r="C621" s="5" t="s">
        <v>20</v>
      </c>
      <c r="K621" s="5">
        <v>500.0</v>
      </c>
      <c r="N621" s="9">
        <v>45553.0</v>
      </c>
    </row>
    <row r="622">
      <c r="A622" s="5">
        <v>621.0</v>
      </c>
      <c r="B622" s="5" t="s">
        <v>1027</v>
      </c>
      <c r="C622" s="5" t="s">
        <v>20</v>
      </c>
      <c r="K622" s="5">
        <v>150.0</v>
      </c>
      <c r="N622" s="9">
        <v>45038.0</v>
      </c>
    </row>
    <row r="623">
      <c r="A623" s="5">
        <v>622.0</v>
      </c>
      <c r="B623" s="5" t="s">
        <v>1028</v>
      </c>
      <c r="C623" s="5" t="s">
        <v>20</v>
      </c>
      <c r="K623" s="5">
        <v>150.0</v>
      </c>
      <c r="N623" s="9">
        <v>45376.0</v>
      </c>
    </row>
    <row r="624">
      <c r="A624" s="5">
        <v>623.0</v>
      </c>
      <c r="B624" s="5" t="s">
        <v>1029</v>
      </c>
      <c r="C624" s="5" t="s">
        <v>20</v>
      </c>
      <c r="K624" s="5">
        <v>1700.0</v>
      </c>
      <c r="N624" s="9">
        <v>44428.0</v>
      </c>
    </row>
    <row r="625">
      <c r="A625" s="5">
        <v>624.0</v>
      </c>
      <c r="B625" s="5" t="s">
        <v>1030</v>
      </c>
      <c r="C625" s="5" t="s">
        <v>20</v>
      </c>
      <c r="K625" s="5">
        <v>10.0</v>
      </c>
      <c r="N625" s="9">
        <v>44508.0</v>
      </c>
    </row>
    <row r="626">
      <c r="A626" s="5">
        <v>625.0</v>
      </c>
      <c r="B626" s="5" t="s">
        <v>1031</v>
      </c>
      <c r="C626" s="5" t="s">
        <v>20</v>
      </c>
      <c r="K626" s="5">
        <v>10.0</v>
      </c>
      <c r="N626" s="9">
        <v>45534.0</v>
      </c>
    </row>
    <row r="627">
      <c r="A627" s="5">
        <v>626.0</v>
      </c>
      <c r="B627" s="5" t="s">
        <v>1032</v>
      </c>
      <c r="C627" s="5" t="s">
        <v>20</v>
      </c>
      <c r="K627" s="5">
        <v>300.0</v>
      </c>
      <c r="N627" s="9">
        <v>44554.0</v>
      </c>
    </row>
    <row r="628">
      <c r="A628" s="5">
        <v>627.0</v>
      </c>
      <c r="B628" s="5" t="s">
        <v>1033</v>
      </c>
      <c r="C628" s="5" t="s">
        <v>20</v>
      </c>
      <c r="K628" s="5">
        <v>10.0</v>
      </c>
      <c r="N628" s="9">
        <v>44393.0</v>
      </c>
    </row>
    <row r="629">
      <c r="A629" s="5">
        <v>628.0</v>
      </c>
      <c r="B629" s="5" t="s">
        <v>1034</v>
      </c>
      <c r="C629" s="5" t="s">
        <v>20</v>
      </c>
      <c r="K629" s="5">
        <v>1300.0</v>
      </c>
      <c r="N629" s="9">
        <v>44085.0</v>
      </c>
    </row>
    <row r="630">
      <c r="A630" s="5">
        <v>629.0</v>
      </c>
      <c r="B630" s="5" t="s">
        <v>1035</v>
      </c>
      <c r="C630" s="5" t="s">
        <v>20</v>
      </c>
      <c r="K630" s="5">
        <v>150.0</v>
      </c>
      <c r="N630" s="9">
        <v>44615.0</v>
      </c>
    </row>
    <row r="631">
      <c r="A631" s="5">
        <v>630.0</v>
      </c>
      <c r="B631" s="5" t="s">
        <v>1036</v>
      </c>
      <c r="C631" s="5" t="s">
        <v>20</v>
      </c>
      <c r="K631" s="5">
        <v>3400.0</v>
      </c>
      <c r="N631" s="9">
        <v>43998.0</v>
      </c>
    </row>
    <row r="632">
      <c r="A632" s="5">
        <v>631.0</v>
      </c>
      <c r="B632" s="5" t="s">
        <v>1037</v>
      </c>
      <c r="C632" s="5" t="s">
        <v>20</v>
      </c>
      <c r="K632" s="5">
        <v>300.0</v>
      </c>
      <c r="N632" s="9">
        <v>44746.0</v>
      </c>
    </row>
    <row r="633">
      <c r="A633" s="5">
        <v>632.0</v>
      </c>
      <c r="B633" s="5" t="s">
        <v>1038</v>
      </c>
      <c r="C633" s="5" t="s">
        <v>20</v>
      </c>
      <c r="K633" s="5">
        <v>500.0</v>
      </c>
      <c r="N633" s="9">
        <v>45254.0</v>
      </c>
    </row>
    <row r="634">
      <c r="A634" s="5">
        <v>633.0</v>
      </c>
      <c r="B634" s="5" t="s">
        <v>1039</v>
      </c>
      <c r="C634" s="5" t="s">
        <v>20</v>
      </c>
      <c r="K634" s="5">
        <v>200.0</v>
      </c>
      <c r="N634" s="9">
        <v>45432.0</v>
      </c>
    </row>
    <row r="635">
      <c r="A635" s="5">
        <v>634.0</v>
      </c>
      <c r="B635" s="5" t="s">
        <v>1040</v>
      </c>
      <c r="C635" s="5" t="s">
        <v>20</v>
      </c>
      <c r="K635" s="5">
        <v>350.0</v>
      </c>
      <c r="N635" s="9">
        <v>44456.0</v>
      </c>
    </row>
    <row r="636">
      <c r="A636" s="5">
        <v>635.0</v>
      </c>
      <c r="B636" s="5" t="s">
        <v>1041</v>
      </c>
      <c r="C636" s="5" t="s">
        <v>20</v>
      </c>
      <c r="K636" s="5">
        <v>1300.0</v>
      </c>
      <c r="N636" s="9">
        <v>43884.0</v>
      </c>
    </row>
    <row r="637">
      <c r="A637" s="5">
        <v>636.0</v>
      </c>
      <c r="B637" s="5" t="s">
        <v>1042</v>
      </c>
      <c r="C637" s="5" t="s">
        <v>20</v>
      </c>
      <c r="K637" s="5">
        <v>50.0</v>
      </c>
      <c r="N637" s="9">
        <v>44529.0</v>
      </c>
    </row>
    <row r="638">
      <c r="A638" s="5">
        <v>637.0</v>
      </c>
      <c r="B638" s="5" t="s">
        <v>1043</v>
      </c>
      <c r="C638" s="5" t="s">
        <v>20</v>
      </c>
      <c r="K638" s="5">
        <v>60.0</v>
      </c>
      <c r="N638" s="9">
        <v>44302.0</v>
      </c>
    </row>
    <row r="639">
      <c r="A639" s="5">
        <v>638.0</v>
      </c>
      <c r="B639" s="5" t="s">
        <v>1044</v>
      </c>
      <c r="C639" s="5" t="s">
        <v>20</v>
      </c>
      <c r="K639" s="5">
        <v>1800.0</v>
      </c>
      <c r="N639" s="9">
        <v>44916.0</v>
      </c>
    </row>
    <row r="640">
      <c r="A640" s="5">
        <v>639.0</v>
      </c>
      <c r="B640" s="5" t="s">
        <v>1045</v>
      </c>
      <c r="C640" s="5" t="s">
        <v>20</v>
      </c>
      <c r="K640" s="5">
        <v>300.0</v>
      </c>
      <c r="N640" s="9">
        <v>44892.0</v>
      </c>
    </row>
    <row r="641">
      <c r="A641" s="5">
        <v>640.0</v>
      </c>
      <c r="B641" s="5" t="s">
        <v>1046</v>
      </c>
      <c r="C641" s="5" t="s">
        <v>20</v>
      </c>
      <c r="K641" s="5">
        <v>200.0</v>
      </c>
      <c r="N641" s="9">
        <v>45309.0</v>
      </c>
    </row>
    <row r="642">
      <c r="A642" s="5">
        <v>641.0</v>
      </c>
      <c r="B642" s="5" t="s">
        <v>1047</v>
      </c>
      <c r="C642" s="5" t="s">
        <v>20</v>
      </c>
      <c r="N642" s="9">
        <v>44420.0</v>
      </c>
    </row>
    <row r="643">
      <c r="A643" s="5">
        <v>642.0</v>
      </c>
      <c r="B643" s="5" t="s">
        <v>1048</v>
      </c>
      <c r="C643" s="5" t="s">
        <v>20</v>
      </c>
      <c r="K643" s="5">
        <v>100.0</v>
      </c>
      <c r="N643" s="9">
        <v>44595.0</v>
      </c>
    </row>
    <row r="644">
      <c r="A644" s="5">
        <v>643.0</v>
      </c>
      <c r="B644" s="5" t="s">
        <v>1049</v>
      </c>
      <c r="C644" s="5" t="s">
        <v>20</v>
      </c>
      <c r="K644" s="5">
        <v>30.0</v>
      </c>
      <c r="N644" s="9">
        <v>45953.0</v>
      </c>
    </row>
    <row r="645">
      <c r="A645" s="5">
        <v>644.0</v>
      </c>
      <c r="B645" s="5" t="s">
        <v>1050</v>
      </c>
      <c r="C645" s="5" t="s">
        <v>20</v>
      </c>
      <c r="K645" s="5">
        <v>70.0</v>
      </c>
      <c r="N645" s="9">
        <v>44517.0</v>
      </c>
    </row>
    <row r="646">
      <c r="A646" s="5">
        <v>645.0</v>
      </c>
      <c r="B646" s="5" t="s">
        <v>1051</v>
      </c>
      <c r="C646" s="5" t="s">
        <v>20</v>
      </c>
      <c r="K646" s="5">
        <v>20.0</v>
      </c>
      <c r="N646" s="9">
        <v>44521.0</v>
      </c>
    </row>
    <row r="647">
      <c r="A647" s="5">
        <v>646.0</v>
      </c>
      <c r="B647" s="5" t="s">
        <v>1052</v>
      </c>
      <c r="C647" s="5" t="s">
        <v>20</v>
      </c>
      <c r="K647" s="5">
        <v>100.0</v>
      </c>
      <c r="N647" s="9">
        <v>44528.0</v>
      </c>
    </row>
    <row r="648">
      <c r="A648" s="5">
        <v>647.0</v>
      </c>
      <c r="B648" s="5" t="s">
        <v>1053</v>
      </c>
      <c r="C648" s="5" t="s">
        <v>20</v>
      </c>
      <c r="K648" s="5">
        <v>10.0</v>
      </c>
      <c r="N648" s="9">
        <v>44982.0</v>
      </c>
    </row>
    <row r="649">
      <c r="A649" s="5">
        <v>648.0</v>
      </c>
      <c r="B649" s="5" t="s">
        <v>1054</v>
      </c>
      <c r="C649" s="5" t="s">
        <v>20</v>
      </c>
      <c r="K649" s="5">
        <v>200.0</v>
      </c>
      <c r="N649" s="9">
        <v>45148.0</v>
      </c>
    </row>
    <row r="650">
      <c r="A650" s="5">
        <v>649.0</v>
      </c>
      <c r="B650" s="5" t="s">
        <v>1055</v>
      </c>
      <c r="C650" s="5" t="s">
        <v>20</v>
      </c>
      <c r="K650" s="5">
        <v>60.0</v>
      </c>
      <c r="N650" s="9">
        <v>44530.0</v>
      </c>
    </row>
    <row r="651">
      <c r="A651" s="5">
        <v>650.0</v>
      </c>
      <c r="B651" s="5" t="s">
        <v>90</v>
      </c>
      <c r="C651" s="5" t="s">
        <v>20</v>
      </c>
      <c r="K651" s="5">
        <v>3600.0</v>
      </c>
      <c r="N651" s="9">
        <v>44172.0</v>
      </c>
    </row>
    <row r="652">
      <c r="A652" s="5">
        <v>651.0</v>
      </c>
      <c r="B652" s="5" t="s">
        <v>1056</v>
      </c>
      <c r="C652" s="5" t="s">
        <v>20</v>
      </c>
      <c r="K652" s="5">
        <v>1000.0</v>
      </c>
      <c r="N652" s="9">
        <v>44245.0</v>
      </c>
    </row>
    <row r="653">
      <c r="A653" s="5">
        <v>652.0</v>
      </c>
      <c r="B653" s="5" t="s">
        <v>95</v>
      </c>
      <c r="C653" s="5" t="s">
        <v>20</v>
      </c>
      <c r="K653" s="5">
        <v>700.0</v>
      </c>
      <c r="N653" s="9">
        <v>42925.0</v>
      </c>
    </row>
    <row r="654">
      <c r="A654" s="5">
        <v>653.0</v>
      </c>
      <c r="B654" s="5" t="s">
        <v>1057</v>
      </c>
      <c r="C654" s="5" t="s">
        <v>20</v>
      </c>
      <c r="K654" s="5">
        <v>40.0</v>
      </c>
      <c r="N654" s="9">
        <v>44564.0</v>
      </c>
    </row>
    <row r="655">
      <c r="A655" s="5">
        <v>654.0</v>
      </c>
      <c r="B655" s="5" t="s">
        <v>1058</v>
      </c>
      <c r="C655" s="5" t="s">
        <v>20</v>
      </c>
      <c r="K655" s="5">
        <v>150.0</v>
      </c>
      <c r="N655" s="9">
        <v>45412.0</v>
      </c>
    </row>
    <row r="656">
      <c r="A656" s="5">
        <v>655.0</v>
      </c>
      <c r="B656" s="5" t="s">
        <v>100</v>
      </c>
      <c r="C656" s="5" t="s">
        <v>20</v>
      </c>
      <c r="K656" s="5">
        <v>19000.0</v>
      </c>
      <c r="N656" s="9">
        <v>43881.0</v>
      </c>
    </row>
    <row r="657">
      <c r="A657" s="5">
        <v>656.0</v>
      </c>
      <c r="B657" s="5" t="s">
        <v>1059</v>
      </c>
      <c r="C657" s="5" t="s">
        <v>20</v>
      </c>
      <c r="K657" s="5">
        <v>250.0</v>
      </c>
      <c r="N657" s="9">
        <v>44342.0</v>
      </c>
    </row>
    <row r="658">
      <c r="A658" s="5">
        <v>657.0</v>
      </c>
      <c r="B658" s="5" t="s">
        <v>104</v>
      </c>
      <c r="C658" s="5" t="s">
        <v>20</v>
      </c>
      <c r="N658" s="9">
        <v>44610.0</v>
      </c>
    </row>
    <row r="659">
      <c r="A659" s="5">
        <v>658.0</v>
      </c>
      <c r="B659" s="5" t="s">
        <v>1060</v>
      </c>
      <c r="C659" s="5" t="s">
        <v>20</v>
      </c>
      <c r="K659" s="5">
        <v>250.0</v>
      </c>
      <c r="N659" s="9">
        <v>43873.0</v>
      </c>
    </row>
    <row r="660">
      <c r="A660" s="5">
        <v>659.0</v>
      </c>
      <c r="B660" s="5" t="s">
        <v>1061</v>
      </c>
      <c r="C660" s="5" t="s">
        <v>20</v>
      </c>
      <c r="K660" s="5">
        <v>250.0</v>
      </c>
      <c r="N660" s="9">
        <v>44534.0</v>
      </c>
    </row>
    <row r="661">
      <c r="A661" s="5">
        <v>660.0</v>
      </c>
      <c r="B661" s="5" t="s">
        <v>1062</v>
      </c>
      <c r="C661" s="5" t="s">
        <v>20</v>
      </c>
      <c r="K661" s="5">
        <v>700.0</v>
      </c>
      <c r="N661" s="9">
        <v>44292.0</v>
      </c>
    </row>
    <row r="662">
      <c r="A662" s="5">
        <v>661.0</v>
      </c>
      <c r="B662" s="5" t="s">
        <v>1063</v>
      </c>
      <c r="C662" s="5" t="s">
        <v>20</v>
      </c>
      <c r="K662" s="5">
        <v>20.0</v>
      </c>
      <c r="N662" s="9">
        <v>44536.0</v>
      </c>
    </row>
    <row r="663">
      <c r="A663" s="5">
        <v>662.0</v>
      </c>
      <c r="B663" s="5" t="s">
        <v>1064</v>
      </c>
      <c r="C663" s="5" t="s">
        <v>20</v>
      </c>
      <c r="K663" s="5">
        <v>450.0</v>
      </c>
      <c r="N663" s="9">
        <v>44576.0</v>
      </c>
    </row>
    <row r="664">
      <c r="A664" s="5">
        <v>663.0</v>
      </c>
      <c r="B664" s="5" t="s">
        <v>1065</v>
      </c>
      <c r="C664" s="5" t="s">
        <v>20</v>
      </c>
      <c r="K664" s="5">
        <v>500.0</v>
      </c>
      <c r="N664" s="9">
        <v>44592.0</v>
      </c>
    </row>
    <row r="665">
      <c r="A665" s="5">
        <v>664.0</v>
      </c>
      <c r="B665" s="5" t="s">
        <v>1066</v>
      </c>
      <c r="C665" s="5" t="s">
        <v>20</v>
      </c>
      <c r="K665" s="5">
        <v>70.0</v>
      </c>
      <c r="N665" s="9">
        <v>44578.0</v>
      </c>
    </row>
    <row r="666">
      <c r="A666" s="5">
        <v>665.0</v>
      </c>
      <c r="B666" s="5" t="s">
        <v>1067</v>
      </c>
      <c r="C666" s="5" t="s">
        <v>20</v>
      </c>
      <c r="K666" s="5">
        <v>1700.0</v>
      </c>
      <c r="N666" s="9">
        <v>43923.0</v>
      </c>
    </row>
    <row r="667">
      <c r="A667" s="5">
        <v>666.0</v>
      </c>
      <c r="B667" s="5" t="s">
        <v>1068</v>
      </c>
      <c r="C667" s="5" t="s">
        <v>20</v>
      </c>
      <c r="K667" s="5">
        <v>100.0</v>
      </c>
      <c r="N667" s="9">
        <v>44587.0</v>
      </c>
    </row>
    <row r="668">
      <c r="A668" s="5">
        <v>667.0</v>
      </c>
      <c r="B668" s="5" t="s">
        <v>1069</v>
      </c>
      <c r="C668" s="5" t="s">
        <v>20</v>
      </c>
      <c r="K668" s="5">
        <v>450.0</v>
      </c>
      <c r="N668" s="9">
        <v>44377.0</v>
      </c>
    </row>
    <row r="669">
      <c r="A669" s="5">
        <v>668.0</v>
      </c>
      <c r="B669" s="5" t="s">
        <v>1070</v>
      </c>
      <c r="C669" s="5" t="s">
        <v>20</v>
      </c>
      <c r="K669" s="5">
        <v>200.0</v>
      </c>
      <c r="N669" s="9">
        <v>44152.0</v>
      </c>
    </row>
    <row r="670">
      <c r="A670" s="5">
        <v>669.0</v>
      </c>
      <c r="B670" s="5" t="s">
        <v>1071</v>
      </c>
      <c r="C670" s="5" t="s">
        <v>20</v>
      </c>
      <c r="K670" s="5">
        <v>900.0</v>
      </c>
      <c r="N670" s="9">
        <v>44750.0</v>
      </c>
    </row>
    <row r="671">
      <c r="A671" s="5">
        <v>670.0</v>
      </c>
      <c r="B671" s="5" t="s">
        <v>1072</v>
      </c>
      <c r="C671" s="5" t="s">
        <v>20</v>
      </c>
      <c r="K671" s="5">
        <v>80.0</v>
      </c>
      <c r="N671" s="9">
        <v>44972.0</v>
      </c>
    </row>
    <row r="672">
      <c r="A672" s="5">
        <v>671.0</v>
      </c>
      <c r="B672" s="5" t="s">
        <v>1073</v>
      </c>
      <c r="C672" s="5" t="s">
        <v>20</v>
      </c>
      <c r="K672" s="5">
        <v>350.0</v>
      </c>
      <c r="N672" s="9">
        <v>44592.0</v>
      </c>
    </row>
    <row r="673">
      <c r="A673" s="5">
        <v>672.0</v>
      </c>
      <c r="B673" s="5" t="s">
        <v>1074</v>
      </c>
      <c r="C673" s="5" t="s">
        <v>20</v>
      </c>
      <c r="K673" s="5">
        <v>300.0</v>
      </c>
      <c r="N673" s="9">
        <v>44370.0</v>
      </c>
    </row>
    <row r="674">
      <c r="A674" s="5">
        <v>673.0</v>
      </c>
      <c r="B674" s="5" t="s">
        <v>81</v>
      </c>
      <c r="C674" s="5" t="s">
        <v>20</v>
      </c>
      <c r="K674" s="5">
        <v>20.0</v>
      </c>
      <c r="N674" s="9">
        <v>44842.0</v>
      </c>
    </row>
    <row r="675">
      <c r="A675" s="5">
        <v>674.0</v>
      </c>
      <c r="B675" s="5" t="s">
        <v>1075</v>
      </c>
      <c r="C675" s="5" t="s">
        <v>20</v>
      </c>
      <c r="K675" s="5">
        <v>250.0</v>
      </c>
      <c r="N675" s="9">
        <v>44526.0</v>
      </c>
    </row>
    <row r="676">
      <c r="A676" s="5">
        <v>675.0</v>
      </c>
      <c r="B676" s="5" t="s">
        <v>1076</v>
      </c>
      <c r="C676" s="5" t="s">
        <v>20</v>
      </c>
      <c r="K676" s="5">
        <v>200.0</v>
      </c>
      <c r="N676" s="9">
        <v>44699.0</v>
      </c>
    </row>
    <row r="677">
      <c r="A677" s="5">
        <v>676.0</v>
      </c>
      <c r="B677" s="5" t="s">
        <v>1077</v>
      </c>
      <c r="C677" s="5" t="s">
        <v>20</v>
      </c>
      <c r="K677" s="5">
        <v>450.0</v>
      </c>
      <c r="N677" s="9">
        <v>44625.0</v>
      </c>
    </row>
    <row r="678">
      <c r="A678" s="5">
        <v>677.0</v>
      </c>
      <c r="B678" s="5" t="s">
        <v>1078</v>
      </c>
      <c r="C678" s="5" t="s">
        <v>20</v>
      </c>
      <c r="K678" s="5">
        <v>20.0</v>
      </c>
      <c r="N678" s="9">
        <v>44761.0</v>
      </c>
    </row>
    <row r="679">
      <c r="A679" s="5">
        <v>678.0</v>
      </c>
      <c r="B679" s="5" t="s">
        <v>1079</v>
      </c>
      <c r="C679" s="5" t="s">
        <v>20</v>
      </c>
      <c r="K679" s="5">
        <v>200.0</v>
      </c>
      <c r="N679" s="9">
        <v>44560.0</v>
      </c>
    </row>
    <row r="680">
      <c r="A680" s="5">
        <v>679.0</v>
      </c>
      <c r="B680" s="5" t="s">
        <v>1080</v>
      </c>
      <c r="C680" s="5" t="s">
        <v>20</v>
      </c>
      <c r="K680" s="5">
        <v>200.0</v>
      </c>
      <c r="N680" s="9">
        <v>45402.0</v>
      </c>
    </row>
    <row r="681">
      <c r="A681" s="5">
        <v>680.0</v>
      </c>
      <c r="B681" s="5" t="s">
        <v>1081</v>
      </c>
      <c r="C681" s="5" t="s">
        <v>20</v>
      </c>
      <c r="K681" s="5">
        <v>100.0</v>
      </c>
      <c r="N681" s="9">
        <v>44534.0</v>
      </c>
    </row>
    <row r="682">
      <c r="A682" s="5">
        <v>681.0</v>
      </c>
      <c r="B682" s="5" t="s">
        <v>1082</v>
      </c>
      <c r="C682" s="5" t="s">
        <v>20</v>
      </c>
      <c r="K682" s="5">
        <v>100.0</v>
      </c>
      <c r="N682" s="9">
        <v>45152.0</v>
      </c>
    </row>
    <row r="683">
      <c r="A683" s="5">
        <v>682.0</v>
      </c>
      <c r="B683" s="5" t="s">
        <v>1083</v>
      </c>
      <c r="C683" s="5" t="s">
        <v>20</v>
      </c>
      <c r="K683" s="5">
        <v>40.0</v>
      </c>
      <c r="N683" s="9">
        <v>44383.0</v>
      </c>
    </row>
    <row r="684">
      <c r="A684" s="5">
        <v>683.0</v>
      </c>
      <c r="B684" s="5" t="s">
        <v>1084</v>
      </c>
      <c r="C684" s="5" t="s">
        <v>20</v>
      </c>
      <c r="K684" s="5">
        <v>1000.0</v>
      </c>
      <c r="N684" s="9">
        <v>44547.0</v>
      </c>
    </row>
    <row r="685">
      <c r="A685" s="5">
        <v>684.0</v>
      </c>
      <c r="B685" s="5" t="s">
        <v>1085</v>
      </c>
      <c r="C685" s="5" t="s">
        <v>20</v>
      </c>
      <c r="K685" s="5">
        <v>300.0</v>
      </c>
      <c r="N685" s="9">
        <v>44629.0</v>
      </c>
    </row>
    <row r="686">
      <c r="A686" s="5">
        <v>685.0</v>
      </c>
      <c r="B686" s="5" t="s">
        <v>1086</v>
      </c>
      <c r="C686" s="5" t="s">
        <v>20</v>
      </c>
      <c r="K686" s="5">
        <v>150.0</v>
      </c>
      <c r="N686" s="9">
        <v>46046.0</v>
      </c>
    </row>
    <row r="687">
      <c r="A687" s="5">
        <v>686.0</v>
      </c>
      <c r="B687" s="5" t="s">
        <v>1087</v>
      </c>
      <c r="C687" s="5" t="s">
        <v>20</v>
      </c>
      <c r="K687" s="5">
        <v>2200.0</v>
      </c>
      <c r="N687" s="9">
        <v>44847.0</v>
      </c>
    </row>
    <row r="688">
      <c r="A688" s="5">
        <v>687.0</v>
      </c>
      <c r="B688" s="5" t="s">
        <v>1088</v>
      </c>
      <c r="C688" s="5" t="s">
        <v>20</v>
      </c>
      <c r="K688" s="5">
        <v>800.0</v>
      </c>
      <c r="N688" s="9">
        <v>44546.0</v>
      </c>
    </row>
    <row r="689">
      <c r="A689" s="5">
        <v>688.0</v>
      </c>
      <c r="B689" s="5" t="s">
        <v>1089</v>
      </c>
      <c r="C689" s="5" t="s">
        <v>20</v>
      </c>
      <c r="K689" s="5">
        <v>250.0</v>
      </c>
      <c r="N689" s="9">
        <v>42925.0</v>
      </c>
    </row>
    <row r="690">
      <c r="A690" s="5">
        <v>689.0</v>
      </c>
      <c r="B690" s="5" t="s">
        <v>1090</v>
      </c>
      <c r="C690" s="5" t="s">
        <v>20</v>
      </c>
      <c r="K690" s="5">
        <v>700.0</v>
      </c>
      <c r="N690" s="9">
        <v>44321.0</v>
      </c>
    </row>
    <row r="691">
      <c r="A691" s="5">
        <v>690.0</v>
      </c>
      <c r="B691" s="5" t="s">
        <v>1091</v>
      </c>
      <c r="C691" s="5" t="s">
        <v>20</v>
      </c>
      <c r="K691" s="5">
        <v>1300.0</v>
      </c>
      <c r="N691" s="9">
        <v>44344.0</v>
      </c>
    </row>
    <row r="692">
      <c r="A692" s="5">
        <v>691.0</v>
      </c>
      <c r="B692" s="5" t="s">
        <v>1092</v>
      </c>
      <c r="C692" s="5" t="s">
        <v>20</v>
      </c>
      <c r="K692" s="5">
        <v>200.0</v>
      </c>
      <c r="N692" s="9">
        <v>44574.0</v>
      </c>
    </row>
    <row r="693">
      <c r="A693" s="5">
        <v>692.0</v>
      </c>
      <c r="B693" s="5" t="s">
        <v>1093</v>
      </c>
      <c r="C693" s="5" t="s">
        <v>20</v>
      </c>
      <c r="K693" s="5">
        <v>60.0</v>
      </c>
      <c r="N693" s="9">
        <v>44596.0</v>
      </c>
    </row>
    <row r="694">
      <c r="A694" s="5">
        <v>693.0</v>
      </c>
      <c r="B694" s="5" t="s">
        <v>1094</v>
      </c>
      <c r="C694" s="5" t="s">
        <v>20</v>
      </c>
      <c r="K694" s="5">
        <v>250.0</v>
      </c>
      <c r="N694" s="9">
        <v>44650.0</v>
      </c>
    </row>
    <row r="695">
      <c r="A695" s="5">
        <v>694.0</v>
      </c>
      <c r="B695" s="5" t="s">
        <v>1095</v>
      </c>
      <c r="C695" s="5" t="s">
        <v>20</v>
      </c>
      <c r="K695" s="5">
        <v>2500.0</v>
      </c>
      <c r="N695" s="9">
        <v>43849.0</v>
      </c>
    </row>
    <row r="696">
      <c r="A696" s="5">
        <v>695.0</v>
      </c>
      <c r="B696" s="5" t="s">
        <v>1096</v>
      </c>
      <c r="C696" s="5" t="s">
        <v>20</v>
      </c>
      <c r="K696" s="5">
        <v>100.0</v>
      </c>
      <c r="N696" s="9">
        <v>44568.0</v>
      </c>
    </row>
    <row r="697">
      <c r="A697" s="5">
        <v>696.0</v>
      </c>
      <c r="B697" s="5" t="s">
        <v>1097</v>
      </c>
      <c r="C697" s="5" t="s">
        <v>20</v>
      </c>
      <c r="K697" s="5">
        <v>800.0</v>
      </c>
      <c r="N697" s="9">
        <v>44312.0</v>
      </c>
    </row>
    <row r="698">
      <c r="A698" s="5">
        <v>697.0</v>
      </c>
      <c r="B698" s="5" t="s">
        <v>1098</v>
      </c>
      <c r="C698" s="5" t="s">
        <v>20</v>
      </c>
      <c r="K698" s="5">
        <v>250.0</v>
      </c>
      <c r="N698" s="9">
        <v>44583.0</v>
      </c>
    </row>
    <row r="699">
      <c r="A699" s="5">
        <v>698.0</v>
      </c>
      <c r="B699" s="5" t="s">
        <v>1099</v>
      </c>
      <c r="C699" s="5" t="s">
        <v>20</v>
      </c>
      <c r="K699" s="5">
        <v>3400.0</v>
      </c>
      <c r="N699" s="9">
        <v>44631.0</v>
      </c>
    </row>
    <row r="700">
      <c r="A700" s="5">
        <v>699.0</v>
      </c>
      <c r="B700" s="5" t="s">
        <v>1100</v>
      </c>
      <c r="C700" s="5" t="s">
        <v>20</v>
      </c>
      <c r="K700" s="5">
        <v>350.0</v>
      </c>
      <c r="N700" s="9">
        <v>44811.0</v>
      </c>
    </row>
    <row r="701">
      <c r="A701" s="5">
        <v>700.0</v>
      </c>
      <c r="B701" s="5" t="s">
        <v>1101</v>
      </c>
      <c r="C701" s="5" t="s">
        <v>20</v>
      </c>
      <c r="K701" s="5">
        <v>600.0</v>
      </c>
      <c r="N701" s="9">
        <v>44527.0</v>
      </c>
    </row>
    <row r="702">
      <c r="A702" s="5">
        <v>701.0</v>
      </c>
      <c r="B702" s="5" t="s">
        <v>1102</v>
      </c>
      <c r="C702" s="5" t="s">
        <v>20</v>
      </c>
      <c r="K702" s="5">
        <v>250.0</v>
      </c>
      <c r="N702" s="9">
        <v>44219.0</v>
      </c>
    </row>
    <row r="703">
      <c r="A703" s="5">
        <v>702.0</v>
      </c>
      <c r="B703" s="5" t="s">
        <v>1103</v>
      </c>
      <c r="C703" s="5" t="s">
        <v>20</v>
      </c>
      <c r="K703" s="5">
        <v>400.0</v>
      </c>
      <c r="N703" s="9">
        <v>44167.0</v>
      </c>
    </row>
    <row r="704">
      <c r="A704" s="5">
        <v>703.0</v>
      </c>
      <c r="B704" s="5" t="s">
        <v>84</v>
      </c>
      <c r="C704" s="5" t="s">
        <v>20</v>
      </c>
      <c r="K704" s="5">
        <v>40.0</v>
      </c>
      <c r="N704" s="9">
        <v>45369.0</v>
      </c>
    </row>
    <row r="705">
      <c r="A705" s="5">
        <v>704.0</v>
      </c>
      <c r="B705" s="5" t="s">
        <v>87</v>
      </c>
      <c r="C705" s="5" t="s">
        <v>20</v>
      </c>
      <c r="K705" s="5">
        <v>10.0</v>
      </c>
      <c r="N705" s="9">
        <v>44756.0</v>
      </c>
    </row>
    <row r="706">
      <c r="A706" s="5">
        <v>705.0</v>
      </c>
      <c r="B706" s="5" t="s">
        <v>1104</v>
      </c>
      <c r="C706" s="5" t="s">
        <v>20</v>
      </c>
      <c r="K706" s="5">
        <v>30.0</v>
      </c>
      <c r="N706" s="9">
        <v>44124.0</v>
      </c>
    </row>
    <row r="707">
      <c r="A707" s="5">
        <v>706.0</v>
      </c>
      <c r="B707" s="5" t="s">
        <v>1105</v>
      </c>
      <c r="C707" s="5" t="s">
        <v>20</v>
      </c>
      <c r="K707" s="5">
        <v>1000.0</v>
      </c>
      <c r="N707" s="9">
        <v>43880.0</v>
      </c>
    </row>
    <row r="708">
      <c r="A708" s="5">
        <v>707.0</v>
      </c>
      <c r="B708" s="5" t="s">
        <v>1106</v>
      </c>
      <c r="C708" s="5" t="s">
        <v>20</v>
      </c>
      <c r="K708" s="5">
        <v>200.0</v>
      </c>
      <c r="N708" s="9">
        <v>44707.0</v>
      </c>
    </row>
    <row r="709">
      <c r="A709" s="5">
        <v>708.0</v>
      </c>
      <c r="B709" s="5" t="s">
        <v>1107</v>
      </c>
      <c r="C709" s="5" t="s">
        <v>20</v>
      </c>
      <c r="N709" s="9">
        <v>44630.0</v>
      </c>
    </row>
    <row r="710">
      <c r="A710" s="5">
        <v>709.0</v>
      </c>
      <c r="B710" s="5" t="s">
        <v>1108</v>
      </c>
      <c r="C710" s="5" t="s">
        <v>20</v>
      </c>
      <c r="K710" s="5">
        <v>150.0</v>
      </c>
      <c r="N710" s="9">
        <v>44394.0</v>
      </c>
    </row>
    <row r="711">
      <c r="A711" s="5">
        <v>710.0</v>
      </c>
      <c r="B711" s="5" t="s">
        <v>1109</v>
      </c>
      <c r="C711" s="5" t="s">
        <v>20</v>
      </c>
      <c r="K711" s="5">
        <v>150.0</v>
      </c>
      <c r="N711" s="9">
        <v>44964.0</v>
      </c>
    </row>
    <row r="712">
      <c r="A712" s="5">
        <v>711.0</v>
      </c>
      <c r="B712" s="5" t="s">
        <v>1110</v>
      </c>
      <c r="C712" s="5" t="s">
        <v>20</v>
      </c>
      <c r="K712" s="5">
        <v>900.0</v>
      </c>
      <c r="N712" s="9">
        <v>44516.0</v>
      </c>
    </row>
    <row r="713">
      <c r="A713" s="5">
        <v>712.0</v>
      </c>
      <c r="B713" s="5" t="s">
        <v>1111</v>
      </c>
      <c r="C713" s="5" t="s">
        <v>20</v>
      </c>
      <c r="K713" s="5">
        <v>500.0</v>
      </c>
      <c r="N713" s="9">
        <v>44237.0</v>
      </c>
    </row>
    <row r="714">
      <c r="A714" s="5">
        <v>713.0</v>
      </c>
      <c r="B714" s="5" t="s">
        <v>1112</v>
      </c>
      <c r="C714" s="5" t="s">
        <v>20</v>
      </c>
      <c r="K714" s="5">
        <v>800.0</v>
      </c>
      <c r="N714" s="9">
        <v>43887.0</v>
      </c>
    </row>
    <row r="715">
      <c r="A715" s="5">
        <v>714.0</v>
      </c>
      <c r="B715" s="5" t="s">
        <v>1113</v>
      </c>
      <c r="C715" s="5" t="s">
        <v>20</v>
      </c>
      <c r="K715" s="5">
        <v>150.0</v>
      </c>
      <c r="N715" s="9">
        <v>45225.0</v>
      </c>
    </row>
    <row r="716">
      <c r="A716" s="5">
        <v>715.0</v>
      </c>
      <c r="B716" s="5" t="s">
        <v>1114</v>
      </c>
      <c r="C716" s="5" t="s">
        <v>20</v>
      </c>
      <c r="K716" s="5">
        <v>150.0</v>
      </c>
      <c r="N716" s="9">
        <v>44316.0</v>
      </c>
    </row>
    <row r="717">
      <c r="A717" s="5">
        <v>716.0</v>
      </c>
      <c r="B717" s="5" t="s">
        <v>1115</v>
      </c>
      <c r="C717" s="5" t="s">
        <v>20</v>
      </c>
      <c r="K717" s="5">
        <v>200.0</v>
      </c>
      <c r="N717" s="9">
        <v>44547.0</v>
      </c>
    </row>
    <row r="718">
      <c r="A718" s="5">
        <v>717.0</v>
      </c>
      <c r="B718" s="5" t="s">
        <v>1116</v>
      </c>
      <c r="C718" s="5" t="s">
        <v>20</v>
      </c>
      <c r="K718" s="5">
        <v>150.0</v>
      </c>
      <c r="N718" s="9">
        <v>44537.0</v>
      </c>
    </row>
    <row r="719">
      <c r="A719" s="5">
        <v>718.0</v>
      </c>
      <c r="B719" s="5" t="s">
        <v>1117</v>
      </c>
      <c r="C719" s="5" t="s">
        <v>20</v>
      </c>
      <c r="K719" s="5">
        <v>90.0</v>
      </c>
      <c r="N719" s="9">
        <v>44605.0</v>
      </c>
    </row>
    <row r="720">
      <c r="A720" s="5">
        <v>719.0</v>
      </c>
      <c r="B720" s="5" t="s">
        <v>1118</v>
      </c>
      <c r="C720" s="5" t="s">
        <v>20</v>
      </c>
      <c r="N720" s="9">
        <v>45218.0</v>
      </c>
    </row>
    <row r="721">
      <c r="A721" s="5">
        <v>720.0</v>
      </c>
      <c r="B721" s="5" t="s">
        <v>1119</v>
      </c>
      <c r="C721" s="5" t="s">
        <v>20</v>
      </c>
      <c r="K721" s="5">
        <v>200.0</v>
      </c>
      <c r="N721" s="9">
        <v>44275.0</v>
      </c>
    </row>
    <row r="722">
      <c r="A722" s="5">
        <v>721.0</v>
      </c>
      <c r="B722" s="5" t="s">
        <v>1120</v>
      </c>
      <c r="C722" s="5" t="s">
        <v>20</v>
      </c>
      <c r="K722" s="5">
        <v>20.0</v>
      </c>
      <c r="N722" s="9">
        <v>44590.0</v>
      </c>
    </row>
    <row r="723">
      <c r="A723" s="5">
        <v>722.0</v>
      </c>
      <c r="B723" s="5" t="s">
        <v>1121</v>
      </c>
      <c r="C723" s="5" t="s">
        <v>20</v>
      </c>
      <c r="K723" s="5">
        <v>250.0</v>
      </c>
      <c r="N723" s="9">
        <v>44687.0</v>
      </c>
    </row>
    <row r="724">
      <c r="A724" s="5">
        <v>723.0</v>
      </c>
      <c r="B724" s="5" t="s">
        <v>1122</v>
      </c>
      <c r="C724" s="5" t="s">
        <v>20</v>
      </c>
      <c r="K724" s="5">
        <v>500.0</v>
      </c>
      <c r="N724" s="9">
        <v>44246.0</v>
      </c>
    </row>
    <row r="725">
      <c r="A725" s="5">
        <v>724.0</v>
      </c>
      <c r="B725" s="5" t="s">
        <v>1123</v>
      </c>
      <c r="C725" s="5" t="s">
        <v>20</v>
      </c>
      <c r="K725" s="5">
        <v>600.0</v>
      </c>
      <c r="N725" s="9">
        <v>44550.0</v>
      </c>
    </row>
    <row r="726">
      <c r="A726" s="5">
        <v>725.0</v>
      </c>
      <c r="B726" s="5" t="s">
        <v>1124</v>
      </c>
      <c r="C726" s="5" t="s">
        <v>20</v>
      </c>
      <c r="K726" s="5">
        <v>40.0</v>
      </c>
      <c r="N726" s="9">
        <v>44241.0</v>
      </c>
    </row>
    <row r="727">
      <c r="A727" s="5">
        <v>726.0</v>
      </c>
      <c r="B727" s="5" t="s">
        <v>1125</v>
      </c>
      <c r="C727" s="5" t="s">
        <v>20</v>
      </c>
      <c r="K727" s="5">
        <v>300.0</v>
      </c>
      <c r="N727" s="9">
        <v>44966.0</v>
      </c>
    </row>
    <row r="728">
      <c r="A728" s="5">
        <v>727.0</v>
      </c>
      <c r="B728" s="5" t="s">
        <v>91</v>
      </c>
      <c r="C728" s="5" t="s">
        <v>20</v>
      </c>
      <c r="K728" s="5">
        <v>400.0</v>
      </c>
      <c r="N728" s="9">
        <v>44578.0</v>
      </c>
    </row>
    <row r="729">
      <c r="A729" s="5">
        <v>728.0</v>
      </c>
      <c r="B729" s="5" t="s">
        <v>1126</v>
      </c>
      <c r="C729" s="5" t="s">
        <v>20</v>
      </c>
      <c r="K729" s="5">
        <v>200.0</v>
      </c>
      <c r="N729" s="9">
        <v>44586.0</v>
      </c>
    </row>
    <row r="730">
      <c r="A730" s="5">
        <v>729.0</v>
      </c>
      <c r="B730" s="5" t="s">
        <v>1127</v>
      </c>
      <c r="C730" s="5" t="s">
        <v>20</v>
      </c>
      <c r="K730" s="5">
        <v>250.0</v>
      </c>
      <c r="N730" s="9">
        <v>45197.0</v>
      </c>
    </row>
    <row r="731">
      <c r="A731" s="5">
        <v>730.0</v>
      </c>
      <c r="B731" s="5" t="s">
        <v>1128</v>
      </c>
      <c r="C731" s="5" t="s">
        <v>20</v>
      </c>
      <c r="K731" s="5">
        <v>1000.0</v>
      </c>
      <c r="N731" s="9">
        <v>43908.0</v>
      </c>
    </row>
    <row r="732">
      <c r="A732" s="5">
        <v>731.0</v>
      </c>
      <c r="B732" s="5" t="s">
        <v>1129</v>
      </c>
      <c r="C732" s="5" t="s">
        <v>20</v>
      </c>
      <c r="K732" s="5">
        <v>3900.0</v>
      </c>
      <c r="N732" s="9">
        <v>44200.0</v>
      </c>
    </row>
    <row r="733">
      <c r="A733" s="5">
        <v>732.0</v>
      </c>
      <c r="B733" s="5" t="s">
        <v>1130</v>
      </c>
      <c r="C733" s="5" t="s">
        <v>20</v>
      </c>
      <c r="K733" s="5">
        <v>350.0</v>
      </c>
      <c r="N733" s="9">
        <v>44577.0</v>
      </c>
    </row>
    <row r="734">
      <c r="A734" s="5">
        <v>733.0</v>
      </c>
      <c r="B734" s="5" t="s">
        <v>1131</v>
      </c>
      <c r="C734" s="5" t="s">
        <v>20</v>
      </c>
      <c r="N734" s="9">
        <v>44400.0</v>
      </c>
    </row>
    <row r="735">
      <c r="A735" s="5">
        <v>734.0</v>
      </c>
      <c r="B735" s="5" t="s">
        <v>1132</v>
      </c>
      <c r="C735" s="5" t="s">
        <v>20</v>
      </c>
      <c r="K735" s="5">
        <v>30.0</v>
      </c>
      <c r="N735" s="9">
        <v>44563.0</v>
      </c>
    </row>
    <row r="736">
      <c r="A736" s="5">
        <v>735.0</v>
      </c>
      <c r="B736" s="5" t="s">
        <v>1133</v>
      </c>
      <c r="C736" s="5" t="s">
        <v>20</v>
      </c>
      <c r="K736" s="5">
        <v>1200.0</v>
      </c>
      <c r="N736" s="9">
        <v>44075.0</v>
      </c>
    </row>
    <row r="737">
      <c r="A737" s="5">
        <v>736.0</v>
      </c>
      <c r="B737" s="5" t="s">
        <v>94</v>
      </c>
      <c r="C737" s="5" t="s">
        <v>20</v>
      </c>
      <c r="K737" s="5">
        <v>100.0</v>
      </c>
      <c r="N737" s="9">
        <v>44816.0</v>
      </c>
    </row>
    <row r="738">
      <c r="A738" s="5">
        <v>737.0</v>
      </c>
      <c r="B738" s="5" t="s">
        <v>1134</v>
      </c>
      <c r="C738" s="5" t="s">
        <v>20</v>
      </c>
      <c r="K738" s="5">
        <v>5400.0</v>
      </c>
      <c r="N738" s="9">
        <v>44422.0</v>
      </c>
    </row>
    <row r="739">
      <c r="A739" s="5">
        <v>738.0</v>
      </c>
      <c r="B739" s="5" t="s">
        <v>1135</v>
      </c>
      <c r="C739" s="5" t="s">
        <v>20</v>
      </c>
      <c r="K739" s="5">
        <v>80.0</v>
      </c>
      <c r="N739" s="9">
        <v>44286.0</v>
      </c>
    </row>
    <row r="740">
      <c r="A740" s="5">
        <v>739.0</v>
      </c>
      <c r="B740" s="5" t="s">
        <v>1136</v>
      </c>
      <c r="C740" s="5" t="s">
        <v>20</v>
      </c>
      <c r="K740" s="5">
        <v>200.0</v>
      </c>
      <c r="N740" s="9">
        <v>44937.0</v>
      </c>
    </row>
    <row r="741">
      <c r="A741" s="5">
        <v>740.0</v>
      </c>
      <c r="B741" s="5" t="s">
        <v>1137</v>
      </c>
      <c r="C741" s="5" t="s">
        <v>20</v>
      </c>
      <c r="K741" s="5">
        <v>250.0</v>
      </c>
      <c r="N741" s="9">
        <v>44334.0</v>
      </c>
    </row>
    <row r="742">
      <c r="A742" s="5">
        <v>741.0</v>
      </c>
      <c r="B742" s="5" t="s">
        <v>1138</v>
      </c>
      <c r="C742" s="5" t="s">
        <v>20</v>
      </c>
      <c r="K742" s="5">
        <v>800.0</v>
      </c>
      <c r="N742" s="9">
        <v>44537.0</v>
      </c>
    </row>
    <row r="743">
      <c r="A743" s="5">
        <v>742.0</v>
      </c>
      <c r="B743" s="5" t="s">
        <v>1139</v>
      </c>
      <c r="C743" s="5" t="s">
        <v>20</v>
      </c>
      <c r="K743" s="5">
        <v>600.0</v>
      </c>
      <c r="N743" s="9">
        <v>43885.0</v>
      </c>
    </row>
    <row r="744">
      <c r="A744" s="5">
        <v>743.0</v>
      </c>
      <c r="B744" s="5" t="s">
        <v>1140</v>
      </c>
      <c r="C744" s="5" t="s">
        <v>20</v>
      </c>
      <c r="K744" s="5">
        <v>300.0</v>
      </c>
      <c r="N744" s="9">
        <v>44584.0</v>
      </c>
    </row>
    <row r="745">
      <c r="A745" s="5">
        <v>744.0</v>
      </c>
      <c r="B745" s="5" t="s">
        <v>1141</v>
      </c>
      <c r="C745" s="5" t="s">
        <v>20</v>
      </c>
      <c r="K745" s="5">
        <v>1700.0</v>
      </c>
      <c r="N745" s="9">
        <v>44266.0</v>
      </c>
    </row>
    <row r="746">
      <c r="A746" s="5">
        <v>745.0</v>
      </c>
      <c r="B746" s="5" t="s">
        <v>1142</v>
      </c>
      <c r="C746" s="5" t="s">
        <v>20</v>
      </c>
      <c r="K746" s="5">
        <v>150.0</v>
      </c>
      <c r="N746" s="9">
        <v>44561.0</v>
      </c>
    </row>
    <row r="747">
      <c r="A747" s="5">
        <v>746.0</v>
      </c>
      <c r="B747" s="5" t="s">
        <v>1143</v>
      </c>
      <c r="C747" s="5" t="s">
        <v>20</v>
      </c>
      <c r="K747" s="5">
        <v>800.0</v>
      </c>
      <c r="N747" s="9">
        <v>43889.0</v>
      </c>
    </row>
    <row r="748">
      <c r="A748" s="5">
        <v>747.0</v>
      </c>
      <c r="B748" s="5" t="s">
        <v>1144</v>
      </c>
      <c r="C748" s="5" t="s">
        <v>20</v>
      </c>
      <c r="K748" s="5">
        <v>700.0</v>
      </c>
      <c r="N748" s="9">
        <v>45659.0</v>
      </c>
    </row>
    <row r="749">
      <c r="A749" s="5">
        <v>748.0</v>
      </c>
      <c r="B749" s="5" t="s">
        <v>1145</v>
      </c>
      <c r="C749" s="5" t="s">
        <v>20</v>
      </c>
      <c r="K749" s="5">
        <v>20.0</v>
      </c>
      <c r="N749" s="9">
        <v>44593.0</v>
      </c>
    </row>
    <row r="750">
      <c r="A750" s="5">
        <v>749.0</v>
      </c>
      <c r="B750" s="5" t="s">
        <v>1146</v>
      </c>
      <c r="C750" s="5" t="s">
        <v>20</v>
      </c>
      <c r="K750" s="5">
        <v>250.0</v>
      </c>
      <c r="N750" s="9">
        <v>44297.0</v>
      </c>
    </row>
    <row r="751">
      <c r="A751" s="5">
        <v>750.0</v>
      </c>
      <c r="B751" s="5" t="s">
        <v>1147</v>
      </c>
      <c r="C751" s="5" t="s">
        <v>20</v>
      </c>
      <c r="K751" s="5">
        <v>200.0</v>
      </c>
      <c r="N751" s="9">
        <v>45102.0</v>
      </c>
    </row>
    <row r="752">
      <c r="A752" s="5">
        <v>751.0</v>
      </c>
      <c r="B752" s="5" t="s">
        <v>1148</v>
      </c>
      <c r="C752" s="5" t="s">
        <v>20</v>
      </c>
      <c r="K752" s="5">
        <v>8900.0</v>
      </c>
      <c r="N752" s="9">
        <v>44382.0</v>
      </c>
    </row>
    <row r="753">
      <c r="A753" s="5">
        <v>752.0</v>
      </c>
      <c r="B753" s="5" t="s">
        <v>1149</v>
      </c>
      <c r="C753" s="5" t="s">
        <v>20</v>
      </c>
      <c r="K753" s="5">
        <v>50.0</v>
      </c>
      <c r="N753" s="9">
        <v>44221.0</v>
      </c>
    </row>
    <row r="754">
      <c r="A754" s="5">
        <v>753.0</v>
      </c>
      <c r="B754" s="5" t="s">
        <v>1150</v>
      </c>
      <c r="C754" s="5" t="s">
        <v>20</v>
      </c>
      <c r="K754" s="5">
        <v>2000.0</v>
      </c>
      <c r="N754" s="9">
        <v>44288.0</v>
      </c>
    </row>
    <row r="755">
      <c r="A755" s="5">
        <v>754.0</v>
      </c>
      <c r="B755" s="5" t="s">
        <v>1151</v>
      </c>
      <c r="C755" s="5" t="s">
        <v>20</v>
      </c>
      <c r="K755" s="5">
        <v>400.0</v>
      </c>
      <c r="N755" s="9">
        <v>44549.0</v>
      </c>
    </row>
    <row r="756">
      <c r="A756" s="5">
        <v>755.0</v>
      </c>
      <c r="B756" s="5" t="s">
        <v>98</v>
      </c>
      <c r="C756" s="5" t="s">
        <v>20</v>
      </c>
      <c r="K756" s="5">
        <v>150.0</v>
      </c>
      <c r="N756" s="9">
        <v>44601.0</v>
      </c>
    </row>
    <row r="757">
      <c r="A757" s="5">
        <v>756.0</v>
      </c>
      <c r="B757" s="5" t="s">
        <v>1152</v>
      </c>
      <c r="C757" s="5" t="s">
        <v>20</v>
      </c>
      <c r="K757" s="5">
        <v>200.0</v>
      </c>
      <c r="N757" s="9">
        <v>44568.0</v>
      </c>
    </row>
    <row r="758">
      <c r="A758" s="5">
        <v>757.0</v>
      </c>
      <c r="B758" s="5" t="s">
        <v>1153</v>
      </c>
      <c r="C758" s="5" t="s">
        <v>20</v>
      </c>
      <c r="K758" s="5">
        <v>300.0</v>
      </c>
      <c r="N758" s="9">
        <v>45328.0</v>
      </c>
    </row>
    <row r="759">
      <c r="A759" s="5">
        <v>758.0</v>
      </c>
      <c r="B759" s="5" t="s">
        <v>1154</v>
      </c>
      <c r="C759" s="5" t="s">
        <v>20</v>
      </c>
      <c r="K759" s="5">
        <v>300.0</v>
      </c>
      <c r="N759" s="9">
        <v>44697.0</v>
      </c>
    </row>
    <row r="760">
      <c r="A760" s="5">
        <v>759.0</v>
      </c>
      <c r="B760" s="5" t="s">
        <v>1155</v>
      </c>
      <c r="C760" s="5" t="s">
        <v>20</v>
      </c>
      <c r="K760" s="5">
        <v>9100.0</v>
      </c>
      <c r="N760" s="9">
        <v>44218.0</v>
      </c>
    </row>
    <row r="761">
      <c r="A761" s="5">
        <v>760.0</v>
      </c>
      <c r="B761" s="5" t="s">
        <v>1156</v>
      </c>
      <c r="C761" s="5" t="s">
        <v>20</v>
      </c>
      <c r="K761" s="5">
        <v>400.0</v>
      </c>
      <c r="N761" s="9">
        <v>44631.0</v>
      </c>
    </row>
    <row r="762">
      <c r="A762" s="5">
        <v>761.0</v>
      </c>
      <c r="B762" s="5" t="s">
        <v>1157</v>
      </c>
      <c r="C762" s="5" t="s">
        <v>20</v>
      </c>
      <c r="K762" s="5">
        <v>600.0</v>
      </c>
      <c r="N762" s="9">
        <v>44324.0</v>
      </c>
    </row>
    <row r="763">
      <c r="A763" s="5">
        <v>762.0</v>
      </c>
      <c r="B763" s="5" t="s">
        <v>1158</v>
      </c>
      <c r="C763" s="5" t="s">
        <v>20</v>
      </c>
      <c r="K763" s="5">
        <v>1000.0</v>
      </c>
      <c r="N763" s="9">
        <v>44271.0</v>
      </c>
    </row>
    <row r="764">
      <c r="A764" s="5">
        <v>763.0</v>
      </c>
      <c r="B764" s="5" t="s">
        <v>1159</v>
      </c>
      <c r="C764" s="5" t="s">
        <v>20</v>
      </c>
      <c r="K764" s="5">
        <v>250.0</v>
      </c>
      <c r="N764" s="9">
        <v>44579.0</v>
      </c>
    </row>
    <row r="765">
      <c r="A765" s="5">
        <v>764.0</v>
      </c>
      <c r="B765" s="5" t="s">
        <v>1160</v>
      </c>
      <c r="C765" s="5" t="s">
        <v>20</v>
      </c>
      <c r="K765" s="5">
        <v>20.0</v>
      </c>
      <c r="N765" s="9">
        <v>44458.0</v>
      </c>
    </row>
    <row r="766">
      <c r="A766" s="5">
        <v>765.0</v>
      </c>
      <c r="B766" s="5" t="s">
        <v>1161</v>
      </c>
      <c r="C766" s="5" t="s">
        <v>20</v>
      </c>
      <c r="K766" s="5">
        <v>70.0</v>
      </c>
      <c r="N766" s="9">
        <v>44530.0</v>
      </c>
    </row>
    <row r="767">
      <c r="A767" s="5">
        <v>766.0</v>
      </c>
      <c r="B767" s="5" t="s">
        <v>1162</v>
      </c>
      <c r="C767" s="5" t="s">
        <v>20</v>
      </c>
      <c r="K767" s="5">
        <v>100.0</v>
      </c>
      <c r="N767" s="9">
        <v>44122.0</v>
      </c>
    </row>
    <row r="768">
      <c r="A768" s="5">
        <v>767.0</v>
      </c>
      <c r="B768" s="5" t="s">
        <v>1163</v>
      </c>
      <c r="C768" s="5" t="s">
        <v>20</v>
      </c>
      <c r="K768" s="5">
        <v>90.0</v>
      </c>
      <c r="N768" s="9">
        <v>44321.0</v>
      </c>
    </row>
    <row r="769">
      <c r="A769" s="5">
        <v>768.0</v>
      </c>
      <c r="B769" s="5" t="s">
        <v>1164</v>
      </c>
      <c r="C769" s="5" t="s">
        <v>20</v>
      </c>
      <c r="K769" s="5">
        <v>250.0</v>
      </c>
      <c r="N769" s="9">
        <v>44721.0</v>
      </c>
    </row>
    <row r="770">
      <c r="A770" s="5">
        <v>769.0</v>
      </c>
      <c r="B770" s="5" t="s">
        <v>1165</v>
      </c>
      <c r="C770" s="5" t="s">
        <v>20</v>
      </c>
      <c r="N770" s="9">
        <v>44436.0</v>
      </c>
    </row>
    <row r="771">
      <c r="A771" s="5">
        <v>770.0</v>
      </c>
      <c r="B771" s="5" t="s">
        <v>1166</v>
      </c>
      <c r="C771" s="5" t="s">
        <v>20</v>
      </c>
      <c r="K771" s="5">
        <v>1900.0</v>
      </c>
      <c r="N771" s="9">
        <v>43985.0</v>
      </c>
    </row>
    <row r="772">
      <c r="A772" s="5">
        <v>771.0</v>
      </c>
      <c r="B772" s="5" t="s">
        <v>1167</v>
      </c>
      <c r="C772" s="5" t="s">
        <v>20</v>
      </c>
      <c r="K772" s="5">
        <v>300.0</v>
      </c>
      <c r="N772" s="9">
        <v>44576.0</v>
      </c>
    </row>
    <row r="773">
      <c r="A773" s="5">
        <v>772.0</v>
      </c>
      <c r="B773" s="5" t="s">
        <v>1168</v>
      </c>
      <c r="C773" s="5" t="s">
        <v>20</v>
      </c>
      <c r="K773" s="5">
        <v>20.0</v>
      </c>
      <c r="N773" s="9">
        <v>45063.0</v>
      </c>
    </row>
    <row r="774">
      <c r="A774" s="5">
        <v>773.0</v>
      </c>
      <c r="B774" s="5" t="s">
        <v>1169</v>
      </c>
      <c r="C774" s="5" t="s">
        <v>20</v>
      </c>
      <c r="K774" s="5">
        <v>350.0</v>
      </c>
      <c r="N774" s="9">
        <v>45600.0</v>
      </c>
    </row>
    <row r="775">
      <c r="A775" s="5">
        <v>774.0</v>
      </c>
      <c r="B775" s="5" t="s">
        <v>1170</v>
      </c>
      <c r="C775" s="5" t="s">
        <v>20</v>
      </c>
      <c r="K775" s="5">
        <v>20.0</v>
      </c>
      <c r="N775" s="9">
        <v>44572.0</v>
      </c>
    </row>
    <row r="776">
      <c r="A776" s="5">
        <v>775.0</v>
      </c>
      <c r="B776" s="5" t="s">
        <v>1171</v>
      </c>
      <c r="C776" s="5" t="s">
        <v>20</v>
      </c>
      <c r="K776" s="5">
        <v>500.0</v>
      </c>
      <c r="N776" s="9">
        <v>43974.0</v>
      </c>
    </row>
    <row r="777">
      <c r="A777" s="5">
        <v>776.0</v>
      </c>
      <c r="B777" s="5" t="s">
        <v>102</v>
      </c>
      <c r="C777" s="5" t="s">
        <v>20</v>
      </c>
      <c r="K777" s="5">
        <v>90.0</v>
      </c>
      <c r="N777" s="9">
        <v>44610.0</v>
      </c>
    </row>
    <row r="778">
      <c r="A778" s="5">
        <v>777.0</v>
      </c>
      <c r="B778" s="5" t="s">
        <v>111</v>
      </c>
      <c r="C778" s="5" t="s">
        <v>20</v>
      </c>
      <c r="K778" s="5">
        <v>158000.0</v>
      </c>
      <c r="N778" s="9">
        <v>44170.0</v>
      </c>
    </row>
    <row r="779">
      <c r="A779" s="5">
        <v>778.0</v>
      </c>
      <c r="B779" s="5" t="s">
        <v>109</v>
      </c>
      <c r="C779" s="5" t="s">
        <v>20</v>
      </c>
      <c r="K779" s="5">
        <v>7900.0</v>
      </c>
      <c r="N779" s="9">
        <v>44047.0</v>
      </c>
    </row>
    <row r="780">
      <c r="A780" s="5">
        <v>779.0</v>
      </c>
      <c r="B780" s="5" t="s">
        <v>1172</v>
      </c>
      <c r="C780" s="5" t="s">
        <v>20</v>
      </c>
      <c r="N780" s="9">
        <v>44543.0</v>
      </c>
    </row>
    <row r="781">
      <c r="A781" s="5">
        <v>780.0</v>
      </c>
      <c r="B781" s="5" t="s">
        <v>1173</v>
      </c>
      <c r="C781" s="5" t="s">
        <v>20</v>
      </c>
      <c r="K781" s="5">
        <v>350.0</v>
      </c>
      <c r="N781" s="9">
        <v>45054.0</v>
      </c>
    </row>
    <row r="782">
      <c r="A782" s="5">
        <v>781.0</v>
      </c>
      <c r="B782" s="5" t="s">
        <v>1174</v>
      </c>
      <c r="C782" s="5" t="s">
        <v>20</v>
      </c>
      <c r="K782" s="5">
        <v>100.0</v>
      </c>
      <c r="N782" s="9">
        <v>45151.0</v>
      </c>
    </row>
    <row r="783">
      <c r="A783" s="5">
        <v>782.0</v>
      </c>
      <c r="B783" s="5" t="s">
        <v>107</v>
      </c>
      <c r="C783" s="5" t="s">
        <v>20</v>
      </c>
      <c r="N783" s="9">
        <v>44536.0</v>
      </c>
    </row>
    <row r="784">
      <c r="A784" s="5">
        <v>783.0</v>
      </c>
      <c r="B784" s="5" t="s">
        <v>1175</v>
      </c>
      <c r="C784" s="5" t="s">
        <v>20</v>
      </c>
      <c r="K784" s="5">
        <v>200.0</v>
      </c>
      <c r="N784" s="9">
        <v>44840.0</v>
      </c>
    </row>
    <row r="785">
      <c r="A785" s="5">
        <v>784.0</v>
      </c>
      <c r="B785" s="5" t="s">
        <v>1176</v>
      </c>
      <c r="C785" s="5" t="s">
        <v>20</v>
      </c>
      <c r="K785" s="5">
        <v>100.0</v>
      </c>
      <c r="N785" s="9">
        <v>45089.0</v>
      </c>
    </row>
    <row r="786">
      <c r="A786" s="5">
        <v>785.0</v>
      </c>
      <c r="B786" s="5" t="s">
        <v>1177</v>
      </c>
      <c r="C786" s="5" t="s">
        <v>20</v>
      </c>
      <c r="K786" s="5">
        <v>30.0</v>
      </c>
      <c r="N786" s="9">
        <v>44667.0</v>
      </c>
    </row>
    <row r="787">
      <c r="A787" s="5">
        <v>786.0</v>
      </c>
      <c r="B787" s="5" t="s">
        <v>1178</v>
      </c>
      <c r="C787" s="5" t="s">
        <v>20</v>
      </c>
      <c r="K787" s="5">
        <v>200.0</v>
      </c>
      <c r="N787" s="9">
        <v>44519.0</v>
      </c>
    </row>
    <row r="788">
      <c r="A788" s="5">
        <v>787.0</v>
      </c>
      <c r="B788" s="5" t="s">
        <v>1179</v>
      </c>
      <c r="C788" s="5" t="s">
        <v>20</v>
      </c>
      <c r="K788" s="5">
        <v>30.0</v>
      </c>
      <c r="N788" s="9">
        <v>43883.0</v>
      </c>
    </row>
    <row r="789">
      <c r="A789" s="5">
        <v>788.0</v>
      </c>
      <c r="B789" s="5" t="s">
        <v>1180</v>
      </c>
      <c r="C789" s="5" t="s">
        <v>20</v>
      </c>
      <c r="K789" s="5">
        <v>400.0</v>
      </c>
      <c r="N789" s="9">
        <v>45155.0</v>
      </c>
    </row>
    <row r="790">
      <c r="A790" s="5">
        <v>789.0</v>
      </c>
      <c r="B790" s="5" t="s">
        <v>1181</v>
      </c>
      <c r="C790" s="5" t="s">
        <v>20</v>
      </c>
      <c r="K790" s="5">
        <v>1900.0</v>
      </c>
      <c r="N790" s="9">
        <v>44028.0</v>
      </c>
    </row>
    <row r="791">
      <c r="A791" s="5">
        <v>790.0</v>
      </c>
      <c r="B791" s="5" t="s">
        <v>1182</v>
      </c>
      <c r="C791" s="5" t="s">
        <v>20</v>
      </c>
      <c r="K791" s="5">
        <v>80.0</v>
      </c>
      <c r="N791" s="9">
        <v>44558.0</v>
      </c>
    </row>
    <row r="792">
      <c r="A792" s="5">
        <v>791.0</v>
      </c>
      <c r="B792" s="5" t="s">
        <v>1183</v>
      </c>
      <c r="C792" s="5" t="s">
        <v>20</v>
      </c>
      <c r="K792" s="5">
        <v>500.0</v>
      </c>
      <c r="N792" s="9">
        <v>44533.0</v>
      </c>
    </row>
    <row r="793">
      <c r="A793" s="5">
        <v>792.0</v>
      </c>
      <c r="B793" s="5" t="s">
        <v>1184</v>
      </c>
      <c r="C793" s="5" t="s">
        <v>20</v>
      </c>
      <c r="K793" s="5">
        <v>30.0</v>
      </c>
      <c r="N793" s="9">
        <v>44530.0</v>
      </c>
    </row>
    <row r="794">
      <c r="A794" s="5">
        <v>793.0</v>
      </c>
      <c r="B794" s="5" t="s">
        <v>1185</v>
      </c>
      <c r="C794" s="5" t="s">
        <v>20</v>
      </c>
      <c r="K794" s="5">
        <v>900.0</v>
      </c>
      <c r="N794" s="9">
        <v>44528.0</v>
      </c>
    </row>
    <row r="795">
      <c r="A795" s="5">
        <v>794.0</v>
      </c>
      <c r="B795" s="5" t="s">
        <v>1186</v>
      </c>
      <c r="C795" s="5" t="s">
        <v>20</v>
      </c>
      <c r="K795" s="5">
        <v>60.0</v>
      </c>
      <c r="N795" s="9">
        <v>44809.0</v>
      </c>
    </row>
    <row r="796">
      <c r="A796" s="5">
        <v>795.0</v>
      </c>
      <c r="B796" s="5" t="s">
        <v>1187</v>
      </c>
      <c r="C796" s="5" t="s">
        <v>20</v>
      </c>
      <c r="K796" s="5">
        <v>450.0</v>
      </c>
      <c r="N796" s="9">
        <v>44548.0</v>
      </c>
    </row>
    <row r="797">
      <c r="A797" s="5">
        <v>796.0</v>
      </c>
      <c r="B797" s="5" t="s">
        <v>1188</v>
      </c>
      <c r="C797" s="5" t="s">
        <v>20</v>
      </c>
      <c r="K797" s="5">
        <v>250.0</v>
      </c>
      <c r="N797" s="9">
        <v>44538.0</v>
      </c>
    </row>
    <row r="798">
      <c r="A798" s="5">
        <v>797.0</v>
      </c>
      <c r="B798" s="5" t="s">
        <v>1189</v>
      </c>
      <c r="C798" s="5" t="s">
        <v>20</v>
      </c>
      <c r="K798" s="5">
        <v>350.0</v>
      </c>
      <c r="N798" s="9">
        <v>44921.0</v>
      </c>
    </row>
    <row r="799">
      <c r="A799" s="5">
        <v>798.0</v>
      </c>
      <c r="B799" s="5" t="s">
        <v>1190</v>
      </c>
      <c r="C799" s="5" t="s">
        <v>20</v>
      </c>
      <c r="K799" s="5">
        <v>200.0</v>
      </c>
      <c r="N799" s="9">
        <v>43881.0</v>
      </c>
    </row>
    <row r="800">
      <c r="A800" s="5">
        <v>799.0</v>
      </c>
      <c r="B800" s="5" t="s">
        <v>1191</v>
      </c>
      <c r="C800" s="5" t="s">
        <v>20</v>
      </c>
      <c r="K800" s="5">
        <v>900.0</v>
      </c>
      <c r="N800" s="9">
        <v>44549.0</v>
      </c>
    </row>
    <row r="801">
      <c r="A801" s="5">
        <v>800.0</v>
      </c>
      <c r="B801" s="5" t="s">
        <v>1192</v>
      </c>
      <c r="C801" s="5" t="s">
        <v>20</v>
      </c>
      <c r="K801" s="5">
        <v>150.0</v>
      </c>
      <c r="N801" s="9">
        <v>44724.0</v>
      </c>
    </row>
    <row r="802">
      <c r="A802" s="5">
        <v>801.0</v>
      </c>
      <c r="B802" s="5" t="s">
        <v>1193</v>
      </c>
      <c r="C802" s="5" t="s">
        <v>20</v>
      </c>
      <c r="K802" s="5">
        <v>300.0</v>
      </c>
      <c r="N802" s="9">
        <v>44538.0</v>
      </c>
    </row>
    <row r="803">
      <c r="A803" s="5">
        <v>802.0</v>
      </c>
      <c r="B803" s="5" t="s">
        <v>1194</v>
      </c>
      <c r="C803" s="5" t="s">
        <v>20</v>
      </c>
      <c r="K803" s="5">
        <v>250.0</v>
      </c>
      <c r="N803" s="9">
        <v>44955.0</v>
      </c>
    </row>
    <row r="804">
      <c r="A804" s="5">
        <v>803.0</v>
      </c>
      <c r="B804" s="5" t="s">
        <v>1195</v>
      </c>
      <c r="C804" s="5" t="s">
        <v>20</v>
      </c>
      <c r="K804" s="5">
        <v>10.0</v>
      </c>
      <c r="N804" s="9">
        <v>44729.0</v>
      </c>
    </row>
    <row r="805">
      <c r="A805" s="5">
        <v>804.0</v>
      </c>
      <c r="B805" s="5" t="s">
        <v>1196</v>
      </c>
      <c r="C805" s="5" t="s">
        <v>20</v>
      </c>
      <c r="K805" s="5">
        <v>150.0</v>
      </c>
      <c r="N805" s="9">
        <v>44913.0</v>
      </c>
    </row>
    <row r="806">
      <c r="A806" s="5">
        <v>805.0</v>
      </c>
      <c r="B806" s="5" t="s">
        <v>1197</v>
      </c>
      <c r="C806" s="5" t="s">
        <v>20</v>
      </c>
      <c r="K806" s="5">
        <v>450.0</v>
      </c>
      <c r="N806" s="9">
        <v>45072.0</v>
      </c>
    </row>
    <row r="807">
      <c r="A807" s="5">
        <v>806.0</v>
      </c>
      <c r="B807" s="5" t="s">
        <v>1198</v>
      </c>
      <c r="C807" s="5" t="s">
        <v>20</v>
      </c>
      <c r="K807" s="5">
        <v>150.0</v>
      </c>
      <c r="N807" s="9">
        <v>44758.0</v>
      </c>
    </row>
    <row r="808">
      <c r="A808" s="5">
        <v>807.0</v>
      </c>
      <c r="B808" s="5" t="s">
        <v>1199</v>
      </c>
      <c r="C808" s="5" t="s">
        <v>20</v>
      </c>
      <c r="K808" s="5">
        <v>200.0</v>
      </c>
      <c r="N808" s="9">
        <v>44555.0</v>
      </c>
    </row>
    <row r="809">
      <c r="A809" s="5">
        <v>808.0</v>
      </c>
      <c r="B809" s="5" t="s">
        <v>1200</v>
      </c>
      <c r="C809" s="5" t="s">
        <v>20</v>
      </c>
      <c r="K809" s="5">
        <v>90.0</v>
      </c>
      <c r="N809" s="9">
        <v>44759.0</v>
      </c>
    </row>
    <row r="810">
      <c r="A810" s="5">
        <v>809.0</v>
      </c>
      <c r="B810" s="5" t="s">
        <v>1201</v>
      </c>
      <c r="C810" s="5" t="s">
        <v>20</v>
      </c>
      <c r="K810" s="5">
        <v>250.0</v>
      </c>
      <c r="N810" s="9">
        <v>45075.0</v>
      </c>
    </row>
    <row r="811">
      <c r="A811" s="5">
        <v>810.0</v>
      </c>
      <c r="B811" s="5" t="s">
        <v>1202</v>
      </c>
      <c r="C811" s="5" t="s">
        <v>20</v>
      </c>
      <c r="K811" s="5">
        <v>500.0</v>
      </c>
      <c r="N811" s="9">
        <v>45160.0</v>
      </c>
    </row>
    <row r="812">
      <c r="A812" s="5">
        <v>811.0</v>
      </c>
      <c r="B812" s="5" t="s">
        <v>112</v>
      </c>
      <c r="C812" s="5" t="s">
        <v>20</v>
      </c>
      <c r="K812" s="5">
        <v>70.0</v>
      </c>
      <c r="N812" s="9">
        <v>45127.0</v>
      </c>
    </row>
    <row r="813">
      <c r="A813" s="5">
        <v>812.0</v>
      </c>
      <c r="B813" s="5" t="s">
        <v>1203</v>
      </c>
      <c r="C813" s="5" t="s">
        <v>20</v>
      </c>
      <c r="K813" s="5">
        <v>300.0</v>
      </c>
      <c r="N813" s="9">
        <v>44581.0</v>
      </c>
    </row>
    <row r="814">
      <c r="A814" s="5">
        <v>813.0</v>
      </c>
      <c r="B814" s="5" t="s">
        <v>1204</v>
      </c>
      <c r="C814" s="5" t="s">
        <v>20</v>
      </c>
      <c r="K814" s="5">
        <v>900.0</v>
      </c>
      <c r="N814" s="9">
        <v>44184.0</v>
      </c>
    </row>
    <row r="815">
      <c r="A815" s="5">
        <v>814.0</v>
      </c>
      <c r="B815" s="5" t="s">
        <v>1205</v>
      </c>
      <c r="C815" s="5" t="s">
        <v>20</v>
      </c>
      <c r="K815" s="5">
        <v>40.0</v>
      </c>
      <c r="N815" s="9">
        <v>44596.0</v>
      </c>
    </row>
    <row r="816">
      <c r="A816" s="5">
        <v>815.0</v>
      </c>
      <c r="B816" s="5" t="s">
        <v>1206</v>
      </c>
      <c r="C816" s="5" t="s">
        <v>20</v>
      </c>
      <c r="K816" s="5">
        <v>20.0</v>
      </c>
      <c r="N816" s="9">
        <v>44581.0</v>
      </c>
    </row>
    <row r="817">
      <c r="A817" s="5">
        <v>816.0</v>
      </c>
      <c r="B817" s="5" t="s">
        <v>1207</v>
      </c>
      <c r="C817" s="5" t="s">
        <v>20</v>
      </c>
      <c r="K817" s="5">
        <v>90.0</v>
      </c>
      <c r="N817" s="9">
        <v>44537.0</v>
      </c>
    </row>
    <row r="818">
      <c r="A818" s="5">
        <v>817.0</v>
      </c>
      <c r="B818" s="5" t="s">
        <v>1208</v>
      </c>
      <c r="C818" s="5" t="s">
        <v>20</v>
      </c>
      <c r="K818" s="5">
        <v>500.0</v>
      </c>
      <c r="N818" s="9">
        <v>44042.0</v>
      </c>
    </row>
    <row r="819">
      <c r="A819" s="5">
        <v>818.0</v>
      </c>
      <c r="B819" s="5" t="s">
        <v>1209</v>
      </c>
      <c r="C819" s="5" t="s">
        <v>20</v>
      </c>
      <c r="K819" s="5">
        <v>150.0</v>
      </c>
      <c r="N819" s="9">
        <v>44932.0</v>
      </c>
    </row>
    <row r="820">
      <c r="A820" s="5">
        <v>819.0</v>
      </c>
      <c r="B820" s="5" t="s">
        <v>1210</v>
      </c>
      <c r="C820" s="5" t="s">
        <v>20</v>
      </c>
      <c r="K820" s="5">
        <v>40.0</v>
      </c>
      <c r="N820" s="9">
        <v>45138.0</v>
      </c>
    </row>
    <row r="821">
      <c r="A821" s="5">
        <v>820.0</v>
      </c>
      <c r="B821" s="5" t="s">
        <v>116</v>
      </c>
      <c r="C821" s="5" t="s">
        <v>20</v>
      </c>
      <c r="K821" s="5">
        <v>400.0</v>
      </c>
      <c r="N821" s="9">
        <v>44471.0</v>
      </c>
    </row>
    <row r="822">
      <c r="A822" s="5">
        <v>821.0</v>
      </c>
      <c r="B822" s="5" t="s">
        <v>120</v>
      </c>
      <c r="C822" s="5" t="s">
        <v>20</v>
      </c>
      <c r="K822" s="5">
        <v>150.0</v>
      </c>
      <c r="N822" s="9">
        <v>44073.0</v>
      </c>
    </row>
    <row r="823">
      <c r="A823" s="5">
        <v>822.0</v>
      </c>
      <c r="B823" s="5" t="s">
        <v>1211</v>
      </c>
      <c r="C823" s="5" t="s">
        <v>20</v>
      </c>
      <c r="K823" s="5">
        <v>600.0</v>
      </c>
      <c r="N823" s="9">
        <v>44360.0</v>
      </c>
    </row>
    <row r="824">
      <c r="A824" s="5">
        <v>823.0</v>
      </c>
      <c r="B824" s="5" t="s">
        <v>1212</v>
      </c>
      <c r="C824" s="5" t="s">
        <v>20</v>
      </c>
      <c r="K824" s="5">
        <v>200.0</v>
      </c>
      <c r="N824" s="9">
        <v>44579.0</v>
      </c>
    </row>
    <row r="825">
      <c r="A825" s="5">
        <v>824.0</v>
      </c>
      <c r="B825" s="5" t="s">
        <v>1213</v>
      </c>
      <c r="C825" s="5" t="s">
        <v>20</v>
      </c>
      <c r="K825" s="5">
        <v>44000.0</v>
      </c>
      <c r="N825" s="9">
        <v>44034.0</v>
      </c>
    </row>
    <row r="826">
      <c r="A826" s="5">
        <v>825.0</v>
      </c>
      <c r="B826" s="5" t="s">
        <v>1214</v>
      </c>
      <c r="C826" s="5" t="s">
        <v>20</v>
      </c>
      <c r="K826" s="5">
        <v>5600.0</v>
      </c>
      <c r="N826" s="9">
        <v>44528.0</v>
      </c>
    </row>
    <row r="827">
      <c r="A827" s="5">
        <v>826.0</v>
      </c>
      <c r="B827" s="5" t="s">
        <v>1215</v>
      </c>
      <c r="C827" s="5" t="s">
        <v>20</v>
      </c>
      <c r="K827" s="5">
        <v>150.0</v>
      </c>
      <c r="N827" s="9">
        <v>44940.0</v>
      </c>
    </row>
    <row r="828">
      <c r="A828" s="5">
        <v>827.0</v>
      </c>
      <c r="B828" s="5" t="s">
        <v>1216</v>
      </c>
      <c r="C828" s="5" t="s">
        <v>20</v>
      </c>
      <c r="K828" s="5">
        <v>300.0</v>
      </c>
      <c r="N828" s="9">
        <v>44905.0</v>
      </c>
    </row>
    <row r="829">
      <c r="A829" s="5">
        <v>828.0</v>
      </c>
      <c r="B829" s="5" t="s">
        <v>1217</v>
      </c>
      <c r="C829" s="5" t="s">
        <v>20</v>
      </c>
      <c r="K829" s="5">
        <v>500.0</v>
      </c>
      <c r="N829" s="9">
        <v>44610.0</v>
      </c>
    </row>
    <row r="830">
      <c r="A830" s="5">
        <v>829.0</v>
      </c>
      <c r="B830" s="5" t="s">
        <v>1218</v>
      </c>
      <c r="C830" s="5" t="s">
        <v>20</v>
      </c>
      <c r="K830" s="5">
        <v>500.0</v>
      </c>
      <c r="N830" s="9">
        <v>44539.0</v>
      </c>
    </row>
    <row r="831">
      <c r="A831" s="5">
        <v>830.0</v>
      </c>
      <c r="B831" s="5" t="s">
        <v>1219</v>
      </c>
      <c r="C831" s="5" t="s">
        <v>20</v>
      </c>
      <c r="K831" s="5">
        <v>600.0</v>
      </c>
      <c r="N831" s="9">
        <v>44586.0</v>
      </c>
    </row>
    <row r="832">
      <c r="A832" s="5">
        <v>831.0</v>
      </c>
      <c r="B832" s="5" t="s">
        <v>1220</v>
      </c>
      <c r="C832" s="5" t="s">
        <v>20</v>
      </c>
      <c r="K832" s="5">
        <v>70.0</v>
      </c>
      <c r="N832" s="9">
        <v>44634.0</v>
      </c>
    </row>
    <row r="833">
      <c r="A833" s="5">
        <v>832.0</v>
      </c>
      <c r="B833" s="5" t="s">
        <v>1221</v>
      </c>
      <c r="C833" s="5" t="s">
        <v>20</v>
      </c>
      <c r="N833" s="9">
        <v>43885.0</v>
      </c>
    </row>
    <row r="834">
      <c r="A834" s="5">
        <v>833.0</v>
      </c>
      <c r="B834" s="5" t="s">
        <v>1222</v>
      </c>
      <c r="C834" s="5" t="s">
        <v>20</v>
      </c>
      <c r="N834" s="9">
        <v>44580.0</v>
      </c>
    </row>
    <row r="835">
      <c r="A835" s="5">
        <v>834.0</v>
      </c>
      <c r="B835" s="5" t="s">
        <v>1223</v>
      </c>
      <c r="C835" s="5" t="s">
        <v>20</v>
      </c>
      <c r="K835" s="5">
        <v>3900.0</v>
      </c>
      <c r="N835" s="9">
        <v>43842.0</v>
      </c>
    </row>
    <row r="836">
      <c r="A836" s="5">
        <v>835.0</v>
      </c>
      <c r="B836" s="5" t="s">
        <v>1224</v>
      </c>
      <c r="C836" s="5" t="s">
        <v>20</v>
      </c>
      <c r="N836" s="9">
        <v>44977.0</v>
      </c>
    </row>
    <row r="837">
      <c r="A837" s="5">
        <v>836.0</v>
      </c>
      <c r="B837" s="5" t="s">
        <v>1225</v>
      </c>
      <c r="C837" s="5" t="s">
        <v>20</v>
      </c>
      <c r="K837" s="5">
        <v>250.0</v>
      </c>
      <c r="N837" s="9">
        <v>44558.0</v>
      </c>
    </row>
    <row r="838">
      <c r="A838" s="5">
        <v>837.0</v>
      </c>
      <c r="B838" s="5" t="s">
        <v>1226</v>
      </c>
      <c r="C838" s="5" t="s">
        <v>20</v>
      </c>
      <c r="K838" s="5">
        <v>400.0</v>
      </c>
      <c r="N838" s="9">
        <v>44226.0</v>
      </c>
    </row>
    <row r="839">
      <c r="A839" s="5">
        <v>838.0</v>
      </c>
      <c r="B839" s="5" t="s">
        <v>1227</v>
      </c>
      <c r="C839" s="5" t="s">
        <v>20</v>
      </c>
      <c r="K839" s="5">
        <v>150.0</v>
      </c>
      <c r="N839" s="9">
        <v>44586.0</v>
      </c>
    </row>
    <row r="840">
      <c r="A840" s="5">
        <v>839.0</v>
      </c>
      <c r="B840" s="5" t="s">
        <v>1228</v>
      </c>
      <c r="C840" s="5" t="s">
        <v>20</v>
      </c>
      <c r="K840" s="5">
        <v>200.0</v>
      </c>
      <c r="N840" s="9">
        <v>44552.0</v>
      </c>
    </row>
    <row r="841">
      <c r="A841" s="5">
        <v>840.0</v>
      </c>
      <c r="B841" s="5" t="s">
        <v>1229</v>
      </c>
      <c r="C841" s="5" t="s">
        <v>20</v>
      </c>
      <c r="K841" s="5">
        <v>300.0</v>
      </c>
      <c r="N841" s="9">
        <v>45103.0</v>
      </c>
    </row>
    <row r="842">
      <c r="A842" s="5">
        <v>841.0</v>
      </c>
      <c r="B842" s="5" t="s">
        <v>1230</v>
      </c>
      <c r="C842" s="5" t="s">
        <v>20</v>
      </c>
      <c r="K842" s="5">
        <v>1500.0</v>
      </c>
      <c r="N842" s="9">
        <v>43915.0</v>
      </c>
    </row>
    <row r="843">
      <c r="A843" s="5">
        <v>842.0</v>
      </c>
      <c r="B843" s="5" t="s">
        <v>1231</v>
      </c>
      <c r="C843" s="5" t="s">
        <v>20</v>
      </c>
      <c r="K843" s="5">
        <v>6000.0</v>
      </c>
      <c r="N843" s="9">
        <v>43866.0</v>
      </c>
    </row>
    <row r="844">
      <c r="A844" s="5">
        <v>843.0</v>
      </c>
      <c r="B844" s="5" t="s">
        <v>1232</v>
      </c>
      <c r="C844" s="5" t="s">
        <v>20</v>
      </c>
      <c r="K844" s="5">
        <v>200.0</v>
      </c>
      <c r="N844" s="9">
        <v>44293.0</v>
      </c>
    </row>
    <row r="845">
      <c r="A845" s="5">
        <v>844.0</v>
      </c>
      <c r="B845" s="5" t="s">
        <v>1233</v>
      </c>
      <c r="C845" s="5" t="s">
        <v>20</v>
      </c>
      <c r="K845" s="5">
        <v>10.0</v>
      </c>
      <c r="N845" s="9">
        <v>45318.0</v>
      </c>
    </row>
    <row r="846">
      <c r="A846" s="5">
        <v>845.0</v>
      </c>
      <c r="B846" s="5" t="s">
        <v>1234</v>
      </c>
      <c r="C846" s="5" t="s">
        <v>20</v>
      </c>
      <c r="K846" s="5">
        <v>600.0</v>
      </c>
      <c r="N846" s="9">
        <v>43867.0</v>
      </c>
    </row>
    <row r="847">
      <c r="A847" s="5">
        <v>846.0</v>
      </c>
      <c r="B847" s="5" t="s">
        <v>1235</v>
      </c>
      <c r="C847" s="5" t="s">
        <v>20</v>
      </c>
      <c r="K847" s="5">
        <v>10.0</v>
      </c>
      <c r="N847" s="9">
        <v>44582.0</v>
      </c>
    </row>
    <row r="848">
      <c r="A848" s="5">
        <v>847.0</v>
      </c>
      <c r="B848" s="5" t="s">
        <v>1236</v>
      </c>
      <c r="C848" s="5" t="s">
        <v>20</v>
      </c>
      <c r="K848" s="5">
        <v>30.0</v>
      </c>
      <c r="N848" s="9">
        <v>44554.0</v>
      </c>
    </row>
    <row r="849">
      <c r="A849" s="5">
        <v>848.0</v>
      </c>
      <c r="B849" s="5" t="s">
        <v>1237</v>
      </c>
      <c r="C849" s="5" t="s">
        <v>20</v>
      </c>
      <c r="K849" s="5">
        <v>450.0</v>
      </c>
      <c r="N849" s="9">
        <v>44851.0</v>
      </c>
    </row>
    <row r="850">
      <c r="A850" s="5">
        <v>849.0</v>
      </c>
      <c r="B850" s="5" t="s">
        <v>1238</v>
      </c>
      <c r="C850" s="5" t="s">
        <v>20</v>
      </c>
      <c r="K850" s="5">
        <v>250.0</v>
      </c>
      <c r="N850" s="9">
        <v>44720.0</v>
      </c>
    </row>
    <row r="851">
      <c r="A851" s="5">
        <v>850.0</v>
      </c>
      <c r="B851" s="5" t="s">
        <v>1239</v>
      </c>
      <c r="C851" s="5" t="s">
        <v>20</v>
      </c>
      <c r="K851" s="5">
        <v>900.0</v>
      </c>
      <c r="N851" s="9">
        <v>44441.0</v>
      </c>
    </row>
    <row r="852">
      <c r="A852" s="5">
        <v>851.0</v>
      </c>
      <c r="B852" s="5" t="s">
        <v>1240</v>
      </c>
      <c r="C852" s="5" t="s">
        <v>20</v>
      </c>
      <c r="N852" s="9">
        <v>44709.0</v>
      </c>
    </row>
    <row r="853">
      <c r="A853" s="5">
        <v>852.0</v>
      </c>
      <c r="B853" s="5" t="s">
        <v>124</v>
      </c>
      <c r="C853" s="5" t="s">
        <v>20</v>
      </c>
      <c r="K853" s="5">
        <v>200.0</v>
      </c>
      <c r="N853" s="9">
        <v>43854.0</v>
      </c>
    </row>
    <row r="854">
      <c r="A854" s="5">
        <v>853.0</v>
      </c>
      <c r="B854" s="5" t="s">
        <v>1241</v>
      </c>
      <c r="C854" s="5" t="s">
        <v>20</v>
      </c>
      <c r="K854" s="5">
        <v>5600.0</v>
      </c>
      <c r="N854" s="9">
        <v>44543.0</v>
      </c>
    </row>
    <row r="855">
      <c r="A855" s="5">
        <v>854.0</v>
      </c>
      <c r="B855" s="5" t="s">
        <v>1242</v>
      </c>
      <c r="C855" s="5" t="s">
        <v>20</v>
      </c>
      <c r="K855" s="5">
        <v>1100.0</v>
      </c>
      <c r="N855" s="9">
        <v>44392.0</v>
      </c>
    </row>
    <row r="856">
      <c r="A856" s="5">
        <v>855.0</v>
      </c>
      <c r="B856" s="5" t="s">
        <v>1243</v>
      </c>
      <c r="C856" s="5" t="s">
        <v>20</v>
      </c>
      <c r="K856" s="5">
        <v>80.0</v>
      </c>
      <c r="N856" s="9">
        <v>45098.0</v>
      </c>
    </row>
    <row r="857">
      <c r="A857" s="5">
        <v>856.0</v>
      </c>
      <c r="B857" s="5" t="s">
        <v>1244</v>
      </c>
      <c r="C857" s="5" t="s">
        <v>20</v>
      </c>
      <c r="K857" s="5">
        <v>600.0</v>
      </c>
      <c r="N857" s="9">
        <v>45148.0</v>
      </c>
    </row>
    <row r="858">
      <c r="A858" s="5">
        <v>857.0</v>
      </c>
      <c r="B858" s="5" t="s">
        <v>1245</v>
      </c>
      <c r="C858" s="5" t="s">
        <v>20</v>
      </c>
      <c r="K858" s="5">
        <v>150.0</v>
      </c>
      <c r="N858" s="9">
        <v>44587.0</v>
      </c>
    </row>
    <row r="859">
      <c r="A859" s="5">
        <v>858.0</v>
      </c>
      <c r="B859" s="5" t="s">
        <v>1246</v>
      </c>
      <c r="C859" s="5" t="s">
        <v>20</v>
      </c>
      <c r="K859" s="5">
        <v>150.0</v>
      </c>
      <c r="N859" s="9">
        <v>44541.0</v>
      </c>
    </row>
    <row r="860">
      <c r="A860" s="5">
        <v>859.0</v>
      </c>
      <c r="B860" s="5" t="s">
        <v>1247</v>
      </c>
      <c r="C860" s="5" t="s">
        <v>20</v>
      </c>
      <c r="K860" s="5">
        <v>1000.0</v>
      </c>
      <c r="N860" s="9">
        <v>44415.0</v>
      </c>
    </row>
    <row r="861">
      <c r="A861" s="5">
        <v>860.0</v>
      </c>
      <c r="B861" s="5" t="s">
        <v>1248</v>
      </c>
      <c r="C861" s="5" t="s">
        <v>20</v>
      </c>
      <c r="K861" s="5">
        <v>200.0</v>
      </c>
      <c r="N861" s="9">
        <v>44582.0</v>
      </c>
    </row>
    <row r="862">
      <c r="A862" s="5">
        <v>861.0</v>
      </c>
      <c r="B862" s="5" t="s">
        <v>1249</v>
      </c>
      <c r="C862" s="5" t="s">
        <v>20</v>
      </c>
      <c r="K862" s="5">
        <v>10.0</v>
      </c>
      <c r="N862" s="9">
        <v>44846.0</v>
      </c>
    </row>
    <row r="863">
      <c r="A863" s="5">
        <v>862.0</v>
      </c>
      <c r="B863" s="5" t="s">
        <v>1250</v>
      </c>
      <c r="C863" s="5" t="s">
        <v>20</v>
      </c>
      <c r="K863" s="5">
        <v>50.0</v>
      </c>
      <c r="N863" s="9">
        <v>44594.0</v>
      </c>
    </row>
    <row r="864">
      <c r="A864" s="5">
        <v>863.0</v>
      </c>
      <c r="B864" s="5" t="s">
        <v>1251</v>
      </c>
      <c r="C864" s="5" t="s">
        <v>20</v>
      </c>
      <c r="K864" s="5">
        <v>80.0</v>
      </c>
      <c r="N864" s="9">
        <v>44628.0</v>
      </c>
    </row>
    <row r="865">
      <c r="A865" s="5">
        <v>864.0</v>
      </c>
      <c r="B865" s="5" t="s">
        <v>1252</v>
      </c>
      <c r="C865" s="5" t="s">
        <v>20</v>
      </c>
      <c r="K865" s="5">
        <v>30.0</v>
      </c>
      <c r="N865" s="9">
        <v>44605.0</v>
      </c>
    </row>
    <row r="866">
      <c r="A866" s="5">
        <v>865.0</v>
      </c>
      <c r="B866" s="5" t="s">
        <v>1253</v>
      </c>
      <c r="C866" s="5" t="s">
        <v>20</v>
      </c>
      <c r="K866" s="5">
        <v>350.0</v>
      </c>
      <c r="N866" s="9">
        <v>44252.0</v>
      </c>
    </row>
    <row r="867">
      <c r="A867" s="5">
        <v>866.0</v>
      </c>
      <c r="B867" s="5" t="s">
        <v>1254</v>
      </c>
      <c r="C867" s="5" t="s">
        <v>20</v>
      </c>
      <c r="K867" s="5">
        <v>450.0</v>
      </c>
      <c r="N867" s="9">
        <v>44462.0</v>
      </c>
    </row>
    <row r="868">
      <c r="A868" s="5">
        <v>867.0</v>
      </c>
      <c r="B868" s="5" t="s">
        <v>1255</v>
      </c>
      <c r="C868" s="5" t="s">
        <v>20</v>
      </c>
      <c r="K868" s="5">
        <v>250.0</v>
      </c>
      <c r="N868" s="9">
        <v>44540.0</v>
      </c>
    </row>
    <row r="869">
      <c r="A869" s="5">
        <v>868.0</v>
      </c>
      <c r="B869" s="5" t="s">
        <v>1256</v>
      </c>
      <c r="C869" s="5" t="s">
        <v>20</v>
      </c>
      <c r="K869" s="5">
        <v>300.0</v>
      </c>
      <c r="N869" s="9">
        <v>44345.0</v>
      </c>
    </row>
    <row r="870">
      <c r="A870" s="5">
        <v>869.0</v>
      </c>
      <c r="B870" s="5" t="s">
        <v>1257</v>
      </c>
      <c r="C870" s="5" t="s">
        <v>20</v>
      </c>
      <c r="K870" s="5">
        <v>50.0</v>
      </c>
      <c r="N870" s="9">
        <v>44554.0</v>
      </c>
    </row>
    <row r="871">
      <c r="A871" s="5">
        <v>870.0</v>
      </c>
      <c r="B871" s="5" t="s">
        <v>1258</v>
      </c>
      <c r="C871" s="5" t="s">
        <v>20</v>
      </c>
      <c r="K871" s="5">
        <v>70.0</v>
      </c>
      <c r="N871" s="9">
        <v>44713.0</v>
      </c>
    </row>
    <row r="872">
      <c r="A872" s="5">
        <v>871.0</v>
      </c>
      <c r="B872" s="5" t="s">
        <v>1259</v>
      </c>
      <c r="C872" s="5" t="s">
        <v>20</v>
      </c>
      <c r="K872" s="5">
        <v>250.0</v>
      </c>
      <c r="N872" s="9">
        <v>45127.0</v>
      </c>
    </row>
    <row r="873">
      <c r="A873" s="5">
        <v>872.0</v>
      </c>
      <c r="B873" s="5" t="s">
        <v>1260</v>
      </c>
      <c r="C873" s="5" t="s">
        <v>20</v>
      </c>
      <c r="K873" s="5">
        <v>900.0</v>
      </c>
      <c r="N873" s="9">
        <v>44517.0</v>
      </c>
    </row>
    <row r="874">
      <c r="A874" s="5">
        <v>873.0</v>
      </c>
      <c r="B874" s="5" t="s">
        <v>1261</v>
      </c>
      <c r="C874" s="5" t="s">
        <v>20</v>
      </c>
      <c r="N874" s="9">
        <v>45218.0</v>
      </c>
    </row>
    <row r="875">
      <c r="A875" s="5">
        <v>874.0</v>
      </c>
      <c r="B875" s="5" t="s">
        <v>1262</v>
      </c>
      <c r="C875" s="5" t="s">
        <v>20</v>
      </c>
      <c r="K875" s="5">
        <v>1100.0</v>
      </c>
      <c r="N875" s="9">
        <v>44177.0</v>
      </c>
    </row>
    <row r="876">
      <c r="A876" s="5">
        <v>875.0</v>
      </c>
      <c r="B876" s="5" t="s">
        <v>1263</v>
      </c>
      <c r="C876" s="5" t="s">
        <v>20</v>
      </c>
      <c r="K876" s="5">
        <v>3400.0</v>
      </c>
      <c r="N876" s="9">
        <v>45750.0</v>
      </c>
    </row>
    <row r="877">
      <c r="A877" s="5">
        <v>876.0</v>
      </c>
      <c r="B877" s="5" t="s">
        <v>1264</v>
      </c>
      <c r="C877" s="5" t="s">
        <v>20</v>
      </c>
      <c r="N877" s="9">
        <v>44939.0</v>
      </c>
    </row>
    <row r="878">
      <c r="A878" s="5">
        <v>877.0</v>
      </c>
      <c r="B878" s="5" t="s">
        <v>1265</v>
      </c>
      <c r="C878" s="5" t="s">
        <v>20</v>
      </c>
      <c r="K878" s="5">
        <v>350.0</v>
      </c>
      <c r="N878" s="9">
        <v>43888.0</v>
      </c>
    </row>
    <row r="879">
      <c r="A879" s="5">
        <v>878.0</v>
      </c>
      <c r="B879" s="5" t="s">
        <v>1266</v>
      </c>
      <c r="C879" s="5" t="s">
        <v>20</v>
      </c>
      <c r="K879" s="5">
        <v>450.0</v>
      </c>
      <c r="N879" s="9">
        <v>44192.0</v>
      </c>
    </row>
    <row r="880">
      <c r="A880" s="5">
        <v>879.0</v>
      </c>
      <c r="B880" s="5" t="s">
        <v>114</v>
      </c>
      <c r="C880" s="5" t="s">
        <v>20</v>
      </c>
      <c r="K880" s="5">
        <v>30.0</v>
      </c>
      <c r="N880" s="9">
        <v>44571.0</v>
      </c>
    </row>
    <row r="881">
      <c r="A881" s="5">
        <v>880.0</v>
      </c>
      <c r="B881" s="5" t="s">
        <v>1267</v>
      </c>
      <c r="C881" s="5" t="s">
        <v>20</v>
      </c>
      <c r="N881" s="9">
        <v>44531.0</v>
      </c>
    </row>
    <row r="882">
      <c r="A882" s="5">
        <v>881.0</v>
      </c>
      <c r="B882" s="5" t="s">
        <v>1268</v>
      </c>
      <c r="C882" s="5" t="s">
        <v>20</v>
      </c>
      <c r="K882" s="5">
        <v>1600.0</v>
      </c>
      <c r="N882" s="9">
        <v>43893.0</v>
      </c>
    </row>
    <row r="883">
      <c r="A883" s="5">
        <v>882.0</v>
      </c>
      <c r="B883" s="5" t="s">
        <v>1269</v>
      </c>
      <c r="C883" s="5" t="s">
        <v>20</v>
      </c>
      <c r="K883" s="5">
        <v>50.0</v>
      </c>
      <c r="N883" s="9">
        <v>44691.0</v>
      </c>
    </row>
    <row r="884">
      <c r="A884" s="5">
        <v>883.0</v>
      </c>
      <c r="B884" s="5" t="s">
        <v>1270</v>
      </c>
      <c r="C884" s="5" t="s">
        <v>20</v>
      </c>
      <c r="K884" s="5">
        <v>400.0</v>
      </c>
      <c r="N884" s="9">
        <v>44619.0</v>
      </c>
    </row>
    <row r="885">
      <c r="A885" s="5">
        <v>884.0</v>
      </c>
      <c r="B885" s="5" t="s">
        <v>1271</v>
      </c>
      <c r="C885" s="5" t="s">
        <v>20</v>
      </c>
      <c r="K885" s="5">
        <v>700.0</v>
      </c>
      <c r="N885" s="9">
        <v>44884.0</v>
      </c>
    </row>
    <row r="886">
      <c r="A886" s="5">
        <v>885.0</v>
      </c>
      <c r="B886" s="5" t="s">
        <v>1272</v>
      </c>
      <c r="C886" s="5" t="s">
        <v>20</v>
      </c>
      <c r="K886" s="5">
        <v>700.0</v>
      </c>
      <c r="N886" s="9">
        <v>44106.0</v>
      </c>
    </row>
    <row r="887">
      <c r="A887" s="5">
        <v>886.0</v>
      </c>
      <c r="B887" s="5" t="s">
        <v>1273</v>
      </c>
      <c r="C887" s="5" t="s">
        <v>20</v>
      </c>
      <c r="K887" s="5">
        <v>200.0</v>
      </c>
      <c r="N887" s="9">
        <v>44541.0</v>
      </c>
    </row>
    <row r="888">
      <c r="A888" s="5">
        <v>887.0</v>
      </c>
      <c r="B888" s="5" t="s">
        <v>1274</v>
      </c>
      <c r="C888" s="5" t="s">
        <v>20</v>
      </c>
      <c r="K888" s="5">
        <v>150.0</v>
      </c>
      <c r="N888" s="9">
        <v>44513.0</v>
      </c>
    </row>
    <row r="889">
      <c r="A889" s="5">
        <v>888.0</v>
      </c>
      <c r="B889" s="5" t="s">
        <v>1275</v>
      </c>
      <c r="C889" s="5" t="s">
        <v>20</v>
      </c>
      <c r="K889" s="5">
        <v>100.0</v>
      </c>
      <c r="N889" s="9">
        <v>43901.0</v>
      </c>
    </row>
    <row r="890">
      <c r="A890" s="5">
        <v>889.0</v>
      </c>
      <c r="B890" s="5" t="s">
        <v>1276</v>
      </c>
      <c r="C890" s="5" t="s">
        <v>20</v>
      </c>
      <c r="K890" s="5">
        <v>30.0</v>
      </c>
      <c r="N890" s="9">
        <v>44644.0</v>
      </c>
    </row>
    <row r="891">
      <c r="A891" s="5">
        <v>890.0</v>
      </c>
      <c r="B891" s="5" t="s">
        <v>1277</v>
      </c>
      <c r="C891" s="5" t="s">
        <v>20</v>
      </c>
      <c r="K891" s="5">
        <v>10.0</v>
      </c>
      <c r="N891" s="9">
        <v>44945.0</v>
      </c>
    </row>
    <row r="892">
      <c r="A892" s="5">
        <v>891.0</v>
      </c>
      <c r="B892" s="5" t="s">
        <v>1278</v>
      </c>
      <c r="C892" s="5" t="s">
        <v>20</v>
      </c>
      <c r="K892" s="5">
        <v>600.0</v>
      </c>
      <c r="N892" s="9">
        <v>44530.0</v>
      </c>
    </row>
    <row r="893">
      <c r="A893" s="5">
        <v>892.0</v>
      </c>
      <c r="B893" s="5" t="s">
        <v>1279</v>
      </c>
      <c r="C893" s="5" t="s">
        <v>20</v>
      </c>
      <c r="K893" s="5">
        <v>450.0</v>
      </c>
      <c r="N893" s="9">
        <v>44683.0</v>
      </c>
    </row>
    <row r="894">
      <c r="A894" s="5">
        <v>893.0</v>
      </c>
      <c r="B894" s="5" t="s">
        <v>1280</v>
      </c>
      <c r="C894" s="5" t="s">
        <v>20</v>
      </c>
      <c r="K894" s="5">
        <v>300.0</v>
      </c>
      <c r="N894" s="9">
        <v>44054.0</v>
      </c>
    </row>
    <row r="895">
      <c r="A895" s="5">
        <v>894.0</v>
      </c>
      <c r="B895" s="5" t="s">
        <v>1281</v>
      </c>
      <c r="C895" s="5" t="s">
        <v>20</v>
      </c>
      <c r="K895" s="5">
        <v>300.0</v>
      </c>
      <c r="N895" s="9">
        <v>44543.0</v>
      </c>
    </row>
    <row r="896">
      <c r="A896" s="5">
        <v>895.0</v>
      </c>
      <c r="B896" s="5" t="s">
        <v>1282</v>
      </c>
      <c r="C896" s="5" t="s">
        <v>20</v>
      </c>
      <c r="K896" s="5">
        <v>150.0</v>
      </c>
      <c r="N896" s="9">
        <v>44887.0</v>
      </c>
    </row>
    <row r="897">
      <c r="A897" s="5">
        <v>896.0</v>
      </c>
      <c r="B897" s="5" t="s">
        <v>1283</v>
      </c>
      <c r="C897" s="5" t="s">
        <v>20</v>
      </c>
      <c r="K897" s="5">
        <v>250.0</v>
      </c>
      <c r="N897" s="9">
        <v>45062.0</v>
      </c>
    </row>
    <row r="898">
      <c r="A898" s="5">
        <v>897.0</v>
      </c>
      <c r="B898" s="5" t="s">
        <v>1284</v>
      </c>
      <c r="C898" s="5" t="s">
        <v>20</v>
      </c>
      <c r="K898" s="5">
        <v>900.0</v>
      </c>
      <c r="N898" s="9">
        <v>44559.0</v>
      </c>
    </row>
    <row r="899">
      <c r="A899" s="5">
        <v>898.0</v>
      </c>
      <c r="B899" s="5" t="s">
        <v>1285</v>
      </c>
      <c r="C899" s="5" t="s">
        <v>20</v>
      </c>
      <c r="K899" s="5">
        <v>100.0</v>
      </c>
      <c r="N899" s="9">
        <v>45606.0</v>
      </c>
    </row>
    <row r="900">
      <c r="A900" s="5">
        <v>899.0</v>
      </c>
      <c r="B900" s="5" t="s">
        <v>1286</v>
      </c>
      <c r="C900" s="5" t="s">
        <v>20</v>
      </c>
      <c r="K900" s="5">
        <v>200.0</v>
      </c>
      <c r="N900" s="9">
        <v>44115.0</v>
      </c>
    </row>
    <row r="901">
      <c r="A901" s="5">
        <v>900.0</v>
      </c>
      <c r="B901" s="5" t="s">
        <v>1287</v>
      </c>
      <c r="C901" s="5" t="s">
        <v>20</v>
      </c>
      <c r="K901" s="5">
        <v>150.0</v>
      </c>
      <c r="N901" s="9">
        <v>45273.0</v>
      </c>
    </row>
    <row r="902">
      <c r="A902" s="5">
        <v>901.0</v>
      </c>
      <c r="B902" s="5" t="s">
        <v>119</v>
      </c>
      <c r="C902" s="5" t="s">
        <v>20</v>
      </c>
      <c r="K902" s="5">
        <v>600.0</v>
      </c>
      <c r="N902" s="9">
        <v>44038.0</v>
      </c>
    </row>
    <row r="903">
      <c r="A903" s="5">
        <v>902.0</v>
      </c>
      <c r="B903" s="5" t="s">
        <v>1288</v>
      </c>
      <c r="C903" s="5" t="s">
        <v>20</v>
      </c>
      <c r="K903" s="5">
        <v>1800.0</v>
      </c>
      <c r="N903" s="9">
        <v>44357.0</v>
      </c>
    </row>
    <row r="904">
      <c r="A904" s="5">
        <v>903.0</v>
      </c>
      <c r="B904" s="5" t="s">
        <v>1289</v>
      </c>
      <c r="C904" s="5" t="s">
        <v>20</v>
      </c>
      <c r="K904" s="5">
        <v>30.0</v>
      </c>
      <c r="N904" s="9">
        <v>44636.0</v>
      </c>
    </row>
    <row r="905">
      <c r="A905" s="5">
        <v>904.0</v>
      </c>
      <c r="B905" s="5" t="s">
        <v>1290</v>
      </c>
      <c r="C905" s="5" t="s">
        <v>20</v>
      </c>
      <c r="K905" s="5">
        <v>250.0</v>
      </c>
      <c r="N905" s="9">
        <v>44633.0</v>
      </c>
    </row>
    <row r="906">
      <c r="A906" s="5">
        <v>905.0</v>
      </c>
      <c r="B906" s="5" t="s">
        <v>1291</v>
      </c>
      <c r="C906" s="5" t="s">
        <v>20</v>
      </c>
      <c r="K906" s="5">
        <v>300.0</v>
      </c>
      <c r="N906" s="9">
        <v>44532.0</v>
      </c>
    </row>
    <row r="907">
      <c r="A907" s="5">
        <v>906.0</v>
      </c>
      <c r="B907" s="5" t="s">
        <v>1292</v>
      </c>
      <c r="C907" s="5" t="s">
        <v>20</v>
      </c>
      <c r="K907" s="5">
        <v>500.0</v>
      </c>
      <c r="N907" s="9">
        <v>45092.0</v>
      </c>
    </row>
    <row r="908">
      <c r="A908" s="5">
        <v>907.0</v>
      </c>
      <c r="B908" s="5" t="s">
        <v>1293</v>
      </c>
      <c r="C908" s="5" t="s">
        <v>20</v>
      </c>
      <c r="K908" s="5">
        <v>700.0</v>
      </c>
      <c r="N908" s="9">
        <v>44532.0</v>
      </c>
    </row>
    <row r="909">
      <c r="A909" s="5">
        <v>908.0</v>
      </c>
      <c r="B909" s="5" t="s">
        <v>1294</v>
      </c>
      <c r="C909" s="5" t="s">
        <v>20</v>
      </c>
      <c r="K909" s="5">
        <v>350.0</v>
      </c>
      <c r="N909" s="9">
        <v>44769.0</v>
      </c>
    </row>
    <row r="910">
      <c r="A910" s="5">
        <v>909.0</v>
      </c>
      <c r="B910" s="5" t="s">
        <v>1295</v>
      </c>
      <c r="C910" s="5" t="s">
        <v>20</v>
      </c>
      <c r="K910" s="5">
        <v>80.0</v>
      </c>
      <c r="N910" s="9">
        <v>44595.0</v>
      </c>
    </row>
    <row r="911">
      <c r="A911" s="5">
        <v>910.0</v>
      </c>
      <c r="B911" s="5" t="s">
        <v>1296</v>
      </c>
      <c r="C911" s="5" t="s">
        <v>20</v>
      </c>
      <c r="K911" s="5">
        <v>300.0</v>
      </c>
      <c r="N911" s="9">
        <v>44536.0</v>
      </c>
    </row>
    <row r="912">
      <c r="A912" s="5">
        <v>911.0</v>
      </c>
      <c r="B912" s="5" t="s">
        <v>1297</v>
      </c>
      <c r="C912" s="5" t="s">
        <v>20</v>
      </c>
      <c r="K912" s="5">
        <v>150.0</v>
      </c>
      <c r="N912" s="9">
        <v>44361.0</v>
      </c>
    </row>
    <row r="913">
      <c r="A913" s="5">
        <v>912.0</v>
      </c>
      <c r="B913" s="5" t="s">
        <v>1298</v>
      </c>
      <c r="C913" s="5" t="s">
        <v>20</v>
      </c>
      <c r="K913" s="5">
        <v>200.0</v>
      </c>
      <c r="N913" s="9">
        <v>45501.0</v>
      </c>
    </row>
    <row r="914">
      <c r="A914" s="5">
        <v>913.0</v>
      </c>
      <c r="B914" s="5" t="s">
        <v>1299</v>
      </c>
      <c r="C914" s="5" t="s">
        <v>20</v>
      </c>
      <c r="K914" s="5">
        <v>10.0</v>
      </c>
      <c r="N914" s="9">
        <v>44807.0</v>
      </c>
    </row>
    <row r="915">
      <c r="A915" s="5">
        <v>914.0</v>
      </c>
      <c r="B915" s="5" t="s">
        <v>1300</v>
      </c>
      <c r="C915" s="5" t="s">
        <v>20</v>
      </c>
      <c r="N915" s="9">
        <v>44547.0</v>
      </c>
    </row>
    <row r="916">
      <c r="A916" s="5">
        <v>915.0</v>
      </c>
      <c r="B916" s="5" t="s">
        <v>1301</v>
      </c>
      <c r="C916" s="5" t="s">
        <v>20</v>
      </c>
      <c r="K916" s="5">
        <v>250.0</v>
      </c>
      <c r="N916" s="9">
        <v>44582.0</v>
      </c>
    </row>
    <row r="917">
      <c r="A917" s="5">
        <v>916.0</v>
      </c>
      <c r="B917" s="5" t="s">
        <v>1302</v>
      </c>
      <c r="C917" s="5" t="s">
        <v>20</v>
      </c>
      <c r="K917" s="5">
        <v>90.0</v>
      </c>
      <c r="N917" s="9">
        <v>44570.0</v>
      </c>
    </row>
    <row r="918">
      <c r="A918" s="5">
        <v>917.0</v>
      </c>
      <c r="B918" s="5" t="s">
        <v>129</v>
      </c>
      <c r="C918" s="5" t="s">
        <v>20</v>
      </c>
      <c r="K918" s="5">
        <v>600.0</v>
      </c>
      <c r="N918" s="9">
        <v>44537.0</v>
      </c>
    </row>
    <row r="919">
      <c r="A919" s="5">
        <v>918.0</v>
      </c>
      <c r="B919" s="5" t="s">
        <v>1303</v>
      </c>
      <c r="C919" s="5" t="s">
        <v>20</v>
      </c>
      <c r="K919" s="5">
        <v>70.0</v>
      </c>
      <c r="N919" s="9">
        <v>44558.0</v>
      </c>
    </row>
    <row r="920">
      <c r="A920" s="5">
        <v>919.0</v>
      </c>
      <c r="B920" s="5" t="s">
        <v>1304</v>
      </c>
      <c r="C920" s="5" t="s">
        <v>20</v>
      </c>
      <c r="K920" s="5">
        <v>250.0</v>
      </c>
      <c r="N920" s="9">
        <v>44770.0</v>
      </c>
    </row>
    <row r="921">
      <c r="A921" s="5">
        <v>920.0</v>
      </c>
      <c r="B921" s="5" t="s">
        <v>1305</v>
      </c>
      <c r="C921" s="5" t="s">
        <v>20</v>
      </c>
      <c r="K921" s="5">
        <v>100.0</v>
      </c>
      <c r="N921" s="9">
        <v>44628.0</v>
      </c>
    </row>
    <row r="922">
      <c r="A922" s="5">
        <v>921.0</v>
      </c>
      <c r="B922" s="5" t="s">
        <v>1306</v>
      </c>
      <c r="C922" s="5" t="s">
        <v>20</v>
      </c>
      <c r="K922" s="5">
        <v>350.0</v>
      </c>
      <c r="N922" s="9">
        <v>44533.0</v>
      </c>
    </row>
    <row r="923">
      <c r="A923" s="5">
        <v>922.0</v>
      </c>
      <c r="B923" s="5" t="s">
        <v>1307</v>
      </c>
      <c r="C923" s="5" t="s">
        <v>20</v>
      </c>
      <c r="K923" s="5">
        <v>200.0</v>
      </c>
      <c r="N923" s="9">
        <v>44687.0</v>
      </c>
    </row>
    <row r="924">
      <c r="A924" s="5">
        <v>923.0</v>
      </c>
      <c r="B924" s="5" t="s">
        <v>1308</v>
      </c>
      <c r="C924" s="5" t="s">
        <v>20</v>
      </c>
      <c r="K924" s="5">
        <v>150.0</v>
      </c>
      <c r="N924" s="9">
        <v>44847.0</v>
      </c>
    </row>
    <row r="925">
      <c r="A925" s="5">
        <v>924.0</v>
      </c>
      <c r="B925" s="5" t="s">
        <v>1309</v>
      </c>
      <c r="C925" s="5" t="s">
        <v>20</v>
      </c>
      <c r="K925" s="5">
        <v>5200.0</v>
      </c>
      <c r="N925" s="9">
        <v>43884.0</v>
      </c>
    </row>
    <row r="926">
      <c r="A926" s="5">
        <v>925.0</v>
      </c>
      <c r="B926" s="5" t="s">
        <v>1310</v>
      </c>
      <c r="C926" s="5" t="s">
        <v>20</v>
      </c>
      <c r="K926" s="5">
        <v>350.0</v>
      </c>
      <c r="N926" s="9">
        <v>44968.0</v>
      </c>
    </row>
    <row r="927">
      <c r="A927" s="5">
        <v>926.0</v>
      </c>
      <c r="B927" s="5" t="s">
        <v>1311</v>
      </c>
      <c r="C927" s="5" t="s">
        <v>20</v>
      </c>
      <c r="K927" s="5">
        <v>700.0</v>
      </c>
      <c r="N927" s="9">
        <v>45037.0</v>
      </c>
    </row>
    <row r="928">
      <c r="A928" s="5">
        <v>927.0</v>
      </c>
      <c r="B928" s="5" t="s">
        <v>1312</v>
      </c>
      <c r="C928" s="5" t="s">
        <v>20</v>
      </c>
      <c r="K928" s="5">
        <v>10.0</v>
      </c>
      <c r="N928" s="9">
        <v>44532.0</v>
      </c>
    </row>
    <row r="929">
      <c r="A929" s="5">
        <v>928.0</v>
      </c>
      <c r="B929" s="5" t="s">
        <v>1313</v>
      </c>
      <c r="C929" s="5" t="s">
        <v>20</v>
      </c>
      <c r="K929" s="5">
        <v>400.0</v>
      </c>
      <c r="N929" s="9">
        <v>44396.0</v>
      </c>
    </row>
    <row r="930">
      <c r="A930" s="5">
        <v>929.0</v>
      </c>
      <c r="B930" s="5" t="s">
        <v>1314</v>
      </c>
      <c r="C930" s="5" t="s">
        <v>20</v>
      </c>
      <c r="K930" s="5">
        <v>1700.0</v>
      </c>
      <c r="N930" s="9">
        <v>44037.0</v>
      </c>
    </row>
    <row r="931">
      <c r="A931" s="5">
        <v>930.0</v>
      </c>
      <c r="B931" s="5" t="s">
        <v>1315</v>
      </c>
      <c r="C931" s="5" t="s">
        <v>20</v>
      </c>
      <c r="K931" s="5">
        <v>20.0</v>
      </c>
      <c r="N931" s="9">
        <v>44725.0</v>
      </c>
    </row>
    <row r="932">
      <c r="A932" s="5">
        <v>931.0</v>
      </c>
      <c r="B932" s="5" t="s">
        <v>1316</v>
      </c>
      <c r="C932" s="5" t="s">
        <v>20</v>
      </c>
      <c r="K932" s="5">
        <v>400.0</v>
      </c>
      <c r="N932" s="9">
        <v>44503.0</v>
      </c>
    </row>
    <row r="933">
      <c r="A933" s="5">
        <v>932.0</v>
      </c>
      <c r="B933" s="5" t="s">
        <v>1317</v>
      </c>
      <c r="C933" s="5" t="s">
        <v>20</v>
      </c>
      <c r="K933" s="5">
        <v>200.0</v>
      </c>
      <c r="N933" s="9">
        <v>44578.0</v>
      </c>
    </row>
    <row r="934">
      <c r="A934" s="5">
        <v>933.0</v>
      </c>
      <c r="B934" s="5" t="s">
        <v>122</v>
      </c>
      <c r="C934" s="5" t="s">
        <v>20</v>
      </c>
      <c r="K934" s="5">
        <v>3700.0</v>
      </c>
      <c r="N934" s="9">
        <v>44036.0</v>
      </c>
    </row>
    <row r="935">
      <c r="A935" s="5">
        <v>934.0</v>
      </c>
      <c r="B935" s="5" t="s">
        <v>1318</v>
      </c>
      <c r="C935" s="5" t="s">
        <v>20</v>
      </c>
      <c r="K935" s="5">
        <v>150.0</v>
      </c>
      <c r="N935" s="9">
        <v>43890.0</v>
      </c>
    </row>
    <row r="936">
      <c r="A936" s="5">
        <v>935.0</v>
      </c>
      <c r="B936" s="5" t="s">
        <v>1319</v>
      </c>
      <c r="C936" s="5" t="s">
        <v>20</v>
      </c>
      <c r="K936" s="5">
        <v>4900.0</v>
      </c>
      <c r="N936" s="9">
        <v>44563.0</v>
      </c>
    </row>
    <row r="937">
      <c r="A937" s="5">
        <v>936.0</v>
      </c>
      <c r="B937" s="5" t="s">
        <v>1320</v>
      </c>
      <c r="C937" s="5" t="s">
        <v>20</v>
      </c>
      <c r="K937" s="5">
        <v>10.0</v>
      </c>
      <c r="N937" s="9">
        <v>44632.0</v>
      </c>
    </row>
    <row r="938">
      <c r="A938" s="5">
        <v>937.0</v>
      </c>
      <c r="B938" s="5" t="s">
        <v>1321</v>
      </c>
      <c r="C938" s="5" t="s">
        <v>20</v>
      </c>
      <c r="K938" s="5">
        <v>200.0</v>
      </c>
      <c r="N938" s="9">
        <v>45640.0</v>
      </c>
    </row>
    <row r="939">
      <c r="A939" s="5">
        <v>938.0</v>
      </c>
      <c r="B939" s="5" t="s">
        <v>1322</v>
      </c>
      <c r="C939" s="5" t="s">
        <v>20</v>
      </c>
      <c r="K939" s="5">
        <v>1300.0</v>
      </c>
      <c r="N939" s="9">
        <v>43839.0</v>
      </c>
    </row>
    <row r="940">
      <c r="A940" s="5">
        <v>939.0</v>
      </c>
      <c r="B940" s="5" t="s">
        <v>1323</v>
      </c>
      <c r="C940" s="5" t="s">
        <v>20</v>
      </c>
      <c r="K940" s="5">
        <v>450.0</v>
      </c>
      <c r="N940" s="9">
        <v>44821.0</v>
      </c>
    </row>
    <row r="941">
      <c r="A941" s="5">
        <v>940.0</v>
      </c>
      <c r="B941" s="5" t="s">
        <v>1324</v>
      </c>
      <c r="C941" s="5" t="s">
        <v>20</v>
      </c>
      <c r="K941" s="5">
        <v>300.0</v>
      </c>
      <c r="N941" s="9">
        <v>44703.0</v>
      </c>
    </row>
    <row r="942">
      <c r="A942" s="5">
        <v>941.0</v>
      </c>
      <c r="B942" s="5" t="s">
        <v>1325</v>
      </c>
      <c r="C942" s="5" t="s">
        <v>20</v>
      </c>
      <c r="K942" s="5">
        <v>300.0</v>
      </c>
      <c r="N942" s="9">
        <v>43953.0</v>
      </c>
    </row>
    <row r="943">
      <c r="A943" s="5">
        <v>942.0</v>
      </c>
      <c r="B943" s="5" t="s">
        <v>1326</v>
      </c>
      <c r="C943" s="5" t="s">
        <v>20</v>
      </c>
      <c r="K943" s="5">
        <v>10.0</v>
      </c>
      <c r="N943" s="9">
        <v>44604.0</v>
      </c>
    </row>
    <row r="944">
      <c r="A944" s="5">
        <v>943.0</v>
      </c>
      <c r="B944" s="5" t="s">
        <v>1327</v>
      </c>
      <c r="C944" s="5" t="s">
        <v>20</v>
      </c>
      <c r="K944" s="5">
        <v>150.0</v>
      </c>
      <c r="N944" s="9">
        <v>45250.0</v>
      </c>
    </row>
    <row r="945">
      <c r="A945" s="5">
        <v>944.0</v>
      </c>
      <c r="B945" s="5" t="s">
        <v>1328</v>
      </c>
      <c r="C945" s="5" t="s">
        <v>20</v>
      </c>
      <c r="K945" s="5">
        <v>40.0</v>
      </c>
      <c r="N945" s="9">
        <v>44102.0</v>
      </c>
    </row>
    <row r="946">
      <c r="A946" s="5">
        <v>945.0</v>
      </c>
      <c r="B946" s="5" t="s">
        <v>1329</v>
      </c>
      <c r="C946" s="5" t="s">
        <v>20</v>
      </c>
      <c r="K946" s="5">
        <v>150.0</v>
      </c>
      <c r="N946" s="9">
        <v>44412.0</v>
      </c>
    </row>
    <row r="947">
      <c r="A947" s="5">
        <v>946.0</v>
      </c>
      <c r="B947" s="5" t="s">
        <v>1330</v>
      </c>
      <c r="C947" s="5" t="s">
        <v>20</v>
      </c>
      <c r="K947" s="5">
        <v>40.0</v>
      </c>
      <c r="N947" s="9">
        <v>44797.0</v>
      </c>
    </row>
    <row r="948">
      <c r="A948" s="5">
        <v>947.0</v>
      </c>
      <c r="B948" s="5" t="s">
        <v>1331</v>
      </c>
      <c r="C948" s="5" t="s">
        <v>20</v>
      </c>
      <c r="K948" s="5">
        <v>60.0</v>
      </c>
      <c r="N948" s="9">
        <v>44443.0</v>
      </c>
    </row>
    <row r="949">
      <c r="A949" s="5">
        <v>948.0</v>
      </c>
      <c r="B949" s="5" t="s">
        <v>1332</v>
      </c>
      <c r="C949" s="5" t="s">
        <v>20</v>
      </c>
      <c r="K949" s="5">
        <v>350.0</v>
      </c>
      <c r="N949" s="9">
        <v>44636.0</v>
      </c>
    </row>
    <row r="950">
      <c r="A950" s="5">
        <v>949.0</v>
      </c>
      <c r="B950" s="5" t="s">
        <v>1333</v>
      </c>
      <c r="C950" s="5" t="s">
        <v>20</v>
      </c>
      <c r="K950" s="5">
        <v>200.0</v>
      </c>
      <c r="N950" s="9">
        <v>45522.0</v>
      </c>
    </row>
    <row r="951">
      <c r="A951" s="5">
        <v>950.0</v>
      </c>
      <c r="B951" s="5" t="s">
        <v>1334</v>
      </c>
      <c r="C951" s="5" t="s">
        <v>20</v>
      </c>
      <c r="K951" s="5">
        <v>250.0</v>
      </c>
      <c r="N951" s="9">
        <v>44744.0</v>
      </c>
    </row>
    <row r="952">
      <c r="A952" s="5">
        <v>951.0</v>
      </c>
      <c r="B952" s="5" t="s">
        <v>1335</v>
      </c>
      <c r="C952" s="5" t="s">
        <v>20</v>
      </c>
      <c r="K952" s="5">
        <v>400.0</v>
      </c>
      <c r="N952" s="9">
        <v>44057.0</v>
      </c>
    </row>
    <row r="953">
      <c r="A953" s="5">
        <v>952.0</v>
      </c>
      <c r="B953" s="5" t="s">
        <v>1336</v>
      </c>
      <c r="C953" s="5" t="s">
        <v>20</v>
      </c>
      <c r="K953" s="5">
        <v>100.0</v>
      </c>
      <c r="N953" s="9">
        <v>44920.0</v>
      </c>
    </row>
    <row r="954">
      <c r="A954" s="5">
        <v>953.0</v>
      </c>
      <c r="B954" s="5" t="s">
        <v>1337</v>
      </c>
      <c r="C954" s="5" t="s">
        <v>20</v>
      </c>
      <c r="K954" s="5">
        <v>400.0</v>
      </c>
      <c r="N954" s="9">
        <v>44172.0</v>
      </c>
    </row>
    <row r="955">
      <c r="A955" s="5">
        <v>954.0</v>
      </c>
      <c r="B955" s="5" t="s">
        <v>1338</v>
      </c>
      <c r="C955" s="5" t="s">
        <v>20</v>
      </c>
      <c r="K955" s="5">
        <v>350.0</v>
      </c>
      <c r="N955" s="9">
        <v>44596.0</v>
      </c>
    </row>
    <row r="956">
      <c r="A956" s="5">
        <v>955.0</v>
      </c>
      <c r="B956" s="5" t="s">
        <v>1339</v>
      </c>
      <c r="C956" s="5" t="s">
        <v>20</v>
      </c>
      <c r="K956" s="5">
        <v>60.0</v>
      </c>
      <c r="N956" s="9">
        <v>44806.0</v>
      </c>
    </row>
    <row r="957">
      <c r="A957" s="5">
        <v>956.0</v>
      </c>
      <c r="B957" s="5" t="s">
        <v>1340</v>
      </c>
      <c r="C957" s="5" t="s">
        <v>20</v>
      </c>
      <c r="K957" s="5">
        <v>100.0</v>
      </c>
      <c r="N957" s="9">
        <v>44546.0</v>
      </c>
    </row>
    <row r="958">
      <c r="A958" s="5">
        <v>957.0</v>
      </c>
      <c r="B958" s="5" t="s">
        <v>1341</v>
      </c>
      <c r="C958" s="5" t="s">
        <v>20</v>
      </c>
      <c r="K958" s="5">
        <v>200.0</v>
      </c>
      <c r="N958" s="9">
        <v>44291.0</v>
      </c>
    </row>
    <row r="959">
      <c r="A959" s="5">
        <v>958.0</v>
      </c>
      <c r="B959" s="5" t="s">
        <v>1342</v>
      </c>
      <c r="C959" s="5" t="s">
        <v>20</v>
      </c>
      <c r="K959" s="5">
        <v>3000.0</v>
      </c>
      <c r="N959" s="9">
        <v>44534.0</v>
      </c>
    </row>
    <row r="960">
      <c r="A960" s="5">
        <v>959.0</v>
      </c>
      <c r="B960" s="5" t="s">
        <v>1343</v>
      </c>
      <c r="C960" s="5" t="s">
        <v>20</v>
      </c>
      <c r="K960" s="5">
        <v>1300.0</v>
      </c>
      <c r="N960" s="9">
        <v>44416.0</v>
      </c>
    </row>
    <row r="961">
      <c r="A961" s="5">
        <v>960.0</v>
      </c>
      <c r="B961" s="5" t="s">
        <v>1344</v>
      </c>
      <c r="C961" s="5" t="s">
        <v>20</v>
      </c>
      <c r="K961" s="5">
        <v>200.0</v>
      </c>
      <c r="N961" s="9">
        <v>44579.0</v>
      </c>
    </row>
    <row r="962">
      <c r="A962" s="5">
        <v>961.0</v>
      </c>
      <c r="B962" s="5" t="s">
        <v>1345</v>
      </c>
      <c r="C962" s="5" t="s">
        <v>20</v>
      </c>
      <c r="K962" s="5">
        <v>900.0</v>
      </c>
      <c r="N962" s="9">
        <v>44847.0</v>
      </c>
    </row>
    <row r="963">
      <c r="A963" s="5">
        <v>962.0</v>
      </c>
      <c r="B963" s="5" t="s">
        <v>1346</v>
      </c>
      <c r="C963" s="5" t="s">
        <v>20</v>
      </c>
      <c r="N963" s="9">
        <v>44704.0</v>
      </c>
    </row>
    <row r="964">
      <c r="A964" s="5">
        <v>963.0</v>
      </c>
      <c r="B964" s="5" t="s">
        <v>1347</v>
      </c>
      <c r="C964" s="5" t="s">
        <v>20</v>
      </c>
      <c r="K964" s="5">
        <v>50.0</v>
      </c>
      <c r="N964" s="9">
        <v>44546.0</v>
      </c>
    </row>
    <row r="965">
      <c r="A965" s="5">
        <v>964.0</v>
      </c>
      <c r="B965" s="5" t="s">
        <v>1348</v>
      </c>
      <c r="C965" s="5" t="s">
        <v>20</v>
      </c>
      <c r="K965" s="5">
        <v>250.0</v>
      </c>
      <c r="N965" s="9">
        <v>44714.0</v>
      </c>
    </row>
    <row r="966">
      <c r="A966" s="5">
        <v>965.0</v>
      </c>
      <c r="B966" s="5" t="s">
        <v>1349</v>
      </c>
      <c r="C966" s="5" t="s">
        <v>20</v>
      </c>
      <c r="N966" s="9">
        <v>44650.0</v>
      </c>
    </row>
    <row r="967">
      <c r="A967" s="5">
        <v>966.0</v>
      </c>
      <c r="B967" s="5" t="s">
        <v>1350</v>
      </c>
      <c r="C967" s="5" t="s">
        <v>20</v>
      </c>
      <c r="K967" s="5">
        <v>200.0</v>
      </c>
      <c r="N967" s="9">
        <v>44632.0</v>
      </c>
    </row>
    <row r="968">
      <c r="A968" s="5">
        <v>967.0</v>
      </c>
      <c r="B968" s="5" t="s">
        <v>1351</v>
      </c>
      <c r="C968" s="5" t="s">
        <v>20</v>
      </c>
      <c r="K968" s="5">
        <v>150.0</v>
      </c>
      <c r="N968" s="9">
        <v>44657.0</v>
      </c>
    </row>
    <row r="969">
      <c r="A969" s="5">
        <v>968.0</v>
      </c>
      <c r="B969" s="5" t="s">
        <v>1352</v>
      </c>
      <c r="C969" s="5" t="s">
        <v>20</v>
      </c>
      <c r="K969" s="5">
        <v>150.0</v>
      </c>
      <c r="N969" s="9">
        <v>44080.0</v>
      </c>
    </row>
    <row r="970">
      <c r="A970" s="5">
        <v>969.0</v>
      </c>
      <c r="B970" s="5" t="s">
        <v>1353</v>
      </c>
      <c r="C970" s="5" t="s">
        <v>20</v>
      </c>
      <c r="K970" s="5">
        <v>500.0</v>
      </c>
      <c r="N970" s="9">
        <v>43840.0</v>
      </c>
    </row>
    <row r="971">
      <c r="A971" s="5">
        <v>970.0</v>
      </c>
      <c r="B971" s="5" t="s">
        <v>1354</v>
      </c>
      <c r="C971" s="5" t="s">
        <v>20</v>
      </c>
      <c r="K971" s="5">
        <v>350.0</v>
      </c>
      <c r="N971" s="9">
        <v>44842.0</v>
      </c>
    </row>
    <row r="972">
      <c r="A972" s="5">
        <v>971.0</v>
      </c>
      <c r="B972" s="5" t="s">
        <v>1355</v>
      </c>
      <c r="C972" s="5" t="s">
        <v>20</v>
      </c>
      <c r="K972" s="5">
        <v>800.0</v>
      </c>
      <c r="N972" s="9">
        <v>44087.0</v>
      </c>
    </row>
    <row r="973">
      <c r="A973" s="5">
        <v>972.0</v>
      </c>
      <c r="B973" s="5" t="s">
        <v>1356</v>
      </c>
      <c r="C973" s="5" t="s">
        <v>20</v>
      </c>
      <c r="K973" s="5">
        <v>80.0</v>
      </c>
      <c r="N973" s="9">
        <v>44586.0</v>
      </c>
    </row>
    <row r="974">
      <c r="A974" s="5">
        <v>973.0</v>
      </c>
      <c r="B974" s="5" t="s">
        <v>1357</v>
      </c>
      <c r="C974" s="5" t="s">
        <v>20</v>
      </c>
      <c r="K974" s="5">
        <v>150.0</v>
      </c>
      <c r="N974" s="9">
        <v>45457.0</v>
      </c>
    </row>
    <row r="975">
      <c r="A975" s="5">
        <v>974.0</v>
      </c>
      <c r="B975" s="5" t="s">
        <v>1358</v>
      </c>
      <c r="C975" s="5" t="s">
        <v>20</v>
      </c>
      <c r="K975" s="5">
        <v>600.0</v>
      </c>
      <c r="N975" s="9">
        <v>43968.0</v>
      </c>
    </row>
    <row r="976">
      <c r="A976" s="5">
        <v>975.0</v>
      </c>
      <c r="B976" s="5" t="s">
        <v>1359</v>
      </c>
      <c r="C976" s="5" t="s">
        <v>20</v>
      </c>
      <c r="K976" s="5">
        <v>600.0</v>
      </c>
      <c r="N976" s="9">
        <v>44666.0</v>
      </c>
    </row>
    <row r="977">
      <c r="A977" s="5">
        <v>976.0</v>
      </c>
      <c r="B977" s="5" t="s">
        <v>134</v>
      </c>
      <c r="C977" s="5" t="s">
        <v>20</v>
      </c>
      <c r="K977" s="5">
        <v>30.0</v>
      </c>
      <c r="N977" s="9">
        <v>44965.0</v>
      </c>
    </row>
    <row r="978">
      <c r="A978" s="5">
        <v>977.0</v>
      </c>
      <c r="B978" s="5" t="s">
        <v>1360</v>
      </c>
      <c r="C978" s="5" t="s">
        <v>20</v>
      </c>
      <c r="K978" s="5">
        <v>300.0</v>
      </c>
      <c r="N978" s="9">
        <v>44036.0</v>
      </c>
    </row>
    <row r="979">
      <c r="A979" s="5">
        <v>978.0</v>
      </c>
      <c r="B979" s="5" t="s">
        <v>1361</v>
      </c>
      <c r="C979" s="5" t="s">
        <v>20</v>
      </c>
      <c r="K979" s="5">
        <v>1900.0</v>
      </c>
      <c r="N979" s="9">
        <v>44040.0</v>
      </c>
    </row>
    <row r="980">
      <c r="A980" s="5">
        <v>979.0</v>
      </c>
      <c r="B980" s="5" t="s">
        <v>1362</v>
      </c>
      <c r="C980" s="5" t="s">
        <v>20</v>
      </c>
      <c r="K980" s="5">
        <v>100.0</v>
      </c>
      <c r="N980" s="9">
        <v>44764.0</v>
      </c>
    </row>
    <row r="981">
      <c r="A981" s="5">
        <v>980.0</v>
      </c>
      <c r="B981" s="5" t="s">
        <v>1363</v>
      </c>
      <c r="C981" s="5" t="s">
        <v>20</v>
      </c>
      <c r="K981" s="5">
        <v>350.0</v>
      </c>
      <c r="N981" s="9">
        <v>44618.0</v>
      </c>
    </row>
    <row r="982">
      <c r="A982" s="5">
        <v>981.0</v>
      </c>
      <c r="B982" s="5" t="s">
        <v>1364</v>
      </c>
      <c r="C982" s="5" t="s">
        <v>20</v>
      </c>
      <c r="K982" s="5">
        <v>400.0</v>
      </c>
      <c r="N982" s="9">
        <v>44583.0</v>
      </c>
    </row>
    <row r="983">
      <c r="A983" s="5">
        <v>982.0</v>
      </c>
      <c r="B983" s="5" t="s">
        <v>1365</v>
      </c>
      <c r="C983" s="5" t="s">
        <v>20</v>
      </c>
      <c r="K983" s="5">
        <v>250.0</v>
      </c>
      <c r="N983" s="9">
        <v>45510.0</v>
      </c>
    </row>
    <row r="984">
      <c r="A984" s="5">
        <v>983.0</v>
      </c>
      <c r="B984" s="5" t="s">
        <v>1366</v>
      </c>
      <c r="C984" s="5" t="s">
        <v>20</v>
      </c>
      <c r="K984" s="5">
        <v>5200.0</v>
      </c>
      <c r="N984" s="9">
        <v>44192.0</v>
      </c>
    </row>
    <row r="985">
      <c r="A985" s="5">
        <v>984.0</v>
      </c>
      <c r="B985" s="5" t="s">
        <v>1367</v>
      </c>
      <c r="C985" s="5" t="s">
        <v>20</v>
      </c>
      <c r="K985" s="5">
        <v>350.0</v>
      </c>
      <c r="N985" s="9">
        <v>44545.0</v>
      </c>
    </row>
    <row r="986">
      <c r="A986" s="5">
        <v>985.0</v>
      </c>
      <c r="B986" s="5" t="s">
        <v>1368</v>
      </c>
      <c r="C986" s="5" t="s">
        <v>20</v>
      </c>
      <c r="K986" s="5">
        <v>100.0</v>
      </c>
      <c r="N986" s="9">
        <v>44791.0</v>
      </c>
    </row>
    <row r="987">
      <c r="A987" s="5">
        <v>986.0</v>
      </c>
      <c r="B987" s="5" t="s">
        <v>1369</v>
      </c>
      <c r="C987" s="5" t="s">
        <v>20</v>
      </c>
      <c r="N987" s="9">
        <v>45130.0</v>
      </c>
    </row>
    <row r="988">
      <c r="A988" s="5">
        <v>987.0</v>
      </c>
      <c r="B988" s="5" t="s">
        <v>1370</v>
      </c>
      <c r="C988" s="5" t="s">
        <v>20</v>
      </c>
      <c r="K988" s="5">
        <v>150.0</v>
      </c>
      <c r="N988" s="9">
        <v>44668.0</v>
      </c>
    </row>
    <row r="989">
      <c r="A989" s="5">
        <v>988.0</v>
      </c>
      <c r="B989" s="5" t="s">
        <v>1371</v>
      </c>
      <c r="C989" s="5" t="s">
        <v>20</v>
      </c>
      <c r="K989" s="5">
        <v>90.0</v>
      </c>
      <c r="N989" s="9">
        <v>44620.0</v>
      </c>
    </row>
    <row r="990">
      <c r="A990" s="5">
        <v>989.0</v>
      </c>
      <c r="B990" s="5" t="s">
        <v>1372</v>
      </c>
      <c r="C990" s="5" t="s">
        <v>20</v>
      </c>
      <c r="K990" s="5">
        <v>200.0</v>
      </c>
      <c r="N990" s="9">
        <v>44526.0</v>
      </c>
    </row>
    <row r="991">
      <c r="A991" s="5">
        <v>990.0</v>
      </c>
      <c r="B991" s="5" t="s">
        <v>1373</v>
      </c>
      <c r="C991" s="5" t="s">
        <v>20</v>
      </c>
      <c r="K991" s="5">
        <v>300.0</v>
      </c>
      <c r="N991" s="9">
        <v>43990.0</v>
      </c>
    </row>
    <row r="992">
      <c r="A992" s="5">
        <v>991.0</v>
      </c>
      <c r="B992" s="5" t="s">
        <v>1374</v>
      </c>
      <c r="C992" s="5" t="s">
        <v>20</v>
      </c>
      <c r="K992" s="5">
        <v>200.0</v>
      </c>
      <c r="N992" s="9">
        <v>45112.0</v>
      </c>
    </row>
    <row r="993">
      <c r="A993" s="5">
        <v>992.0</v>
      </c>
      <c r="B993" s="5" t="s">
        <v>1375</v>
      </c>
      <c r="C993" s="5" t="s">
        <v>20</v>
      </c>
      <c r="K993" s="5">
        <v>40.0</v>
      </c>
      <c r="N993" s="9">
        <v>44595.0</v>
      </c>
    </row>
    <row r="994">
      <c r="A994" s="5">
        <v>993.0</v>
      </c>
      <c r="B994" s="5" t="s">
        <v>1376</v>
      </c>
      <c r="C994" s="5" t="s">
        <v>20</v>
      </c>
      <c r="K994" s="5">
        <v>350.0</v>
      </c>
      <c r="N994" s="9">
        <v>44640.0</v>
      </c>
    </row>
    <row r="995">
      <c r="A995" s="5">
        <v>994.0</v>
      </c>
      <c r="B995" s="5" t="s">
        <v>1377</v>
      </c>
      <c r="C995" s="5" t="s">
        <v>20</v>
      </c>
      <c r="K995" s="5">
        <v>350.0</v>
      </c>
      <c r="N995" s="9">
        <v>44612.0</v>
      </c>
    </row>
    <row r="996">
      <c r="A996" s="5">
        <v>995.0</v>
      </c>
      <c r="B996" s="5" t="s">
        <v>1378</v>
      </c>
      <c r="C996" s="5" t="s">
        <v>20</v>
      </c>
      <c r="K996" s="5">
        <v>300.0</v>
      </c>
      <c r="N996" s="9">
        <v>44341.0</v>
      </c>
    </row>
    <row r="997">
      <c r="A997" s="5">
        <v>996.0</v>
      </c>
      <c r="B997" s="5" t="s">
        <v>1379</v>
      </c>
      <c r="C997" s="5" t="s">
        <v>20</v>
      </c>
      <c r="K997" s="5">
        <v>200.0</v>
      </c>
      <c r="N997" s="9">
        <v>44526.0</v>
      </c>
    </row>
    <row r="998">
      <c r="A998" s="5">
        <v>997.0</v>
      </c>
      <c r="B998" s="5" t="s">
        <v>1380</v>
      </c>
      <c r="C998" s="5" t="s">
        <v>20</v>
      </c>
      <c r="K998" s="5">
        <v>30.0</v>
      </c>
      <c r="N998" s="9">
        <v>44056.0</v>
      </c>
    </row>
    <row r="999">
      <c r="A999" s="5">
        <v>998.0</v>
      </c>
      <c r="B999" s="5" t="s">
        <v>140</v>
      </c>
      <c r="C999" s="5" t="s">
        <v>20</v>
      </c>
      <c r="K999" s="5">
        <v>30.0</v>
      </c>
      <c r="N999" s="9">
        <v>44256.0</v>
      </c>
    </row>
    <row r="1000">
      <c r="A1000" s="5">
        <v>999.0</v>
      </c>
      <c r="B1000" s="5" t="s">
        <v>1381</v>
      </c>
      <c r="C1000" s="5" t="s">
        <v>20</v>
      </c>
      <c r="K1000" s="5">
        <v>450.0</v>
      </c>
      <c r="N1000" s="9">
        <v>44041.0</v>
      </c>
    </row>
    <row r="1001">
      <c r="A1001" s="5">
        <v>1000.0</v>
      </c>
      <c r="B1001" s="5" t="s">
        <v>125</v>
      </c>
      <c r="C1001" s="5" t="s">
        <v>20</v>
      </c>
      <c r="K1001" s="5">
        <v>48000.0</v>
      </c>
      <c r="N1001" s="9">
        <v>43686.0</v>
      </c>
    </row>
    <row r="1002">
      <c r="A1002" s="5">
        <v>1001.0</v>
      </c>
      <c r="B1002" s="5" t="s">
        <v>144</v>
      </c>
      <c r="C1002" s="5" t="s">
        <v>20</v>
      </c>
      <c r="N1002" s="9">
        <v>44835.0</v>
      </c>
    </row>
    <row r="1003">
      <c r="A1003" s="5">
        <v>1002.0</v>
      </c>
      <c r="B1003" s="5" t="s">
        <v>1382</v>
      </c>
      <c r="C1003" s="5" t="s">
        <v>20</v>
      </c>
      <c r="K1003" s="5">
        <v>250.0</v>
      </c>
      <c r="N1003" s="9">
        <v>44622.0</v>
      </c>
    </row>
    <row r="1004">
      <c r="A1004" s="5">
        <v>1003.0</v>
      </c>
      <c r="B1004" s="5" t="s">
        <v>1383</v>
      </c>
      <c r="C1004" s="5" t="s">
        <v>20</v>
      </c>
      <c r="K1004" s="5">
        <v>100.0</v>
      </c>
      <c r="N1004" s="9">
        <v>44547.0</v>
      </c>
    </row>
    <row r="1005">
      <c r="A1005" s="5">
        <v>1004.0</v>
      </c>
      <c r="B1005" s="5" t="s">
        <v>1384</v>
      </c>
      <c r="C1005" s="5" t="s">
        <v>20</v>
      </c>
      <c r="K1005" s="5">
        <v>200.0</v>
      </c>
      <c r="N1005" s="9">
        <v>44521.0</v>
      </c>
    </row>
    <row r="1006">
      <c r="A1006" s="5">
        <v>1005.0</v>
      </c>
      <c r="B1006" s="5" t="s">
        <v>1385</v>
      </c>
      <c r="C1006" s="5" t="s">
        <v>20</v>
      </c>
      <c r="K1006" s="5">
        <v>500.0</v>
      </c>
      <c r="N1006" s="9">
        <v>44172.0</v>
      </c>
    </row>
    <row r="1007">
      <c r="A1007" s="5">
        <v>1006.0</v>
      </c>
      <c r="B1007" s="5" t="s">
        <v>1386</v>
      </c>
      <c r="C1007" s="5" t="s">
        <v>20</v>
      </c>
      <c r="K1007" s="5">
        <v>1200.0</v>
      </c>
      <c r="N1007" s="9">
        <v>43969.0</v>
      </c>
    </row>
    <row r="1008">
      <c r="A1008" s="5">
        <v>1007.0</v>
      </c>
      <c r="B1008" s="5" t="s">
        <v>1387</v>
      </c>
      <c r="C1008" s="5" t="s">
        <v>20</v>
      </c>
      <c r="N1008" s="9">
        <v>44568.0</v>
      </c>
    </row>
    <row r="1009">
      <c r="A1009" s="5">
        <v>1008.0</v>
      </c>
      <c r="B1009" s="5" t="s">
        <v>1388</v>
      </c>
      <c r="C1009" s="5" t="s">
        <v>20</v>
      </c>
      <c r="K1009" s="5">
        <v>350.0</v>
      </c>
      <c r="N1009" s="9">
        <v>44249.0</v>
      </c>
    </row>
    <row r="1010">
      <c r="A1010" s="5">
        <v>1009.0</v>
      </c>
      <c r="B1010" s="5" t="s">
        <v>1389</v>
      </c>
      <c r="C1010" s="5" t="s">
        <v>20</v>
      </c>
      <c r="K1010" s="5">
        <v>50.0</v>
      </c>
      <c r="N1010" s="9">
        <v>44937.0</v>
      </c>
    </row>
    <row r="1011">
      <c r="A1011" s="5">
        <v>1010.0</v>
      </c>
      <c r="B1011" s="5" t="s">
        <v>1390</v>
      </c>
      <c r="C1011" s="5" t="s">
        <v>20</v>
      </c>
      <c r="K1011" s="5">
        <v>150.0</v>
      </c>
      <c r="N1011" s="9">
        <v>44573.0</v>
      </c>
    </row>
    <row r="1012">
      <c r="A1012" s="5">
        <v>1011.0</v>
      </c>
      <c r="B1012" s="5" t="s">
        <v>1391</v>
      </c>
      <c r="C1012" s="5" t="s">
        <v>20</v>
      </c>
      <c r="K1012" s="5">
        <v>30.0</v>
      </c>
      <c r="N1012" s="9">
        <v>44557.0</v>
      </c>
    </row>
    <row r="1013">
      <c r="A1013" s="5">
        <v>1012.0</v>
      </c>
      <c r="B1013" s="5" t="s">
        <v>1392</v>
      </c>
      <c r="C1013" s="5" t="s">
        <v>20</v>
      </c>
      <c r="K1013" s="5">
        <v>600.0</v>
      </c>
      <c r="N1013" s="9">
        <v>44427.0</v>
      </c>
    </row>
    <row r="1014">
      <c r="A1014" s="5">
        <v>1013.0</v>
      </c>
      <c r="B1014" s="5" t="s">
        <v>1393</v>
      </c>
      <c r="C1014" s="5" t="s">
        <v>20</v>
      </c>
      <c r="K1014" s="5">
        <v>450.0</v>
      </c>
      <c r="N1014" s="9">
        <v>45555.0</v>
      </c>
    </row>
    <row r="1015">
      <c r="A1015" s="5">
        <v>1014.0</v>
      </c>
      <c r="B1015" s="5" t="s">
        <v>1394</v>
      </c>
      <c r="C1015" s="5" t="s">
        <v>20</v>
      </c>
      <c r="K1015" s="5">
        <v>350.0</v>
      </c>
      <c r="N1015" s="9">
        <v>44488.0</v>
      </c>
    </row>
    <row r="1016">
      <c r="A1016" s="5">
        <v>1015.0</v>
      </c>
      <c r="B1016" s="5" t="s">
        <v>1395</v>
      </c>
      <c r="C1016" s="5" t="s">
        <v>20</v>
      </c>
      <c r="K1016" s="5">
        <v>70.0</v>
      </c>
      <c r="N1016" s="9">
        <v>45332.0</v>
      </c>
    </row>
    <row r="1017">
      <c r="A1017" s="5">
        <v>1016.0</v>
      </c>
      <c r="B1017" s="5" t="s">
        <v>1396</v>
      </c>
      <c r="C1017" s="5" t="s">
        <v>20</v>
      </c>
      <c r="K1017" s="5">
        <v>900.0</v>
      </c>
      <c r="N1017" s="9">
        <v>44272.0</v>
      </c>
    </row>
    <row r="1018">
      <c r="A1018" s="5">
        <v>1017.0</v>
      </c>
      <c r="B1018" s="5" t="s">
        <v>1397</v>
      </c>
      <c r="C1018" s="5" t="s">
        <v>20</v>
      </c>
      <c r="K1018" s="5">
        <v>2100.0</v>
      </c>
      <c r="N1018" s="9">
        <v>44213.0</v>
      </c>
    </row>
    <row r="1019">
      <c r="A1019" s="5">
        <v>1018.0</v>
      </c>
      <c r="B1019" s="5" t="s">
        <v>1398</v>
      </c>
      <c r="C1019" s="5" t="s">
        <v>20</v>
      </c>
      <c r="K1019" s="5">
        <v>500.0</v>
      </c>
      <c r="N1019" s="9">
        <v>44535.0</v>
      </c>
    </row>
    <row r="1020">
      <c r="A1020" s="5">
        <v>1019.0</v>
      </c>
      <c r="B1020" s="5" t="s">
        <v>1399</v>
      </c>
      <c r="C1020" s="5" t="s">
        <v>20</v>
      </c>
      <c r="K1020" s="5">
        <v>150.0</v>
      </c>
      <c r="N1020" s="9">
        <v>44536.0</v>
      </c>
    </row>
    <row r="1021">
      <c r="A1021" s="5">
        <v>1020.0</v>
      </c>
      <c r="B1021" s="5" t="s">
        <v>1400</v>
      </c>
      <c r="C1021" s="5" t="s">
        <v>20</v>
      </c>
      <c r="K1021" s="5">
        <v>3900.0</v>
      </c>
      <c r="N1021" s="9">
        <v>44947.0</v>
      </c>
    </row>
    <row r="1022">
      <c r="A1022" s="5">
        <v>1021.0</v>
      </c>
      <c r="B1022" s="5" t="s">
        <v>1401</v>
      </c>
      <c r="C1022" s="5" t="s">
        <v>20</v>
      </c>
      <c r="K1022" s="5">
        <v>100.0</v>
      </c>
      <c r="N1022" s="9">
        <v>45171.0</v>
      </c>
    </row>
    <row r="1023">
      <c r="A1023" s="5">
        <v>1022.0</v>
      </c>
      <c r="B1023" s="5" t="s">
        <v>1402</v>
      </c>
      <c r="C1023" s="5" t="s">
        <v>20</v>
      </c>
      <c r="K1023" s="5">
        <v>100.0</v>
      </c>
      <c r="N1023" s="9">
        <v>44571.0</v>
      </c>
    </row>
    <row r="1024">
      <c r="A1024" s="5">
        <v>1023.0</v>
      </c>
      <c r="B1024" s="5" t="s">
        <v>1403</v>
      </c>
      <c r="C1024" s="5" t="s">
        <v>20</v>
      </c>
      <c r="K1024" s="5">
        <v>1100.0</v>
      </c>
      <c r="N1024" s="9">
        <v>44524.0</v>
      </c>
    </row>
    <row r="1025">
      <c r="A1025" s="5">
        <v>1024.0</v>
      </c>
      <c r="B1025" s="5" t="s">
        <v>1404</v>
      </c>
      <c r="C1025" s="5" t="s">
        <v>20</v>
      </c>
      <c r="K1025" s="5">
        <v>300.0</v>
      </c>
      <c r="N1025" s="9">
        <v>44884.0</v>
      </c>
    </row>
    <row r="1026">
      <c r="A1026" s="5">
        <v>1025.0</v>
      </c>
      <c r="B1026" s="5" t="s">
        <v>150</v>
      </c>
      <c r="C1026" s="5" t="s">
        <v>20</v>
      </c>
      <c r="K1026" s="5">
        <v>60.0</v>
      </c>
      <c r="N1026" s="9">
        <v>45579.0</v>
      </c>
    </row>
    <row r="1027">
      <c r="A1027" s="5">
        <v>1026.0</v>
      </c>
      <c r="B1027" s="5" t="s">
        <v>1405</v>
      </c>
      <c r="C1027" s="5" t="s">
        <v>20</v>
      </c>
      <c r="K1027" s="5">
        <v>300.0</v>
      </c>
      <c r="N1027" s="9">
        <v>45157.0</v>
      </c>
    </row>
    <row r="1028">
      <c r="A1028" s="5">
        <v>1027.0</v>
      </c>
      <c r="B1028" s="5" t="s">
        <v>1406</v>
      </c>
      <c r="C1028" s="5" t="s">
        <v>20</v>
      </c>
      <c r="K1028" s="5">
        <v>300.0</v>
      </c>
      <c r="N1028" s="9">
        <v>44565.0</v>
      </c>
    </row>
    <row r="1029">
      <c r="A1029" s="5">
        <v>1028.0</v>
      </c>
      <c r="B1029" s="5" t="s">
        <v>1407</v>
      </c>
      <c r="C1029" s="5" t="s">
        <v>20</v>
      </c>
      <c r="K1029" s="5">
        <v>200.0</v>
      </c>
      <c r="N1029" s="9">
        <v>44545.0</v>
      </c>
    </row>
    <row r="1030">
      <c r="A1030" s="5">
        <v>1029.0</v>
      </c>
      <c r="B1030" s="5" t="s">
        <v>1408</v>
      </c>
      <c r="C1030" s="5" t="s">
        <v>20</v>
      </c>
      <c r="K1030" s="5">
        <v>300.0</v>
      </c>
      <c r="N1030" s="9">
        <v>45481.0</v>
      </c>
    </row>
    <row r="1031">
      <c r="A1031" s="5">
        <v>1030.0</v>
      </c>
      <c r="B1031" s="5" t="s">
        <v>1409</v>
      </c>
      <c r="C1031" s="5" t="s">
        <v>20</v>
      </c>
      <c r="K1031" s="5">
        <v>500.0</v>
      </c>
      <c r="N1031" s="9">
        <v>44185.0</v>
      </c>
    </row>
    <row r="1032">
      <c r="A1032" s="5">
        <v>1031.0</v>
      </c>
      <c r="B1032" s="5" t="s">
        <v>1410</v>
      </c>
      <c r="C1032" s="5" t="s">
        <v>20</v>
      </c>
      <c r="K1032" s="5">
        <v>500.0</v>
      </c>
      <c r="N1032" s="9">
        <v>42979.0</v>
      </c>
    </row>
    <row r="1033">
      <c r="A1033" s="5">
        <v>1032.0</v>
      </c>
      <c r="B1033" s="5" t="s">
        <v>1411</v>
      </c>
      <c r="C1033" s="5" t="s">
        <v>20</v>
      </c>
      <c r="K1033" s="5">
        <v>150.0</v>
      </c>
      <c r="N1033" s="9">
        <v>44685.0</v>
      </c>
    </row>
    <row r="1034">
      <c r="A1034" s="5">
        <v>1033.0</v>
      </c>
      <c r="B1034" s="5" t="s">
        <v>1412</v>
      </c>
      <c r="C1034" s="5" t="s">
        <v>20</v>
      </c>
      <c r="K1034" s="5">
        <v>5100.0</v>
      </c>
      <c r="N1034" s="9">
        <v>44574.0</v>
      </c>
    </row>
    <row r="1035">
      <c r="A1035" s="5">
        <v>1034.0</v>
      </c>
      <c r="B1035" s="5" t="s">
        <v>1413</v>
      </c>
      <c r="C1035" s="5" t="s">
        <v>20</v>
      </c>
      <c r="N1035" s="9">
        <v>45038.0</v>
      </c>
    </row>
    <row r="1036">
      <c r="A1036" s="5">
        <v>1035.0</v>
      </c>
      <c r="B1036" s="5" t="s">
        <v>1414</v>
      </c>
      <c r="C1036" s="5" t="s">
        <v>20</v>
      </c>
      <c r="K1036" s="5">
        <v>1400.0</v>
      </c>
      <c r="N1036" s="9">
        <v>44538.0</v>
      </c>
    </row>
    <row r="1037">
      <c r="A1037" s="5">
        <v>1036.0</v>
      </c>
      <c r="B1037" s="5" t="s">
        <v>1415</v>
      </c>
      <c r="C1037" s="5" t="s">
        <v>20</v>
      </c>
      <c r="K1037" s="5">
        <v>1300.0</v>
      </c>
      <c r="N1037" s="9">
        <v>44112.0</v>
      </c>
    </row>
    <row r="1038">
      <c r="A1038" s="5">
        <v>1037.0</v>
      </c>
      <c r="B1038" s="5" t="s">
        <v>1416</v>
      </c>
      <c r="C1038" s="5" t="s">
        <v>20</v>
      </c>
      <c r="K1038" s="5">
        <v>1200.0</v>
      </c>
      <c r="N1038" s="9">
        <v>43987.0</v>
      </c>
    </row>
    <row r="1039">
      <c r="A1039" s="5">
        <v>1038.0</v>
      </c>
      <c r="B1039" s="5" t="s">
        <v>1417</v>
      </c>
      <c r="C1039" s="5" t="s">
        <v>20</v>
      </c>
      <c r="K1039" s="5">
        <v>18000.0</v>
      </c>
      <c r="N1039" s="9">
        <v>44361.0</v>
      </c>
    </row>
    <row r="1040">
      <c r="A1040" s="5">
        <v>1039.0</v>
      </c>
      <c r="B1040" s="5" t="s">
        <v>1418</v>
      </c>
      <c r="C1040" s="5" t="s">
        <v>20</v>
      </c>
      <c r="K1040" s="5">
        <v>300.0</v>
      </c>
      <c r="N1040" s="9">
        <v>44548.0</v>
      </c>
    </row>
    <row r="1041">
      <c r="A1041" s="5">
        <v>1040.0</v>
      </c>
      <c r="B1041" s="5" t="s">
        <v>1419</v>
      </c>
      <c r="C1041" s="5" t="s">
        <v>20</v>
      </c>
      <c r="K1041" s="5">
        <v>2600.0</v>
      </c>
      <c r="N1041" s="9">
        <v>43859.0</v>
      </c>
    </row>
    <row r="1042">
      <c r="A1042" s="5">
        <v>1041.0</v>
      </c>
      <c r="B1042" s="5" t="s">
        <v>1420</v>
      </c>
      <c r="C1042" s="5" t="s">
        <v>20</v>
      </c>
      <c r="K1042" s="5">
        <v>20.0</v>
      </c>
      <c r="N1042" s="9">
        <v>45123.0</v>
      </c>
    </row>
    <row r="1043">
      <c r="A1043" s="5">
        <v>1042.0</v>
      </c>
      <c r="B1043" s="5" t="s">
        <v>1421</v>
      </c>
      <c r="C1043" s="5" t="s">
        <v>20</v>
      </c>
      <c r="K1043" s="5">
        <v>500.0</v>
      </c>
      <c r="N1043" s="9">
        <v>44551.0</v>
      </c>
    </row>
    <row r="1044">
      <c r="A1044" s="5">
        <v>1043.0</v>
      </c>
      <c r="B1044" s="5" t="s">
        <v>1422</v>
      </c>
      <c r="C1044" s="5" t="s">
        <v>20</v>
      </c>
      <c r="K1044" s="5">
        <v>1400.0</v>
      </c>
      <c r="N1044" s="9">
        <v>44479.0</v>
      </c>
    </row>
    <row r="1045">
      <c r="A1045" s="5">
        <v>1044.0</v>
      </c>
      <c r="B1045" s="5" t="s">
        <v>1423</v>
      </c>
      <c r="C1045" s="5" t="s">
        <v>20</v>
      </c>
      <c r="K1045" s="5">
        <v>250.0</v>
      </c>
      <c r="N1045" s="9">
        <v>44951.0</v>
      </c>
    </row>
    <row r="1046">
      <c r="A1046" s="5">
        <v>1045.0</v>
      </c>
      <c r="B1046" s="5" t="s">
        <v>1424</v>
      </c>
      <c r="C1046" s="5" t="s">
        <v>20</v>
      </c>
      <c r="K1046" s="5">
        <v>70.0</v>
      </c>
      <c r="N1046" s="9">
        <v>44593.0</v>
      </c>
    </row>
    <row r="1047">
      <c r="A1047" s="5">
        <v>1046.0</v>
      </c>
      <c r="B1047" s="5" t="s">
        <v>1425</v>
      </c>
      <c r="C1047" s="5" t="s">
        <v>20</v>
      </c>
      <c r="K1047" s="5">
        <v>200.0</v>
      </c>
      <c r="N1047" s="9">
        <v>44622.0</v>
      </c>
    </row>
    <row r="1048">
      <c r="A1048" s="5">
        <v>1047.0</v>
      </c>
      <c r="B1048" s="5" t="s">
        <v>1426</v>
      </c>
      <c r="C1048" s="5" t="s">
        <v>20</v>
      </c>
      <c r="K1048" s="5">
        <v>2100.0</v>
      </c>
      <c r="N1048" s="9">
        <v>44903.0</v>
      </c>
    </row>
    <row r="1049">
      <c r="A1049" s="5">
        <v>1048.0</v>
      </c>
      <c r="B1049" s="5" t="s">
        <v>1427</v>
      </c>
      <c r="C1049" s="5" t="s">
        <v>20</v>
      </c>
      <c r="K1049" s="5">
        <v>10.0</v>
      </c>
      <c r="N1049" s="9">
        <v>44877.0</v>
      </c>
    </row>
    <row r="1050">
      <c r="A1050" s="5">
        <v>1049.0</v>
      </c>
      <c r="B1050" s="5" t="s">
        <v>1428</v>
      </c>
      <c r="C1050" s="5" t="s">
        <v>20</v>
      </c>
      <c r="K1050" s="5">
        <v>300.0</v>
      </c>
      <c r="N1050" s="9">
        <v>44142.0</v>
      </c>
    </row>
    <row r="1051">
      <c r="A1051" s="5">
        <v>1050.0</v>
      </c>
      <c r="B1051" s="5" t="s">
        <v>1429</v>
      </c>
      <c r="C1051" s="5" t="s">
        <v>20</v>
      </c>
      <c r="K1051" s="5">
        <v>50.0</v>
      </c>
      <c r="N1051" s="9">
        <v>45482.0</v>
      </c>
    </row>
    <row r="1052">
      <c r="A1052" s="5">
        <v>1051.0</v>
      </c>
      <c r="B1052" s="5" t="s">
        <v>1430</v>
      </c>
      <c r="C1052" s="5" t="s">
        <v>20</v>
      </c>
      <c r="K1052" s="5">
        <v>150.0</v>
      </c>
      <c r="N1052" s="9">
        <v>44050.0</v>
      </c>
    </row>
    <row r="1053">
      <c r="A1053" s="5">
        <v>1052.0</v>
      </c>
      <c r="B1053" s="5" t="s">
        <v>1431</v>
      </c>
      <c r="C1053" s="5" t="s">
        <v>20</v>
      </c>
      <c r="K1053" s="5">
        <v>600.0</v>
      </c>
      <c r="N1053" s="9">
        <v>44517.0</v>
      </c>
    </row>
    <row r="1054">
      <c r="A1054" s="5">
        <v>1053.0</v>
      </c>
      <c r="B1054" s="5" t="s">
        <v>1432</v>
      </c>
      <c r="C1054" s="5" t="s">
        <v>20</v>
      </c>
      <c r="K1054" s="5">
        <v>300.0</v>
      </c>
      <c r="N1054" s="9">
        <v>44276.0</v>
      </c>
    </row>
    <row r="1055">
      <c r="A1055" s="5">
        <v>1054.0</v>
      </c>
      <c r="B1055" s="5" t="s">
        <v>1433</v>
      </c>
      <c r="C1055" s="5" t="s">
        <v>20</v>
      </c>
      <c r="K1055" s="5">
        <v>350.0</v>
      </c>
      <c r="N1055" s="9">
        <v>44530.0</v>
      </c>
    </row>
    <row r="1056">
      <c r="A1056" s="5">
        <v>1055.0</v>
      </c>
      <c r="B1056" s="5" t="s">
        <v>1434</v>
      </c>
      <c r="C1056" s="5" t="s">
        <v>20</v>
      </c>
      <c r="K1056" s="5">
        <v>300.0</v>
      </c>
      <c r="N1056" s="9">
        <v>44583.0</v>
      </c>
    </row>
    <row r="1057">
      <c r="A1057" s="5">
        <v>1056.0</v>
      </c>
      <c r="B1057" s="5" t="s">
        <v>1435</v>
      </c>
      <c r="C1057" s="5" t="s">
        <v>20</v>
      </c>
      <c r="K1057" s="5">
        <v>200.0</v>
      </c>
      <c r="N1057" s="9">
        <v>44571.0</v>
      </c>
    </row>
    <row r="1058">
      <c r="A1058" s="5">
        <v>1057.0</v>
      </c>
      <c r="B1058" s="5" t="s">
        <v>1436</v>
      </c>
      <c r="C1058" s="5" t="s">
        <v>20</v>
      </c>
      <c r="K1058" s="5">
        <v>450.0</v>
      </c>
      <c r="N1058" s="9">
        <v>44463.0</v>
      </c>
    </row>
    <row r="1059">
      <c r="A1059" s="5">
        <v>1058.0</v>
      </c>
      <c r="B1059" s="5" t="s">
        <v>1437</v>
      </c>
      <c r="C1059" s="5" t="s">
        <v>20</v>
      </c>
      <c r="K1059" s="5">
        <v>700.0</v>
      </c>
      <c r="N1059" s="9">
        <v>44597.0</v>
      </c>
    </row>
    <row r="1060">
      <c r="A1060" s="5">
        <v>1059.0</v>
      </c>
      <c r="B1060" s="5" t="s">
        <v>1438</v>
      </c>
      <c r="C1060" s="5" t="s">
        <v>20</v>
      </c>
      <c r="K1060" s="5">
        <v>400.0</v>
      </c>
      <c r="N1060" s="9">
        <v>44358.0</v>
      </c>
    </row>
    <row r="1061">
      <c r="A1061" s="5">
        <v>1060.0</v>
      </c>
      <c r="B1061" s="5" t="s">
        <v>1439</v>
      </c>
      <c r="C1061" s="5" t="s">
        <v>20</v>
      </c>
      <c r="K1061" s="5">
        <v>500.0</v>
      </c>
      <c r="N1061" s="9">
        <v>44682.0</v>
      </c>
    </row>
    <row r="1062">
      <c r="A1062" s="5">
        <v>1061.0</v>
      </c>
      <c r="B1062" s="5" t="s">
        <v>1440</v>
      </c>
      <c r="C1062" s="5" t="s">
        <v>20</v>
      </c>
      <c r="K1062" s="5">
        <v>450.0</v>
      </c>
      <c r="N1062" s="9">
        <v>44547.0</v>
      </c>
    </row>
    <row r="1063">
      <c r="A1063" s="5">
        <v>1062.0</v>
      </c>
      <c r="B1063" s="5" t="s">
        <v>1441</v>
      </c>
      <c r="C1063" s="5" t="s">
        <v>20</v>
      </c>
      <c r="K1063" s="5">
        <v>20.0</v>
      </c>
      <c r="N1063" s="9">
        <v>44597.0</v>
      </c>
    </row>
    <row r="1064">
      <c r="A1064" s="5">
        <v>1063.0</v>
      </c>
      <c r="B1064" s="5" t="s">
        <v>1442</v>
      </c>
      <c r="C1064" s="5" t="s">
        <v>20</v>
      </c>
      <c r="K1064" s="5">
        <v>100.0</v>
      </c>
      <c r="N1064" s="9">
        <v>44922.0</v>
      </c>
    </row>
    <row r="1065">
      <c r="A1065" s="5">
        <v>1064.0</v>
      </c>
      <c r="B1065" s="5" t="s">
        <v>1443</v>
      </c>
      <c r="C1065" s="5" t="s">
        <v>20</v>
      </c>
      <c r="K1065" s="5">
        <v>10.0</v>
      </c>
      <c r="N1065" s="9">
        <v>45318.0</v>
      </c>
    </row>
    <row r="1066">
      <c r="A1066" s="5">
        <v>1065.0</v>
      </c>
      <c r="B1066" s="5" t="s">
        <v>1444</v>
      </c>
      <c r="C1066" s="5" t="s">
        <v>20</v>
      </c>
      <c r="K1066" s="5">
        <v>200.0</v>
      </c>
      <c r="N1066" s="9">
        <v>44355.0</v>
      </c>
    </row>
    <row r="1067">
      <c r="A1067" s="5">
        <v>1066.0</v>
      </c>
      <c r="B1067" s="5" t="s">
        <v>1445</v>
      </c>
      <c r="C1067" s="5" t="s">
        <v>20</v>
      </c>
      <c r="K1067" s="5">
        <v>350.0</v>
      </c>
      <c r="N1067" s="9">
        <v>44565.0</v>
      </c>
    </row>
    <row r="1068">
      <c r="A1068" s="5">
        <v>1067.0</v>
      </c>
      <c r="B1068" s="5" t="s">
        <v>1446</v>
      </c>
      <c r="C1068" s="5" t="s">
        <v>20</v>
      </c>
      <c r="K1068" s="5">
        <v>400.0</v>
      </c>
      <c r="N1068" s="9">
        <v>44069.0</v>
      </c>
    </row>
    <row r="1069">
      <c r="A1069" s="5">
        <v>1068.0</v>
      </c>
      <c r="B1069" s="5" t="s">
        <v>1447</v>
      </c>
      <c r="C1069" s="5" t="s">
        <v>20</v>
      </c>
      <c r="K1069" s="5">
        <v>60.0</v>
      </c>
      <c r="N1069" s="9">
        <v>45176.0</v>
      </c>
    </row>
    <row r="1070">
      <c r="A1070" s="5">
        <v>1069.0</v>
      </c>
      <c r="B1070" s="5" t="s">
        <v>1448</v>
      </c>
      <c r="C1070" s="5" t="s">
        <v>20</v>
      </c>
      <c r="K1070" s="5">
        <v>100.0</v>
      </c>
      <c r="N1070" s="9">
        <v>44516.0</v>
      </c>
    </row>
    <row r="1071">
      <c r="A1071" s="5">
        <v>1070.0</v>
      </c>
      <c r="B1071" s="5" t="s">
        <v>1449</v>
      </c>
      <c r="C1071" s="5" t="s">
        <v>20</v>
      </c>
      <c r="K1071" s="5">
        <v>100.0</v>
      </c>
      <c r="N1071" s="9">
        <v>45286.0</v>
      </c>
    </row>
    <row r="1072">
      <c r="A1072" s="5">
        <v>1071.0</v>
      </c>
      <c r="B1072" s="5" t="s">
        <v>1450</v>
      </c>
      <c r="C1072" s="5" t="s">
        <v>20</v>
      </c>
      <c r="K1072" s="5">
        <v>4000.0</v>
      </c>
      <c r="N1072" s="9">
        <v>44070.0</v>
      </c>
    </row>
    <row r="1073">
      <c r="A1073" s="5">
        <v>1072.0</v>
      </c>
      <c r="B1073" s="5" t="s">
        <v>155</v>
      </c>
      <c r="C1073" s="5" t="s">
        <v>20</v>
      </c>
      <c r="K1073" s="5">
        <v>250.0</v>
      </c>
      <c r="N1073" s="9">
        <v>44601.0</v>
      </c>
    </row>
    <row r="1074">
      <c r="A1074" s="5">
        <v>1073.0</v>
      </c>
      <c r="B1074" s="5" t="s">
        <v>1451</v>
      </c>
      <c r="C1074" s="5" t="s">
        <v>20</v>
      </c>
      <c r="K1074" s="5">
        <v>200.0</v>
      </c>
      <c r="N1074" s="9">
        <v>44616.0</v>
      </c>
    </row>
    <row r="1075">
      <c r="A1075" s="5">
        <v>1074.0</v>
      </c>
      <c r="B1075" s="5" t="s">
        <v>1452</v>
      </c>
      <c r="C1075" s="5" t="s">
        <v>20</v>
      </c>
      <c r="K1075" s="5">
        <v>800.0</v>
      </c>
      <c r="N1075" s="9">
        <v>44233.0</v>
      </c>
    </row>
    <row r="1076">
      <c r="A1076" s="5">
        <v>1075.0</v>
      </c>
      <c r="B1076" s="5" t="s">
        <v>1453</v>
      </c>
      <c r="C1076" s="5" t="s">
        <v>20</v>
      </c>
      <c r="K1076" s="5">
        <v>200.0</v>
      </c>
      <c r="N1076" s="9">
        <v>44089.0</v>
      </c>
    </row>
    <row r="1077">
      <c r="A1077" s="5">
        <v>1076.0</v>
      </c>
      <c r="B1077" s="5" t="s">
        <v>1454</v>
      </c>
      <c r="C1077" s="5" t="s">
        <v>20</v>
      </c>
      <c r="K1077" s="5">
        <v>60.0</v>
      </c>
      <c r="N1077" s="9">
        <v>44531.0</v>
      </c>
    </row>
    <row r="1078">
      <c r="A1078" s="5">
        <v>1077.0</v>
      </c>
      <c r="B1078" s="5" t="s">
        <v>1455</v>
      </c>
      <c r="C1078" s="5" t="s">
        <v>20</v>
      </c>
      <c r="K1078" s="5">
        <v>90.0</v>
      </c>
      <c r="N1078" s="9">
        <v>44714.0</v>
      </c>
    </row>
    <row r="1079">
      <c r="A1079" s="5">
        <v>1078.0</v>
      </c>
      <c r="B1079" s="5" t="s">
        <v>1456</v>
      </c>
      <c r="C1079" s="5" t="s">
        <v>20</v>
      </c>
      <c r="K1079" s="5">
        <v>20.0</v>
      </c>
      <c r="N1079" s="9">
        <v>45142.0</v>
      </c>
    </row>
    <row r="1080">
      <c r="A1080" s="5">
        <v>1079.0</v>
      </c>
      <c r="B1080" s="5" t="s">
        <v>1457</v>
      </c>
      <c r="C1080" s="5" t="s">
        <v>20</v>
      </c>
      <c r="K1080" s="5">
        <v>400.0</v>
      </c>
      <c r="N1080" s="9">
        <v>44934.0</v>
      </c>
    </row>
    <row r="1081">
      <c r="A1081" s="5">
        <v>1080.0</v>
      </c>
      <c r="B1081" s="5" t="s">
        <v>1458</v>
      </c>
      <c r="C1081" s="5" t="s">
        <v>20</v>
      </c>
      <c r="K1081" s="5">
        <v>900.0</v>
      </c>
      <c r="N1081" s="9">
        <v>44348.0</v>
      </c>
    </row>
    <row r="1082">
      <c r="A1082" s="5">
        <v>1081.0</v>
      </c>
      <c r="B1082" s="5" t="s">
        <v>1459</v>
      </c>
      <c r="C1082" s="5" t="s">
        <v>20</v>
      </c>
      <c r="K1082" s="5">
        <v>350.0</v>
      </c>
      <c r="N1082" s="9">
        <v>45510.0</v>
      </c>
    </row>
    <row r="1083">
      <c r="A1083" s="5">
        <v>1082.0</v>
      </c>
      <c r="B1083" s="5" t="s">
        <v>1460</v>
      </c>
      <c r="C1083" s="5" t="s">
        <v>20</v>
      </c>
      <c r="K1083" s="5">
        <v>250.0</v>
      </c>
      <c r="N1083" s="9">
        <v>44168.0</v>
      </c>
    </row>
    <row r="1084">
      <c r="A1084" s="5">
        <v>1083.0</v>
      </c>
      <c r="B1084" s="5" t="s">
        <v>1461</v>
      </c>
      <c r="C1084" s="5" t="s">
        <v>20</v>
      </c>
      <c r="K1084" s="5">
        <v>150.0</v>
      </c>
      <c r="N1084" s="9">
        <v>45089.0</v>
      </c>
    </row>
    <row r="1085">
      <c r="A1085" s="5">
        <v>1084.0</v>
      </c>
      <c r="B1085" s="5" t="s">
        <v>1462</v>
      </c>
      <c r="C1085" s="5" t="s">
        <v>20</v>
      </c>
      <c r="K1085" s="5">
        <v>500.0</v>
      </c>
      <c r="N1085" s="9">
        <v>45283.0</v>
      </c>
    </row>
    <row r="1086">
      <c r="A1086" s="5">
        <v>1085.0</v>
      </c>
      <c r="B1086" s="5" t="s">
        <v>1463</v>
      </c>
      <c r="C1086" s="5" t="s">
        <v>20</v>
      </c>
      <c r="K1086" s="5">
        <v>450.0</v>
      </c>
      <c r="N1086" s="9">
        <v>44434.0</v>
      </c>
    </row>
    <row r="1087">
      <c r="A1087" s="5">
        <v>1086.0</v>
      </c>
      <c r="B1087" s="5" t="s">
        <v>1464</v>
      </c>
      <c r="C1087" s="5" t="s">
        <v>20</v>
      </c>
      <c r="N1087" s="9">
        <v>44689.0</v>
      </c>
    </row>
    <row r="1088">
      <c r="A1088" s="5">
        <v>1087.0</v>
      </c>
      <c r="B1088" s="5" t="s">
        <v>1465</v>
      </c>
      <c r="C1088" s="5" t="s">
        <v>20</v>
      </c>
      <c r="K1088" s="5">
        <v>300.0</v>
      </c>
      <c r="N1088" s="9">
        <v>45303.0</v>
      </c>
    </row>
    <row r="1089">
      <c r="A1089" s="5">
        <v>1088.0</v>
      </c>
      <c r="B1089" s="5" t="s">
        <v>159</v>
      </c>
      <c r="C1089" s="5" t="s">
        <v>20</v>
      </c>
      <c r="K1089" s="5">
        <v>90.0</v>
      </c>
      <c r="N1089" s="9">
        <v>44548.0</v>
      </c>
    </row>
    <row r="1090">
      <c r="A1090" s="5">
        <v>1089.0</v>
      </c>
      <c r="B1090" s="5" t="s">
        <v>1466</v>
      </c>
      <c r="C1090" s="5" t="s">
        <v>20</v>
      </c>
      <c r="K1090" s="5">
        <v>60.0</v>
      </c>
      <c r="N1090" s="9">
        <v>44167.0</v>
      </c>
    </row>
    <row r="1091">
      <c r="A1091" s="5">
        <v>1090.0</v>
      </c>
      <c r="B1091" s="5" t="s">
        <v>1467</v>
      </c>
      <c r="C1091" s="5" t="s">
        <v>20</v>
      </c>
      <c r="K1091" s="5">
        <v>60.0</v>
      </c>
      <c r="N1091" s="9">
        <v>44614.0</v>
      </c>
    </row>
    <row r="1092">
      <c r="A1092" s="5">
        <v>1091.0</v>
      </c>
      <c r="B1092" s="5" t="s">
        <v>1468</v>
      </c>
      <c r="C1092" s="5" t="s">
        <v>20</v>
      </c>
      <c r="K1092" s="5">
        <v>70.0</v>
      </c>
      <c r="N1092" s="9">
        <v>43883.0</v>
      </c>
    </row>
    <row r="1093">
      <c r="A1093" s="5">
        <v>1092.0</v>
      </c>
      <c r="B1093" s="5" t="s">
        <v>1469</v>
      </c>
      <c r="C1093" s="5" t="s">
        <v>20</v>
      </c>
      <c r="K1093" s="5">
        <v>60.0</v>
      </c>
      <c r="N1093" s="9">
        <v>44604.0</v>
      </c>
    </row>
    <row r="1094">
      <c r="A1094" s="5">
        <v>1093.0</v>
      </c>
      <c r="B1094" s="5" t="s">
        <v>1470</v>
      </c>
      <c r="C1094" s="5" t="s">
        <v>20</v>
      </c>
      <c r="K1094" s="5">
        <v>30.0</v>
      </c>
      <c r="N1094" s="9">
        <v>44531.0</v>
      </c>
    </row>
    <row r="1095">
      <c r="A1095" s="5">
        <v>1094.0</v>
      </c>
      <c r="B1095" s="5" t="s">
        <v>1471</v>
      </c>
      <c r="C1095" s="5" t="s">
        <v>20</v>
      </c>
      <c r="K1095" s="5">
        <v>200.0</v>
      </c>
      <c r="N1095" s="9">
        <v>44523.0</v>
      </c>
    </row>
    <row r="1096">
      <c r="A1096" s="5">
        <v>1095.0</v>
      </c>
      <c r="B1096" s="5" t="s">
        <v>1472</v>
      </c>
      <c r="C1096" s="5" t="s">
        <v>20</v>
      </c>
      <c r="K1096" s="5">
        <v>100.0</v>
      </c>
      <c r="N1096" s="9">
        <v>43884.0</v>
      </c>
    </row>
    <row r="1097">
      <c r="A1097" s="5">
        <v>1096.0</v>
      </c>
      <c r="B1097" s="5" t="s">
        <v>1473</v>
      </c>
      <c r="C1097" s="5" t="s">
        <v>20</v>
      </c>
      <c r="K1097" s="5">
        <v>60.0</v>
      </c>
      <c r="N1097" s="9">
        <v>44305.0</v>
      </c>
    </row>
    <row r="1098">
      <c r="A1098" s="5">
        <v>1097.0</v>
      </c>
      <c r="B1098" s="5" t="s">
        <v>1474</v>
      </c>
      <c r="C1098" s="5" t="s">
        <v>20</v>
      </c>
      <c r="K1098" s="5">
        <v>6500.0</v>
      </c>
      <c r="N1098" s="9">
        <v>43874.0</v>
      </c>
    </row>
    <row r="1099">
      <c r="A1099" s="5">
        <v>1098.0</v>
      </c>
      <c r="B1099" s="5" t="s">
        <v>1475</v>
      </c>
      <c r="C1099" s="5" t="s">
        <v>20</v>
      </c>
      <c r="K1099" s="5">
        <v>600.0</v>
      </c>
      <c r="N1099" s="9">
        <v>43877.0</v>
      </c>
    </row>
    <row r="1100">
      <c r="A1100" s="5">
        <v>1099.0</v>
      </c>
      <c r="B1100" s="5" t="s">
        <v>1476</v>
      </c>
      <c r="C1100" s="5" t="s">
        <v>20</v>
      </c>
      <c r="K1100" s="5">
        <v>150.0</v>
      </c>
      <c r="N1100" s="9">
        <v>44147.0</v>
      </c>
    </row>
    <row r="1101">
      <c r="A1101" s="5">
        <v>1100.0</v>
      </c>
      <c r="B1101" s="5" t="s">
        <v>1477</v>
      </c>
      <c r="C1101" s="5" t="s">
        <v>20</v>
      </c>
      <c r="K1101" s="5">
        <v>200.0</v>
      </c>
      <c r="N1101" s="9">
        <v>44364.0</v>
      </c>
    </row>
    <row r="1102">
      <c r="A1102" s="5">
        <v>1101.0</v>
      </c>
      <c r="B1102" s="5" t="s">
        <v>1478</v>
      </c>
      <c r="C1102" s="5" t="s">
        <v>20</v>
      </c>
      <c r="K1102" s="5">
        <v>300.0</v>
      </c>
      <c r="N1102" s="9">
        <v>44525.0</v>
      </c>
    </row>
    <row r="1103">
      <c r="A1103" s="5">
        <v>1102.0</v>
      </c>
      <c r="B1103" s="5" t="s">
        <v>1479</v>
      </c>
      <c r="C1103" s="5" t="s">
        <v>20</v>
      </c>
      <c r="K1103" s="5">
        <v>40.0</v>
      </c>
      <c r="N1103" s="9">
        <v>45338.0</v>
      </c>
    </row>
    <row r="1104">
      <c r="A1104" s="5">
        <v>1103.0</v>
      </c>
      <c r="B1104" s="5" t="s">
        <v>1480</v>
      </c>
      <c r="C1104" s="5" t="s">
        <v>20</v>
      </c>
      <c r="K1104" s="5">
        <v>200.0</v>
      </c>
      <c r="N1104" s="9">
        <v>44549.0</v>
      </c>
    </row>
    <row r="1105">
      <c r="A1105" s="5">
        <v>1104.0</v>
      </c>
      <c r="B1105" s="5" t="s">
        <v>1481</v>
      </c>
      <c r="C1105" s="5" t="s">
        <v>20</v>
      </c>
      <c r="K1105" s="5">
        <v>450.0</v>
      </c>
      <c r="N1105" s="9">
        <v>44653.0</v>
      </c>
    </row>
    <row r="1106">
      <c r="A1106" s="5">
        <v>1105.0</v>
      </c>
      <c r="B1106" s="5" t="s">
        <v>1482</v>
      </c>
      <c r="C1106" s="5" t="s">
        <v>20</v>
      </c>
      <c r="K1106" s="5">
        <v>350.0</v>
      </c>
      <c r="N1106" s="9">
        <v>43891.0</v>
      </c>
    </row>
    <row r="1107">
      <c r="A1107" s="5">
        <v>1106.0</v>
      </c>
      <c r="B1107" s="5" t="s">
        <v>1483</v>
      </c>
      <c r="C1107" s="5" t="s">
        <v>20</v>
      </c>
      <c r="K1107" s="5">
        <v>900.0</v>
      </c>
      <c r="N1107" s="9">
        <v>44335.0</v>
      </c>
    </row>
    <row r="1108">
      <c r="A1108" s="5">
        <v>1107.0</v>
      </c>
      <c r="B1108" s="5" t="s">
        <v>1484</v>
      </c>
      <c r="C1108" s="5" t="s">
        <v>20</v>
      </c>
      <c r="K1108" s="5">
        <v>700.0</v>
      </c>
      <c r="N1108" s="9">
        <v>44606.0</v>
      </c>
    </row>
    <row r="1109">
      <c r="A1109" s="5">
        <v>1108.0</v>
      </c>
      <c r="B1109" s="5" t="s">
        <v>1485</v>
      </c>
      <c r="C1109" s="5" t="s">
        <v>20</v>
      </c>
      <c r="K1109" s="5">
        <v>800.0</v>
      </c>
      <c r="N1109" s="9">
        <v>45542.0</v>
      </c>
    </row>
    <row r="1110">
      <c r="A1110" s="5">
        <v>1109.0</v>
      </c>
      <c r="B1110" s="5" t="s">
        <v>1486</v>
      </c>
      <c r="C1110" s="5" t="s">
        <v>20</v>
      </c>
      <c r="K1110" s="5">
        <v>250.0</v>
      </c>
      <c r="N1110" s="9">
        <v>44579.0</v>
      </c>
    </row>
    <row r="1111">
      <c r="A1111" s="5">
        <v>1110.0</v>
      </c>
      <c r="B1111" s="5" t="s">
        <v>1487</v>
      </c>
      <c r="C1111" s="5" t="s">
        <v>20</v>
      </c>
      <c r="K1111" s="5">
        <v>20.0</v>
      </c>
      <c r="N1111" s="9">
        <v>45545.0</v>
      </c>
    </row>
    <row r="1112">
      <c r="A1112" s="5">
        <v>1111.0</v>
      </c>
      <c r="B1112" s="5" t="s">
        <v>1488</v>
      </c>
      <c r="C1112" s="5" t="s">
        <v>20</v>
      </c>
      <c r="K1112" s="5">
        <v>50.0</v>
      </c>
      <c r="N1112" s="9">
        <v>44536.0</v>
      </c>
    </row>
    <row r="1113">
      <c r="A1113" s="5">
        <v>1112.0</v>
      </c>
      <c r="B1113" s="5" t="s">
        <v>1489</v>
      </c>
      <c r="C1113" s="5" t="s">
        <v>20</v>
      </c>
      <c r="K1113" s="5">
        <v>1000.0</v>
      </c>
      <c r="N1113" s="9">
        <v>44584.0</v>
      </c>
    </row>
    <row r="1114">
      <c r="A1114" s="5">
        <v>1113.0</v>
      </c>
      <c r="B1114" s="5" t="s">
        <v>1490</v>
      </c>
      <c r="C1114" s="5" t="s">
        <v>20</v>
      </c>
      <c r="K1114" s="5">
        <v>150.0</v>
      </c>
      <c r="N1114" s="9">
        <v>44670.0</v>
      </c>
    </row>
    <row r="1115">
      <c r="A1115" s="5">
        <v>1114.0</v>
      </c>
      <c r="B1115" s="5" t="s">
        <v>1491</v>
      </c>
      <c r="C1115" s="5" t="s">
        <v>20</v>
      </c>
      <c r="K1115" s="5">
        <v>300.0</v>
      </c>
      <c r="N1115" s="9">
        <v>44569.0</v>
      </c>
    </row>
    <row r="1116">
      <c r="A1116" s="5">
        <v>1115.0</v>
      </c>
      <c r="B1116" s="5" t="s">
        <v>1492</v>
      </c>
      <c r="C1116" s="5" t="s">
        <v>20</v>
      </c>
      <c r="K1116" s="5">
        <v>1700.0</v>
      </c>
      <c r="N1116" s="9">
        <v>44286.0</v>
      </c>
    </row>
    <row r="1117">
      <c r="A1117" s="5">
        <v>1116.0</v>
      </c>
      <c r="B1117" s="5" t="s">
        <v>1493</v>
      </c>
      <c r="C1117" s="5" t="s">
        <v>20</v>
      </c>
      <c r="K1117" s="5">
        <v>60.0</v>
      </c>
      <c r="N1117" s="9">
        <v>44475.0</v>
      </c>
    </row>
    <row r="1118">
      <c r="A1118" s="5">
        <v>1117.0</v>
      </c>
      <c r="B1118" s="5" t="s">
        <v>1494</v>
      </c>
      <c r="C1118" s="5" t="s">
        <v>20</v>
      </c>
      <c r="K1118" s="5">
        <v>200.0</v>
      </c>
      <c r="N1118" s="9">
        <v>44567.0</v>
      </c>
    </row>
    <row r="1119">
      <c r="A1119" s="5">
        <v>1118.0</v>
      </c>
      <c r="B1119" s="5" t="s">
        <v>1495</v>
      </c>
      <c r="C1119" s="5" t="s">
        <v>20</v>
      </c>
      <c r="K1119" s="5">
        <v>4400.0</v>
      </c>
      <c r="N1119" s="9">
        <v>43903.0</v>
      </c>
    </row>
    <row r="1120">
      <c r="A1120" s="5">
        <v>1119.0</v>
      </c>
      <c r="B1120" s="5" t="s">
        <v>1496</v>
      </c>
      <c r="C1120" s="5" t="s">
        <v>20</v>
      </c>
      <c r="K1120" s="5">
        <v>400.0</v>
      </c>
      <c r="N1120" s="9">
        <v>44516.0</v>
      </c>
    </row>
    <row r="1121">
      <c r="A1121" s="5">
        <v>1120.0</v>
      </c>
      <c r="B1121" s="5" t="s">
        <v>1497</v>
      </c>
      <c r="C1121" s="5" t="s">
        <v>20</v>
      </c>
      <c r="K1121" s="5">
        <v>200.0</v>
      </c>
      <c r="N1121" s="9">
        <v>44754.0</v>
      </c>
    </row>
    <row r="1122">
      <c r="A1122" s="5">
        <v>1121.0</v>
      </c>
      <c r="B1122" s="5" t="s">
        <v>1498</v>
      </c>
      <c r="C1122" s="5" t="s">
        <v>20</v>
      </c>
      <c r="K1122" s="5">
        <v>800.0</v>
      </c>
      <c r="N1122" s="9">
        <v>43994.0</v>
      </c>
    </row>
    <row r="1123">
      <c r="A1123" s="5">
        <v>1122.0</v>
      </c>
      <c r="B1123" s="5" t="s">
        <v>1499</v>
      </c>
      <c r="C1123" s="5" t="s">
        <v>20</v>
      </c>
      <c r="K1123" s="5">
        <v>900.0</v>
      </c>
      <c r="N1123" s="9">
        <v>44502.0</v>
      </c>
    </row>
    <row r="1124">
      <c r="A1124" s="5">
        <v>1123.0</v>
      </c>
      <c r="B1124" s="5" t="s">
        <v>1500</v>
      </c>
      <c r="C1124" s="5" t="s">
        <v>20</v>
      </c>
      <c r="K1124" s="5">
        <v>500.0</v>
      </c>
      <c r="N1124" s="9">
        <v>44547.0</v>
      </c>
    </row>
    <row r="1125">
      <c r="A1125" s="5">
        <v>1124.0</v>
      </c>
      <c r="B1125" s="5" t="s">
        <v>1501</v>
      </c>
      <c r="C1125" s="5" t="s">
        <v>20</v>
      </c>
      <c r="K1125" s="5">
        <v>400.0</v>
      </c>
      <c r="N1125" s="9">
        <v>44929.0</v>
      </c>
    </row>
    <row r="1126">
      <c r="A1126" s="5">
        <v>1125.0</v>
      </c>
      <c r="B1126" s="5" t="s">
        <v>1502</v>
      </c>
      <c r="C1126" s="5" t="s">
        <v>20</v>
      </c>
      <c r="K1126" s="5">
        <v>300.0</v>
      </c>
      <c r="N1126" s="9">
        <v>44580.0</v>
      </c>
    </row>
    <row r="1127">
      <c r="A1127" s="5">
        <v>1126.0</v>
      </c>
      <c r="B1127" s="5" t="s">
        <v>1503</v>
      </c>
      <c r="C1127" s="5" t="s">
        <v>20</v>
      </c>
      <c r="K1127" s="5">
        <v>250.0</v>
      </c>
      <c r="N1127" s="9">
        <v>44676.0</v>
      </c>
    </row>
    <row r="1128">
      <c r="A1128" s="5">
        <v>1127.0</v>
      </c>
      <c r="B1128" s="5" t="s">
        <v>1504</v>
      </c>
      <c r="C1128" s="5" t="s">
        <v>20</v>
      </c>
      <c r="K1128" s="5">
        <v>200.0</v>
      </c>
      <c r="N1128" s="9">
        <v>45593.0</v>
      </c>
    </row>
    <row r="1129">
      <c r="A1129" s="5">
        <v>1128.0</v>
      </c>
      <c r="B1129" s="5" t="s">
        <v>1505</v>
      </c>
      <c r="C1129" s="5" t="s">
        <v>20</v>
      </c>
      <c r="K1129" s="5">
        <v>500.0</v>
      </c>
      <c r="N1129" s="9">
        <v>44533.0</v>
      </c>
    </row>
    <row r="1130">
      <c r="A1130" s="5">
        <v>1129.0</v>
      </c>
      <c r="B1130" s="5" t="s">
        <v>1506</v>
      </c>
      <c r="C1130" s="5" t="s">
        <v>20</v>
      </c>
      <c r="K1130" s="5">
        <v>50.0</v>
      </c>
      <c r="N1130" s="9">
        <v>45465.0</v>
      </c>
    </row>
    <row r="1131">
      <c r="A1131" s="5">
        <v>1130.0</v>
      </c>
      <c r="B1131" s="5" t="s">
        <v>1507</v>
      </c>
      <c r="C1131" s="5" t="s">
        <v>20</v>
      </c>
      <c r="K1131" s="5">
        <v>450.0</v>
      </c>
      <c r="N1131" s="9">
        <v>44547.0</v>
      </c>
    </row>
    <row r="1132">
      <c r="A1132" s="5">
        <v>1131.0</v>
      </c>
      <c r="B1132" s="5" t="s">
        <v>1508</v>
      </c>
      <c r="C1132" s="5" t="s">
        <v>20</v>
      </c>
      <c r="K1132" s="5">
        <v>90.0</v>
      </c>
      <c r="N1132" s="9">
        <v>44601.0</v>
      </c>
    </row>
    <row r="1133">
      <c r="A1133" s="5">
        <v>1132.0</v>
      </c>
      <c r="B1133" s="5" t="s">
        <v>1509</v>
      </c>
      <c r="C1133" s="5" t="s">
        <v>20</v>
      </c>
      <c r="K1133" s="5">
        <v>1000.0</v>
      </c>
      <c r="N1133" s="9">
        <v>44515.0</v>
      </c>
    </row>
    <row r="1134">
      <c r="A1134" s="5">
        <v>1133.0</v>
      </c>
      <c r="B1134" s="5" t="s">
        <v>1510</v>
      </c>
      <c r="C1134" s="5" t="s">
        <v>20</v>
      </c>
      <c r="K1134" s="5">
        <v>60.0</v>
      </c>
      <c r="N1134" s="9">
        <v>44686.0</v>
      </c>
    </row>
    <row r="1135">
      <c r="A1135" s="5">
        <v>1134.0</v>
      </c>
      <c r="B1135" s="5" t="s">
        <v>1511</v>
      </c>
      <c r="C1135" s="5" t="s">
        <v>20</v>
      </c>
      <c r="K1135" s="5">
        <v>200.0</v>
      </c>
      <c r="N1135" s="9">
        <v>44739.0</v>
      </c>
    </row>
    <row r="1136">
      <c r="A1136" s="5">
        <v>1135.0</v>
      </c>
      <c r="B1136" s="5" t="s">
        <v>1512</v>
      </c>
      <c r="C1136" s="5" t="s">
        <v>20</v>
      </c>
      <c r="K1136" s="5">
        <v>450.0</v>
      </c>
      <c r="N1136" s="9">
        <v>44181.0</v>
      </c>
    </row>
    <row r="1137">
      <c r="A1137" s="5">
        <v>1136.0</v>
      </c>
      <c r="B1137" s="5" t="s">
        <v>163</v>
      </c>
      <c r="C1137" s="5" t="s">
        <v>20</v>
      </c>
      <c r="K1137" s="5">
        <v>250.0</v>
      </c>
      <c r="N1137" s="9">
        <v>44202.0</v>
      </c>
    </row>
    <row r="1138">
      <c r="A1138" s="5">
        <v>1137.0</v>
      </c>
      <c r="B1138" s="5" t="s">
        <v>1513</v>
      </c>
      <c r="C1138" s="5" t="s">
        <v>20</v>
      </c>
      <c r="K1138" s="5">
        <v>1200.0</v>
      </c>
      <c r="N1138" s="9">
        <v>44888.0</v>
      </c>
    </row>
    <row r="1139">
      <c r="A1139" s="5">
        <v>1138.0</v>
      </c>
      <c r="B1139" s="5" t="s">
        <v>1514</v>
      </c>
      <c r="C1139" s="5" t="s">
        <v>20</v>
      </c>
      <c r="K1139" s="5">
        <v>40.0</v>
      </c>
      <c r="N1139" s="9">
        <v>45569.0</v>
      </c>
    </row>
    <row r="1140">
      <c r="A1140" s="5">
        <v>1139.0</v>
      </c>
      <c r="B1140" s="5" t="s">
        <v>1515</v>
      </c>
      <c r="C1140" s="5" t="s">
        <v>20</v>
      </c>
      <c r="K1140" s="5">
        <v>100.0</v>
      </c>
      <c r="N1140" s="9">
        <v>44529.0</v>
      </c>
    </row>
    <row r="1141">
      <c r="A1141" s="5">
        <v>1140.0</v>
      </c>
      <c r="B1141" s="5" t="s">
        <v>1516</v>
      </c>
      <c r="C1141" s="5" t="s">
        <v>20</v>
      </c>
      <c r="K1141" s="5">
        <v>800.0</v>
      </c>
      <c r="N1141" s="9">
        <v>43912.0</v>
      </c>
    </row>
    <row r="1142">
      <c r="A1142" s="5">
        <v>1141.0</v>
      </c>
      <c r="B1142" s="5" t="s">
        <v>1517</v>
      </c>
      <c r="C1142" s="5" t="s">
        <v>20</v>
      </c>
      <c r="K1142" s="5">
        <v>250.0</v>
      </c>
      <c r="N1142" s="9">
        <v>45151.0</v>
      </c>
    </row>
    <row r="1143">
      <c r="A1143" s="5">
        <v>1142.0</v>
      </c>
      <c r="B1143" s="5" t="s">
        <v>1518</v>
      </c>
      <c r="C1143" s="5" t="s">
        <v>20</v>
      </c>
      <c r="K1143" s="5">
        <v>50.0</v>
      </c>
      <c r="N1143" s="9">
        <v>44477.0</v>
      </c>
    </row>
    <row r="1144">
      <c r="A1144" s="5">
        <v>1143.0</v>
      </c>
      <c r="B1144" s="5" t="s">
        <v>1519</v>
      </c>
      <c r="C1144" s="5" t="s">
        <v>20</v>
      </c>
      <c r="K1144" s="5">
        <v>150.0</v>
      </c>
      <c r="N1144" s="9">
        <v>45434.0</v>
      </c>
    </row>
    <row r="1145">
      <c r="A1145" s="5">
        <v>1144.0</v>
      </c>
      <c r="B1145" s="5" t="s">
        <v>169</v>
      </c>
      <c r="C1145" s="5" t="s">
        <v>20</v>
      </c>
      <c r="K1145" s="5">
        <v>100.0</v>
      </c>
      <c r="N1145" s="9">
        <v>44666.0</v>
      </c>
    </row>
    <row r="1146">
      <c r="A1146" s="5">
        <v>1145.0</v>
      </c>
      <c r="B1146" s="5" t="s">
        <v>1520</v>
      </c>
      <c r="C1146" s="5" t="s">
        <v>20</v>
      </c>
      <c r="K1146" s="5">
        <v>100.0</v>
      </c>
      <c r="N1146" s="9">
        <v>44522.0</v>
      </c>
    </row>
    <row r="1147">
      <c r="A1147" s="5">
        <v>1146.0</v>
      </c>
      <c r="B1147" s="5" t="s">
        <v>1521</v>
      </c>
      <c r="C1147" s="5" t="s">
        <v>20</v>
      </c>
      <c r="K1147" s="5">
        <v>50.0</v>
      </c>
      <c r="N1147" s="9">
        <v>44225.0</v>
      </c>
    </row>
    <row r="1148">
      <c r="A1148" s="5">
        <v>1147.0</v>
      </c>
      <c r="B1148" s="5" t="s">
        <v>1522</v>
      </c>
      <c r="C1148" s="5" t="s">
        <v>20</v>
      </c>
      <c r="K1148" s="5">
        <v>450.0</v>
      </c>
      <c r="N1148" s="9">
        <v>44259.0</v>
      </c>
    </row>
    <row r="1149">
      <c r="A1149" s="5">
        <v>1148.0</v>
      </c>
      <c r="B1149" s="5" t="s">
        <v>1523</v>
      </c>
      <c r="C1149" s="5" t="s">
        <v>20</v>
      </c>
      <c r="K1149" s="5">
        <v>700.0</v>
      </c>
      <c r="N1149" s="9">
        <v>43888.0</v>
      </c>
    </row>
    <row r="1150">
      <c r="A1150" s="5">
        <v>1149.0</v>
      </c>
      <c r="B1150" s="5" t="s">
        <v>1524</v>
      </c>
      <c r="C1150" s="5" t="s">
        <v>20</v>
      </c>
      <c r="K1150" s="5">
        <v>200.0</v>
      </c>
      <c r="N1150" s="9">
        <v>44616.0</v>
      </c>
    </row>
    <row r="1151">
      <c r="A1151" s="5">
        <v>1150.0</v>
      </c>
      <c r="B1151" s="5" t="s">
        <v>1525</v>
      </c>
      <c r="C1151" s="5" t="s">
        <v>20</v>
      </c>
      <c r="K1151" s="5">
        <v>200.0</v>
      </c>
      <c r="N1151" s="9">
        <v>44647.0</v>
      </c>
    </row>
    <row r="1152">
      <c r="A1152" s="5">
        <v>1151.0</v>
      </c>
      <c r="B1152" s="5" t="s">
        <v>1526</v>
      </c>
      <c r="C1152" s="5" t="s">
        <v>20</v>
      </c>
      <c r="K1152" s="5">
        <v>350.0</v>
      </c>
      <c r="N1152" s="9">
        <v>44943.0</v>
      </c>
    </row>
    <row r="1153">
      <c r="A1153" s="5">
        <v>1152.0</v>
      </c>
      <c r="B1153" s="5" t="s">
        <v>1527</v>
      </c>
      <c r="C1153" s="5" t="s">
        <v>20</v>
      </c>
      <c r="K1153" s="5">
        <v>2500.0</v>
      </c>
      <c r="N1153" s="9">
        <v>44536.0</v>
      </c>
    </row>
    <row r="1154">
      <c r="A1154" s="5">
        <v>1153.0</v>
      </c>
      <c r="B1154" s="5" t="s">
        <v>1528</v>
      </c>
      <c r="C1154" s="5" t="s">
        <v>20</v>
      </c>
      <c r="K1154" s="5">
        <v>2200.0</v>
      </c>
      <c r="N1154" s="9">
        <v>44099.0</v>
      </c>
    </row>
    <row r="1155">
      <c r="A1155" s="5">
        <v>1154.0</v>
      </c>
      <c r="B1155" s="5" t="s">
        <v>1529</v>
      </c>
      <c r="C1155" s="5" t="s">
        <v>20</v>
      </c>
      <c r="K1155" s="5">
        <v>300.0</v>
      </c>
      <c r="N1155" s="9">
        <v>43876.0</v>
      </c>
    </row>
    <row r="1156">
      <c r="A1156" s="5">
        <v>1155.0</v>
      </c>
      <c r="B1156" s="5" t="s">
        <v>1530</v>
      </c>
      <c r="C1156" s="5" t="s">
        <v>20</v>
      </c>
      <c r="K1156" s="5">
        <v>600.0</v>
      </c>
      <c r="N1156" s="9">
        <v>44409.0</v>
      </c>
    </row>
    <row r="1157">
      <c r="A1157" s="5">
        <v>1156.0</v>
      </c>
      <c r="B1157" s="5" t="s">
        <v>1531</v>
      </c>
      <c r="C1157" s="5" t="s">
        <v>20</v>
      </c>
      <c r="K1157" s="5">
        <v>60.0</v>
      </c>
      <c r="N1157" s="9">
        <v>44597.0</v>
      </c>
    </row>
    <row r="1158">
      <c r="A1158" s="5">
        <v>1157.0</v>
      </c>
      <c r="B1158" s="5" t="s">
        <v>1532</v>
      </c>
      <c r="C1158" s="5" t="s">
        <v>20</v>
      </c>
      <c r="K1158" s="5">
        <v>30.0</v>
      </c>
      <c r="N1158" s="9">
        <v>44777.0</v>
      </c>
    </row>
    <row r="1159">
      <c r="A1159" s="5">
        <v>1158.0</v>
      </c>
      <c r="B1159" s="5" t="s">
        <v>1533</v>
      </c>
      <c r="C1159" s="5" t="s">
        <v>20</v>
      </c>
      <c r="K1159" s="5">
        <v>1100.0</v>
      </c>
      <c r="N1159" s="9">
        <v>44180.0</v>
      </c>
    </row>
    <row r="1160">
      <c r="A1160" s="5">
        <v>1159.0</v>
      </c>
      <c r="B1160" s="5" t="s">
        <v>1534</v>
      </c>
      <c r="C1160" s="5" t="s">
        <v>20</v>
      </c>
      <c r="N1160" s="9">
        <v>45258.0</v>
      </c>
    </row>
    <row r="1161">
      <c r="A1161" s="5">
        <v>1160.0</v>
      </c>
      <c r="B1161" s="5" t="s">
        <v>1535</v>
      </c>
      <c r="C1161" s="5" t="s">
        <v>20</v>
      </c>
      <c r="K1161" s="5">
        <v>700.0</v>
      </c>
      <c r="N1161" s="9">
        <v>44153.0</v>
      </c>
    </row>
    <row r="1162">
      <c r="A1162" s="5">
        <v>1161.0</v>
      </c>
      <c r="B1162" s="5" t="s">
        <v>1536</v>
      </c>
      <c r="C1162" s="5" t="s">
        <v>20</v>
      </c>
      <c r="K1162" s="5">
        <v>11000.0</v>
      </c>
      <c r="N1162" s="9">
        <v>44548.0</v>
      </c>
    </row>
    <row r="1163">
      <c r="A1163" s="5">
        <v>1162.0</v>
      </c>
      <c r="B1163" s="5" t="s">
        <v>1537</v>
      </c>
      <c r="C1163" s="5" t="s">
        <v>20</v>
      </c>
      <c r="K1163" s="5">
        <v>1300.0</v>
      </c>
      <c r="N1163" s="9">
        <v>44131.0</v>
      </c>
    </row>
    <row r="1164">
      <c r="A1164" s="5">
        <v>1163.0</v>
      </c>
      <c r="B1164" s="5" t="s">
        <v>1538</v>
      </c>
      <c r="C1164" s="5" t="s">
        <v>20</v>
      </c>
      <c r="K1164" s="5">
        <v>700.0</v>
      </c>
      <c r="N1164" s="9">
        <v>44532.0</v>
      </c>
    </row>
    <row r="1165">
      <c r="A1165" s="5">
        <v>1164.0</v>
      </c>
      <c r="B1165" s="5" t="s">
        <v>1539</v>
      </c>
      <c r="C1165" s="5" t="s">
        <v>20</v>
      </c>
      <c r="K1165" s="5">
        <v>30.0</v>
      </c>
      <c r="N1165" s="9">
        <v>44498.0</v>
      </c>
    </row>
    <row r="1166">
      <c r="A1166" s="5">
        <v>1165.0</v>
      </c>
      <c r="B1166" s="5" t="s">
        <v>1540</v>
      </c>
      <c r="C1166" s="5" t="s">
        <v>20</v>
      </c>
      <c r="K1166" s="5">
        <v>40.0</v>
      </c>
      <c r="N1166" s="9">
        <v>44589.0</v>
      </c>
    </row>
    <row r="1167">
      <c r="A1167" s="5">
        <v>1166.0</v>
      </c>
      <c r="B1167" s="5" t="s">
        <v>1541</v>
      </c>
      <c r="C1167" s="5" t="s">
        <v>20</v>
      </c>
      <c r="K1167" s="5">
        <v>200.0</v>
      </c>
      <c r="N1167" s="9">
        <v>44413.0</v>
      </c>
    </row>
    <row r="1168">
      <c r="A1168" s="5">
        <v>1167.0</v>
      </c>
      <c r="B1168" s="5" t="s">
        <v>1542</v>
      </c>
      <c r="C1168" s="5" t="s">
        <v>20</v>
      </c>
      <c r="K1168" s="5">
        <v>150.0</v>
      </c>
      <c r="N1168" s="9">
        <v>43894.0</v>
      </c>
    </row>
    <row r="1169">
      <c r="A1169" s="5">
        <v>1168.0</v>
      </c>
      <c r="B1169" s="5" t="s">
        <v>1543</v>
      </c>
      <c r="C1169" s="5" t="s">
        <v>20</v>
      </c>
      <c r="K1169" s="5">
        <v>1100.0</v>
      </c>
      <c r="N1169" s="9">
        <v>43924.0</v>
      </c>
    </row>
    <row r="1170">
      <c r="A1170" s="5">
        <v>1169.0</v>
      </c>
      <c r="B1170" s="5" t="s">
        <v>1544</v>
      </c>
      <c r="C1170" s="5" t="s">
        <v>20</v>
      </c>
      <c r="K1170" s="5">
        <v>5300.0</v>
      </c>
      <c r="N1170" s="9">
        <v>42475.0</v>
      </c>
    </row>
    <row r="1171">
      <c r="A1171" s="5">
        <v>1170.0</v>
      </c>
      <c r="B1171" s="5" t="s">
        <v>1545</v>
      </c>
      <c r="C1171" s="5" t="s">
        <v>20</v>
      </c>
      <c r="N1171" s="9">
        <v>44625.0</v>
      </c>
    </row>
    <row r="1172">
      <c r="A1172" s="5">
        <v>1171.0</v>
      </c>
      <c r="B1172" s="5" t="s">
        <v>1546</v>
      </c>
      <c r="C1172" s="5" t="s">
        <v>20</v>
      </c>
      <c r="K1172" s="5">
        <v>150.0</v>
      </c>
      <c r="N1172" s="9">
        <v>44711.0</v>
      </c>
    </row>
    <row r="1173">
      <c r="A1173" s="5">
        <v>1172.0</v>
      </c>
      <c r="B1173" s="5" t="s">
        <v>1547</v>
      </c>
      <c r="C1173" s="5" t="s">
        <v>20</v>
      </c>
      <c r="K1173" s="5">
        <v>600.0</v>
      </c>
      <c r="N1173" s="9">
        <v>45241.0</v>
      </c>
    </row>
    <row r="1174">
      <c r="A1174" s="5">
        <v>1173.0</v>
      </c>
      <c r="B1174" s="5" t="s">
        <v>173</v>
      </c>
      <c r="C1174" s="5" t="s">
        <v>20</v>
      </c>
      <c r="K1174" s="5">
        <v>20.0</v>
      </c>
      <c r="N1174" s="9">
        <v>44472.0</v>
      </c>
    </row>
    <row r="1175">
      <c r="A1175" s="5">
        <v>1174.0</v>
      </c>
      <c r="B1175" s="5" t="s">
        <v>1548</v>
      </c>
      <c r="C1175" s="5" t="s">
        <v>20</v>
      </c>
      <c r="K1175" s="5">
        <v>350.0</v>
      </c>
      <c r="N1175" s="9">
        <v>44613.0</v>
      </c>
    </row>
    <row r="1176">
      <c r="A1176" s="5">
        <v>1175.0</v>
      </c>
      <c r="B1176" s="5" t="s">
        <v>1549</v>
      </c>
      <c r="C1176" s="5" t="s">
        <v>20</v>
      </c>
      <c r="K1176" s="5">
        <v>450.0</v>
      </c>
      <c r="N1176" s="9">
        <v>44626.0</v>
      </c>
    </row>
    <row r="1177">
      <c r="A1177" s="5">
        <v>1176.0</v>
      </c>
      <c r="B1177" s="5" t="s">
        <v>1550</v>
      </c>
      <c r="C1177" s="5" t="s">
        <v>20</v>
      </c>
      <c r="K1177" s="5">
        <v>350.0</v>
      </c>
      <c r="N1177" s="9">
        <v>44429.0</v>
      </c>
    </row>
    <row r="1178">
      <c r="A1178" s="5">
        <v>1177.0</v>
      </c>
      <c r="B1178" s="5" t="s">
        <v>1551</v>
      </c>
      <c r="C1178" s="5" t="s">
        <v>20</v>
      </c>
      <c r="K1178" s="5">
        <v>500.0</v>
      </c>
      <c r="N1178" s="9">
        <v>44558.0</v>
      </c>
    </row>
    <row r="1179">
      <c r="A1179" s="5">
        <v>1178.0</v>
      </c>
      <c r="B1179" s="5" t="s">
        <v>1552</v>
      </c>
      <c r="C1179" s="5" t="s">
        <v>20</v>
      </c>
      <c r="N1179" s="9">
        <v>43883.0</v>
      </c>
    </row>
    <row r="1180">
      <c r="A1180" s="5">
        <v>1179.0</v>
      </c>
      <c r="B1180" s="5" t="s">
        <v>1553</v>
      </c>
      <c r="C1180" s="5" t="s">
        <v>20</v>
      </c>
      <c r="K1180" s="5">
        <v>250.0</v>
      </c>
      <c r="N1180" s="9">
        <v>44473.0</v>
      </c>
    </row>
    <row r="1181">
      <c r="A1181" s="5">
        <v>1180.0</v>
      </c>
      <c r="B1181" s="5" t="s">
        <v>1554</v>
      </c>
      <c r="C1181" s="5" t="s">
        <v>20</v>
      </c>
      <c r="K1181" s="5">
        <v>100.0</v>
      </c>
      <c r="N1181" s="9">
        <v>45403.0</v>
      </c>
    </row>
    <row r="1182">
      <c r="A1182" s="5">
        <v>1181.0</v>
      </c>
      <c r="B1182" s="5" t="s">
        <v>1555</v>
      </c>
      <c r="C1182" s="5" t="s">
        <v>20</v>
      </c>
      <c r="K1182" s="5">
        <v>150.0</v>
      </c>
      <c r="N1182" s="9">
        <v>44054.0</v>
      </c>
    </row>
    <row r="1183">
      <c r="A1183" s="5">
        <v>1182.0</v>
      </c>
      <c r="B1183" s="5" t="s">
        <v>1556</v>
      </c>
      <c r="C1183" s="5" t="s">
        <v>20</v>
      </c>
      <c r="K1183" s="5">
        <v>40.0</v>
      </c>
      <c r="N1183" s="9">
        <v>45483.0</v>
      </c>
    </row>
    <row r="1184">
      <c r="A1184" s="5">
        <v>1183.0</v>
      </c>
      <c r="B1184" s="5" t="s">
        <v>1557</v>
      </c>
      <c r="C1184" s="5" t="s">
        <v>20</v>
      </c>
      <c r="K1184" s="5">
        <v>250.0</v>
      </c>
      <c r="N1184" s="9">
        <v>44545.0</v>
      </c>
    </row>
    <row r="1185">
      <c r="A1185" s="5">
        <v>1184.0</v>
      </c>
      <c r="B1185" s="5" t="s">
        <v>1558</v>
      </c>
      <c r="C1185" s="5" t="s">
        <v>20</v>
      </c>
      <c r="K1185" s="5">
        <v>20.0</v>
      </c>
      <c r="N1185" s="9">
        <v>44294.0</v>
      </c>
    </row>
    <row r="1186">
      <c r="A1186" s="5">
        <v>1185.0</v>
      </c>
      <c r="B1186" s="5" t="s">
        <v>177</v>
      </c>
      <c r="C1186" s="5" t="s">
        <v>20</v>
      </c>
      <c r="K1186" s="5">
        <v>10.0</v>
      </c>
      <c r="N1186" s="9">
        <v>44685.0</v>
      </c>
    </row>
    <row r="1187">
      <c r="A1187" s="5">
        <v>1186.0</v>
      </c>
      <c r="B1187" s="5" t="s">
        <v>1559</v>
      </c>
      <c r="C1187" s="5" t="s">
        <v>20</v>
      </c>
      <c r="K1187" s="5">
        <v>150.0</v>
      </c>
      <c r="N1187" s="9">
        <v>44124.0</v>
      </c>
    </row>
    <row r="1188">
      <c r="A1188" s="5">
        <v>1187.0</v>
      </c>
      <c r="B1188" s="5" t="s">
        <v>1560</v>
      </c>
      <c r="C1188" s="5" t="s">
        <v>20</v>
      </c>
      <c r="K1188" s="5">
        <v>250.0</v>
      </c>
      <c r="N1188" s="9">
        <v>44571.0</v>
      </c>
    </row>
    <row r="1189">
      <c r="A1189" s="5">
        <v>1188.0</v>
      </c>
      <c r="B1189" s="5" t="s">
        <v>1561</v>
      </c>
      <c r="C1189" s="5" t="s">
        <v>20</v>
      </c>
      <c r="K1189" s="5">
        <v>500.0</v>
      </c>
      <c r="N1189" s="9">
        <v>44886.0</v>
      </c>
    </row>
    <row r="1190">
      <c r="A1190" s="5">
        <v>1189.0</v>
      </c>
      <c r="B1190" s="5" t="s">
        <v>1562</v>
      </c>
      <c r="C1190" s="5" t="s">
        <v>20</v>
      </c>
      <c r="K1190" s="5">
        <v>2000.0</v>
      </c>
      <c r="N1190" s="9">
        <v>44909.0</v>
      </c>
    </row>
    <row r="1191">
      <c r="A1191" s="5">
        <v>1190.0</v>
      </c>
      <c r="B1191" s="5" t="s">
        <v>1563</v>
      </c>
      <c r="C1191" s="5" t="s">
        <v>20</v>
      </c>
      <c r="K1191" s="5">
        <v>4700.0</v>
      </c>
      <c r="N1191" s="9">
        <v>44467.0</v>
      </c>
    </row>
    <row r="1192">
      <c r="A1192" s="5">
        <v>1191.0</v>
      </c>
      <c r="B1192" s="5" t="s">
        <v>1564</v>
      </c>
      <c r="C1192" s="5" t="s">
        <v>20</v>
      </c>
      <c r="K1192" s="5">
        <v>300.0</v>
      </c>
      <c r="N1192" s="9">
        <v>44015.0</v>
      </c>
    </row>
    <row r="1193">
      <c r="A1193" s="5">
        <v>1192.0</v>
      </c>
      <c r="B1193" s="5" t="s">
        <v>127</v>
      </c>
      <c r="C1193" s="5" t="s">
        <v>20</v>
      </c>
      <c r="K1193" s="5">
        <v>5300.0</v>
      </c>
      <c r="N1193" s="9">
        <v>43912.0</v>
      </c>
    </row>
    <row r="1194">
      <c r="A1194" s="5">
        <v>1193.0</v>
      </c>
      <c r="B1194" s="5" t="s">
        <v>1565</v>
      </c>
      <c r="C1194" s="5" t="s">
        <v>20</v>
      </c>
      <c r="K1194" s="5">
        <v>500.0</v>
      </c>
      <c r="N1194" s="9">
        <v>44566.0</v>
      </c>
    </row>
    <row r="1195">
      <c r="A1195" s="5">
        <v>1194.0</v>
      </c>
      <c r="B1195" s="5" t="s">
        <v>1566</v>
      </c>
      <c r="C1195" s="5" t="s">
        <v>20</v>
      </c>
      <c r="K1195" s="5">
        <v>150.0</v>
      </c>
      <c r="N1195" s="9">
        <v>44520.0</v>
      </c>
    </row>
    <row r="1196">
      <c r="A1196" s="5">
        <v>1195.0</v>
      </c>
      <c r="B1196" s="5" t="s">
        <v>1567</v>
      </c>
      <c r="C1196" s="5" t="s">
        <v>20</v>
      </c>
      <c r="K1196" s="5">
        <v>100.0</v>
      </c>
      <c r="N1196" s="9">
        <v>45356.0</v>
      </c>
    </row>
    <row r="1197">
      <c r="A1197" s="5">
        <v>1196.0</v>
      </c>
      <c r="B1197" s="5" t="s">
        <v>1568</v>
      </c>
      <c r="C1197" s="5" t="s">
        <v>20</v>
      </c>
      <c r="N1197" s="9">
        <v>44038.0</v>
      </c>
    </row>
    <row r="1198">
      <c r="A1198" s="5">
        <v>1197.0</v>
      </c>
      <c r="B1198" s="5" t="s">
        <v>1569</v>
      </c>
      <c r="C1198" s="5" t="s">
        <v>20</v>
      </c>
      <c r="N1198" s="9">
        <v>44585.0</v>
      </c>
    </row>
    <row r="1199">
      <c r="A1199" s="5">
        <v>1198.0</v>
      </c>
      <c r="B1199" s="5" t="s">
        <v>1570</v>
      </c>
      <c r="C1199" s="5" t="s">
        <v>20</v>
      </c>
      <c r="K1199" s="5">
        <v>30.0</v>
      </c>
      <c r="N1199" s="9">
        <v>44501.0</v>
      </c>
    </row>
    <row r="1200">
      <c r="A1200" s="5">
        <v>1199.0</v>
      </c>
      <c r="B1200" s="5" t="s">
        <v>1571</v>
      </c>
      <c r="C1200" s="5" t="s">
        <v>20</v>
      </c>
      <c r="N1200" s="9">
        <v>44542.0</v>
      </c>
    </row>
    <row r="1201">
      <c r="A1201" s="5">
        <v>1200.0</v>
      </c>
      <c r="B1201" s="5" t="s">
        <v>1572</v>
      </c>
      <c r="C1201" s="5" t="s">
        <v>20</v>
      </c>
      <c r="K1201" s="5">
        <v>60.0</v>
      </c>
      <c r="N1201" s="9">
        <v>44608.0</v>
      </c>
    </row>
    <row r="1202">
      <c r="A1202" s="5">
        <v>1201.0</v>
      </c>
      <c r="B1202" s="5" t="s">
        <v>1573</v>
      </c>
      <c r="C1202" s="5" t="s">
        <v>20</v>
      </c>
      <c r="K1202" s="5">
        <v>100.0</v>
      </c>
      <c r="N1202" s="9">
        <v>43904.0</v>
      </c>
    </row>
    <row r="1203">
      <c r="A1203" s="5">
        <v>1202.0</v>
      </c>
      <c r="B1203" s="5" t="s">
        <v>1574</v>
      </c>
      <c r="C1203" s="5" t="s">
        <v>20</v>
      </c>
      <c r="K1203" s="5">
        <v>100.0</v>
      </c>
      <c r="N1203" s="9">
        <v>44536.0</v>
      </c>
    </row>
    <row r="1204">
      <c r="A1204" s="5">
        <v>1203.0</v>
      </c>
      <c r="B1204" s="5" t="s">
        <v>1575</v>
      </c>
      <c r="C1204" s="5" t="s">
        <v>20</v>
      </c>
      <c r="K1204" s="5">
        <v>40.0</v>
      </c>
      <c r="N1204" s="9">
        <v>44542.0</v>
      </c>
    </row>
    <row r="1205">
      <c r="A1205" s="5">
        <v>1204.0</v>
      </c>
      <c r="B1205" s="5" t="s">
        <v>1576</v>
      </c>
      <c r="C1205" s="5" t="s">
        <v>20</v>
      </c>
      <c r="K1205" s="5">
        <v>150.0</v>
      </c>
      <c r="N1205" s="9">
        <v>44583.0</v>
      </c>
    </row>
    <row r="1206">
      <c r="A1206" s="5">
        <v>1205.0</v>
      </c>
      <c r="B1206" s="5" t="s">
        <v>1577</v>
      </c>
      <c r="C1206" s="5" t="s">
        <v>20</v>
      </c>
      <c r="K1206" s="5">
        <v>600.0</v>
      </c>
      <c r="N1206" s="9">
        <v>44222.0</v>
      </c>
    </row>
    <row r="1207">
      <c r="A1207" s="5">
        <v>1206.0</v>
      </c>
      <c r="B1207" s="5" t="s">
        <v>1578</v>
      </c>
      <c r="C1207" s="5" t="s">
        <v>20</v>
      </c>
      <c r="K1207" s="5">
        <v>400.0</v>
      </c>
      <c r="N1207" s="9">
        <v>44583.0</v>
      </c>
    </row>
    <row r="1208">
      <c r="A1208" s="5">
        <v>1207.0</v>
      </c>
      <c r="B1208" s="5" t="s">
        <v>1579</v>
      </c>
      <c r="C1208" s="5" t="s">
        <v>20</v>
      </c>
      <c r="K1208" s="5">
        <v>200.0</v>
      </c>
      <c r="N1208" s="9">
        <v>44557.0</v>
      </c>
    </row>
    <row r="1209">
      <c r="A1209" s="5">
        <v>1208.0</v>
      </c>
      <c r="B1209" s="5" t="s">
        <v>1580</v>
      </c>
      <c r="C1209" s="5" t="s">
        <v>20</v>
      </c>
      <c r="K1209" s="5">
        <v>40.0</v>
      </c>
      <c r="N1209" s="9">
        <v>44080.0</v>
      </c>
    </row>
    <row r="1210">
      <c r="A1210" s="5">
        <v>1209.0</v>
      </c>
      <c r="B1210" s="5" t="s">
        <v>1581</v>
      </c>
      <c r="C1210" s="5" t="s">
        <v>20</v>
      </c>
      <c r="K1210" s="5">
        <v>14000.0</v>
      </c>
      <c r="N1210" s="9">
        <v>43857.0</v>
      </c>
    </row>
    <row r="1211">
      <c r="A1211" s="5">
        <v>1210.0</v>
      </c>
      <c r="B1211" s="5" t="s">
        <v>1582</v>
      </c>
      <c r="C1211" s="5" t="s">
        <v>20</v>
      </c>
      <c r="K1211" s="5">
        <v>150.0</v>
      </c>
      <c r="N1211" s="9">
        <v>43856.0</v>
      </c>
    </row>
    <row r="1212">
      <c r="A1212" s="5">
        <v>1211.0</v>
      </c>
      <c r="B1212" s="5" t="s">
        <v>1583</v>
      </c>
      <c r="C1212" s="5" t="s">
        <v>20</v>
      </c>
      <c r="K1212" s="5">
        <v>1000.0</v>
      </c>
      <c r="N1212" s="9">
        <v>44240.0</v>
      </c>
    </row>
    <row r="1213">
      <c r="A1213" s="5">
        <v>1212.0</v>
      </c>
      <c r="B1213" s="5" t="s">
        <v>1584</v>
      </c>
      <c r="C1213" s="5" t="s">
        <v>20</v>
      </c>
      <c r="K1213" s="5">
        <v>20.0</v>
      </c>
      <c r="N1213" s="9">
        <v>44575.0</v>
      </c>
    </row>
    <row r="1214">
      <c r="A1214" s="5">
        <v>1213.0</v>
      </c>
      <c r="B1214" s="5" t="s">
        <v>1585</v>
      </c>
      <c r="C1214" s="5" t="s">
        <v>20</v>
      </c>
      <c r="K1214" s="5">
        <v>150.0</v>
      </c>
      <c r="N1214" s="9">
        <v>44043.0</v>
      </c>
    </row>
    <row r="1215">
      <c r="A1215" s="5">
        <v>1214.0</v>
      </c>
      <c r="B1215" s="5" t="s">
        <v>1586</v>
      </c>
      <c r="C1215" s="5" t="s">
        <v>20</v>
      </c>
      <c r="K1215" s="5">
        <v>700.0</v>
      </c>
      <c r="N1215" s="9">
        <v>44657.0</v>
      </c>
    </row>
    <row r="1216">
      <c r="A1216" s="5">
        <v>1215.0</v>
      </c>
      <c r="B1216" s="5" t="s">
        <v>182</v>
      </c>
      <c r="C1216" s="5" t="s">
        <v>20</v>
      </c>
      <c r="N1216" s="9">
        <v>44829.0</v>
      </c>
    </row>
    <row r="1217">
      <c r="A1217" s="5">
        <v>1216.0</v>
      </c>
      <c r="B1217" s="5" t="s">
        <v>1587</v>
      </c>
      <c r="C1217" s="5" t="s">
        <v>20</v>
      </c>
      <c r="K1217" s="5">
        <v>150.0</v>
      </c>
      <c r="N1217" s="9">
        <v>44171.0</v>
      </c>
    </row>
    <row r="1218">
      <c r="A1218" s="5">
        <v>1217.0</v>
      </c>
      <c r="B1218" s="5" t="s">
        <v>1588</v>
      </c>
      <c r="C1218" s="5" t="s">
        <v>20</v>
      </c>
      <c r="K1218" s="5">
        <v>400.0</v>
      </c>
      <c r="N1218" s="9">
        <v>45594.0</v>
      </c>
    </row>
    <row r="1219">
      <c r="A1219" s="5">
        <v>1218.0</v>
      </c>
      <c r="B1219" s="5" t="s">
        <v>1589</v>
      </c>
      <c r="C1219" s="5" t="s">
        <v>20</v>
      </c>
      <c r="K1219" s="5">
        <v>1100.0</v>
      </c>
      <c r="N1219" s="9">
        <v>43870.0</v>
      </c>
    </row>
    <row r="1220">
      <c r="A1220" s="5">
        <v>1219.0</v>
      </c>
      <c r="B1220" s="5" t="s">
        <v>1590</v>
      </c>
      <c r="C1220" s="5" t="s">
        <v>20</v>
      </c>
      <c r="K1220" s="5">
        <v>300.0</v>
      </c>
      <c r="N1220" s="9">
        <v>44580.0</v>
      </c>
    </row>
    <row r="1221">
      <c r="A1221" s="5">
        <v>1220.0</v>
      </c>
      <c r="B1221" s="5" t="s">
        <v>1591</v>
      </c>
      <c r="C1221" s="5" t="s">
        <v>20</v>
      </c>
      <c r="K1221" s="5">
        <v>450.0</v>
      </c>
      <c r="N1221" s="9">
        <v>44636.0</v>
      </c>
    </row>
    <row r="1222">
      <c r="A1222" s="5">
        <v>1221.0</v>
      </c>
      <c r="B1222" s="5" t="s">
        <v>1592</v>
      </c>
      <c r="C1222" s="5" t="s">
        <v>20</v>
      </c>
      <c r="K1222" s="5">
        <v>350.0</v>
      </c>
      <c r="N1222" s="9">
        <v>44791.0</v>
      </c>
    </row>
    <row r="1223">
      <c r="A1223" s="5">
        <v>1222.0</v>
      </c>
      <c r="B1223" s="5" t="s">
        <v>1593</v>
      </c>
      <c r="C1223" s="5" t="s">
        <v>20</v>
      </c>
      <c r="K1223" s="5">
        <v>200.0</v>
      </c>
      <c r="N1223" s="9">
        <v>44541.0</v>
      </c>
    </row>
    <row r="1224">
      <c r="A1224" s="5">
        <v>1223.0</v>
      </c>
      <c r="B1224" s="5" t="s">
        <v>1594</v>
      </c>
      <c r="C1224" s="5" t="s">
        <v>20</v>
      </c>
      <c r="K1224" s="5">
        <v>50.0</v>
      </c>
      <c r="N1224" s="9">
        <v>44606.0</v>
      </c>
    </row>
    <row r="1225">
      <c r="A1225" s="5">
        <v>1224.0</v>
      </c>
      <c r="B1225" s="5" t="s">
        <v>1595</v>
      </c>
      <c r="C1225" s="5" t="s">
        <v>20</v>
      </c>
      <c r="K1225" s="5">
        <v>150.0</v>
      </c>
      <c r="N1225" s="9">
        <v>44382.0</v>
      </c>
    </row>
    <row r="1226">
      <c r="A1226" s="5">
        <v>1225.0</v>
      </c>
      <c r="B1226" s="5" t="s">
        <v>1596</v>
      </c>
      <c r="C1226" s="5" t="s">
        <v>20</v>
      </c>
      <c r="K1226" s="5">
        <v>150.0</v>
      </c>
      <c r="N1226" s="9">
        <v>44228.0</v>
      </c>
    </row>
    <row r="1227">
      <c r="A1227" s="5">
        <v>1226.0</v>
      </c>
      <c r="B1227" s="5" t="s">
        <v>1597</v>
      </c>
      <c r="C1227" s="5" t="s">
        <v>20</v>
      </c>
      <c r="K1227" s="5">
        <v>450.0</v>
      </c>
      <c r="N1227" s="9">
        <v>44908.0</v>
      </c>
    </row>
    <row r="1228">
      <c r="A1228" s="5">
        <v>1227.0</v>
      </c>
      <c r="B1228" s="5" t="s">
        <v>1598</v>
      </c>
      <c r="C1228" s="5" t="s">
        <v>20</v>
      </c>
      <c r="K1228" s="5">
        <v>600.0</v>
      </c>
      <c r="N1228" s="9">
        <v>44579.0</v>
      </c>
    </row>
    <row r="1229">
      <c r="A1229" s="5">
        <v>1228.0</v>
      </c>
      <c r="B1229" s="5" t="s">
        <v>1599</v>
      </c>
      <c r="C1229" s="5" t="s">
        <v>20</v>
      </c>
      <c r="K1229" s="5">
        <v>150.0</v>
      </c>
      <c r="N1229" s="9">
        <v>44034.0</v>
      </c>
    </row>
    <row r="1230">
      <c r="A1230" s="5">
        <v>1229.0</v>
      </c>
      <c r="B1230" s="5" t="s">
        <v>1600</v>
      </c>
      <c r="C1230" s="5" t="s">
        <v>20</v>
      </c>
      <c r="K1230" s="5">
        <v>40.0</v>
      </c>
      <c r="N1230" s="9">
        <v>44804.0</v>
      </c>
    </row>
    <row r="1231">
      <c r="A1231" s="5">
        <v>1230.0</v>
      </c>
      <c r="B1231" s="5" t="s">
        <v>1601</v>
      </c>
      <c r="C1231" s="5" t="s">
        <v>20</v>
      </c>
      <c r="N1231" s="9">
        <v>44632.0</v>
      </c>
    </row>
    <row r="1232">
      <c r="A1232" s="5">
        <v>1231.0</v>
      </c>
      <c r="B1232" s="5" t="s">
        <v>1602</v>
      </c>
      <c r="C1232" s="5" t="s">
        <v>20</v>
      </c>
      <c r="K1232" s="5">
        <v>700.0</v>
      </c>
      <c r="N1232" s="9">
        <v>45062.0</v>
      </c>
    </row>
    <row r="1233">
      <c r="A1233" s="5">
        <v>1232.0</v>
      </c>
      <c r="B1233" s="5" t="s">
        <v>1603</v>
      </c>
      <c r="C1233" s="5" t="s">
        <v>20</v>
      </c>
      <c r="K1233" s="5">
        <v>20.0</v>
      </c>
      <c r="N1233" s="9">
        <v>44337.0</v>
      </c>
    </row>
    <row r="1234">
      <c r="A1234" s="5">
        <v>1233.0</v>
      </c>
      <c r="B1234" s="5" t="s">
        <v>1604</v>
      </c>
      <c r="C1234" s="5" t="s">
        <v>20</v>
      </c>
      <c r="K1234" s="5">
        <v>450.0</v>
      </c>
      <c r="N1234" s="9">
        <v>44561.0</v>
      </c>
    </row>
    <row r="1235">
      <c r="A1235" s="5">
        <v>1234.0</v>
      </c>
      <c r="B1235" s="5" t="s">
        <v>1605</v>
      </c>
      <c r="C1235" s="5" t="s">
        <v>20</v>
      </c>
      <c r="K1235" s="5">
        <v>400.0</v>
      </c>
      <c r="N1235" s="9">
        <v>44239.0</v>
      </c>
    </row>
    <row r="1236">
      <c r="A1236" s="5">
        <v>1235.0</v>
      </c>
      <c r="B1236" s="5" t="s">
        <v>1606</v>
      </c>
      <c r="C1236" s="5" t="s">
        <v>20</v>
      </c>
      <c r="K1236" s="5">
        <v>450.0</v>
      </c>
      <c r="N1236" s="9">
        <v>44635.0</v>
      </c>
    </row>
    <row r="1237">
      <c r="A1237" s="5">
        <v>1236.0</v>
      </c>
      <c r="B1237" s="5" t="s">
        <v>1607</v>
      </c>
      <c r="C1237" s="5" t="s">
        <v>20</v>
      </c>
      <c r="K1237" s="5">
        <v>450.0</v>
      </c>
      <c r="N1237" s="9">
        <v>45246.0</v>
      </c>
    </row>
    <row r="1238">
      <c r="A1238" s="5">
        <v>1237.0</v>
      </c>
      <c r="B1238" s="5" t="s">
        <v>1608</v>
      </c>
      <c r="C1238" s="5" t="s">
        <v>20</v>
      </c>
      <c r="K1238" s="5">
        <v>700.0</v>
      </c>
      <c r="N1238" s="9">
        <v>45361.0</v>
      </c>
    </row>
    <row r="1239">
      <c r="A1239" s="5">
        <v>1238.0</v>
      </c>
      <c r="B1239" s="5" t="s">
        <v>1609</v>
      </c>
      <c r="C1239" s="5" t="s">
        <v>20</v>
      </c>
      <c r="K1239" s="5">
        <v>300.0</v>
      </c>
      <c r="N1239" s="9">
        <v>44361.0</v>
      </c>
    </row>
    <row r="1240">
      <c r="A1240" s="5">
        <v>1239.0</v>
      </c>
      <c r="B1240" s="5" t="s">
        <v>1610</v>
      </c>
      <c r="C1240" s="5" t="s">
        <v>20</v>
      </c>
      <c r="K1240" s="5">
        <v>40.0</v>
      </c>
      <c r="N1240" s="9">
        <v>44578.0</v>
      </c>
    </row>
    <row r="1241">
      <c r="A1241" s="5">
        <v>1240.0</v>
      </c>
      <c r="B1241" s="5" t="s">
        <v>1611</v>
      </c>
      <c r="C1241" s="5" t="s">
        <v>20</v>
      </c>
      <c r="K1241" s="5">
        <v>250.0</v>
      </c>
      <c r="N1241" s="9">
        <v>44093.0</v>
      </c>
    </row>
    <row r="1242">
      <c r="A1242" s="5">
        <v>1241.0</v>
      </c>
      <c r="B1242" s="5" t="s">
        <v>1612</v>
      </c>
      <c r="C1242" s="5" t="s">
        <v>20</v>
      </c>
      <c r="K1242" s="5">
        <v>250.0</v>
      </c>
      <c r="N1242" s="9">
        <v>44459.0</v>
      </c>
    </row>
    <row r="1243">
      <c r="A1243" s="5">
        <v>1242.0</v>
      </c>
      <c r="B1243" s="5" t="s">
        <v>1613</v>
      </c>
      <c r="C1243" s="5" t="s">
        <v>20</v>
      </c>
      <c r="K1243" s="5">
        <v>600.0</v>
      </c>
      <c r="N1243" s="9">
        <v>44315.0</v>
      </c>
    </row>
    <row r="1244">
      <c r="A1244" s="5">
        <v>1243.0</v>
      </c>
      <c r="B1244" s="5" t="s">
        <v>1614</v>
      </c>
      <c r="C1244" s="5" t="s">
        <v>20</v>
      </c>
      <c r="K1244" s="5">
        <v>2600.0</v>
      </c>
      <c r="N1244" s="9">
        <v>44626.0</v>
      </c>
    </row>
    <row r="1245">
      <c r="A1245" s="5">
        <v>1244.0</v>
      </c>
      <c r="B1245" s="5" t="s">
        <v>1615</v>
      </c>
      <c r="C1245" s="5" t="s">
        <v>20</v>
      </c>
      <c r="K1245" s="5">
        <v>700.0</v>
      </c>
      <c r="N1245" s="9">
        <v>44346.0</v>
      </c>
    </row>
    <row r="1246">
      <c r="A1246" s="5">
        <v>1245.0</v>
      </c>
      <c r="B1246" s="5" t="s">
        <v>1616</v>
      </c>
      <c r="C1246" s="5" t="s">
        <v>20</v>
      </c>
      <c r="K1246" s="5">
        <v>200.0</v>
      </c>
      <c r="N1246" s="9">
        <v>44531.0</v>
      </c>
    </row>
    <row r="1247">
      <c r="A1247" s="5">
        <v>1246.0</v>
      </c>
      <c r="B1247" s="5" t="s">
        <v>1617</v>
      </c>
      <c r="C1247" s="5" t="s">
        <v>20</v>
      </c>
      <c r="K1247" s="5">
        <v>700.0</v>
      </c>
      <c r="N1247" s="9">
        <v>44544.0</v>
      </c>
    </row>
    <row r="1248">
      <c r="A1248" s="5">
        <v>1247.0</v>
      </c>
      <c r="B1248" s="5" t="s">
        <v>1618</v>
      </c>
      <c r="C1248" s="5" t="s">
        <v>20</v>
      </c>
      <c r="K1248" s="5">
        <v>350.0</v>
      </c>
      <c r="N1248" s="9">
        <v>44592.0</v>
      </c>
    </row>
    <row r="1249">
      <c r="A1249" s="5">
        <v>1248.0</v>
      </c>
      <c r="B1249" s="5" t="s">
        <v>1619</v>
      </c>
      <c r="C1249" s="5" t="s">
        <v>20</v>
      </c>
      <c r="K1249" s="5">
        <v>200.0</v>
      </c>
      <c r="N1249" s="9">
        <v>44560.0</v>
      </c>
    </row>
    <row r="1250">
      <c r="A1250" s="5">
        <v>1249.0</v>
      </c>
      <c r="B1250" s="5" t="s">
        <v>1620</v>
      </c>
      <c r="C1250" s="5" t="s">
        <v>20</v>
      </c>
      <c r="K1250" s="5">
        <v>150.0</v>
      </c>
      <c r="N1250" s="9">
        <v>44540.0</v>
      </c>
    </row>
    <row r="1251">
      <c r="A1251" s="5">
        <v>1250.0</v>
      </c>
      <c r="B1251" s="5" t="s">
        <v>1621</v>
      </c>
      <c r="C1251" s="5" t="s">
        <v>20</v>
      </c>
      <c r="K1251" s="5">
        <v>250.0</v>
      </c>
      <c r="N1251" s="9">
        <v>44598.0</v>
      </c>
    </row>
    <row r="1252">
      <c r="A1252" s="5">
        <v>1251.0</v>
      </c>
      <c r="B1252" s="5" t="s">
        <v>1622</v>
      </c>
      <c r="C1252" s="5" t="s">
        <v>20</v>
      </c>
      <c r="K1252" s="5">
        <v>400.0</v>
      </c>
      <c r="N1252" s="9">
        <v>44558.0</v>
      </c>
    </row>
    <row r="1253">
      <c r="A1253" s="5">
        <v>1252.0</v>
      </c>
      <c r="B1253" s="5" t="s">
        <v>1623</v>
      </c>
      <c r="C1253" s="5" t="s">
        <v>20</v>
      </c>
      <c r="K1253" s="5">
        <v>1200.0</v>
      </c>
      <c r="N1253" s="9">
        <v>44219.0</v>
      </c>
    </row>
    <row r="1254">
      <c r="A1254" s="5">
        <v>1253.0</v>
      </c>
      <c r="B1254" s="5" t="s">
        <v>1624</v>
      </c>
      <c r="C1254" s="5" t="s">
        <v>20</v>
      </c>
      <c r="K1254" s="5">
        <v>2600.0</v>
      </c>
      <c r="N1254" s="9">
        <v>44014.0</v>
      </c>
    </row>
    <row r="1255">
      <c r="A1255" s="5">
        <v>1254.0</v>
      </c>
      <c r="B1255" s="5" t="s">
        <v>1625</v>
      </c>
      <c r="C1255" s="5" t="s">
        <v>20</v>
      </c>
      <c r="K1255" s="5">
        <v>5000.0</v>
      </c>
      <c r="N1255" s="9">
        <v>44659.0</v>
      </c>
    </row>
    <row r="1256">
      <c r="A1256" s="5">
        <v>1255.0</v>
      </c>
      <c r="B1256" s="5" t="s">
        <v>1626</v>
      </c>
      <c r="C1256" s="5" t="s">
        <v>20</v>
      </c>
      <c r="K1256" s="5">
        <v>80.0</v>
      </c>
      <c r="N1256" s="9">
        <v>44608.0</v>
      </c>
    </row>
    <row r="1257">
      <c r="A1257" s="5">
        <v>1256.0</v>
      </c>
      <c r="B1257" s="5" t="s">
        <v>1627</v>
      </c>
      <c r="C1257" s="5" t="s">
        <v>20</v>
      </c>
      <c r="K1257" s="5">
        <v>2300.0</v>
      </c>
      <c r="N1257" s="9">
        <v>44092.0</v>
      </c>
    </row>
    <row r="1258">
      <c r="A1258" s="5">
        <v>1257.0</v>
      </c>
      <c r="B1258" s="5" t="s">
        <v>1628</v>
      </c>
      <c r="C1258" s="5" t="s">
        <v>20</v>
      </c>
      <c r="K1258" s="5">
        <v>150.0</v>
      </c>
      <c r="N1258" s="9">
        <v>44667.0</v>
      </c>
    </row>
    <row r="1259">
      <c r="A1259" s="5">
        <v>1258.0</v>
      </c>
      <c r="B1259" s="5" t="s">
        <v>1629</v>
      </c>
      <c r="C1259" s="5" t="s">
        <v>20</v>
      </c>
      <c r="K1259" s="5">
        <v>100.0</v>
      </c>
      <c r="N1259" s="9">
        <v>45042.0</v>
      </c>
    </row>
    <row r="1260">
      <c r="A1260" s="5">
        <v>1259.0</v>
      </c>
      <c r="B1260" s="5" t="s">
        <v>1630</v>
      </c>
      <c r="C1260" s="5" t="s">
        <v>20</v>
      </c>
      <c r="K1260" s="5">
        <v>1100.0</v>
      </c>
      <c r="N1260" s="9">
        <v>44424.0</v>
      </c>
    </row>
    <row r="1261">
      <c r="A1261" s="5">
        <v>1260.0</v>
      </c>
      <c r="B1261" s="5" t="s">
        <v>1631</v>
      </c>
      <c r="C1261" s="5" t="s">
        <v>20</v>
      </c>
      <c r="K1261" s="5">
        <v>350.0</v>
      </c>
      <c r="N1261" s="9">
        <v>44543.0</v>
      </c>
    </row>
    <row r="1262">
      <c r="A1262" s="5">
        <v>1261.0</v>
      </c>
      <c r="B1262" s="5" t="s">
        <v>1632</v>
      </c>
      <c r="C1262" s="5" t="s">
        <v>20</v>
      </c>
      <c r="N1262" s="9">
        <v>44816.0</v>
      </c>
    </row>
    <row r="1263">
      <c r="A1263" s="5">
        <v>1262.0</v>
      </c>
      <c r="B1263" s="5" t="s">
        <v>1633</v>
      </c>
      <c r="C1263" s="5" t="s">
        <v>20</v>
      </c>
      <c r="N1263" s="9">
        <v>45381.0</v>
      </c>
    </row>
    <row r="1264">
      <c r="A1264" s="5">
        <v>1263.0</v>
      </c>
      <c r="B1264" s="5" t="s">
        <v>1634</v>
      </c>
      <c r="C1264" s="5" t="s">
        <v>20</v>
      </c>
      <c r="K1264" s="5">
        <v>250.0</v>
      </c>
      <c r="N1264" s="9">
        <v>44610.0</v>
      </c>
    </row>
    <row r="1265">
      <c r="A1265" s="5">
        <v>1264.0</v>
      </c>
      <c r="B1265" s="5" t="s">
        <v>1635</v>
      </c>
      <c r="C1265" s="5" t="s">
        <v>20</v>
      </c>
      <c r="K1265" s="5">
        <v>200.0</v>
      </c>
      <c r="N1265" s="9">
        <v>44893.0</v>
      </c>
    </row>
    <row r="1266">
      <c r="A1266" s="5">
        <v>1265.0</v>
      </c>
      <c r="B1266" s="5" t="s">
        <v>137</v>
      </c>
      <c r="C1266" s="5" t="s">
        <v>20</v>
      </c>
      <c r="K1266" s="5">
        <v>38000.0</v>
      </c>
      <c r="N1266" s="9">
        <v>43860.0</v>
      </c>
    </row>
    <row r="1267">
      <c r="A1267" s="5">
        <v>1266.0</v>
      </c>
      <c r="B1267" s="5" t="s">
        <v>1636</v>
      </c>
      <c r="C1267" s="5" t="s">
        <v>20</v>
      </c>
      <c r="K1267" s="5">
        <v>10.0</v>
      </c>
      <c r="N1267" s="9">
        <v>44620.0</v>
      </c>
    </row>
    <row r="1268">
      <c r="A1268" s="5">
        <v>1267.0</v>
      </c>
      <c r="B1268" s="5" t="s">
        <v>1637</v>
      </c>
      <c r="C1268" s="5" t="s">
        <v>20</v>
      </c>
      <c r="K1268" s="5">
        <v>600.0</v>
      </c>
      <c r="N1268" s="9">
        <v>45192.0</v>
      </c>
    </row>
    <row r="1269">
      <c r="A1269" s="5">
        <v>1268.0</v>
      </c>
      <c r="B1269" s="5" t="s">
        <v>1638</v>
      </c>
      <c r="C1269" s="5" t="s">
        <v>20</v>
      </c>
      <c r="K1269" s="5">
        <v>1000.0</v>
      </c>
      <c r="N1269" s="9">
        <v>44515.0</v>
      </c>
    </row>
    <row r="1270">
      <c r="A1270" s="5">
        <v>1269.0</v>
      </c>
      <c r="B1270" s="5" t="s">
        <v>1639</v>
      </c>
      <c r="C1270" s="5" t="s">
        <v>20</v>
      </c>
      <c r="K1270" s="5">
        <v>10.0</v>
      </c>
      <c r="N1270" s="9">
        <v>45354.0</v>
      </c>
    </row>
    <row r="1271">
      <c r="A1271" s="5">
        <v>1270.0</v>
      </c>
      <c r="B1271" s="5" t="s">
        <v>1640</v>
      </c>
      <c r="C1271" s="5" t="s">
        <v>20</v>
      </c>
      <c r="K1271" s="5">
        <v>250.0</v>
      </c>
      <c r="N1271" s="9">
        <v>44524.0</v>
      </c>
    </row>
    <row r="1272">
      <c r="A1272" s="5">
        <v>1271.0</v>
      </c>
      <c r="B1272" s="5" t="s">
        <v>1641</v>
      </c>
      <c r="C1272" s="5" t="s">
        <v>20</v>
      </c>
      <c r="K1272" s="5">
        <v>300.0</v>
      </c>
      <c r="N1272" s="9">
        <v>45352.0</v>
      </c>
    </row>
    <row r="1273">
      <c r="A1273" s="5">
        <v>1272.0</v>
      </c>
      <c r="B1273" s="5" t="s">
        <v>1642</v>
      </c>
      <c r="C1273" s="5" t="s">
        <v>20</v>
      </c>
      <c r="K1273" s="5">
        <v>150.0</v>
      </c>
      <c r="N1273" s="9">
        <v>45203.0</v>
      </c>
    </row>
    <row r="1274">
      <c r="A1274" s="5">
        <v>1273.0</v>
      </c>
      <c r="B1274" s="5" t="s">
        <v>1643</v>
      </c>
      <c r="C1274" s="5" t="s">
        <v>20</v>
      </c>
      <c r="K1274" s="5">
        <v>400.0</v>
      </c>
      <c r="N1274" s="9">
        <v>43888.0</v>
      </c>
    </row>
    <row r="1275">
      <c r="A1275" s="5">
        <v>1274.0</v>
      </c>
      <c r="B1275" s="5" t="s">
        <v>1644</v>
      </c>
      <c r="C1275" s="5" t="s">
        <v>20</v>
      </c>
      <c r="K1275" s="5">
        <v>4500.0</v>
      </c>
      <c r="N1275" s="9">
        <v>45374.0</v>
      </c>
    </row>
    <row r="1276">
      <c r="A1276" s="5">
        <v>1275.0</v>
      </c>
      <c r="B1276" s="5" t="s">
        <v>186</v>
      </c>
      <c r="C1276" s="5" t="s">
        <v>20</v>
      </c>
      <c r="K1276" s="5">
        <v>150.0</v>
      </c>
      <c r="N1276" s="9">
        <v>45278.0</v>
      </c>
    </row>
    <row r="1277">
      <c r="A1277" s="5">
        <v>1276.0</v>
      </c>
      <c r="B1277" s="5" t="s">
        <v>1645</v>
      </c>
      <c r="C1277" s="5" t="s">
        <v>20</v>
      </c>
      <c r="K1277" s="5">
        <v>1400.0</v>
      </c>
      <c r="N1277" s="9">
        <v>44034.0</v>
      </c>
    </row>
    <row r="1278">
      <c r="A1278" s="5">
        <v>1277.0</v>
      </c>
      <c r="B1278" s="5" t="s">
        <v>1646</v>
      </c>
      <c r="C1278" s="5" t="s">
        <v>20</v>
      </c>
      <c r="K1278" s="5">
        <v>450.0</v>
      </c>
      <c r="N1278" s="9">
        <v>43843.0</v>
      </c>
    </row>
    <row r="1279">
      <c r="A1279" s="5">
        <v>1278.0</v>
      </c>
      <c r="B1279" s="5" t="s">
        <v>1647</v>
      </c>
      <c r="C1279" s="5" t="s">
        <v>20</v>
      </c>
      <c r="K1279" s="5">
        <v>500.0</v>
      </c>
      <c r="N1279" s="9">
        <v>44577.0</v>
      </c>
    </row>
    <row r="1280">
      <c r="A1280" s="5">
        <v>1279.0</v>
      </c>
      <c r="B1280" s="5" t="s">
        <v>1648</v>
      </c>
      <c r="C1280" s="5" t="s">
        <v>20</v>
      </c>
      <c r="K1280" s="5">
        <v>40.0</v>
      </c>
      <c r="N1280" s="9">
        <v>44542.0</v>
      </c>
    </row>
    <row r="1281">
      <c r="A1281" s="5">
        <v>1280.0</v>
      </c>
      <c r="B1281" s="5" t="s">
        <v>1649</v>
      </c>
      <c r="C1281" s="5" t="s">
        <v>20</v>
      </c>
      <c r="K1281" s="5">
        <v>900.0</v>
      </c>
      <c r="N1281" s="9">
        <v>45635.0</v>
      </c>
    </row>
    <row r="1282">
      <c r="A1282" s="5">
        <v>1281.0</v>
      </c>
      <c r="B1282" s="5" t="s">
        <v>1650</v>
      </c>
      <c r="C1282" s="5" t="s">
        <v>20</v>
      </c>
      <c r="K1282" s="5">
        <v>150.0</v>
      </c>
      <c r="N1282" s="9">
        <v>44273.0</v>
      </c>
    </row>
    <row r="1283">
      <c r="A1283" s="5">
        <v>1282.0</v>
      </c>
      <c r="B1283" s="5" t="s">
        <v>1651</v>
      </c>
      <c r="C1283" s="5" t="s">
        <v>20</v>
      </c>
      <c r="K1283" s="5">
        <v>900.0</v>
      </c>
      <c r="N1283" s="9">
        <v>44547.0</v>
      </c>
    </row>
    <row r="1284">
      <c r="A1284" s="5">
        <v>1283.0</v>
      </c>
      <c r="B1284" s="5" t="s">
        <v>1652</v>
      </c>
      <c r="C1284" s="5" t="s">
        <v>20</v>
      </c>
      <c r="K1284" s="5">
        <v>100.0</v>
      </c>
      <c r="N1284" s="9">
        <v>45645.0</v>
      </c>
    </row>
    <row r="1285">
      <c r="A1285" s="5">
        <v>1284.0</v>
      </c>
      <c r="B1285" s="5" t="s">
        <v>1653</v>
      </c>
      <c r="C1285" s="5" t="s">
        <v>20</v>
      </c>
      <c r="K1285" s="5">
        <v>2900.0</v>
      </c>
      <c r="N1285" s="9">
        <v>44209.0</v>
      </c>
    </row>
    <row r="1286">
      <c r="A1286" s="5">
        <v>1285.0</v>
      </c>
      <c r="B1286" s="5" t="s">
        <v>1654</v>
      </c>
      <c r="C1286" s="5" t="s">
        <v>20</v>
      </c>
      <c r="K1286" s="5">
        <v>300.0</v>
      </c>
      <c r="N1286" s="9">
        <v>44539.0</v>
      </c>
    </row>
    <row r="1287">
      <c r="A1287" s="5">
        <v>1286.0</v>
      </c>
      <c r="B1287" s="5" t="s">
        <v>1655</v>
      </c>
      <c r="C1287" s="5" t="s">
        <v>20</v>
      </c>
      <c r="K1287" s="5">
        <v>400.0</v>
      </c>
      <c r="N1287" s="9">
        <v>44971.0</v>
      </c>
    </row>
    <row r="1288">
      <c r="A1288" s="5">
        <v>1287.0</v>
      </c>
      <c r="B1288" s="5" t="s">
        <v>190</v>
      </c>
      <c r="C1288" s="5" t="s">
        <v>20</v>
      </c>
      <c r="K1288" s="5">
        <v>100.0</v>
      </c>
      <c r="N1288" s="9">
        <v>44253.0</v>
      </c>
    </row>
    <row r="1289">
      <c r="A1289" s="5">
        <v>1288.0</v>
      </c>
      <c r="B1289" s="5" t="s">
        <v>1656</v>
      </c>
      <c r="C1289" s="5" t="s">
        <v>20</v>
      </c>
      <c r="K1289" s="5">
        <v>900.0</v>
      </c>
      <c r="N1289" s="9">
        <v>44566.0</v>
      </c>
    </row>
    <row r="1290">
      <c r="A1290" s="5">
        <v>1289.0</v>
      </c>
      <c r="B1290" s="5" t="s">
        <v>194</v>
      </c>
      <c r="C1290" s="5" t="s">
        <v>20</v>
      </c>
      <c r="K1290" s="5">
        <v>250.0</v>
      </c>
      <c r="N1290" s="9">
        <v>44344.0</v>
      </c>
    </row>
    <row r="1291">
      <c r="A1291" s="5">
        <v>1290.0</v>
      </c>
      <c r="B1291" s="5" t="s">
        <v>1657</v>
      </c>
      <c r="C1291" s="5" t="s">
        <v>20</v>
      </c>
      <c r="K1291" s="5">
        <v>150.0</v>
      </c>
      <c r="N1291" s="9">
        <v>44561.0</v>
      </c>
    </row>
    <row r="1292">
      <c r="A1292" s="5">
        <v>1291.0</v>
      </c>
      <c r="B1292" s="5" t="s">
        <v>1658</v>
      </c>
      <c r="C1292" s="5" t="s">
        <v>20</v>
      </c>
      <c r="K1292" s="5">
        <v>40.0</v>
      </c>
      <c r="N1292" s="9">
        <v>44528.0</v>
      </c>
    </row>
    <row r="1293">
      <c r="A1293" s="5">
        <v>1292.0</v>
      </c>
      <c r="B1293" s="5" t="s">
        <v>1659</v>
      </c>
      <c r="C1293" s="5" t="s">
        <v>20</v>
      </c>
      <c r="K1293" s="5">
        <v>400.0</v>
      </c>
      <c r="N1293" s="9">
        <v>44505.0</v>
      </c>
    </row>
    <row r="1294">
      <c r="A1294" s="5">
        <v>1293.0</v>
      </c>
      <c r="B1294" s="5" t="s">
        <v>1660</v>
      </c>
      <c r="C1294" s="5" t="s">
        <v>20</v>
      </c>
      <c r="N1294" s="9">
        <v>44664.0</v>
      </c>
    </row>
    <row r="1295">
      <c r="A1295" s="5">
        <v>1294.0</v>
      </c>
      <c r="B1295" s="5" t="s">
        <v>1661</v>
      </c>
      <c r="C1295" s="5" t="s">
        <v>20</v>
      </c>
      <c r="K1295" s="5">
        <v>300.0</v>
      </c>
      <c r="N1295" s="9">
        <v>44557.0</v>
      </c>
    </row>
    <row r="1296">
      <c r="A1296" s="5">
        <v>1295.0</v>
      </c>
      <c r="B1296" s="5" t="s">
        <v>1662</v>
      </c>
      <c r="C1296" s="5" t="s">
        <v>20</v>
      </c>
      <c r="K1296" s="5">
        <v>150.0</v>
      </c>
      <c r="N1296" s="9">
        <v>44701.0</v>
      </c>
    </row>
    <row r="1297">
      <c r="A1297" s="5">
        <v>1296.0</v>
      </c>
      <c r="B1297" s="5" t="s">
        <v>1663</v>
      </c>
      <c r="C1297" s="5" t="s">
        <v>20</v>
      </c>
      <c r="K1297" s="5">
        <v>200.0</v>
      </c>
      <c r="N1297" s="9">
        <v>44546.0</v>
      </c>
    </row>
    <row r="1298">
      <c r="A1298" s="5">
        <v>1297.0</v>
      </c>
      <c r="B1298" s="5" t="s">
        <v>1664</v>
      </c>
      <c r="C1298" s="5" t="s">
        <v>20</v>
      </c>
      <c r="K1298" s="5">
        <v>150.0</v>
      </c>
      <c r="N1298" s="9">
        <v>43885.0</v>
      </c>
    </row>
    <row r="1299">
      <c r="A1299" s="5">
        <v>1298.0</v>
      </c>
      <c r="B1299" s="5" t="s">
        <v>1665</v>
      </c>
      <c r="C1299" s="5" t="s">
        <v>20</v>
      </c>
      <c r="K1299" s="5">
        <v>250.0</v>
      </c>
      <c r="N1299" s="9">
        <v>45093.0</v>
      </c>
    </row>
    <row r="1300">
      <c r="A1300" s="5">
        <v>1299.0</v>
      </c>
      <c r="B1300" s="5" t="s">
        <v>1666</v>
      </c>
      <c r="C1300" s="5" t="s">
        <v>20</v>
      </c>
      <c r="K1300" s="5">
        <v>450.0</v>
      </c>
      <c r="N1300" s="9">
        <v>44492.0</v>
      </c>
    </row>
    <row r="1301">
      <c r="A1301" s="5">
        <v>1300.0</v>
      </c>
      <c r="B1301" s="5" t="s">
        <v>1667</v>
      </c>
      <c r="C1301" s="5" t="s">
        <v>20</v>
      </c>
      <c r="K1301" s="5">
        <v>4900.0</v>
      </c>
      <c r="N1301" s="9">
        <v>44468.0</v>
      </c>
    </row>
    <row r="1302">
      <c r="A1302" s="5">
        <v>1301.0</v>
      </c>
      <c r="B1302" s="5" t="s">
        <v>1668</v>
      </c>
      <c r="C1302" s="5" t="s">
        <v>20</v>
      </c>
      <c r="K1302" s="5">
        <v>70.0</v>
      </c>
      <c r="N1302" s="9">
        <v>44530.0</v>
      </c>
    </row>
    <row r="1303">
      <c r="A1303" s="5">
        <v>1302.0</v>
      </c>
      <c r="B1303" s="5" t="s">
        <v>1669</v>
      </c>
      <c r="C1303" s="5" t="s">
        <v>20</v>
      </c>
      <c r="K1303" s="5">
        <v>200.0</v>
      </c>
      <c r="N1303" s="9">
        <v>44574.0</v>
      </c>
    </row>
    <row r="1304">
      <c r="A1304" s="5">
        <v>1303.0</v>
      </c>
      <c r="B1304" s="5" t="s">
        <v>1670</v>
      </c>
      <c r="C1304" s="5" t="s">
        <v>20</v>
      </c>
      <c r="K1304" s="5">
        <v>150.0</v>
      </c>
      <c r="N1304" s="9">
        <v>44193.0</v>
      </c>
    </row>
    <row r="1305">
      <c r="A1305" s="5">
        <v>1304.0</v>
      </c>
      <c r="B1305" s="5" t="s">
        <v>1671</v>
      </c>
      <c r="C1305" s="5" t="s">
        <v>20</v>
      </c>
      <c r="K1305" s="5">
        <v>250.0</v>
      </c>
      <c r="N1305" s="9">
        <v>43924.0</v>
      </c>
    </row>
    <row r="1306">
      <c r="A1306" s="5">
        <v>1305.0</v>
      </c>
      <c r="B1306" s="5" t="s">
        <v>1672</v>
      </c>
      <c r="C1306" s="5" t="s">
        <v>20</v>
      </c>
      <c r="K1306" s="5">
        <v>100.0</v>
      </c>
      <c r="N1306" s="9">
        <v>44762.0</v>
      </c>
    </row>
    <row r="1307">
      <c r="A1307" s="5">
        <v>1306.0</v>
      </c>
      <c r="B1307" s="5" t="s">
        <v>1673</v>
      </c>
      <c r="C1307" s="5" t="s">
        <v>20</v>
      </c>
      <c r="K1307" s="5">
        <v>700.0</v>
      </c>
      <c r="N1307" s="9">
        <v>43863.0</v>
      </c>
    </row>
    <row r="1308">
      <c r="A1308" s="5">
        <v>1307.0</v>
      </c>
      <c r="B1308" s="5" t="s">
        <v>1674</v>
      </c>
      <c r="C1308" s="5" t="s">
        <v>20</v>
      </c>
      <c r="K1308" s="5">
        <v>150.0</v>
      </c>
      <c r="N1308" s="9">
        <v>44634.0</v>
      </c>
    </row>
    <row r="1309">
      <c r="A1309" s="5">
        <v>1308.0</v>
      </c>
      <c r="B1309" s="5" t="s">
        <v>1675</v>
      </c>
      <c r="C1309" s="5" t="s">
        <v>20</v>
      </c>
      <c r="K1309" s="5">
        <v>600.0</v>
      </c>
      <c r="N1309" s="9">
        <v>44588.0</v>
      </c>
    </row>
    <row r="1310">
      <c r="A1310" s="5">
        <v>1309.0</v>
      </c>
      <c r="B1310" s="5" t="s">
        <v>1676</v>
      </c>
      <c r="C1310" s="5" t="s">
        <v>20</v>
      </c>
      <c r="K1310" s="5">
        <v>600.0</v>
      </c>
      <c r="N1310" s="9">
        <v>43946.0</v>
      </c>
    </row>
    <row r="1311">
      <c r="A1311" s="5">
        <v>1310.0</v>
      </c>
      <c r="B1311" s="5" t="s">
        <v>1677</v>
      </c>
      <c r="C1311" s="5" t="s">
        <v>20</v>
      </c>
      <c r="K1311" s="5">
        <v>1200.0</v>
      </c>
      <c r="N1311" s="9">
        <v>44185.0</v>
      </c>
    </row>
    <row r="1312">
      <c r="A1312" s="5">
        <v>1311.0</v>
      </c>
      <c r="B1312" s="5" t="s">
        <v>1678</v>
      </c>
      <c r="C1312" s="5" t="s">
        <v>20</v>
      </c>
      <c r="K1312" s="5">
        <v>300.0</v>
      </c>
      <c r="N1312" s="9">
        <v>44636.0</v>
      </c>
    </row>
    <row r="1313">
      <c r="A1313" s="5">
        <v>1312.0</v>
      </c>
      <c r="B1313" s="5" t="s">
        <v>198</v>
      </c>
      <c r="C1313" s="5" t="s">
        <v>20</v>
      </c>
      <c r="K1313" s="5">
        <v>10.0</v>
      </c>
      <c r="N1313" s="9">
        <v>44472.0</v>
      </c>
    </row>
    <row r="1314">
      <c r="A1314" s="5">
        <v>1313.0</v>
      </c>
      <c r="B1314" s="5" t="s">
        <v>1679</v>
      </c>
      <c r="C1314" s="5" t="s">
        <v>20</v>
      </c>
      <c r="K1314" s="5">
        <v>10.0</v>
      </c>
      <c r="N1314" s="9">
        <v>44624.0</v>
      </c>
    </row>
    <row r="1315">
      <c r="A1315" s="5">
        <v>1314.0</v>
      </c>
      <c r="B1315" s="5" t="s">
        <v>1680</v>
      </c>
      <c r="C1315" s="5" t="s">
        <v>20</v>
      </c>
      <c r="K1315" s="5">
        <v>20.0</v>
      </c>
      <c r="N1315" s="9">
        <v>44640.0</v>
      </c>
    </row>
    <row r="1316">
      <c r="A1316" s="5">
        <v>1315.0</v>
      </c>
      <c r="B1316" s="5" t="s">
        <v>1681</v>
      </c>
      <c r="C1316" s="5" t="s">
        <v>20</v>
      </c>
      <c r="N1316" s="9">
        <v>45138.0</v>
      </c>
    </row>
    <row r="1317">
      <c r="A1317" s="5">
        <v>1316.0</v>
      </c>
      <c r="B1317" s="5" t="s">
        <v>1682</v>
      </c>
      <c r="C1317" s="5" t="s">
        <v>20</v>
      </c>
      <c r="K1317" s="5">
        <v>200.0</v>
      </c>
      <c r="N1317" s="9">
        <v>44926.0</v>
      </c>
    </row>
    <row r="1318">
      <c r="A1318" s="5">
        <v>1317.0</v>
      </c>
      <c r="B1318" s="5" t="s">
        <v>1683</v>
      </c>
      <c r="C1318" s="5" t="s">
        <v>20</v>
      </c>
      <c r="K1318" s="5">
        <v>10.0</v>
      </c>
      <c r="N1318" s="9">
        <v>44554.0</v>
      </c>
    </row>
    <row r="1319">
      <c r="A1319" s="5">
        <v>1318.0</v>
      </c>
      <c r="B1319" s="5" t="s">
        <v>1684</v>
      </c>
      <c r="C1319" s="5" t="s">
        <v>20</v>
      </c>
      <c r="K1319" s="5">
        <v>300.0</v>
      </c>
      <c r="N1319" s="9">
        <v>44602.0</v>
      </c>
    </row>
    <row r="1320">
      <c r="A1320" s="5">
        <v>1319.0</v>
      </c>
      <c r="B1320" s="5" t="s">
        <v>1685</v>
      </c>
      <c r="C1320" s="5" t="s">
        <v>20</v>
      </c>
      <c r="K1320" s="5">
        <v>2200.0</v>
      </c>
      <c r="N1320" s="9">
        <v>44065.0</v>
      </c>
    </row>
    <row r="1321">
      <c r="A1321" s="5">
        <v>1320.0</v>
      </c>
      <c r="B1321" s="5" t="s">
        <v>1686</v>
      </c>
      <c r="C1321" s="5" t="s">
        <v>20</v>
      </c>
      <c r="K1321" s="5">
        <v>8900.0</v>
      </c>
      <c r="N1321" s="9">
        <v>43920.0</v>
      </c>
    </row>
    <row r="1322">
      <c r="A1322" s="5">
        <v>1321.0</v>
      </c>
      <c r="B1322" s="5" t="s">
        <v>1687</v>
      </c>
      <c r="C1322" s="5" t="s">
        <v>20</v>
      </c>
      <c r="K1322" s="5">
        <v>300.0</v>
      </c>
      <c r="N1322" s="9">
        <v>44685.0</v>
      </c>
    </row>
    <row r="1323">
      <c r="A1323" s="5">
        <v>1322.0</v>
      </c>
      <c r="B1323" s="5" t="s">
        <v>1688</v>
      </c>
      <c r="C1323" s="5" t="s">
        <v>20</v>
      </c>
      <c r="K1323" s="5">
        <v>800.0</v>
      </c>
      <c r="N1323" s="9">
        <v>44711.0</v>
      </c>
    </row>
    <row r="1324">
      <c r="A1324" s="5">
        <v>1323.0</v>
      </c>
      <c r="B1324" s="5" t="s">
        <v>1689</v>
      </c>
      <c r="C1324" s="5" t="s">
        <v>20</v>
      </c>
      <c r="K1324" s="5">
        <v>70.0</v>
      </c>
      <c r="N1324" s="9">
        <v>45040.0</v>
      </c>
    </row>
    <row r="1325">
      <c r="A1325" s="5">
        <v>1324.0</v>
      </c>
      <c r="B1325" s="5" t="s">
        <v>1690</v>
      </c>
      <c r="C1325" s="5" t="s">
        <v>20</v>
      </c>
      <c r="K1325" s="5">
        <v>300.0</v>
      </c>
      <c r="N1325" s="9">
        <v>44566.0</v>
      </c>
    </row>
    <row r="1326">
      <c r="A1326" s="5">
        <v>1325.0</v>
      </c>
      <c r="B1326" s="5" t="s">
        <v>1691</v>
      </c>
      <c r="C1326" s="5" t="s">
        <v>20</v>
      </c>
      <c r="K1326" s="5">
        <v>2000.0</v>
      </c>
      <c r="N1326" s="9">
        <v>44610.0</v>
      </c>
    </row>
    <row r="1327">
      <c r="A1327" s="5">
        <v>1326.0</v>
      </c>
      <c r="B1327" s="5" t="s">
        <v>1692</v>
      </c>
      <c r="C1327" s="5" t="s">
        <v>20</v>
      </c>
      <c r="K1327" s="5">
        <v>150.0</v>
      </c>
      <c r="N1327" s="9">
        <v>43890.0</v>
      </c>
    </row>
    <row r="1328">
      <c r="A1328" s="5">
        <v>1327.0</v>
      </c>
      <c r="B1328" s="5" t="s">
        <v>1693</v>
      </c>
      <c r="C1328" s="5" t="s">
        <v>20</v>
      </c>
      <c r="K1328" s="5">
        <v>30.0</v>
      </c>
      <c r="N1328" s="9">
        <v>45015.0</v>
      </c>
    </row>
    <row r="1329">
      <c r="A1329" s="5">
        <v>1328.0</v>
      </c>
      <c r="B1329" s="5" t="s">
        <v>1694</v>
      </c>
      <c r="C1329" s="5" t="s">
        <v>20</v>
      </c>
      <c r="K1329" s="5">
        <v>300.0</v>
      </c>
      <c r="N1329" s="9">
        <v>44628.0</v>
      </c>
    </row>
    <row r="1330">
      <c r="A1330" s="5">
        <v>1329.0</v>
      </c>
      <c r="B1330" s="5" t="s">
        <v>1695</v>
      </c>
      <c r="C1330" s="5" t="s">
        <v>20</v>
      </c>
      <c r="N1330" s="9">
        <v>44576.0</v>
      </c>
    </row>
    <row r="1331">
      <c r="A1331" s="5">
        <v>1330.0</v>
      </c>
      <c r="B1331" s="5" t="s">
        <v>1696</v>
      </c>
      <c r="C1331" s="5" t="s">
        <v>20</v>
      </c>
      <c r="K1331" s="5">
        <v>700.0</v>
      </c>
      <c r="N1331" s="9">
        <v>44559.0</v>
      </c>
    </row>
    <row r="1332">
      <c r="A1332" s="5">
        <v>1331.0</v>
      </c>
      <c r="B1332" s="5" t="s">
        <v>1697</v>
      </c>
      <c r="C1332" s="5" t="s">
        <v>20</v>
      </c>
      <c r="K1332" s="5">
        <v>150.0</v>
      </c>
      <c r="N1332" s="9">
        <v>45544.0</v>
      </c>
    </row>
    <row r="1333">
      <c r="A1333" s="5">
        <v>1332.0</v>
      </c>
      <c r="B1333" s="5" t="s">
        <v>1698</v>
      </c>
      <c r="C1333" s="5" t="s">
        <v>20</v>
      </c>
      <c r="K1333" s="5">
        <v>500.0</v>
      </c>
      <c r="N1333" s="9">
        <v>44654.0</v>
      </c>
    </row>
    <row r="1334">
      <c r="A1334" s="5">
        <v>1333.0</v>
      </c>
      <c r="B1334" s="5" t="s">
        <v>1699</v>
      </c>
      <c r="C1334" s="5" t="s">
        <v>20</v>
      </c>
      <c r="K1334" s="5">
        <v>500.0</v>
      </c>
      <c r="N1334" s="9">
        <v>43869.0</v>
      </c>
    </row>
    <row r="1335">
      <c r="A1335" s="5">
        <v>1334.0</v>
      </c>
      <c r="B1335" s="5" t="s">
        <v>1700</v>
      </c>
      <c r="C1335" s="5" t="s">
        <v>20</v>
      </c>
      <c r="N1335" s="9">
        <v>44531.0</v>
      </c>
    </row>
    <row r="1336">
      <c r="A1336" s="5">
        <v>1335.0</v>
      </c>
      <c r="B1336" s="5" t="s">
        <v>1701</v>
      </c>
      <c r="C1336" s="5" t="s">
        <v>20</v>
      </c>
      <c r="K1336" s="5">
        <v>30.0</v>
      </c>
      <c r="N1336" s="9">
        <v>45404.0</v>
      </c>
    </row>
    <row r="1337">
      <c r="A1337" s="5">
        <v>1336.0</v>
      </c>
      <c r="B1337" s="5" t="s">
        <v>1702</v>
      </c>
      <c r="C1337" s="5" t="s">
        <v>20</v>
      </c>
      <c r="K1337" s="5">
        <v>150.0</v>
      </c>
      <c r="N1337" s="9">
        <v>45248.0</v>
      </c>
    </row>
    <row r="1338">
      <c r="A1338" s="5">
        <v>1337.0</v>
      </c>
      <c r="B1338" s="5" t="s">
        <v>1703</v>
      </c>
      <c r="C1338" s="5" t="s">
        <v>20</v>
      </c>
      <c r="K1338" s="5">
        <v>40.0</v>
      </c>
      <c r="N1338" s="9">
        <v>44586.0</v>
      </c>
    </row>
    <row r="1339">
      <c r="A1339" s="5">
        <v>1338.0</v>
      </c>
      <c r="B1339" s="5" t="s">
        <v>1704</v>
      </c>
      <c r="C1339" s="5" t="s">
        <v>20</v>
      </c>
      <c r="K1339" s="5">
        <v>250.0</v>
      </c>
      <c r="N1339" s="9">
        <v>44785.0</v>
      </c>
    </row>
    <row r="1340">
      <c r="A1340" s="5">
        <v>1339.0</v>
      </c>
      <c r="B1340" s="5" t="s">
        <v>1705</v>
      </c>
      <c r="C1340" s="5" t="s">
        <v>20</v>
      </c>
      <c r="K1340" s="5">
        <v>25000.0</v>
      </c>
      <c r="N1340" s="9">
        <v>44919.0</v>
      </c>
    </row>
  </sheetData>
  <autoFilter ref="$A$1:$O$1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21</v>
      </c>
      <c r="C2" s="5" t="s">
        <v>20</v>
      </c>
      <c r="I2" s="7"/>
      <c r="K2" s="5">
        <v>20.0</v>
      </c>
      <c r="N2" s="9">
        <v>44925.0</v>
      </c>
    </row>
    <row r="3">
      <c r="A3" s="5">
        <v>2.0</v>
      </c>
      <c r="B3" s="5" t="s">
        <v>23</v>
      </c>
      <c r="C3" s="5" t="s">
        <v>20</v>
      </c>
      <c r="I3" s="7"/>
      <c r="K3" s="5">
        <v>20.0</v>
      </c>
      <c r="N3" s="9">
        <v>44548.0</v>
      </c>
    </row>
    <row r="4">
      <c r="A4" s="5">
        <v>3.0</v>
      </c>
      <c r="B4" s="5" t="s">
        <v>27</v>
      </c>
      <c r="C4" s="5" t="s">
        <v>20</v>
      </c>
      <c r="I4" s="7"/>
      <c r="K4" s="5">
        <v>20.0</v>
      </c>
      <c r="N4" s="9">
        <v>44954.0</v>
      </c>
    </row>
    <row r="5">
      <c r="A5" s="5">
        <v>4.0</v>
      </c>
      <c r="B5" s="5" t="s">
        <v>30</v>
      </c>
      <c r="C5" s="5" t="s">
        <v>20</v>
      </c>
      <c r="I5" s="7"/>
      <c r="K5" s="5">
        <v>60.0</v>
      </c>
      <c r="N5" s="9">
        <v>44526.0</v>
      </c>
    </row>
    <row r="6">
      <c r="A6" s="5">
        <v>5.0</v>
      </c>
      <c r="B6" s="5" t="s">
        <v>33</v>
      </c>
      <c r="C6" s="5" t="s">
        <v>20</v>
      </c>
      <c r="K6" s="5">
        <v>10.0</v>
      </c>
      <c r="N6" s="9">
        <v>44159.0</v>
      </c>
    </row>
    <row r="7">
      <c r="A7" s="5">
        <v>6.0</v>
      </c>
      <c r="B7" s="5" t="s">
        <v>35</v>
      </c>
      <c r="C7" s="5" t="s">
        <v>20</v>
      </c>
      <c r="I7" s="7"/>
      <c r="K7" s="5">
        <v>30.0</v>
      </c>
      <c r="N7" s="9">
        <v>44895.0</v>
      </c>
    </row>
    <row r="8">
      <c r="A8" s="5">
        <v>7.0</v>
      </c>
      <c r="B8" s="5" t="s">
        <v>38</v>
      </c>
      <c r="C8" s="5" t="s">
        <v>20</v>
      </c>
      <c r="I8" s="7"/>
      <c r="K8" s="5">
        <v>30.0</v>
      </c>
      <c r="N8" s="9">
        <v>44819.0</v>
      </c>
    </row>
    <row r="9">
      <c r="A9" s="5">
        <v>8.0</v>
      </c>
      <c r="B9" s="5" t="s">
        <v>41</v>
      </c>
      <c r="C9" s="5" t="s">
        <v>20</v>
      </c>
      <c r="I9" s="7"/>
      <c r="K9" s="5">
        <v>150.0</v>
      </c>
      <c r="N9" s="9">
        <v>43868.0</v>
      </c>
    </row>
    <row r="10">
      <c r="A10" s="5">
        <v>9.0</v>
      </c>
      <c r="B10" s="5" t="s">
        <v>44</v>
      </c>
      <c r="C10" s="5" t="s">
        <v>20</v>
      </c>
      <c r="I10" s="7"/>
      <c r="K10" s="5">
        <v>10.0</v>
      </c>
      <c r="N10" s="9">
        <v>44485.0</v>
      </c>
    </row>
    <row r="11">
      <c r="A11" s="5">
        <v>10.0</v>
      </c>
      <c r="B11" s="5" t="s">
        <v>46</v>
      </c>
      <c r="C11" s="5" t="s">
        <v>20</v>
      </c>
      <c r="I11" s="7"/>
      <c r="K11" s="5">
        <v>100.0</v>
      </c>
      <c r="N11" s="9">
        <v>44379.0</v>
      </c>
    </row>
    <row r="12">
      <c r="A12" s="5">
        <v>11.0</v>
      </c>
      <c r="B12" s="5" t="s">
        <v>48</v>
      </c>
      <c r="C12" s="5" t="s">
        <v>20</v>
      </c>
      <c r="I12" s="7"/>
      <c r="K12" s="5">
        <v>100.0</v>
      </c>
      <c r="N12" s="9">
        <v>44819.0</v>
      </c>
    </row>
    <row r="13">
      <c r="A13" s="5">
        <v>12.0</v>
      </c>
      <c r="B13" s="5" t="s">
        <v>50</v>
      </c>
      <c r="C13" s="5" t="s">
        <v>20</v>
      </c>
      <c r="I13" s="7"/>
      <c r="K13" s="5">
        <v>10.0</v>
      </c>
      <c r="N13" s="9">
        <v>44913.0</v>
      </c>
    </row>
    <row r="14">
      <c r="A14" s="5">
        <v>13.0</v>
      </c>
      <c r="B14" s="5" t="s">
        <v>53</v>
      </c>
      <c r="C14" s="5" t="s">
        <v>20</v>
      </c>
      <c r="I14" s="7"/>
      <c r="K14" s="5">
        <v>150.0</v>
      </c>
      <c r="N14" s="9">
        <v>44820.0</v>
      </c>
    </row>
    <row r="15">
      <c r="A15" s="5">
        <v>14.0</v>
      </c>
      <c r="B15" s="5" t="s">
        <v>57</v>
      </c>
      <c r="C15" s="5" t="s">
        <v>20</v>
      </c>
      <c r="I15" s="7"/>
      <c r="K15" s="5">
        <v>20.0</v>
      </c>
      <c r="N15" s="9">
        <v>44834.0</v>
      </c>
    </row>
    <row r="16">
      <c r="A16" s="5">
        <v>15.0</v>
      </c>
      <c r="B16" s="5" t="s">
        <v>59</v>
      </c>
      <c r="C16" s="5" t="s">
        <v>20</v>
      </c>
      <c r="I16" s="7"/>
      <c r="K16" s="5">
        <v>50.0</v>
      </c>
      <c r="N16" s="9">
        <v>44943.0</v>
      </c>
    </row>
    <row r="17">
      <c r="A17" s="5">
        <v>16.0</v>
      </c>
      <c r="B17" s="5" t="s">
        <v>62</v>
      </c>
      <c r="C17" s="5" t="s">
        <v>20</v>
      </c>
      <c r="I17" s="7"/>
      <c r="K17" s="5">
        <v>20.0</v>
      </c>
      <c r="N17" s="9">
        <v>44822.0</v>
      </c>
    </row>
    <row r="18">
      <c r="A18" s="5">
        <v>17.0</v>
      </c>
      <c r="B18" s="5" t="s">
        <v>64</v>
      </c>
      <c r="C18" s="5" t="s">
        <v>20</v>
      </c>
      <c r="I18" s="7"/>
      <c r="K18" s="5">
        <v>250.0</v>
      </c>
      <c r="N18" s="9">
        <v>44578.0</v>
      </c>
    </row>
    <row r="19">
      <c r="A19" s="5">
        <v>18.0</v>
      </c>
      <c r="B19" s="5" t="s">
        <v>66</v>
      </c>
      <c r="C19" s="5" t="s">
        <v>20</v>
      </c>
      <c r="I19" s="7"/>
      <c r="K19" s="5">
        <v>30.0</v>
      </c>
      <c r="N19" s="9">
        <v>45651.0</v>
      </c>
    </row>
    <row r="20">
      <c r="A20" s="5">
        <v>19.0</v>
      </c>
      <c r="B20" s="5" t="s">
        <v>67</v>
      </c>
      <c r="C20" s="5" t="s">
        <v>20</v>
      </c>
      <c r="I20" s="7"/>
      <c r="K20" s="5">
        <v>250.0</v>
      </c>
      <c r="N20" s="9">
        <v>44600.0</v>
      </c>
    </row>
    <row r="21">
      <c r="A21" s="5">
        <v>20.0</v>
      </c>
      <c r="B21" s="5" t="s">
        <v>70</v>
      </c>
      <c r="C21" s="5" t="s">
        <v>20</v>
      </c>
      <c r="I21" s="7"/>
      <c r="K21" s="5">
        <v>50.0</v>
      </c>
      <c r="N21" s="9">
        <v>44577.0</v>
      </c>
    </row>
    <row r="22">
      <c r="A22" s="5">
        <v>21.0</v>
      </c>
      <c r="B22" s="5" t="s">
        <v>72</v>
      </c>
      <c r="C22" s="5" t="s">
        <v>20</v>
      </c>
      <c r="I22" s="7"/>
      <c r="K22" s="5">
        <v>60.0</v>
      </c>
      <c r="N22" s="9">
        <v>44608.0</v>
      </c>
    </row>
    <row r="23">
      <c r="A23" s="5">
        <v>22.0</v>
      </c>
      <c r="B23" s="5" t="s">
        <v>75</v>
      </c>
      <c r="C23" s="5" t="s">
        <v>20</v>
      </c>
      <c r="I23" s="7"/>
      <c r="K23" s="5">
        <v>80.0</v>
      </c>
      <c r="N23" s="9">
        <v>45384.0</v>
      </c>
    </row>
    <row r="24">
      <c r="A24" s="5">
        <v>23.0</v>
      </c>
      <c r="B24" s="5" t="s">
        <v>78</v>
      </c>
      <c r="C24" s="5" t="s">
        <v>20</v>
      </c>
      <c r="I24" s="7"/>
      <c r="K24" s="5">
        <v>20.0</v>
      </c>
      <c r="N24" s="9">
        <v>43845.0</v>
      </c>
    </row>
    <row r="25">
      <c r="A25" s="5">
        <v>24.0</v>
      </c>
      <c r="B25" s="5" t="s">
        <v>81</v>
      </c>
      <c r="C25" s="5" t="s">
        <v>20</v>
      </c>
      <c r="K25" s="5">
        <v>20.0</v>
      </c>
      <c r="N25" s="9">
        <v>44842.0</v>
      </c>
    </row>
    <row r="26">
      <c r="A26" s="5">
        <v>25.0</v>
      </c>
      <c r="B26" s="5" t="s">
        <v>84</v>
      </c>
      <c r="C26" s="5" t="s">
        <v>20</v>
      </c>
      <c r="I26" s="7"/>
      <c r="K26" s="5">
        <v>40.0</v>
      </c>
      <c r="N26" s="9">
        <v>45369.0</v>
      </c>
    </row>
    <row r="27">
      <c r="A27" s="5">
        <v>26.0</v>
      </c>
      <c r="B27" s="5" t="s">
        <v>87</v>
      </c>
      <c r="C27" s="5" t="s">
        <v>20</v>
      </c>
      <c r="I27" s="7"/>
      <c r="K27" s="5">
        <v>10.0</v>
      </c>
      <c r="N27" s="9">
        <v>44756.0</v>
      </c>
    </row>
    <row r="28">
      <c r="A28" s="5">
        <v>27.0</v>
      </c>
      <c r="B28" s="5" t="s">
        <v>91</v>
      </c>
      <c r="C28" s="5" t="s">
        <v>20</v>
      </c>
      <c r="I28" s="7"/>
      <c r="K28" s="5">
        <v>400.0</v>
      </c>
      <c r="N28" s="9">
        <v>44578.0</v>
      </c>
    </row>
    <row r="29">
      <c r="A29" s="5">
        <v>28.0</v>
      </c>
      <c r="B29" s="5" t="s">
        <v>94</v>
      </c>
      <c r="C29" s="5" t="s">
        <v>20</v>
      </c>
      <c r="I29" s="7"/>
      <c r="K29" s="5">
        <v>100.0</v>
      </c>
      <c r="N29" s="9">
        <v>44816.0</v>
      </c>
    </row>
    <row r="30">
      <c r="A30" s="5">
        <v>29.0</v>
      </c>
      <c r="B30" s="5" t="s">
        <v>98</v>
      </c>
      <c r="C30" s="5" t="s">
        <v>20</v>
      </c>
      <c r="I30" s="7"/>
      <c r="K30" s="5">
        <v>150.0</v>
      </c>
      <c r="N30" s="9">
        <v>44601.0</v>
      </c>
    </row>
    <row r="31">
      <c r="A31" s="5">
        <v>30.0</v>
      </c>
      <c r="B31" s="5" t="s">
        <v>102</v>
      </c>
      <c r="C31" s="5" t="s">
        <v>20</v>
      </c>
      <c r="I31" s="7"/>
      <c r="K31" s="5">
        <v>90.0</v>
      </c>
      <c r="N31" s="9">
        <v>44610.0</v>
      </c>
    </row>
    <row r="32">
      <c r="A32" s="5">
        <v>31.0</v>
      </c>
      <c r="B32" s="5" t="s">
        <v>107</v>
      </c>
      <c r="C32" s="5" t="s">
        <v>20</v>
      </c>
      <c r="I32" s="7"/>
      <c r="N32" s="9">
        <v>44536.0</v>
      </c>
    </row>
    <row r="33">
      <c r="A33" s="5">
        <v>32.0</v>
      </c>
      <c r="B33" s="5" t="s">
        <v>112</v>
      </c>
      <c r="C33" s="5" t="s">
        <v>20</v>
      </c>
      <c r="I33" s="7"/>
      <c r="K33" s="5">
        <v>70.0</v>
      </c>
      <c r="N33" s="9">
        <v>45127.0</v>
      </c>
    </row>
    <row r="34">
      <c r="A34" s="5">
        <v>33.0</v>
      </c>
      <c r="B34" s="5" t="s">
        <v>116</v>
      </c>
      <c r="C34" s="5" t="s">
        <v>20</v>
      </c>
      <c r="K34" s="5">
        <v>400.0</v>
      </c>
      <c r="N34" s="9">
        <v>44471.0</v>
      </c>
    </row>
    <row r="35">
      <c r="A35" s="5">
        <v>34.0</v>
      </c>
      <c r="B35" s="5" t="s">
        <v>120</v>
      </c>
      <c r="C35" s="5" t="s">
        <v>20</v>
      </c>
      <c r="I35" s="7"/>
      <c r="K35" s="5">
        <v>150.0</v>
      </c>
      <c r="N35" s="9">
        <v>44073.0</v>
      </c>
    </row>
    <row r="36">
      <c r="A36" s="5">
        <v>35.0</v>
      </c>
      <c r="B36" s="5" t="s">
        <v>124</v>
      </c>
      <c r="C36" s="5" t="s">
        <v>20</v>
      </c>
      <c r="I36" s="7"/>
      <c r="K36" s="5">
        <v>200.0</v>
      </c>
      <c r="N36" s="9">
        <v>43854.0</v>
      </c>
    </row>
    <row r="37">
      <c r="A37" s="5">
        <v>36.0</v>
      </c>
      <c r="B37" s="5" t="s">
        <v>129</v>
      </c>
      <c r="C37" s="5" t="s">
        <v>20</v>
      </c>
      <c r="I37" s="7"/>
      <c r="K37" s="5">
        <v>600.0</v>
      </c>
      <c r="N37" s="9">
        <v>44537.0</v>
      </c>
    </row>
    <row r="38">
      <c r="A38" s="5">
        <v>37.0</v>
      </c>
      <c r="B38" s="5" t="s">
        <v>134</v>
      </c>
      <c r="C38" s="5" t="s">
        <v>20</v>
      </c>
      <c r="I38" s="7"/>
      <c r="K38" s="5">
        <v>30.0</v>
      </c>
      <c r="N38" s="9">
        <v>44965.0</v>
      </c>
    </row>
    <row r="39">
      <c r="A39" s="5">
        <v>38.0</v>
      </c>
      <c r="B39" s="5" t="s">
        <v>140</v>
      </c>
      <c r="C39" s="5" t="s">
        <v>20</v>
      </c>
      <c r="K39" s="5">
        <v>30.0</v>
      </c>
      <c r="N39" s="9">
        <v>44256.0</v>
      </c>
    </row>
    <row r="40">
      <c r="A40" s="5">
        <v>39.0</v>
      </c>
      <c r="B40" s="5" t="s">
        <v>144</v>
      </c>
      <c r="C40" s="5" t="s">
        <v>20</v>
      </c>
      <c r="I40" s="7"/>
      <c r="N40" s="9">
        <v>44835.0</v>
      </c>
    </row>
    <row r="41">
      <c r="A41" s="5">
        <v>40.0</v>
      </c>
      <c r="B41" s="5" t="s">
        <v>150</v>
      </c>
      <c r="C41" s="5" t="s">
        <v>20</v>
      </c>
      <c r="I41" s="7"/>
      <c r="K41" s="5">
        <v>60.0</v>
      </c>
      <c r="N41" s="9">
        <v>45579.0</v>
      </c>
    </row>
    <row r="42">
      <c r="A42" s="5">
        <v>41.0</v>
      </c>
      <c r="B42" s="5" t="s">
        <v>155</v>
      </c>
      <c r="C42" s="5" t="s">
        <v>20</v>
      </c>
      <c r="I42" s="7"/>
      <c r="K42" s="5">
        <v>250.0</v>
      </c>
      <c r="N42" s="9">
        <v>44601.0</v>
      </c>
    </row>
    <row r="43">
      <c r="A43" s="5">
        <v>42.0</v>
      </c>
      <c r="B43" s="5" t="s">
        <v>159</v>
      </c>
      <c r="C43" s="5" t="s">
        <v>20</v>
      </c>
      <c r="K43" s="5">
        <v>90.0</v>
      </c>
      <c r="N43" s="9">
        <v>44548.0</v>
      </c>
    </row>
    <row r="44">
      <c r="A44" s="5">
        <v>43.0</v>
      </c>
      <c r="B44" s="5" t="s">
        <v>163</v>
      </c>
      <c r="C44" s="5" t="s">
        <v>20</v>
      </c>
      <c r="I44" s="7"/>
      <c r="K44" s="5">
        <v>250.0</v>
      </c>
      <c r="N44" s="9">
        <v>44202.0</v>
      </c>
    </row>
    <row r="45">
      <c r="A45" s="5">
        <v>44.0</v>
      </c>
      <c r="B45" s="5" t="s">
        <v>169</v>
      </c>
      <c r="C45" s="5" t="s">
        <v>20</v>
      </c>
      <c r="I45" s="7"/>
      <c r="K45" s="5">
        <v>100.0</v>
      </c>
      <c r="N45" s="9">
        <v>44666.0</v>
      </c>
    </row>
    <row r="46">
      <c r="A46" s="5">
        <v>45.0</v>
      </c>
      <c r="B46" s="5" t="s">
        <v>173</v>
      </c>
      <c r="C46" s="5" t="s">
        <v>20</v>
      </c>
      <c r="I46" s="7"/>
      <c r="K46" s="5">
        <v>20.0</v>
      </c>
      <c r="N46" s="9">
        <v>44472.0</v>
      </c>
    </row>
    <row r="47">
      <c r="A47" s="5">
        <v>46.0</v>
      </c>
      <c r="B47" s="5" t="s">
        <v>177</v>
      </c>
      <c r="C47" s="5" t="s">
        <v>20</v>
      </c>
      <c r="I47" s="7"/>
      <c r="K47" s="5">
        <v>10.0</v>
      </c>
      <c r="N47" s="9">
        <v>44685.0</v>
      </c>
    </row>
    <row r="48">
      <c r="A48" s="5">
        <v>47.0</v>
      </c>
      <c r="B48" s="5" t="s">
        <v>182</v>
      </c>
      <c r="C48" s="5" t="s">
        <v>20</v>
      </c>
      <c r="I48" s="7"/>
      <c r="N48" s="9">
        <v>44829.0</v>
      </c>
    </row>
    <row r="49">
      <c r="A49" s="5">
        <v>48.0</v>
      </c>
      <c r="B49" s="5" t="s">
        <v>186</v>
      </c>
      <c r="C49" s="5" t="s">
        <v>20</v>
      </c>
      <c r="K49" s="5">
        <v>150.0</v>
      </c>
      <c r="N49" s="9">
        <v>45278.0</v>
      </c>
    </row>
    <row r="50">
      <c r="A50" s="5">
        <v>49.0</v>
      </c>
      <c r="B50" s="5" t="s">
        <v>190</v>
      </c>
      <c r="C50" s="5" t="s">
        <v>20</v>
      </c>
      <c r="I50" s="7"/>
      <c r="K50" s="5">
        <v>100.0</v>
      </c>
      <c r="N50" s="9">
        <v>44253.0</v>
      </c>
    </row>
    <row r="51">
      <c r="A51" s="5">
        <v>50.0</v>
      </c>
      <c r="B51" s="5" t="s">
        <v>194</v>
      </c>
      <c r="C51" s="5" t="s">
        <v>20</v>
      </c>
      <c r="I51" s="7"/>
      <c r="K51" s="5">
        <v>250.0</v>
      </c>
      <c r="N51" s="9">
        <v>44344.0</v>
      </c>
    </row>
    <row r="52">
      <c r="A52" s="5">
        <v>51.0</v>
      </c>
      <c r="B52" s="5" t="s">
        <v>198</v>
      </c>
      <c r="C52" s="5" t="s">
        <v>20</v>
      </c>
      <c r="I52" s="7"/>
      <c r="K52" s="5">
        <v>10.0</v>
      </c>
      <c r="N52" s="9">
        <v>44472.0</v>
      </c>
    </row>
    <row r="53">
      <c r="N53" s="9"/>
    </row>
    <row r="54">
      <c r="N54" s="9"/>
    </row>
    <row r="55">
      <c r="N55" s="9"/>
    </row>
    <row r="56">
      <c r="N56" s="9"/>
    </row>
    <row r="57">
      <c r="N57" s="9"/>
    </row>
    <row r="58">
      <c r="N58" s="9"/>
    </row>
    <row r="59">
      <c r="I59" s="7"/>
      <c r="N59" s="9"/>
    </row>
    <row r="60">
      <c r="N60" s="9"/>
    </row>
    <row r="61">
      <c r="I61" s="7"/>
      <c r="N61" s="9"/>
    </row>
    <row r="62">
      <c r="I62" s="7"/>
      <c r="N62" s="9"/>
    </row>
    <row r="63">
      <c r="N63" s="9"/>
    </row>
    <row r="64">
      <c r="N64" s="9"/>
    </row>
    <row r="65">
      <c r="I65" s="7"/>
      <c r="N65" s="9"/>
    </row>
    <row r="66">
      <c r="I66" s="7"/>
      <c r="N66" s="9"/>
    </row>
    <row r="67">
      <c r="N67" s="9"/>
    </row>
    <row r="68">
      <c r="N68" s="9"/>
    </row>
    <row r="69">
      <c r="N69" s="9"/>
    </row>
    <row r="70">
      <c r="N70" s="9"/>
    </row>
    <row r="71">
      <c r="N71" s="9"/>
    </row>
    <row r="72">
      <c r="N72" s="9"/>
    </row>
    <row r="73">
      <c r="I73" s="7"/>
      <c r="N73" s="9"/>
    </row>
    <row r="74">
      <c r="I74" s="7"/>
      <c r="N74" s="9"/>
    </row>
    <row r="75">
      <c r="I75" s="7"/>
      <c r="N75" s="9"/>
    </row>
    <row r="76">
      <c r="N76" s="9"/>
    </row>
    <row r="77">
      <c r="N77" s="9"/>
    </row>
    <row r="78">
      <c r="I78" s="7"/>
      <c r="N78" s="9"/>
    </row>
    <row r="79">
      <c r="N79" s="9"/>
    </row>
    <row r="80">
      <c r="I80" s="7"/>
      <c r="N80" s="9"/>
    </row>
    <row r="81">
      <c r="I81" s="7"/>
      <c r="N81" s="9"/>
    </row>
    <row r="82">
      <c r="N82" s="9"/>
    </row>
    <row r="83">
      <c r="I83" s="7"/>
      <c r="N83" s="9"/>
    </row>
    <row r="84">
      <c r="N84" s="9"/>
    </row>
    <row r="85">
      <c r="N85" s="9"/>
    </row>
    <row r="86">
      <c r="N86" s="9"/>
    </row>
    <row r="87">
      <c r="N87" s="9"/>
    </row>
    <row r="88">
      <c r="I88" s="7"/>
      <c r="N88" s="9"/>
    </row>
    <row r="89">
      <c r="N89" s="9"/>
    </row>
    <row r="90">
      <c r="I90" s="7"/>
      <c r="N90" s="9"/>
    </row>
    <row r="91">
      <c r="N91" s="9"/>
    </row>
    <row r="92">
      <c r="N92" s="9"/>
    </row>
    <row r="93">
      <c r="I93" s="7"/>
      <c r="N93" s="9"/>
    </row>
    <row r="94">
      <c r="I94" s="7"/>
      <c r="N94" s="9"/>
    </row>
    <row r="95">
      <c r="N95" s="9"/>
    </row>
    <row r="96">
      <c r="I96" s="7"/>
      <c r="N96" s="9"/>
    </row>
    <row r="97">
      <c r="N97" s="9"/>
    </row>
    <row r="98">
      <c r="I98" s="7"/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I103" s="7"/>
      <c r="N103" s="9"/>
    </row>
    <row r="104">
      <c r="N104" s="9"/>
    </row>
    <row r="105">
      <c r="N105" s="9"/>
    </row>
    <row r="106">
      <c r="N106" s="9"/>
    </row>
    <row r="107">
      <c r="N107" s="9"/>
    </row>
    <row r="108">
      <c r="N108" s="9"/>
    </row>
    <row r="109">
      <c r="N109" s="9"/>
    </row>
    <row r="110">
      <c r="N110" s="9"/>
    </row>
    <row r="111">
      <c r="I111" s="7"/>
      <c r="N111" s="9"/>
    </row>
    <row r="112">
      <c r="N112" s="9"/>
    </row>
    <row r="113">
      <c r="I113" s="7"/>
      <c r="N113" s="9"/>
    </row>
    <row r="114">
      <c r="N114" s="9"/>
    </row>
    <row r="115">
      <c r="I115" s="7"/>
      <c r="N115" s="9"/>
    </row>
    <row r="116">
      <c r="I116" s="7"/>
      <c r="N116" s="9"/>
    </row>
    <row r="117">
      <c r="I117" s="7"/>
      <c r="N117" s="9"/>
    </row>
    <row r="118">
      <c r="N118" s="9"/>
    </row>
    <row r="119">
      <c r="N119" s="9"/>
    </row>
    <row r="120">
      <c r="N120" s="9"/>
    </row>
    <row r="121">
      <c r="N121" s="9"/>
    </row>
    <row r="122">
      <c r="N122" s="9"/>
    </row>
    <row r="123">
      <c r="N123" s="9"/>
    </row>
    <row r="124">
      <c r="N124" s="9"/>
    </row>
    <row r="125">
      <c r="N125" s="9"/>
    </row>
    <row r="126">
      <c r="N126" s="9"/>
    </row>
    <row r="127">
      <c r="N127" s="9"/>
    </row>
    <row r="128">
      <c r="N128" s="9"/>
    </row>
    <row r="129">
      <c r="N129" s="9"/>
    </row>
    <row r="130">
      <c r="N130" s="9"/>
    </row>
    <row r="131">
      <c r="N131" s="9"/>
    </row>
    <row r="132">
      <c r="N132" s="9"/>
    </row>
    <row r="133">
      <c r="N133" s="9"/>
    </row>
    <row r="134">
      <c r="N134" s="9"/>
    </row>
    <row r="135">
      <c r="I135" s="7"/>
      <c r="N135" s="9"/>
    </row>
    <row r="136">
      <c r="N136" s="9"/>
    </row>
    <row r="137">
      <c r="N137" s="9"/>
    </row>
    <row r="138">
      <c r="N138" s="9"/>
    </row>
    <row r="139">
      <c r="N139" s="9"/>
    </row>
    <row r="140">
      <c r="N140" s="9"/>
    </row>
    <row r="141">
      <c r="N141" s="9"/>
    </row>
    <row r="142">
      <c r="N142" s="9"/>
    </row>
    <row r="143">
      <c r="N143" s="9"/>
    </row>
    <row r="144">
      <c r="N144" s="9"/>
    </row>
    <row r="145">
      <c r="N145" s="9"/>
    </row>
    <row r="146">
      <c r="N146" s="9"/>
    </row>
    <row r="147">
      <c r="N147" s="9"/>
    </row>
    <row r="148">
      <c r="N148" s="9"/>
    </row>
    <row r="149">
      <c r="N149" s="9"/>
    </row>
    <row r="150">
      <c r="N150" s="9"/>
    </row>
    <row r="151">
      <c r="N151" s="9"/>
    </row>
    <row r="152">
      <c r="N152" s="9"/>
    </row>
    <row r="153">
      <c r="N153" s="9"/>
    </row>
    <row r="154">
      <c r="N154" s="9"/>
    </row>
    <row r="155">
      <c r="N155" s="9"/>
    </row>
    <row r="156">
      <c r="N156" s="9"/>
    </row>
    <row r="157">
      <c r="N157" s="9"/>
    </row>
    <row r="158">
      <c r="N158" s="9"/>
    </row>
    <row r="159">
      <c r="N159" s="9"/>
    </row>
    <row r="160">
      <c r="N160" s="9"/>
    </row>
    <row r="161">
      <c r="N161" s="9"/>
    </row>
    <row r="162">
      <c r="N162" s="9"/>
    </row>
    <row r="163">
      <c r="N163" s="9"/>
    </row>
    <row r="164">
      <c r="N164" s="9"/>
    </row>
    <row r="165">
      <c r="N165" s="9"/>
    </row>
    <row r="166">
      <c r="N166" s="9"/>
    </row>
    <row r="167">
      <c r="N167" s="9"/>
    </row>
    <row r="168">
      <c r="N168" s="9"/>
    </row>
    <row r="169">
      <c r="N169" s="9"/>
    </row>
    <row r="170">
      <c r="N170" s="9"/>
    </row>
    <row r="171">
      <c r="N171" s="9"/>
    </row>
    <row r="172">
      <c r="N172" s="9"/>
    </row>
    <row r="173">
      <c r="N173" s="9"/>
    </row>
    <row r="174">
      <c r="N174" s="9"/>
    </row>
    <row r="175">
      <c r="N175" s="9"/>
    </row>
    <row r="176">
      <c r="N176" s="9"/>
    </row>
    <row r="177">
      <c r="N177" s="9"/>
    </row>
    <row r="178">
      <c r="N178" s="9"/>
    </row>
    <row r="179">
      <c r="N179" s="9"/>
    </row>
    <row r="180">
      <c r="N180" s="9"/>
    </row>
    <row r="181">
      <c r="N181" s="9"/>
    </row>
    <row r="182">
      <c r="N182" s="9"/>
    </row>
    <row r="183">
      <c r="N183" s="9"/>
    </row>
    <row r="184">
      <c r="N184" s="9"/>
    </row>
    <row r="185">
      <c r="N185" s="9"/>
    </row>
    <row r="186">
      <c r="N186" s="9"/>
    </row>
    <row r="187">
      <c r="N187" s="9"/>
    </row>
    <row r="188">
      <c r="N188" s="9"/>
    </row>
    <row r="189">
      <c r="N189" s="9"/>
    </row>
    <row r="190">
      <c r="N190" s="9"/>
    </row>
    <row r="191">
      <c r="N191" s="9"/>
    </row>
    <row r="192">
      <c r="N192" s="9"/>
    </row>
    <row r="193">
      <c r="N193" s="9"/>
    </row>
    <row r="194">
      <c r="N194" s="9"/>
    </row>
    <row r="195">
      <c r="N195" s="9"/>
    </row>
    <row r="196">
      <c r="N196" s="9"/>
    </row>
    <row r="197">
      <c r="N197" s="9"/>
    </row>
    <row r="198">
      <c r="N198" s="9"/>
    </row>
    <row r="199"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I255" s="7"/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22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5" t="s">
        <v>669</v>
      </c>
      <c r="I2" s="7"/>
      <c r="N2" s="9"/>
    </row>
    <row r="3">
      <c r="I3" s="7"/>
      <c r="N3" s="9"/>
    </row>
    <row r="4">
      <c r="I4" s="7"/>
      <c r="N4" s="9"/>
    </row>
    <row r="5">
      <c r="I5" s="7"/>
      <c r="N5" s="9"/>
    </row>
    <row r="6">
      <c r="I6" s="7"/>
      <c r="N6" s="9"/>
    </row>
    <row r="7">
      <c r="I7" s="7"/>
      <c r="N7" s="9"/>
    </row>
    <row r="8">
      <c r="I8" s="7"/>
      <c r="N8" s="9"/>
    </row>
    <row r="9">
      <c r="I9" s="7"/>
      <c r="N9" s="9"/>
    </row>
    <row r="10">
      <c r="I10" s="7"/>
      <c r="N10" s="9"/>
    </row>
    <row r="11">
      <c r="I11" s="7"/>
      <c r="N11" s="9"/>
    </row>
    <row r="12">
      <c r="I12" s="7"/>
      <c r="N12" s="9"/>
    </row>
    <row r="13">
      <c r="I13" s="7"/>
      <c r="N13" s="9"/>
    </row>
    <row r="14">
      <c r="I14" s="7"/>
      <c r="N14" s="9"/>
    </row>
    <row r="15">
      <c r="I15" s="7"/>
      <c r="N15" s="9"/>
    </row>
    <row r="16">
      <c r="I16" s="7"/>
      <c r="N16" s="9"/>
    </row>
    <row r="17">
      <c r="I17" s="7"/>
      <c r="N17" s="9"/>
    </row>
    <row r="18">
      <c r="I18" s="7"/>
      <c r="N18" s="9"/>
    </row>
    <row r="19">
      <c r="I19" s="7"/>
      <c r="N19" s="9"/>
    </row>
    <row r="20">
      <c r="I20" s="7"/>
      <c r="N20" s="9"/>
    </row>
    <row r="21">
      <c r="I21" s="7"/>
      <c r="N21" s="9"/>
    </row>
    <row r="22">
      <c r="I22" s="7"/>
      <c r="N22" s="9"/>
    </row>
    <row r="23">
      <c r="I23" s="7"/>
      <c r="N23" s="9"/>
    </row>
    <row r="24">
      <c r="I24" s="7"/>
      <c r="N24" s="9"/>
    </row>
    <row r="25">
      <c r="I25" s="7"/>
      <c r="N25" s="9"/>
    </row>
    <row r="26">
      <c r="I26" s="7"/>
      <c r="N26" s="9"/>
    </row>
    <row r="27">
      <c r="I27" s="7"/>
      <c r="N27" s="9"/>
    </row>
    <row r="28">
      <c r="I28" s="7"/>
      <c r="N28" s="9"/>
    </row>
    <row r="29">
      <c r="I29" s="7"/>
      <c r="N29" s="9"/>
    </row>
    <row r="30">
      <c r="I30" s="7"/>
      <c r="N30" s="9"/>
    </row>
    <row r="31">
      <c r="I31" s="7"/>
      <c r="N31" s="9"/>
    </row>
    <row r="32">
      <c r="I32" s="7"/>
      <c r="N32" s="9"/>
    </row>
    <row r="33">
      <c r="I33" s="7"/>
      <c r="N33" s="9"/>
    </row>
    <row r="34">
      <c r="I34" s="7"/>
      <c r="N34" s="9"/>
    </row>
    <row r="35">
      <c r="I35" s="7"/>
      <c r="N35" s="9"/>
    </row>
    <row r="36">
      <c r="I36" s="7"/>
      <c r="N36" s="9"/>
    </row>
    <row r="37">
      <c r="I37" s="7"/>
      <c r="N37" s="9"/>
    </row>
    <row r="38">
      <c r="I38" s="7"/>
      <c r="N38" s="9"/>
    </row>
    <row r="39">
      <c r="I39" s="7"/>
      <c r="N39" s="9"/>
    </row>
    <row r="40">
      <c r="I40" s="7"/>
      <c r="N40" s="9"/>
    </row>
    <row r="41">
      <c r="I41" s="7"/>
      <c r="N41" s="9"/>
    </row>
    <row r="42">
      <c r="I42" s="7"/>
      <c r="N42" s="9"/>
    </row>
    <row r="43">
      <c r="I43" s="7"/>
      <c r="N43" s="9"/>
    </row>
    <row r="44">
      <c r="I44" s="7"/>
      <c r="N44" s="9"/>
    </row>
    <row r="45">
      <c r="I45" s="7"/>
      <c r="N45" s="9"/>
    </row>
    <row r="46">
      <c r="I46" s="7"/>
      <c r="N46" s="9"/>
    </row>
    <row r="47">
      <c r="I47" s="7"/>
      <c r="N47" s="9"/>
    </row>
    <row r="48">
      <c r="I48" s="7"/>
      <c r="N48" s="9"/>
    </row>
    <row r="49">
      <c r="I49" s="7"/>
      <c r="N49" s="9"/>
    </row>
    <row r="50">
      <c r="I50" s="7"/>
      <c r="N50" s="9"/>
    </row>
    <row r="51">
      <c r="I51" s="7"/>
      <c r="N51" s="9"/>
    </row>
    <row r="52">
      <c r="I52" s="7"/>
      <c r="N52" s="9"/>
    </row>
    <row r="53">
      <c r="I53" s="7"/>
      <c r="N53" s="9"/>
    </row>
    <row r="54">
      <c r="I54" s="7"/>
      <c r="N54" s="9"/>
    </row>
    <row r="55">
      <c r="I55" s="7"/>
      <c r="N55" s="9"/>
    </row>
    <row r="56">
      <c r="I56" s="7"/>
      <c r="N56" s="9"/>
    </row>
    <row r="57">
      <c r="I57" s="7"/>
      <c r="N57" s="9"/>
    </row>
    <row r="58">
      <c r="I58" s="7"/>
      <c r="N58" s="9"/>
    </row>
    <row r="59">
      <c r="I59" s="7"/>
      <c r="N59" s="9"/>
    </row>
    <row r="60">
      <c r="I60" s="7"/>
      <c r="N60" s="9"/>
    </row>
    <row r="61">
      <c r="I61" s="7"/>
      <c r="N61" s="9"/>
    </row>
    <row r="62">
      <c r="I62" s="7"/>
      <c r="N62" s="9"/>
    </row>
    <row r="63">
      <c r="I63" s="7"/>
      <c r="N63" s="9"/>
    </row>
    <row r="64">
      <c r="I64" s="7"/>
      <c r="N64" s="9"/>
    </row>
    <row r="65">
      <c r="I65" s="7"/>
      <c r="N65" s="9"/>
    </row>
    <row r="66">
      <c r="I66" s="7"/>
      <c r="N66" s="9"/>
    </row>
    <row r="67">
      <c r="I67" s="7"/>
      <c r="N67" s="9"/>
    </row>
    <row r="68">
      <c r="I68" s="7"/>
      <c r="N68" s="9"/>
    </row>
    <row r="69">
      <c r="I69" s="7"/>
      <c r="N69" s="9"/>
    </row>
    <row r="70">
      <c r="I70" s="7"/>
      <c r="N70" s="9"/>
    </row>
    <row r="71">
      <c r="I71" s="7"/>
      <c r="N71" s="9"/>
    </row>
    <row r="72">
      <c r="I72" s="7"/>
      <c r="N72" s="9"/>
    </row>
    <row r="73">
      <c r="I73" s="7"/>
      <c r="N73" s="9"/>
    </row>
    <row r="74">
      <c r="I74" s="7"/>
      <c r="N74" s="9"/>
    </row>
    <row r="75">
      <c r="I75" s="7"/>
      <c r="N75" s="9"/>
    </row>
    <row r="76">
      <c r="N76" s="9"/>
    </row>
    <row r="77">
      <c r="N77" s="9"/>
    </row>
    <row r="78">
      <c r="N78" s="9"/>
    </row>
    <row r="79">
      <c r="N79" s="9"/>
    </row>
    <row r="80">
      <c r="N80" s="9"/>
    </row>
    <row r="81">
      <c r="N81" s="9"/>
    </row>
    <row r="82">
      <c r="I82" s="7"/>
      <c r="N82" s="9"/>
    </row>
    <row r="83">
      <c r="I83" s="7"/>
      <c r="N83" s="9"/>
    </row>
    <row r="84">
      <c r="I84" s="7"/>
      <c r="N84" s="9"/>
    </row>
    <row r="85">
      <c r="N85" s="9"/>
    </row>
    <row r="86">
      <c r="N86" s="9"/>
    </row>
    <row r="87">
      <c r="N87" s="9"/>
    </row>
    <row r="88">
      <c r="N88" s="9"/>
    </row>
    <row r="89">
      <c r="N89" s="9"/>
    </row>
    <row r="90">
      <c r="I90" s="7"/>
      <c r="N90" s="9"/>
    </row>
    <row r="91">
      <c r="N91" s="9"/>
    </row>
    <row r="92">
      <c r="N92" s="9"/>
    </row>
    <row r="93">
      <c r="N93" s="9"/>
    </row>
    <row r="94">
      <c r="N94" s="9"/>
    </row>
    <row r="95">
      <c r="N95" s="9"/>
    </row>
    <row r="96">
      <c r="N96" s="9"/>
    </row>
    <row r="97">
      <c r="N97" s="9"/>
    </row>
    <row r="98"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N103" s="9"/>
    </row>
    <row r="104">
      <c r="N104" s="9"/>
    </row>
    <row r="105">
      <c r="N105" s="9"/>
    </row>
    <row r="106">
      <c r="N106" s="9"/>
    </row>
    <row r="107">
      <c r="N107" s="9"/>
    </row>
    <row r="108">
      <c r="N108" s="9"/>
    </row>
  </sheetData>
  <drawing r:id="rId1"/>
</worksheet>
</file>