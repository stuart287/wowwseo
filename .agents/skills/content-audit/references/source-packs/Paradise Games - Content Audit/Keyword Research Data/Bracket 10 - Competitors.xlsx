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  <sheet state="visible" name="{keyword} - SERP" sheetId="6" r:id="rId10"/>
    <sheet state="visible" name="{keyword 2 - SERP}" sheetId="7" r:id="rId11"/>
  </sheets>
  <definedNames>
    <definedName hidden="1" localSheetId="2" name="_xlnm._FilterDatabase">matching!$A$1:$O$104</definedName>
  </definedNames>
  <calcPr/>
</workbook>
</file>

<file path=xl/sharedStrings.xml><?xml version="1.0" encoding="utf-8"?>
<sst xmlns="http://schemas.openxmlformats.org/spreadsheetml/2006/main" count="10515" uniqueCount="3086">
  <si>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</si>
  <si>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</si>
  <si>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</si>
  <si>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</si>
  <si>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</si>
  <si>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</si>
  <si>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</si>
  <si>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</si>
  <si>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</si>
  <si>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</si>
  <si>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</si>
  <si>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</si>
  <si>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</si>
  <si>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</si>
  <si>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</si>
  <si>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</si>
  <si>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(05-2024 - 04-2026)</t>
  </si>
  <si>
    <t>SV Forecasting trend (05-2026 - 05-2027)</t>
  </si>
  <si>
    <t>Category</t>
  </si>
  <si>
    <t>island luck</t>
  </si>
  <si>
    <t>bs</t>
  </si>
  <si>
    <t>what time island luck close</t>
  </si>
  <si>
    <t>Sitelinks,Video preview</t>
  </si>
  <si>
    <t>who owns island luck</t>
  </si>
  <si>
    <t>Informational,Branded,Non-local</t>
  </si>
  <si>
    <t>English</t>
  </si>
  <si>
    <t>160714, 177862, 171505, 185714, 158268, 159536, 139864, 154355, 125618, 133033, 152471, 137629, 148816, 127680, 143139, 159114, 162147, 147401, 118019, 125924, 99497, 102484, 129085, 129767</t>
  </si>
  <si>
    <t>what time does island luck close</t>
  </si>
  <si>
    <t>131750, 129278, 135576, 139268, 134368, 133228, 130161, 141387, 127320, 124520, 122517, 123136, 124990</t>
  </si>
  <si>
    <t>Lottery; Sports betting</t>
  </si>
  <si>
    <t>island luck winning numbers</t>
  </si>
  <si>
    <t>when was island luck established</t>
  </si>
  <si>
    <t>what are the chances of dying</t>
  </si>
  <si>
    <t>Sitelinks,Video preview,People also ask</t>
  </si>
  <si>
    <t>what are the chances of having triplets</t>
  </si>
  <si>
    <t>what are the chances of getting aids</t>
  </si>
  <si>
    <t>25883, 25157, 25167, 20946, 21623, 20237, 19445, 20303, 18332, 19799, 19936, 17579, 19638, 15731, 17813, 18085, 18686, 19680, 17648, 17635, 13262, 12703, 12541, 12163</t>
  </si>
  <si>
    <t>17767, 17639, 19008, 18220, 18943, 19233, 17671, 18711, 18066, 18479, 17477, 17004</t>
  </si>
  <si>
    <t>Lottery</t>
  </si>
  <si>
    <t>if you pull out what are the chances of pregnancy</t>
  </si>
  <si>
    <t>paradise games</t>
  </si>
  <si>
    <t>paradise games demo</t>
  </si>
  <si>
    <t>what are chances of a plane crash</t>
  </si>
  <si>
    <t>what are the chances of lightning striking a pool</t>
  </si>
  <si>
    <t>10787, 10725, 11607, 14614, 16082, 15788, 15050, 15754, 15155, 14648, 12677, 11201, 11027, 9524, 11665, 11775, 12459, 14063, 13015, 13515, 13033, 12201, 12319, 11311</t>
  </si>
  <si>
    <t>11200, 11362, 11961, 12210, 13161, 12980, 13040, 13505, 13025, 12194, 12313</t>
  </si>
  <si>
    <t>Video game development; Video game retailers</t>
  </si>
  <si>
    <t>chances</t>
  </si>
  <si>
    <t>what are the chances of contracting an std</t>
  </si>
  <si>
    <t>what are the chances of winning an appeal</t>
  </si>
  <si>
    <t>Informational,Non-branded,Non-local</t>
  </si>
  <si>
    <t>9782, 9700, 9887, 9445, 9487, 9621, 9105, 9414, 9382, 9538, 9537, 9607, 9815, 9728, 9911, 9464, 9503, 9635, 9116, 9424, 9390, 9545, 9543, 9613</t>
  </si>
  <si>
    <t>how to increase the chances of having a girl</t>
  </si>
  <si>
    <t>9820, 9732, 9914, 9467, 9506, 9637, 9118, 9425, 9391, 9546, 9544, 9613, 9820</t>
  </si>
  <si>
    <t>asurewin</t>
  </si>
  <si>
    <t>how to increase my chances of having twins</t>
  </si>
  <si>
    <t>sure win</t>
  </si>
  <si>
    <t>how to improve pregnancy chances</t>
  </si>
  <si>
    <t>6804, 7884, 7724, 9213, 9593, 9325, 9746, 11159, 9772, 9187, 9957, 9280, 9913, 8124, 8550, 9128, 8598, 10503, 10770, 10697, 7252, 9291, 10196, 9538</t>
  </si>
  <si>
    <t>9701, 9351, 9446, 9229, 9659, 9860, 10183, 10557, 9114, 9394, 10299, 9641</t>
  </si>
  <si>
    <t>Hospitality industry; Gambling</t>
  </si>
  <si>
    <t>chances winning numbers</t>
  </si>
  <si>
    <t>what are the chances of getting pregnant</t>
  </si>
  <si>
    <t>Video preview,Sitelinks</t>
  </si>
  <si>
    <t>what are the chances of being born as a human</t>
  </si>
  <si>
    <t>what are the chances of getting hit by lightning</t>
  </si>
  <si>
    <t>6797, 6627, 7013, 7067, 6414, 6614, 6345, 6660, 6622, 7116, 6928, 6668, 6795, 6626, 7012, 7066, 6413, 6613, 6344, 6659, 6621, 7116, 6928, 6667</t>
  </si>
  <si>
    <t>6795, 6625, 7012, 7066, 6413, 6613, 6344, 6659, 6621, 7116, 6928, 6667, 6795</t>
  </si>
  <si>
    <t>island luck login</t>
  </si>
  <si>
    <t>what fertility drugs increase chances of twins</t>
  </si>
  <si>
    <t>how does disability affect life chances</t>
  </si>
  <si>
    <t>Navigational,Transactional,Branded,Non-local</t>
  </si>
  <si>
    <t>what are the chances of surviving lung cancer</t>
  </si>
  <si>
    <t>4643, 4436, 5551, 8965, 7570, 7755, 6986, 6973, 5187, 4841, 5014, 4827, 5119, 4593, 4495, 4959, 4742, 4886, 4738, 4878, 4343, 4220, 4222, 4193</t>
  </si>
  <si>
    <t>4161, 3981, 4418, 4775, 4550, 4702, 4548, 4693, 4156, 4036, 4037, 4010, 3978</t>
  </si>
  <si>
    <t>Sports betting</t>
  </si>
  <si>
    <t>chances login</t>
  </si>
  <si>
    <t>what are chances of getting pregnant with precum</t>
  </si>
  <si>
    <t>Sitelinks</t>
  </si>
  <si>
    <t>how to make an island luck account</t>
  </si>
  <si>
    <t>Navigational,Branded,Non-local</t>
  </si>
  <si>
    <t>what are the chances of dying from covid</t>
  </si>
  <si>
    <t>3621, 3728, 4046, 4350, 4166, 4942, 5002, 4132, 4099, 3873, 4018, 3169, 3951, 4064, 4409, 4737, 4534, 5375, 5437, 4489, 4450, 4202, 4358, 3435</t>
  </si>
  <si>
    <t>4280, 4400, 4771, 5123, 4901, 5808, 5872, 4846, 4801, 4532, 4698, 3701, 4609</t>
  </si>
  <si>
    <t>what are the chances of catching chlamydia</t>
  </si>
  <si>
    <t>chances of winning the lottery</t>
  </si>
  <si>
    <t>what are the chances of having twins twice</t>
  </si>
  <si>
    <t>People also ask,Sitelinks</t>
  </si>
  <si>
    <t>3716, 4545, 4452, 4032, 3577, 4243, 4327, 4763, 4529, 3956, 3812, 3901, 3641, 4471, 4394, 3990, 3547, 4214, 4303, 4742, 4513, 3944, 3804, 3894</t>
  </si>
  <si>
    <t>what are the chances of getting hiv</t>
  </si>
  <si>
    <t>3635, 4466, 4390, 3987, 3545, 4212, 4301, 4741, 4512, 3943, 3803, 3893, 3635</t>
  </si>
  <si>
    <t>island luck winning</t>
  </si>
  <si>
    <t>what are the chances of getting herpes</t>
  </si>
  <si>
    <t>chances of having a boy when ultrasound says girl</t>
  </si>
  <si>
    <t>3715, 3631, 3730, 3578, 3846, 3919, 3679, 3880, 3634, 3767, 3929, 3655, 3715, 3631, 3730, 3578, 3846, 3919, 3679, 3880, 3634, 3767, 3929, 3655</t>
  </si>
  <si>
    <t>what time does chances close</t>
  </si>
  <si>
    <t>3715, 3631, 3730, 3578, 3846, 3919, 3679, 3880, 3634, 3767, 3929, 3655</t>
  </si>
  <si>
    <t>pggames</t>
  </si>
  <si>
    <t>what are the chances of having a boy or girl</t>
  </si>
  <si>
    <t>Sitelinks,People also ask,Thumbnail</t>
  </si>
  <si>
    <t>Informational,Navigational,Branded,Non-local</t>
  </si>
  <si>
    <t>6508, 5316, 4145, 4006, 4625, 4791, 5164, 4423, 3653, 5281, 4233, 3878, 4102, 4597, 3751, 3537, 3878, 5146, 4218, 4338, 3456, 3079, 2516, 2138</t>
  </si>
  <si>
    <t>who is the owner of island luck</t>
  </si>
  <si>
    <t>1932, 1593, 1144, 850, 1528, 2785, 1857, 1977, 1095, 718, 190, 161, 137</t>
  </si>
  <si>
    <t>Browser games</t>
  </si>
  <si>
    <t>island luck winning number</t>
  </si>
  <si>
    <t>what are the chances of a dog getting pregnant</t>
  </si>
  <si>
    <t>what are the chances that a plane crashes</t>
  </si>
  <si>
    <t>what are the chances of a false positive</t>
  </si>
  <si>
    <t>3199, 3188, 3377, 3436, 3353, 3385, 3209, 3265, 3086, 3008, 3051, 3054, 3199, 3188, 3377, 3437, 3354, 3386, 3209, 3265, 3086, 3008, 3052, 3055</t>
  </si>
  <si>
    <t>3199, 3189, 3377, 3437, 3354, 3386, 3209, 3266, 3086, 3008, 3052, 3055, 3200</t>
  </si>
  <si>
    <t>how high are my chances of getting pregnant</t>
  </si>
  <si>
    <t>chances casino</t>
  </si>
  <si>
    <t>what does the bible say about taking chances</t>
  </si>
  <si>
    <t>Video preview</t>
  </si>
  <si>
    <t>what are the chances of a plane crashing</t>
  </si>
  <si>
    <t>1724, 1627, 1922, 1595, 1663, 1493, 1361, 1561, 1549, 1816, 1561, 1604, 1721, 1625, 1919, 1592, 1661, 1492, 1360, 1559, 1548, 1815, 1560, 1602</t>
  </si>
  <si>
    <t>1720, 1624, 1918, 1591, 1660, 1491, 1359, 1559, 1547, 1814, 1559, 1602, 1719</t>
  </si>
  <si>
    <t>Gambling</t>
  </si>
  <si>
    <t>what are the chances of being a billionaire</t>
  </si>
  <si>
    <t>pggames com</t>
  </si>
  <si>
    <t>how to increase chances of implantation</t>
  </si>
  <si>
    <t>1650, 1632, 1600, 1586, 1648, 1852, 1687, 1708, 1632, 1476, 1465, 1537, 1617, 1598, 1566, 1552, 1615, 1818, 1653, 1674, 1598, 1443, 1432, 1504</t>
  </si>
  <si>
    <t>1583, 1564, 1532, 1518, 1581, 1784, 1619, 1640, 1564, 1409, 1398, 1470, 1549</t>
  </si>
  <si>
    <t>what are the chances of getting hiv sexually</t>
  </si>
  <si>
    <t>chances games</t>
  </si>
  <si>
    <t>what are the chances of winning the lotto</t>
  </si>
  <si>
    <t>Sitelinks,Local teaser pack,Video preview</t>
  </si>
  <si>
    <t>what are the chances of winning the lottery uk</t>
  </si>
  <si>
    <t>Informational,Navigational,Commercial,Branded,Non-local</t>
  </si>
  <si>
    <t>ultra games</t>
  </si>
  <si>
    <t>2409, 2137, 2253, 2206, 2524, 2365, 2091, 1997, 2045, 2148, 2011, 1807, 1311, 1646, 1843, 1946, 1615, 1638, 1210, 1210, 1009, 1555, 1460, 1476</t>
  </si>
  <si>
    <t>how can i increase my chances of having twins</t>
  </si>
  <si>
    <t>1474, 1466, 1616, 1676, 1680, 1675, 1530, 1636, 1610, 1554, 1460, 1475, 1473</t>
  </si>
  <si>
    <t>chances winning number</t>
  </si>
  <si>
    <t>how to increase your chances of getting pregnant</t>
  </si>
  <si>
    <t>Sitelinks,Video preview,Thumbnail</t>
  </si>
  <si>
    <t>People also ask,Video preview</t>
  </si>
  <si>
    <t>what are the chances of a cruise ship capsizing</t>
  </si>
  <si>
    <t>1090, 1107, 1115, 1674, 1473, 1777, 1653, 1643, 1643, 1351, 1643, 1646, 1667, 1347, 1471, 1351, 1381, 1350, 1349, 1370, 1253, 1201, 1123, 993</t>
  </si>
  <si>
    <t>939, 855, 754, 803, 738, 837, 817, 914, 867, 765, 753, 600</t>
  </si>
  <si>
    <t>getting pregnant at 47 what are the chances</t>
  </si>
  <si>
    <t>2569, 2820, 2913, 2846, 2989, 2996, 3252, 3901, 2628, 2413, 2568, 2539, 2575, 2825, 2918, 2851, 2994, 2999, 3256, 3904, 2630, 2415, 2570, 2541</t>
  </si>
  <si>
    <t>island luck demo</t>
  </si>
  <si>
    <t>2576, 2827, 2919, 2852, 2995, 3000, 3257, 3906, 2631, 2416, 2571, 2541, 2576</t>
  </si>
  <si>
    <t>Casino games; Gambling</t>
  </si>
  <si>
    <t>what are my chances of getting into harvard</t>
  </si>
  <si>
    <t>casino demo</t>
  </si>
  <si>
    <t>ultra games winning numbers</t>
  </si>
  <si>
    <t>what are the chances of having twins with ivf</t>
  </si>
  <si>
    <t>what are the chances of getting chlamydia</t>
  </si>
  <si>
    <t>Sitelinks,People also ask</t>
  </si>
  <si>
    <t>973, 970, 1117, 1581, 2213, 1192, 978, 925, 885, 839, 1120, 828, 849, 1045, 1252, 1121, 1244, 863, 966, 825, 959, 918, 986, 926</t>
  </si>
  <si>
    <t>what are the chances of getting pregnant at 49</t>
  </si>
  <si>
    <t>what are the chances of surviving an overdose</t>
  </si>
  <si>
    <t>914, 963, 1017, 1055, 1137, 1042, 929, 936, 996, 956, 1024, 964, 952</t>
  </si>
  <si>
    <t>836, 1075, 1151, 3621, 4850, 4469, 3996, 4006, 4670, 3617, 3389, 2236, 2280, 2240, 2293, 2238, 1824, 2219, 2216, 2232, 2151, 1988, 1960, 1566</t>
  </si>
  <si>
    <t>Casino games</t>
  </si>
  <si>
    <t>1702, 1680, 1703, 2460, 2393, 2384, 2139, 2140, 2118, 1964, 1941, 1554, 1692</t>
  </si>
  <si>
    <t>how to increase chances of twins</t>
  </si>
  <si>
    <t>island luck number</t>
  </si>
  <si>
    <t>how to open a chances account</t>
  </si>
  <si>
    <t>what are the chances of rain tonight</t>
  </si>
  <si>
    <t>what are the chances for a plane to crash</t>
  </si>
  <si>
    <t>what are the chances of being kidnapped</t>
  </si>
  <si>
    <t>what are the chances</t>
  </si>
  <si>
    <t>313, 369, 358, 582, 427, 414, 372, 389, 371, 452, 551, 688, 745, 853, 859, 1204, 1359, 1177, 1014, 1028, 960, 887, 876, 885</t>
  </si>
  <si>
    <t>915, 879, 809, 796, 740, 747, 753, 785, 701, 646, 632, 654, 685</t>
  </si>
  <si>
    <t>how to boost pregnancy chances</t>
  </si>
  <si>
    <t>chances demo</t>
  </si>
  <si>
    <t>how many chances should you give someone</t>
  </si>
  <si>
    <t>what are the chances of dying in a car crash</t>
  </si>
  <si>
    <t>what are the chances of me becoming a millionaire</t>
  </si>
  <si>
    <t>how many chances do you get to take the nclex</t>
  </si>
  <si>
    <t>800, 946, 760, 742, 816, 752, 767, 745, 791, 736, 909, 830, 1138, 1081, 1077, 1017, 896, 1065, 990, 1042, 1070, 1055, 1105, 1078</t>
  </si>
  <si>
    <t>1098, 1110, 1069, 1073, 1074, 1134, 1103, 1080, 1124, 1109, 1159</t>
  </si>
  <si>
    <t>what are the chances of miscarriage</t>
  </si>
  <si>
    <t>island luck mobile</t>
  </si>
  <si>
    <t>ultra games nassau</t>
  </si>
  <si>
    <t>how can i increase my chances of getting pregnant</t>
  </si>
  <si>
    <t>what are the chances of being born</t>
  </si>
  <si>
    <t>how to increase your chances of having twins</t>
  </si>
  <si>
    <t>992, 850, 829, 794, 744, 822, 954, 996, 776, 952, 1056, 919, 957, 812, 794, 757, 709, 786, 919, 960, 741, 916, 1021, 884</t>
  </si>
  <si>
    <t>922, 777, 760, 722, 674, 752, 885, 926, 707, 882, 987, 850, 888</t>
  </si>
  <si>
    <t>Informational,Branded,Local</t>
  </si>
  <si>
    <t>what is the chances of rain</t>
  </si>
  <si>
    <t>island luck winning numbers for the day</t>
  </si>
  <si>
    <t>1099, 857, 819, 1318, 744, 1002, 770, 678, 676, 1002, 1035, 723, 844, 654, 889, 1134, 1367, 1388, 1598, 1501, 1531, 1588, 1672, 1599</t>
  </si>
  <si>
    <t>1651, 1612, 1700, 1833, 1768, 1795, 1845, 1817, 1847, 1904, 1988, 1915, 1967</t>
  </si>
  <si>
    <t>what are the chances of getting cancer</t>
  </si>
  <si>
    <t>the island game</t>
  </si>
  <si>
    <t>how to increase chances of conception</t>
  </si>
  <si>
    <t>1022, 1153, 1234, 1042, 1459, 1742, 1534, 1447, 838, 1142, 953, 353, 545, 730, 813, 644, 1067, 1368, 1168, 1097, 496, 813, 634, 46</t>
  </si>
  <si>
    <t>island game</t>
  </si>
  <si>
    <t>246, 442, 534, 375, 806, 1116, 924, 861, 268, 593, 421, 3, 47</t>
  </si>
  <si>
    <t>what are the chances of getting diabetes</t>
  </si>
  <si>
    <t>asurewin login</t>
  </si>
  <si>
    <t>Sitelinks,Knowledge panel</t>
  </si>
  <si>
    <t>how can i increase my chances of selling my house</t>
  </si>
  <si>
    <t>390, 390, 482, 607, 477, 477, 586, 615, 640, 585, 716, 586, 482, 616, 790, 624, 1027, 912, 1061, 808, 675, 748, 750, 660</t>
  </si>
  <si>
    <t>583, 756, 697, 604, 589, 582, 500, 455, 419, 390, 489, 351, 331</t>
  </si>
  <si>
    <t>what are the chances of meeting your soulmate</t>
  </si>
  <si>
    <t>chances of winning</t>
  </si>
  <si>
    <t>1243, 1237, 1267, 1181, 1356, 1211, 1196, 1379, 1218, 1095, 1125, 1145, 1251, 1244, 1273, 1185, 1360, 1215, 1199, 1382, 1220, 1096, 1126, 1146</t>
  </si>
  <si>
    <t>1252, 1245, 1274, 1186, 1361, 1215, 1199, 1382, 1221, 1097, 1127, 1146, 1252</t>
  </si>
  <si>
    <t>how to increase chances of twins naturally</t>
  </si>
  <si>
    <t>People also ask</t>
  </si>
  <si>
    <t>what are the chances of being a millionaire</t>
  </si>
  <si>
    <t>1116, 1169, 967, 1399, 1124, 1075, 1077, 1110, 1080, 1076, 881, 1127, 1076, 899, 888, 730, 841, 731, 605, 692, 804, 831, 813, 718</t>
  </si>
  <si>
    <t>869, 788, 728, 711, 784, 956, 930, 966, 1078, 1105, 1087, 992, 1143</t>
  </si>
  <si>
    <t>asurewin winning numbers</t>
  </si>
  <si>
    <t>how to reduce chances of diabetes</t>
  </si>
  <si>
    <t>what are the chances of getting in a car accident</t>
  </si>
  <si>
    <t>593, 594, 593, 891, 890, 1084, 1085, 1085, 1085, 1088, 1091, 890, 907, 900, 891, 894, 894, 893, 892, 896, 756, 711, 804, 614</t>
  </si>
  <si>
    <t>541, 1374, 833, 869, 928, 924, 858, 903, 733, 709, 801, 613, 540</t>
  </si>
  <si>
    <t>what are the chances of surviving cancer stage 4</t>
  </si>
  <si>
    <t>island luck games</t>
  </si>
  <si>
    <t>what are the chances of getting hiv from kissing</t>
  </si>
  <si>
    <t>what does god say about second chances</t>
  </si>
  <si>
    <t>what are the chances of plane crash</t>
  </si>
  <si>
    <t>343, 610, 812, 798, 567, 448, 444, 628, 663, 474, 486, 258, 254, 276, 289, 311, 489, 437, 545, 419, 425, 396, 438, 410</t>
  </si>
  <si>
    <t>466, 448, 459, 437, 433, 486, 461, 432, 434, 404, 447, 419, 475</t>
  </si>
  <si>
    <t>what are the chances of nuclear war</t>
  </si>
  <si>
    <t>chances games demo</t>
  </si>
  <si>
    <t>what are the chances of getting a std</t>
  </si>
  <si>
    <t>what are the chances of getting pregnant from cum</t>
  </si>
  <si>
    <t>381, 359, 238, 584, 257, 259, 208, 206, 507, 998, 651, 216, 361, 342, 227, 559, 247, 250, 201, 199, 493, 971, 635, 211</t>
  </si>
  <si>
    <t>353, 335, 223, 550, 243, 246, 199, 197, 487, 961, 629, 209, 350</t>
  </si>
  <si>
    <t>what are the chances of getting a royal flush</t>
  </si>
  <si>
    <t>chances game</t>
  </si>
  <si>
    <t>what are the chances of transmitting chlamydia</t>
  </si>
  <si>
    <t>355, 363, 445, 489, 507, 445, 415, 450, 387, 436, 552, 487, 429, 424, 424, 466, 465, 374, 288, 407, 313, 398, 376, 240</t>
  </si>
  <si>
    <t>342, 355, 396, 390, 420, 345, 346, 389, 375, 390, 350, 358, 341</t>
  </si>
  <si>
    <t>what are the chances of winning at roulette</t>
  </si>
  <si>
    <t>island luck new york</t>
  </si>
  <si>
    <t>what are the chances of pregnancy</t>
  </si>
  <si>
    <t>what are the chances of rain</t>
  </si>
  <si>
    <t>86, 86, 111, 150, 97, 61, 64, 81, 63, 41, 62, 131, 208, 196, 503, 403, 207, 206, 385, 469, 397, 410, 428, 415</t>
  </si>
  <si>
    <t>403, 409, 514, 498, 368, 341, 409, 415, 362, 356, 392, 417, 420</t>
  </si>
  <si>
    <t>what are the chances of a school shooting</t>
  </si>
  <si>
    <t>island luck full site</t>
  </si>
  <si>
    <t>what are the chances of leopard being in stock</t>
  </si>
  <si>
    <t>how much does island luck pay</t>
  </si>
  <si>
    <t>Sitelinks,People also ask,Video preview</t>
  </si>
  <si>
    <t>how can i increase chances of getting pregnant</t>
  </si>
  <si>
    <t>207, 218, 252, 920, 499, 411, 404, 456, 450, 246, 261, 180, 241, 210, 430, 370, 254, 201, 260, 364, 300, 258, 306, 266</t>
  </si>
  <si>
    <t>243, 233, 237, 302, 249, 219, 202, 247, 222, 184, 232, 195</t>
  </si>
  <si>
    <t>island luck mobile login</t>
  </si>
  <si>
    <t>what are the chances of getting pregnant at 16</t>
  </si>
  <si>
    <t>what are the chances of abnormal cells returning</t>
  </si>
  <si>
    <t>5, 9, 28, 35, 3, 5, 5, 126, 1260, 450, 16, 10, 700, 14, 25, 942, 742, 31, 46, 23, 11, 11, 11, 203</t>
  </si>
  <si>
    <t>what are the chances of surviving a brain bleed</t>
  </si>
  <si>
    <t>island luck nassau</t>
  </si>
  <si>
    <t>what are the chances of getting hpv with a condom</t>
  </si>
  <si>
    <t>Sitelinks,Local teaser pack,People also ask</t>
  </si>
  <si>
    <t>what are the chances of rain tomorrow</t>
  </si>
  <si>
    <t>609, 686, 766, 1042, 382, 361, 370, 334, 380, 545, 330, 240, 200, 173, 245, 363, 203, 204, 246, 143, 179, 189, 194, 171</t>
  </si>
  <si>
    <t>how to increase chances of winning lottery</t>
  </si>
  <si>
    <t>194, 207, 208, 303, 199, 198, 199, 251, 199, 211, 216, 190, 215</t>
  </si>
  <si>
    <t>what are the chances of a false-positive hiv test</t>
  </si>
  <si>
    <t>island luck island luck</t>
  </si>
  <si>
    <t>what are the chances of dying in a plane crash</t>
  </si>
  <si>
    <t>the island game login</t>
  </si>
  <si>
    <t>242, 255, 256, 338, 304, 208, 229, 257, 194, 193, 196, 195, 194, 202, 206, 204, 194, 193, 193, 241, 232, 218, 222, 214</t>
  </si>
  <si>
    <t>213, 204, 214, 192, 201, 192, 224, 241, 235, 221, 225, 217</t>
  </si>
  <si>
    <t>5, 0, 31, 12, 0, 0, 0, 1, 10, 26, 0, 0, 152, 405, 631, 313, 288, 447, 466, 687, 551, 302, 281, 169</t>
  </si>
  <si>
    <t>island luck winning numbers login</t>
  </si>
  <si>
    <t>what are the chances of surviving breast cancer</t>
  </si>
  <si>
    <t>what are the chances to be struck by lightning</t>
  </si>
  <si>
    <t>asurewin nassau</t>
  </si>
  <si>
    <t>what are the chances of a cruise ship sinking</t>
  </si>
  <si>
    <t>how to increase chances of having a girl</t>
  </si>
  <si>
    <t>island luck casino demo play 2</t>
  </si>
  <si>
    <t>what time island luck open</t>
  </si>
  <si>
    <t>chances of getting pregnant when not ovulating</t>
  </si>
  <si>
    <t>what are the chances of seeing a shooting star</t>
  </si>
  <si>
    <t>how many chances to unlock iphone</t>
  </si>
  <si>
    <t>island luck southwest plaza</t>
  </si>
  <si>
    <t>what are the chances of rain today</t>
  </si>
  <si>
    <t>how to reduce chances of breast cancer</t>
  </si>
  <si>
    <t>Knowledge panel,People also ask</t>
  </si>
  <si>
    <t>what are your chances of surviving a heart attack</t>
  </si>
  <si>
    <t>ultra games web cafe</t>
  </si>
  <si>
    <t>chances demo games</t>
  </si>
  <si>
    <t>how to spell chances</t>
  </si>
  <si>
    <t>demo casino</t>
  </si>
  <si>
    <t>what fall island luck</t>
  </si>
  <si>
    <t>247, 250, 247, 239, 226, 234, 226, 214, 203, 188, 187, 187, 191, 196, 193, 187, 175, 184, 178, 166, 156, 142, 142, 143</t>
  </si>
  <si>
    <t>what are the chances of getting sepsis from a uti</t>
  </si>
  <si>
    <t>148, 154, 152, 147, 135, 146, 140, 129, 119, 106, 108, 109, 115</t>
  </si>
  <si>
    <t>19, 10, 7, 4, 1, 0, 41, 0, 111, 209, 90, 330, 209, 14, 26, 6, 4, 16, 7, 162, 695, 1009, 1094, 135</t>
  </si>
  <si>
    <t>chances games login</t>
  </si>
  <si>
    <t>Video games</t>
  </si>
  <si>
    <t>what are the chances of catching hiv</t>
  </si>
  <si>
    <t>ultra games login</t>
  </si>
  <si>
    <t>how to increase chances of having twins</t>
  </si>
  <si>
    <t>what are the rain chances for today</t>
  </si>
  <si>
    <t>Sitelinks,People also ask,Top stories</t>
  </si>
  <si>
    <t>island luck demo games</t>
  </si>
  <si>
    <t>what are the chances of winning the lottery</t>
  </si>
  <si>
    <t>multi slots demo</t>
  </si>
  <si>
    <t>chances how to get pregnant</t>
  </si>
  <si>
    <t>what are the chances of a royal flush</t>
  </si>
  <si>
    <t>chances games freeport</t>
  </si>
  <si>
    <t>how to increase my chances of getting pregnant</t>
  </si>
  <si>
    <t>island luck winning numbers island luck winning numbers</t>
  </si>
  <si>
    <t>what are the chances of getting hiv with a condom</t>
  </si>
  <si>
    <t>121, 100, 151, 232, 284, 265, 216, 212, 157, 127, 121, 150, 171, 262, 275, 272, 209, 428, 354, 138, 255, 244, 233, 234</t>
  </si>
  <si>
    <t>239, 236, 239, 245, 252, 273, 258, 236, 255, 244, 233, 234</t>
  </si>
  <si>
    <t>how to increase implantation chances</t>
  </si>
  <si>
    <t>island luck freeport</t>
  </si>
  <si>
    <t>what are the chances of getting heirloom shards</t>
  </si>
  <si>
    <t>what are my chances of getting pregnant</t>
  </si>
  <si>
    <t>how to increase chances of having a boy</t>
  </si>
  <si>
    <t>137, 116, 152, 163, 215, 214, 131, 188, 148, 93, 94, 107, 127, 143, 171, 120, 63, 52, 76, 104, 77, 73, 70, 67</t>
  </si>
  <si>
    <t>75, 76, 83, 82, 81, 95, 89, 89, 75, 71, 69, 66, 74</t>
  </si>
  <si>
    <t>island luck bahamas</t>
  </si>
  <si>
    <t>what does the bible say about second chances</t>
  </si>
  <si>
    <t>what are the chances of becoming a billionaire</t>
  </si>
  <si>
    <t>Sitelinks,Local teaser pack,People also ask,Video preview</t>
  </si>
  <si>
    <t>what are the chances of being born again</t>
  </si>
  <si>
    <t>29, 28, 35, 80, 46, 54, 57, 142, 156, 96, 84, 87, 77, 77, 117, 77, 78, 97, 95, 118, 103, 108, 108, 102</t>
  </si>
  <si>
    <t>94, 87, 88, 105, 110, 92, 100, 113, 103, 108, 108, 102, 94</t>
  </si>
  <si>
    <t>what does chances of rain mean</t>
  </si>
  <si>
    <t>chances casino demo</t>
  </si>
  <si>
    <t>what are the chances of making the nba</t>
  </si>
  <si>
    <t>what are the chances of becoming a millionaire</t>
  </si>
  <si>
    <t>what are the chances of dying while giving birth</t>
  </si>
  <si>
    <t>how to increase chances of pregnancy</t>
  </si>
  <si>
    <t>what are the chances of having quadruplets</t>
  </si>
  <si>
    <t>www island luck</t>
  </si>
  <si>
    <t>what are the chances of winning roulette</t>
  </si>
  <si>
    <t>what are the chances of a false positive hiv test</t>
  </si>
  <si>
    <t>109, 124, 138, 252, 137, 113, 136, 124, 159, 127, 113, 70, 37, 92, 145, 49, 226, 145, 85, 85, 91, 90, 97, 101</t>
  </si>
  <si>
    <t>115, 127, 127, 113, 101, 88, 85, 86, 92, 91, 98, 102, 116</t>
  </si>
  <si>
    <t>what are the chances of getting off dialysis</t>
  </si>
  <si>
    <t>ultra games paradise</t>
  </si>
  <si>
    <t>what are the chances of me getting a mortgage</t>
  </si>
  <si>
    <t>what are the chances to find the man of my dreams</t>
  </si>
  <si>
    <t>island luck - nassau</t>
  </si>
  <si>
    <t>islandluck</t>
  </si>
  <si>
    <t>how do you know if you win extra chances</t>
  </si>
  <si>
    <t>what are your chances of winning the lottery</t>
  </si>
  <si>
    <t>what increases chances of twins</t>
  </si>
  <si>
    <t>island luck casino demo</t>
  </si>
  <si>
    <t>chances of pregnancy when ovulating</t>
  </si>
  <si>
    <t>Video preview,People also ask</t>
  </si>
  <si>
    <t>how to open an island luck account</t>
  </si>
  <si>
    <t>island luck numbers</t>
  </si>
  <si>
    <t>what are the chances of catching an std</t>
  </si>
  <si>
    <t>what are the chances of dying in your sleep</t>
  </si>
  <si>
    <t>what is the chances of winning the lottery</t>
  </si>
  <si>
    <t>what are the chances of a plane crash</t>
  </si>
  <si>
    <t>island luck webcafe nassau</t>
  </si>
  <si>
    <t>what are the chances of a child getting cancer</t>
  </si>
  <si>
    <t>Sitelinks,Local teaser pack</t>
  </si>
  <si>
    <t>what are the chances of dying from sleep apnea</t>
  </si>
  <si>
    <t>what are the chances of a condom bursting</t>
  </si>
  <si>
    <t>38, 35, 33, 25, 137, 82, 77, 74, 70, 56, 64, 54, 50, 46, 42, 32, 174, 104, 96, 93, 87, 69, 79, 66</t>
  </si>
  <si>
    <t>62, 56, 52, 39, 211, 126, 116, 112, 105, 83, 94, 79, 73</t>
  </si>
  <si>
    <t>Lottery; Web services</t>
  </si>
  <si>
    <t>what are the chances of being struck by lightning</t>
  </si>
  <si>
    <t>island luck game</t>
  </si>
  <si>
    <t>what are the chances of winning eurojackpot</t>
  </si>
  <si>
    <t>what are the chances of surviving stage 4 cancer</t>
  </si>
  <si>
    <t>ultra games winning number</t>
  </si>
  <si>
    <t>what time does island luck open</t>
  </si>
  <si>
    <t>what are the chances of a child having autism</t>
  </si>
  <si>
    <t>chances web</t>
  </si>
  <si>
    <t>how many chances</t>
  </si>
  <si>
    <t>ultra games mobile</t>
  </si>
  <si>
    <t>what are the chances of a bird pooping on you</t>
  </si>
  <si>
    <t>asurewin games</t>
  </si>
  <si>
    <t>what are my chances of winning the lottery</t>
  </si>
  <si>
    <t>chances numbers</t>
  </si>
  <si>
    <t>what is the chances of getting pregnant</t>
  </si>
  <si>
    <t>what are the chances of a car accident</t>
  </si>
  <si>
    <t>ultra games locations</t>
  </si>
  <si>
    <t>what are the chances of autism</t>
  </si>
  <si>
    <t>island luck winnings</t>
  </si>
  <si>
    <t>what are the steelers playoff chances</t>
  </si>
  <si>
    <t>asurewin demo</t>
  </si>
  <si>
    <t>how to increase pregnancy chances</t>
  </si>
  <si>
    <t>Sports betting; Business</t>
  </si>
  <si>
    <t>what are chances of getting struck by lightning</t>
  </si>
  <si>
    <t>44, 43, 55, 91, 60, 71, 68, 57, 55, 53, 53, 69, 53, 65, 89, 89, 72, 71, 66, 72, 70, 63, 68, 68</t>
  </si>
  <si>
    <t>what are the chances of winning a lottery</t>
  </si>
  <si>
    <t>59, 75, 66, 70, 63, 74, 64, 72, 70, 63, 68, 68, 59</t>
  </si>
  <si>
    <t>what are the chances of a girl getting pregnant</t>
  </si>
  <si>
    <t>island luck winning numbers for today</t>
  </si>
  <si>
    <t>chances of getting pregnant when fertile</t>
  </si>
  <si>
    <t>what are the chances of getting pregnant at 40</t>
  </si>
  <si>
    <t>winning number island luck winning numbers</t>
  </si>
  <si>
    <t>what are the chances of surviving a plane crash</t>
  </si>
  <si>
    <t>when are the low chances of getting pregnant</t>
  </si>
  <si>
    <t>island luck cable beach</t>
  </si>
  <si>
    <t>what are the chances of making it to the nfl</t>
  </si>
  <si>
    <t>Informational,Commercial,Branded,Local</t>
  </si>
  <si>
    <t>what are the chances of breast cancer returning</t>
  </si>
  <si>
    <t>mobile island luck</t>
  </si>
  <si>
    <t>who owns chances casino</t>
  </si>
  <si>
    <t>how to increase the chances of having twins</t>
  </si>
  <si>
    <t>chances demo game</t>
  </si>
  <si>
    <t>chances of getting pregnant when you pull out</t>
  </si>
  <si>
    <t>island luck web cafe</t>
  </si>
  <si>
    <t>what does the bible say about chances</t>
  </si>
  <si>
    <t>what are the chances of a condom breaking</t>
  </si>
  <si>
    <t>what are the chances of getting hiv from sex</t>
  </si>
  <si>
    <t>85, 87, 111, 118, 78, 55, 44, 44, 38, 41, 53, 49, 59, 45, 55, 48, 36, 47, 57, 60, 48, 93, 125, 76</t>
  </si>
  <si>
    <t>how to increase chances of having a baby boy</t>
  </si>
  <si>
    <t>chances login in</t>
  </si>
  <si>
    <t>ultra games demo</t>
  </si>
  <si>
    <t>what are the chances of surviving a heart attack</t>
  </si>
  <si>
    <t>what are the chances of</t>
  </si>
  <si>
    <t>what are the chances of a car crash</t>
  </si>
  <si>
    <t>asurewin com</t>
  </si>
  <si>
    <t>how to increase chances of getting pregnant</t>
  </si>
  <si>
    <t>island luck login mobile</t>
  </si>
  <si>
    <t>how to decrease your chances of getting pregnant</t>
  </si>
  <si>
    <t>what is the chances of dying in a car crash</t>
  </si>
  <si>
    <t>paradise games casino</t>
  </si>
  <si>
    <t>what are the chances of pregnancy after ovulation</t>
  </si>
  <si>
    <t>what are my chances of living to 100</t>
  </si>
  <si>
    <t>what are the chances of getting an std</t>
  </si>
  <si>
    <t>island luck login in nassau</t>
  </si>
  <si>
    <t>a sure win</t>
  </si>
  <si>
    <t>what are the chances of a plane crashing 2023</t>
  </si>
  <si>
    <t>chances demo slots</t>
  </si>
  <si>
    <t>how to crack island luck code</t>
  </si>
  <si>
    <t>Sitelinks,People also ask,Video preview,Knowledge panel</t>
  </si>
  <si>
    <t>what are the chances of getting hep c sexually</t>
  </si>
  <si>
    <t>asurewin login account</t>
  </si>
  <si>
    <t>Informational,Navigational,Commercial,Transactional,Branded,Non-local</t>
  </si>
  <si>
    <t>how to reduce chances of stroke</t>
  </si>
  <si>
    <t>Sports betting; Sports</t>
  </si>
  <si>
    <t>if i pull out what are the chances of pregnancy</t>
  </si>
  <si>
    <t>island luck locations</t>
  </si>
  <si>
    <t>island island luck winning numbers</t>
  </si>
  <si>
    <t>if condom breaks what are chances of pregnancy</t>
  </si>
  <si>
    <t>what are the chances my ultrasound was wrong</t>
  </si>
  <si>
    <t>island luck demo game</t>
  </si>
  <si>
    <t>what are the chances of getting a hole in one</t>
  </si>
  <si>
    <t>Videos</t>
  </si>
  <si>
    <t>what are the chances of having twins</t>
  </si>
  <si>
    <t>3, 12, 10, 8, 5, 2, 3, 5, 1, 3, 4, 0, 22, 13, 22, 48, 102, 105, 16, 25, 26, 50, 95, 46</t>
  </si>
  <si>
    <t>what are the chances of a miscarriage</t>
  </si>
  <si>
    <t>paradise games winning numbers</t>
  </si>
  <si>
    <t>island luck winning numbers login account</t>
  </si>
  <si>
    <t>what are the chances of you being born</t>
  </si>
  <si>
    <t>paradise games winning number</t>
  </si>
  <si>
    <t>paradise games nassau</t>
  </si>
  <si>
    <t>island luck web</t>
  </si>
  <si>
    <t>61, 73, 92, 92, 51, 49, 60, 49, 49, 45, 49, 49, 49, 49, 61, 50, 38, 50, 60, 62, 51, 46, 37, 35</t>
  </si>
  <si>
    <t>36, 30, 34, 29, 29, 31, 32, 27, 21, 17, 13, 11, 9</t>
  </si>
  <si>
    <t>chances freeport</t>
  </si>
  <si>
    <t>island luck paradise island</t>
  </si>
  <si>
    <t>People also ask,Knowledge panel,Sitelinks</t>
  </si>
  <si>
    <t>island luck collins avenue</t>
  </si>
  <si>
    <t>paradise games login</t>
  </si>
  <si>
    <t>Lottery; Business</t>
  </si>
  <si>
    <t>paradise games near me</t>
  </si>
  <si>
    <t>paradisegames</t>
  </si>
  <si>
    <t>island luck carmichael road</t>
  </si>
  <si>
    <t>island luck app</t>
  </si>
  <si>
    <t>Informational,Commercial,Branded,Non-local</t>
  </si>
  <si>
    <t>island luck winning numbers login account login</t>
  </si>
  <si>
    <t>chances bahamas</t>
  </si>
  <si>
    <t>paradise games careers</t>
  </si>
  <si>
    <t>island luck near me</t>
  </si>
  <si>
    <t>Job</t>
  </si>
  <si>
    <t>chances web shop</t>
  </si>
  <si>
    <t>Local teaser pack,Sitelinks,People also ask</t>
  </si>
  <si>
    <t>island luck phone number</t>
  </si>
  <si>
    <t>Knowledge card,People also ask,Knowledge panel</t>
  </si>
  <si>
    <t>island luck logo</t>
  </si>
  <si>
    <t>asurewin number</t>
  </si>
  <si>
    <t>login island luck login</t>
  </si>
  <si>
    <t>casino lobby chances games demo</t>
  </si>
  <si>
    <t>island luck marsh harbour</t>
  </si>
  <si>
    <t>chances winning numbers today</t>
  </si>
  <si>
    <t>island luck village road</t>
  </si>
  <si>
    <t>chances games winning numbers</t>
  </si>
  <si>
    <t>chances demo free play</t>
  </si>
  <si>
    <t>paradise games mobile login</t>
  </si>
  <si>
    <t>island luck hours</t>
  </si>
  <si>
    <t>asurewin winning number</t>
  </si>
  <si>
    <t>island luck winning number for today</t>
  </si>
  <si>
    <t>winner take chances</t>
  </si>
  <si>
    <t>everybody wins live</t>
  </si>
  <si>
    <t>chances winning numbers for today</t>
  </si>
  <si>
    <t>island luck customer service</t>
  </si>
  <si>
    <t>chances winning lottery random numbers</t>
  </si>
  <si>
    <t>island luck prince charles</t>
  </si>
  <si>
    <t>chances online casino</t>
  </si>
  <si>
    <t>Sitelinks,Knowledge panel,People also ask</t>
  </si>
  <si>
    <t>chances number</t>
  </si>
  <si>
    <t>winners take chances</t>
  </si>
  <si>
    <t>everybody wins live winning numbers</t>
  </si>
  <si>
    <t>island luck demo free play</t>
  </si>
  <si>
    <t>island luck .com</t>
  </si>
  <si>
    <t>island luck winning numbers list</t>
  </si>
  <si>
    <t>paradise games locations</t>
  </si>
  <si>
    <t>chances casinos</t>
  </si>
  <si>
    <t>Local teaser pack,Sitelinks,People also ask,Video preview</t>
  </si>
  <si>
    <t>www.chancesgames.com casino casino games</t>
  </si>
  <si>
    <t>island luck casino</t>
  </si>
  <si>
    <t>island luck casino games</t>
  </si>
  <si>
    <t>15, 84, 111, 55, 32, 32, 35, 46, 45, 41, 43, 34, 34, 35, 42, 32, 25, 24, 28, 40, 40, 38, 39, 32</t>
  </si>
  <si>
    <t>chances web cafe</t>
  </si>
  <si>
    <t>32, 42, 47, 32, 25, 24, 29, 41, 42, 39, 41, 33, 33</t>
  </si>
  <si>
    <t>island luck boyd road</t>
  </si>
  <si>
    <t>island luck casino demo play 2 login</t>
  </si>
  <si>
    <t>Gambling; Web services</t>
  </si>
  <si>
    <t>ultra games bahamas</t>
  </si>
  <si>
    <t>chances careers</t>
  </si>
  <si>
    <t>asurewin winning numbers today</t>
  </si>
  <si>
    <t>island luck robinson road</t>
  </si>
  <si>
    <t>asurewin locations</t>
  </si>
  <si>
    <t>island luck open now</t>
  </si>
  <si>
    <t>island luck customer service number</t>
  </si>
  <si>
    <t>island luck winning numbers today</t>
  </si>
  <si>
    <t>paradise games mobile</t>
  </si>
  <si>
    <t>demo chances</t>
  </si>
  <si>
    <t>island luck. com</t>
  </si>
  <si>
    <t>island luck demo login</t>
  </si>
  <si>
    <t>ultra games winning numbers today</t>
  </si>
  <si>
    <t>paradise games freeport</t>
  </si>
  <si>
    <t>island luck casino login</t>
  </si>
  <si>
    <t>chances games and casino</t>
  </si>
  <si>
    <t>asurewin mobile</t>
  </si>
  <si>
    <t>Informational,Navigational,Transactional,Branded,Non-local</t>
  </si>
  <si>
    <t>46, 45, 56, 45, 37, 37, 38, 37, 33, 26, 25, 22, 25, 24, 25, 25, 38, 48, 38, 25, 27, 24, 23, 19</t>
  </si>
  <si>
    <t>16, 16, 18, 15, 47, 41, 33, 32, 26, 24, 22, 18, 16</t>
  </si>
  <si>
    <t>island luck login winning numbers</t>
  </si>
  <si>
    <t>island luck login account login</t>
  </si>
  <si>
    <t>island luck prince charles number</t>
  </si>
  <si>
    <t>chances locations</t>
  </si>
  <si>
    <t>island luck winning numbers q</t>
  </si>
  <si>
    <t>winning island luck winning</t>
  </si>
  <si>
    <t>island luck free demo games</t>
  </si>
  <si>
    <t>a sure win bahamas</t>
  </si>
  <si>
    <t>the island game phone number</t>
  </si>
  <si>
    <t>chances sports betting</t>
  </si>
  <si>
    <t>chances near me</t>
  </si>
  <si>
    <t>chances of winning lottery</t>
  </si>
  <si>
    <t>the island game locations</t>
  </si>
  <si>
    <t>chances mobile</t>
  </si>
  <si>
    <t>island luck winning numbers today show</t>
  </si>
  <si>
    <t>chances games mobile</t>
  </si>
  <si>
    <t>paradise games job application</t>
  </si>
  <si>
    <t>island luck closing time</t>
  </si>
  <si>
    <t>the island game demo</t>
  </si>
  <si>
    <t>island luck casino lobby - demo play</t>
  </si>
  <si>
    <t>the island game mobile</t>
  </si>
  <si>
    <t>everybody wins live winning numbers today</t>
  </si>
  <si>
    <t>island luck website</t>
  </si>
  <si>
    <t>ultra games phone number</t>
  </si>
  <si>
    <t>paradise games web cafe</t>
  </si>
  <si>
    <t>island luck demo slots</t>
  </si>
  <si>
    <t>island luck number nassau</t>
  </si>
  <si>
    <t>chances nassau</t>
  </si>
  <si>
    <t>chances casino games</t>
  </si>
  <si>
    <t>island luck east street</t>
  </si>
  <si>
    <t>island luck owner</t>
  </si>
  <si>
    <t>island luck login in</t>
  </si>
  <si>
    <t>chances games winning number</t>
  </si>
  <si>
    <t>island luck winning numbers for the day today and tomorrow</t>
  </si>
  <si>
    <t>paradise games bahamas</t>
  </si>
  <si>
    <t>Sitelinks,Local teaser pack,Video preview,People also ask</t>
  </si>
  <si>
    <t>island luck login account</t>
  </si>
  <si>
    <t>island luck contact</t>
  </si>
  <si>
    <t>chances winning numbers for today winning numbers</t>
  </si>
  <si>
    <t>Knowledge card,Knowledge panel</t>
  </si>
  <si>
    <t>island luck cafe</t>
  </si>
  <si>
    <t>Restaurants; Web services</t>
  </si>
  <si>
    <t>paradise games customer service</t>
  </si>
  <si>
    <t>chances games nassau</t>
  </si>
  <si>
    <t>asurewin bahamas</t>
  </si>
  <si>
    <t>asurewin phone number</t>
  </si>
  <si>
    <t>chances games game</t>
  </si>
  <si>
    <t>the island game nassau</t>
  </si>
  <si>
    <t>chances account</t>
  </si>
  <si>
    <t>chances games phone number</t>
  </si>
  <si>
    <t>Informational,Commercial,Non-branded,Non-local</t>
  </si>
  <si>
    <t>paradise games phone number</t>
  </si>
  <si>
    <t>island luck mall at marathon</t>
  </si>
  <si>
    <t>chances app</t>
  </si>
  <si>
    <t>island luck lottery results</t>
  </si>
  <si>
    <t>.island luck</t>
  </si>
  <si>
    <t>chances phone number</t>
  </si>
  <si>
    <t>asurewin open now</t>
  </si>
  <si>
    <t>Local teaser pack,People also ask</t>
  </si>
  <si>
    <t>island luck cowpen road</t>
  </si>
  <si>
    <t>a sure win nassau</t>
  </si>
  <si>
    <t>paradise games contact</t>
  </si>
  <si>
    <t>island luck sportsbook</t>
  </si>
  <si>
    <t>www island luck winning numbers</t>
  </si>
  <si>
    <t>island luck coral harbour</t>
  </si>
  <si>
    <t>chances games bahamas</t>
  </si>
  <si>
    <t>chances games locations</t>
  </si>
  <si>
    <t>Local teaser pack,People also ask,Sitelinks</t>
  </si>
  <si>
    <t>chances express</t>
  </si>
  <si>
    <t>chances winning lottery</t>
  </si>
  <si>
    <t>the island game web cafe</t>
  </si>
  <si>
    <t>a sure win login</t>
  </si>
  <si>
    <t>paradise games open now</t>
  </si>
  <si>
    <t>the island game reviews</t>
  </si>
  <si>
    <t>island</t>
  </si>
  <si>
    <t>chances website</t>
  </si>
  <si>
    <t>paradise games winning numbers today</t>
  </si>
  <si>
    <t>Thumbnail,People also ask,Top stories,Bottom ads,Video preview</t>
  </si>
  <si>
    <t>9802, 9493, 10307, 9921, 8875, 9332, 8301, 8971, 7801, 8758, 9051, 8594, 9025, 8629, 9522, 9085, 8091, 8517, 7521, 8175, 7029, 7978, 8287, 7827</t>
  </si>
  <si>
    <t>8271, 7876, 8779, 8344, 7359, 7788, 6800, 7457, 6318, 7271, 7587, 7131, 7581</t>
  </si>
  <si>
    <t>Encyclopedias; Educational</t>
  </si>
  <si>
    <t>a sure win locations</t>
  </si>
  <si>
    <t>paradise games casino demo</t>
  </si>
  <si>
    <t>ultra games number</t>
  </si>
  <si>
    <t>pgweb cafe</t>
  </si>
  <si>
    <t>chances winning number chances winning number</t>
  </si>
  <si>
    <t>paradise games number</t>
  </si>
  <si>
    <t>AI Overview,People also ask</t>
  </si>
  <si>
    <t>a sure win winning numbers</t>
  </si>
  <si>
    <t>island luck winning number island luck winning number</t>
  </si>
  <si>
    <t>chance games</t>
  </si>
  <si>
    <t>asurewin numbers</t>
  </si>
  <si>
    <t>chances calculator</t>
  </si>
  <si>
    <t>chances games near me</t>
  </si>
  <si>
    <t>chances payout calculator</t>
  </si>
  <si>
    <t>7555, 7224, 6837, 7926, 7682, 6543, 6670, 6516, 6369, 6727, 6008, 5418, 5709, 5603, 5768, 6489, 6505, 6709, 6666, 6513, 6367, 6726, 6006, 5416</t>
  </si>
  <si>
    <t>island luck sports betting</t>
  </si>
  <si>
    <t>5708, 5602, 5767, 6489, 6504, 6708, 6666, 6513, 6367, 6725, 6006, 5416, 5708</t>
  </si>
  <si>
    <t>chances payout</t>
  </si>
  <si>
    <t>asurewin.</t>
  </si>
  <si>
    <t>island luck withdrawal</t>
  </si>
  <si>
    <t>paradise games casino login</t>
  </si>
  <si>
    <t>6526, 6535, 6530, 6846, 6932, 6697, 5759, 6182, 5801, 4811, 3528, 3849, 4637, 5117, 5511, 4792, 7519, 7933, 6823, 5429, 4510, 3793, 3438, 4235</t>
  </si>
  <si>
    <t>6920, 7359, 5496, 4793, 7519, 7933, 6823, 5429, 4510, 3793, 3438, 4235, 6920</t>
  </si>
  <si>
    <t>asurewin contact</t>
  </si>
  <si>
    <t>chances free demo games</t>
  </si>
  <si>
    <t>chances games number</t>
  </si>
  <si>
    <t>2876, 2628, 3191, 4988, 4796, 4793, 5809, 5050, 5192, 4927, 5412, 3522, 3617, 4452, 3973, 5050, 5387, 7148, 5650, 4975, 5213, 5198, 5104, 4885</t>
  </si>
  <si>
    <t>4923, 4991, 4946, 5148, 5160, 5171, 5172, 5078, 5160, 5150, 5052, 4836, 4871</t>
  </si>
  <si>
    <t>the island game winning numbers</t>
  </si>
  <si>
    <t>Drama films</t>
  </si>
  <si>
    <t>a sure win alternative</t>
  </si>
  <si>
    <t>island luck tv</t>
  </si>
  <si>
    <t>a sure win alternatives</t>
  </si>
  <si>
    <t>island luck the winning number</t>
  </si>
  <si>
    <t>a sure win app</t>
  </si>
  <si>
    <t>a sure win bonus</t>
  </si>
  <si>
    <t>a sure win caribbean</t>
  </si>
  <si>
    <t>island luck winning numbers for today youtube</t>
  </si>
  <si>
    <t>a sure win cash out</t>
  </si>
  <si>
    <t>island luck farrington road</t>
  </si>
  <si>
    <t>florida lottery</t>
  </si>
  <si>
    <t>a sure win casino games</t>
  </si>
  <si>
    <t>bahamas island luck bahamas</t>
  </si>
  <si>
    <t>Sitelinks,Top stories,Thumbnail,Video preview</t>
  </si>
  <si>
    <t>a sure win contact</t>
  </si>
  <si>
    <t>chances of winning the lottery percentage</t>
  </si>
  <si>
    <t>4088, 3963, 4550, 4517, 4263, 4475, 4362, 4073, 4714, 4036, 3963, 3706, 4031, 3908, 4486, 4454, 4203, 4412, 4300, 4016, 4647, 3979, 3907, 3654</t>
  </si>
  <si>
    <t>a sure win customer service</t>
  </si>
  <si>
    <t>3974, 3852, 4423, 4391, 4144, 4349, 4239, 3959, 4581, 3922, 3851, 3602, 3917</t>
  </si>
  <si>
    <t>island luck winning numbers for yesterday</t>
  </si>
  <si>
    <t>a sure win demo</t>
  </si>
  <si>
    <t>account account island luck login</t>
  </si>
  <si>
    <t>a sure win deposit</t>
  </si>
  <si>
    <t>the island luck</t>
  </si>
  <si>
    <t>a sure win freeport</t>
  </si>
  <si>
    <t>lottery results</t>
  </si>
  <si>
    <t>a sure win games</t>
  </si>
  <si>
    <t>asurewin location</t>
  </si>
  <si>
    <t>a sure win lottery post</t>
  </si>
  <si>
    <t>3122, 2582, 5063, 4369, 3849, 3516, 4541, 3977, 4344, 3563, 3408, 2962, 3235, 2675, 5246, 4526, 3987, 3642, 4703, 4118, 4498, 3688, 3527, 3065</t>
  </si>
  <si>
    <t>3348, 2768, 5428, 4683, 4125, 3767, 4864, 4259, 4651, 3814, 3647, 3169, 3461</t>
  </si>
  <si>
    <t>a sure win lottery results</t>
  </si>
  <si>
    <t>a sure win mobile</t>
  </si>
  <si>
    <t>island luck casino open now</t>
  </si>
  <si>
    <t>a sure win near me</t>
  </si>
  <si>
    <t>island luck winning numbers for last night</t>
  </si>
  <si>
    <t>a sure win number</t>
  </si>
  <si>
    <t>chances winning numbers login</t>
  </si>
  <si>
    <t>a sure win numbers</t>
  </si>
  <si>
    <t>a sure win odds</t>
  </si>
  <si>
    <t>island luck free demo</t>
  </si>
  <si>
    <t>a sure win online casino</t>
  </si>
  <si>
    <t>a sure win pggames com</t>
  </si>
  <si>
    <t>island luck cowpen</t>
  </si>
  <si>
    <t>a sure win phone number</t>
  </si>
  <si>
    <t>island luck demo play</t>
  </si>
  <si>
    <t>a sure win promotions</t>
  </si>
  <si>
    <t>island luck exuma</t>
  </si>
  <si>
    <t>a sure win results today</t>
  </si>
  <si>
    <t>a sure win review</t>
  </si>
  <si>
    <t>island luck carmichael</t>
  </si>
  <si>
    <t>a sure win reviews</t>
  </si>
  <si>
    <t>a sure win sports betting</t>
  </si>
  <si>
    <t>a sure win sportsbook</t>
  </si>
  <si>
    <t>a sure win stores</t>
  </si>
  <si>
    <t>island luck number freeport</t>
  </si>
  <si>
    <t>a sure win vs paradise games</t>
  </si>
  <si>
    <t>2729, 2780, 2879, 2751, 2893, 2795, 2761, 2964, 2767, 2739, 2650, 2574, 2728, 2780, 2879, 2751, 2893, 2795, 2761, 2964, 2766, 2739, 2650, 2574</t>
  </si>
  <si>
    <t>a sure win web cafe</t>
  </si>
  <si>
    <t>2728, 2780, 2879, 2751, 2893, 2795, 2761, 2964, 2766, 2739, 2650, 2574, 2728</t>
  </si>
  <si>
    <t>Sandbox games</t>
  </si>
  <si>
    <t>paradise game</t>
  </si>
  <si>
    <t>game chances</t>
  </si>
  <si>
    <t>a sure win winning number</t>
  </si>
  <si>
    <t>Sitelinks,People also ask,Thumbnail,Video preview</t>
  </si>
  <si>
    <t>island luck login winning numbers island luck</t>
  </si>
  <si>
    <t>a sure win winning numbers today</t>
  </si>
  <si>
    <t>1856, 2074, 2293, 2402, 2729, 1965, 1528, 1747, 1965, 2184, 2830, 2393, 2043, 2048, 2481, 2482, 2218, 2433, 2432, 2956, 2003, 2184, 1834, 1739</t>
  </si>
  <si>
    <t>a sure win withdrawal</t>
  </si>
  <si>
    <t>1925, 1952, 2381, 2233, 2372, 2279, 2448, 2686, 2296, 2249, 2303, 2141, 1914</t>
  </si>
  <si>
    <t>island luck winning numbers bahamas</t>
  </si>
  <si>
    <t>Simulation games</t>
  </si>
  <si>
    <t>ultra game</t>
  </si>
  <si>
    <t>asurewin alternative</t>
  </si>
  <si>
    <t>island luck marathon mall</t>
  </si>
  <si>
    <t>asurewin alternatives</t>
  </si>
  <si>
    <t>paradise games hiring</t>
  </si>
  <si>
    <t>2209, 934, 1035, 2401, 1550, 1469, 1427, 1516, 1457, 1443, 1894, 1601, 1504, 1468, 1453, 1784, 3654, 4247, 2901, 1816, 1445, 1726, 1532, 1376</t>
  </si>
  <si>
    <t>1343, 1015, 1105, 1350, 1349, 1534, 1396, 1530, 1068, 1142, 1195, 1011, 1053</t>
  </si>
  <si>
    <t>asurewin app</t>
  </si>
  <si>
    <t>island luck demo casino games</t>
  </si>
  <si>
    <t>chances lottery</t>
  </si>
  <si>
    <t>asurewin bonus</t>
  </si>
  <si>
    <t>asurewin caribbean</t>
  </si>
  <si>
    <t>login island luck winning numbers</t>
  </si>
  <si>
    <t>winning numbers</t>
  </si>
  <si>
    <t>asurewin cash out</t>
  </si>
  <si>
    <t>island luck login full site</t>
  </si>
  <si>
    <t>asurewin casino games</t>
  </si>
  <si>
    <t>Top stories,Thumbnail,Video preview</t>
  </si>
  <si>
    <t>asurewin customer service</t>
  </si>
  <si>
    <t>1892, 1852, 1924, 1801, 1951, 1972, 1893, 2029, 1916, 1872, 1904, 1803, 1888, 1849, 1921, 1799, 1949, 1971, 1892, 2028, 1915, 1871, 1904, 1802</t>
  </si>
  <si>
    <t>1888, 1848, 1921, 1799, 1949, 1970, 1892, 2028, 1915, 1871, 1904, 1802, 1888</t>
  </si>
  <si>
    <t>island luck - nassau winning numbers</t>
  </si>
  <si>
    <t>winning numbers winning numbers</t>
  </si>
  <si>
    <t>chances casino winning numbers</t>
  </si>
  <si>
    <t>Top stories,Thumbnail</t>
  </si>
  <si>
    <t>chances winning</t>
  </si>
  <si>
    <t>1791, 1644, 1753, 1778, 1824, 1812, 1758, 1945, 1839, 1795, 1791, 1918, 1915, 1757, 1873, 1899, 1947, 1934, 1876, 2074, 1961, 1914, 1908, 2043</t>
  </si>
  <si>
    <t>2039, 1870, 1993, 2020, 2071, 2056, 1993, 2204, 2082, 2032, 2026, 2168, 2163</t>
  </si>
  <si>
    <t>powerball</t>
  </si>
  <si>
    <t>asurewin deposit</t>
  </si>
  <si>
    <t>AI Overview</t>
  </si>
  <si>
    <t>asurewin freeport</t>
  </si>
  <si>
    <t>27, 14, 6, 13, 10, 13, 20, 18, 9, 11, 18, 19, 9, 10, 17, 11, 21, 12, 11, 16, 14, 15, 13, 19</t>
  </si>
  <si>
    <t>21, 18, 15, 15, 17, 15, 13, 13, 14, 15, 13, 20, 22</t>
  </si>
  <si>
    <t>Sitelinks,Top stories,Thumbnail,People also ask,Video preview,Knowledge panel</t>
  </si>
  <si>
    <t>island luck southwest plaza number</t>
  </si>
  <si>
    <t>asurewin lottery post</t>
  </si>
  <si>
    <t>1070, 889, 778, 938, 922, 885, 742, 856, 869, 701, 894, 705, 687, 559, 1103, 2038, 2935, 1025, 1199, 3704, 2171, 1612, 1425, 1366</t>
  </si>
  <si>
    <t>1145, 1185, 1496, 1462, 1725, 1909, 2452, 2070, 2302, 1709, 1510, 1447, 1212</t>
  </si>
  <si>
    <t>asurewin lottery results</t>
  </si>
  <si>
    <t>island luck coral harbor</t>
  </si>
  <si>
    <t>asurewin near me</t>
  </si>
  <si>
    <t>www chances winning numbers</t>
  </si>
  <si>
    <t>asurewin odds</t>
  </si>
  <si>
    <t>asurewin online casino</t>
  </si>
  <si>
    <t>asure win</t>
  </si>
  <si>
    <t>island luck big bang 2025</t>
  </si>
  <si>
    <t>asurewin pggames com</t>
  </si>
  <si>
    <t>island luck games winning numbers</t>
  </si>
  <si>
    <t>asurewin promotions</t>
  </si>
  <si>
    <t>884, 721, 885, 895, 890, 722, 908, 892, 887, 886, 891, 907, 1237, 1171, 1099, 1394, 1761, 2131, 1606, 1814, 1728, 1619, 1631, 1619</t>
  </si>
  <si>
    <t>1632, 1657, 1570, 1525, 1604, 1636, 1646, 1747, 1652, 1549, 1557, 1548, 1559</t>
  </si>
  <si>
    <t>owner of island luck</t>
  </si>
  <si>
    <t>chances winning numbers island luck</t>
  </si>
  <si>
    <t>asurewin results today</t>
  </si>
  <si>
    <t>asurewin review</t>
  </si>
  <si>
    <t>island luck numbers for today</t>
  </si>
  <si>
    <t>asurewin reviews</t>
  </si>
  <si>
    <t>paradise games login mobile</t>
  </si>
  <si>
    <t>asurewin sports betting</t>
  </si>
  <si>
    <t>asurewin sportsbook</t>
  </si>
  <si>
    <t>asurewin stores</t>
  </si>
  <si>
    <t>asurewin vs paradise games</t>
  </si>
  <si>
    <t>chances game winning numbers</t>
  </si>
  <si>
    <t>islandluck.com</t>
  </si>
  <si>
    <t>asurewin web cafe</t>
  </si>
  <si>
    <t>asurewin withdrawal</t>
  </si>
  <si>
    <t>chances alternative</t>
  </si>
  <si>
    <t>chances winning numbers chances</t>
  </si>
  <si>
    <t>chances alternatives</t>
  </si>
  <si>
    <t>island luck freeport number</t>
  </si>
  <si>
    <t>chances bonus</t>
  </si>
  <si>
    <t>chances caribbean</t>
  </si>
  <si>
    <t>chances cash out</t>
  </si>
  <si>
    <t>chances contact</t>
  </si>
  <si>
    <t>1789, 1746, 1721, 1631, 1791, 1733, 1712, 1739, 1491, 1459, 1477, 1393, 1525, 1485, 1464, 1377, 1541, 1487, 1468, 1499, 1254, 1225, 1247, 1166</t>
  </si>
  <si>
    <t>1300, 1264, 1245, 1162, 1328, 1277, 1261, 1295, 1052, 1027, 1051, 972, 1109</t>
  </si>
  <si>
    <t>chances customer service</t>
  </si>
  <si>
    <t>island luck island luck island luck</t>
  </si>
  <si>
    <t>chances deposit</t>
  </si>
  <si>
    <t>Sitelinks,Video preview,Local teaser pack,People also ask</t>
  </si>
  <si>
    <t>chances games alternative</t>
  </si>
  <si>
    <t>island luck fox hill</t>
  </si>
  <si>
    <t>chances games alternatives</t>
  </si>
  <si>
    <t>www-islandluck-com</t>
  </si>
  <si>
    <t>chances games app</t>
  </si>
  <si>
    <t>1550, 1238, 1295, 1029, 964, 1019, 1011, 1142, 1031, 1151, 1259, 1169, 1607, 1284, 1343, 1067, 999, 1056, 1048, 1184, 1068, 1192, 1304, 1211</t>
  </si>
  <si>
    <t>asurewin casino</t>
  </si>
  <si>
    <t>1665, 1330, 1391, 1105, 1035, 1093, 1085, 1226, 1105, 1234, 1350, 1253, 1722</t>
  </si>
  <si>
    <t>chances games bonus</t>
  </si>
  <si>
    <t>pg games</t>
  </si>
  <si>
    <t>chances games caribbean</t>
  </si>
  <si>
    <t>chances games cash out</t>
  </si>
  <si>
    <t>chances of winning powerball</t>
  </si>
  <si>
    <t>2027, 2044, 3009, 3748, 3663, 3573, 2507, 2452, 1990, 1709, 1424, 1769, 1425, 1426, 1770, 1503, 1509, 1450, 1491, 1019, 866, 780, 780, 635</t>
  </si>
  <si>
    <t>471, 436, 482, 505, 495, 515, 556, 639, 431, 330, 392, 248, 128</t>
  </si>
  <si>
    <t>Video games; Educational games; Lottery; Sports betting</t>
  </si>
  <si>
    <t>chances games casino games</t>
  </si>
  <si>
    <t>chances games contact</t>
  </si>
  <si>
    <t>chances games customer service</t>
  </si>
  <si>
    <t>island luck mobile winning numbers</t>
  </si>
  <si>
    <t>everybody wins</t>
  </si>
  <si>
    <t>chances games deposit</t>
  </si>
  <si>
    <t>Sitelinks,Local pack,Video preview</t>
  </si>
  <si>
    <t>chances games lottery post</t>
  </si>
  <si>
    <t>URL</t>
  </si>
  <si>
    <t>1351, 1319, 1320, 1111, 1161, 1096, 1227, 1413, 1221, 1254, 1333, 1184, 1229, 1202, 1201, 995, 1044, 981, 1112, 1300, 1108, 1143, 1222, 1074</t>
  </si>
  <si>
    <t>chances games lottery results</t>
  </si>
  <si>
    <t>1120, 1094, 1093, 889, 939, 877, 1008, 1198, 1006, 1041, 1122, 975, 1021</t>
  </si>
  <si>
    <t>surewin</t>
  </si>
  <si>
    <t>chances games numbers</t>
  </si>
  <si>
    <t>Lottery; Reference</t>
  </si>
  <si>
    <t>Parent Topic</t>
  </si>
  <si>
    <t>chances games odds</t>
  </si>
  <si>
    <t>island luck nassau bahamas</t>
  </si>
  <si>
    <t>Parent Topic Volume</t>
  </si>
  <si>
    <t>485, 404, 481, 703, 680, 672, 830, 701, 730, 791, 943, 748, 861, 1005, 841, 1127, 1041, 1263, 1181, 1118, 1053, 1066, 1089, 1087</t>
  </si>
  <si>
    <t>1087, 1050, 1002, 1038, 1020, 1081, 1090, 1069, 990, 1007, 1027, 1029, 1027</t>
  </si>
  <si>
    <t>Backlinks</t>
  </si>
  <si>
    <t>chances games online casino</t>
  </si>
  <si>
    <t>login login island luck winning numbers</t>
  </si>
  <si>
    <t>Referring Domains</t>
  </si>
  <si>
    <t>URL rating</t>
  </si>
  <si>
    <t>Domain rating</t>
  </si>
  <si>
    <t>chances games pggames com</t>
  </si>
  <si>
    <t>Words</t>
  </si>
  <si>
    <t>Traffic</t>
  </si>
  <si>
    <t>chances games promotions</t>
  </si>
  <si>
    <t>island luck contact number</t>
  </si>
  <si>
    <t>Value</t>
  </si>
  <si>
    <t>Keywords</t>
  </si>
  <si>
    <t>Top Keyword</t>
  </si>
  <si>
    <t>lottery</t>
  </si>
  <si>
    <t>chances games results today</t>
  </si>
  <si>
    <t>Local teaser pack</t>
  </si>
  <si>
    <t>Top Keyword Volume</t>
  </si>
  <si>
    <t>lottery post</t>
  </si>
  <si>
    <t>chances games review</t>
  </si>
  <si>
    <t>Position</t>
  </si>
  <si>
    <t>Type</t>
  </si>
  <si>
    <t>login account account island luck login</t>
  </si>
  <si>
    <t>Title</t>
  </si>
  <si>
    <t>761, 662, 776, 785, 766, 763, 1010, 768, 769, 747, 795, 778, 768, 661, 681, 764, 954, 1447, 933, 1404, 1248, 1111, 1186, 1203</t>
  </si>
  <si>
    <t>chances games reviews</t>
  </si>
  <si>
    <t>1164, 1042, 1255, 1250, 1107, 1217, 1132, 1242, 1284, 1136, 1207, 1220, 1178</t>
  </si>
  <si>
    <t>island luck login account login account login</t>
  </si>
  <si>
    <t>chances games sports betting</t>
  </si>
  <si>
    <t>chances games sportsbook</t>
  </si>
  <si>
    <t>island luck games login</t>
  </si>
  <si>
    <t>chances games stores</t>
  </si>
  <si>
    <t>chances games vs paradise games</t>
  </si>
  <si>
    <t>chances games web cafe</t>
  </si>
  <si>
    <t>chances games winning numbers today</t>
  </si>
  <si>
    <t>island luck near nassau</t>
  </si>
  <si>
    <t>chances games withdrawal</t>
  </si>
  <si>
    <t>island luck head office</t>
  </si>
  <si>
    <t>chances lottery post</t>
  </si>
  <si>
    <t>miami lottery</t>
  </si>
  <si>
    <t>chances lottery results</t>
  </si>
  <si>
    <t>Games</t>
  </si>
  <si>
    <t>today today island luck winning numbers</t>
  </si>
  <si>
    <t>chances odds</t>
  </si>
  <si>
    <t>island luck winning numbers please</t>
  </si>
  <si>
    <t>Informational,Non-branded,Local</t>
  </si>
  <si>
    <t>929, 864, 913, 913, 975, 907, 1534, 968, 931, 790, 971, 1025, 978, 882, 900, 1193, 943, 929, 945, 1263, 1023, 883, 909, 908</t>
  </si>
  <si>
    <t>1058, 1089, 1092, 969, 1034, 989, 1053, 1006, 1035, 894, 920, 920, 1071</t>
  </si>
  <si>
    <t>www chances games com winning numbers</t>
  </si>
  <si>
    <t>chances pggames com</t>
  </si>
  <si>
    <t>island luck downtown</t>
  </si>
  <si>
    <t>chances promotions</t>
  </si>
  <si>
    <t>account island luck login</t>
  </si>
  <si>
    <t>chances results today</t>
  </si>
  <si>
    <t>casino lobby island luck demo login</t>
  </si>
  <si>
    <t>chances review</t>
  </si>
  <si>
    <t>winning island luck login</t>
  </si>
  <si>
    <t>island luck sign up</t>
  </si>
  <si>
    <t>casino lobby demo</t>
  </si>
  <si>
    <t>chances reviews</t>
  </si>
  <si>
    <t>Navigational,Commercial,Transactional,Branded,Non-local</t>
  </si>
  <si>
    <t>chances login in app</t>
  </si>
  <si>
    <t>chances sportsbook</t>
  </si>
  <si>
    <t>island luck nassau winning numbers</t>
  </si>
  <si>
    <t>chances stores</t>
  </si>
  <si>
    <t>1207, 1252, 1241, 989, 888, 1021, 1008, 847, 798, 690, 640, 650, 813, 561, 956, 1076, 955, 798, 805, 802, 776, 784, 791, 836</t>
  </si>
  <si>
    <t>889, 798, 911, 854, 882, 892, 801, 798, 776, 784, 791, 836, 889</t>
  </si>
  <si>
    <t>chances vs paradise games</t>
  </si>
  <si>
    <t>chances withdrawal</t>
  </si>
  <si>
    <t>everybody wins live alternative</t>
  </si>
  <si>
    <t>big bang island luck</t>
  </si>
  <si>
    <t>everybody wins live alternatives</t>
  </si>
  <si>
    <t>nassau games</t>
  </si>
  <si>
    <t>everybody wins live app</t>
  </si>
  <si>
    <t>chances chances</t>
  </si>
  <si>
    <t>everybody wins live bahamas</t>
  </si>
  <si>
    <t>everybody wins live bonus</t>
  </si>
  <si>
    <t>759, 744, 768, 763, 772, 770, 772, 805, 739, 709, 701, 659, 660, 648, 671, 667, 677, 677, 680, 711, 653, 628, 623, 586</t>
  </si>
  <si>
    <t>chances cocktail lounge &amp; bar freeport</t>
  </si>
  <si>
    <t>589, 579, 601, 599, 609, 610, 614, 643, 592, 571, 567, 535, 538</t>
  </si>
  <si>
    <t>Casino games; Video games; Lottery; Sports betting</t>
  </si>
  <si>
    <t>asure login</t>
  </si>
  <si>
    <t>everybody wins live caribbean</t>
  </si>
  <si>
    <t>chances east street south</t>
  </si>
  <si>
    <t>everybody wins live cash out</t>
  </si>
  <si>
    <t>island luck customer service phone number</t>
  </si>
  <si>
    <t>109, 434, 440, 806, 602, 75, 823, 600, 491, 563, 674, 761, 416, 578, 416, 538, 464, 835, 637, 343, 409, 884, 744, 530</t>
  </si>
  <si>
    <t>623, 788, 616, 589, 673, 577, 750, 722, 685, 656, 755, 737, 660</t>
  </si>
  <si>
    <t>everybody wins live casino games</t>
  </si>
  <si>
    <t>Human</t>
  </si>
  <si>
    <t>winning numbers winning numbers today</t>
  </si>
  <si>
    <t>everybody wins live contact</t>
  </si>
  <si>
    <t>crack the code island luck</t>
  </si>
  <si>
    <t>everybody wins live customer service</t>
  </si>
  <si>
    <t>325, 843, 1038, 2496, 1627, 386, 479, 754, 1411, 1028, 1419, 887, 822, 311, 392, 370, 662, 189, 170, 702, 1089, 323, 718, 480</t>
  </si>
  <si>
    <t>chances winning numbers island luck winning numbers</t>
  </si>
  <si>
    <t>everybody wins live demo</t>
  </si>
  <si>
    <t>everybodywinslive</t>
  </si>
  <si>
    <t>everybody wins live deposit</t>
  </si>
  <si>
    <t>everybody wins live freeport</t>
  </si>
  <si>
    <t>556, 902, 405, 461, 461, 472, 583, 695, 737, 462, 461, 461, 574, 461, 477, 465, 612, 542, 567, 603, 496, 430, 462, 428</t>
  </si>
  <si>
    <t>473, 508, 504, 510, 513, 516, 549, 585, 478, 412, 444, 410, 455</t>
  </si>
  <si>
    <t>florida lottery winning numbers</t>
  </si>
  <si>
    <t>everybody wins live games</t>
  </si>
  <si>
    <t>everybody wins live locations</t>
  </si>
  <si>
    <t>Sitelinks,Top stories,Thumbnail,People also ask,Video preview</t>
  </si>
  <si>
    <t>610, 693, 643, 722, 593, 591, 588, 592, 559, 463, 450, 449, 444, 401, 418, 642, 638, 477, 467, 618, 581, 556, 573, 547</t>
  </si>
  <si>
    <t>525, 532, 563, 560, 526, 556, 562, 603, 582, 557, 574, 548, 525</t>
  </si>
  <si>
    <t>lottery florida</t>
  </si>
  <si>
    <t>demo island luck</t>
  </si>
  <si>
    <t>nassau games island luck</t>
  </si>
  <si>
    <t>everybody wins live login</t>
  </si>
  <si>
    <t>chances games demo login</t>
  </si>
  <si>
    <t>310, 338, 326, 310, 417, 407, 393, 412, 421, 416, 491, 410, 399, 400, 413, 403, 527, 558, 559, 633, 611, 579, 615, 601</t>
  </si>
  <si>
    <t>everybody wins live lottery post</t>
  </si>
  <si>
    <t>603, 608, 625, 620, 623, 624, 612, 624, 615, 583, 618, 604, 606</t>
  </si>
  <si>
    <t>assure win</t>
  </si>
  <si>
    <t>winning numbers island luck</t>
  </si>
  <si>
    <t>everybody wins live lottery results</t>
  </si>
  <si>
    <t>everybody wins live mobile</t>
  </si>
  <si>
    <t>login winning numbers login island luck</t>
  </si>
  <si>
    <t>305, 664, 509, 687, 511, 520, 473, 518, 729, 529, 608, 509, 563, 311, 365, 415, 515, 477, 588, 523, 504, 466, 519, 532</t>
  </si>
  <si>
    <t>586, 725, 675, 608, 629, 596, 557, 599, 582, 537, 597, 610, 671</t>
  </si>
  <si>
    <t>everybody wins live nassau</t>
  </si>
  <si>
    <t>paradise games careers login</t>
  </si>
  <si>
    <t>islandluck mobile</t>
  </si>
  <si>
    <t>everybody wins live near me</t>
  </si>
  <si>
    <t>island luck winning numbers chances</t>
  </si>
  <si>
    <t>everybody wins live number</t>
  </si>
  <si>
    <t>logo island luck logo</t>
  </si>
  <si>
    <t>640, 521, 583, 421, 360, 581, 522, 786, 478, 478, 507, 523, 568, 465, 521, 360, 301, 529, 461, 739, 420, 423, 452, 468</t>
  </si>
  <si>
    <t>everybody wins live numbers</t>
  </si>
  <si>
    <t>513, 412, 467, 309, 251, 477, 410, 685, 371, 374, 403, 419, 464</t>
  </si>
  <si>
    <t>chancesgames.com winners take chances</t>
  </si>
  <si>
    <t>sure win games</t>
  </si>
  <si>
    <t>chances casino login</t>
  </si>
  <si>
    <t>everybody wins live odds</t>
  </si>
  <si>
    <t>everybody wins live online casino</t>
  </si>
  <si>
    <t>382, 347, 301, 428, 335, 308, 303, 369, 273, 337, 592, 320, 439, 501, 558, 546, 454, 613, 308, 431, 443, 473, 482, 436</t>
  </si>
  <si>
    <t>everybody wins live pggames com</t>
  </si>
  <si>
    <t>439, 469, 457, 486, 421, 421, 414, 473, 444, 473, 482, 436, 439</t>
  </si>
  <si>
    <t>island luck winning numbers login bahamas</t>
  </si>
  <si>
    <t>casino demo games</t>
  </si>
  <si>
    <t>everybody wins live phone number</t>
  </si>
  <si>
    <t>island luck winning numbers for today show</t>
  </si>
  <si>
    <t>everybody wins live promotions</t>
  </si>
  <si>
    <t>Thumbnail</t>
  </si>
  <si>
    <t>everybody wins live results today</t>
  </si>
  <si>
    <t>island luck login number</t>
  </si>
  <si>
    <t>Non-branded,Non-local</t>
  </si>
  <si>
    <t>226, 241, 357, 359, 367, 416, 339, 352, 356, 360, 353, 360, 501, 497, 491, 415, 433, 364, 348, 430, 423, 399, 374, 372</t>
  </si>
  <si>
    <t>420, 427, 452, 401, 380, 400, 426, 397, 423, 399, 374, 372, 420</t>
  </si>
  <si>
    <t>everybody wins live review</t>
  </si>
  <si>
    <t>sure wins</t>
  </si>
  <si>
    <t>everybody wins live reviews</t>
  </si>
  <si>
    <t>island luck winning number for the day</t>
  </si>
  <si>
    <t>everybody wins live sports betting</t>
  </si>
  <si>
    <t>278, 252, 284, 373, 338, 329, 428, 348, 337, 343, 421, 355, 340, 433, 347, 419, 410, 501, 422, 391, 381, 370, 365, 369</t>
  </si>
  <si>
    <t>365, 409, 366, 361, 385, 465, 441, 400, 380, 370, 365, 369, 365</t>
  </si>
  <si>
    <t>everybody wins live sportsbook</t>
  </si>
  <si>
    <t>island luck customer service number nassau</t>
  </si>
  <si>
    <t>everybody wins live stores</t>
  </si>
  <si>
    <t>island luck island luck winning number</t>
  </si>
  <si>
    <t>everybody wins live vs paradise games</t>
  </si>
  <si>
    <t>everybody wins live web cafe</t>
  </si>
  <si>
    <t>everybody wins live winning number</t>
  </si>
  <si>
    <t>island luck careers</t>
  </si>
  <si>
    <t>everybody wins live withdrawal</t>
  </si>
  <si>
    <t>ultra games careers</t>
  </si>
  <si>
    <t>island luck.com</t>
  </si>
  <si>
    <t>island luck alternative</t>
  </si>
  <si>
    <t>2, 14, 3, 4, 5, 0, 2, 0, 1, 1, 10, 9, 8, 4, 4, 4, 6, 12, 11, 19, 20, 17, 21, 1</t>
  </si>
  <si>
    <t>island luck alternatives</t>
  </si>
  <si>
    <t>island luck desktop</t>
  </si>
  <si>
    <t>island luck bonus</t>
  </si>
  <si>
    <t>393, 442, 421, 385, 397, 350, 437, 376, 352, 307, 383, 303, 399, 448, 427, 389, 400, 352, 440, 378, 354, 309, 385, 304</t>
  </si>
  <si>
    <t>400, 449, 427, 389, 401, 353, 440, 378, 354, 309, 385, 304, 400</t>
  </si>
  <si>
    <t>island luck caribbean</t>
  </si>
  <si>
    <t>chances lotofacil</t>
  </si>
  <si>
    <t>island luck cash out</t>
  </si>
  <si>
    <t>island luck casino bahamas</t>
  </si>
  <si>
    <t>island luck deposit</t>
  </si>
  <si>
    <t>island luck lottery post</t>
  </si>
  <si>
    <t>island luck odds</t>
  </si>
  <si>
    <t>casino chances of winning</t>
  </si>
  <si>
    <t>powerball winning numbers</t>
  </si>
  <si>
    <t>island luck online casino</t>
  </si>
  <si>
    <t>island luck pggames com</t>
  </si>
  <si>
    <t>island luck login in nassau bahamas online</t>
  </si>
  <si>
    <t>Top stories,Thumbnail,Sitelinks,Knowledge panel,Video preview</t>
  </si>
  <si>
    <t>island luck promotions</t>
  </si>
  <si>
    <t>105, 131, 106, 239, 128, 127, 124, 158, 129, 126, 196, 127, 130, 98, 163, 357, 641, 206, 241, 1105, 530, 342, 247, 272</t>
  </si>
  <si>
    <t>224, 219, 280, 249, 267, 271, 494, 448, 603, 388, 279, 306, 252</t>
  </si>
  <si>
    <t>island luck results today</t>
  </si>
  <si>
    <t>menstrual cycle chances of pregnancy</t>
  </si>
  <si>
    <t>islandluck login</t>
  </si>
  <si>
    <t>island luck review</t>
  </si>
  <si>
    <t>island luck web cafe sign up</t>
  </si>
  <si>
    <t>island luck reviews</t>
  </si>
  <si>
    <t>island luck stores</t>
  </si>
  <si>
    <t>island luck winning numbers history</t>
  </si>
  <si>
    <t>island luck vs paradise games</t>
  </si>
  <si>
    <t>286, 287, 351, 527, 433, 432, 442, 607, 704, 544, 585, 398, 361, 373, 355, 353, 351, 350, 352, 351, 303, 311, 288, 269</t>
  </si>
  <si>
    <t>268, 246, 238, 225, 199, 197, 198, 226, 182, 193, 177, 164, 167</t>
  </si>
  <si>
    <t>chances of getting pregnant with hyperthyroidism</t>
  </si>
  <si>
    <t>paradise games alternative</t>
  </si>
  <si>
    <t>powerball jackpot</t>
  </si>
  <si>
    <t>take chances in life</t>
  </si>
  <si>
    <t>paradise games alternatives</t>
  </si>
  <si>
    <t>Sitelinks,Top stories,Thumbnail,Video preview,People also ask</t>
  </si>
  <si>
    <t>paradise games app</t>
  </si>
  <si>
    <t>42, 44, 35, 72, 53, 45, 45, 65, 44, 66, 52, 68, 64, 53, 83, 210, 1158, 132, 156, 1549, 293, 132, 168, 194</t>
  </si>
  <si>
    <t>113, 115, 286, 138, 440, 968, 809, 763, 391, 175, 222, 255, 148</t>
  </si>
  <si>
    <t>island luck winning numbers last night</t>
  </si>
  <si>
    <t>www.islandluck.com</t>
  </si>
  <si>
    <t>paradise games bonus</t>
  </si>
  <si>
    <t>chances of getting pregnant on depo</t>
  </si>
  <si>
    <t>paradise games caribbean</t>
  </si>
  <si>
    <t>chances of you winning the lottery</t>
  </si>
  <si>
    <t>paradise games cash out</t>
  </si>
  <si>
    <t>paradise games casino games</t>
  </si>
  <si>
    <t>pggames. com</t>
  </si>
  <si>
    <t>paradise games deposit</t>
  </si>
  <si>
    <t>paradise games lottery post</t>
  </si>
  <si>
    <t>paradise games lottery results</t>
  </si>
  <si>
    <t>chances of getting blackjack</t>
  </si>
  <si>
    <t>391, 364, 375, 323, 301, 363, 371, 377, 333, 340, 342, 354, 386, 360, 371, 321, 299, 361, 369, 376, 332, 339, 342, 354</t>
  </si>
  <si>
    <t>385, 360, 371, 321, 299, 361, 369, 376, 332, 339, 342, 354, 385</t>
  </si>
  <si>
    <t>paradise games numbers</t>
  </si>
  <si>
    <t>island luck east street south</t>
  </si>
  <si>
    <t>ways to improve chances of getting pregnant</t>
  </si>
  <si>
    <t>paradise games odds</t>
  </si>
  <si>
    <t>island luck tv news</t>
  </si>
  <si>
    <t>paradise games online casino</t>
  </si>
  <si>
    <t>paradise games pggames com</t>
  </si>
  <si>
    <t>quote about taking chances</t>
  </si>
  <si>
    <t>paradise games promotions</t>
  </si>
  <si>
    <t>chances jobs</t>
  </si>
  <si>
    <t>paradise games results today</t>
  </si>
  <si>
    <t>washington commanders playoff chances</t>
  </si>
  <si>
    <t>paradise games review</t>
  </si>
  <si>
    <t>browns playoff chances</t>
  </si>
  <si>
    <t>nassau game</t>
  </si>
  <si>
    <t>paradise games reviews</t>
  </si>
  <si>
    <t>chances of winning lotto max</t>
  </si>
  <si>
    <t>332, 294, 361, 283, 308, 316, 268, 312, 279, 288, 296, 324, 331, 293, 360, 283, 307, 316, 267, 312, 278, 288, 296, 324</t>
  </si>
  <si>
    <t>331, 293, 360, 283, 307, 316, 267, 312, 278, 288, 296, 324, 331</t>
  </si>
  <si>
    <t>paradise games sports betting</t>
  </si>
  <si>
    <t>chances of getting pregnant calculator by age</t>
  </si>
  <si>
    <t>paradise games sportsbook</t>
  </si>
  <si>
    <t>chances of getting pregnant with fibroids</t>
  </si>
  <si>
    <t>paradise games stores</t>
  </si>
  <si>
    <t>missed 3 birth control pills chances of pregnancy</t>
  </si>
  <si>
    <t>paradise games vs paradise games</t>
  </si>
  <si>
    <t>chances of lightning striking you</t>
  </si>
  <si>
    <t>island game winning numbers</t>
  </si>
  <si>
    <t>paradise games withdrawal</t>
  </si>
  <si>
    <t>pggames alternative</t>
  </si>
  <si>
    <t>island luck careers login</t>
  </si>
  <si>
    <t>pggames alternatives</t>
  </si>
  <si>
    <t>chances of a plane crash</t>
  </si>
  <si>
    <t>pggames app</t>
  </si>
  <si>
    <t>281, 282, 282, 518, 421, 417, 425, 432, 523, 346, 418, 344, 341, 348, 348, 346, 346, 345, 286, 348, 325, 268, 282, 243</t>
  </si>
  <si>
    <t>246, 274, 300, 305, 328, 359, 303, 343, 325, 267, 281, 243, 245</t>
  </si>
  <si>
    <t>chances of getting into cornell</t>
  </si>
  <si>
    <t>pggames bahamas</t>
  </si>
  <si>
    <t>flowers games</t>
  </si>
  <si>
    <t>pggames bonus</t>
  </si>
  <si>
    <t>island luck scholarship</t>
  </si>
  <si>
    <t>pggames caribbean</t>
  </si>
  <si>
    <t>all fruit chances from cousin</t>
  </si>
  <si>
    <t>240, 197, 205, 388, 372, 379, 435, 360, 359, 285, 289, 243, 286, 285, 285, 286, 290, 363, 296, 363, 333, 321, 305, 256</t>
  </si>
  <si>
    <t>284, 282, 291, 277, 310, 306, 306, 315, 298, 291, 272, 225</t>
  </si>
  <si>
    <t>Casual games; Educational games; Family-oriented games</t>
  </si>
  <si>
    <t>chances of having twins</t>
  </si>
  <si>
    <t>pggames cash out</t>
  </si>
  <si>
    <t>chancesgames.com</t>
  </si>
  <si>
    <t>pggames casino games</t>
  </si>
  <si>
    <t>chances of having multiple stds</t>
  </si>
  <si>
    <t>pggames contact</t>
  </si>
  <si>
    <t>island luck tv live</t>
  </si>
  <si>
    <t>pggames customer service</t>
  </si>
  <si>
    <t>pggames demo</t>
  </si>
  <si>
    <t>resultados chances</t>
  </si>
  <si>
    <t>222, 127, 189, 238, 209, 261, 276, 370, 326, 316, 332, 275, 283, 238, 365, 251, 309, 354, 304, 336, 294, 274, 270, 236</t>
  </si>
  <si>
    <t>242, 246, 275, 273, 243, 291, 277, 282, 248, 228, 225, 191</t>
  </si>
  <si>
    <t>pggames deposit</t>
  </si>
  <si>
    <t>island luck winning numbers please google</t>
  </si>
  <si>
    <t>pggames freeport</t>
  </si>
  <si>
    <t>enough giving chances quotes</t>
  </si>
  <si>
    <t>pggames games</t>
  </si>
  <si>
    <t>chances of auburn winning march madness</t>
  </si>
  <si>
    <t>pggames locations</t>
  </si>
  <si>
    <t>pggames login</t>
  </si>
  <si>
    <t>chances of getting pregnant at 17</t>
  </si>
  <si>
    <t>pggames lottery post</t>
  </si>
  <si>
    <t>chances of successfully contesting a trust</t>
  </si>
  <si>
    <t>pggames lottery results</t>
  </si>
  <si>
    <t>asure</t>
  </si>
  <si>
    <t>pggames mobile</t>
  </si>
  <si>
    <t>pggames nassau</t>
  </si>
  <si>
    <t>chances of getting pregnant day before ovulation</t>
  </si>
  <si>
    <t>258, 158, 118, 205, 239, 121, 180, 142, 179, 219, 172, 235, 273, 162, 344, 245, 272, 245, 247, 260, 166, 189, 159, 187</t>
  </si>
  <si>
    <t>197, 162, 174, 171, 235, 210, 218, 218, 150, 171, 143, 178</t>
  </si>
  <si>
    <t>Pasta; Sports betting</t>
  </si>
  <si>
    <t>pg games.com</t>
  </si>
  <si>
    <t>pggames near me</t>
  </si>
  <si>
    <t>pggames number</t>
  </si>
  <si>
    <t>island luck collins avenue number</t>
  </si>
  <si>
    <t>805, 820, 665, 543, 550, 671, 684, 559, 550, 340, 397, 308, 226, 314, 225, 269, 222, 224, 188, 222, 1, 10, 11, 652</t>
  </si>
  <si>
    <t>pggames numbers</t>
  </si>
  <si>
    <t>160, 136, 115, 98, 239, 406, 210, 270, 278, 37, 572, 27, 23</t>
  </si>
  <si>
    <t>chances bingo</t>
  </si>
  <si>
    <t>chance games online</t>
  </si>
  <si>
    <t>pggames odds</t>
  </si>
  <si>
    <t>island luck login in nassau today</t>
  </si>
  <si>
    <t>chances of plan b work during ovulation</t>
  </si>
  <si>
    <t>pggames online casino</t>
  </si>
  <si>
    <t>theislandgame</t>
  </si>
  <si>
    <t>chances of getting pregnant on ovulation day by age</t>
  </si>
  <si>
    <t>pggames pggames com</t>
  </si>
  <si>
    <t>chances of pregnancy with clomid</t>
  </si>
  <si>
    <t>Sitelinks,Video preview,Local pack</t>
  </si>
  <si>
    <t>pggames phone number</t>
  </si>
  <si>
    <t>green bay playoff chances</t>
  </si>
  <si>
    <t>304, 298, 367, 284, 193, 237, 229, 272, 205, 227, 216, 232, 259, 247, 322, 236, 149, 192, 186, 228, 162, 185, 175, 191</t>
  </si>
  <si>
    <t>219, 207, 284, 198, 112, 155, 150, 192, 127, 150, 141, 158, 186</t>
  </si>
  <si>
    <t>pggames promotions</t>
  </si>
  <si>
    <t>chances locations nassau bahamas</t>
  </si>
  <si>
    <t>pggames results today</t>
  </si>
  <si>
    <t>jobs at island luck</t>
  </si>
  <si>
    <t>pggames review</t>
  </si>
  <si>
    <t>chances of getting pregnant from round 2</t>
  </si>
  <si>
    <t>casino lobby</t>
  </si>
  <si>
    <t>chances of surviving a heart attack</t>
  </si>
  <si>
    <t>pggames reviews</t>
  </si>
  <si>
    <t>pggames sports betting</t>
  </si>
  <si>
    <t>paradise games bermuda</t>
  </si>
  <si>
    <t>pggames sportsbook</t>
  </si>
  <si>
    <t>345, 355, 295, 246, 244, 293, 197, 202, 197, 236, 190, 198, 296, 231, 242, 230, 249, 231, 124, 166, 144, 145, 150, 156</t>
  </si>
  <si>
    <t>tired of giving chances</t>
  </si>
  <si>
    <t>162, 150, 164, 145, 134, 176, 157, 154, 131, 132, 137, 144, 149</t>
  </si>
  <si>
    <t>pggames stores</t>
  </si>
  <si>
    <t>chances of winning a civil lawsuit</t>
  </si>
  <si>
    <t>pggames vs paradise games</t>
  </si>
  <si>
    <t>pggames web cafe</t>
  </si>
  <si>
    <t>pggames winning number</t>
  </si>
  <si>
    <t>pggames winning numbers</t>
  </si>
  <si>
    <t>pggames winning numbers today</t>
  </si>
  <si>
    <t>pggames withdrawal</t>
  </si>
  <si>
    <t>fruity fortune demo</t>
  </si>
  <si>
    <t>the island game alternative</t>
  </si>
  <si>
    <t>chances winners take chances</t>
  </si>
  <si>
    <t>Branded,Non-local</t>
  </si>
  <si>
    <t>the island game alternatives</t>
  </si>
  <si>
    <t>chances of getting herpes from kissing</t>
  </si>
  <si>
    <t>164, 136, 161, 104, 161, 146, 106, 84, 65, 66, 128, 165, 131, 166, 258, 248, 250, 306, 201, 168, 183, 174, 182, 176</t>
  </si>
  <si>
    <t>the island game app</t>
  </si>
  <si>
    <t>179, 184, 185, 182, 188, 193, 170, 163, 168, 160, 168, 163, 166</t>
  </si>
  <si>
    <t>chances getting pregnant</t>
  </si>
  <si>
    <t>pgweb</t>
  </si>
  <si>
    <t>the island game bahamas</t>
  </si>
  <si>
    <t>chances casino app</t>
  </si>
  <si>
    <t>the island game bonus</t>
  </si>
  <si>
    <t>Utilities</t>
  </si>
  <si>
    <t>the island game caribbean</t>
  </si>
  <si>
    <t>chances of breast cancer recurrence</t>
  </si>
  <si>
    <t>the island game cash out</t>
  </si>
  <si>
    <t>island luck com winning numbers</t>
  </si>
  <si>
    <t>chance casino login</t>
  </si>
  <si>
    <t>the island game casino games</t>
  </si>
  <si>
    <t>giants playoff chances</t>
  </si>
  <si>
    <t>the island game contact</t>
  </si>
  <si>
    <t>take chances tattoo</t>
  </si>
  <si>
    <t>www.lottery results</t>
  </si>
  <si>
    <t>the island game customer service</t>
  </si>
  <si>
    <t>lotto chances of winning</t>
  </si>
  <si>
    <t>chances chilliwack</t>
  </si>
  <si>
    <t>the island game deposit</t>
  </si>
  <si>
    <t>chances of catching an std</t>
  </si>
  <si>
    <t>winning numbers winning numbers today florida</t>
  </si>
  <si>
    <t>the island game freeport</t>
  </si>
  <si>
    <t>giving second chances</t>
  </si>
  <si>
    <t>the island game lottery post</t>
  </si>
  <si>
    <t>island luck winning number island luck</t>
  </si>
  <si>
    <t>the island game lottery results</t>
  </si>
  <si>
    <t>ultragames web cafe</t>
  </si>
  <si>
    <t>scripture on second chances</t>
  </si>
  <si>
    <t>the island game near me</t>
  </si>
  <si>
    <t>the island game number</t>
  </si>
  <si>
    <t>chances of pregnancy outside ovulation</t>
  </si>
  <si>
    <t>the island game numbers</t>
  </si>
  <si>
    <t>island lock</t>
  </si>
  <si>
    <t>the island game odds</t>
  </si>
  <si>
    <t>the island game online casino</t>
  </si>
  <si>
    <t>the island game pggames com</t>
  </si>
  <si>
    <t>winning chances games</t>
  </si>
  <si>
    <t>the island game promotions</t>
  </si>
  <si>
    <t>ivf twins chances</t>
  </si>
  <si>
    <t>178, 173, 181, 189, 184, 173, 171, 164, 155, 163, 156, 150, 150, 148, 155, 164, 158, 149, 146, 140, 131, 139, 133, 127</t>
  </si>
  <si>
    <t>128, 126, 133, 143, 137, 128, 125, 119, 111, 119, 113, 107, 109</t>
  </si>
  <si>
    <t>the island game results today</t>
  </si>
  <si>
    <t>Lottery; Home safety</t>
  </si>
  <si>
    <t>chances of having an autistic child after 35</t>
  </si>
  <si>
    <t>the island game review</t>
  </si>
  <si>
    <t>chances of success at employment tribunal</t>
  </si>
  <si>
    <t>the island game sports betting</t>
  </si>
  <si>
    <t>the island game sportsbook</t>
  </si>
  <si>
    <t>island luck winnings today</t>
  </si>
  <si>
    <t>the island game stores</t>
  </si>
  <si>
    <t>island luck winning numbers island luck</t>
  </si>
  <si>
    <t>the island game vs paradise games</t>
  </si>
  <si>
    <t>chances of getting sick from mouse droppings</t>
  </si>
  <si>
    <t>the island game winning number</t>
  </si>
  <si>
    <t>lucky chances menu</t>
  </si>
  <si>
    <t>the island game winning numbers today</t>
  </si>
  <si>
    <t>paradise games cards</t>
  </si>
  <si>
    <t>the island game withdrawal</t>
  </si>
  <si>
    <t>island luck winning numbers island luck winning</t>
  </si>
  <si>
    <t>powerball numbers</t>
  </si>
  <si>
    <t>ultra games alternative</t>
  </si>
  <si>
    <t>Top stories,Thumbnail,Sitelinks</t>
  </si>
  <si>
    <t>chances of getting hpv from receiving oral</t>
  </si>
  <si>
    <t>ultra games alternatives</t>
  </si>
  <si>
    <t>chances of getting pregnant after 40</t>
  </si>
  <si>
    <t>island games</t>
  </si>
  <si>
    <t>ultra games app</t>
  </si>
  <si>
    <t>god of second chances</t>
  </si>
  <si>
    <t>ultra games bonus</t>
  </si>
  <si>
    <t>chances of having twins twice in a row</t>
  </si>
  <si>
    <t>109, 92, 110, 149, 136, 111, 114, 111, 111, 173, 293, 204, 304, 220, 156, 111, 120, 125, 146, 150, 84, 85, 100, 83</t>
  </si>
  <si>
    <t>ultra games caribbean</t>
  </si>
  <si>
    <t>Gambling; International sports competitions</t>
  </si>
  <si>
    <t>god is a god of second chances verse</t>
  </si>
  <si>
    <t>ultra games cash out</t>
  </si>
  <si>
    <t>chances of getting pregnant on birth control</t>
  </si>
  <si>
    <t>ultra games casino games</t>
  </si>
  <si>
    <t>chances maple ridge</t>
  </si>
  <si>
    <t>ultra games contact</t>
  </si>
  <si>
    <t>chances of getting pregnant at 38</t>
  </si>
  <si>
    <t>ultra games.com</t>
  </si>
  <si>
    <t>ultra games customer service</t>
  </si>
  <si>
    <t>island luck winning numbers ultra game</t>
  </si>
  <si>
    <t>ultra games deposit</t>
  </si>
  <si>
    <t>google island luck winning number</t>
  </si>
  <si>
    <t>casino lobby - demo</t>
  </si>
  <si>
    <t>ultra games freeport</t>
  </si>
  <si>
    <t>island luck live</t>
  </si>
  <si>
    <t>ultra games lottery post</t>
  </si>
  <si>
    <t>island luck app for android</t>
  </si>
  <si>
    <t>ultra games lottery results</t>
  </si>
  <si>
    <t>chance casino</t>
  </si>
  <si>
    <t>ultra games near me</t>
  </si>
  <si>
    <t>island luck winning numbers island game</t>
  </si>
  <si>
    <t>ultra games numbers</t>
  </si>
  <si>
    <t>does early application increase chances</t>
  </si>
  <si>
    <t>florida lotto</t>
  </si>
  <si>
    <t>chances de hoy</t>
  </si>
  <si>
    <t>washington playoff chances</t>
  </si>
  <si>
    <t>287, 296, 283, 290, 283, 231, 257, 261, 251, 189, 213, 175, 180, 141, 168, 208, 163, 146, 141, 176, 171, 169, 163, 166</t>
  </si>
  <si>
    <t>137, 137, 162, 150, 142, 137, 262, 313, 186, 184, 177, 180, 149</t>
  </si>
  <si>
    <t>sex on ovulation day chances</t>
  </si>
  <si>
    <t>winning numbers winning numbers yesterday</t>
  </si>
  <si>
    <t>chances of dying from vaping</t>
  </si>
  <si>
    <t>chances of getting cancer again</t>
  </si>
  <si>
    <t>chances of winning casino slots</t>
  </si>
  <si>
    <t>florida powerball</t>
  </si>
  <si>
    <t>chances of std with condom</t>
  </si>
  <si>
    <t>ultra games odds</t>
  </si>
  <si>
    <t>Sitelinks,Top stories,Thumbnail</t>
  </si>
  <si>
    <t>ultra games online casino</t>
  </si>
  <si>
    <t>chances of catching hiv</t>
  </si>
  <si>
    <t>ultra games pggames com</t>
  </si>
  <si>
    <t>island luck account sign up</t>
  </si>
  <si>
    <t>ultra games promotions</t>
  </si>
  <si>
    <t>scriptures on second chances</t>
  </si>
  <si>
    <t>ultra games results today</t>
  </si>
  <si>
    <t>island game online</t>
  </si>
  <si>
    <t>chances of pregnancy before period</t>
  </si>
  <si>
    <t>ultra games review</t>
  </si>
  <si>
    <t>best chances to win march madness</t>
  </si>
  <si>
    <t>ultra games reviews</t>
  </si>
  <si>
    <t>89, 96, 53, 113, 106, 152, 127, 140, 121, 88, 167, 118, 124, 149, 213, 158, 106, 131, 78, 90, 97, 91, 98, 88</t>
  </si>
  <si>
    <t>86, 96, 85, 89, 88, 89, 83, 91, 96, 90, 97, 87, 86</t>
  </si>
  <si>
    <t>ultra games sports betting</t>
  </si>
  <si>
    <t>Adventure games; Simulation games</t>
  </si>
  <si>
    <t>island luck winnings open now</t>
  </si>
  <si>
    <t>ultra games sportsbook</t>
  </si>
  <si>
    <t>chances of getting dementia</t>
  </si>
  <si>
    <t>paradise games hq nassau</t>
  </si>
  <si>
    <t>ultra games stores</t>
  </si>
  <si>
    <t>precum pregnancy chances</t>
  </si>
  <si>
    <t>ultra games vs paradise games</t>
  </si>
  <si>
    <t>3 days before ovulation chances of pregnancy</t>
  </si>
  <si>
    <t>ultra games withdrawal</t>
  </si>
  <si>
    <t>chances winning lottery: random numbers</t>
  </si>
  <si>
    <t>island luck winning games</t>
  </si>
  <si>
    <t>the chances of winning the lottery</t>
  </si>
  <si>
    <t>chances of getting leukemia</t>
  </si>
  <si>
    <t>islandluck demo</t>
  </si>
  <si>
    <t>chances of getting job after third interview</t>
  </si>
  <si>
    <t>what's the chances of making it to the nba</t>
  </si>
  <si>
    <t>117, 131, 121, 112, 107, 140, 157, 147, 132, 116, 148, 130, 119, 115, 120, 129, 126, 111, 138, 121, 128, 120, 128, 131</t>
  </si>
  <si>
    <t>126, 127, 121, 125, 120, 127, 131, 121, 128, 120, 128, 131, 126</t>
  </si>
  <si>
    <t>island game demo</t>
  </si>
  <si>
    <t>island luck lottery numbers</t>
  </si>
  <si>
    <t>chances of winning social security appeal</t>
  </si>
  <si>
    <t>chances of rain in</t>
  </si>
  <si>
    <t>paradise login</t>
  </si>
  <si>
    <t>chances of winning at a casino</t>
  </si>
  <si>
    <t>Navigational,Non-branded,Non-local</t>
  </si>
  <si>
    <t>green card lottery chances by country 2022</t>
  </si>
  <si>
    <t>www.theislandgame.com bahamas</t>
  </si>
  <si>
    <t>Informational,Navigational,Branded,Local</t>
  </si>
  <si>
    <t>chances of winning slots</t>
  </si>
  <si>
    <t>nassau games winning numbers</t>
  </si>
  <si>
    <t>chances of getting pregnant on the mini pill</t>
  </si>
  <si>
    <t>91, 66, 69, 69, 50, 84, 110, 169, 174, 177, 178, 153, 91, 66, 69, 69, 49, 84, 109, 168, 173, 176, 177, 152</t>
  </si>
  <si>
    <t>chances of miscarriage</t>
  </si>
  <si>
    <t>90, 65, 68, 68, 49, 83, 109, 168, 173, 176, 177, 152, 90</t>
  </si>
  <si>
    <t>island look</t>
  </si>
  <si>
    <t>sex on your period chances of getting pregnant</t>
  </si>
  <si>
    <t>packers playoff chances</t>
  </si>
  <si>
    <t>chances of winning 6 digit lottery</t>
  </si>
  <si>
    <t>lotto results</t>
  </si>
  <si>
    <t>chances, chances</t>
  </si>
  <si>
    <t>patriots playoff chances</t>
  </si>
  <si>
    <t>chances winning games</t>
  </si>
  <si>
    <t>www.islandluck.com mobile</t>
  </si>
  <si>
    <t>island luck facebook</t>
  </si>
  <si>
    <t>island luck casino log in</t>
  </si>
  <si>
    <t>lottery chances of winning</t>
  </si>
  <si>
    <t>chances of twins after ectopic pregnancy</t>
  </si>
  <si>
    <t>chances of getting pregnant after ovulation</t>
  </si>
  <si>
    <t>62, 62, 63, 79, 79, 63, 63, 77, 57, 129, 137, 122, 133, 147, 113, 104, 64, 82, 89, 95, 92, 104, 105, 91</t>
  </si>
  <si>
    <t>does premium processing increase chances of rfe</t>
  </si>
  <si>
    <t>93, 109, 102, 95, 94, 105, 99, 90, 90, 101, 102, 89, 90</t>
  </si>
  <si>
    <t>best island luck demo games</t>
  </si>
  <si>
    <t>winnings numbers</t>
  </si>
  <si>
    <t>island luck online schedule</t>
  </si>
  <si>
    <t>god is a god of second chances</t>
  </si>
  <si>
    <t>chances of getting cancer</t>
  </si>
  <si>
    <t>paradise game login</t>
  </si>
  <si>
    <t>rlwl confirmation chances</t>
  </si>
  <si>
    <t>chances lyrics ap dhillon</t>
  </si>
  <si>
    <t>after hsg test chances of pregnancy</t>
  </si>
  <si>
    <t>chances of getting struck by lightning</t>
  </si>
  <si>
    <t>winning number today</t>
  </si>
  <si>
    <t>island.luck</t>
  </si>
  <si>
    <t>114, 214, 210, 153, 138, 172, 133, 180, 105, 132, 228, 157, 86, 104, 103, 86, 87, 86, 86, 108, 94, 93, 103, 101</t>
  </si>
  <si>
    <t>108, 115, 105, 98, 100, 102, 101, 105, 94, 93, 103, 101, 108</t>
  </si>
  <si>
    <t>pg games online</t>
  </si>
  <si>
    <t>chances freeport bahamas</t>
  </si>
  <si>
    <t>Browser games; Casual games; Family-oriented games</t>
  </si>
  <si>
    <t>pgweb login</t>
  </si>
  <si>
    <t>snow chances near me</t>
  </si>
  <si>
    <t>chances crossword clue</t>
  </si>
  <si>
    <t>chances results</t>
  </si>
  <si>
    <t>chances of winning winning numbers</t>
  </si>
  <si>
    <t>island luck southwest plaza phone number</t>
  </si>
  <si>
    <t>winning number</t>
  </si>
  <si>
    <t>chances of getting pregnant during ovulation</t>
  </si>
  <si>
    <t>leafs playoff chances</t>
  </si>
  <si>
    <t>chances calculator college</t>
  </si>
  <si>
    <t>www chances games com casino casino games</t>
  </si>
  <si>
    <t>chances of catching herpes</t>
  </si>
  <si>
    <t>chances of getting rabies</t>
  </si>
  <si>
    <t>ultra games - nassau</t>
  </si>
  <si>
    <t>casino demo chances</t>
  </si>
  <si>
    <t>big bang island luck 2019</t>
  </si>
  <si>
    <t>Informational,Navigational,Commercial,Branded,Local</t>
  </si>
  <si>
    <t>47, 47, 55, 126, 76, 66, 80, 78, 79, 70, 140, 98, 96, 90, 81, 99, 75, 65, 79, 77, 78, 69, 139, 97</t>
  </si>
  <si>
    <t>chances of getting pregnant by age</t>
  </si>
  <si>
    <t>95, 89, 80, 98, 74, 65, 78, 76, 77, 68, 137, 96, 94</t>
  </si>
  <si>
    <t>Lottery; Sports betting; Promotional giveaways; Business</t>
  </si>
  <si>
    <t>flalottery</t>
  </si>
  <si>
    <t>island luck head office telephone number</t>
  </si>
  <si>
    <t>island island luck game</t>
  </si>
  <si>
    <t>80, 64, 68, 80, 75, 75, 112, 92, 68, 99, 71, 100, 69, 53, 99, 147, 127, 132, 79, 112, 94, 67, 74, 78</t>
  </si>
  <si>
    <t>chances of getting pregnant with woman on top</t>
  </si>
  <si>
    <t>74, 69, 83, 77, 71, 88, 114, 95, 78, 58, 60, 68, 61</t>
  </si>
  <si>
    <t>www.ultragames</t>
  </si>
  <si>
    <t>chances of getting killed in a car accident</t>
  </si>
  <si>
    <t>second chances joplin mo</t>
  </si>
  <si>
    <t>chances of winning paypal dispute</t>
  </si>
  <si>
    <t>altura games</t>
  </si>
  <si>
    <t>island luck demo lobby</t>
  </si>
  <si>
    <t>Sitelinks,People also ask,Knowledge panel</t>
  </si>
  <si>
    <t>roblox is unbreakable stand chances</t>
  </si>
  <si>
    <t>cardinals playoff chances</t>
  </si>
  <si>
    <t>winning chances of today match</t>
  </si>
  <si>
    <t>commanders playoff chances</t>
  </si>
  <si>
    <t>pirate revenge demo</t>
  </si>
  <si>
    <t>chances of world war 3</t>
  </si>
  <si>
    <t>chances gaming</t>
  </si>
  <si>
    <t>mobile island luck 8092 login</t>
  </si>
  <si>
    <t>google island luck winning numbers</t>
  </si>
  <si>
    <t>bible verses on second chances</t>
  </si>
  <si>
    <t>dolphins chances of making playoffs</t>
  </si>
  <si>
    <t>chances of winning mater prize home</t>
  </si>
  <si>
    <t>chances of miscarriage at 7 weeks with pcos</t>
  </si>
  <si>
    <t>island luck winning numbers tonight</t>
  </si>
  <si>
    <t>bills playoff chances</t>
  </si>
  <si>
    <t>chances of winning set for life</t>
  </si>
  <si>
    <t>island luck hours today</t>
  </si>
  <si>
    <t>islandluck.com login</t>
  </si>
  <si>
    <t>calculate chances of pregnancy</t>
  </si>
  <si>
    <t>island luck tv live today</t>
  </si>
  <si>
    <t>chances of getting covid after fully vaccinated</t>
  </si>
  <si>
    <t>2, 2, 37, 15, 9, 6, 1, 73, 574, 544, 1046, 185, 5, 317, 28, 19, 36, 48, 110, 76, 19, 21, 59, 14</t>
  </si>
  <si>
    <t>ilan luck</t>
  </si>
  <si>
    <t>take chances make mistakes get messy</t>
  </si>
  <si>
    <t>chances open now</t>
  </si>
  <si>
    <t>done giving chances quotes</t>
  </si>
  <si>
    <t>chances of dying in a plane crash</t>
  </si>
  <si>
    <t>chances of winning domestic violence case</t>
  </si>
  <si>
    <t>chances of getting pregnant right before period</t>
  </si>
  <si>
    <t>chances of getting pregnant with ovarian cysts</t>
  </si>
  <si>
    <t>island demo</t>
  </si>
  <si>
    <t>island luck account login</t>
  </si>
  <si>
    <t>island luck phone numbers</t>
  </si>
  <si>
    <t>Animation; Music; Online media; TV; Adventure games; Simulation games</t>
  </si>
  <si>
    <t>chances of twins by age naturally</t>
  </si>
  <si>
    <t>chances of getting chlamydia</t>
  </si>
  <si>
    <t>rain chances for today</t>
  </si>
  <si>
    <t>asurewin must login</t>
  </si>
  <si>
    <t>chances bar and lounge</t>
  </si>
  <si>
    <t>chances of getting pregnant without ovulating</t>
  </si>
  <si>
    <t>chances jps</t>
  </si>
  <si>
    <t>78, 83, 87, 106, 126, 140, 158, 138, 117, 94, 82, 81, 73, 68, 68, 69, 68, 83, 83, 83, 58, 51, 46, 38</t>
  </si>
  <si>
    <t>chances of getting hiv from needle poke</t>
  </si>
  <si>
    <t>34, 42, 54, 52, 49, 59, 67, 72, 46, 40, 34, 27, 23</t>
  </si>
  <si>
    <t>surewin casino</t>
  </si>
  <si>
    <t>asurewin customer service number</t>
  </si>
  <si>
    <t>paradise games and customs</t>
  </si>
  <si>
    <t>chances of winning powerball australia</t>
  </si>
  <si>
    <t>veggietales second chances</t>
  </si>
  <si>
    <t>island luck new card</t>
  </si>
  <si>
    <t>flalottery winning numbers</t>
  </si>
  <si>
    <t>chances of getting a royal flush</t>
  </si>
  <si>
    <t>chances of having an autistic child</t>
  </si>
  <si>
    <t>f2 visa approval chances 2021</t>
  </si>
  <si>
    <t>chances of getting pregnant at 18</t>
  </si>
  <si>
    <t>island luck webcafe, nassau</t>
  </si>
  <si>
    <t>ivf chances of twins</t>
  </si>
  <si>
    <t>lottery result</t>
  </si>
  <si>
    <t>chances of getting pregnant by precum</t>
  </si>
  <si>
    <t>www island luck games</t>
  </si>
  <si>
    <t>lottery numbers</t>
  </si>
  <si>
    <t>island luck opening hours</t>
  </si>
  <si>
    <t>Lottery; News</t>
  </si>
  <si>
    <t>chance game</t>
  </si>
  <si>
    <t>games paradise</t>
  </si>
  <si>
    <t>chances gaming lounge</t>
  </si>
  <si>
    <t>chargers playoff chances</t>
  </si>
  <si>
    <t>aland luck</t>
  </si>
  <si>
    <t>colts playoff chances</t>
  </si>
  <si>
    <t>chances of winning powerball jackpot</t>
  </si>
  <si>
    <t>50, 39, 52, 1467, 43, 46, 49, 35, 18, 11, 16, 0, 0, 21, 96, 89, 40, 86, 71, 50, 35, 39, 99, 83</t>
  </si>
  <si>
    <t>spell chances</t>
  </si>
  <si>
    <t>country songs about second chances</t>
  </si>
  <si>
    <t>island luck crack the code winning numbers</t>
  </si>
  <si>
    <t>chances are reborn</t>
  </si>
  <si>
    <t>chances exuma</t>
  </si>
  <si>
    <t>islandluck.com winning numbers</t>
  </si>
  <si>
    <t>lakers chances of making playoffs</t>
  </si>
  <si>
    <t>chances of winning eurojackpot</t>
  </si>
  <si>
    <t>island luck online application</t>
  </si>
  <si>
    <t>chances of rain tomorrow</t>
  </si>
  <si>
    <t>island luck governor's harbour</t>
  </si>
  <si>
    <t>georgetown chances</t>
  </si>
  <si>
    <t>chances of contracting hiv female to male</t>
  </si>
  <si>
    <t>heterochromia chances</t>
  </si>
  <si>
    <t>paradise games head office</t>
  </si>
  <si>
    <t>chances kelowna bingo jackpots</t>
  </si>
  <si>
    <t>chances of finding lost dog after 24 hours</t>
  </si>
  <si>
    <t>election chances</t>
  </si>
  <si>
    <t>island luck account</t>
  </si>
  <si>
    <t>chances of getting pregnant after ovulation week</t>
  </si>
  <si>
    <t>island luck application form</t>
  </si>
  <si>
    <t>asure win login</t>
  </si>
  <si>
    <t>Navigational,Commercial,Branded,Non-local</t>
  </si>
  <si>
    <t>1, 2, 5, 0, 1, 0, 47, 1, 0, 0, 0, 0, 0, 0, 0, 9, 125, 33, 8, 19, 26, 76, 109, 201</t>
  </si>
  <si>
    <t>chances of catching covid twice cdc</t>
  </si>
  <si>
    <t>chances of you being born</t>
  </si>
  <si>
    <t>free chances to win money</t>
  </si>
  <si>
    <t>bible verses for second chances</t>
  </si>
  <si>
    <t>www island luck com</t>
  </si>
  <si>
    <t>chances if rain</t>
  </si>
  <si>
    <t>chances of snow in new york december</t>
  </si>
  <si>
    <t>fl lottery</t>
  </si>
  <si>
    <t>island luck l</t>
  </si>
  <si>
    <t>chances of winning a wrongful death suit</t>
  </si>
  <si>
    <t>casino lobby demo play</t>
  </si>
  <si>
    <t>powerball chances</t>
  </si>
  <si>
    <t>chances. com</t>
  </si>
  <si>
    <t>asurewin sign up</t>
  </si>
  <si>
    <t>chances of pregnancy during periods</t>
  </si>
  <si>
    <t>fl lottery winning numbers</t>
  </si>
  <si>
    <t>chances winning numbers island luck winning</t>
  </si>
  <si>
    <t>chances casino kamloops</t>
  </si>
  <si>
    <t>chances casino kamloops menu</t>
  </si>
  <si>
    <t>precum chances</t>
  </si>
  <si>
    <t>island luck card</t>
  </si>
  <si>
    <t>chances of getting pregnant with iud</t>
  </si>
  <si>
    <t>chances of getting herpes one night stand</t>
  </si>
  <si>
    <t>ultra game winning numbers</t>
  </si>
  <si>
    <t>chances of passing chlamydia from female to male</t>
  </si>
  <si>
    <t>chances of car accident</t>
  </si>
  <si>
    <t>chances menu</t>
  </si>
  <si>
    <t>no second chances</t>
  </si>
  <si>
    <t>island luck crack the code</t>
  </si>
  <si>
    <t>chances of car crash</t>
  </si>
  <si>
    <t>island luck fantasy 5 winning numbers</t>
  </si>
  <si>
    <t>www chances games</t>
  </si>
  <si>
    <t>extra chances</t>
  </si>
  <si>
    <t>island login</t>
  </si>
  <si>
    <t>chances of pregnancy day before ovulation</t>
  </si>
  <si>
    <t>chances you don't take quotes</t>
  </si>
  <si>
    <t>www island</t>
  </si>
  <si>
    <t>chances of precum pregnancy during ovulation</t>
  </si>
  <si>
    <t>Informational,Navigational,Non-branded,Non-local</t>
  </si>
  <si>
    <t>chances of having a miscarriage</t>
  </si>
  <si>
    <t>Business; Education; Islands</t>
  </si>
  <si>
    <t>chances of being in a car crash</t>
  </si>
  <si>
    <t>buffalo bills playoff chances</t>
  </si>
  <si>
    <t>quick draw winning numbers</t>
  </si>
  <si>
    <t>paradise games mount royal</t>
  </si>
  <si>
    <t>island luck store hours</t>
  </si>
  <si>
    <t>island luck hr</t>
  </si>
  <si>
    <t>lottery winning numbers</t>
  </si>
  <si>
    <t>miami chances of making playoffs</t>
  </si>
  <si>
    <t>steelers playoff chances 2023</t>
  </si>
  <si>
    <t>chances williams lake</t>
  </si>
  <si>
    <t>island luck abaco</t>
  </si>
  <si>
    <t>casino lobby - demo multi slots</t>
  </si>
  <si>
    <t>chances of getting hiv from precum</t>
  </si>
  <si>
    <t>chances of surviving a plane crash</t>
  </si>
  <si>
    <t>florida lottery numbers</t>
  </si>
  <si>
    <t>island luck log in</t>
  </si>
  <si>
    <t>chances of abnormality at 20 week scan</t>
  </si>
  <si>
    <t>chances account login</t>
  </si>
  <si>
    <t>asurewin verification form</t>
  </si>
  <si>
    <t>chances of having a child with autism</t>
  </si>
  <si>
    <t>lions playoff chances</t>
  </si>
  <si>
    <t>kansas winning numbers</t>
  </si>
  <si>
    <t>eagles playoff chances</t>
  </si>
  <si>
    <t>www.paradisegames</t>
  </si>
  <si>
    <t>i believe in second chances quotes</t>
  </si>
  <si>
    <t>quotes on chances</t>
  </si>
  <si>
    <t>winning number winning number</t>
  </si>
  <si>
    <t>chances of getting trichomoniasis with condom</t>
  </si>
  <si>
    <t>chances of getting pregnant at 48 years old</t>
  </si>
  <si>
    <t>asurewin. com</t>
  </si>
  <si>
    <t>island luck nassau winning numbers island</t>
  </si>
  <si>
    <t>chances cocktail lounge and bar freeport photos</t>
  </si>
  <si>
    <t>island luck casino demo play 2 login download</t>
  </si>
  <si>
    <t>fla lottery</t>
  </si>
  <si>
    <t>life is about taking chances</t>
  </si>
  <si>
    <t>green card lottery chances by country 2020</t>
  </si>
  <si>
    <t>raiders playoff chances</t>
  </si>
  <si>
    <t>island luck webcafe</t>
  </si>
  <si>
    <t>Lottery; Sports betting; Web services</t>
  </si>
  <si>
    <t>nfl teams playoff chances</t>
  </si>
  <si>
    <t>www.flalottery.com winning numbers</t>
  </si>
  <si>
    <t>island luck big bang 2023</t>
  </si>
  <si>
    <t>island luck palmdale</t>
  </si>
  <si>
    <t>chances of spreading herpes while on acyclovir</t>
  </si>
  <si>
    <t>blackjack chances of winning</t>
  </si>
  <si>
    <t>chances head office number</t>
  </si>
  <si>
    <t>Local pack</t>
  </si>
  <si>
    <t>asurewin carmichael road</t>
  </si>
  <si>
    <t>sure</t>
  </si>
  <si>
    <t>current nba players hall of fame chances</t>
  </si>
  <si>
    <t>chances of getting pregnant at 47</t>
  </si>
  <si>
    <t>Knowledge card,People also ask,Video preview</t>
  </si>
  <si>
    <t>Encyclopedias</t>
  </si>
  <si>
    <t>www chances</t>
  </si>
  <si>
    <t>chances bar</t>
  </si>
  <si>
    <t>paradise games download</t>
  </si>
  <si>
    <t>chances of dog getting pregnant on first time</t>
  </si>
  <si>
    <t>denver playoff chances</t>
  </si>
  <si>
    <t>island luck games winning numbers bahamas</t>
  </si>
  <si>
    <t>bet vegas winning numbers</t>
  </si>
  <si>
    <t>island luck back to school</t>
  </si>
  <si>
    <t>chances casino owner</t>
  </si>
  <si>
    <t>chances casino near me</t>
  </si>
  <si>
    <t>lucky winning numbers today</t>
  </si>
  <si>
    <t>chances of tree falling on house</t>
  </si>
  <si>
    <t>chances of rain</t>
  </si>
  <si>
    <t>chances casino resorts</t>
  </si>
  <si>
    <t>lotto winning numbers</t>
  </si>
  <si>
    <t>chances of dog getting pregnant on first heat</t>
  </si>
  <si>
    <t>paradise games prince charles</t>
  </si>
  <si>
    <t>chances poker</t>
  </si>
  <si>
    <t>first time sex pregnancy chances</t>
  </si>
  <si>
    <t>sure win winning numbers</t>
  </si>
  <si>
    <t>chances ganes</t>
  </si>
  <si>
    <t>chances 1</t>
  </si>
  <si>
    <t>nassaugame</t>
  </si>
  <si>
    <t>island luck lotto winning numbers</t>
  </si>
  <si>
    <t>fml</t>
  </si>
  <si>
    <t>chances opening hours</t>
  </si>
  <si>
    <t>49ers playoff chances</t>
  </si>
  <si>
    <t>chances of pregnancy</t>
  </si>
  <si>
    <t>34, 22, 28, 44, 1, 11, 19, 67, 28, 37, 41, 4, 34, 22, 28, 44, 1, 11, 19, 67, 28, 37, 41, 4</t>
  </si>
  <si>
    <t>34, 22, 28, 44, 1, 11, 19, 67, 28, 37, 41, 4, 34</t>
  </si>
  <si>
    <t>chances carmichael road</t>
  </si>
  <si>
    <t>everybody wins winning numbers</t>
  </si>
  <si>
    <t>chances of getting syphilis from one encounter</t>
  </si>
  <si>
    <t>chances of getting into medical school calculator</t>
  </si>
  <si>
    <t>green card lottery chances</t>
  </si>
  <si>
    <t>life is all about chances</t>
  </si>
  <si>
    <t>chances of raining</t>
  </si>
  <si>
    <t>second chances lottery</t>
  </si>
  <si>
    <t>chances of winning the california lottery</t>
  </si>
  <si>
    <t>isluck luck</t>
  </si>
  <si>
    <t>asurewin number open now</t>
  </si>
  <si>
    <t>chances of getting pregnant from pulling out</t>
  </si>
  <si>
    <t>asurewin com casino</t>
  </si>
  <si>
    <t>chiefs playoff chances</t>
  </si>
  <si>
    <t>ultra game cafe</t>
  </si>
  <si>
    <t>winning numbers island luck winning numbers</t>
  </si>
  <si>
    <t>Sitelinks,People also ask,Local teaser pack</t>
  </si>
  <si>
    <t>chances of perfect bracket</t>
  </si>
  <si>
    <t>chances accounts</t>
  </si>
  <si>
    <t>powerball florida</t>
  </si>
  <si>
    <t>chances of contracting hiv with condom</t>
  </si>
  <si>
    <t>paradise games winning numbers tonight live</t>
  </si>
  <si>
    <t>chances of heart attack in 20s</t>
  </si>
  <si>
    <t>winning chances</t>
  </si>
  <si>
    <t>pggames.com</t>
  </si>
  <si>
    <t>can i open an island luck account online</t>
  </si>
  <si>
    <t>lowest chances of getting pregnant</t>
  </si>
  <si>
    <t>chances of getting hiv from pulling out</t>
  </si>
  <si>
    <t>chances of conception by age</t>
  </si>
  <si>
    <t>steelers chances of making the playoffs</t>
  </si>
  <si>
    <t>chances of being born</t>
  </si>
  <si>
    <t>paradise games website</t>
  </si>
  <si>
    <t>lymphoma chances of survival</t>
  </si>
  <si>
    <t>natural ways to increase chances of pregnancy</t>
  </si>
  <si>
    <t>chances of winning 1000 a week for life</t>
  </si>
  <si>
    <t>island luck winning numbers p</t>
  </si>
  <si>
    <t>chances of surviving leukemia</t>
  </si>
  <si>
    <t>the groomsmen second chances</t>
  </si>
  <si>
    <t>take chances quotes</t>
  </si>
  <si>
    <t>chances sports</t>
  </si>
  <si>
    <t>chance winning numbers</t>
  </si>
  <si>
    <t>paradise games yugioh</t>
  </si>
  <si>
    <t>chances of trump winning</t>
  </si>
  <si>
    <t>chances of accidental pregnancy at 45</t>
  </si>
  <si>
    <t>broncos playoff chances</t>
  </si>
  <si>
    <t>my chances of getting into college</t>
  </si>
  <si>
    <t>island mobile</t>
  </si>
  <si>
    <t>chances of accidental pregnancy at 47</t>
  </si>
  <si>
    <t>capitals playoff chances</t>
  </si>
  <si>
    <t>Digital wallets; Lottery; Sports betting; Veterinarians</t>
  </si>
  <si>
    <t>roulette chances</t>
  </si>
  <si>
    <t>island luck nassau reviews</t>
  </si>
  <si>
    <t>sebas bastian island luck</t>
  </si>
  <si>
    <t>paradise games winning numbers tonight</t>
  </si>
  <si>
    <t>chances of getting denied after pre-approval</t>
  </si>
  <si>
    <t>chances of pregnancy with iud</t>
  </si>
  <si>
    <t>islan</t>
  </si>
  <si>
    <t>chances of miscarriage by week</t>
  </si>
  <si>
    <t>chances of getting hiv from open wound</t>
  </si>
  <si>
    <t>Image pack,People also ask</t>
  </si>
  <si>
    <t>chances of winning dv lottery 2023</t>
  </si>
  <si>
    <t>Entertainment news; Music; Society</t>
  </si>
  <si>
    <t>pot luck island</t>
  </si>
  <si>
    <t>miami 3 ball</t>
  </si>
  <si>
    <t>taking chances taking risk quotes</t>
  </si>
  <si>
    <t>florida pick 3</t>
  </si>
  <si>
    <t>chances casino game</t>
  </si>
  <si>
    <t>chances of surviving stage 4 ovarian cancer</t>
  </si>
  <si>
    <t>falcons playoff chances</t>
  </si>
  <si>
    <t>relic drop chances</t>
  </si>
  <si>
    <t>chances games sign in</t>
  </si>
  <si>
    <t>island luck number open now</t>
  </si>
  <si>
    <t>www.chances</t>
  </si>
  <si>
    <t>chances of getting pregnant at 43</t>
  </si>
  <si>
    <t>chances of getting married after 30</t>
  </si>
  <si>
    <t>chances of getting back with ex</t>
  </si>
  <si>
    <t>chances of a draft</t>
  </si>
  <si>
    <t>chances of acne coming back after accutane</t>
  </si>
  <si>
    <t>cleveland browns playoff chances</t>
  </si>
  <si>
    <t>seattle seahawks playoff chances</t>
  </si>
  <si>
    <t>chances of surviving a car crash</t>
  </si>
  <si>
    <t>chances faith avenue</t>
  </si>
  <si>
    <t>island luck headquarters</t>
  </si>
  <si>
    <t>florida powerball winning numbers</t>
  </si>
  <si>
    <t>ny giants playoff chances</t>
  </si>
  <si>
    <t>city of second chances</t>
  </si>
  <si>
    <t>chances of a royal flush</t>
  </si>
  <si>
    <t>island luck centerville</t>
  </si>
  <si>
    <t>chances of getting pregnant over 40</t>
  </si>
  <si>
    <t>island luck contact numbers</t>
  </si>
  <si>
    <t>paradise games pokemon</t>
  </si>
  <si>
    <t>casino lobby - demo pirate revenge</t>
  </si>
  <si>
    <t>chances of walking again after paralysis</t>
  </si>
  <si>
    <t>giving people chances</t>
  </si>
  <si>
    <t>chances of getting pregnant at 54</t>
  </si>
  <si>
    <t>chances unscramble</t>
  </si>
  <si>
    <t>island luck football</t>
  </si>
  <si>
    <t>increase my chances of getting pregnant</t>
  </si>
  <si>
    <t>pregnancy chances</t>
  </si>
  <si>
    <t>island luck telephone number</t>
  </si>
  <si>
    <t>island l</t>
  </si>
  <si>
    <t>Islands</t>
  </si>
  <si>
    <t>download island luck</t>
  </si>
  <si>
    <t>island luck schedule ease</t>
  </si>
  <si>
    <t>scriptures about second chances</t>
  </si>
  <si>
    <t>flowers winning numbers</t>
  </si>
  <si>
    <t>chances download</t>
  </si>
  <si>
    <t>ultra game winning number</t>
  </si>
  <si>
    <t>alabama playoff chances</t>
  </si>
  <si>
    <t>chances location</t>
  </si>
  <si>
    <t>island luck game login</t>
  </si>
  <si>
    <t>island luck numbers winning numbers</t>
  </si>
  <si>
    <t>titans playoff chances</t>
  </si>
  <si>
    <t>www.chancesgames.com</t>
  </si>
  <si>
    <t>paradisegames paradise games winning numbers</t>
  </si>
  <si>
    <t>chances of condom breaking</t>
  </si>
  <si>
    <t>chances of getting keloid piercing</t>
  </si>
  <si>
    <t>vitamins to increase pregnancy chances</t>
  </si>
  <si>
    <t>chances of getting hiv</t>
  </si>
  <si>
    <t>bible verses about second chances kjv</t>
  </si>
  <si>
    <t>chances webshop bahamas</t>
  </si>
  <si>
    <t>113, 124, 134, 91, 108, 80, 61, 49, 38, 59, 26, 24, 22, 23, 27, 25, 13, 23, 24, 20, 16, 18, 23, 21</t>
  </si>
  <si>
    <t>20, 23, 21, 23, 25, 26, 24, 20, 16, 18, 23, 21, 20</t>
  </si>
  <si>
    <t>island luck 5 ball</t>
  </si>
  <si>
    <t>paradisegames.com</t>
  </si>
  <si>
    <t>chances of passing herpes without outbreak</t>
  </si>
  <si>
    <t>chances soldier road</t>
  </si>
  <si>
    <t>miami dolphins chances of making playoffs 2021</t>
  </si>
  <si>
    <t>chances winning the lottery</t>
  </si>
  <si>
    <t>winning lottery numbers</t>
  </si>
  <si>
    <t>Top stories,Thumbnail,People also ask</t>
  </si>
  <si>
    <t>chances of getting hiv from one night stand</t>
  </si>
  <si>
    <t>chances democrats take the house</t>
  </si>
  <si>
    <t>chances of getting pregnant with one testicle</t>
  </si>
  <si>
    <t>chances of seeing northern lights</t>
  </si>
  <si>
    <t>login winning login winning login island luck</t>
  </si>
  <si>
    <t>nassau nassau island luck winning numbers</t>
  </si>
  <si>
    <t>chances of surviving cancer</t>
  </si>
  <si>
    <t>island luck nassau, bahamas</t>
  </si>
  <si>
    <t>virgin pregnancy chances</t>
  </si>
  <si>
    <t>paradise games web shop</t>
  </si>
  <si>
    <t>pgg</t>
  </si>
  <si>
    <t>island luck mobile app</t>
  </si>
  <si>
    <t>Ranches; Livestock; Gambling</t>
  </si>
  <si>
    <t>asure win nassau</t>
  </si>
  <si>
    <t>island luck payout</t>
  </si>
  <si>
    <t>seahawks playoff chances</t>
  </si>
  <si>
    <t>paradise winning numbers</t>
  </si>
  <si>
    <t>paradise games winning number luck winning number</t>
  </si>
  <si>
    <t>pgweb winning numbers</t>
  </si>
  <si>
    <t>ways to increase chances of pregnancy</t>
  </si>
  <si>
    <t>chances games locations near me</t>
  </si>
  <si>
    <t>chances of finding a stolen car</t>
  </si>
  <si>
    <t>island luck sign up online</t>
  </si>
  <si>
    <t>best chances of winning the lottery</t>
  </si>
  <si>
    <t>chances winning numbers for yesterday</t>
  </si>
  <si>
    <t>chances of pregnancy day after period</t>
  </si>
  <si>
    <t>chances casino locations</t>
  </si>
  <si>
    <t>chance games winning numbers</t>
  </si>
  <si>
    <t>chances of walking after a stroke</t>
  </si>
  <si>
    <t>island luck cafe winning numbers</t>
  </si>
  <si>
    <t>www.island</t>
  </si>
  <si>
    <t>dolphins playoff chances</t>
  </si>
  <si>
    <t>atlanta falcons playoff chances</t>
  </si>
  <si>
    <t>chances head office</t>
  </si>
  <si>
    <t>www.paradise game.com</t>
  </si>
  <si>
    <t>Business services</t>
  </si>
  <si>
    <t>chances winning numbers chances winning</t>
  </si>
  <si>
    <t>florida lottery winning numbers today</t>
  </si>
  <si>
    <t>mlb playoff chances</t>
  </si>
  <si>
    <t>chances of ectopic pregnancy</t>
  </si>
  <si>
    <t>paradise games fox hill</t>
  </si>
  <si>
    <t>chances of pregnancy just after periods</t>
  </si>
  <si>
    <t>island luck winning numbers 2021</t>
  </si>
  <si>
    <t>chances of winning euromillions</t>
  </si>
  <si>
    <t>endometriosis and pregnancy chances</t>
  </si>
  <si>
    <t>chances to win lotto max</t>
  </si>
  <si>
    <t>chances restaurant</t>
  </si>
  <si>
    <t>chances of getting hiv from broken condom</t>
  </si>
  <si>
    <t>chances of getting back together after a breakup</t>
  </si>
  <si>
    <t>sure win casino</t>
  </si>
  <si>
    <t>chances restaurant freeport</t>
  </si>
  <si>
    <t>Sitelinks,Video preview,People also ask,Knowledge panel</t>
  </si>
  <si>
    <t>chances of twins</t>
  </si>
  <si>
    <t>unlock winning numbers</t>
  </si>
  <si>
    <t>increase chances of getting pregnant</t>
  </si>
  <si>
    <t>island luck time</t>
  </si>
  <si>
    <t>fifa world cup 2022 chances of winning</t>
  </si>
  <si>
    <t>pittsburgh steelers playoff chances</t>
  </si>
  <si>
    <t>florida results lottery</t>
  </si>
  <si>
    <t>download island luck app for android</t>
  </si>
  <si>
    <t>chances of getting married after 40</t>
  </si>
  <si>
    <t>quotes about chances</t>
  </si>
  <si>
    <t>paradise slots free games</t>
  </si>
  <si>
    <t>chances clothing</t>
  </si>
  <si>
    <t>chances of getting pregnant before ovulation</t>
  </si>
  <si>
    <t>login island luck winning number</t>
  </si>
  <si>
    <t>island luck winning numbers for today is</t>
  </si>
  <si>
    <t>chances of getting pregnant chart</t>
  </si>
  <si>
    <t>chances of winning the lottery visual</t>
  </si>
  <si>
    <t>rock crusher</t>
  </si>
  <si>
    <t>chances of multiples with ivf</t>
  </si>
  <si>
    <t>island luck multi demo</t>
  </si>
  <si>
    <t>Thumbnail,People also ask,Video preview,Local teaser pack</t>
  </si>
  <si>
    <t>Heavy machinery</t>
  </si>
  <si>
    <t>island luck new website</t>
  </si>
  <si>
    <t>va lottery extra chances</t>
  </si>
  <si>
    <t>island luck results</t>
  </si>
  <si>
    <t>surewin today</t>
  </si>
  <si>
    <t>island luck charles saunders highway</t>
  </si>
  <si>
    <t>island luck bahamas jobs</t>
  </si>
  <si>
    <t>chances of a false positive pregnancy test</t>
  </si>
  <si>
    <t>chances of surviving brain cancer</t>
  </si>
  <si>
    <t>number houses in the bahamas</t>
  </si>
  <si>
    <t>chancesgames.com winners take chances bahamas</t>
  </si>
  <si>
    <t>stories of god giving second chances</t>
  </si>
  <si>
    <t>Residential sales</t>
  </si>
  <si>
    <t>chances of getting std without condom</t>
  </si>
  <si>
    <t>winning chances of today match ipl</t>
  </si>
  <si>
    <t>chances casino abbotsford</t>
  </si>
  <si>
    <t>chances of getting herpes</t>
  </si>
  <si>
    <t>chances of false positive down syndrome test</t>
  </si>
  <si>
    <t>chances of dryer catching fire</t>
  </si>
  <si>
    <t>island luck location</t>
  </si>
  <si>
    <t>google island luck</t>
  </si>
  <si>
    <t>chances of being hospitalized from covid</t>
  </si>
  <si>
    <t>best chances to get pregnant</t>
  </si>
  <si>
    <t>paradise games webcafe</t>
  </si>
  <si>
    <t>chances of dying during c-section</t>
  </si>
  <si>
    <t>chances of finding love at 60</t>
  </si>
  <si>
    <t>chances of pregnancy right before period</t>
  </si>
  <si>
    <t>raven online lucky numbers</t>
  </si>
  <si>
    <t>ravens lucky picks</t>
  </si>
  <si>
    <t>chances of surviving icu</t>
  </si>
  <si>
    <t>chances of heart attack in 20s reddit</t>
  </si>
  <si>
    <t>island luck winning numbers yesterday</t>
  </si>
  <si>
    <t>flowers winning number</t>
  </si>
  <si>
    <t>island luck apk</t>
  </si>
  <si>
    <t>fml winning numbers</t>
  </si>
  <si>
    <t>does primolut n increase chances of pregnancy</t>
  </si>
  <si>
    <t>chances of contracting herpes</t>
  </si>
  <si>
    <t>chances of a woman getting married after 40</t>
  </si>
  <si>
    <t>island island</t>
  </si>
  <si>
    <t>chances williams</t>
  </si>
  <si>
    <t>island luck crack the code 2019</t>
  </si>
  <si>
    <t>Thumbnail,People also ask</t>
  </si>
  <si>
    <t>synonym for chances</t>
  </si>
  <si>
    <t>college chances calculator</t>
  </si>
  <si>
    <t>tft level chances</t>
  </si>
  <si>
    <t>chances of having triplets naturally</t>
  </si>
  <si>
    <t>casino chances</t>
  </si>
  <si>
    <t>flowers games winning numbers</t>
  </si>
  <si>
    <t>i'll take my chances 2011</t>
  </si>
  <si>
    <t>chances of getting pregnant by a 50 year-old man</t>
  </si>
  <si>
    <t>chances of getting covid again</t>
  </si>
  <si>
    <t>chances games login account</t>
  </si>
  <si>
    <t>does early action increase chances of admission</t>
  </si>
  <si>
    <t>island luck miami street</t>
  </si>
  <si>
    <t>florida post lottery</t>
  </si>
  <si>
    <t>chances of getting an std if he pulls out</t>
  </si>
  <si>
    <t>increase chances of pregnancy</t>
  </si>
  <si>
    <t>chances of getting pregnant if condom breaks</t>
  </si>
  <si>
    <t>lotto numbers</t>
  </si>
  <si>
    <t>chances of getting pregnant with pull out method</t>
  </si>
  <si>
    <t>trump election chances</t>
  </si>
  <si>
    <t>chances of being audited by irs 2022</t>
  </si>
  <si>
    <t>paradise games winning numbers bahamas</t>
  </si>
  <si>
    <t>ultra game demo</t>
  </si>
  <si>
    <t>quote on second chances</t>
  </si>
  <si>
    <t>the god of second chances</t>
  </si>
  <si>
    <t>paradise games carmichael road</t>
  </si>
  <si>
    <t>www.island luck web cafe.com</t>
  </si>
  <si>
    <t>bruins playoff chances</t>
  </si>
  <si>
    <t>chances of winning lotto australia</t>
  </si>
  <si>
    <t>chances game.com</t>
  </si>
  <si>
    <t>pggames .com</t>
  </si>
  <si>
    <t>www.chances winning numbers</t>
  </si>
  <si>
    <t>chances of pregnancy after ectopic</t>
  </si>
  <si>
    <t>asurewin east street south</t>
  </si>
  <si>
    <t>chances of getting a brain tumor</t>
  </si>
  <si>
    <t>chances of winning diversity visa lottery</t>
  </si>
  <si>
    <t>island luck demo games online</t>
  </si>
  <si>
    <t>chances casino squamish</t>
  </si>
  <si>
    <t>island luck winning game</t>
  </si>
  <si>
    <t>paradise games.com login</t>
  </si>
  <si>
    <t>chances of stillbirth at 36 weeks</t>
  </si>
  <si>
    <t>island luck winning login</t>
  </si>
  <si>
    <t>chances of winning at slots</t>
  </si>
  <si>
    <t>island luck scholarship application</t>
  </si>
  <si>
    <t>asue</t>
  </si>
  <si>
    <t>asue contract</t>
  </si>
  <si>
    <t>slot machine chances</t>
  </si>
  <si>
    <t>Informational,Commercial,Transactional,Branded,Non-local</t>
  </si>
  <si>
    <t>Savings accounts; Lottery</t>
  </si>
  <si>
    <t>chances of getting pregnant 5 days before period</t>
  </si>
  <si>
    <t>islandluck.com login account login</t>
  </si>
  <si>
    <t>chances of h1b approval after denial</t>
  </si>
  <si>
    <t>chances sports bar</t>
  </si>
  <si>
    <t>chancegame</t>
  </si>
  <si>
    <t>chances of having a girl in second pregnancy</t>
  </si>
  <si>
    <t>chances games locations nassau bahamas</t>
  </si>
  <si>
    <t>island luck winning numbers login app</t>
  </si>
  <si>
    <t>miami lotto</t>
  </si>
  <si>
    <t>chances of getting chick-fil-a franchise</t>
  </si>
  <si>
    <t>the island luck winning numbers</t>
  </si>
  <si>
    <t>chances of being pregnant</t>
  </si>
  <si>
    <t>island luck tv online</t>
  </si>
  <si>
    <t>ilandluck</t>
  </si>
  <si>
    <t>rain chances</t>
  </si>
  <si>
    <t>increase chances of twins</t>
  </si>
  <si>
    <t>lottery florida results</t>
  </si>
  <si>
    <t>google chances</t>
  </si>
  <si>
    <t>island luck . com</t>
  </si>
  <si>
    <t>island luck com login</t>
  </si>
  <si>
    <t>www.theislandgame.com</t>
  </si>
  <si>
    <t>chances of getting salmonella from a turtle</t>
  </si>
  <si>
    <t>chances of getting an std with a condom</t>
  </si>
  <si>
    <t>chances of royal flush</t>
  </si>
  <si>
    <t>one tube blocked chances pregnancy</t>
  </si>
  <si>
    <t>customer service island luck</t>
  </si>
  <si>
    <t>bucs playoff chances</t>
  </si>
  <si>
    <t>www.asure.com login</t>
  </si>
  <si>
    <t>chances democrats take senate 2020</t>
  </si>
  <si>
    <t>island luck full site login</t>
  </si>
  <si>
    <t>/Other</t>
  </si>
  <si>
    <t>chances of surviving a brain aneurysm</t>
  </si>
  <si>
    <t>island lick</t>
  </si>
  <si>
    <t>island luck old version</t>
  </si>
  <si>
    <t>lucky pick for today</t>
  </si>
  <si>
    <t>lucky numbers for today</t>
  </si>
  <si>
    <t>chances of getting married after 60</t>
  </si>
  <si>
    <t>pggames.com login</t>
  </si>
  <si>
    <t>age chances of getting pregnant calculator</t>
  </si>
  <si>
    <t>tci world lucky dreams</t>
  </si>
  <si>
    <t>chances of having a boy or girl calculator</t>
  </si>
  <si>
    <t>chances number of a car</t>
  </si>
  <si>
    <t>chances of getting std from prostitute</t>
  </si>
  <si>
    <t>island luck winning numbers for tonight</t>
  </si>
  <si>
    <t>island luck customer service number bahamas</t>
  </si>
  <si>
    <t>paradise games hours</t>
  </si>
  <si>
    <t>island luck winning numbers winning numbers today</t>
  </si>
  <si>
    <t>increase chances of winning lottery</t>
  </si>
  <si>
    <t>clan chances slayers unleashed</t>
  </si>
  <si>
    <t>winning numbers chances</t>
  </si>
  <si>
    <t>island luck customer service telephone number</t>
  </si>
  <si>
    <t>chances of catching aids from one night stand</t>
  </si>
  <si>
    <t>chances of winning powerball tonight</t>
  </si>
  <si>
    <t>island luck-com</t>
  </si>
  <si>
    <t>chances of miscarriage if hcg levels are rising</t>
  </si>
  <si>
    <t>island luck winning number new york</t>
  </si>
  <si>
    <t>chances of getting pregnant at 45 naturally</t>
  </si>
  <si>
    <t>quotes about second chances in life</t>
  </si>
  <si>
    <t>chances of losing money in the stock market</t>
  </si>
  <si>
    <t>chances of pregnancy before ovulation</t>
  </si>
  <si>
    <t>celine dion taking chances</t>
  </si>
  <si>
    <t>islandluck customer service</t>
  </si>
  <si>
    <t>island luck freeport phone number</t>
  </si>
  <si>
    <t>chances of pregnancy on birth control</t>
  </si>
  <si>
    <t>chances of hiv</t>
  </si>
  <si>
    <t>island luck locations nassau bahamas</t>
  </si>
  <si>
    <t>chances of snow</t>
  </si>
  <si>
    <t>chances to find the woman of my dreams</t>
  </si>
  <si>
    <t>ectopic pregnancy chances</t>
  </si>
  <si>
    <t>paradise game.com</t>
  </si>
  <si>
    <t>covid reinfection chances</t>
  </si>
  <si>
    <t>island luck eleuthera</t>
  </si>
  <si>
    <t>www.pgweb</t>
  </si>
  <si>
    <t>chances of getting hiv uncircumcised</t>
  </si>
  <si>
    <t>www.island.com</t>
  </si>
  <si>
    <t>chances of winning green card lottery</t>
  </si>
  <si>
    <t>chances of dying from covid</t>
  </si>
  <si>
    <t>chances of winning the lottery australia</t>
  </si>
  <si>
    <t>chances of making it to the nba quiz</t>
  </si>
  <si>
    <t>deadly second chances cast</t>
  </si>
  <si>
    <t>iland lok</t>
  </si>
  <si>
    <t>green card lottery chances by country</t>
  </si>
  <si>
    <t>chances of getting pregnant with tubes tied</t>
  </si>
  <si>
    <t>pg gaming casino</t>
  </si>
  <si>
    <t>chances of getting pregnant at 48</t>
  </si>
  <si>
    <t>island luck bahamas contact</t>
  </si>
  <si>
    <t>chances of a successful pregnancy</t>
  </si>
  <si>
    <t>winning lucky numbers</t>
  </si>
  <si>
    <t>taking chances</t>
  </si>
  <si>
    <t>chances of getting job after reference check</t>
  </si>
  <si>
    <t>chances of breast cancer</t>
  </si>
  <si>
    <t>chances of short cervix in second pregnancy</t>
  </si>
  <si>
    <t>stop giving chances</t>
  </si>
  <si>
    <t>second chances</t>
  </si>
  <si>
    <t>god of second chances quotes</t>
  </si>
  <si>
    <t>stop giving people chances</t>
  </si>
  <si>
    <t>chances of recovery from stroke paralysis</t>
  </si>
  <si>
    <t>www.pggames</t>
  </si>
  <si>
    <t>chances of getting cancer from vaping</t>
  </si>
  <si>
    <t>miami dolphins chances of making the playoffs</t>
  </si>
  <si>
    <t>chances of getting pregnant if not ovulating</t>
  </si>
  <si>
    <t>chances of dying during childbirth</t>
  </si>
  <si>
    <t>paradise game location</t>
  </si>
  <si>
    <t>chances of rain today in my location</t>
  </si>
  <si>
    <t>hiv chances</t>
  </si>
  <si>
    <t>island luck mobile login page</t>
  </si>
  <si>
    <t>www florida lottery</t>
  </si>
  <si>
    <t>island luck crack the code 2020</t>
  </si>
  <si>
    <t>chances of getting pregnant while ovulating</t>
  </si>
  <si>
    <t>Informational,Navigational,Non-branded,Local</t>
  </si>
  <si>
    <t>chances of getting herpes from infected partner</t>
  </si>
  <si>
    <t>quotes on taking chances</t>
  </si>
  <si>
    <t>paradise games - nassau</t>
  </si>
  <si>
    <t>island luck jobs</t>
  </si>
  <si>
    <t>boyd road island luck</t>
  </si>
  <si>
    <t>islandluck.com winning numbers island luck winning numbers</t>
  </si>
  <si>
    <t>island luck winnings yesterday</t>
  </si>
  <si>
    <t>chances winning a dui jury trial</t>
  </si>
  <si>
    <t>chances of getting pregnant with pcos naturally</t>
  </si>
  <si>
    <t>1 day before ovulation chances of pregnancy</t>
  </si>
  <si>
    <t>casino demo island luck</t>
  </si>
  <si>
    <t>chances of winning on a scratch card</t>
  </si>
  <si>
    <t>chances are</t>
  </si>
  <si>
    <t>giving chances in relationships</t>
  </si>
  <si>
    <t>login winning login island luck</t>
  </si>
  <si>
    <t>chances number house locations</t>
  </si>
  <si>
    <t>mobile islandluck</t>
  </si>
  <si>
    <t>chances of winning the euromillions</t>
  </si>
  <si>
    <t>island luck login full site login</t>
  </si>
  <si>
    <t>will dismissed cases hurt job chances</t>
  </si>
  <si>
    <t>island luck win</t>
  </si>
  <si>
    <t>islande luck</t>
  </si>
  <si>
    <t>chances quotes relationships</t>
  </si>
  <si>
    <t>powerball winning numbers chances</t>
  </si>
  <si>
    <t>French</t>
  </si>
  <si>
    <t>chances of sperm meeting egg</t>
  </si>
  <si>
    <t>raven lucky number online</t>
  </si>
  <si>
    <t>raven lucky pick</t>
  </si>
  <si>
    <t>chances of getting hsv-2 from one night stand</t>
  </si>
  <si>
    <t>chances of false positive pregnancy test</t>
  </si>
  <si>
    <t>www.pggames.com</t>
  </si>
  <si>
    <t>lotto winning chances</t>
  </si>
  <si>
    <t>island luck cares</t>
  </si>
  <si>
    <t>Health</t>
  </si>
  <si>
    <t>chances of winning lottery in bitlife</t>
  </si>
  <si>
    <t>chances demo casino</t>
  </si>
  <si>
    <t>chances of dog getting pregnant after tie</t>
  </si>
  <si>
    <t>increase your chances of getting pregnant</t>
  </si>
  <si>
    <t>nets playoff chances</t>
  </si>
  <si>
    <t>bible verse about second chances</t>
  </si>
  <si>
    <t>affect my chances</t>
  </si>
  <si>
    <t>chance hoy</t>
  </si>
  <si>
    <t>valottery.com extra chances</t>
  </si>
  <si>
    <t>loteria de hoy</t>
  </si>
  <si>
    <t>bengals chances of making playoffs</t>
  </si>
  <si>
    <t>Spanish</t>
  </si>
  <si>
    <t>theislandgame.com</t>
  </si>
  <si>
    <t>quote about second chances</t>
  </si>
  <si>
    <t>chances of passing chlamydia from female-to male</t>
  </si>
  <si>
    <t>blackjack chances</t>
  </si>
  <si>
    <t>second chances in relationships</t>
  </si>
  <si>
    <t>chances of getting stds with condom</t>
  </si>
  <si>
    <t>chances pregnancy quiz</t>
  </si>
  <si>
    <t>island luck webcafe island luck web</t>
  </si>
  <si>
    <t>chances of breast cancer coming back</t>
  </si>
  <si>
    <t>www.everybodywinslive.com</t>
  </si>
  <si>
    <t>quotes about taking chances</t>
  </si>
  <si>
    <t>chances of dying in a car crash</t>
  </si>
  <si>
    <t>powerball chances of winning</t>
  </si>
  <si>
    <t>southwest plaza island luck</t>
  </si>
  <si>
    <t>buffalo sabres playoff chances</t>
  </si>
  <si>
    <t>chances of never waking up from anesthesia</t>
  </si>
  <si>
    <t>fml group of companies</t>
  </si>
  <si>
    <t>free chances games</t>
  </si>
  <si>
    <t>florida lottery winning</t>
  </si>
  <si>
    <t>island luck account sign up online</t>
  </si>
  <si>
    <t>chances of getting hiv through eye</t>
  </si>
  <si>
    <t>chances of winning the lottery bitlife</t>
  </si>
  <si>
    <t>winning number today florida</t>
  </si>
  <si>
    <t>chances of winning at blackjack</t>
  </si>
  <si>
    <t>pregnancy chances by age</t>
  </si>
  <si>
    <t>www.lottery results today</t>
  </si>
  <si>
    <t>island luck job application form</t>
  </si>
  <si>
    <t>island luck lottery</t>
  </si>
  <si>
    <t>island luck voucher online</t>
  </si>
  <si>
    <t>island game number</t>
  </si>
  <si>
    <t>chances of getting pregnant at 37 naturally</t>
  </si>
  <si>
    <t>johnson's winning number</t>
  </si>
  <si>
    <t>one night stand pregnancy chances</t>
  </si>
  <si>
    <t>island luck mobile site</t>
  </si>
  <si>
    <t>floridalottery</t>
  </si>
  <si>
    <t>island luck..com</t>
  </si>
  <si>
    <t>chances casino winners</t>
  </si>
  <si>
    <t>chances of precum pregnancy</t>
  </si>
  <si>
    <t>island luck job application</t>
  </si>
  <si>
    <t>chances sign up</t>
  </si>
  <si>
    <t>login winning numbers island luck</t>
  </si>
  <si>
    <t>paradise games locations nassau</t>
  </si>
  <si>
    <t>chanses</t>
  </si>
  <si>
    <t>chances of winning a slot machine</t>
  </si>
  <si>
    <t>chances of winning the lottery in bitlife</t>
  </si>
  <si>
    <t>islandluck.com web cafe</t>
  </si>
  <si>
    <t>calculate my chances of getting into college</t>
  </si>
  <si>
    <t>chances of getting pregnant on ovulation day</t>
  </si>
  <si>
    <t>chances of democrats winning the house</t>
  </si>
  <si>
    <t>islandluck number</t>
  </si>
  <si>
    <t>sex in periods chances of pregnancy</t>
  </si>
  <si>
    <t>asurewin 2015</t>
  </si>
  <si>
    <t>asurewin application</t>
  </si>
  <si>
    <t>island luck.</t>
  </si>
  <si>
    <t>ísland luck</t>
  </si>
  <si>
    <t>chances webshop</t>
  </si>
  <si>
    <t>Local teaser pack,Video preview,Sitelinks</t>
  </si>
  <si>
    <t>chances casino login app</t>
  </si>
  <si>
    <t>chances of pregnancy at 51</t>
  </si>
  <si>
    <t>tiraj chicago</t>
  </si>
  <si>
    <t>chances of winning lottery uk</t>
  </si>
  <si>
    <t>chicago lottery</t>
  </si>
  <si>
    <t>take chances</t>
  </si>
  <si>
    <t>island luck fantasy 5</t>
  </si>
  <si>
    <t>improve chances of getting a mortgage</t>
  </si>
  <si>
    <t>chances of winning the lottery calculator</t>
  </si>
  <si>
    <t>www.islandluck mobile .com</t>
  </si>
  <si>
    <t>chances of getting pregnant after depo</t>
  </si>
  <si>
    <t>chances of getting std from oral</t>
  </si>
  <si>
    <t>calculate my chances of having twins</t>
  </si>
  <si>
    <t>late miami winning numbers</t>
  </si>
  <si>
    <t>chances of pregnancy during luteal phase</t>
  </si>
  <si>
    <t>paradise games com</t>
  </si>
  <si>
    <t>lsland luck</t>
  </si>
  <si>
    <t>what's the chances of becoming a millionaire</t>
  </si>
  <si>
    <t>www.floridalottery.com winning numbers</t>
  </si>
  <si>
    <t>chances of getting rabies without being bitten</t>
  </si>
  <si>
    <t>www.ultra</t>
  </si>
  <si>
    <t>chances of getting lice if exposed</t>
  </si>
  <si>
    <t>island luck web shop</t>
  </si>
  <si>
    <t>paradise game winning numbers</t>
  </si>
  <si>
    <t>island luck winning numbers island luck winning number</t>
  </si>
  <si>
    <t>island luck human resources</t>
  </si>
  <si>
    <t>rain chances today</t>
  </si>
  <si>
    <t>island luck wulff road number</t>
  </si>
  <si>
    <t>missed 2 birth control pills chances of pregnancy</t>
  </si>
  <si>
    <t>chances of dying on a motorcycle</t>
  </si>
  <si>
    <t>www everybodywinslive.com</t>
  </si>
  <si>
    <t>chances games com casino casino games</t>
  </si>
  <si>
    <t>www.paradisegames.com</t>
  </si>
  <si>
    <t>chances cafe</t>
  </si>
  <si>
    <t>chances casino sign up</t>
  </si>
  <si>
    <t>what's the chances of a cruise ship sinking</t>
  </si>
  <si>
    <t>early miami 3 ball</t>
  </si>
  <si>
    <t>pg games paradise games</t>
  </si>
  <si>
    <t>chances of getting hiv from a girl</t>
  </si>
  <si>
    <t>chances of getting pregnant at 34</t>
  </si>
  <si>
    <t>www pggames com</t>
  </si>
  <si>
    <t>chances of getting pregnant at 41</t>
  </si>
  <si>
    <t>chances of getting pregnant at 60</t>
  </si>
  <si>
    <t>you miss all the chances you don't take</t>
  </si>
  <si>
    <t>pggames.con</t>
  </si>
  <si>
    <t>island luck winning numbers miami</t>
  </si>
  <si>
    <t>download island luck app</t>
  </si>
  <si>
    <t>island luck casino lobby demo play</t>
  </si>
  <si>
    <t>floridalottery.com winning numbers</t>
  </si>
  <si>
    <t>chances casino maple ridge</t>
  </si>
  <si>
    <t>chances of dying in car crash</t>
  </si>
  <si>
    <t>paradise games payout</t>
  </si>
  <si>
    <t>chances casino online</t>
  </si>
  <si>
    <t>chances of getting standby flight</t>
  </si>
  <si>
    <t>chances of winning slot machine</t>
  </si>
  <si>
    <t>chancesgame</t>
  </si>
  <si>
    <t>chances winning numbers winning numbers</t>
  </si>
  <si>
    <t>asurewin job application</t>
  </si>
  <si>
    <t>increase pregnancy chances</t>
  </si>
  <si>
    <t>www pggames com mobile</t>
  </si>
  <si>
    <t>chances of winning disability with a lawyer</t>
  </si>
  <si>
    <t>island luck nassau winning numbers island luck</t>
  </si>
  <si>
    <t>paradise games winning numbers yesterday</t>
  </si>
  <si>
    <t>asurewin near nassau</t>
  </si>
  <si>
    <t>chances of plane crash</t>
  </si>
  <si>
    <t>island luck winning number please</t>
  </si>
  <si>
    <t>nhl playoff chances</t>
  </si>
  <si>
    <t>the chances of a condom breaking</t>
  </si>
  <si>
    <t>late chicago 3 ball</t>
  </si>
  <si>
    <t>playoff chances</t>
  </si>
  <si>
    <t>illinois pick 3</t>
  </si>
  <si>
    <t>no second chances ex husband novel</t>
  </si>
  <si>
    <t>island luck nassau locations</t>
  </si>
  <si>
    <t>everybodywinslive winning numbers</t>
  </si>
  <si>
    <t>chances of getting pregnant while breastfeeding</t>
  </si>
  <si>
    <t>0, 0, 0, 0, 0, 0, 0, 2, 0, 6, 4, 1, 0, 1, 0, 0, 14, 11, 3, 5, 2, 0, 0, 0</t>
  </si>
  <si>
    <t>winning number today live</t>
  </si>
  <si>
    <t>chances of winning premium bonds</t>
  </si>
  <si>
    <t>chances of normal delivery after c-section</t>
  </si>
  <si>
    <t>precum chances of pregnancy</t>
  </si>
  <si>
    <t>pg games .com</t>
  </si>
  <si>
    <t>island luck cares foundation</t>
  </si>
  <si>
    <t>chances of contracting hiv</t>
  </si>
  <si>
    <t>florida powerball winning numbers by date</t>
  </si>
  <si>
    <t>asurewin login account login</t>
  </si>
  <si>
    <t>chances of pregnancy by day</t>
  </si>
  <si>
    <t>islandluckdemo</t>
  </si>
  <si>
    <t>chances of twins with ivf</t>
  </si>
  <si>
    <t>improve chances of conception</t>
  </si>
  <si>
    <t>island luck sign in</t>
  </si>
  <si>
    <t>chances of having a baby with cerebral palsy</t>
  </si>
  <si>
    <t>asurewin demo games</t>
  </si>
  <si>
    <t>island luck web cafe login</t>
  </si>
  <si>
    <t>chances of dying while skydiving</t>
  </si>
  <si>
    <t>chances of getting pregnant with a condom</t>
  </si>
  <si>
    <t>island luck web cafe winning numbers</t>
  </si>
  <si>
    <t>chances of becoming a billionaire</t>
  </si>
  <si>
    <t>island luck montague</t>
  </si>
  <si>
    <t>chances of getting pregnant after taking ipill</t>
  </si>
  <si>
    <t>ultra games kemp road</t>
  </si>
  <si>
    <t>Lottery; Sports betting; Business</t>
  </si>
  <si>
    <t>dallas playoff chances</t>
  </si>
  <si>
    <t>island winning numbers</t>
  </si>
  <si>
    <t>chances of winning workers comp appeal</t>
  </si>
  <si>
    <t>island number</t>
  </si>
  <si>
    <t>island luck winning numbers login account sign up</t>
  </si>
  <si>
    <t>famous quotes about second chances</t>
  </si>
  <si>
    <t>chances of getting covid twice</t>
  </si>
  <si>
    <t>bahamas lottery</t>
  </si>
  <si>
    <t>new orleans playoff chances</t>
  </si>
  <si>
    <t>island luck winning numbers winning numbers</t>
  </si>
  <si>
    <t>iland luck</t>
  </si>
  <si>
    <t>create island luck account</t>
  </si>
  <si>
    <t>chances g</t>
  </si>
  <si>
    <t>chances com</t>
  </si>
  <si>
    <t>rlwl 25 confirmation chances</t>
  </si>
  <si>
    <t>island luck own bahamas</t>
  </si>
  <si>
    <t>chances gamez</t>
  </si>
  <si>
    <t>www.paradise games winning numbers</t>
  </si>
  <si>
    <t>chances of getting approved for usda loan</t>
  </si>
  <si>
    <t>rain chances in my location</t>
  </si>
  <si>
    <t>island luck fox hill number</t>
  </si>
  <si>
    <t>island luck please</t>
  </si>
  <si>
    <t>island luck 4 ball payout</t>
  </si>
  <si>
    <t>island luck dream book</t>
  </si>
  <si>
    <t>island luck head office number</t>
  </si>
  <si>
    <t>new chances</t>
  </si>
  <si>
    <t>chances of a hole in one</t>
  </si>
  <si>
    <t>paradisegame</t>
  </si>
  <si>
    <t>chances of getting pregnant without protection</t>
  </si>
  <si>
    <t>island. luck</t>
  </si>
  <si>
    <t>chances of winning dv lottery 2020</t>
  </si>
  <si>
    <t>chances bar &amp; video gaming menu</t>
  </si>
  <si>
    <t>chances games.com</t>
  </si>
  <si>
    <t>chances of miscarriage after 12 weeks</t>
  </si>
  <si>
    <t>cerazette missed pill chances of pregnancy</t>
  </si>
  <si>
    <t>chances head office freeport</t>
  </si>
  <si>
    <t>chances of getting pregnant after tubal reversal</t>
  </si>
  <si>
    <t>People also ask,Knowledge panel</t>
  </si>
  <si>
    <t>taking chances quotes</t>
  </si>
  <si>
    <t>Business operations</t>
  </si>
  <si>
    <t>island luck george town</t>
  </si>
  <si>
    <t>islandluck web cafe</t>
  </si>
  <si>
    <t>unc tournament chances</t>
  </si>
  <si>
    <t>chances of passing chlamydia</t>
  </si>
  <si>
    <t>take no chances</t>
  </si>
  <si>
    <t>early california lottery</t>
  </si>
  <si>
    <t>california winning numbers</t>
  </si>
  <si>
    <t>chances of pregnancy with condom</t>
  </si>
  <si>
    <t>the island games</t>
  </si>
  <si>
    <t>paradise games freeport number</t>
  </si>
  <si>
    <t>miscarriage chances by week</t>
  </si>
  <si>
    <t>Lottery; Sports betting; International sports competitions</t>
  </si>
  <si>
    <t>giving people chances quotes</t>
  </si>
  <si>
    <t>chances of success with ivf</t>
  </si>
  <si>
    <t>island luck kiosk</t>
  </si>
  <si>
    <t>island luck locations in nassau</t>
  </si>
  <si>
    <t>chances demo login</t>
  </si>
  <si>
    <t>weather today chances of rain</t>
  </si>
  <si>
    <t>bills.playoff chances</t>
  </si>
  <si>
    <t>asue bahamas</t>
  </si>
  <si>
    <t>steelers playoff chances</t>
  </si>
  <si>
    <t>AI Overview,Thumbnail,People also ask,Video preview</t>
  </si>
  <si>
    <t>chances of surviving prostate cancer</t>
  </si>
  <si>
    <t>Savings accounts</t>
  </si>
  <si>
    <t>chances casinos in bc</t>
  </si>
  <si>
    <t>freeport games</t>
  </si>
  <si>
    <t>paradise games com login</t>
  </si>
  <si>
    <t>island luck login in results</t>
  </si>
  <si>
    <t>lottery lottery island luck</t>
  </si>
  <si>
    <t>paradise games.com</t>
  </si>
  <si>
    <t>chances lounge</t>
  </si>
  <si>
    <t>islandluck mobile login</t>
  </si>
  <si>
    <t>chances facebook</t>
  </si>
  <si>
    <t>chances of getting hiv from escort</t>
  </si>
  <si>
    <t>yukon gold casino 125 chances</t>
  </si>
  <si>
    <t>chicago lotto winning numbers</t>
  </si>
  <si>
    <t>chances of conceiving after ectopic pregnancy</t>
  </si>
  <si>
    <t>chances of getting herpes with condom and valtrex</t>
  </si>
  <si>
    <t>www.florida lotto</t>
  </si>
  <si>
    <t>island luckhttps://www.islandluck.comisland luck</t>
  </si>
  <si>
    <t>lotto</t>
  </si>
  <si>
    <t>chances of getting cancer from smoking</t>
  </si>
  <si>
    <t>chances of getting pregnant at 55</t>
  </si>
  <si>
    <t>chicago cash 3</t>
  </si>
  <si>
    <t>cowboys playoff chances</t>
  </si>
  <si>
    <t>steelers playoff chances 2024</t>
  </si>
  <si>
    <t>island luck winning numbers app</t>
  </si>
  <si>
    <t>paradise games nassau bahamas</t>
  </si>
  <si>
    <t>chances demo - google search - google search</t>
  </si>
  <si>
    <t>chances of getting pregnant day before period</t>
  </si>
  <si>
    <t>winning login winning login island luck</t>
  </si>
  <si>
    <t>brain damage recovery chances</t>
  </si>
  <si>
    <t>winning numbers for island luck</t>
  </si>
  <si>
    <t>chances of getting pregnant 1 day after ovulation</t>
  </si>
  <si>
    <t>chances nassau bahamas</t>
  </si>
  <si>
    <t>island luck .</t>
  </si>
  <si>
    <t>no more chances quotes</t>
  </si>
  <si>
    <t>thank god for second chances</t>
  </si>
  <si>
    <t>chances of getting pregnant each month</t>
  </si>
  <si>
    <t>eagles chances of winning super bowl</t>
  </si>
  <si>
    <t>pittsburgh playoff chances</t>
  </si>
  <si>
    <t>god of 2nd chances</t>
  </si>
  <si>
    <t>cincinnati bengals playoffs chances</t>
  </si>
  <si>
    <t>chances of surviving lightning strike</t>
  </si>
  <si>
    <t>chances .com</t>
  </si>
  <si>
    <t>chances lyrics</t>
  </si>
  <si>
    <t>island luck cable beach number</t>
  </si>
  <si>
    <t>chances of getting pregnant with condom</t>
  </si>
  <si>
    <t>chances of getting pregnant with precum</t>
  </si>
  <si>
    <t>island luck referral code</t>
  </si>
  <si>
    <t>chances of winning the postcode lottery</t>
  </si>
  <si>
    <t>chances of twins after 40</t>
  </si>
  <si>
    <t>chances of having a second miscarriage</t>
  </si>
  <si>
    <t>chances of getting pregnant before period</t>
  </si>
  <si>
    <t>chances of rolling a 7</t>
  </si>
  <si>
    <t>green bay packers playoff chances</t>
  </si>
  <si>
    <t>chances locations freeport</t>
  </si>
  <si>
    <t>chances of winning lottery playing same numbers</t>
  </si>
  <si>
    <t>chances casino reviews</t>
  </si>
  <si>
    <t>free card games paradise</t>
  </si>
  <si>
    <t>island luck long island</t>
  </si>
  <si>
    <t>paradise games (rnd plaza) freeport</t>
  </si>
  <si>
    <t>chances prince rupert</t>
  </si>
  <si>
    <t>chances of placenta previa moving after 32 weeks</t>
  </si>
  <si>
    <t>chances hours</t>
  </si>
  <si>
    <t>chances of getting pregnant using a condom</t>
  </si>
  <si>
    <t>chances of finding a man calculator</t>
  </si>
  <si>
    <t>islandluck island luck winning numbers</t>
  </si>
  <si>
    <t>island luck wulff road</t>
  </si>
  <si>
    <t>chances of pregnancy on period</t>
  </si>
  <si>
    <t>chances loto</t>
  </si>
  <si>
    <t>chances of conceiving calculator</t>
  </si>
  <si>
    <t>island luck application</t>
  </si>
  <si>
    <t>chances of getting pregnant at 50 naturally</t>
  </si>
  <si>
    <t>island luck free games</t>
  </si>
  <si>
    <t>god is a god of second chances bible verse</t>
  </si>
  <si>
    <t>chances of having a seizure on keppra</t>
  </si>
  <si>
    <t>chances of abnormality at 20-week scan</t>
  </si>
  <si>
    <t>chances of getting pregnant in your 40s</t>
  </si>
  <si>
    <t>florida panthers playoff chances</t>
  </si>
  <si>
    <t>luck island</t>
  </si>
  <si>
    <t>chances of catching chlamydia</t>
  </si>
  <si>
    <t>loteria chances</t>
  </si>
  <si>
    <t>chances of getting pregnant with trigger shot</t>
  </si>
  <si>
    <t>panthers playoff chances</t>
  </si>
  <si>
    <t>chances of dying in a boat accident</t>
  </si>
  <si>
    <t>chances of getting a bond reduction</t>
  </si>
  <si>
    <t>chances of prostate cancer</t>
  </si>
  <si>
    <t>chances games winning</t>
  </si>
  <si>
    <t>island/luck</t>
  </si>
  <si>
    <t>chances of getting hiv from one encounter reddit</t>
  </si>
  <si>
    <t>chances of a perfect bracket</t>
  </si>
  <si>
    <t>chances are meaning</t>
  </si>
  <si>
    <t>chances of winning the green card lottery</t>
  </si>
  <si>
    <t>chances of being hit by lightning</t>
  </si>
  <si>
    <t>chances of pregnancy at 40</t>
  </si>
  <si>
    <t>university chances calculator</t>
  </si>
  <si>
    <t>2nd chances quotes</t>
  </si>
  <si>
    <t>life is all about taking chances</t>
  </si>
  <si>
    <t>chances casino online real money</t>
  </si>
  <si>
    <t>chances of spreading herpes</t>
  </si>
  <si>
    <t>lucky chances casino</t>
  </si>
  <si>
    <t>island luck winning numbers for</t>
  </si>
  <si>
    <t>chances of miscarriage at 22 weeks</t>
  </si>
  <si>
    <t>chances of winning mega millions</t>
  </si>
  <si>
    <t>chances'</t>
  </si>
  <si>
    <t>paradise games live in your world</t>
  </si>
  <si>
    <t>island luck casino demo play</t>
  </si>
  <si>
    <t>top rated paradise games</t>
  </si>
  <si>
    <t>chances best age to get pregnant</t>
  </si>
  <si>
    <t>chances of winning in roulette</t>
  </si>
  <si>
    <t>island luck - lucky bucks</t>
  </si>
  <si>
    <t>chances games sign up</t>
  </si>
  <si>
    <t>chances winning powerball</t>
  </si>
  <si>
    <t>chances of winning the powerball</t>
  </si>
  <si>
    <t>pregnancy by precum chances</t>
  </si>
  <si>
    <t>chances of accidental pregnancy at 43</t>
  </si>
  <si>
    <t>chances of getting pregnant at 42 naturally</t>
  </si>
  <si>
    <t>chances casino bahamas</t>
  </si>
  <si>
    <t>ovulation chances of getting pregnant</t>
  </si>
  <si>
    <t>no second chances quotes</t>
  </si>
  <si>
    <t>chances of winning the lottery twice</t>
  </si>
  <si>
    <t>chances of h1b rejection after lottery selection</t>
  </si>
  <si>
    <t>women's chances of getting married after 30</t>
  </si>
  <si>
    <t>ayto second chances</t>
  </si>
  <si>
    <t>one fruit simulator drop chances</t>
  </si>
  <si>
    <t>paradise games ltd.</t>
  </si>
  <si>
    <t>island luck demo 2</t>
  </si>
  <si>
    <t>chances of finding lost luggage</t>
  </si>
  <si>
    <t>i don't give second chances</t>
  </si>
  <si>
    <t>chances of getting pregnant at 42</t>
  </si>
  <si>
    <t>chances of getting pregnant while anemic</t>
  </si>
  <si>
    <t>saints playoff chances</t>
  </si>
  <si>
    <t>island luck winner number</t>
  </si>
  <si>
    <t>bears playoff chances</t>
  </si>
  <si>
    <t>new england patriots playoff chances</t>
  </si>
  <si>
    <t>chances of getting std</t>
  </si>
  <si>
    <t>77 chances</t>
  </si>
  <si>
    <t>pgweb cafe paradise games</t>
  </si>
  <si>
    <t>pcos chances of pregnancy</t>
  </si>
  <si>
    <t>bengals playoff chances</t>
  </si>
  <si>
    <t>fantasy 5 chances of winning</t>
  </si>
  <si>
    <t>island luck cards</t>
  </si>
  <si>
    <t>rams playoff chances</t>
  </si>
  <si>
    <t>island luck home page</t>
  </si>
  <si>
    <t>today island luck winning numbers</t>
  </si>
  <si>
    <t>chances r leggings</t>
  </si>
  <si>
    <t>careers island luck</t>
  </si>
  <si>
    <t>second chances quotes</t>
  </si>
  <si>
    <t>island luck locations near me</t>
  </si>
  <si>
    <t>chances of a woman getting pregnant</t>
  </si>
  <si>
    <t>island luck radio</t>
  </si>
  <si>
    <t>chances casino freeport</t>
  </si>
  <si>
    <t>chances of</t>
  </si>
  <si>
    <t>chances of an ectopic pregnancy</t>
  </si>
  <si>
    <t>island luck big bang 2018</t>
  </si>
  <si>
    <t>chances of getting pregnant from pre cum</t>
  </si>
  <si>
    <t>chances to win the lottery</t>
  </si>
  <si>
    <t>chances of cruise ship sinking</t>
  </si>
  <si>
    <t>chances meaning</t>
  </si>
  <si>
    <t>chances of getting into harvard</t>
  </si>
  <si>
    <t>chances hames</t>
  </si>
  <si>
    <t>h1b visa lottery chances</t>
  </si>
  <si>
    <t>island luck big bang</t>
  </si>
  <si>
    <t>god gives second chances quotes</t>
  </si>
  <si>
    <t>chances bingo chilliwack</t>
  </si>
  <si>
    <t>island luck mobile apps</t>
  </si>
  <si>
    <t>chances of winning roulette</t>
  </si>
  <si>
    <t>chances casino hours</t>
  </si>
  <si>
    <t>tips to increase chances of conception</t>
  </si>
  <si>
    <t>chances de gravidez por idade</t>
  </si>
  <si>
    <t>chances of getting hiv from infected needle</t>
  </si>
  <si>
    <t>chances of getting pregnant on clomid first month</t>
  </si>
  <si>
    <t>chances of winning fantasy 5</t>
  </si>
  <si>
    <t>if i cut you off chances are</t>
  </si>
  <si>
    <t>chances of miscarriage after heartbeat</t>
  </si>
  <si>
    <t>chances locations near me</t>
  </si>
  <si>
    <t>island luck head office phone number</t>
  </si>
  <si>
    <t>chances r</t>
  </si>
  <si>
    <t>bible verses about second chances</t>
  </si>
  <si>
    <t>chances locations nassau</t>
  </si>
  <si>
    <t>chances of giving birth at 38 weeks</t>
  </si>
  <si>
    <t>island luck game winning numbers</t>
  </si>
  <si>
    <t>browns playoff chances 2023</t>
  </si>
  <si>
    <t>www.the island luck</t>
  </si>
  <si>
    <t>chances of pregnancy from precum</t>
  </si>
  <si>
    <t>chances games login in</t>
  </si>
  <si>
    <t>paradise games cable beach</t>
  </si>
  <si>
    <t>chances of recovery from brain swelling</t>
  </si>
  <si>
    <t>chances of pregnancy 4 days before ovulation</t>
  </si>
  <si>
    <t>buccaneers playoff chances</t>
  </si>
  <si>
    <t>island luck demo slots games</t>
  </si>
  <si>
    <t>does god give second chances</t>
  </si>
  <si>
    <t>third chances</t>
  </si>
  <si>
    <t>asurewin com casino mobile</t>
  </si>
  <si>
    <t>chances of getting pregnant in your 30s</t>
  </si>
  <si>
    <t>island luck new account</t>
  </si>
  <si>
    <t>giving chances quotes</t>
  </si>
  <si>
    <t>calculate college chances</t>
  </si>
  <si>
    <t>chances of pregnancy at 30</t>
  </si>
  <si>
    <t>paradise games logo</t>
  </si>
  <si>
    <t>chances of getting hiv with a condom</t>
  </si>
  <si>
    <t>island luck south west plaza</t>
  </si>
  <si>
    <t>collins avenue island luck</t>
  </si>
  <si>
    <t>paradise games online free</t>
  </si>
  <si>
    <t>chances of getting pregnant while on period</t>
  </si>
  <si>
    <t>chances of complete placenta previa resolving</t>
  </si>
  <si>
    <t>www island luck winning number</t>
  </si>
  <si>
    <t>chances of surviving breast cancer</t>
  </si>
  <si>
    <t>chances abaco</t>
  </si>
  <si>
    <t>dlbcl relapse chances</t>
  </si>
  <si>
    <t>2 days before ovulation chances of pregnancy</t>
  </si>
  <si>
    <t>paradise games lottery</t>
  </si>
  <si>
    <t>chances of getting in a plane crash</t>
  </si>
  <si>
    <t>chances of getting gonorrhea</t>
  </si>
  <si>
    <t>second chances movie</t>
  </si>
  <si>
    <t>island luck quick draw</t>
  </si>
  <si>
    <t>chances of winning lotto nz</t>
  </si>
  <si>
    <t>chances terrace</t>
  </si>
  <si>
    <t>songs about second chances</t>
  </si>
  <si>
    <t>island luck demo login bonus</t>
  </si>
  <si>
    <t>island luck demo winning numbers</t>
  </si>
  <si>
    <t>chances of getting pregnant naturally with pcos</t>
  </si>
  <si>
    <t>no chances</t>
  </si>
  <si>
    <t>island luck demo pirates revenge</t>
  </si>
  <si>
    <t>island luck main office</t>
  </si>
  <si>
    <t>chances of spreading herpes while on valacyclovir</t>
  </si>
  <si>
    <t>island luck online</t>
  </si>
  <si>
    <t>chances of getting hired at a job fair</t>
  </si>
  <si>
    <t>chances of getting pregnant on period</t>
  </si>
  <si>
    <t>chances casino no deposit bonus</t>
  </si>
  <si>
    <t>chances of dying in a car accident australia</t>
  </si>
  <si>
    <t>h1b chances</t>
  </si>
  <si>
    <t>chances games nassau bahamas</t>
  </si>
  <si>
    <t>india's chances in champions trophy</t>
  </si>
  <si>
    <t>scripture about second chances</t>
  </si>
  <si>
    <t>texans playoff chances</t>
  </si>
  <si>
    <t>jaguars playoff chances</t>
  </si>
  <si>
    <t>chances of winning the</t>
  </si>
  <si>
    <t>do capricorns give second chances</t>
  </si>
  <si>
    <t>chances of being attacked by a shark in australia</t>
  </si>
  <si>
    <t>chances of winning march madness</t>
  </si>
  <si>
    <t>chances of a condom breaking</t>
  </si>
  <si>
    <t>chances of survival falling off a cruise ship</t>
  </si>
  <si>
    <t>island luck number house</t>
  </si>
  <si>
    <t>login whining login island luck</t>
  </si>
  <si>
    <t>colts playoff chances predictions</t>
  </si>
  <si>
    <t>god of second chances sermon</t>
  </si>
  <si>
    <t>chances winning numbers login app</t>
  </si>
  <si>
    <t>asurewin mobile login</t>
  </si>
  <si>
    <t>miami dolphins chances of making playoffs 2023</t>
  </si>
  <si>
    <t>chances of getting pregnant with hypothyroidism</t>
  </si>
  <si>
    <t>chance chances</t>
  </si>
  <si>
    <t>chances of getting pregnant with pcos</t>
  </si>
  <si>
    <t>island luck games bahamas</t>
  </si>
  <si>
    <t>chances webshop login</t>
  </si>
  <si>
    <t>tampa playoff chances</t>
  </si>
  <si>
    <t>island luck - big bang</t>
  </si>
  <si>
    <t>chances of having fraternal twins twice in a row</t>
  </si>
  <si>
    <t>chances of pregnancy after ovulation</t>
  </si>
  <si>
    <t>chances of getting disability for arthritis</t>
  </si>
  <si>
    <t>flyers playoff chances</t>
  </si>
  <si>
    <t>chances d'avoir des jumeaux</t>
  </si>
  <si>
    <t>chances today</t>
  </si>
  <si>
    <t>island luck operating hours</t>
  </si>
  <si>
    <t>chances of catching hiv from one night stand</t>
  </si>
  <si>
    <t>lakers playoff chances</t>
  </si>
  <si>
    <t>island luck house nassau</t>
  </si>
  <si>
    <t>chances of surviving a stroke</t>
  </si>
  <si>
    <t>chances of winning lottery games</t>
  </si>
  <si>
    <t>chances of dying skydiving</t>
  </si>
  <si>
    <t>chances of getting dry socket</t>
  </si>
  <si>
    <t>chances of winning 1 dollar scratch off</t>
  </si>
  <si>
    <t>chances of getting syphilis</t>
  </si>
  <si>
    <t>chances of getting into law school</t>
  </si>
  <si>
    <t>island luck ceo</t>
  </si>
  <si>
    <t>chances make champions</t>
  </si>
  <si>
    <t>chances of getting pregnant during fertile window</t>
  </si>
  <si>
    <t>chances png</t>
  </si>
  <si>
    <t>chances of conceiving a girl on ovulation day</t>
  </si>
  <si>
    <t>chances of dying from wisdom teeth removal</t>
  </si>
  <si>
    <t>island luck winning number for</t>
  </si>
  <si>
    <t>asurewin job application online</t>
  </si>
  <si>
    <t>chances games head office</t>
  </si>
  <si>
    <t>island luck bahamas winning numbers</t>
  </si>
  <si>
    <t>island luck big bang live</t>
  </si>
  <si>
    <t>chances of making it to the nba</t>
  </si>
  <si>
    <t>chances of als in 20s</t>
  </si>
  <si>
    <t>nassau games winning numbers island luck winning</t>
  </si>
  <si>
    <t>chances of getting married after 36</t>
  </si>
  <si>
    <t>chances of winning lottery ticket</t>
  </si>
  <si>
    <t>cast of deadly second chances</t>
  </si>
  <si>
    <t>chances of getting pregnant at 43 naturally</t>
  </si>
  <si>
    <t>chances of rain today</t>
  </si>
  <si>
    <t>island luck login in app</t>
  </si>
  <si>
    <t>lottery chances calculator</t>
  </si>
  <si>
    <t>ventilator recovery chances</t>
  </si>
  <si>
    <t>what's the chances of getting pregnant</t>
  </si>
  <si>
    <t>chargers playoffs chances</t>
  </si>
  <si>
    <t>island luck login to play</t>
  </si>
  <si>
    <t>chances of getting herpes from receiving oral</t>
  </si>
  <si>
    <t>island luck crack the code winners</t>
  </si>
  <si>
    <t>chances of being kidnapped as a woman</t>
  </si>
  <si>
    <t>ravens playoff chances</t>
  </si>
  <si>
    <t>asurewin website</t>
  </si>
  <si>
    <t>god gives us second chances quotes</t>
  </si>
  <si>
    <t>asurewin winning numbers today show</t>
  </si>
  <si>
    <t>slayers unleashed clan chances</t>
  </si>
  <si>
    <t>mobile island luck login</t>
  </si>
  <si>
    <t>island luck login account login account</t>
  </si>
  <si>
    <t>chances of getting pregnant luteal phase</t>
  </si>
  <si>
    <t>island luck party</t>
  </si>
  <si>
    <t>island luck login winning numbers today</t>
  </si>
  <si>
    <t>chances head office nassau</t>
  </si>
  <si>
    <t>islandluck login winning numbers island luck</t>
  </si>
  <si>
    <t>god gives second chances</t>
  </si>
  <si>
    <t>chances of a cruise ship sinking</t>
  </si>
  <si>
    <t>chances lotería</t>
  </si>
  <si>
    <t>chances quotes</t>
  </si>
  <si>
    <t>island luck payout calculator</t>
  </si>
  <si>
    <t>island luck ouvert actuellement</t>
  </si>
  <si>
    <t>paradise games login account</t>
  </si>
  <si>
    <t>b island luck winning numbers /b</t>
  </si>
  <si>
    <t>chances of winning blackjack</t>
  </si>
  <si>
    <t>island game island luck</t>
  </si>
  <si>
    <t>chances of twins with ivf and two embryos</t>
  </si>
  <si>
    <t>watch are you the one: second chances</t>
  </si>
  <si>
    <t>paradise ppsspp games download</t>
  </si>
  <si>
    <t>la rams playoff chances</t>
  </si>
  <si>
    <t>chances of getting pregnant on birth control shot</t>
  </si>
  <si>
    <t>chances of getting covid after vaccine</t>
  </si>
  <si>
    <t>island luck mobile.com</t>
  </si>
  <si>
    <t>island luck charles saunders</t>
  </si>
  <si>
    <t>chances de rebaixamento</t>
  </si>
  <si>
    <t>lottery highest chances winning</t>
  </si>
  <si>
    <t>chances of getting pregnant not ovulating</t>
  </si>
  <si>
    <t>god of second chances verse</t>
  </si>
  <si>
    <t>chances of pregnancy 2 days before ovulation</t>
  </si>
  <si>
    <t>chances of getting away with hit and run</t>
  </si>
  <si>
    <t>winning numbers island luck winning numbers today</t>
  </si>
  <si>
    <t>island luck com games</t>
  </si>
  <si>
    <t>island luck demo casino</t>
  </si>
  <si>
    <t>chances bears make playoffs</t>
  </si>
  <si>
    <t>chances of having a girl calculator</t>
  </si>
  <si>
    <t>chances of hiv through urethra</t>
  </si>
  <si>
    <t>island luck gaming</t>
  </si>
  <si>
    <t>island luck rock sound</t>
  </si>
  <si>
    <t>chances of pregnancy after period</t>
  </si>
  <si>
    <t>chances mission</t>
  </si>
  <si>
    <t>island luck'</t>
  </si>
  <si>
    <t>paradise games winning numbers history</t>
  </si>
  <si>
    <t>chances of getting pregnant at 46</t>
  </si>
  <si>
    <t>chances of winning a credit card lawsuit</t>
  </si>
  <si>
    <t>chances of making money on twitch</t>
  </si>
  <si>
    <t>chances of winning a scratch off</t>
  </si>
  <si>
    <t>are you the one second chances</t>
  </si>
  <si>
    <t>chances of finding lost cat after 24 hours</t>
  </si>
  <si>
    <t>chances of getting pregnant at 35</t>
  </si>
  <si>
    <t>chances of getting hiv from one encounter</t>
  </si>
  <si>
    <t>pggames.</t>
  </si>
  <si>
    <t>island luck open now winners</t>
  </si>
  <si>
    <t>brain stroke recovery chances</t>
  </si>
  <si>
    <t>chances of having a stroke</t>
  </si>
  <si>
    <t>chances of having twins with ivf</t>
  </si>
  <si>
    <t>does showering after sex reduce chances of std</t>
  </si>
  <si>
    <t>chances of winning a personal injury lawsuit</t>
  </si>
  <si>
    <t>chances peak montserrat</t>
  </si>
  <si>
    <t>we serve a god of second chances</t>
  </si>
  <si>
    <t>chances of getting pregnant during your period</t>
  </si>
  <si>
    <t>chances casino williams lake</t>
  </si>
  <si>
    <t>bible verses about second chances in love</t>
  </si>
  <si>
    <t>miami hurricanes playoff chances</t>
  </si>
  <si>
    <t>chances of getting pregnant while on your period</t>
  </si>
  <si>
    <t>island luck winning ultra games</t>
  </si>
  <si>
    <t>chances resultados</t>
  </si>
  <si>
    <t>casino chances login in</t>
  </si>
  <si>
    <t>island luck big bang 2017</t>
  </si>
  <si>
    <t>world war 3 chances</t>
  </si>
  <si>
    <t>chances of miscarriage at 14 weeks</t>
  </si>
  <si>
    <t>chances casino online login</t>
  </si>
  <si>
    <t>chances of getting pregnant with a vasectomy</t>
  </si>
  <si>
    <t>chances of getting hiv from an infected person</t>
  </si>
  <si>
    <t>warriors playoff chances</t>
  </si>
  <si>
    <t>chances of catching herpes with a condom</t>
  </si>
  <si>
    <t>chances of miscarriage at 10 weeks</t>
  </si>
  <si>
    <t>chances online</t>
  </si>
  <si>
    <t>multiple myeloma chances of survival</t>
  </si>
  <si>
    <t>chances to</t>
  </si>
  <si>
    <t>chances of getting pregnant at 40</t>
  </si>
  <si>
    <t>knicks playoff chances</t>
  </si>
  <si>
    <t>chances kodak</t>
  </si>
  <si>
    <t>does early action increase chances</t>
  </si>
  <si>
    <t>chances of having a brain tumor at 25</t>
  </si>
  <si>
    <t>bible verses about taking chances</t>
  </si>
  <si>
    <t>chances of hiv transmission</t>
  </si>
  <si>
    <t>chances of going into labor at 39 weeks</t>
  </si>
  <si>
    <t>second chances in the bible</t>
  </si>
  <si>
    <t>island luck within 1.6 km</t>
  </si>
  <si>
    <t>free chances games no deposit</t>
  </si>
  <si>
    <t>paradise games head office number</t>
  </si>
  <si>
    <t>chances of being killed in a car accident</t>
  </si>
  <si>
    <t>chances of contracting covid after vaccine</t>
  </si>
  <si>
    <t>chances of getting chlamydia and hiv</t>
  </si>
  <si>
    <t>chances of getting stuck in an elevator</t>
  </si>
  <si>
    <t>best chances of winning lottery uk</t>
  </si>
  <si>
    <t>ww island luck</t>
  </si>
  <si>
    <t>chances of getting hit by lightning</t>
  </si>
  <si>
    <t>steelers chances</t>
  </si>
  <si>
    <t>chances of twins after tubal reversal</t>
  </si>
  <si>
    <t>seatbelts increase your chances nsc</t>
  </si>
  <si>
    <t>extra chances login</t>
  </si>
  <si>
    <t>island luck nassau photos</t>
  </si>
  <si>
    <t>island luck eight mile rock</t>
  </si>
  <si>
    <t>ivf chances of success</t>
  </si>
  <si>
    <t>chances of a motorcycle accident</t>
  </si>
  <si>
    <t>chances bar freeport</t>
  </si>
  <si>
    <t>chances of twins after gastric bypass</t>
  </si>
  <si>
    <t>paradise games live in your world win in ours</t>
  </si>
  <si>
    <t>abbotsford chances</t>
  </si>
  <si>
    <t>chances of getting hiv in california</t>
  </si>
  <si>
    <t>chances of getting hiv from touching blood</t>
  </si>
  <si>
    <t>chances of dying before 50</t>
  </si>
  <si>
    <t>asurewin casino login</t>
  </si>
  <si>
    <t>chances of father getting 50/50 custody</t>
  </si>
  <si>
    <t>chances of getting hit by a car</t>
  </si>
  <si>
    <t>island luck tv studios</t>
  </si>
  <si>
    <t>chances of getting breast cancer</t>
  </si>
  <si>
    <t>chances map</t>
  </si>
  <si>
    <t>stage 4 lung cancer chances of survival</t>
  </si>
  <si>
    <t>vikings playoff chances</t>
  </si>
  <si>
    <t>chances of getting pregnant while drunk</t>
  </si>
  <si>
    <t>island luck tv channel</t>
  </si>
  <si>
    <t>island luck east bay street</t>
  </si>
  <si>
    <t>chances of winning the lottery in canada</t>
  </si>
  <si>
    <t>bible verse about taking chances</t>
  </si>
  <si>
    <t>choices chances and changes</t>
  </si>
  <si>
    <t>royal flush chances</t>
  </si>
  <si>
    <t>chances of getting a swimming scholarship</t>
  </si>
  <si>
    <t>paradise games - freeport number</t>
  </si>
  <si>
    <t>island luck winning number open now</t>
  </si>
  <si>
    <t>island luck locations freeport</t>
  </si>
  <si>
    <t>chances of hiv from one encounter</t>
  </si>
  <si>
    <t>winning numbers island luck winning</t>
  </si>
  <si>
    <t>calculate your chances of getting into a college</t>
  </si>
  <si>
    <t>chances of winning an appeal in family court</t>
  </si>
  <si>
    <t>chances of uterine rupture after c section</t>
  </si>
  <si>
    <t>chances of getting pregnant during period</t>
  </si>
  <si>
    <t>island luck winning numbers for the day today</t>
  </si>
  <si>
    <t>dallas cowboys playoff chances</t>
  </si>
  <si>
    <t>asurewin winning</t>
  </si>
  <si>
    <t>island luck winning numbers app download</t>
  </si>
  <si>
    <t>chances casino goa</t>
  </si>
  <si>
    <t>chances loteria</t>
  </si>
  <si>
    <t>sebastian bastian island luck</t>
  </si>
  <si>
    <t>chances of getting herpes with condom</t>
  </si>
  <si>
    <t>chances casino kelowna</t>
  </si>
  <si>
    <t>virginia extra chances login</t>
  </si>
  <si>
    <t>paradise games web</t>
  </si>
  <si>
    <t>chances of pregnancy on birth control pill</t>
  </si>
  <si>
    <t>chances locations in nassau</t>
  </si>
  <si>
    <t>island luck freeport contact</t>
  </si>
  <si>
    <t>asurewin career</t>
  </si>
  <si>
    <t>chances create account</t>
  </si>
  <si>
    <t>second chances hörbücher</t>
  </si>
  <si>
    <t>are you the one: second chances</t>
  </si>
  <si>
    <t>0 chances</t>
  </si>
  <si>
    <t>chances de ganhar na mega sena</t>
  </si>
  <si>
    <t>chances of getting pregnant after vasectomy</t>
  </si>
  <si>
    <t>flames playoff chances</t>
  </si>
  <si>
    <t>chances of twins with donor eggs</t>
  </si>
  <si>
    <t>does early decision increase chances</t>
  </si>
  <si>
    <t>luck island luck</t>
  </si>
  <si>
    <t>poker chances</t>
  </si>
  <si>
    <t>paradise games bermuda login</t>
  </si>
  <si>
    <t>island luck webcafe nassau bahamas</t>
  </si>
  <si>
    <t>chances of red or black in roulette</t>
  </si>
  <si>
    <t>islandluck.com winning numbers island luck</t>
  </si>
  <si>
    <t>island luck winning number today</t>
  </si>
  <si>
    <t>chances of getting hiv from needle stick injury</t>
  </si>
  <si>
    <t>chances of getting salmonella from raw eggs</t>
  </si>
  <si>
    <t>chances of a boat sinking</t>
  </si>
  <si>
    <t>chances of winning in blackjack</t>
  </si>
  <si>
    <t>playoff chances nfl</t>
  </si>
  <si>
    <t>take chances quote</t>
  </si>
  <si>
    <t>chances are 1989</t>
  </si>
  <si>
    <t>island luck freeport locations</t>
  </si>
  <si>
    <t>chances of pregnancy during period</t>
  </si>
  <si>
    <t>chances of conceiving on ovulation day</t>
  </si>
  <si>
    <t>numbers island luck winning numbers</t>
  </si>
  <si>
    <t>bible verses about second chances in marriage</t>
  </si>
  <si>
    <t>eevee evolution chances pokemon go</t>
  </si>
  <si>
    <t>chances of getting pregnant from precum</t>
  </si>
  <si>
    <t>broncos chances of making playoffs</t>
  </si>
  <si>
    <t>miami dolphins playoff chances</t>
  </si>
  <si>
    <t>paradise games east street south</t>
  </si>
  <si>
    <t>chances of precum getting you pregnant</t>
  </si>
  <si>
    <t>chances of winning the lottery uk as a percentage</t>
  </si>
  <si>
    <t>chances of vasectomy failing</t>
  </si>
  <si>
    <t>winning number island luck winning number</t>
  </si>
  <si>
    <t>chances of surviving stage 4 cancer</t>
  </si>
  <si>
    <t>life chances</t>
  </si>
  <si>
    <t>menstrual cycle pregnancy chances</t>
  </si>
  <si>
    <t>paradise games sign up</t>
  </si>
  <si>
    <t>tampa bay buccaneers playoff chances</t>
  </si>
  <si>
    <t>chances winning number asrs</t>
  </si>
  <si>
    <t>chances winning game</t>
  </si>
  <si>
    <t>pgwebcafe paradise games</t>
  </si>
  <si>
    <t>chances of getting syphilis from kissing</t>
  </si>
  <si>
    <t>chances of getting pregnant by age 50</t>
  </si>
  <si>
    <t>chances for steelers to make playoffs</t>
  </si>
  <si>
    <t>chances of ivf success</t>
  </si>
  <si>
    <t>chances of pregnancy after one night</t>
  </si>
  <si>
    <t>chances of hiv from oral sex</t>
  </si>
  <si>
    <t>chances prince charles</t>
  </si>
  <si>
    <t>12 new chapters 365 new chances svg</t>
  </si>
  <si>
    <t>chances gams</t>
  </si>
  <si>
    <t>chances of kidney recovery after dialysis</t>
  </si>
  <si>
    <t>chances of pregnancy on ovulation day</t>
  </si>
  <si>
    <t>chances of surviving a lightning strike</t>
  </si>
  <si>
    <t>no more chances</t>
  </si>
  <si>
    <t>chances of dying from skydiving</t>
  </si>
  <si>
    <t>chances make champions tattoo</t>
  </si>
  <si>
    <t>island luck bimini</t>
  </si>
  <si>
    <t>island luck within 8.1 km</t>
  </si>
  <si>
    <t>nfl playoff chances</t>
  </si>
  <si>
    <t>chances casino port alberni</t>
  </si>
  <si>
    <t>island luck app download</t>
  </si>
  <si>
    <t>baltimore ravens playoff chances</t>
  </si>
  <si>
    <t>cincinnati bengals playoff chances</t>
  </si>
  <si>
    <t>montreal canadiens playoff chances</t>
  </si>
  <si>
    <t>quotes about second chances</t>
  </si>
  <si>
    <t>chances of winning at slot machines</t>
  </si>
  <si>
    <t>chances winning numbers winning number</t>
  </si>
  <si>
    <t>chances of pregnancy after egg rupture</t>
  </si>
  <si>
    <t>island luck head office number bahamas</t>
  </si>
  <si>
    <t>chances number house</t>
  </si>
  <si>
    <t>career chances</t>
  </si>
  <si>
    <t>paradise casino games</t>
  </si>
  <si>
    <t>island luck tv live streaming</t>
  </si>
  <si>
    <t>mn wild playoff chances</t>
  </si>
  <si>
    <t>chances of having twins after 30</t>
  </si>
  <si>
    <t>chances of cervical cancer with negative hpv</t>
  </si>
  <si>
    <t>h1b lottery chances</t>
  </si>
  <si>
    <t>chances casino campbell river</t>
  </si>
  <si>
    <t>asurewin careers</t>
  </si>
  <si>
    <t>chances.</t>
  </si>
  <si>
    <t>chances of getting into college</t>
  </si>
  <si>
    <t>songs about second chances in life</t>
  </si>
  <si>
    <t>island luck island luck winning numbers</t>
  </si>
  <si>
    <t>chances make winners</t>
  </si>
  <si>
    <t>Lottery; Apparel; Entertainment media</t>
  </si>
  <si>
    <t>island luck,com</t>
  </si>
  <si>
    <t>chances of winning solitaire</t>
  </si>
  <si>
    <t>chances of negative pregnancy test</t>
  </si>
  <si>
    <t>chances of trump reelection</t>
  </si>
  <si>
    <t>chances of surviving lung cancer</t>
  </si>
  <si>
    <t>chances of dog surviving leptospirosis</t>
  </si>
  <si>
    <t>island luck bahamas careers</t>
  </si>
  <si>
    <t>chances of having blue eyes</t>
  </si>
  <si>
    <t>chances of winning lotto</t>
  </si>
  <si>
    <t>chances of getting omicron after booster</t>
  </si>
  <si>
    <t>chances of getting job after final interview</t>
  </si>
  <si>
    <t>chances of hemorrhoids coming back after surgery</t>
  </si>
  <si>
    <t>island luck web login</t>
  </si>
  <si>
    <t>chances of getting pregnant at 47 naturally</t>
  </si>
  <si>
    <t>sign up for island luck account</t>
  </si>
  <si>
    <t>island luck winning numbers island</t>
  </si>
  <si>
    <t>chances of getting pregnant on the pill</t>
  </si>
  <si>
    <t>chances logo</t>
  </si>
  <si>
    <t>island luck mobile download</t>
  </si>
  <si>
    <t>asurewin .com</t>
  </si>
  <si>
    <t>island luck island</t>
  </si>
  <si>
    <t>chances of getting pregnant by age chart</t>
  </si>
  <si>
    <t>island luck boyd road number</t>
  </si>
  <si>
    <t>eye color chances</t>
  </si>
  <si>
    <t>chances of winning the lottery uk</t>
  </si>
  <si>
    <t>chances of getting hsv2 with condom</t>
  </si>
  <si>
    <t>quotes about giving chances</t>
  </si>
  <si>
    <t>chances contact number</t>
  </si>
  <si>
    <t>asurewin nassau bahamas</t>
  </si>
  <si>
    <t>chances de gagner au loto</t>
  </si>
  <si>
    <t>chances of getting pregnant calculator</t>
  </si>
  <si>
    <t>hiv chances with condom</t>
  </si>
  <si>
    <t>chances of winning the lottery in ontario</t>
  </si>
  <si>
    <t>chances of a perfect march madness bracket</t>
  </si>
  <si>
    <t>chances winning lotto</t>
  </si>
  <si>
    <t>ucf waitlist chances</t>
  </si>
  <si>
    <t>lottery chances</t>
  </si>
  <si>
    <t>12 new chapters 365 new chances</t>
  </si>
  <si>
    <t>whats the chances of rain today</t>
  </si>
  <si>
    <t>the stew island luck tv</t>
  </si>
  <si>
    <t>second chances bible verses</t>
  </si>
  <si>
    <t>birth control chances of pregnancy</t>
  </si>
  <si>
    <t>chances of conceiving during periods</t>
  </si>
  <si>
    <t>chances colombia</t>
  </si>
  <si>
    <t>chances of winning the lottery scratch off</t>
  </si>
  <si>
    <t>island luck freeport grand bahama</t>
  </si>
  <si>
    <t>broken vows second chances novel</t>
  </si>
  <si>
    <t>chances of twins with ivf one embryo</t>
  </si>
  <si>
    <t>chances of being audited by irs 2021</t>
  </si>
  <si>
    <t>chances lotto</t>
  </si>
  <si>
    <t>chances of getting std with condom</t>
  </si>
  <si>
    <t>singapore pr chances</t>
  </si>
  <si>
    <t>www island luck winning</t>
  </si>
  <si>
    <t>chances of winning the lottery vs getting struck by lightning</t>
  </si>
  <si>
    <t>Sitelinks,People also ask,Discussions,Video preview</t>
  </si>
  <si>
    <t>Reference</t>
  </si>
  <si>
    <t>chances of getting pregnant with endometriosis</t>
  </si>
  <si>
    <t>chances of getting pregnant after period</t>
  </si>
  <si>
    <t>chances of getting pregnant</t>
  </si>
  <si>
    <t>does god give second chances in life</t>
  </si>
  <si>
    <t>chances c</t>
  </si>
  <si>
    <t>steelers playoff chances calculator</t>
  </si>
  <si>
    <t>island luck winning numbers bahamas today</t>
  </si>
  <si>
    <t>paradise games sign up login</t>
  </si>
  <si>
    <t>does peeing after sex reduce chances of pregnancy</t>
  </si>
  <si>
    <t>chances of getting a job through a recruiter</t>
  </si>
  <si>
    <t>red sox playoff chances</t>
  </si>
  <si>
    <t>chances of winning scratch offs</t>
  </si>
  <si>
    <t>chances of getting chlamydia if partner has it</t>
  </si>
  <si>
    <t>chances of winning the lotto max</t>
  </si>
  <si>
    <t>the more chances you give someone</t>
  </si>
  <si>
    <t>chances of successfully contesting a will</t>
  </si>
  <si>
    <t>chances of pregnancy during ovulation</t>
  </si>
  <si>
    <t>chances of winning online casino</t>
  </si>
  <si>
    <t>chances of pregnancy with condom during ovulation</t>
  </si>
  <si>
    <t>chances of winning blackjack at casino</t>
  </si>
  <si>
    <t>is island luck open today</t>
  </si>
  <si>
    <t>cowboys chances of making playoffs</t>
  </si>
  <si>
    <t>deadly second chances</t>
  </si>
  <si>
    <t>paradise island games</t>
  </si>
  <si>
    <t>chances surviving pneumonia after stroke</t>
  </si>
  <si>
    <t>chances nassau locations</t>
  </si>
  <si>
    <t>chances de</t>
  </si>
  <si>
    <t>island luck tv live stream</t>
  </si>
  <si>
    <t>island luck head office nassau bahamas</t>
  </si>
  <si>
    <t>chances of down syndrome with no family history</t>
  </si>
  <si>
    <t>chances of being struck by lightning</t>
  </si>
  <si>
    <t>buy island luck voucher online</t>
  </si>
  <si>
    <t>games paradise locations</t>
  </si>
  <si>
    <t>lucky chances casino online</t>
  </si>
  <si>
    <t>chances of getting uk visa after refusal</t>
  </si>
  <si>
    <t>mobile island luck winning numbers</t>
  </si>
  <si>
    <t>chances of pregnancy with 1 fallopian tube</t>
  </si>
  <si>
    <t>chances of getting pregnant without penetration</t>
  </si>
  <si>
    <t>adrian fox island luck</t>
  </si>
  <si>
    <t>chances of dying in a car accident</t>
  </si>
  <si>
    <t>chances of getting pregnant at 44 naturally</t>
  </si>
  <si>
    <t>island luck voucher</t>
  </si>
  <si>
    <t>chances of meeting someone again</t>
  </si>
  <si>
    <t>chances of winning green card lottery by country</t>
  </si>
  <si>
    <t>snow chances this year</t>
  </si>
  <si>
    <t>island luck new site</t>
  </si>
  <si>
    <t>the chances of being born</t>
  </si>
  <si>
    <t>chances of having an autistic child after 40</t>
  </si>
  <si>
    <t>nearest island luck</t>
  </si>
  <si>
    <t>low chances of getting pregnant</t>
  </si>
  <si>
    <t>chances of winning a dui case in ontario</t>
  </si>
  <si>
    <t>island luck live games</t>
  </si>
  <si>
    <t>island luck winning number island luck winning</t>
  </si>
  <si>
    <t>asurewin log in</t>
  </si>
  <si>
    <t>ultra games limited paradise</t>
  </si>
  <si>
    <t>chances of getting pregnant day after ovulation</t>
  </si>
  <si>
    <t>chances restaurant menu</t>
  </si>
  <si>
    <t>chances lounge freeport</t>
  </si>
  <si>
    <t>asurewin head office</t>
  </si>
  <si>
    <t>backstreet boys chances lyrics</t>
  </si>
  <si>
    <t>chances of getting pregnant at 44</t>
  </si>
  <si>
    <t>chances of getting a blood clot while on xarelto</t>
  </si>
  <si>
    <t>chances of us visa approval after rejection</t>
  </si>
  <si>
    <t>ways to increase chances of getting pregnant</t>
  </si>
  <si>
    <t>chances of a child having vitiligo</t>
  </si>
  <si>
    <t>chances games job application</t>
  </si>
  <si>
    <t>chances of winning postcode lottery</t>
  </si>
  <si>
    <t>pcos pregnancy chances</t>
  </si>
  <si>
    <t>paradise games wab</t>
  </si>
  <si>
    <t>chances of winning dv lottery 2022</t>
  </si>
  <si>
    <t>miami playoff chances</t>
  </si>
  <si>
    <t>island luck payout chart</t>
  </si>
  <si>
    <t>chances games careers</t>
  </si>
  <si>
    <t>chances of tetanus from dog bite</t>
  </si>
  <si>
    <t>casino games chances of winning</t>
  </si>
  <si>
    <t>fertility chances</t>
  </si>
  <si>
    <t>days before ovulation chances of pregnancy</t>
  </si>
  <si>
    <t>island luck payouts</t>
  </si>
  <si>
    <t>fantasy 5 island luck</t>
  </si>
  <si>
    <t>paradise games email</t>
  </si>
  <si>
    <t>chances of getting pregnant after d&amp;c</t>
  </si>
  <si>
    <t>the chances of getting pregnant on birth control</t>
  </si>
  <si>
    <t>paradise games online</t>
  </si>
  <si>
    <t>Browser games; Casual games</t>
  </si>
  <si>
    <t>chances of getting pregnant at 46 naturally</t>
  </si>
  <si>
    <t>chances of contracting hiv after one exposure</t>
  </si>
  <si>
    <t>chances of going into labour at 36 weeks</t>
  </si>
  <si>
    <t>island luck com</t>
  </si>
  <si>
    <t>island luck collins avenue phone number</t>
  </si>
  <si>
    <t>chances demo - google search</t>
  </si>
  <si>
    <t>chances number freeport</t>
  </si>
  <si>
    <t>Food; Gambling</t>
  </si>
  <si>
    <t>asurewin casino demo lobby</t>
  </si>
  <si>
    <t>chances of getting herpes from oral sex</t>
  </si>
  <si>
    <t>asurewin head office number</t>
  </si>
  <si>
    <t>island luck collins ave</t>
  </si>
  <si>
    <t>island luck winning numbers for the night</t>
  </si>
  <si>
    <t>login island luck</t>
  </si>
  <si>
    <t>mba chances</t>
  </si>
  <si>
    <t>boost chances of getting pregnant</t>
  </si>
  <si>
    <t>chances of dying in sleep</t>
  </si>
  <si>
    <t>chances of winning lottery in canada</t>
  </si>
  <si>
    <t>island luck forgot password</t>
  </si>
  <si>
    <t>island luck | islandluck</t>
  </si>
  <si>
    <t>island luck download</t>
  </si>
  <si>
    <t>chances de tomber enceinte</t>
  </si>
  <si>
    <t>quotes on second chances</t>
  </si>
  <si>
    <t>jets playoff chances</t>
  </si>
  <si>
    <t>chances of winning h1b lottery</t>
  </si>
  <si>
    <t>arsenal chances of winning premier league</t>
  </si>
  <si>
    <t>chances of winning the lotto</t>
  </si>
  <si>
    <t>island luck demo slot games</t>
  </si>
  <si>
    <t>take chances in life quotes</t>
  </si>
  <si>
    <t>chances bahamas careers</t>
  </si>
  <si>
    <t>paradise games golden gates</t>
  </si>
  <si>
    <t>menorrhagia pregnancy chances</t>
  </si>
  <si>
    <t>asurewin full site</t>
  </si>
  <si>
    <t>chances of making playoffs nhl</t>
  </si>
  <si>
    <t>chances of reinfection after recovery from covid</t>
  </si>
  <si>
    <t>chances of winning lotto calculator</t>
  </si>
  <si>
    <t>chances,</t>
  </si>
  <si>
    <t>chances of becoming a professional soccer player</t>
  </si>
  <si>
    <t>no more chances meme</t>
  </si>
  <si>
    <t>island luck big bang 2015</t>
  </si>
  <si>
    <t>winning numbers login winning login island luck</t>
  </si>
  <si>
    <t>chances of being in a plane crash</t>
  </si>
  <si>
    <t>chances of getting hiv with condom</t>
  </si>
  <si>
    <t>chances of winning numbers</t>
  </si>
  <si>
    <t>chances of getting us visa after rejection</t>
  </si>
  <si>
    <t>super bowl chances</t>
  </si>
  <si>
    <t>chances number house bahamas</t>
  </si>
  <si>
    <t>island luck fruity demo game</t>
  </si>
  <si>
    <t>period cycle chances of pregnancy</t>
  </si>
  <si>
    <t>increase chances of implantation</t>
  </si>
  <si>
    <t>detroit lions playoff chances</t>
  </si>
  <si>
    <t>chances web bahamas</t>
  </si>
  <si>
    <t>chances of getting pregnant with an iud</t>
  </si>
  <si>
    <t>chances of getting pregnant a day after period</t>
  </si>
  <si>
    <t>chances of winning premier league</t>
  </si>
  <si>
    <t>miami dolphins' chances of making playoffs 2023</t>
  </si>
  <si>
    <t>chances of contesting a will</t>
  </si>
  <si>
    <t>island luck winning numbers nassau bahamas</t>
  </si>
  <si>
    <t>chalk and chances</t>
  </si>
  <si>
    <t>island luck - freeport</t>
  </si>
  <si>
    <t>chances of cervical cancer after leep</t>
  </si>
  <si>
    <t>island luck studios</t>
  </si>
  <si>
    <t>chances of winning calculator</t>
  </si>
  <si>
    <t>chances of pregnancy after withdrawal bleeding</t>
  </si>
  <si>
    <t>island luck live tv</t>
  </si>
  <si>
    <t>www paradise games</t>
  </si>
  <si>
    <t>chances of autism in siblings</t>
  </si>
  <si>
    <t>island luck shares</t>
  </si>
  <si>
    <t>iud chances of pregnancy</t>
  </si>
  <si>
    <t>bible verses about second chances in life</t>
  </si>
  <si>
    <t>online casino chances of winning</t>
  </si>
  <si>
    <t>chances games and casino locations nassau bahamas</t>
  </si>
  <si>
    <t>winning number island luck</t>
  </si>
  <si>
    <t>chances hoy</t>
  </si>
  <si>
    <t>chances of getting job after second interview</t>
  </si>
  <si>
    <t>chances perfume</t>
  </si>
  <si>
    <t>winnipeg jets playoff chances</t>
  </si>
  <si>
    <t>second chances quotes relationships</t>
  </si>
  <si>
    <t>island luck winning numbers l</t>
  </si>
  <si>
    <t>chicago bears playoff chances</t>
  </si>
  <si>
    <t>chances sign up bonus</t>
  </si>
  <si>
    <t>island island luck</t>
  </si>
  <si>
    <t>chances of getting aids</t>
  </si>
  <si>
    <t>asurewin locations nassau</t>
  </si>
  <si>
    <t>chances of a car accident</t>
  </si>
  <si>
    <t>increase chances of conception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</si>
</sst>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4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://www.pggames.com" TargetMode="External"/><Relationship Id="rId10" Type="http://schemas.openxmlformats.org/officeDocument/2006/relationships/hyperlink" Target="http://www.island.com" TargetMode="External"/><Relationship Id="rId13" Type="http://schemas.openxmlformats.org/officeDocument/2006/relationships/hyperlink" Target="http://www.everybodywinslive.com" TargetMode="External"/><Relationship Id="rId12" Type="http://schemas.openxmlformats.org/officeDocument/2006/relationships/hyperlink" Target="http://theislandgame.com" TargetMode="External"/><Relationship Id="rId1" Type="http://schemas.openxmlformats.org/officeDocument/2006/relationships/hyperlink" Target="http://islandluck.com" TargetMode="External"/><Relationship Id="rId2" Type="http://schemas.openxmlformats.org/officeDocument/2006/relationships/hyperlink" Target="http://www.islandluck.com" TargetMode="External"/><Relationship Id="rId3" Type="http://schemas.openxmlformats.org/officeDocument/2006/relationships/hyperlink" Target="http://chancesgames.com" TargetMode="External"/><Relationship Id="rId4" Type="http://schemas.openxmlformats.org/officeDocument/2006/relationships/hyperlink" Target="http://pggames.com" TargetMode="External"/><Relationship Id="rId9" Type="http://schemas.openxmlformats.org/officeDocument/2006/relationships/hyperlink" Target="http://www.island.com" TargetMode="External"/><Relationship Id="rId15" Type="http://schemas.openxmlformats.org/officeDocument/2006/relationships/hyperlink" Target="http://paradisegames.com" TargetMode="External"/><Relationship Id="rId14" Type="http://schemas.openxmlformats.org/officeDocument/2006/relationships/hyperlink" Target="http://www.paradisegames.com" TargetMode="External"/><Relationship Id="rId16" Type="http://schemas.openxmlformats.org/officeDocument/2006/relationships/drawing" Target="../drawings/drawing5.xml"/><Relationship Id="rId5" Type="http://schemas.openxmlformats.org/officeDocument/2006/relationships/hyperlink" Target="http://www.chancesgames.com" TargetMode="External"/><Relationship Id="rId6" Type="http://schemas.openxmlformats.org/officeDocument/2006/relationships/hyperlink" Target="http://paradisegames.com" TargetMode="External"/><Relationship Id="rId7" Type="http://schemas.openxmlformats.org/officeDocument/2006/relationships/hyperlink" Target="http://paradisegames.com" TargetMode="External"/><Relationship Id="rId8" Type="http://schemas.openxmlformats.org/officeDocument/2006/relationships/hyperlink" Target="http://www.theislandgame.co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6" t="str">
        <f>IFERROR(__xludf.DUMMYFUNCTION("IMPORTRANGE(""https://docs.google.com/spreadsheets/d/1LduFx7JK4t-GmGIaBexReDj5uh95VZrwzy2h8Fs4wwk/edit?usp=sharing"", ""'Bracket 10 - Competitors'!M3:M"")"),"island luck bahamas")</f>
        <v>island luck bahamas</v>
      </c>
      <c r="C2" s="7"/>
      <c r="N2" s="8"/>
    </row>
    <row r="3">
      <c r="B3" s="6" t="str">
        <f>IFERROR(__xludf.DUMMYFUNCTION("""COMPUTED_VALUE"""),"chances games bahamas")</f>
        <v>chances games bahamas</v>
      </c>
      <c r="N3" s="8"/>
    </row>
    <row r="4">
      <c r="B4" s="6" t="str">
        <f>IFERROR(__xludf.DUMMYFUNCTION("""COMPUTED_VALUE"""),"ultra games bahamas")</f>
        <v>ultra games bahamas</v>
      </c>
      <c r="N4" s="8"/>
    </row>
    <row r="5">
      <c r="B5" s="6" t="str">
        <f>IFERROR(__xludf.DUMMYFUNCTION("""COMPUTED_VALUE"""),"paradise games bahamas")</f>
        <v>paradise games bahamas</v>
      </c>
      <c r="N5" s="8"/>
    </row>
    <row r="6">
      <c r="B6" s="6" t="str">
        <f>IFERROR(__xludf.DUMMYFUNCTION("""COMPUTED_VALUE"""),"pggames bahamas")</f>
        <v>pggames bahamas</v>
      </c>
    </row>
    <row r="7">
      <c r="B7" s="6" t="str">
        <f>IFERROR(__xludf.DUMMYFUNCTION("""COMPUTED_VALUE"""),"asurewin bahamas")</f>
        <v>asurewin bahamas</v>
      </c>
    </row>
    <row r="8">
      <c r="B8" s="6" t="str">
        <f>IFERROR(__xludf.DUMMYFUNCTION("""COMPUTED_VALUE"""),"a sure win bahamas")</f>
        <v>a sure win bahamas</v>
      </c>
    </row>
    <row r="9">
      <c r="B9" s="6" t="str">
        <f>IFERROR(__xludf.DUMMYFUNCTION("""COMPUTED_VALUE"""),"everybody wins live bahamas")</f>
        <v>everybody wins live bahamas</v>
      </c>
    </row>
    <row r="10">
      <c r="B10" s="6" t="str">
        <f>IFERROR(__xludf.DUMMYFUNCTION("""COMPUTED_VALUE"""),"the island game bahamas")</f>
        <v>the island game bahamas</v>
      </c>
    </row>
    <row r="11">
      <c r="B11" s="6" t="str">
        <f>IFERROR(__xludf.DUMMYFUNCTION("""COMPUTED_VALUE"""),"chances bahamas")</f>
        <v>chances bahamas</v>
      </c>
    </row>
    <row r="12">
      <c r="B12" s="6" t="str">
        <f>IFERROR(__xludf.DUMMYFUNCTION("""COMPUTED_VALUE"""),"island luck login")</f>
        <v>island luck login</v>
      </c>
    </row>
    <row r="13">
      <c r="B13" s="6" t="str">
        <f>IFERROR(__xludf.DUMMYFUNCTION("""COMPUTED_VALUE"""),"chances games login")</f>
        <v>chances games login</v>
      </c>
    </row>
    <row r="14">
      <c r="B14" s="6" t="str">
        <f>IFERROR(__xludf.DUMMYFUNCTION("""COMPUTED_VALUE"""),"ultra games login")</f>
        <v>ultra games login</v>
      </c>
    </row>
    <row r="15">
      <c r="B15" s="6" t="str">
        <f>IFERROR(__xludf.DUMMYFUNCTION("""COMPUTED_VALUE"""),"paradise games login")</f>
        <v>paradise games login</v>
      </c>
    </row>
    <row r="16">
      <c r="B16" s="6" t="str">
        <f>IFERROR(__xludf.DUMMYFUNCTION("""COMPUTED_VALUE"""),"pggames login")</f>
        <v>pggames login</v>
      </c>
    </row>
    <row r="17">
      <c r="B17" s="6" t="str">
        <f>IFERROR(__xludf.DUMMYFUNCTION("""COMPUTED_VALUE"""),"asurewin login")</f>
        <v>asurewin login</v>
      </c>
    </row>
    <row r="18">
      <c r="B18" s="6" t="str">
        <f>IFERROR(__xludf.DUMMYFUNCTION("""COMPUTED_VALUE"""),"a sure win login")</f>
        <v>a sure win login</v>
      </c>
    </row>
    <row r="19">
      <c r="B19" s="6" t="str">
        <f>IFERROR(__xludf.DUMMYFUNCTION("""COMPUTED_VALUE"""),"everybody wins live login")</f>
        <v>everybody wins live login</v>
      </c>
    </row>
    <row r="20">
      <c r="B20" s="6" t="str">
        <f>IFERROR(__xludf.DUMMYFUNCTION("""COMPUTED_VALUE"""),"the island game login")</f>
        <v>the island game login</v>
      </c>
    </row>
    <row r="21">
      <c r="B21" s="6" t="str">
        <f>IFERROR(__xludf.DUMMYFUNCTION("""COMPUTED_VALUE"""),"chances login")</f>
        <v>chances login</v>
      </c>
    </row>
    <row r="22">
      <c r="B22" s="6" t="str">
        <f>IFERROR(__xludf.DUMMYFUNCTION("""COMPUTED_VALUE"""),"island luck mobile")</f>
        <v>island luck mobile</v>
      </c>
    </row>
    <row r="23">
      <c r="B23" s="6" t="str">
        <f>IFERROR(__xludf.DUMMYFUNCTION("""COMPUTED_VALUE"""),"chances games mobile")</f>
        <v>chances games mobile</v>
      </c>
    </row>
    <row r="24">
      <c r="B24" s="6" t="str">
        <f>IFERROR(__xludf.DUMMYFUNCTION("""COMPUTED_VALUE"""),"ultra games mobile")</f>
        <v>ultra games mobile</v>
      </c>
    </row>
    <row r="25">
      <c r="B25" s="6" t="str">
        <f>IFERROR(__xludf.DUMMYFUNCTION("""COMPUTED_VALUE"""),"paradise games mobile")</f>
        <v>paradise games mobile</v>
      </c>
    </row>
    <row r="26">
      <c r="B26" s="6" t="str">
        <f>IFERROR(__xludf.DUMMYFUNCTION("""COMPUTED_VALUE"""),"pggames mobile")</f>
        <v>pggames mobile</v>
      </c>
    </row>
    <row r="27">
      <c r="B27" s="6" t="str">
        <f>IFERROR(__xludf.DUMMYFUNCTION("""COMPUTED_VALUE"""),"asurewin mobile")</f>
        <v>asurewin mobile</v>
      </c>
    </row>
    <row r="28">
      <c r="B28" s="6" t="str">
        <f>IFERROR(__xludf.DUMMYFUNCTION("""COMPUTED_VALUE"""),"a sure win mobile")</f>
        <v>a sure win mobile</v>
      </c>
    </row>
    <row r="29">
      <c r="B29" s="6" t="str">
        <f>IFERROR(__xludf.DUMMYFUNCTION("""COMPUTED_VALUE"""),"everybody wins live mobile")</f>
        <v>everybody wins live mobile</v>
      </c>
    </row>
    <row r="30">
      <c r="B30" s="6" t="str">
        <f>IFERROR(__xludf.DUMMYFUNCTION("""COMPUTED_VALUE"""),"the island game mobile")</f>
        <v>the island game mobile</v>
      </c>
    </row>
    <row r="31">
      <c r="B31" s="6" t="str">
        <f>IFERROR(__xludf.DUMMYFUNCTION("""COMPUTED_VALUE"""),"chances mobile")</f>
        <v>chances mobile</v>
      </c>
    </row>
    <row r="32">
      <c r="B32" s="6" t="str">
        <f>IFERROR(__xludf.DUMMYFUNCTION("""COMPUTED_VALUE"""),"island luck app")</f>
        <v>island luck app</v>
      </c>
    </row>
    <row r="33">
      <c r="B33" s="6" t="str">
        <f>IFERROR(__xludf.DUMMYFUNCTION("""COMPUTED_VALUE"""),"chances games app")</f>
        <v>chances games app</v>
      </c>
    </row>
    <row r="34">
      <c r="B34" s="6" t="str">
        <f>IFERROR(__xludf.DUMMYFUNCTION("""COMPUTED_VALUE"""),"ultra games app")</f>
        <v>ultra games app</v>
      </c>
    </row>
    <row r="35">
      <c r="B35" s="6" t="str">
        <f>IFERROR(__xludf.DUMMYFUNCTION("""COMPUTED_VALUE"""),"paradise games app")</f>
        <v>paradise games app</v>
      </c>
    </row>
    <row r="36">
      <c r="B36" s="6" t="str">
        <f>IFERROR(__xludf.DUMMYFUNCTION("""COMPUTED_VALUE"""),"pggames app")</f>
        <v>pggames app</v>
      </c>
    </row>
    <row r="37">
      <c r="B37" s="6" t="str">
        <f>IFERROR(__xludf.DUMMYFUNCTION("""COMPUTED_VALUE"""),"asurewin app")</f>
        <v>asurewin app</v>
      </c>
    </row>
    <row r="38">
      <c r="B38" s="6" t="str">
        <f>IFERROR(__xludf.DUMMYFUNCTION("""COMPUTED_VALUE"""),"a sure win app")</f>
        <v>a sure win app</v>
      </c>
    </row>
    <row r="39">
      <c r="B39" s="6" t="str">
        <f>IFERROR(__xludf.DUMMYFUNCTION("""COMPUTED_VALUE"""),"everybody wins live app")</f>
        <v>everybody wins live app</v>
      </c>
    </row>
    <row r="40">
      <c r="B40" s="6" t="str">
        <f>IFERROR(__xludf.DUMMYFUNCTION("""COMPUTED_VALUE"""),"the island game app")</f>
        <v>the island game app</v>
      </c>
    </row>
    <row r="41">
      <c r="B41" s="6" t="str">
        <f>IFERROR(__xludf.DUMMYFUNCTION("""COMPUTED_VALUE"""),"chances app")</f>
        <v>chances app</v>
      </c>
    </row>
    <row r="42">
      <c r="B42" s="6" t="str">
        <f>IFERROR(__xludf.DUMMYFUNCTION("""COMPUTED_VALUE"""),"island luck winning numbers")</f>
        <v>island luck winning numbers</v>
      </c>
    </row>
    <row r="43">
      <c r="B43" s="6" t="str">
        <f>IFERROR(__xludf.DUMMYFUNCTION("""COMPUTED_VALUE"""),"chances games winning numbers")</f>
        <v>chances games winning numbers</v>
      </c>
    </row>
    <row r="44">
      <c r="B44" s="6" t="str">
        <f>IFERROR(__xludf.DUMMYFUNCTION("""COMPUTED_VALUE"""),"ultra games winning numbers")</f>
        <v>ultra games winning numbers</v>
      </c>
    </row>
    <row r="45">
      <c r="B45" s="6" t="str">
        <f>IFERROR(__xludf.DUMMYFUNCTION("""COMPUTED_VALUE"""),"paradise games winning numbers")</f>
        <v>paradise games winning numbers</v>
      </c>
    </row>
    <row r="46">
      <c r="B46" s="6" t="str">
        <f>IFERROR(__xludf.DUMMYFUNCTION("""COMPUTED_VALUE"""),"pggames winning numbers")</f>
        <v>pggames winning numbers</v>
      </c>
    </row>
    <row r="47">
      <c r="B47" s="6" t="str">
        <f>IFERROR(__xludf.DUMMYFUNCTION("""COMPUTED_VALUE"""),"asurewin winning numbers")</f>
        <v>asurewin winning numbers</v>
      </c>
    </row>
    <row r="48">
      <c r="B48" s="6" t="str">
        <f>IFERROR(__xludf.DUMMYFUNCTION("""COMPUTED_VALUE"""),"a sure win winning numbers")</f>
        <v>a sure win winning numbers</v>
      </c>
    </row>
    <row r="49">
      <c r="B49" s="6" t="str">
        <f>IFERROR(__xludf.DUMMYFUNCTION("""COMPUTED_VALUE"""),"everybody wins live winning numbers")</f>
        <v>everybody wins live winning numbers</v>
      </c>
    </row>
    <row r="50">
      <c r="B50" s="6" t="str">
        <f>IFERROR(__xludf.DUMMYFUNCTION("""COMPUTED_VALUE"""),"the island game winning numbers")</f>
        <v>the island game winning numbers</v>
      </c>
    </row>
    <row r="51">
      <c r="B51" s="6" t="str">
        <f>IFERROR(__xludf.DUMMYFUNCTION("""COMPUTED_VALUE"""),"chances winning numbers")</f>
        <v>chances winning numbers</v>
      </c>
    </row>
    <row r="52">
      <c r="B52" s="6" t="str">
        <f>IFERROR(__xludf.DUMMYFUNCTION("""COMPUTED_VALUE"""),"island luck winning number")</f>
        <v>island luck winning number</v>
      </c>
    </row>
    <row r="53">
      <c r="B53" s="6" t="str">
        <f>IFERROR(__xludf.DUMMYFUNCTION("""COMPUTED_VALUE"""),"chances games winning number")</f>
        <v>chances games winning number</v>
      </c>
    </row>
    <row r="54">
      <c r="B54" s="6" t="str">
        <f>IFERROR(__xludf.DUMMYFUNCTION("""COMPUTED_VALUE"""),"ultra games winning number")</f>
        <v>ultra games winning number</v>
      </c>
    </row>
    <row r="55">
      <c r="B55" s="6" t="str">
        <f>IFERROR(__xludf.DUMMYFUNCTION("""COMPUTED_VALUE"""),"paradise games winning number")</f>
        <v>paradise games winning number</v>
      </c>
    </row>
    <row r="56">
      <c r="B56" s="6" t="str">
        <f>IFERROR(__xludf.DUMMYFUNCTION("""COMPUTED_VALUE"""),"pggames winning number")</f>
        <v>pggames winning number</v>
      </c>
    </row>
    <row r="57">
      <c r="B57" s="6" t="str">
        <f>IFERROR(__xludf.DUMMYFUNCTION("""COMPUTED_VALUE"""),"asurewin winning number")</f>
        <v>asurewin winning number</v>
      </c>
    </row>
    <row r="58">
      <c r="B58" s="6" t="str">
        <f>IFERROR(__xludf.DUMMYFUNCTION("""COMPUTED_VALUE"""),"a sure win winning number")</f>
        <v>a sure win winning number</v>
      </c>
    </row>
    <row r="59">
      <c r="B59" s="6" t="str">
        <f>IFERROR(__xludf.DUMMYFUNCTION("""COMPUTED_VALUE"""),"everybody wins live winning number")</f>
        <v>everybody wins live winning number</v>
      </c>
    </row>
    <row r="60">
      <c r="B60" s="6" t="str">
        <f>IFERROR(__xludf.DUMMYFUNCTION("""COMPUTED_VALUE"""),"the island game winning number")</f>
        <v>the island game winning number</v>
      </c>
    </row>
    <row r="61">
      <c r="B61" s="6" t="str">
        <f>IFERROR(__xludf.DUMMYFUNCTION("""COMPUTED_VALUE"""),"chances winning number")</f>
        <v>chances winning number</v>
      </c>
    </row>
    <row r="62">
      <c r="B62" s="6" t="str">
        <f>IFERROR(__xludf.DUMMYFUNCTION("""COMPUTED_VALUE"""),"island luck winning numbers today")</f>
        <v>island luck winning numbers today</v>
      </c>
    </row>
    <row r="63">
      <c r="B63" s="6" t="str">
        <f>IFERROR(__xludf.DUMMYFUNCTION("""COMPUTED_VALUE"""),"chances games winning numbers today")</f>
        <v>chances games winning numbers today</v>
      </c>
    </row>
    <row r="64">
      <c r="B64" s="6" t="str">
        <f>IFERROR(__xludf.DUMMYFUNCTION("""COMPUTED_VALUE"""),"ultra games winning numbers today")</f>
        <v>ultra games winning numbers today</v>
      </c>
    </row>
    <row r="65">
      <c r="B65" s="6" t="str">
        <f>IFERROR(__xludf.DUMMYFUNCTION("""COMPUTED_VALUE"""),"paradise games winning numbers today")</f>
        <v>paradise games winning numbers today</v>
      </c>
    </row>
    <row r="66">
      <c r="B66" s="6" t="str">
        <f>IFERROR(__xludf.DUMMYFUNCTION("""COMPUTED_VALUE"""),"pggames winning numbers today")</f>
        <v>pggames winning numbers today</v>
      </c>
    </row>
    <row r="67">
      <c r="B67" s="6" t="str">
        <f>IFERROR(__xludf.DUMMYFUNCTION("""COMPUTED_VALUE"""),"asurewin winning numbers today")</f>
        <v>asurewin winning numbers today</v>
      </c>
    </row>
    <row r="68">
      <c r="B68" s="6" t="str">
        <f>IFERROR(__xludf.DUMMYFUNCTION("""COMPUTED_VALUE"""),"a sure win winning numbers today")</f>
        <v>a sure win winning numbers today</v>
      </c>
    </row>
    <row r="69">
      <c r="B69" s="6" t="str">
        <f>IFERROR(__xludf.DUMMYFUNCTION("""COMPUTED_VALUE"""),"everybody wins live winning numbers today")</f>
        <v>everybody wins live winning numbers today</v>
      </c>
    </row>
    <row r="70">
      <c r="B70" s="6" t="str">
        <f>IFERROR(__xludf.DUMMYFUNCTION("""COMPUTED_VALUE"""),"the island game winning numbers today")</f>
        <v>the island game winning numbers today</v>
      </c>
    </row>
    <row r="71">
      <c r="B71" s="6" t="str">
        <f>IFERROR(__xludf.DUMMYFUNCTION("""COMPUTED_VALUE"""),"chances winning numbers today")</f>
        <v>chances winning numbers today</v>
      </c>
    </row>
    <row r="72">
      <c r="B72" s="6" t="str">
        <f>IFERROR(__xludf.DUMMYFUNCTION("""COMPUTED_VALUE"""),"island luck results today")</f>
        <v>island luck results today</v>
      </c>
    </row>
    <row r="73">
      <c r="B73" s="6" t="str">
        <f>IFERROR(__xludf.DUMMYFUNCTION("""COMPUTED_VALUE"""),"chances games results today")</f>
        <v>chances games results today</v>
      </c>
    </row>
    <row r="74">
      <c r="B74" s="6" t="str">
        <f>IFERROR(__xludf.DUMMYFUNCTION("""COMPUTED_VALUE"""),"ultra games results today")</f>
        <v>ultra games results today</v>
      </c>
    </row>
    <row r="75">
      <c r="B75" s="6" t="str">
        <f>IFERROR(__xludf.DUMMYFUNCTION("""COMPUTED_VALUE"""),"paradise games results today")</f>
        <v>paradise games results today</v>
      </c>
    </row>
    <row r="76">
      <c r="B76" s="6" t="str">
        <f>IFERROR(__xludf.DUMMYFUNCTION("""COMPUTED_VALUE"""),"pggames results today")</f>
        <v>pggames results today</v>
      </c>
    </row>
    <row r="77">
      <c r="B77" s="6" t="str">
        <f>IFERROR(__xludf.DUMMYFUNCTION("""COMPUTED_VALUE"""),"asurewin results today")</f>
        <v>asurewin results today</v>
      </c>
    </row>
    <row r="78">
      <c r="B78" s="6" t="str">
        <f>IFERROR(__xludf.DUMMYFUNCTION("""COMPUTED_VALUE"""),"a sure win results today")</f>
        <v>a sure win results today</v>
      </c>
    </row>
    <row r="79">
      <c r="B79" s="6" t="str">
        <f>IFERROR(__xludf.DUMMYFUNCTION("""COMPUTED_VALUE"""),"everybody wins live results today")</f>
        <v>everybody wins live results today</v>
      </c>
    </row>
    <row r="80">
      <c r="B80" s="6" t="str">
        <f>IFERROR(__xludf.DUMMYFUNCTION("""COMPUTED_VALUE"""),"the island game results today")</f>
        <v>the island game results today</v>
      </c>
    </row>
    <row r="81">
      <c r="B81" s="6" t="str">
        <f>IFERROR(__xludf.DUMMYFUNCTION("""COMPUTED_VALUE"""),"chances results today")</f>
        <v>chances results today</v>
      </c>
    </row>
    <row r="82">
      <c r="B82" s="6" t="str">
        <f>IFERROR(__xludf.DUMMYFUNCTION("""COMPUTED_VALUE"""),"island luck lottery results")</f>
        <v>island luck lottery results</v>
      </c>
    </row>
    <row r="83">
      <c r="B83" s="6" t="str">
        <f>IFERROR(__xludf.DUMMYFUNCTION("""COMPUTED_VALUE"""),"chances games lottery results")</f>
        <v>chances games lottery results</v>
      </c>
    </row>
    <row r="84">
      <c r="B84" s="6" t="str">
        <f>IFERROR(__xludf.DUMMYFUNCTION("""COMPUTED_VALUE"""),"ultra games lottery results")</f>
        <v>ultra games lottery results</v>
      </c>
    </row>
    <row r="85">
      <c r="B85" s="6" t="str">
        <f>IFERROR(__xludf.DUMMYFUNCTION("""COMPUTED_VALUE"""),"paradise games lottery results")</f>
        <v>paradise games lottery results</v>
      </c>
    </row>
    <row r="86">
      <c r="B86" s="6" t="str">
        <f>IFERROR(__xludf.DUMMYFUNCTION("""COMPUTED_VALUE"""),"pggames lottery results")</f>
        <v>pggames lottery results</v>
      </c>
    </row>
    <row r="87">
      <c r="B87" s="6" t="str">
        <f>IFERROR(__xludf.DUMMYFUNCTION("""COMPUTED_VALUE"""),"asurewin lottery results")</f>
        <v>asurewin lottery results</v>
      </c>
    </row>
    <row r="88">
      <c r="B88" s="6" t="str">
        <f>IFERROR(__xludf.DUMMYFUNCTION("""COMPUTED_VALUE"""),"a sure win lottery results")</f>
        <v>a sure win lottery results</v>
      </c>
    </row>
    <row r="89">
      <c r="B89" s="6" t="str">
        <f>IFERROR(__xludf.DUMMYFUNCTION("""COMPUTED_VALUE"""),"everybody wins live lottery results")</f>
        <v>everybody wins live lottery results</v>
      </c>
    </row>
    <row r="90">
      <c r="B90" s="6" t="str">
        <f>IFERROR(__xludf.DUMMYFUNCTION("""COMPUTED_VALUE"""),"the island game lottery results")</f>
        <v>the island game lottery results</v>
      </c>
    </row>
    <row r="91">
      <c r="B91" s="6" t="str">
        <f>IFERROR(__xludf.DUMMYFUNCTION("""COMPUTED_VALUE"""),"chances lottery results")</f>
        <v>chances lottery results</v>
      </c>
    </row>
    <row r="92">
      <c r="B92" s="6" t="str">
        <f>IFERROR(__xludf.DUMMYFUNCTION("""COMPUTED_VALUE"""),"island luck lottery post")</f>
        <v>island luck lottery post</v>
      </c>
    </row>
    <row r="93">
      <c r="B93" s="6" t="str">
        <f>IFERROR(__xludf.DUMMYFUNCTION("""COMPUTED_VALUE"""),"chances games lottery post")</f>
        <v>chances games lottery post</v>
      </c>
    </row>
    <row r="94">
      <c r="B94" s="6" t="str">
        <f>IFERROR(__xludf.DUMMYFUNCTION("""COMPUTED_VALUE"""),"ultra games lottery post")</f>
        <v>ultra games lottery post</v>
      </c>
    </row>
    <row r="95">
      <c r="B95" s="6" t="str">
        <f>IFERROR(__xludf.DUMMYFUNCTION("""COMPUTED_VALUE"""),"paradise games lottery post")</f>
        <v>paradise games lottery post</v>
      </c>
    </row>
    <row r="96">
      <c r="B96" s="6" t="str">
        <f>IFERROR(__xludf.DUMMYFUNCTION("""COMPUTED_VALUE"""),"pggames lottery post")</f>
        <v>pggames lottery post</v>
      </c>
    </row>
    <row r="97">
      <c r="B97" s="6" t="str">
        <f>IFERROR(__xludf.DUMMYFUNCTION("""COMPUTED_VALUE"""),"asurewin lottery post")</f>
        <v>asurewin lottery post</v>
      </c>
    </row>
    <row r="98">
      <c r="B98" s="6" t="str">
        <f>IFERROR(__xludf.DUMMYFUNCTION("""COMPUTED_VALUE"""),"a sure win lottery post")</f>
        <v>a sure win lottery post</v>
      </c>
    </row>
    <row r="99">
      <c r="B99" s="6" t="str">
        <f>IFERROR(__xludf.DUMMYFUNCTION("""COMPUTED_VALUE"""),"everybody wins live lottery post")</f>
        <v>everybody wins live lottery post</v>
      </c>
    </row>
    <row r="100">
      <c r="B100" s="6" t="str">
        <f>IFERROR(__xludf.DUMMYFUNCTION("""COMPUTED_VALUE"""),"the island game lottery post")</f>
        <v>the island game lottery post</v>
      </c>
    </row>
    <row r="101">
      <c r="B101" s="6" t="str">
        <f>IFERROR(__xludf.DUMMYFUNCTION("""COMPUTED_VALUE"""),"chances lottery post")</f>
        <v>chances lottery post</v>
      </c>
    </row>
    <row r="102">
      <c r="B102" s="6" t="str">
        <f>IFERROR(__xludf.DUMMYFUNCTION("""COMPUTED_VALUE"""),"island luck number")</f>
        <v>island luck number</v>
      </c>
    </row>
    <row r="103">
      <c r="B103" s="6" t="str">
        <f>IFERROR(__xludf.DUMMYFUNCTION("""COMPUTED_VALUE"""),"chances games number")</f>
        <v>chances games number</v>
      </c>
    </row>
    <row r="104">
      <c r="B104" s="6" t="str">
        <f>IFERROR(__xludf.DUMMYFUNCTION("""COMPUTED_VALUE"""),"ultra games number")</f>
        <v>ultra games number</v>
      </c>
    </row>
    <row r="105">
      <c r="B105" s="6" t="str">
        <f>IFERROR(__xludf.DUMMYFUNCTION("""COMPUTED_VALUE"""),"paradise games number")</f>
        <v>paradise games number</v>
      </c>
    </row>
    <row r="106">
      <c r="B106" s="6" t="str">
        <f>IFERROR(__xludf.DUMMYFUNCTION("""COMPUTED_VALUE"""),"pggames number")</f>
        <v>pggames number</v>
      </c>
    </row>
    <row r="107">
      <c r="B107" s="6" t="str">
        <f>IFERROR(__xludf.DUMMYFUNCTION("""COMPUTED_VALUE"""),"asurewin number")</f>
        <v>asurewin number</v>
      </c>
    </row>
    <row r="108">
      <c r="B108" s="6" t="str">
        <f>IFERROR(__xludf.DUMMYFUNCTION("""COMPUTED_VALUE"""),"a sure win number")</f>
        <v>a sure win number</v>
      </c>
    </row>
    <row r="109">
      <c r="B109" s="6" t="str">
        <f>IFERROR(__xludf.DUMMYFUNCTION("""COMPUTED_VALUE"""),"everybody wins live number")</f>
        <v>everybody wins live number</v>
      </c>
    </row>
    <row r="110">
      <c r="B110" s="6" t="str">
        <f>IFERROR(__xludf.DUMMYFUNCTION("""COMPUTED_VALUE"""),"the island game number")</f>
        <v>the island game number</v>
      </c>
    </row>
    <row r="111">
      <c r="B111" s="6" t="str">
        <f>IFERROR(__xludf.DUMMYFUNCTION("""COMPUTED_VALUE"""),"chances number")</f>
        <v>chances number</v>
      </c>
    </row>
    <row r="112">
      <c r="B112" s="6" t="str">
        <f>IFERROR(__xludf.DUMMYFUNCTION("""COMPUTED_VALUE"""),"island luck numbers")</f>
        <v>island luck numbers</v>
      </c>
    </row>
    <row r="113">
      <c r="B113" s="6" t="str">
        <f>IFERROR(__xludf.DUMMYFUNCTION("""COMPUTED_VALUE"""),"chances games numbers")</f>
        <v>chances games numbers</v>
      </c>
    </row>
    <row r="114">
      <c r="B114" s="6" t="str">
        <f>IFERROR(__xludf.DUMMYFUNCTION("""COMPUTED_VALUE"""),"ultra games numbers")</f>
        <v>ultra games numbers</v>
      </c>
    </row>
    <row r="115">
      <c r="B115" s="6" t="str">
        <f>IFERROR(__xludf.DUMMYFUNCTION("""COMPUTED_VALUE"""),"paradise games numbers")</f>
        <v>paradise games numbers</v>
      </c>
    </row>
    <row r="116">
      <c r="B116" s="6" t="str">
        <f>IFERROR(__xludf.DUMMYFUNCTION("""COMPUTED_VALUE"""),"pggames numbers")</f>
        <v>pggames numbers</v>
      </c>
    </row>
    <row r="117">
      <c r="B117" s="6" t="str">
        <f>IFERROR(__xludf.DUMMYFUNCTION("""COMPUTED_VALUE"""),"asurewin numbers")</f>
        <v>asurewin numbers</v>
      </c>
    </row>
    <row r="118">
      <c r="B118" s="6" t="str">
        <f>IFERROR(__xludf.DUMMYFUNCTION("""COMPUTED_VALUE"""),"a sure win numbers")</f>
        <v>a sure win numbers</v>
      </c>
    </row>
    <row r="119">
      <c r="B119" s="6" t="str">
        <f>IFERROR(__xludf.DUMMYFUNCTION("""COMPUTED_VALUE"""),"everybody wins live numbers")</f>
        <v>everybody wins live numbers</v>
      </c>
    </row>
    <row r="120">
      <c r="B120" s="6" t="str">
        <f>IFERROR(__xludf.DUMMYFUNCTION("""COMPUTED_VALUE"""),"the island game numbers")</f>
        <v>the island game numbers</v>
      </c>
    </row>
    <row r="121">
      <c r="B121" s="6" t="str">
        <f>IFERROR(__xludf.DUMMYFUNCTION("""COMPUTED_VALUE"""),"chances numbers")</f>
        <v>chances numbers</v>
      </c>
    </row>
    <row r="122">
      <c r="B122" s="6" t="str">
        <f>IFERROR(__xludf.DUMMYFUNCTION("""COMPUTED_VALUE"""),"island luck demo")</f>
        <v>island luck demo</v>
      </c>
    </row>
    <row r="123">
      <c r="B123" s="6" t="str">
        <f>IFERROR(__xludf.DUMMYFUNCTION("""COMPUTED_VALUE"""),"chances games demo")</f>
        <v>chances games demo</v>
      </c>
    </row>
    <row r="124">
      <c r="B124" s="6" t="str">
        <f>IFERROR(__xludf.DUMMYFUNCTION("""COMPUTED_VALUE"""),"ultra games demo")</f>
        <v>ultra games demo</v>
      </c>
    </row>
    <row r="125">
      <c r="B125" s="6" t="str">
        <f>IFERROR(__xludf.DUMMYFUNCTION("""COMPUTED_VALUE"""),"paradise games demo")</f>
        <v>paradise games demo</v>
      </c>
    </row>
    <row r="126">
      <c r="B126" s="6" t="str">
        <f>IFERROR(__xludf.DUMMYFUNCTION("""COMPUTED_VALUE"""),"pggames demo")</f>
        <v>pggames demo</v>
      </c>
    </row>
    <row r="127">
      <c r="B127" s="6" t="str">
        <f>IFERROR(__xludf.DUMMYFUNCTION("""COMPUTED_VALUE"""),"asurewin demo")</f>
        <v>asurewin demo</v>
      </c>
    </row>
    <row r="128">
      <c r="B128" s="6" t="str">
        <f>IFERROR(__xludf.DUMMYFUNCTION("""COMPUTED_VALUE"""),"a sure win demo")</f>
        <v>a sure win demo</v>
      </c>
    </row>
    <row r="129">
      <c r="B129" s="6" t="str">
        <f>IFERROR(__xludf.DUMMYFUNCTION("""COMPUTED_VALUE"""),"everybody wins live demo")</f>
        <v>everybody wins live demo</v>
      </c>
    </row>
    <row r="130">
      <c r="B130" s="6" t="str">
        <f>IFERROR(__xludf.DUMMYFUNCTION("""COMPUTED_VALUE"""),"the island game demo")</f>
        <v>the island game demo</v>
      </c>
    </row>
    <row r="131">
      <c r="B131" s="6" t="str">
        <f>IFERROR(__xludf.DUMMYFUNCTION("""COMPUTED_VALUE"""),"chances demo")</f>
        <v>chances demo</v>
      </c>
    </row>
    <row r="132">
      <c r="B132" s="6" t="str">
        <f>IFERROR(__xludf.DUMMYFUNCTION("""COMPUTED_VALUE"""),"island luck games")</f>
        <v>island luck games</v>
      </c>
    </row>
    <row r="133">
      <c r="B133" s="6" t="str">
        <f>IFERROR(__xludf.DUMMYFUNCTION("""COMPUTED_VALUE"""),"chances games")</f>
        <v>chances games</v>
      </c>
    </row>
    <row r="134">
      <c r="B134" s="6" t="str">
        <f>IFERROR(__xludf.DUMMYFUNCTION("""COMPUTED_VALUE"""),"ultra games")</f>
        <v>ultra games</v>
      </c>
    </row>
    <row r="135">
      <c r="B135" s="6" t="str">
        <f>IFERROR(__xludf.DUMMYFUNCTION("""COMPUTED_VALUE"""),"paradise games")</f>
        <v>paradise games</v>
      </c>
    </row>
    <row r="136">
      <c r="B136" s="6" t="str">
        <f>IFERROR(__xludf.DUMMYFUNCTION("""COMPUTED_VALUE"""),"pggames games")</f>
        <v>pggames games</v>
      </c>
    </row>
    <row r="137">
      <c r="B137" s="6" t="str">
        <f>IFERROR(__xludf.DUMMYFUNCTION("""COMPUTED_VALUE"""),"asurewin games")</f>
        <v>asurewin games</v>
      </c>
    </row>
    <row r="138">
      <c r="B138" s="6" t="str">
        <f>IFERROR(__xludf.DUMMYFUNCTION("""COMPUTED_VALUE"""),"a sure win games")</f>
        <v>a sure win games</v>
      </c>
    </row>
    <row r="139">
      <c r="B139" s="6" t="str">
        <f>IFERROR(__xludf.DUMMYFUNCTION("""COMPUTED_VALUE"""),"everybody wins live games")</f>
        <v>everybody wins live games</v>
      </c>
    </row>
    <row r="140">
      <c r="B140" s="6" t="str">
        <f>IFERROR(__xludf.DUMMYFUNCTION("""COMPUTED_VALUE"""),"the island game")</f>
        <v>the island game</v>
      </c>
    </row>
    <row r="141">
      <c r="B141" s="6" t="str">
        <f>IFERROR(__xludf.DUMMYFUNCTION("""COMPUTED_VALUE"""),"chances games")</f>
        <v>chances games</v>
      </c>
    </row>
    <row r="142">
      <c r="B142" s="6" t="str">
        <f>IFERROR(__xludf.DUMMYFUNCTION("""COMPUTED_VALUE"""),"island luck casino games")</f>
        <v>island luck casino games</v>
      </c>
    </row>
    <row r="143">
      <c r="B143" s="6" t="str">
        <f>IFERROR(__xludf.DUMMYFUNCTION("""COMPUTED_VALUE"""),"chances games casino games")</f>
        <v>chances games casino games</v>
      </c>
    </row>
    <row r="144">
      <c r="B144" s="6" t="str">
        <f>IFERROR(__xludf.DUMMYFUNCTION("""COMPUTED_VALUE"""),"ultra games casino games")</f>
        <v>ultra games casino games</v>
      </c>
    </row>
    <row r="145">
      <c r="B145" s="6" t="str">
        <f>IFERROR(__xludf.DUMMYFUNCTION("""COMPUTED_VALUE"""),"paradise games casino games")</f>
        <v>paradise games casino games</v>
      </c>
    </row>
    <row r="146">
      <c r="B146" s="6" t="str">
        <f>IFERROR(__xludf.DUMMYFUNCTION("""COMPUTED_VALUE"""),"pggames casino games")</f>
        <v>pggames casino games</v>
      </c>
    </row>
    <row r="147">
      <c r="B147" s="6" t="str">
        <f>IFERROR(__xludf.DUMMYFUNCTION("""COMPUTED_VALUE"""),"asurewin casino games")</f>
        <v>asurewin casino games</v>
      </c>
    </row>
    <row r="148">
      <c r="B148" s="6" t="str">
        <f>IFERROR(__xludf.DUMMYFUNCTION("""COMPUTED_VALUE"""),"a sure win casino games")</f>
        <v>a sure win casino games</v>
      </c>
    </row>
    <row r="149">
      <c r="B149" s="6" t="str">
        <f>IFERROR(__xludf.DUMMYFUNCTION("""COMPUTED_VALUE"""),"everybody wins live casino games")</f>
        <v>everybody wins live casino games</v>
      </c>
    </row>
    <row r="150">
      <c r="B150" s="6" t="str">
        <f>IFERROR(__xludf.DUMMYFUNCTION("""COMPUTED_VALUE"""),"the island game casino games")</f>
        <v>the island game casino games</v>
      </c>
    </row>
    <row r="151">
      <c r="B151" s="6" t="str">
        <f>IFERROR(__xludf.DUMMYFUNCTION("""COMPUTED_VALUE"""),"chances casino games")</f>
        <v>chances casino games</v>
      </c>
    </row>
    <row r="152">
      <c r="B152" s="6" t="str">
        <f>IFERROR(__xludf.DUMMYFUNCTION("""COMPUTED_VALUE"""),"island luck online casino")</f>
        <v>island luck online casino</v>
      </c>
    </row>
    <row r="153">
      <c r="B153" s="6" t="str">
        <f>IFERROR(__xludf.DUMMYFUNCTION("""COMPUTED_VALUE"""),"chances games online casino")</f>
        <v>chances games online casino</v>
      </c>
    </row>
    <row r="154">
      <c r="B154" s="6" t="str">
        <f>IFERROR(__xludf.DUMMYFUNCTION("""COMPUTED_VALUE"""),"ultra games online casino")</f>
        <v>ultra games online casino</v>
      </c>
    </row>
    <row r="155">
      <c r="B155" s="6" t="str">
        <f>IFERROR(__xludf.DUMMYFUNCTION("""COMPUTED_VALUE"""),"paradise games online casino")</f>
        <v>paradise games online casino</v>
      </c>
    </row>
    <row r="156">
      <c r="B156" s="6" t="str">
        <f>IFERROR(__xludf.DUMMYFUNCTION("""COMPUTED_VALUE"""),"pggames online casino")</f>
        <v>pggames online casino</v>
      </c>
    </row>
    <row r="157">
      <c r="B157" s="6" t="str">
        <f>IFERROR(__xludf.DUMMYFUNCTION("""COMPUTED_VALUE"""),"asurewin online casino")</f>
        <v>asurewin online casino</v>
      </c>
    </row>
    <row r="158">
      <c r="B158" s="6" t="str">
        <f>IFERROR(__xludf.DUMMYFUNCTION("""COMPUTED_VALUE"""),"a sure win online casino")</f>
        <v>a sure win online casino</v>
      </c>
    </row>
    <row r="159">
      <c r="B159" s="6" t="str">
        <f>IFERROR(__xludf.DUMMYFUNCTION("""COMPUTED_VALUE"""),"everybody wins live online casino")</f>
        <v>everybody wins live online casino</v>
      </c>
    </row>
    <row r="160">
      <c r="B160" s="6" t="str">
        <f>IFERROR(__xludf.DUMMYFUNCTION("""COMPUTED_VALUE"""),"the island game online casino")</f>
        <v>the island game online casino</v>
      </c>
    </row>
    <row r="161">
      <c r="B161" s="6" t="str">
        <f>IFERROR(__xludf.DUMMYFUNCTION("""COMPUTED_VALUE"""),"chances online casino")</f>
        <v>chances online casino</v>
      </c>
    </row>
    <row r="162">
      <c r="B162" s="6" t="str">
        <f>IFERROR(__xludf.DUMMYFUNCTION("""COMPUTED_VALUE"""),"island luck sportsbook")</f>
        <v>island luck sportsbook</v>
      </c>
    </row>
    <row r="163">
      <c r="B163" s="6" t="str">
        <f>IFERROR(__xludf.DUMMYFUNCTION("""COMPUTED_VALUE"""),"chances games sportsbook")</f>
        <v>chances games sportsbook</v>
      </c>
    </row>
    <row r="164">
      <c r="B164" s="6" t="str">
        <f>IFERROR(__xludf.DUMMYFUNCTION("""COMPUTED_VALUE"""),"ultra games sportsbook")</f>
        <v>ultra games sportsbook</v>
      </c>
    </row>
    <row r="165">
      <c r="B165" s="6" t="str">
        <f>IFERROR(__xludf.DUMMYFUNCTION("""COMPUTED_VALUE"""),"paradise games sportsbook")</f>
        <v>paradise games sportsbook</v>
      </c>
    </row>
    <row r="166">
      <c r="B166" s="6" t="str">
        <f>IFERROR(__xludf.DUMMYFUNCTION("""COMPUTED_VALUE"""),"pggames sportsbook")</f>
        <v>pggames sportsbook</v>
      </c>
    </row>
    <row r="167">
      <c r="B167" s="6" t="str">
        <f>IFERROR(__xludf.DUMMYFUNCTION("""COMPUTED_VALUE"""),"asurewin sportsbook")</f>
        <v>asurewin sportsbook</v>
      </c>
    </row>
    <row r="168">
      <c r="B168" s="6" t="str">
        <f>IFERROR(__xludf.DUMMYFUNCTION("""COMPUTED_VALUE"""),"a sure win sportsbook")</f>
        <v>a sure win sportsbook</v>
      </c>
    </row>
    <row r="169">
      <c r="B169" s="6" t="str">
        <f>IFERROR(__xludf.DUMMYFUNCTION("""COMPUTED_VALUE"""),"everybody wins live sportsbook")</f>
        <v>everybody wins live sportsbook</v>
      </c>
    </row>
    <row r="170">
      <c r="B170" s="6" t="str">
        <f>IFERROR(__xludf.DUMMYFUNCTION("""COMPUTED_VALUE"""),"the island game sportsbook")</f>
        <v>the island game sportsbook</v>
      </c>
    </row>
    <row r="171">
      <c r="B171" s="6" t="str">
        <f>IFERROR(__xludf.DUMMYFUNCTION("""COMPUTED_VALUE"""),"chances sportsbook")</f>
        <v>chances sportsbook</v>
      </c>
    </row>
    <row r="172">
      <c r="B172" s="6" t="str">
        <f>IFERROR(__xludf.DUMMYFUNCTION("""COMPUTED_VALUE"""),"island luck sports betting")</f>
        <v>island luck sports betting</v>
      </c>
    </row>
    <row r="173">
      <c r="B173" s="6" t="str">
        <f>IFERROR(__xludf.DUMMYFUNCTION("""COMPUTED_VALUE"""),"chances games sports betting")</f>
        <v>chances games sports betting</v>
      </c>
    </row>
    <row r="174">
      <c r="B174" s="6" t="str">
        <f>IFERROR(__xludf.DUMMYFUNCTION("""COMPUTED_VALUE"""),"ultra games sports betting")</f>
        <v>ultra games sports betting</v>
      </c>
    </row>
    <row r="175">
      <c r="B175" s="6" t="str">
        <f>IFERROR(__xludf.DUMMYFUNCTION("""COMPUTED_VALUE"""),"paradise games sports betting")</f>
        <v>paradise games sports betting</v>
      </c>
    </row>
    <row r="176">
      <c r="B176" s="6" t="str">
        <f>IFERROR(__xludf.DUMMYFUNCTION("""COMPUTED_VALUE"""),"pggames sports betting")</f>
        <v>pggames sports betting</v>
      </c>
    </row>
    <row r="177">
      <c r="B177" s="6" t="str">
        <f>IFERROR(__xludf.DUMMYFUNCTION("""COMPUTED_VALUE"""),"asurewin sports betting")</f>
        <v>asurewin sports betting</v>
      </c>
    </row>
    <row r="178">
      <c r="B178" s="6" t="str">
        <f>IFERROR(__xludf.DUMMYFUNCTION("""COMPUTED_VALUE"""),"a sure win sports betting")</f>
        <v>a sure win sports betting</v>
      </c>
    </row>
    <row r="179">
      <c r="B179" s="6" t="str">
        <f>IFERROR(__xludf.DUMMYFUNCTION("""COMPUTED_VALUE"""),"everybody wins live sports betting")</f>
        <v>everybody wins live sports betting</v>
      </c>
    </row>
    <row r="180">
      <c r="B180" s="6" t="str">
        <f>IFERROR(__xludf.DUMMYFUNCTION("""COMPUTED_VALUE"""),"the island game sports betting")</f>
        <v>the island game sports betting</v>
      </c>
    </row>
    <row r="181">
      <c r="B181" s="6" t="str">
        <f>IFERROR(__xludf.DUMMYFUNCTION("""COMPUTED_VALUE"""),"chances sports betting")</f>
        <v>chances sports betting</v>
      </c>
    </row>
    <row r="182">
      <c r="B182" s="6" t="str">
        <f>IFERROR(__xludf.DUMMYFUNCTION("""COMPUTED_VALUE"""),"island luck odds")</f>
        <v>island luck odds</v>
      </c>
    </row>
    <row r="183">
      <c r="B183" s="6" t="str">
        <f>IFERROR(__xludf.DUMMYFUNCTION("""COMPUTED_VALUE"""),"chances games odds")</f>
        <v>chances games odds</v>
      </c>
    </row>
    <row r="184">
      <c r="B184" s="6" t="str">
        <f>IFERROR(__xludf.DUMMYFUNCTION("""COMPUTED_VALUE"""),"ultra games odds")</f>
        <v>ultra games odds</v>
      </c>
    </row>
    <row r="185">
      <c r="B185" s="6" t="str">
        <f>IFERROR(__xludf.DUMMYFUNCTION("""COMPUTED_VALUE"""),"paradise games odds")</f>
        <v>paradise games odds</v>
      </c>
    </row>
    <row r="186">
      <c r="B186" s="6" t="str">
        <f>IFERROR(__xludf.DUMMYFUNCTION("""COMPUTED_VALUE"""),"pggames odds")</f>
        <v>pggames odds</v>
      </c>
    </row>
    <row r="187">
      <c r="B187" s="6" t="str">
        <f>IFERROR(__xludf.DUMMYFUNCTION("""COMPUTED_VALUE"""),"asurewin odds")</f>
        <v>asurewin odds</v>
      </c>
    </row>
    <row r="188">
      <c r="B188" s="6" t="str">
        <f>IFERROR(__xludf.DUMMYFUNCTION("""COMPUTED_VALUE"""),"a sure win odds")</f>
        <v>a sure win odds</v>
      </c>
    </row>
    <row r="189">
      <c r="B189" s="6" t="str">
        <f>IFERROR(__xludf.DUMMYFUNCTION("""COMPUTED_VALUE"""),"everybody wins live odds")</f>
        <v>everybody wins live odds</v>
      </c>
    </row>
    <row r="190">
      <c r="B190" s="6" t="str">
        <f>IFERROR(__xludf.DUMMYFUNCTION("""COMPUTED_VALUE"""),"the island game odds")</f>
        <v>the island game odds</v>
      </c>
    </row>
    <row r="191">
      <c r="B191" s="6" t="str">
        <f>IFERROR(__xludf.DUMMYFUNCTION("""COMPUTED_VALUE"""),"chances odds")</f>
        <v>chances odds</v>
      </c>
    </row>
    <row r="192">
      <c r="B192" s="6" t="str">
        <f>IFERROR(__xludf.DUMMYFUNCTION("""COMPUTED_VALUE"""),"island luck locations")</f>
        <v>island luck locations</v>
      </c>
    </row>
    <row r="193">
      <c r="B193" s="6" t="str">
        <f>IFERROR(__xludf.DUMMYFUNCTION("""COMPUTED_VALUE"""),"chances games locations")</f>
        <v>chances games locations</v>
      </c>
    </row>
    <row r="194">
      <c r="B194" s="6" t="str">
        <f>IFERROR(__xludf.DUMMYFUNCTION("""COMPUTED_VALUE"""),"ultra games locations")</f>
        <v>ultra games locations</v>
      </c>
    </row>
    <row r="195">
      <c r="B195" s="6" t="str">
        <f>IFERROR(__xludf.DUMMYFUNCTION("""COMPUTED_VALUE"""),"paradise games locations")</f>
        <v>paradise games locations</v>
      </c>
    </row>
    <row r="196">
      <c r="B196" s="6" t="str">
        <f>IFERROR(__xludf.DUMMYFUNCTION("""COMPUTED_VALUE"""),"pggames locations")</f>
        <v>pggames locations</v>
      </c>
    </row>
    <row r="197">
      <c r="B197" s="6" t="str">
        <f>IFERROR(__xludf.DUMMYFUNCTION("""COMPUTED_VALUE"""),"asurewin locations")</f>
        <v>asurewin locations</v>
      </c>
    </row>
    <row r="198">
      <c r="B198" s="6" t="str">
        <f>IFERROR(__xludf.DUMMYFUNCTION("""COMPUTED_VALUE"""),"a sure win locations")</f>
        <v>a sure win locations</v>
      </c>
    </row>
    <row r="199">
      <c r="B199" s="6" t="str">
        <f>IFERROR(__xludf.DUMMYFUNCTION("""COMPUTED_VALUE"""),"everybody wins live locations")</f>
        <v>everybody wins live locations</v>
      </c>
    </row>
    <row r="200">
      <c r="B200" s="6" t="str">
        <f>IFERROR(__xludf.DUMMYFUNCTION("""COMPUTED_VALUE"""),"the island game locations")</f>
        <v>the island game locations</v>
      </c>
    </row>
    <row r="201">
      <c r="B201" s="6" t="str">
        <f>IFERROR(__xludf.DUMMYFUNCTION("""COMPUTED_VALUE"""),"chances locations")</f>
        <v>chances locations</v>
      </c>
    </row>
    <row r="202">
      <c r="B202" s="6" t="str">
        <f>IFERROR(__xludf.DUMMYFUNCTION("""COMPUTED_VALUE"""),"island luck stores")</f>
        <v>island luck stores</v>
      </c>
    </row>
    <row r="203">
      <c r="B203" s="6" t="str">
        <f>IFERROR(__xludf.DUMMYFUNCTION("""COMPUTED_VALUE"""),"chances games stores")</f>
        <v>chances games stores</v>
      </c>
    </row>
    <row r="204">
      <c r="B204" s="6" t="str">
        <f>IFERROR(__xludf.DUMMYFUNCTION("""COMPUTED_VALUE"""),"ultra games stores")</f>
        <v>ultra games stores</v>
      </c>
    </row>
    <row r="205">
      <c r="B205" s="6" t="str">
        <f>IFERROR(__xludf.DUMMYFUNCTION("""COMPUTED_VALUE"""),"paradise games stores")</f>
        <v>paradise games stores</v>
      </c>
    </row>
    <row r="206">
      <c r="B206" s="6" t="str">
        <f>IFERROR(__xludf.DUMMYFUNCTION("""COMPUTED_VALUE"""),"pggames stores")</f>
        <v>pggames stores</v>
      </c>
    </row>
    <row r="207">
      <c r="B207" s="6" t="str">
        <f>IFERROR(__xludf.DUMMYFUNCTION("""COMPUTED_VALUE"""),"asurewin stores")</f>
        <v>asurewin stores</v>
      </c>
    </row>
    <row r="208">
      <c r="B208" s="6" t="str">
        <f>IFERROR(__xludf.DUMMYFUNCTION("""COMPUTED_VALUE"""),"a sure win stores")</f>
        <v>a sure win stores</v>
      </c>
    </row>
    <row r="209">
      <c r="B209" s="6" t="str">
        <f>IFERROR(__xludf.DUMMYFUNCTION("""COMPUTED_VALUE"""),"everybody wins live stores")</f>
        <v>everybody wins live stores</v>
      </c>
    </row>
    <row r="210">
      <c r="B210" s="6" t="str">
        <f>IFERROR(__xludf.DUMMYFUNCTION("""COMPUTED_VALUE"""),"the island game stores")</f>
        <v>the island game stores</v>
      </c>
    </row>
    <row r="211">
      <c r="B211" s="6" t="str">
        <f>IFERROR(__xludf.DUMMYFUNCTION("""COMPUTED_VALUE"""),"chances stores")</f>
        <v>chances stores</v>
      </c>
    </row>
    <row r="212">
      <c r="B212" s="6" t="str">
        <f>IFERROR(__xludf.DUMMYFUNCTION("""COMPUTED_VALUE"""),"island luck near me")</f>
        <v>island luck near me</v>
      </c>
    </row>
    <row r="213">
      <c r="B213" s="6" t="str">
        <f>IFERROR(__xludf.DUMMYFUNCTION("""COMPUTED_VALUE"""),"chances games near me")</f>
        <v>chances games near me</v>
      </c>
    </row>
    <row r="214">
      <c r="B214" s="6" t="str">
        <f>IFERROR(__xludf.DUMMYFUNCTION("""COMPUTED_VALUE"""),"ultra games near me")</f>
        <v>ultra games near me</v>
      </c>
    </row>
    <row r="215">
      <c r="B215" s="6" t="str">
        <f>IFERROR(__xludf.DUMMYFUNCTION("""COMPUTED_VALUE"""),"paradise games near me")</f>
        <v>paradise games near me</v>
      </c>
    </row>
    <row r="216">
      <c r="B216" s="6" t="str">
        <f>IFERROR(__xludf.DUMMYFUNCTION("""COMPUTED_VALUE"""),"pggames near me")</f>
        <v>pggames near me</v>
      </c>
    </row>
    <row r="217">
      <c r="B217" s="6" t="str">
        <f>IFERROR(__xludf.DUMMYFUNCTION("""COMPUTED_VALUE"""),"asurewin near me")</f>
        <v>asurewin near me</v>
      </c>
    </row>
    <row r="218">
      <c r="B218" s="6" t="str">
        <f>IFERROR(__xludf.DUMMYFUNCTION("""COMPUTED_VALUE"""),"a sure win near me")</f>
        <v>a sure win near me</v>
      </c>
    </row>
    <row r="219">
      <c r="B219" s="6" t="str">
        <f>IFERROR(__xludf.DUMMYFUNCTION("""COMPUTED_VALUE"""),"everybody wins live near me")</f>
        <v>everybody wins live near me</v>
      </c>
    </row>
    <row r="220">
      <c r="B220" s="6" t="str">
        <f>IFERROR(__xludf.DUMMYFUNCTION("""COMPUTED_VALUE"""),"the island game near me")</f>
        <v>the island game near me</v>
      </c>
    </row>
    <row r="221">
      <c r="B221" s="6" t="str">
        <f>IFERROR(__xludf.DUMMYFUNCTION("""COMPUTED_VALUE"""),"chances near me")</f>
        <v>chances near me</v>
      </c>
    </row>
    <row r="222">
      <c r="B222" s="6" t="str">
        <f>IFERROR(__xludf.DUMMYFUNCTION("""COMPUTED_VALUE"""),"island luck nassau")</f>
        <v>island luck nassau</v>
      </c>
    </row>
    <row r="223">
      <c r="B223" s="6" t="str">
        <f>IFERROR(__xludf.DUMMYFUNCTION("""COMPUTED_VALUE"""),"chances games nassau")</f>
        <v>chances games nassau</v>
      </c>
    </row>
    <row r="224">
      <c r="B224" s="6" t="str">
        <f>IFERROR(__xludf.DUMMYFUNCTION("""COMPUTED_VALUE"""),"ultra games nassau")</f>
        <v>ultra games nassau</v>
      </c>
    </row>
    <row r="225">
      <c r="B225" s="6" t="str">
        <f>IFERROR(__xludf.DUMMYFUNCTION("""COMPUTED_VALUE"""),"paradise games nassau")</f>
        <v>paradise games nassau</v>
      </c>
    </row>
    <row r="226">
      <c r="B226" s="6" t="str">
        <f>IFERROR(__xludf.DUMMYFUNCTION("""COMPUTED_VALUE"""),"pggames nassau")</f>
        <v>pggames nassau</v>
      </c>
    </row>
    <row r="227">
      <c r="B227" s="6" t="str">
        <f>IFERROR(__xludf.DUMMYFUNCTION("""COMPUTED_VALUE"""),"asurewin nassau")</f>
        <v>asurewin nassau</v>
      </c>
    </row>
    <row r="228">
      <c r="B228" s="6" t="str">
        <f>IFERROR(__xludf.DUMMYFUNCTION("""COMPUTED_VALUE"""),"a sure win nassau")</f>
        <v>a sure win nassau</v>
      </c>
    </row>
    <row r="229">
      <c r="B229" s="6" t="str">
        <f>IFERROR(__xludf.DUMMYFUNCTION("""COMPUTED_VALUE"""),"everybody wins live nassau")</f>
        <v>everybody wins live nassau</v>
      </c>
    </row>
    <row r="230">
      <c r="B230" s="6" t="str">
        <f>IFERROR(__xludf.DUMMYFUNCTION("""COMPUTED_VALUE"""),"the island game nassau")</f>
        <v>the island game nassau</v>
      </c>
    </row>
    <row r="231">
      <c r="B231" s="6" t="str">
        <f>IFERROR(__xludf.DUMMYFUNCTION("""COMPUTED_VALUE"""),"chances nassau")</f>
        <v>chances nassau</v>
      </c>
    </row>
    <row r="232">
      <c r="B232" s="6" t="str">
        <f>IFERROR(__xludf.DUMMYFUNCTION("""COMPUTED_VALUE"""),"island luck freeport")</f>
        <v>island luck freeport</v>
      </c>
    </row>
    <row r="233">
      <c r="B233" s="6" t="str">
        <f>IFERROR(__xludf.DUMMYFUNCTION("""COMPUTED_VALUE"""),"chances games freeport")</f>
        <v>chances games freeport</v>
      </c>
    </row>
    <row r="234">
      <c r="B234" s="6" t="str">
        <f>IFERROR(__xludf.DUMMYFUNCTION("""COMPUTED_VALUE"""),"ultra games freeport")</f>
        <v>ultra games freeport</v>
      </c>
    </row>
    <row r="235">
      <c r="B235" s="6" t="str">
        <f>IFERROR(__xludf.DUMMYFUNCTION("""COMPUTED_VALUE"""),"paradise games freeport")</f>
        <v>paradise games freeport</v>
      </c>
    </row>
    <row r="236">
      <c r="B236" s="6" t="str">
        <f>IFERROR(__xludf.DUMMYFUNCTION("""COMPUTED_VALUE"""),"pggames freeport")</f>
        <v>pggames freeport</v>
      </c>
    </row>
    <row r="237">
      <c r="B237" s="6" t="str">
        <f>IFERROR(__xludf.DUMMYFUNCTION("""COMPUTED_VALUE"""),"asurewin freeport")</f>
        <v>asurewin freeport</v>
      </c>
    </row>
    <row r="238">
      <c r="B238" s="6" t="str">
        <f>IFERROR(__xludf.DUMMYFUNCTION("""COMPUTED_VALUE"""),"a sure win freeport")</f>
        <v>a sure win freeport</v>
      </c>
    </row>
    <row r="239">
      <c r="B239" s="6" t="str">
        <f>IFERROR(__xludf.DUMMYFUNCTION("""COMPUTED_VALUE"""),"everybody wins live freeport")</f>
        <v>everybody wins live freeport</v>
      </c>
    </row>
    <row r="240">
      <c r="B240" s="6" t="str">
        <f>IFERROR(__xludf.DUMMYFUNCTION("""COMPUTED_VALUE"""),"the island game freeport")</f>
        <v>the island game freeport</v>
      </c>
    </row>
    <row r="241">
      <c r="B241" s="6" t="str">
        <f>IFERROR(__xludf.DUMMYFUNCTION("""COMPUTED_VALUE"""),"chances freeport")</f>
        <v>chances freeport</v>
      </c>
    </row>
    <row r="242">
      <c r="B242" s="6" t="str">
        <f>IFERROR(__xludf.DUMMYFUNCTION("""COMPUTED_VALUE"""),"island luck web cafe")</f>
        <v>island luck web cafe</v>
      </c>
    </row>
    <row r="243">
      <c r="B243" s="6" t="str">
        <f>IFERROR(__xludf.DUMMYFUNCTION("""COMPUTED_VALUE"""),"chances games web cafe")</f>
        <v>chances games web cafe</v>
      </c>
    </row>
    <row r="244">
      <c r="B244" s="6" t="str">
        <f>IFERROR(__xludf.DUMMYFUNCTION("""COMPUTED_VALUE"""),"ultra games web cafe")</f>
        <v>ultra games web cafe</v>
      </c>
    </row>
    <row r="245">
      <c r="B245" s="6" t="str">
        <f>IFERROR(__xludf.DUMMYFUNCTION("""COMPUTED_VALUE"""),"paradise games web cafe")</f>
        <v>paradise games web cafe</v>
      </c>
    </row>
    <row r="246">
      <c r="B246" s="6" t="str">
        <f>IFERROR(__xludf.DUMMYFUNCTION("""COMPUTED_VALUE"""),"pggames web cafe")</f>
        <v>pggames web cafe</v>
      </c>
    </row>
    <row r="247">
      <c r="B247" s="6" t="str">
        <f>IFERROR(__xludf.DUMMYFUNCTION("""COMPUTED_VALUE"""),"asurewin web cafe")</f>
        <v>asurewin web cafe</v>
      </c>
    </row>
    <row r="248">
      <c r="B248" s="6" t="str">
        <f>IFERROR(__xludf.DUMMYFUNCTION("""COMPUTED_VALUE"""),"a sure win web cafe")</f>
        <v>a sure win web cafe</v>
      </c>
    </row>
    <row r="249">
      <c r="B249" s="6" t="str">
        <f>IFERROR(__xludf.DUMMYFUNCTION("""COMPUTED_VALUE"""),"everybody wins live web cafe")</f>
        <v>everybody wins live web cafe</v>
      </c>
    </row>
    <row r="250">
      <c r="B250" s="6" t="str">
        <f>IFERROR(__xludf.DUMMYFUNCTION("""COMPUTED_VALUE"""),"the island game web cafe")</f>
        <v>the island game web cafe</v>
      </c>
    </row>
    <row r="251">
      <c r="B251" s="6" t="str">
        <f>IFERROR(__xludf.DUMMYFUNCTION("""COMPUTED_VALUE"""),"chances web cafe")</f>
        <v>chances web cafe</v>
      </c>
    </row>
    <row r="252">
      <c r="B252" s="6" t="str">
        <f>IFERROR(__xludf.DUMMYFUNCTION("""COMPUTED_VALUE"""),"island luck deposit")</f>
        <v>island luck deposit</v>
      </c>
    </row>
    <row r="253">
      <c r="B253" s="6" t="str">
        <f>IFERROR(__xludf.DUMMYFUNCTION("""COMPUTED_VALUE"""),"chances games deposit")</f>
        <v>chances games deposit</v>
      </c>
    </row>
    <row r="254">
      <c r="B254" s="6" t="str">
        <f>IFERROR(__xludf.DUMMYFUNCTION("""COMPUTED_VALUE"""),"ultra games deposit")</f>
        <v>ultra games deposit</v>
      </c>
    </row>
    <row r="255">
      <c r="B255" s="6" t="str">
        <f>IFERROR(__xludf.DUMMYFUNCTION("""COMPUTED_VALUE"""),"paradise games deposit")</f>
        <v>paradise games deposit</v>
      </c>
    </row>
    <row r="256">
      <c r="B256" s="6" t="str">
        <f>IFERROR(__xludf.DUMMYFUNCTION("""COMPUTED_VALUE"""),"pggames deposit")</f>
        <v>pggames deposit</v>
      </c>
    </row>
    <row r="257">
      <c r="B257" s="6" t="str">
        <f>IFERROR(__xludf.DUMMYFUNCTION("""COMPUTED_VALUE"""),"asurewin deposit")</f>
        <v>asurewin deposit</v>
      </c>
    </row>
    <row r="258">
      <c r="B258" s="6" t="str">
        <f>IFERROR(__xludf.DUMMYFUNCTION("""COMPUTED_VALUE"""),"a sure win deposit")</f>
        <v>a sure win deposit</v>
      </c>
    </row>
    <row r="259">
      <c r="B259" s="6" t="str">
        <f>IFERROR(__xludf.DUMMYFUNCTION("""COMPUTED_VALUE"""),"everybody wins live deposit")</f>
        <v>everybody wins live deposit</v>
      </c>
    </row>
    <row r="260">
      <c r="B260" s="6" t="str">
        <f>IFERROR(__xludf.DUMMYFUNCTION("""COMPUTED_VALUE"""),"the island game deposit")</f>
        <v>the island game deposit</v>
      </c>
    </row>
    <row r="261">
      <c r="B261" s="6" t="str">
        <f>IFERROR(__xludf.DUMMYFUNCTION("""COMPUTED_VALUE"""),"chances deposit")</f>
        <v>chances deposit</v>
      </c>
    </row>
    <row r="262">
      <c r="B262" s="6" t="str">
        <f>IFERROR(__xludf.DUMMYFUNCTION("""COMPUTED_VALUE"""),"island luck withdrawal")</f>
        <v>island luck withdrawal</v>
      </c>
    </row>
    <row r="263">
      <c r="B263" s="6" t="str">
        <f>IFERROR(__xludf.DUMMYFUNCTION("""COMPUTED_VALUE"""),"chances games withdrawal")</f>
        <v>chances games withdrawal</v>
      </c>
    </row>
    <row r="264">
      <c r="B264" s="6" t="str">
        <f>IFERROR(__xludf.DUMMYFUNCTION("""COMPUTED_VALUE"""),"ultra games withdrawal")</f>
        <v>ultra games withdrawal</v>
      </c>
    </row>
    <row r="265">
      <c r="B265" s="6" t="str">
        <f>IFERROR(__xludf.DUMMYFUNCTION("""COMPUTED_VALUE"""),"paradise games withdrawal")</f>
        <v>paradise games withdrawal</v>
      </c>
    </row>
    <row r="266">
      <c r="B266" s="6" t="str">
        <f>IFERROR(__xludf.DUMMYFUNCTION("""COMPUTED_VALUE"""),"pggames withdrawal")</f>
        <v>pggames withdrawal</v>
      </c>
    </row>
    <row r="267">
      <c r="B267" s="6" t="str">
        <f>IFERROR(__xludf.DUMMYFUNCTION("""COMPUTED_VALUE"""),"asurewin withdrawal")</f>
        <v>asurewin withdrawal</v>
      </c>
    </row>
    <row r="268">
      <c r="B268" s="6" t="str">
        <f>IFERROR(__xludf.DUMMYFUNCTION("""COMPUTED_VALUE"""),"a sure win withdrawal")</f>
        <v>a sure win withdrawal</v>
      </c>
    </row>
    <row r="269">
      <c r="B269" s="6" t="str">
        <f>IFERROR(__xludf.DUMMYFUNCTION("""COMPUTED_VALUE"""),"everybody wins live withdrawal")</f>
        <v>everybody wins live withdrawal</v>
      </c>
    </row>
    <row r="270">
      <c r="B270" s="6" t="str">
        <f>IFERROR(__xludf.DUMMYFUNCTION("""COMPUTED_VALUE"""),"the island game withdrawal")</f>
        <v>the island game withdrawal</v>
      </c>
    </row>
    <row r="271">
      <c r="B271" s="6" t="str">
        <f>IFERROR(__xludf.DUMMYFUNCTION("""COMPUTED_VALUE"""),"chances withdrawal")</f>
        <v>chances withdrawal</v>
      </c>
    </row>
    <row r="272">
      <c r="B272" s="6" t="str">
        <f>IFERROR(__xludf.DUMMYFUNCTION("""COMPUTED_VALUE"""),"island luck cash out")</f>
        <v>island luck cash out</v>
      </c>
    </row>
    <row r="273">
      <c r="B273" s="6" t="str">
        <f>IFERROR(__xludf.DUMMYFUNCTION("""COMPUTED_VALUE"""),"chances games cash out")</f>
        <v>chances games cash out</v>
      </c>
    </row>
    <row r="274">
      <c r="B274" s="6" t="str">
        <f>IFERROR(__xludf.DUMMYFUNCTION("""COMPUTED_VALUE"""),"ultra games cash out")</f>
        <v>ultra games cash out</v>
      </c>
    </row>
    <row r="275">
      <c r="B275" s="6" t="str">
        <f>IFERROR(__xludf.DUMMYFUNCTION("""COMPUTED_VALUE"""),"paradise games cash out")</f>
        <v>paradise games cash out</v>
      </c>
    </row>
    <row r="276">
      <c r="B276" s="6" t="str">
        <f>IFERROR(__xludf.DUMMYFUNCTION("""COMPUTED_VALUE"""),"pggames cash out")</f>
        <v>pggames cash out</v>
      </c>
    </row>
    <row r="277">
      <c r="B277" s="6" t="str">
        <f>IFERROR(__xludf.DUMMYFUNCTION("""COMPUTED_VALUE"""),"asurewin cash out")</f>
        <v>asurewin cash out</v>
      </c>
    </row>
    <row r="278">
      <c r="B278" s="6" t="str">
        <f>IFERROR(__xludf.DUMMYFUNCTION("""COMPUTED_VALUE"""),"a sure win cash out")</f>
        <v>a sure win cash out</v>
      </c>
    </row>
    <row r="279">
      <c r="B279" s="6" t="str">
        <f>IFERROR(__xludf.DUMMYFUNCTION("""COMPUTED_VALUE"""),"everybody wins live cash out")</f>
        <v>everybody wins live cash out</v>
      </c>
    </row>
    <row r="280">
      <c r="B280" s="6" t="str">
        <f>IFERROR(__xludf.DUMMYFUNCTION("""COMPUTED_VALUE"""),"the island game cash out")</f>
        <v>the island game cash out</v>
      </c>
    </row>
    <row r="281">
      <c r="B281" s="6" t="str">
        <f>IFERROR(__xludf.DUMMYFUNCTION("""COMPUTED_VALUE"""),"chances cash out")</f>
        <v>chances cash out</v>
      </c>
    </row>
    <row r="282">
      <c r="B282" s="6" t="str">
        <f>IFERROR(__xludf.DUMMYFUNCTION("""COMPUTED_VALUE"""),"island luck customer service")</f>
        <v>island luck customer service</v>
      </c>
    </row>
    <row r="283">
      <c r="B283" s="6" t="str">
        <f>IFERROR(__xludf.DUMMYFUNCTION("""COMPUTED_VALUE"""),"chances games customer service")</f>
        <v>chances games customer service</v>
      </c>
    </row>
    <row r="284">
      <c r="B284" s="6" t="str">
        <f>IFERROR(__xludf.DUMMYFUNCTION("""COMPUTED_VALUE"""),"ultra games customer service")</f>
        <v>ultra games customer service</v>
      </c>
    </row>
    <row r="285">
      <c r="B285" s="6" t="str">
        <f>IFERROR(__xludf.DUMMYFUNCTION("""COMPUTED_VALUE"""),"paradise games customer service")</f>
        <v>paradise games customer service</v>
      </c>
    </row>
    <row r="286">
      <c r="B286" s="6" t="str">
        <f>IFERROR(__xludf.DUMMYFUNCTION("""COMPUTED_VALUE"""),"pggames customer service")</f>
        <v>pggames customer service</v>
      </c>
    </row>
    <row r="287">
      <c r="B287" s="6" t="str">
        <f>IFERROR(__xludf.DUMMYFUNCTION("""COMPUTED_VALUE"""),"asurewin customer service")</f>
        <v>asurewin customer service</v>
      </c>
    </row>
    <row r="288">
      <c r="B288" s="6" t="str">
        <f>IFERROR(__xludf.DUMMYFUNCTION("""COMPUTED_VALUE"""),"a sure win customer service")</f>
        <v>a sure win customer service</v>
      </c>
    </row>
    <row r="289">
      <c r="B289" s="6" t="str">
        <f>IFERROR(__xludf.DUMMYFUNCTION("""COMPUTED_VALUE"""),"everybody wins live customer service")</f>
        <v>everybody wins live customer service</v>
      </c>
    </row>
    <row r="290">
      <c r="B290" s="6" t="str">
        <f>IFERROR(__xludf.DUMMYFUNCTION("""COMPUTED_VALUE"""),"the island game customer service")</f>
        <v>the island game customer service</v>
      </c>
    </row>
    <row r="291">
      <c r="B291" s="6" t="str">
        <f>IFERROR(__xludf.DUMMYFUNCTION("""COMPUTED_VALUE"""),"chances customer service")</f>
        <v>chances customer service</v>
      </c>
    </row>
    <row r="292">
      <c r="B292" s="6" t="str">
        <f>IFERROR(__xludf.DUMMYFUNCTION("""COMPUTED_VALUE"""),"island luck contact")</f>
        <v>island luck contact</v>
      </c>
    </row>
    <row r="293">
      <c r="B293" s="6" t="str">
        <f>IFERROR(__xludf.DUMMYFUNCTION("""COMPUTED_VALUE"""),"chances games contact")</f>
        <v>chances games contact</v>
      </c>
    </row>
    <row r="294">
      <c r="B294" s="6" t="str">
        <f>IFERROR(__xludf.DUMMYFUNCTION("""COMPUTED_VALUE"""),"ultra games contact")</f>
        <v>ultra games contact</v>
      </c>
    </row>
    <row r="295">
      <c r="B295" s="6" t="str">
        <f>IFERROR(__xludf.DUMMYFUNCTION("""COMPUTED_VALUE"""),"paradise games contact")</f>
        <v>paradise games contact</v>
      </c>
    </row>
    <row r="296">
      <c r="B296" s="6" t="str">
        <f>IFERROR(__xludf.DUMMYFUNCTION("""COMPUTED_VALUE"""),"pggames contact")</f>
        <v>pggames contact</v>
      </c>
    </row>
    <row r="297">
      <c r="B297" s="6" t="str">
        <f>IFERROR(__xludf.DUMMYFUNCTION("""COMPUTED_VALUE"""),"asurewin contact")</f>
        <v>asurewin contact</v>
      </c>
    </row>
    <row r="298">
      <c r="B298" s="6" t="str">
        <f>IFERROR(__xludf.DUMMYFUNCTION("""COMPUTED_VALUE"""),"a sure win contact")</f>
        <v>a sure win contact</v>
      </c>
    </row>
    <row r="299">
      <c r="B299" s="6" t="str">
        <f>IFERROR(__xludf.DUMMYFUNCTION("""COMPUTED_VALUE"""),"everybody wins live contact")</f>
        <v>everybody wins live contact</v>
      </c>
    </row>
    <row r="300">
      <c r="B300" s="6" t="str">
        <f>IFERROR(__xludf.DUMMYFUNCTION("""COMPUTED_VALUE"""),"the island game contact")</f>
        <v>the island game contact</v>
      </c>
    </row>
    <row r="301">
      <c r="B301" s="6" t="str">
        <f>IFERROR(__xludf.DUMMYFUNCTION("""COMPUTED_VALUE"""),"chances contact")</f>
        <v>chances contact</v>
      </c>
    </row>
    <row r="302">
      <c r="B302" s="6" t="str">
        <f>IFERROR(__xludf.DUMMYFUNCTION("""COMPUTED_VALUE"""),"island luck phone number")</f>
        <v>island luck phone number</v>
      </c>
    </row>
    <row r="303">
      <c r="B303" s="6" t="str">
        <f>IFERROR(__xludf.DUMMYFUNCTION("""COMPUTED_VALUE"""),"chances games phone number")</f>
        <v>chances games phone number</v>
      </c>
    </row>
    <row r="304">
      <c r="B304" s="6" t="str">
        <f>IFERROR(__xludf.DUMMYFUNCTION("""COMPUTED_VALUE"""),"ultra games phone number")</f>
        <v>ultra games phone number</v>
      </c>
    </row>
    <row r="305">
      <c r="B305" s="6" t="str">
        <f>IFERROR(__xludf.DUMMYFUNCTION("""COMPUTED_VALUE"""),"paradise games phone number")</f>
        <v>paradise games phone number</v>
      </c>
    </row>
    <row r="306">
      <c r="B306" s="6" t="str">
        <f>IFERROR(__xludf.DUMMYFUNCTION("""COMPUTED_VALUE"""),"pggames phone number")</f>
        <v>pggames phone number</v>
      </c>
    </row>
    <row r="307">
      <c r="B307" s="6" t="str">
        <f>IFERROR(__xludf.DUMMYFUNCTION("""COMPUTED_VALUE"""),"asurewin phone number")</f>
        <v>asurewin phone number</v>
      </c>
    </row>
    <row r="308">
      <c r="B308" s="6" t="str">
        <f>IFERROR(__xludf.DUMMYFUNCTION("""COMPUTED_VALUE"""),"a sure win phone number")</f>
        <v>a sure win phone number</v>
      </c>
    </row>
    <row r="309">
      <c r="B309" s="6" t="str">
        <f>IFERROR(__xludf.DUMMYFUNCTION("""COMPUTED_VALUE"""),"everybody wins live phone number")</f>
        <v>everybody wins live phone number</v>
      </c>
    </row>
    <row r="310">
      <c r="B310" s="6" t="str">
        <f>IFERROR(__xludf.DUMMYFUNCTION("""COMPUTED_VALUE"""),"the island game phone number")</f>
        <v>the island game phone number</v>
      </c>
    </row>
    <row r="311">
      <c r="B311" s="6" t="str">
        <f>IFERROR(__xludf.DUMMYFUNCTION("""COMPUTED_VALUE"""),"chances phone number")</f>
        <v>chances phone number</v>
      </c>
    </row>
    <row r="312">
      <c r="B312" s="6" t="str">
        <f>IFERROR(__xludf.DUMMYFUNCTION("""COMPUTED_VALUE"""),"island luck promotions")</f>
        <v>island luck promotions</v>
      </c>
    </row>
    <row r="313">
      <c r="B313" s="6" t="str">
        <f>IFERROR(__xludf.DUMMYFUNCTION("""COMPUTED_VALUE"""),"chances games promotions")</f>
        <v>chances games promotions</v>
      </c>
    </row>
    <row r="314">
      <c r="B314" s="6" t="str">
        <f>IFERROR(__xludf.DUMMYFUNCTION("""COMPUTED_VALUE"""),"ultra games promotions")</f>
        <v>ultra games promotions</v>
      </c>
    </row>
    <row r="315">
      <c r="B315" s="6" t="str">
        <f>IFERROR(__xludf.DUMMYFUNCTION("""COMPUTED_VALUE"""),"paradise games promotions")</f>
        <v>paradise games promotions</v>
      </c>
    </row>
    <row r="316">
      <c r="B316" s="6" t="str">
        <f>IFERROR(__xludf.DUMMYFUNCTION("""COMPUTED_VALUE"""),"pggames promotions")</f>
        <v>pggames promotions</v>
      </c>
    </row>
    <row r="317">
      <c r="B317" s="6" t="str">
        <f>IFERROR(__xludf.DUMMYFUNCTION("""COMPUTED_VALUE"""),"asurewin promotions")</f>
        <v>asurewin promotions</v>
      </c>
    </row>
    <row r="318">
      <c r="B318" s="6" t="str">
        <f>IFERROR(__xludf.DUMMYFUNCTION("""COMPUTED_VALUE"""),"a sure win promotions")</f>
        <v>a sure win promotions</v>
      </c>
    </row>
    <row r="319">
      <c r="B319" s="6" t="str">
        <f>IFERROR(__xludf.DUMMYFUNCTION("""COMPUTED_VALUE"""),"everybody wins live promotions")</f>
        <v>everybody wins live promotions</v>
      </c>
    </row>
    <row r="320">
      <c r="B320" s="6" t="str">
        <f>IFERROR(__xludf.DUMMYFUNCTION("""COMPUTED_VALUE"""),"the island game promotions")</f>
        <v>the island game promotions</v>
      </c>
    </row>
    <row r="321">
      <c r="B321" s="6" t="str">
        <f>IFERROR(__xludf.DUMMYFUNCTION("""COMPUTED_VALUE"""),"chances promotions")</f>
        <v>chances promotions</v>
      </c>
    </row>
    <row r="322">
      <c r="B322" s="6" t="str">
        <f>IFERROR(__xludf.DUMMYFUNCTION("""COMPUTED_VALUE"""),"island luck bonus")</f>
        <v>island luck bonus</v>
      </c>
    </row>
    <row r="323">
      <c r="B323" s="6" t="str">
        <f>IFERROR(__xludf.DUMMYFUNCTION("""COMPUTED_VALUE"""),"chances games bonus")</f>
        <v>chances games bonus</v>
      </c>
    </row>
    <row r="324">
      <c r="B324" s="6" t="str">
        <f>IFERROR(__xludf.DUMMYFUNCTION("""COMPUTED_VALUE"""),"ultra games bonus")</f>
        <v>ultra games bonus</v>
      </c>
    </row>
    <row r="325">
      <c r="B325" s="6" t="str">
        <f>IFERROR(__xludf.DUMMYFUNCTION("""COMPUTED_VALUE"""),"paradise games bonus")</f>
        <v>paradise games bonus</v>
      </c>
    </row>
    <row r="326">
      <c r="B326" s="6" t="str">
        <f>IFERROR(__xludf.DUMMYFUNCTION("""COMPUTED_VALUE"""),"pggames bonus")</f>
        <v>pggames bonus</v>
      </c>
    </row>
    <row r="327">
      <c r="B327" s="6" t="str">
        <f>IFERROR(__xludf.DUMMYFUNCTION("""COMPUTED_VALUE"""),"asurewin bonus")</f>
        <v>asurewin bonus</v>
      </c>
    </row>
    <row r="328">
      <c r="B328" s="6" t="str">
        <f>IFERROR(__xludf.DUMMYFUNCTION("""COMPUTED_VALUE"""),"a sure win bonus")</f>
        <v>a sure win bonus</v>
      </c>
    </row>
    <row r="329">
      <c r="B329" s="6" t="str">
        <f>IFERROR(__xludf.DUMMYFUNCTION("""COMPUTED_VALUE"""),"everybody wins live bonus")</f>
        <v>everybody wins live bonus</v>
      </c>
    </row>
    <row r="330">
      <c r="B330" s="6" t="str">
        <f>IFERROR(__xludf.DUMMYFUNCTION("""COMPUTED_VALUE"""),"the island game bonus")</f>
        <v>the island game bonus</v>
      </c>
    </row>
    <row r="331">
      <c r="B331" s="6" t="str">
        <f>IFERROR(__xludf.DUMMYFUNCTION("""COMPUTED_VALUE"""),"chances bonus")</f>
        <v>chances bonus</v>
      </c>
    </row>
    <row r="332">
      <c r="B332" s="6" t="str">
        <f>IFERROR(__xludf.DUMMYFUNCTION("""COMPUTED_VALUE"""),"island luck review")</f>
        <v>island luck review</v>
      </c>
    </row>
    <row r="333">
      <c r="B333" s="6" t="str">
        <f>IFERROR(__xludf.DUMMYFUNCTION("""COMPUTED_VALUE"""),"chances games review")</f>
        <v>chances games review</v>
      </c>
    </row>
    <row r="334">
      <c r="B334" s="6" t="str">
        <f>IFERROR(__xludf.DUMMYFUNCTION("""COMPUTED_VALUE"""),"ultra games review")</f>
        <v>ultra games review</v>
      </c>
    </row>
    <row r="335">
      <c r="B335" s="6" t="str">
        <f>IFERROR(__xludf.DUMMYFUNCTION("""COMPUTED_VALUE"""),"paradise games review")</f>
        <v>paradise games review</v>
      </c>
    </row>
    <row r="336">
      <c r="B336" s="6" t="str">
        <f>IFERROR(__xludf.DUMMYFUNCTION("""COMPUTED_VALUE"""),"pggames review")</f>
        <v>pggames review</v>
      </c>
    </row>
    <row r="337">
      <c r="B337" s="6" t="str">
        <f>IFERROR(__xludf.DUMMYFUNCTION("""COMPUTED_VALUE"""),"asurewin review")</f>
        <v>asurewin review</v>
      </c>
    </row>
    <row r="338">
      <c r="B338" s="6" t="str">
        <f>IFERROR(__xludf.DUMMYFUNCTION("""COMPUTED_VALUE"""),"a sure win review")</f>
        <v>a sure win review</v>
      </c>
    </row>
    <row r="339">
      <c r="B339" s="6" t="str">
        <f>IFERROR(__xludf.DUMMYFUNCTION("""COMPUTED_VALUE"""),"everybody wins live review")</f>
        <v>everybody wins live review</v>
      </c>
    </row>
    <row r="340">
      <c r="B340" s="6" t="str">
        <f>IFERROR(__xludf.DUMMYFUNCTION("""COMPUTED_VALUE"""),"the island game review")</f>
        <v>the island game review</v>
      </c>
    </row>
    <row r="341">
      <c r="B341" s="6" t="str">
        <f>IFERROR(__xludf.DUMMYFUNCTION("""COMPUTED_VALUE"""),"chances review")</f>
        <v>chances review</v>
      </c>
    </row>
    <row r="342">
      <c r="B342" s="6" t="str">
        <f>IFERROR(__xludf.DUMMYFUNCTION("""COMPUTED_VALUE"""),"island luck reviews")</f>
        <v>island luck reviews</v>
      </c>
    </row>
    <row r="343">
      <c r="B343" s="6" t="str">
        <f>IFERROR(__xludf.DUMMYFUNCTION("""COMPUTED_VALUE"""),"chances games reviews")</f>
        <v>chances games reviews</v>
      </c>
    </row>
    <row r="344">
      <c r="B344" s="6" t="str">
        <f>IFERROR(__xludf.DUMMYFUNCTION("""COMPUTED_VALUE"""),"ultra games reviews")</f>
        <v>ultra games reviews</v>
      </c>
    </row>
    <row r="345">
      <c r="B345" s="6" t="str">
        <f>IFERROR(__xludf.DUMMYFUNCTION("""COMPUTED_VALUE"""),"paradise games reviews")</f>
        <v>paradise games reviews</v>
      </c>
    </row>
    <row r="346">
      <c r="B346" s="6" t="str">
        <f>IFERROR(__xludf.DUMMYFUNCTION("""COMPUTED_VALUE"""),"pggames reviews")</f>
        <v>pggames reviews</v>
      </c>
    </row>
    <row r="347">
      <c r="B347" s="6" t="str">
        <f>IFERROR(__xludf.DUMMYFUNCTION("""COMPUTED_VALUE"""),"asurewin reviews")</f>
        <v>asurewin reviews</v>
      </c>
    </row>
    <row r="348">
      <c r="B348" s="6" t="str">
        <f>IFERROR(__xludf.DUMMYFUNCTION("""COMPUTED_VALUE"""),"a sure win reviews")</f>
        <v>a sure win reviews</v>
      </c>
    </row>
    <row r="349">
      <c r="B349" s="6" t="str">
        <f>IFERROR(__xludf.DUMMYFUNCTION("""COMPUTED_VALUE"""),"everybody wins live reviews")</f>
        <v>everybody wins live reviews</v>
      </c>
    </row>
    <row r="350">
      <c r="B350" s="6" t="str">
        <f>IFERROR(__xludf.DUMMYFUNCTION("""COMPUTED_VALUE"""),"the island game reviews")</f>
        <v>the island game reviews</v>
      </c>
    </row>
    <row r="351">
      <c r="B351" s="6" t="str">
        <f>IFERROR(__xludf.DUMMYFUNCTION("""COMPUTED_VALUE"""),"chances reviews")</f>
        <v>chances reviews</v>
      </c>
    </row>
    <row r="352">
      <c r="B352" s="6" t="str">
        <f>IFERROR(__xludf.DUMMYFUNCTION("""COMPUTED_VALUE"""),"island luck alternative")</f>
        <v>island luck alternative</v>
      </c>
    </row>
    <row r="353">
      <c r="B353" s="6" t="str">
        <f>IFERROR(__xludf.DUMMYFUNCTION("""COMPUTED_VALUE"""),"chances games alternative")</f>
        <v>chances games alternative</v>
      </c>
    </row>
    <row r="354">
      <c r="B354" s="6" t="str">
        <f>IFERROR(__xludf.DUMMYFUNCTION("""COMPUTED_VALUE"""),"ultra games alternative")</f>
        <v>ultra games alternative</v>
      </c>
    </row>
    <row r="355">
      <c r="B355" s="6" t="str">
        <f>IFERROR(__xludf.DUMMYFUNCTION("""COMPUTED_VALUE"""),"paradise games alternative")</f>
        <v>paradise games alternative</v>
      </c>
    </row>
    <row r="356">
      <c r="B356" s="6" t="str">
        <f>IFERROR(__xludf.DUMMYFUNCTION("""COMPUTED_VALUE"""),"pggames alternative")</f>
        <v>pggames alternative</v>
      </c>
    </row>
    <row r="357">
      <c r="B357" s="6" t="str">
        <f>IFERROR(__xludf.DUMMYFUNCTION("""COMPUTED_VALUE"""),"asurewin alternative")</f>
        <v>asurewin alternative</v>
      </c>
    </row>
    <row r="358">
      <c r="B358" s="6" t="str">
        <f>IFERROR(__xludf.DUMMYFUNCTION("""COMPUTED_VALUE"""),"a sure win alternative")</f>
        <v>a sure win alternative</v>
      </c>
    </row>
    <row r="359">
      <c r="B359" s="6" t="str">
        <f>IFERROR(__xludf.DUMMYFUNCTION("""COMPUTED_VALUE"""),"everybody wins live alternative")</f>
        <v>everybody wins live alternative</v>
      </c>
    </row>
    <row r="360">
      <c r="B360" s="6" t="str">
        <f>IFERROR(__xludf.DUMMYFUNCTION("""COMPUTED_VALUE"""),"the island game alternative")</f>
        <v>the island game alternative</v>
      </c>
    </row>
    <row r="361">
      <c r="B361" s="6" t="str">
        <f>IFERROR(__xludf.DUMMYFUNCTION("""COMPUTED_VALUE"""),"chances alternative")</f>
        <v>chances alternative</v>
      </c>
    </row>
    <row r="362">
      <c r="B362" s="6" t="str">
        <f>IFERROR(__xludf.DUMMYFUNCTION("""COMPUTED_VALUE"""),"island luck alternatives")</f>
        <v>island luck alternatives</v>
      </c>
    </row>
    <row r="363">
      <c r="B363" s="6" t="str">
        <f>IFERROR(__xludf.DUMMYFUNCTION("""COMPUTED_VALUE"""),"chances games alternatives")</f>
        <v>chances games alternatives</v>
      </c>
    </row>
    <row r="364">
      <c r="B364" s="6" t="str">
        <f>IFERROR(__xludf.DUMMYFUNCTION("""COMPUTED_VALUE"""),"ultra games alternatives")</f>
        <v>ultra games alternatives</v>
      </c>
    </row>
    <row r="365">
      <c r="B365" s="6" t="str">
        <f>IFERROR(__xludf.DUMMYFUNCTION("""COMPUTED_VALUE"""),"paradise games alternatives")</f>
        <v>paradise games alternatives</v>
      </c>
    </row>
    <row r="366">
      <c r="B366" s="6" t="str">
        <f>IFERROR(__xludf.DUMMYFUNCTION("""COMPUTED_VALUE"""),"pggames alternatives")</f>
        <v>pggames alternatives</v>
      </c>
    </row>
    <row r="367">
      <c r="B367" s="6" t="str">
        <f>IFERROR(__xludf.DUMMYFUNCTION("""COMPUTED_VALUE"""),"asurewin alternatives")</f>
        <v>asurewin alternatives</v>
      </c>
    </row>
    <row r="368">
      <c r="B368" s="6" t="str">
        <f>IFERROR(__xludf.DUMMYFUNCTION("""COMPUTED_VALUE"""),"a sure win alternatives")</f>
        <v>a sure win alternatives</v>
      </c>
    </row>
    <row r="369">
      <c r="B369" s="6" t="str">
        <f>IFERROR(__xludf.DUMMYFUNCTION("""COMPUTED_VALUE"""),"everybody wins live alternatives")</f>
        <v>everybody wins live alternatives</v>
      </c>
    </row>
    <row r="370">
      <c r="B370" s="6" t="str">
        <f>IFERROR(__xludf.DUMMYFUNCTION("""COMPUTED_VALUE"""),"the island game alternatives")</f>
        <v>the island game alternatives</v>
      </c>
    </row>
    <row r="371">
      <c r="B371" s="6" t="str">
        <f>IFERROR(__xludf.DUMMYFUNCTION("""COMPUTED_VALUE"""),"chances alternatives")</f>
        <v>chances alternatives</v>
      </c>
    </row>
    <row r="372">
      <c r="B372" s="6" t="str">
        <f>IFERROR(__xludf.DUMMYFUNCTION("""COMPUTED_VALUE"""),"island luck vs paradise games")</f>
        <v>island luck vs paradise games</v>
      </c>
    </row>
    <row r="373">
      <c r="B373" s="6" t="str">
        <f>IFERROR(__xludf.DUMMYFUNCTION("""COMPUTED_VALUE"""),"chances games vs paradise games")</f>
        <v>chances games vs paradise games</v>
      </c>
    </row>
    <row r="374">
      <c r="B374" s="6" t="str">
        <f>IFERROR(__xludf.DUMMYFUNCTION("""COMPUTED_VALUE"""),"ultra games vs paradise games")</f>
        <v>ultra games vs paradise games</v>
      </c>
    </row>
    <row r="375">
      <c r="B375" s="6" t="str">
        <f>IFERROR(__xludf.DUMMYFUNCTION("""COMPUTED_VALUE"""),"paradise games vs paradise games")</f>
        <v>paradise games vs paradise games</v>
      </c>
    </row>
    <row r="376">
      <c r="B376" s="6" t="str">
        <f>IFERROR(__xludf.DUMMYFUNCTION("""COMPUTED_VALUE"""),"pggames vs paradise games")</f>
        <v>pggames vs paradise games</v>
      </c>
    </row>
    <row r="377">
      <c r="B377" s="6" t="str">
        <f>IFERROR(__xludf.DUMMYFUNCTION("""COMPUTED_VALUE"""),"asurewin vs paradise games")</f>
        <v>asurewin vs paradise games</v>
      </c>
    </row>
    <row r="378">
      <c r="B378" s="6" t="str">
        <f>IFERROR(__xludf.DUMMYFUNCTION("""COMPUTED_VALUE"""),"a sure win vs paradise games")</f>
        <v>a sure win vs paradise games</v>
      </c>
    </row>
    <row r="379">
      <c r="B379" s="6" t="str">
        <f>IFERROR(__xludf.DUMMYFUNCTION("""COMPUTED_VALUE"""),"everybody wins live vs paradise games")</f>
        <v>everybody wins live vs paradise games</v>
      </c>
    </row>
    <row r="380">
      <c r="B380" s="6" t="str">
        <f>IFERROR(__xludf.DUMMYFUNCTION("""COMPUTED_VALUE"""),"the island game vs paradise games")</f>
        <v>the island game vs paradise games</v>
      </c>
    </row>
    <row r="381">
      <c r="B381" s="6" t="str">
        <f>IFERROR(__xludf.DUMMYFUNCTION("""COMPUTED_VALUE"""),"chances vs paradise games")</f>
        <v>chances vs paradise games</v>
      </c>
    </row>
    <row r="382">
      <c r="B382" s="6" t="str">
        <f>IFERROR(__xludf.DUMMYFUNCTION("""COMPUTED_VALUE"""),"island luck pggames com")</f>
        <v>island luck pggames com</v>
      </c>
    </row>
    <row r="383">
      <c r="B383" s="6" t="str">
        <f>IFERROR(__xludf.DUMMYFUNCTION("""COMPUTED_VALUE"""),"chances games pggames com")</f>
        <v>chances games pggames com</v>
      </c>
    </row>
    <row r="384">
      <c r="B384" s="6" t="str">
        <f>IFERROR(__xludf.DUMMYFUNCTION("""COMPUTED_VALUE"""),"ultra games pggames com")</f>
        <v>ultra games pggames com</v>
      </c>
    </row>
    <row r="385">
      <c r="B385" s="6" t="str">
        <f>IFERROR(__xludf.DUMMYFUNCTION("""COMPUTED_VALUE"""),"paradise games pggames com")</f>
        <v>paradise games pggames com</v>
      </c>
    </row>
    <row r="386">
      <c r="B386" s="6" t="str">
        <f>IFERROR(__xludf.DUMMYFUNCTION("""COMPUTED_VALUE"""),"pggames pggames com")</f>
        <v>pggames pggames com</v>
      </c>
    </row>
    <row r="387">
      <c r="B387" s="6" t="str">
        <f>IFERROR(__xludf.DUMMYFUNCTION("""COMPUTED_VALUE"""),"asurewin pggames com")</f>
        <v>asurewin pggames com</v>
      </c>
    </row>
    <row r="388">
      <c r="B388" s="6" t="str">
        <f>IFERROR(__xludf.DUMMYFUNCTION("""COMPUTED_VALUE"""),"a sure win pggames com")</f>
        <v>a sure win pggames com</v>
      </c>
    </row>
    <row r="389">
      <c r="B389" s="6" t="str">
        <f>IFERROR(__xludf.DUMMYFUNCTION("""COMPUTED_VALUE"""),"everybody wins live pggames com")</f>
        <v>everybody wins live pggames com</v>
      </c>
    </row>
    <row r="390">
      <c r="B390" s="6" t="str">
        <f>IFERROR(__xludf.DUMMYFUNCTION("""COMPUTED_VALUE"""),"the island game pggames com")</f>
        <v>the island game pggames com</v>
      </c>
    </row>
    <row r="391">
      <c r="B391" s="6" t="str">
        <f>IFERROR(__xludf.DUMMYFUNCTION("""COMPUTED_VALUE"""),"chances pggames com")</f>
        <v>chances pggames com</v>
      </c>
    </row>
    <row r="392">
      <c r="B392" s="6" t="str">
        <f>IFERROR(__xludf.DUMMYFUNCTION("""COMPUTED_VALUE"""),"island luck caribbean")</f>
        <v>island luck caribbean</v>
      </c>
    </row>
    <row r="393">
      <c r="B393" s="6" t="str">
        <f>IFERROR(__xludf.DUMMYFUNCTION("""COMPUTED_VALUE"""),"chances games caribbean")</f>
        <v>chances games caribbean</v>
      </c>
    </row>
    <row r="394">
      <c r="B394" s="6" t="str">
        <f>IFERROR(__xludf.DUMMYFUNCTION("""COMPUTED_VALUE"""),"ultra games caribbean")</f>
        <v>ultra games caribbean</v>
      </c>
    </row>
    <row r="395">
      <c r="B395" s="6" t="str">
        <f>IFERROR(__xludf.DUMMYFUNCTION("""COMPUTED_VALUE"""),"paradise games caribbean")</f>
        <v>paradise games caribbean</v>
      </c>
    </row>
    <row r="396">
      <c r="B396" s="6" t="str">
        <f>IFERROR(__xludf.DUMMYFUNCTION("""COMPUTED_VALUE"""),"pggames caribbean")</f>
        <v>pggames caribbean</v>
      </c>
    </row>
    <row r="397">
      <c r="B397" s="6" t="str">
        <f>IFERROR(__xludf.DUMMYFUNCTION("""COMPUTED_VALUE"""),"asurewin caribbean")</f>
        <v>asurewin caribbean</v>
      </c>
    </row>
    <row r="398">
      <c r="B398" s="6" t="str">
        <f>IFERROR(__xludf.DUMMYFUNCTION("""COMPUTED_VALUE"""),"a sure win caribbean")</f>
        <v>a sure win caribbean</v>
      </c>
    </row>
    <row r="399">
      <c r="B399" s="6" t="str">
        <f>IFERROR(__xludf.DUMMYFUNCTION("""COMPUTED_VALUE"""),"everybody wins live caribbean")</f>
        <v>everybody wins live caribbean</v>
      </c>
    </row>
    <row r="400">
      <c r="B400" s="6" t="str">
        <f>IFERROR(__xludf.DUMMYFUNCTION("""COMPUTED_VALUE"""),"the island game caribbean")</f>
        <v>the island game caribbean</v>
      </c>
    </row>
    <row r="401">
      <c r="B401" s="6" t="str">
        <f>IFERROR(__xludf.DUMMYFUNCTION("""COMPUTED_VALUE"""),"chances caribbean")</f>
        <v>chances caribbean</v>
      </c>
    </row>
    <row r="402">
      <c r="B402" s="6" t="str">
        <f>IFERROR(__xludf.DUMMYFUNCTION("""COMPUTED_VALUE"""),"island luck")</f>
        <v>island luck</v>
      </c>
    </row>
    <row r="403">
      <c r="B403" s="6" t="str">
        <f>IFERROR(__xludf.DUMMYFUNCTION("""COMPUTED_VALUE"""),"chances games")</f>
        <v>chances games</v>
      </c>
    </row>
    <row r="404">
      <c r="B404" s="6" t="str">
        <f>IFERROR(__xludf.DUMMYFUNCTION("""COMPUTED_VALUE"""),"ultra games")</f>
        <v>ultra games</v>
      </c>
    </row>
    <row r="405">
      <c r="B405" s="6" t="str">
        <f>IFERROR(__xludf.DUMMYFUNCTION("""COMPUTED_VALUE"""),"paradise games")</f>
        <v>paradise games</v>
      </c>
    </row>
    <row r="406">
      <c r="B406" s="6" t="str">
        <f>IFERROR(__xludf.DUMMYFUNCTION("""COMPUTED_VALUE"""),"pggames")</f>
        <v>pggames</v>
      </c>
    </row>
    <row r="407">
      <c r="B407" s="6" t="str">
        <f>IFERROR(__xludf.DUMMYFUNCTION("""COMPUTED_VALUE"""),"asurewin")</f>
        <v>asurewin</v>
      </c>
    </row>
    <row r="408">
      <c r="B408" s="6" t="str">
        <f>IFERROR(__xludf.DUMMYFUNCTION("""COMPUTED_VALUE"""),"a sure win")</f>
        <v>a sure win</v>
      </c>
    </row>
    <row r="409">
      <c r="B409" s="6" t="str">
        <f>IFERROR(__xludf.DUMMYFUNCTION("""COMPUTED_VALUE"""),"everybody wins live")</f>
        <v>everybody wins live</v>
      </c>
    </row>
    <row r="410">
      <c r="B410" s="6" t="str">
        <f>IFERROR(__xludf.DUMMYFUNCTION("""COMPUTED_VALUE"""),"the island game")</f>
        <v>the island game</v>
      </c>
    </row>
    <row r="411">
      <c r="B411" s="6" t="str">
        <f>IFERROR(__xludf.DUMMYFUNCTION("""COMPUTED_VALUE"""),"chances")</f>
        <v>chances</v>
      </c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19</v>
      </c>
      <c r="C2" s="7" t="s">
        <v>20</v>
      </c>
      <c r="D2" s="5">
        <v>0.0</v>
      </c>
      <c r="E2" s="5">
        <v>133000.0</v>
      </c>
      <c r="F2" s="5">
        <v>0.09</v>
      </c>
      <c r="G2" s="5">
        <v>1.16</v>
      </c>
      <c r="H2" s="5" t="s">
        <v>19</v>
      </c>
      <c r="I2" s="9">
        <v>46162.51018518519</v>
      </c>
      <c r="J2" s="5" t="s">
        <v>22</v>
      </c>
      <c r="K2" s="5">
        <v>137000.0</v>
      </c>
      <c r="L2" s="5">
        <v>131000.0</v>
      </c>
      <c r="M2" s="5">
        <v>135000.0</v>
      </c>
      <c r="N2" s="8">
        <v>42248.0</v>
      </c>
      <c r="O2" s="5" t="s">
        <v>24</v>
      </c>
      <c r="P2" s="5" t="s">
        <v>25</v>
      </c>
      <c r="Q2" s="5" t="s">
        <v>26</v>
      </c>
      <c r="R2" s="5" t="s">
        <v>28</v>
      </c>
      <c r="S2" s="5" t="s">
        <v>29</v>
      </c>
    </row>
    <row r="3">
      <c r="A3" s="5">
        <v>2.0</v>
      </c>
      <c r="B3" s="5" t="s">
        <v>30</v>
      </c>
      <c r="C3" s="5" t="s">
        <v>20</v>
      </c>
      <c r="D3" s="5">
        <v>9.0</v>
      </c>
      <c r="E3" s="5">
        <v>17000.0</v>
      </c>
      <c r="F3" s="5">
        <v>0.6</v>
      </c>
      <c r="G3" s="5">
        <v>1.09</v>
      </c>
      <c r="H3" s="5" t="s">
        <v>30</v>
      </c>
      <c r="I3" s="9">
        <v>46058.00326388889</v>
      </c>
      <c r="J3" s="5" t="s">
        <v>33</v>
      </c>
      <c r="K3" s="5">
        <v>18000.0</v>
      </c>
      <c r="L3" s="5">
        <v>15000.0</v>
      </c>
      <c r="M3" s="5">
        <v>16000.0</v>
      </c>
      <c r="N3" s="8">
        <v>42251.0</v>
      </c>
      <c r="O3" s="5" t="s">
        <v>24</v>
      </c>
      <c r="P3" s="5" t="s">
        <v>25</v>
      </c>
      <c r="Q3" s="5" t="s">
        <v>36</v>
      </c>
      <c r="R3" s="5" t="s">
        <v>37</v>
      </c>
      <c r="S3" s="5" t="s">
        <v>38</v>
      </c>
    </row>
    <row r="4">
      <c r="A4" s="5">
        <v>3.0</v>
      </c>
      <c r="B4" s="5" t="s">
        <v>40</v>
      </c>
      <c r="C4" s="5" t="s">
        <v>20</v>
      </c>
      <c r="D4" s="5">
        <v>5.0</v>
      </c>
      <c r="E4" s="5">
        <v>12000.0</v>
      </c>
      <c r="F4" s="5">
        <v>0.04</v>
      </c>
      <c r="G4" s="5">
        <v>1.04</v>
      </c>
      <c r="H4" s="5" t="s">
        <v>41</v>
      </c>
      <c r="I4" s="9">
        <v>46149.25739583333</v>
      </c>
      <c r="J4" s="5" t="s">
        <v>22</v>
      </c>
      <c r="K4" s="5">
        <v>13000.0</v>
      </c>
      <c r="L4" s="5">
        <v>150.0</v>
      </c>
      <c r="M4" s="5">
        <v>1300.0</v>
      </c>
      <c r="N4" s="8">
        <v>42249.0</v>
      </c>
      <c r="O4" s="5" t="s">
        <v>24</v>
      </c>
      <c r="P4" s="5" t="s">
        <v>25</v>
      </c>
      <c r="Q4" s="5" t="s">
        <v>44</v>
      </c>
      <c r="R4" s="5" t="s">
        <v>45</v>
      </c>
      <c r="S4" s="5" t="s">
        <v>46</v>
      </c>
    </row>
    <row r="5">
      <c r="A5" s="5">
        <v>4.0</v>
      </c>
      <c r="B5" s="5" t="s">
        <v>47</v>
      </c>
      <c r="C5" s="5" t="s">
        <v>20</v>
      </c>
      <c r="D5" s="5">
        <v>34.0</v>
      </c>
      <c r="E5" s="5">
        <v>9600.0</v>
      </c>
      <c r="F5" s="5">
        <v>0.6</v>
      </c>
      <c r="G5" s="5">
        <v>1.01</v>
      </c>
      <c r="H5" s="5" t="s">
        <v>47</v>
      </c>
      <c r="I5" s="9">
        <v>46149.23415509259</v>
      </c>
      <c r="J5" s="5" t="s">
        <v>22</v>
      </c>
      <c r="K5" s="5">
        <v>32000.0</v>
      </c>
      <c r="L5" s="5">
        <v>15000.0</v>
      </c>
      <c r="M5" s="5">
        <v>16000.0</v>
      </c>
      <c r="N5" s="8">
        <v>42248.0</v>
      </c>
      <c r="O5" s="5" t="s">
        <v>50</v>
      </c>
      <c r="P5" s="5" t="s">
        <v>25</v>
      </c>
      <c r="Q5" s="5" t="s">
        <v>51</v>
      </c>
      <c r="R5" s="5" t="s">
        <v>53</v>
      </c>
      <c r="S5" s="5" t="s">
        <v>29</v>
      </c>
    </row>
    <row r="6">
      <c r="A6" s="5">
        <v>5.0</v>
      </c>
      <c r="B6" s="5" t="s">
        <v>54</v>
      </c>
      <c r="C6" s="5" t="s">
        <v>20</v>
      </c>
      <c r="D6" s="5">
        <v>0.0</v>
      </c>
      <c r="E6" s="5">
        <v>9400.0</v>
      </c>
      <c r="F6" s="5">
        <v>0.25</v>
      </c>
      <c r="G6" s="5">
        <v>1.06</v>
      </c>
      <c r="H6" s="5" t="s">
        <v>56</v>
      </c>
      <c r="I6" s="9">
        <v>46149.2334837963</v>
      </c>
      <c r="J6" s="5" t="s">
        <v>22</v>
      </c>
      <c r="K6" s="5">
        <v>9400.0</v>
      </c>
      <c r="L6" s="5">
        <v>5900.0</v>
      </c>
      <c r="M6" s="5">
        <v>6000.0</v>
      </c>
      <c r="N6" s="8">
        <v>42248.0</v>
      </c>
      <c r="O6" s="5" t="s">
        <v>24</v>
      </c>
      <c r="Q6" s="5" t="s">
        <v>58</v>
      </c>
      <c r="R6" s="5" t="s">
        <v>59</v>
      </c>
      <c r="S6" s="5" t="s">
        <v>60</v>
      </c>
    </row>
    <row r="7">
      <c r="A7" s="5">
        <v>6.0</v>
      </c>
      <c r="B7" s="5" t="s">
        <v>61</v>
      </c>
      <c r="C7" s="5" t="s">
        <v>20</v>
      </c>
      <c r="D7" s="5">
        <v>70.0</v>
      </c>
      <c r="E7" s="5">
        <v>6700.0</v>
      </c>
      <c r="F7" s="5">
        <v>1.6</v>
      </c>
      <c r="G7" s="5">
        <v>1.08</v>
      </c>
      <c r="H7" s="5" t="s">
        <v>61</v>
      </c>
      <c r="I7" s="9">
        <v>46149.25696759259</v>
      </c>
      <c r="J7" s="5" t="s">
        <v>63</v>
      </c>
      <c r="K7" s="5">
        <v>7100.0</v>
      </c>
      <c r="L7" s="5">
        <v>11000.0</v>
      </c>
      <c r="M7" s="5">
        <v>11000.0</v>
      </c>
      <c r="N7" s="8">
        <v>42254.0</v>
      </c>
      <c r="O7" s="5" t="s">
        <v>50</v>
      </c>
      <c r="P7" s="5" t="s">
        <v>25</v>
      </c>
      <c r="Q7" s="5" t="s">
        <v>66</v>
      </c>
      <c r="R7" s="5" t="s">
        <v>67</v>
      </c>
      <c r="S7" s="5" t="s">
        <v>38</v>
      </c>
    </row>
    <row r="8">
      <c r="A8" s="5">
        <v>7.0</v>
      </c>
      <c r="B8" s="5" t="s">
        <v>68</v>
      </c>
      <c r="C8" s="5" t="s">
        <v>20</v>
      </c>
      <c r="D8" s="5">
        <v>52.0</v>
      </c>
      <c r="E8" s="5">
        <v>4600.0</v>
      </c>
      <c r="F8" s="5">
        <v>5.0</v>
      </c>
      <c r="G8" s="5">
        <v>1.04</v>
      </c>
      <c r="H8" s="5" t="s">
        <v>19</v>
      </c>
      <c r="I8" s="9">
        <v>46149.2365162037</v>
      </c>
      <c r="J8" s="5" t="s">
        <v>22</v>
      </c>
      <c r="K8" s="5">
        <v>4600.0</v>
      </c>
      <c r="L8" s="5">
        <v>137000.0</v>
      </c>
      <c r="M8" s="5">
        <v>140000.0</v>
      </c>
      <c r="N8" s="8">
        <v>42305.0</v>
      </c>
      <c r="O8" s="5" t="s">
        <v>71</v>
      </c>
      <c r="P8" s="5" t="s">
        <v>25</v>
      </c>
      <c r="Q8" s="5" t="s">
        <v>73</v>
      </c>
      <c r="R8" s="5" t="s">
        <v>74</v>
      </c>
      <c r="S8" s="5" t="s">
        <v>75</v>
      </c>
    </row>
    <row r="9">
      <c r="A9" s="5">
        <v>8.0</v>
      </c>
      <c r="B9" s="5" t="s">
        <v>76</v>
      </c>
      <c r="C9" s="5" t="s">
        <v>20</v>
      </c>
      <c r="D9" s="5">
        <v>61.0</v>
      </c>
      <c r="E9" s="5">
        <v>4500.0</v>
      </c>
      <c r="F9" s="5">
        <v>7.0</v>
      </c>
      <c r="H9" s="5" t="s">
        <v>47</v>
      </c>
      <c r="I9" s="9">
        <v>46149.25616898148</v>
      </c>
      <c r="J9" s="5" t="s">
        <v>78</v>
      </c>
      <c r="K9" s="5">
        <v>4500.0</v>
      </c>
      <c r="L9" s="5">
        <v>15000.0</v>
      </c>
      <c r="M9" s="5">
        <v>16000.0</v>
      </c>
      <c r="N9" s="8">
        <v>42550.0</v>
      </c>
      <c r="O9" s="5" t="s">
        <v>80</v>
      </c>
      <c r="P9" s="5" t="s">
        <v>25</v>
      </c>
      <c r="Q9" s="5" t="s">
        <v>82</v>
      </c>
      <c r="R9" s="5" t="s">
        <v>83</v>
      </c>
      <c r="S9" s="5" t="s">
        <v>38</v>
      </c>
    </row>
    <row r="10">
      <c r="A10" s="5">
        <v>9.0</v>
      </c>
      <c r="B10" s="5" t="s">
        <v>97</v>
      </c>
      <c r="C10" s="5" t="s">
        <v>20</v>
      </c>
      <c r="D10" s="5">
        <v>55.0</v>
      </c>
      <c r="E10" s="5">
        <v>3700.0</v>
      </c>
      <c r="F10" s="5">
        <v>0.7</v>
      </c>
      <c r="H10" s="5" t="s">
        <v>41</v>
      </c>
      <c r="I10" s="9">
        <v>46149.25771990741</v>
      </c>
      <c r="J10" s="5" t="s">
        <v>99</v>
      </c>
      <c r="K10" s="5">
        <v>4100.0</v>
      </c>
      <c r="L10" s="5">
        <v>150.0</v>
      </c>
      <c r="M10" s="5">
        <v>1300.0</v>
      </c>
      <c r="N10" s="8">
        <v>43207.0</v>
      </c>
      <c r="O10" s="5" t="s">
        <v>100</v>
      </c>
      <c r="Q10" s="5" t="s">
        <v>101</v>
      </c>
      <c r="R10" s="5" t="s">
        <v>103</v>
      </c>
      <c r="S10" s="5" t="s">
        <v>104</v>
      </c>
    </row>
    <row r="11">
      <c r="A11" s="5">
        <v>10.0</v>
      </c>
      <c r="B11" s="5" t="s">
        <v>105</v>
      </c>
      <c r="C11" s="5" t="s">
        <v>20</v>
      </c>
      <c r="D11" s="5">
        <v>48.0</v>
      </c>
      <c r="E11" s="5">
        <v>3200.0</v>
      </c>
      <c r="F11" s="5">
        <v>0.6</v>
      </c>
      <c r="G11" s="5">
        <v>0.95</v>
      </c>
      <c r="H11" s="5" t="s">
        <v>30</v>
      </c>
      <c r="I11" s="9">
        <v>46149.24775462963</v>
      </c>
      <c r="J11" s="5" t="s">
        <v>22</v>
      </c>
      <c r="K11" s="5">
        <v>3300.0</v>
      </c>
      <c r="L11" s="5">
        <v>26000.0</v>
      </c>
      <c r="M11" s="5">
        <v>27000.0</v>
      </c>
      <c r="N11" s="8">
        <v>42283.0</v>
      </c>
      <c r="O11" s="5" t="s">
        <v>24</v>
      </c>
      <c r="P11" s="5" t="s">
        <v>25</v>
      </c>
      <c r="Q11" s="5" t="s">
        <v>109</v>
      </c>
      <c r="R11" s="5" t="s">
        <v>110</v>
      </c>
      <c r="S11" s="5" t="s">
        <v>38</v>
      </c>
    </row>
    <row r="12">
      <c r="A12" s="5">
        <v>11.0</v>
      </c>
      <c r="B12" s="5" t="s">
        <v>130</v>
      </c>
      <c r="C12" s="5" t="s">
        <v>20</v>
      </c>
      <c r="D12" s="5">
        <v>20.0</v>
      </c>
      <c r="E12" s="5">
        <v>2900.0</v>
      </c>
      <c r="F12" s="5">
        <v>0.03</v>
      </c>
      <c r="G12" s="5">
        <v>1.01</v>
      </c>
      <c r="H12" s="5" t="s">
        <v>130</v>
      </c>
      <c r="I12" s="9">
        <v>46149.23436342592</v>
      </c>
      <c r="J12" s="5" t="s">
        <v>136</v>
      </c>
      <c r="K12" s="5">
        <v>4200.0</v>
      </c>
      <c r="L12" s="5">
        <v>3700.0</v>
      </c>
      <c r="M12" s="5">
        <v>3800.0</v>
      </c>
      <c r="N12" s="8">
        <v>42771.0</v>
      </c>
      <c r="O12" s="5" t="s">
        <v>100</v>
      </c>
      <c r="P12" s="5" t="s">
        <v>25</v>
      </c>
      <c r="Q12" s="5" t="s">
        <v>142</v>
      </c>
      <c r="R12" s="5" t="s">
        <v>144</v>
      </c>
      <c r="S12" s="5" t="s">
        <v>145</v>
      </c>
    </row>
    <row r="13">
      <c r="A13" s="5">
        <v>12.0</v>
      </c>
      <c r="B13" s="5" t="s">
        <v>148</v>
      </c>
      <c r="C13" s="5" t="s">
        <v>20</v>
      </c>
      <c r="D13" s="5">
        <v>35.0</v>
      </c>
      <c r="E13" s="5">
        <v>2100.0</v>
      </c>
      <c r="H13" s="5" t="s">
        <v>148</v>
      </c>
      <c r="I13" s="9">
        <v>46058.00179398148</v>
      </c>
      <c r="J13" s="5" t="s">
        <v>151</v>
      </c>
      <c r="K13" s="5">
        <v>2400.0</v>
      </c>
      <c r="L13" s="5">
        <v>1500.0</v>
      </c>
      <c r="M13" s="5">
        <v>1800.0</v>
      </c>
      <c r="N13" s="8">
        <v>42792.0</v>
      </c>
      <c r="O13" s="5" t="s">
        <v>24</v>
      </c>
      <c r="P13" s="5" t="s">
        <v>25</v>
      </c>
      <c r="Q13" s="5" t="s">
        <v>156</v>
      </c>
      <c r="R13" s="5" t="s">
        <v>158</v>
      </c>
      <c r="S13" s="5" t="s">
        <v>38</v>
      </c>
    </row>
    <row r="14">
      <c r="A14" s="5">
        <v>13.0</v>
      </c>
      <c r="B14" s="5" t="s">
        <v>125</v>
      </c>
      <c r="C14" s="5" t="s">
        <v>20</v>
      </c>
      <c r="D14" s="5">
        <v>43.0</v>
      </c>
      <c r="E14" s="5">
        <v>1500.0</v>
      </c>
      <c r="F14" s="5">
        <v>0.6</v>
      </c>
      <c r="G14" s="5">
        <v>1.03</v>
      </c>
      <c r="H14" s="5" t="s">
        <v>47</v>
      </c>
      <c r="I14" s="9">
        <v>45989.0046875</v>
      </c>
      <c r="J14" s="5" t="s">
        <v>127</v>
      </c>
      <c r="K14" s="5">
        <v>1500.0</v>
      </c>
      <c r="L14" s="5">
        <v>21000.0</v>
      </c>
      <c r="M14" s="5">
        <v>21000.0</v>
      </c>
      <c r="N14" s="8">
        <v>42253.0</v>
      </c>
      <c r="O14" s="5" t="s">
        <v>129</v>
      </c>
      <c r="P14" s="5" t="s">
        <v>25</v>
      </c>
      <c r="Q14" s="5" t="s">
        <v>131</v>
      </c>
      <c r="R14" s="5" t="s">
        <v>133</v>
      </c>
      <c r="S14" s="5" t="s">
        <v>29</v>
      </c>
    </row>
    <row r="15">
      <c r="A15" s="5">
        <v>14.0</v>
      </c>
      <c r="B15" s="5" t="s">
        <v>134</v>
      </c>
      <c r="C15" s="5" t="s">
        <v>20</v>
      </c>
      <c r="D15" s="5">
        <v>75.0</v>
      </c>
      <c r="E15" s="5">
        <v>1400.0</v>
      </c>
      <c r="G15" s="5">
        <v>1.06</v>
      </c>
      <c r="H15" s="5" t="s">
        <v>61</v>
      </c>
      <c r="I15" s="9">
        <v>45896.80138888889</v>
      </c>
      <c r="J15" s="5" t="s">
        <v>137</v>
      </c>
      <c r="K15" s="5">
        <v>1400.0</v>
      </c>
      <c r="L15" s="5">
        <v>16000.0</v>
      </c>
      <c r="M15" s="5">
        <v>16000.0</v>
      </c>
      <c r="N15" s="8">
        <v>42310.0</v>
      </c>
      <c r="O15" s="5" t="s">
        <v>50</v>
      </c>
      <c r="P15" s="5" t="s">
        <v>25</v>
      </c>
      <c r="Q15" s="5" t="s">
        <v>139</v>
      </c>
      <c r="R15" s="5" t="s">
        <v>140</v>
      </c>
      <c r="S15" s="5" t="s">
        <v>38</v>
      </c>
    </row>
    <row r="16">
      <c r="A16" s="5">
        <v>15.0</v>
      </c>
      <c r="B16" s="5" t="s">
        <v>178</v>
      </c>
      <c r="C16" s="5" t="s">
        <v>20</v>
      </c>
      <c r="D16" s="5">
        <v>24.0</v>
      </c>
      <c r="E16" s="5">
        <v>1300.0</v>
      </c>
      <c r="H16" s="5" t="s">
        <v>130</v>
      </c>
      <c r="I16" s="9">
        <v>45893.83008101852</v>
      </c>
      <c r="J16" s="5" t="s">
        <v>127</v>
      </c>
      <c r="K16" s="5">
        <v>1300.0</v>
      </c>
      <c r="L16" s="5">
        <v>6300.0</v>
      </c>
      <c r="M16" s="5">
        <v>6700.0</v>
      </c>
      <c r="N16" s="8">
        <v>43616.0</v>
      </c>
      <c r="O16" s="5" t="s">
        <v>184</v>
      </c>
      <c r="P16" s="5" t="s">
        <v>25</v>
      </c>
      <c r="Q16" s="5" t="s">
        <v>187</v>
      </c>
      <c r="R16" s="5" t="s">
        <v>188</v>
      </c>
      <c r="S16" s="5" t="s">
        <v>118</v>
      </c>
    </row>
    <row r="17">
      <c r="A17" s="5">
        <v>16.0</v>
      </c>
      <c r="B17" s="5" t="s">
        <v>190</v>
      </c>
      <c r="C17" s="5" t="s">
        <v>20</v>
      </c>
      <c r="D17" s="5">
        <v>64.0</v>
      </c>
      <c r="E17" s="5">
        <v>1200.0</v>
      </c>
      <c r="G17" s="5">
        <v>0.96</v>
      </c>
      <c r="H17" s="5" t="s">
        <v>193</v>
      </c>
      <c r="I17" s="9">
        <v>45950.4350462963</v>
      </c>
      <c r="J17" s="5" t="s">
        <v>197</v>
      </c>
      <c r="K17" s="5">
        <v>1700.0</v>
      </c>
      <c r="L17" s="5">
        <v>6500.0</v>
      </c>
      <c r="M17" s="5">
        <v>6700.0</v>
      </c>
      <c r="N17" s="8">
        <v>42249.0</v>
      </c>
      <c r="O17" s="5" t="s">
        <v>24</v>
      </c>
      <c r="P17" s="5" t="s">
        <v>25</v>
      </c>
      <c r="Q17" s="5" t="s">
        <v>203</v>
      </c>
      <c r="R17" s="5" t="s">
        <v>204</v>
      </c>
      <c r="S17" s="5" t="s">
        <v>38</v>
      </c>
    </row>
    <row r="18">
      <c r="A18" s="5">
        <v>17.0</v>
      </c>
      <c r="B18" s="5" t="s">
        <v>143</v>
      </c>
      <c r="C18" s="5" t="s">
        <v>20</v>
      </c>
      <c r="D18" s="5">
        <v>57.0</v>
      </c>
      <c r="E18" s="5">
        <v>1000.0</v>
      </c>
      <c r="F18" s="5">
        <v>0.6</v>
      </c>
      <c r="G18" s="5">
        <v>1.28</v>
      </c>
      <c r="H18" s="5" t="s">
        <v>147</v>
      </c>
      <c r="I18" s="9">
        <v>45896.67324074074</v>
      </c>
      <c r="J18" s="5" t="s">
        <v>63</v>
      </c>
      <c r="K18" s="5">
        <v>1200.0</v>
      </c>
      <c r="L18" s="5">
        <v>5400.0</v>
      </c>
      <c r="M18" s="5">
        <v>6500.0</v>
      </c>
      <c r="N18" s="8">
        <v>42252.0</v>
      </c>
      <c r="O18" s="5" t="s">
        <v>24</v>
      </c>
      <c r="P18" s="5" t="s">
        <v>25</v>
      </c>
      <c r="Q18" s="5" t="s">
        <v>152</v>
      </c>
      <c r="R18" s="5" t="s">
        <v>155</v>
      </c>
      <c r="S18" s="5" t="s">
        <v>157</v>
      </c>
    </row>
    <row r="19">
      <c r="A19" s="5">
        <v>18.0</v>
      </c>
      <c r="B19" s="5" t="s">
        <v>160</v>
      </c>
      <c r="C19" s="5" t="s">
        <v>20</v>
      </c>
      <c r="D19" s="5">
        <v>27.0</v>
      </c>
      <c r="E19" s="5">
        <v>1000.0</v>
      </c>
      <c r="F19" s="5">
        <v>0.7</v>
      </c>
      <c r="H19" s="5" t="s">
        <v>30</v>
      </c>
      <c r="I19" s="9">
        <v>45905.90665509259</v>
      </c>
      <c r="J19" s="5" t="s">
        <v>127</v>
      </c>
      <c r="K19" s="5">
        <v>1500.0</v>
      </c>
      <c r="L19" s="5">
        <v>28000.0</v>
      </c>
      <c r="M19" s="5">
        <v>29000.0</v>
      </c>
      <c r="N19" s="8">
        <v>42671.0</v>
      </c>
      <c r="O19" s="5" t="s">
        <v>24</v>
      </c>
      <c r="P19" s="5" t="s">
        <v>25</v>
      </c>
      <c r="Q19" s="5" t="s">
        <v>166</v>
      </c>
      <c r="R19" s="5" t="s">
        <v>167</v>
      </c>
      <c r="S19" s="5" t="s">
        <v>38</v>
      </c>
    </row>
    <row r="20">
      <c r="A20" s="5">
        <v>19.0</v>
      </c>
      <c r="B20" s="5" t="s">
        <v>169</v>
      </c>
      <c r="C20" s="5" t="s">
        <v>20</v>
      </c>
      <c r="D20" s="5">
        <v>59.0</v>
      </c>
      <c r="E20" s="5">
        <v>1000.0</v>
      </c>
      <c r="F20" s="5">
        <v>0.6</v>
      </c>
      <c r="H20" s="5" t="s">
        <v>147</v>
      </c>
      <c r="I20" s="9">
        <v>45896.608460648145</v>
      </c>
      <c r="J20" s="5" t="s">
        <v>114</v>
      </c>
      <c r="K20" s="5">
        <v>1100.0</v>
      </c>
      <c r="L20" s="5">
        <v>5400.0</v>
      </c>
      <c r="M20" s="5">
        <v>6500.0</v>
      </c>
      <c r="N20" s="8">
        <v>42337.0</v>
      </c>
      <c r="O20" s="5" t="s">
        <v>50</v>
      </c>
      <c r="P20" s="5" t="s">
        <v>25</v>
      </c>
      <c r="Q20" s="5" t="s">
        <v>174</v>
      </c>
      <c r="R20" s="5" t="s">
        <v>175</v>
      </c>
      <c r="S20" s="5" t="s">
        <v>118</v>
      </c>
    </row>
    <row r="21">
      <c r="A21" s="5">
        <v>20.0</v>
      </c>
      <c r="B21" s="5" t="s">
        <v>177</v>
      </c>
      <c r="C21" s="5" t="s">
        <v>20</v>
      </c>
      <c r="D21" s="5">
        <v>73.0</v>
      </c>
      <c r="E21" s="5">
        <v>900.0</v>
      </c>
      <c r="F21" s="5">
        <v>3.0</v>
      </c>
      <c r="G21" s="5">
        <v>0.97</v>
      </c>
      <c r="H21" s="5" t="s">
        <v>19</v>
      </c>
      <c r="I21" s="9">
        <v>45897.236122685186</v>
      </c>
      <c r="J21" s="5" t="s">
        <v>22</v>
      </c>
      <c r="K21" s="5">
        <v>900.0</v>
      </c>
      <c r="L21" s="5">
        <v>210000.0</v>
      </c>
      <c r="M21" s="5">
        <v>214000.0</v>
      </c>
      <c r="N21" s="8">
        <v>42253.0</v>
      </c>
      <c r="O21" s="5" t="s">
        <v>100</v>
      </c>
      <c r="P21" s="5" t="s">
        <v>25</v>
      </c>
      <c r="Q21" s="5" t="s">
        <v>182</v>
      </c>
      <c r="R21" s="5" t="s">
        <v>183</v>
      </c>
      <c r="S21" s="5" t="s">
        <v>29</v>
      </c>
    </row>
    <row r="22">
      <c r="A22" s="5">
        <v>21.0</v>
      </c>
      <c r="B22" s="5" t="s">
        <v>196</v>
      </c>
      <c r="C22" s="5" t="s">
        <v>20</v>
      </c>
      <c r="E22" s="5">
        <v>800.0</v>
      </c>
      <c r="K22" s="5">
        <v>800.0</v>
      </c>
      <c r="N22" s="8">
        <v>42290.0</v>
      </c>
      <c r="O22" s="5" t="s">
        <v>80</v>
      </c>
      <c r="P22" s="5" t="s">
        <v>25</v>
      </c>
      <c r="Q22" s="5" t="s">
        <v>199</v>
      </c>
      <c r="R22" s="5" t="s">
        <v>200</v>
      </c>
      <c r="S22" s="5" t="s">
        <v>29</v>
      </c>
    </row>
    <row r="23">
      <c r="A23" s="5">
        <v>22.0</v>
      </c>
      <c r="B23" s="5" t="s">
        <v>210</v>
      </c>
      <c r="C23" s="5" t="s">
        <v>20</v>
      </c>
      <c r="E23" s="5">
        <v>800.0</v>
      </c>
      <c r="G23" s="5">
        <v>1.01</v>
      </c>
      <c r="K23" s="5">
        <v>800.0</v>
      </c>
      <c r="N23" s="8">
        <v>42249.0</v>
      </c>
      <c r="O23" s="5" t="s">
        <v>24</v>
      </c>
      <c r="P23" s="5" t="s">
        <v>25</v>
      </c>
      <c r="Q23" s="5" t="s">
        <v>213</v>
      </c>
      <c r="R23" s="5" t="s">
        <v>214</v>
      </c>
      <c r="S23" s="5" t="s">
        <v>38</v>
      </c>
    </row>
    <row r="24">
      <c r="A24" s="5">
        <v>23.0</v>
      </c>
      <c r="B24" s="5" t="s">
        <v>262</v>
      </c>
      <c r="C24" s="5" t="s">
        <v>20</v>
      </c>
      <c r="E24" s="5">
        <v>400.0</v>
      </c>
      <c r="K24" s="5">
        <v>450.0</v>
      </c>
      <c r="N24" s="8">
        <v>45191.0</v>
      </c>
      <c r="Q24" s="5" t="s">
        <v>265</v>
      </c>
      <c r="R24" s="5">
        <v>242.0</v>
      </c>
    </row>
    <row r="25">
      <c r="A25" s="5">
        <v>24.0</v>
      </c>
      <c r="B25" s="5" t="s">
        <v>216</v>
      </c>
      <c r="C25" s="5" t="s">
        <v>20</v>
      </c>
      <c r="D25" s="5">
        <v>39.0</v>
      </c>
      <c r="E25" s="5">
        <v>400.0</v>
      </c>
      <c r="F25" s="5">
        <v>0.6</v>
      </c>
      <c r="G25" s="5">
        <v>0.93</v>
      </c>
      <c r="H25" s="5" t="s">
        <v>19</v>
      </c>
      <c r="I25" s="9">
        <v>45897.38543981482</v>
      </c>
      <c r="J25" s="5" t="s">
        <v>78</v>
      </c>
      <c r="K25" s="5">
        <v>400.0</v>
      </c>
      <c r="L25" s="5">
        <v>210000.0</v>
      </c>
      <c r="M25" s="5">
        <v>214000.0</v>
      </c>
      <c r="N25" s="8">
        <v>42283.0</v>
      </c>
      <c r="O25" s="5" t="s">
        <v>24</v>
      </c>
      <c r="P25" s="5" t="s">
        <v>25</v>
      </c>
      <c r="Q25" s="5" t="s">
        <v>220</v>
      </c>
      <c r="R25" s="5" t="s">
        <v>221</v>
      </c>
      <c r="S25" s="5" t="s">
        <v>38</v>
      </c>
    </row>
    <row r="26">
      <c r="A26" s="5">
        <v>25.0</v>
      </c>
      <c r="B26" s="5" t="s">
        <v>223</v>
      </c>
      <c r="C26" s="5" t="s">
        <v>20</v>
      </c>
      <c r="D26" s="5">
        <v>75.0</v>
      </c>
      <c r="E26" s="5">
        <v>400.0</v>
      </c>
      <c r="F26" s="5">
        <v>0.6</v>
      </c>
      <c r="H26" s="5" t="s">
        <v>147</v>
      </c>
      <c r="I26" s="9">
        <v>45887.41909722222</v>
      </c>
      <c r="J26" s="5" t="s">
        <v>151</v>
      </c>
      <c r="K26" s="5">
        <v>400.0</v>
      </c>
      <c r="L26" s="5">
        <v>5100.0</v>
      </c>
      <c r="M26" s="5">
        <v>6300.0</v>
      </c>
      <c r="N26" s="8">
        <v>42256.0</v>
      </c>
      <c r="O26" s="5" t="s">
        <v>24</v>
      </c>
      <c r="P26" s="5" t="s">
        <v>25</v>
      </c>
      <c r="Q26" s="5" t="s">
        <v>226</v>
      </c>
      <c r="R26" s="5" t="s">
        <v>227</v>
      </c>
      <c r="S26" s="5" t="s">
        <v>118</v>
      </c>
    </row>
    <row r="27">
      <c r="A27" s="5">
        <v>26.0</v>
      </c>
      <c r="B27" s="5" t="s">
        <v>282</v>
      </c>
      <c r="C27" s="5" t="s">
        <v>20</v>
      </c>
      <c r="D27" s="5">
        <v>18.0</v>
      </c>
      <c r="E27" s="5">
        <v>350.0</v>
      </c>
      <c r="H27" s="5" t="s">
        <v>148</v>
      </c>
      <c r="I27" s="9">
        <v>46082.88240740741</v>
      </c>
      <c r="J27" s="5" t="s">
        <v>151</v>
      </c>
      <c r="K27" s="5">
        <v>350.0</v>
      </c>
      <c r="L27" s="5">
        <v>150.0</v>
      </c>
      <c r="M27" s="5">
        <v>200.0</v>
      </c>
      <c r="N27" s="8">
        <v>42790.0</v>
      </c>
      <c r="O27" s="5" t="s">
        <v>100</v>
      </c>
      <c r="P27" s="5" t="s">
        <v>25</v>
      </c>
      <c r="Q27" s="5" t="s">
        <v>290</v>
      </c>
      <c r="R27" s="5">
        <v>709.0</v>
      </c>
      <c r="S27" s="5" t="s">
        <v>292</v>
      </c>
    </row>
    <row r="28">
      <c r="A28" s="5">
        <v>27.0</v>
      </c>
      <c r="B28" s="5" t="s">
        <v>294</v>
      </c>
      <c r="C28" s="5" t="s">
        <v>20</v>
      </c>
      <c r="D28" s="5">
        <v>55.0</v>
      </c>
      <c r="E28" s="5">
        <v>250.0</v>
      </c>
      <c r="H28" s="5" t="s">
        <v>130</v>
      </c>
      <c r="I28" s="9">
        <v>45911.18475694444</v>
      </c>
      <c r="J28" s="5" t="s">
        <v>297</v>
      </c>
      <c r="K28" s="5">
        <v>250.0</v>
      </c>
      <c r="L28" s="5">
        <v>6200.0</v>
      </c>
      <c r="M28" s="5">
        <v>6600.0</v>
      </c>
      <c r="N28" s="8">
        <v>43362.0</v>
      </c>
      <c r="O28" s="5" t="s">
        <v>80</v>
      </c>
      <c r="P28" s="5" t="s">
        <v>25</v>
      </c>
      <c r="Q28" s="5" t="s">
        <v>307</v>
      </c>
      <c r="R28" s="5" t="s">
        <v>308</v>
      </c>
      <c r="S28" s="5" t="s">
        <v>38</v>
      </c>
    </row>
    <row r="29">
      <c r="A29" s="5">
        <v>28.0</v>
      </c>
      <c r="B29" s="5" t="s">
        <v>252</v>
      </c>
      <c r="C29" s="5" t="s">
        <v>20</v>
      </c>
      <c r="D29" s="5">
        <v>2.0</v>
      </c>
      <c r="E29" s="5">
        <v>200.0</v>
      </c>
      <c r="H29" s="5" t="s">
        <v>19</v>
      </c>
      <c r="I29" s="9">
        <v>45938.00324074074</v>
      </c>
      <c r="J29" s="5" t="s">
        <v>254</v>
      </c>
      <c r="K29" s="5">
        <v>250.0</v>
      </c>
      <c r="L29" s="5">
        <v>179000.0</v>
      </c>
      <c r="M29" s="5">
        <v>183000.0</v>
      </c>
      <c r="N29" s="8">
        <v>42938.0</v>
      </c>
      <c r="O29" s="5" t="s">
        <v>184</v>
      </c>
      <c r="P29" s="5" t="s">
        <v>25</v>
      </c>
      <c r="Q29" s="5" t="s">
        <v>256</v>
      </c>
      <c r="R29" s="5" t="s">
        <v>258</v>
      </c>
      <c r="S29" s="5" t="s">
        <v>29</v>
      </c>
    </row>
    <row r="30">
      <c r="A30" s="5">
        <v>29.0</v>
      </c>
      <c r="B30" s="5" t="s">
        <v>269</v>
      </c>
      <c r="C30" s="5" t="s">
        <v>20</v>
      </c>
      <c r="E30" s="5">
        <v>200.0</v>
      </c>
      <c r="K30" s="5">
        <v>200.0</v>
      </c>
      <c r="N30" s="8">
        <v>43958.0</v>
      </c>
      <c r="O30" s="5" t="s">
        <v>184</v>
      </c>
      <c r="P30" s="5" t="s">
        <v>25</v>
      </c>
      <c r="S30" s="5" t="s">
        <v>118</v>
      </c>
    </row>
    <row r="31">
      <c r="A31" s="5">
        <v>30.0</v>
      </c>
      <c r="B31" s="5" t="s">
        <v>291</v>
      </c>
      <c r="C31" s="5" t="s">
        <v>20</v>
      </c>
      <c r="D31" s="5">
        <v>41.0</v>
      </c>
      <c r="E31" s="5">
        <v>150.0</v>
      </c>
      <c r="G31" s="5">
        <v>0.95</v>
      </c>
      <c r="H31" s="5" t="s">
        <v>47</v>
      </c>
      <c r="I31" s="9">
        <v>46123.82780092592</v>
      </c>
      <c r="J31" s="5" t="s">
        <v>22</v>
      </c>
      <c r="K31" s="5">
        <v>150.0</v>
      </c>
      <c r="L31" s="5">
        <v>16000.0</v>
      </c>
      <c r="M31" s="5">
        <v>16000.0</v>
      </c>
      <c r="N31" s="8">
        <v>42256.0</v>
      </c>
      <c r="O31" s="5" t="s">
        <v>80</v>
      </c>
      <c r="P31" s="5" t="s">
        <v>25</v>
      </c>
      <c r="S31" s="5" t="s">
        <v>29</v>
      </c>
    </row>
    <row r="32">
      <c r="A32" s="5">
        <v>31.0</v>
      </c>
      <c r="B32" s="5" t="s">
        <v>303</v>
      </c>
      <c r="C32" s="5" t="s">
        <v>20</v>
      </c>
      <c r="E32" s="5">
        <v>150.0</v>
      </c>
      <c r="K32" s="5">
        <v>150.0</v>
      </c>
      <c r="N32" s="8">
        <v>42507.0</v>
      </c>
    </row>
    <row r="33">
      <c r="A33" s="5">
        <v>32.0</v>
      </c>
      <c r="B33" s="5" t="s">
        <v>310</v>
      </c>
      <c r="C33" s="5" t="s">
        <v>20</v>
      </c>
      <c r="D33" s="5">
        <v>22.0</v>
      </c>
      <c r="E33" s="5">
        <v>100.0</v>
      </c>
      <c r="H33" s="5" t="s">
        <v>19</v>
      </c>
      <c r="I33" s="9">
        <v>46163.15893518519</v>
      </c>
      <c r="J33" s="5" t="s">
        <v>78</v>
      </c>
      <c r="K33" s="5">
        <v>100.0</v>
      </c>
      <c r="L33" s="5">
        <v>131000.0</v>
      </c>
      <c r="M33" s="5">
        <v>135000.0</v>
      </c>
      <c r="N33" s="8">
        <v>42469.0</v>
      </c>
      <c r="O33" s="5" t="s">
        <v>184</v>
      </c>
      <c r="P33" s="5" t="s">
        <v>25</v>
      </c>
      <c r="Q33" s="5" t="s">
        <v>314</v>
      </c>
      <c r="R33" s="5" t="s">
        <v>315</v>
      </c>
      <c r="S33" s="5" t="s">
        <v>38</v>
      </c>
    </row>
    <row r="34">
      <c r="A34" s="5">
        <v>33.0</v>
      </c>
      <c r="B34" s="5" t="s">
        <v>316</v>
      </c>
      <c r="C34" s="5" t="s">
        <v>20</v>
      </c>
      <c r="D34" s="5">
        <v>24.0</v>
      </c>
      <c r="E34" s="5">
        <v>100.0</v>
      </c>
      <c r="G34" s="5">
        <v>1.02</v>
      </c>
      <c r="H34" s="5" t="s">
        <v>19</v>
      </c>
      <c r="I34" s="9">
        <v>46090.056967592594</v>
      </c>
      <c r="J34" s="5" t="s">
        <v>319</v>
      </c>
      <c r="K34" s="5">
        <v>250.0</v>
      </c>
      <c r="L34" s="5">
        <v>145000.0</v>
      </c>
      <c r="M34" s="5">
        <v>149000.0</v>
      </c>
      <c r="N34" s="8">
        <v>42284.0</v>
      </c>
      <c r="O34" s="5" t="s">
        <v>184</v>
      </c>
      <c r="P34" s="5" t="s">
        <v>25</v>
      </c>
      <c r="Q34" s="5" t="s">
        <v>321</v>
      </c>
      <c r="R34" s="5" t="s">
        <v>322</v>
      </c>
      <c r="S34" s="5" t="s">
        <v>29</v>
      </c>
    </row>
    <row r="35">
      <c r="A35" s="5">
        <v>34.0</v>
      </c>
      <c r="B35" s="5" t="s">
        <v>41</v>
      </c>
      <c r="C35" s="5" t="s">
        <v>20</v>
      </c>
      <c r="D35" s="5">
        <v>64.0</v>
      </c>
      <c r="E35" s="5">
        <v>100.0</v>
      </c>
      <c r="F35" s="5">
        <v>1.4</v>
      </c>
      <c r="H35" s="5" t="s">
        <v>40</v>
      </c>
      <c r="I35" s="9">
        <v>46162.07782407408</v>
      </c>
      <c r="J35" s="5" t="s">
        <v>78</v>
      </c>
      <c r="K35" s="5">
        <v>100.0</v>
      </c>
      <c r="L35" s="5">
        <v>17000.0</v>
      </c>
      <c r="M35" s="5">
        <v>19000.0</v>
      </c>
      <c r="N35" s="8">
        <v>42504.0</v>
      </c>
      <c r="O35" s="5" t="s">
        <v>24</v>
      </c>
      <c r="P35" s="5" t="s">
        <v>25</v>
      </c>
      <c r="S35" s="5" t="s">
        <v>118</v>
      </c>
    </row>
    <row r="36">
      <c r="A36" s="5">
        <v>35.0</v>
      </c>
      <c r="B36" s="5" t="s">
        <v>365</v>
      </c>
      <c r="C36" s="5" t="s">
        <v>20</v>
      </c>
      <c r="D36" s="5">
        <v>16.0</v>
      </c>
      <c r="E36" s="5">
        <v>90.0</v>
      </c>
      <c r="H36" s="5" t="s">
        <v>148</v>
      </c>
      <c r="I36" s="9">
        <v>46142.77353009259</v>
      </c>
      <c r="J36" s="5" t="s">
        <v>78</v>
      </c>
      <c r="K36" s="5">
        <v>300.0</v>
      </c>
      <c r="L36" s="5">
        <v>900.0</v>
      </c>
      <c r="M36" s="5">
        <v>1200.0</v>
      </c>
      <c r="N36" s="8">
        <v>43289.0</v>
      </c>
      <c r="O36" s="5" t="s">
        <v>24</v>
      </c>
      <c r="P36" s="5" t="s">
        <v>25</v>
      </c>
      <c r="S36" s="5" t="s">
        <v>38</v>
      </c>
    </row>
    <row r="37">
      <c r="A37" s="5">
        <v>36.0</v>
      </c>
      <c r="B37" s="5" t="s">
        <v>370</v>
      </c>
      <c r="C37" s="5" t="s">
        <v>20</v>
      </c>
      <c r="E37" s="5">
        <v>80.0</v>
      </c>
      <c r="F37" s="5">
        <v>0.4</v>
      </c>
      <c r="K37" s="5">
        <v>80.0</v>
      </c>
      <c r="N37" s="8">
        <v>42824.0</v>
      </c>
      <c r="O37" s="5" t="s">
        <v>24</v>
      </c>
      <c r="P37" s="5" t="s">
        <v>25</v>
      </c>
      <c r="S37" s="5" t="s">
        <v>292</v>
      </c>
    </row>
    <row r="38">
      <c r="A38" s="5">
        <v>37.0</v>
      </c>
      <c r="B38" s="5" t="s">
        <v>377</v>
      </c>
      <c r="C38" s="5" t="s">
        <v>20</v>
      </c>
      <c r="D38" s="5">
        <v>0.0</v>
      </c>
      <c r="E38" s="5">
        <v>80.0</v>
      </c>
      <c r="H38" s="5" t="s">
        <v>130</v>
      </c>
      <c r="I38" s="9">
        <v>46146.607141203705</v>
      </c>
      <c r="J38" s="5" t="s">
        <v>151</v>
      </c>
      <c r="K38" s="5">
        <v>80.0</v>
      </c>
      <c r="L38" s="5">
        <v>3700.0</v>
      </c>
      <c r="M38" s="5">
        <v>3800.0</v>
      </c>
      <c r="N38" s="8">
        <v>42911.0</v>
      </c>
      <c r="O38" s="5" t="s">
        <v>184</v>
      </c>
      <c r="P38" s="5" t="s">
        <v>25</v>
      </c>
      <c r="S38" s="5" t="s">
        <v>383</v>
      </c>
    </row>
    <row r="39">
      <c r="A39" s="5">
        <v>38.0</v>
      </c>
      <c r="B39" s="5" t="s">
        <v>348</v>
      </c>
      <c r="C39" s="5" t="s">
        <v>20</v>
      </c>
      <c r="D39" s="5">
        <v>54.0</v>
      </c>
      <c r="E39" s="5">
        <v>80.0</v>
      </c>
      <c r="H39" s="5" t="s">
        <v>30</v>
      </c>
      <c r="I39" s="9">
        <v>46161.75342592593</v>
      </c>
      <c r="J39" s="5" t="s">
        <v>22</v>
      </c>
      <c r="K39" s="5">
        <v>90.0</v>
      </c>
      <c r="L39" s="5">
        <v>26000.0</v>
      </c>
      <c r="M39" s="5">
        <v>27000.0</v>
      </c>
      <c r="N39" s="8">
        <v>42309.0</v>
      </c>
      <c r="O39" s="5" t="s">
        <v>24</v>
      </c>
      <c r="P39" s="5" t="s">
        <v>25</v>
      </c>
      <c r="S39" s="5" t="s">
        <v>38</v>
      </c>
    </row>
    <row r="40">
      <c r="A40" s="5">
        <v>39.0</v>
      </c>
      <c r="B40" s="5" t="s">
        <v>372</v>
      </c>
      <c r="C40" s="5" t="s">
        <v>20</v>
      </c>
      <c r="E40" s="5">
        <v>70.0</v>
      </c>
      <c r="K40" s="5">
        <v>70.0</v>
      </c>
      <c r="N40" s="8">
        <v>42522.0</v>
      </c>
    </row>
    <row r="41">
      <c r="A41" s="5">
        <v>40.0</v>
      </c>
      <c r="B41" s="5" t="s">
        <v>374</v>
      </c>
      <c r="C41" s="5" t="s">
        <v>20</v>
      </c>
      <c r="D41" s="5">
        <v>55.0</v>
      </c>
      <c r="E41" s="5">
        <v>70.0</v>
      </c>
      <c r="H41" s="5" t="s">
        <v>61</v>
      </c>
      <c r="I41" s="9">
        <v>46145.49365740741</v>
      </c>
      <c r="J41" s="5" t="s">
        <v>206</v>
      </c>
      <c r="K41" s="5">
        <v>90.0</v>
      </c>
      <c r="L41" s="5">
        <v>11000.0</v>
      </c>
      <c r="M41" s="5">
        <v>11000.0</v>
      </c>
      <c r="N41" s="8">
        <v>42305.0</v>
      </c>
      <c r="O41" s="5" t="s">
        <v>50</v>
      </c>
      <c r="P41" s="5" t="s">
        <v>25</v>
      </c>
      <c r="S41" s="5" t="s">
        <v>38</v>
      </c>
    </row>
    <row r="42">
      <c r="A42" s="5">
        <v>41.0</v>
      </c>
      <c r="B42" s="5" t="s">
        <v>381</v>
      </c>
      <c r="C42" s="5" t="s">
        <v>20</v>
      </c>
      <c r="D42" s="5">
        <v>66.0</v>
      </c>
      <c r="E42" s="5">
        <v>70.0</v>
      </c>
      <c r="F42" s="5">
        <v>0.1</v>
      </c>
      <c r="H42" s="5" t="s">
        <v>147</v>
      </c>
      <c r="I42" s="9">
        <v>46147.08127314815</v>
      </c>
      <c r="K42" s="5">
        <v>70.0</v>
      </c>
      <c r="L42" s="5">
        <v>600.0</v>
      </c>
      <c r="M42" s="5">
        <v>600.0</v>
      </c>
      <c r="N42" s="8">
        <v>42514.0</v>
      </c>
      <c r="O42" s="5" t="s">
        <v>24</v>
      </c>
      <c r="P42" s="5" t="s">
        <v>25</v>
      </c>
      <c r="Q42" s="5" t="s">
        <v>385</v>
      </c>
      <c r="R42" s="5" t="s">
        <v>387</v>
      </c>
      <c r="S42" s="5" t="s">
        <v>118</v>
      </c>
    </row>
    <row r="43">
      <c r="A43" s="5">
        <v>42.0</v>
      </c>
      <c r="B43" s="5" t="s">
        <v>411</v>
      </c>
      <c r="C43" s="5" t="s">
        <v>20</v>
      </c>
      <c r="D43" s="5">
        <v>63.0</v>
      </c>
      <c r="E43" s="5">
        <v>70.0</v>
      </c>
      <c r="F43" s="5">
        <v>0.8</v>
      </c>
      <c r="H43" s="5" t="s">
        <v>130</v>
      </c>
      <c r="I43" s="9">
        <v>46126.6094212963</v>
      </c>
      <c r="J43" s="5" t="s">
        <v>151</v>
      </c>
      <c r="K43" s="5">
        <v>70.0</v>
      </c>
      <c r="L43" s="5">
        <v>3600.0</v>
      </c>
      <c r="M43" s="5">
        <v>3700.0</v>
      </c>
      <c r="N43" s="8">
        <v>43408.0</v>
      </c>
      <c r="O43" s="5" t="s">
        <v>24</v>
      </c>
      <c r="P43" s="5" t="s">
        <v>25</v>
      </c>
      <c r="S43" s="5" t="s">
        <v>104</v>
      </c>
    </row>
    <row r="44">
      <c r="A44" s="5">
        <v>43.0</v>
      </c>
      <c r="B44" s="5" t="s">
        <v>404</v>
      </c>
      <c r="C44" s="5" t="s">
        <v>20</v>
      </c>
      <c r="D44" s="5">
        <v>0.0</v>
      </c>
      <c r="E44" s="5">
        <v>60.0</v>
      </c>
      <c r="G44" s="5">
        <v>1.02</v>
      </c>
      <c r="H44" s="5" t="s">
        <v>19</v>
      </c>
      <c r="I44" s="9">
        <v>46155.48082175926</v>
      </c>
      <c r="J44" s="5" t="s">
        <v>78</v>
      </c>
      <c r="K44" s="5">
        <v>70.0</v>
      </c>
      <c r="L44" s="5">
        <v>131000.0</v>
      </c>
      <c r="M44" s="5">
        <v>135000.0</v>
      </c>
      <c r="N44" s="8">
        <v>42279.0</v>
      </c>
      <c r="O44" s="5" t="s">
        <v>24</v>
      </c>
      <c r="P44" s="5" t="s">
        <v>25</v>
      </c>
      <c r="Q44" s="5" t="s">
        <v>408</v>
      </c>
      <c r="R44" s="5">
        <v>94.0</v>
      </c>
      <c r="S44" s="5" t="s">
        <v>29</v>
      </c>
    </row>
    <row r="45">
      <c r="A45" s="5">
        <v>44.0</v>
      </c>
      <c r="B45" s="5" t="s">
        <v>425</v>
      </c>
      <c r="C45" s="5" t="s">
        <v>20</v>
      </c>
      <c r="D45" s="5">
        <v>0.0</v>
      </c>
      <c r="E45" s="5">
        <v>60.0</v>
      </c>
      <c r="G45" s="5">
        <v>0.73</v>
      </c>
      <c r="H45" s="5" t="s">
        <v>56</v>
      </c>
      <c r="I45" s="9">
        <v>46143.54240740741</v>
      </c>
      <c r="J45" s="5" t="s">
        <v>429</v>
      </c>
      <c r="K45" s="5">
        <v>80.0</v>
      </c>
      <c r="L45" s="5">
        <v>5800.0</v>
      </c>
      <c r="M45" s="5">
        <v>6000.0</v>
      </c>
      <c r="N45" s="8">
        <v>42248.0</v>
      </c>
      <c r="O45" s="5" t="s">
        <v>432</v>
      </c>
      <c r="P45" s="5" t="s">
        <v>25</v>
      </c>
      <c r="S45" s="5" t="s">
        <v>434</v>
      </c>
    </row>
    <row r="46">
      <c r="A46" s="5">
        <v>45.0</v>
      </c>
      <c r="B46" s="5" t="s">
        <v>436</v>
      </c>
      <c r="C46" s="5" t="s">
        <v>20</v>
      </c>
      <c r="D46" s="5">
        <v>1.0</v>
      </c>
      <c r="E46" s="5">
        <v>50.0</v>
      </c>
      <c r="G46" s="5">
        <v>0.66</v>
      </c>
      <c r="H46" s="5" t="s">
        <v>105</v>
      </c>
      <c r="I46" s="9">
        <v>46161.0391087963</v>
      </c>
      <c r="J46" s="5" t="s">
        <v>206</v>
      </c>
      <c r="K46" s="5">
        <v>50.0</v>
      </c>
      <c r="L46" s="5">
        <v>10.0</v>
      </c>
      <c r="M46" s="5">
        <v>10.0</v>
      </c>
      <c r="N46" s="8">
        <v>42278.0</v>
      </c>
      <c r="O46" s="5" t="s">
        <v>184</v>
      </c>
      <c r="P46" s="5" t="s">
        <v>25</v>
      </c>
      <c r="Q46" s="5" t="s">
        <v>444</v>
      </c>
      <c r="R46" s="5">
        <v>62.0</v>
      </c>
      <c r="S46" s="5" t="s">
        <v>38</v>
      </c>
    </row>
    <row r="47">
      <c r="A47" s="5">
        <v>46.0</v>
      </c>
      <c r="B47" s="5" t="s">
        <v>446</v>
      </c>
      <c r="C47" s="5" t="s">
        <v>20</v>
      </c>
      <c r="D47" s="5">
        <v>3.0</v>
      </c>
      <c r="E47" s="5">
        <v>50.0</v>
      </c>
      <c r="G47" s="5">
        <v>1.04</v>
      </c>
      <c r="H47" s="5" t="s">
        <v>449</v>
      </c>
      <c r="I47" s="9">
        <v>46122.60337962963</v>
      </c>
      <c r="J47" s="5" t="s">
        <v>346</v>
      </c>
      <c r="K47" s="5">
        <v>60.0</v>
      </c>
      <c r="L47" s="5">
        <v>10.0</v>
      </c>
      <c r="M47" s="5">
        <v>20.0</v>
      </c>
      <c r="N47" s="8">
        <v>42289.0</v>
      </c>
      <c r="O47" s="5" t="s">
        <v>24</v>
      </c>
      <c r="P47" s="5" t="s">
        <v>25</v>
      </c>
      <c r="S47" s="5" t="s">
        <v>38</v>
      </c>
    </row>
    <row r="48">
      <c r="A48" s="5">
        <v>47.0</v>
      </c>
      <c r="B48" s="5" t="s">
        <v>450</v>
      </c>
      <c r="C48" s="5" t="s">
        <v>20</v>
      </c>
      <c r="D48" s="5">
        <v>0.0</v>
      </c>
      <c r="E48" s="5">
        <v>50.0</v>
      </c>
      <c r="F48" s="5">
        <v>5.0</v>
      </c>
      <c r="H48" s="5" t="s">
        <v>40</v>
      </c>
      <c r="I48" s="9">
        <v>46126.87116898148</v>
      </c>
      <c r="J48" s="5" t="s">
        <v>243</v>
      </c>
      <c r="K48" s="5">
        <v>50.0</v>
      </c>
      <c r="L48" s="5">
        <v>20000.0</v>
      </c>
      <c r="M48" s="5">
        <v>22000.0</v>
      </c>
      <c r="N48" s="8">
        <v>42352.0</v>
      </c>
      <c r="O48" s="5" t="s">
        <v>184</v>
      </c>
      <c r="P48" s="5" t="s">
        <v>25</v>
      </c>
      <c r="S48" s="5" t="s">
        <v>29</v>
      </c>
    </row>
    <row r="49">
      <c r="A49" s="5">
        <v>48.0</v>
      </c>
      <c r="B49" s="5" t="s">
        <v>454</v>
      </c>
      <c r="C49" s="5" t="s">
        <v>20</v>
      </c>
      <c r="D49" s="5">
        <v>0.0</v>
      </c>
      <c r="E49" s="5">
        <v>50.0</v>
      </c>
      <c r="H49" s="5" t="s">
        <v>47</v>
      </c>
      <c r="I49" s="9">
        <v>46141.674259259256</v>
      </c>
      <c r="J49" s="5" t="s">
        <v>151</v>
      </c>
      <c r="K49" s="5">
        <v>50.0</v>
      </c>
      <c r="L49" s="5">
        <v>15000.0</v>
      </c>
      <c r="M49" s="5">
        <v>16000.0</v>
      </c>
      <c r="N49" s="8">
        <v>42336.0</v>
      </c>
      <c r="O49" s="5" t="s">
        <v>184</v>
      </c>
      <c r="P49" s="5" t="s">
        <v>25</v>
      </c>
      <c r="S49" s="5" t="s">
        <v>38</v>
      </c>
    </row>
    <row r="50">
      <c r="A50" s="5">
        <v>49.0</v>
      </c>
      <c r="B50" s="5" t="s">
        <v>458</v>
      </c>
      <c r="C50" s="5" t="s">
        <v>20</v>
      </c>
      <c r="D50" s="5">
        <v>11.0</v>
      </c>
      <c r="E50" s="5">
        <v>50.0</v>
      </c>
      <c r="F50" s="5">
        <v>8.0</v>
      </c>
      <c r="G50" s="5">
        <v>1.15</v>
      </c>
      <c r="H50" s="5" t="s">
        <v>40</v>
      </c>
      <c r="I50" s="9">
        <v>46118.25922453704</v>
      </c>
      <c r="J50" s="5" t="s">
        <v>151</v>
      </c>
      <c r="K50" s="5">
        <v>50.0</v>
      </c>
      <c r="L50" s="5">
        <v>20000.0</v>
      </c>
      <c r="M50" s="5">
        <v>21000.0</v>
      </c>
      <c r="N50" s="8">
        <v>42346.0</v>
      </c>
      <c r="O50" s="5" t="s">
        <v>80</v>
      </c>
      <c r="P50" s="5" t="s">
        <v>25</v>
      </c>
      <c r="S50" s="5" t="s">
        <v>29</v>
      </c>
    </row>
    <row r="51">
      <c r="A51" s="5">
        <v>50.0</v>
      </c>
      <c r="B51" s="5" t="s">
        <v>460</v>
      </c>
      <c r="C51" s="5" t="s">
        <v>20</v>
      </c>
      <c r="D51" s="5">
        <v>0.0</v>
      </c>
      <c r="E51" s="5">
        <v>30.0</v>
      </c>
      <c r="H51" s="5" t="s">
        <v>461</v>
      </c>
      <c r="I51" s="9">
        <v>46132.077418981484</v>
      </c>
      <c r="J51" s="5" t="s">
        <v>78</v>
      </c>
      <c r="K51" s="5">
        <v>30.0</v>
      </c>
      <c r="L51" s="5">
        <v>100.0</v>
      </c>
      <c r="M51" s="5">
        <v>250.0</v>
      </c>
      <c r="N51" s="8">
        <v>44648.0</v>
      </c>
      <c r="O51" s="5" t="s">
        <v>184</v>
      </c>
      <c r="P51" s="5" t="s">
        <v>25</v>
      </c>
      <c r="S51" s="5" t="s">
        <v>29</v>
      </c>
    </row>
    <row r="52">
      <c r="A52" s="5">
        <v>51.0</v>
      </c>
      <c r="B52" s="5" t="s">
        <v>463</v>
      </c>
      <c r="C52" s="5" t="s">
        <v>20</v>
      </c>
      <c r="D52" s="5">
        <v>2.0</v>
      </c>
      <c r="E52" s="5">
        <v>30.0</v>
      </c>
      <c r="F52" s="5">
        <v>1.0</v>
      </c>
      <c r="H52" s="5" t="s">
        <v>19</v>
      </c>
      <c r="I52" s="9">
        <v>46149.05769675926</v>
      </c>
      <c r="J52" s="5" t="s">
        <v>151</v>
      </c>
      <c r="K52" s="5">
        <v>30.0</v>
      </c>
      <c r="L52" s="5">
        <v>137000.0</v>
      </c>
      <c r="M52" s="5">
        <v>140000.0</v>
      </c>
      <c r="N52" s="8">
        <v>42276.0</v>
      </c>
      <c r="O52" s="5" t="s">
        <v>464</v>
      </c>
      <c r="P52" s="5" t="s">
        <v>25</v>
      </c>
      <c r="S52" s="5" t="s">
        <v>29</v>
      </c>
    </row>
    <row r="53">
      <c r="A53" s="5">
        <v>52.0</v>
      </c>
      <c r="B53" s="5" t="s">
        <v>466</v>
      </c>
      <c r="C53" s="5" t="s">
        <v>20</v>
      </c>
      <c r="E53" s="5">
        <v>20.0</v>
      </c>
      <c r="K53" s="5">
        <v>30.0</v>
      </c>
      <c r="N53" s="8">
        <v>42455.0</v>
      </c>
      <c r="O53" s="5" t="s">
        <v>184</v>
      </c>
      <c r="P53" s="5" t="s">
        <v>25</v>
      </c>
      <c r="S53" s="5" t="s">
        <v>38</v>
      </c>
    </row>
    <row r="54">
      <c r="A54" s="5">
        <v>53.0</v>
      </c>
      <c r="B54" s="5" t="s">
        <v>468</v>
      </c>
      <c r="C54" s="5" t="s">
        <v>20</v>
      </c>
      <c r="D54" s="5">
        <v>14.0</v>
      </c>
      <c r="E54" s="5">
        <v>20.0</v>
      </c>
      <c r="H54" s="5" t="s">
        <v>19</v>
      </c>
      <c r="I54" s="9">
        <v>46125.69761574074</v>
      </c>
      <c r="J54" s="5" t="s">
        <v>471</v>
      </c>
      <c r="K54" s="5">
        <v>20.0</v>
      </c>
      <c r="L54" s="5">
        <v>136000.0</v>
      </c>
      <c r="M54" s="5">
        <v>140000.0</v>
      </c>
      <c r="N54" s="8">
        <v>43014.0</v>
      </c>
      <c r="O54" s="5" t="s">
        <v>184</v>
      </c>
      <c r="P54" s="5" t="s">
        <v>25</v>
      </c>
      <c r="S54" s="5" t="s">
        <v>29</v>
      </c>
    </row>
    <row r="55">
      <c r="A55" s="5">
        <v>54.0</v>
      </c>
      <c r="B55" s="5" t="s">
        <v>472</v>
      </c>
      <c r="C55" s="5" t="s">
        <v>20</v>
      </c>
      <c r="D55" s="5">
        <v>0.0</v>
      </c>
      <c r="E55" s="5">
        <v>20.0</v>
      </c>
      <c r="H55" s="5" t="s">
        <v>457</v>
      </c>
      <c r="I55" s="9">
        <v>46161.257835648146</v>
      </c>
      <c r="J55" s="5" t="s">
        <v>473</v>
      </c>
      <c r="K55" s="5">
        <v>20.0</v>
      </c>
      <c r="L55" s="5">
        <v>40.0</v>
      </c>
      <c r="M55" s="5">
        <v>40.0</v>
      </c>
      <c r="N55" s="8">
        <v>42314.0</v>
      </c>
      <c r="O55" s="5" t="s">
        <v>24</v>
      </c>
      <c r="P55" s="5" t="s">
        <v>25</v>
      </c>
      <c r="S55" s="5" t="s">
        <v>118</v>
      </c>
    </row>
    <row r="56">
      <c r="A56" s="5">
        <v>55.0</v>
      </c>
      <c r="B56" s="5" t="s">
        <v>475</v>
      </c>
      <c r="C56" s="5" t="s">
        <v>20</v>
      </c>
      <c r="D56" s="5">
        <v>24.0</v>
      </c>
      <c r="E56" s="5">
        <v>20.0</v>
      </c>
      <c r="H56" s="5" t="s">
        <v>148</v>
      </c>
      <c r="I56" s="9">
        <v>46157.35157407408</v>
      </c>
      <c r="J56" s="5" t="s">
        <v>78</v>
      </c>
      <c r="K56" s="5">
        <v>20.0</v>
      </c>
      <c r="L56" s="5">
        <v>70.0</v>
      </c>
      <c r="M56" s="5">
        <v>90.0</v>
      </c>
      <c r="N56" s="8">
        <v>42458.0</v>
      </c>
      <c r="O56" s="5" t="s">
        <v>24</v>
      </c>
      <c r="P56" s="5" t="s">
        <v>25</v>
      </c>
      <c r="S56" s="5" t="s">
        <v>38</v>
      </c>
    </row>
    <row r="57">
      <c r="A57" s="5">
        <v>56.0</v>
      </c>
      <c r="B57" s="5" t="s">
        <v>479</v>
      </c>
      <c r="C57" s="5" t="s">
        <v>20</v>
      </c>
      <c r="E57" s="5">
        <v>20.0</v>
      </c>
      <c r="K57" s="5">
        <v>20.0</v>
      </c>
      <c r="N57" s="8">
        <v>45120.0</v>
      </c>
    </row>
    <row r="58">
      <c r="A58" s="5">
        <v>57.0</v>
      </c>
      <c r="B58" s="5" t="s">
        <v>481</v>
      </c>
      <c r="C58" s="5" t="s">
        <v>20</v>
      </c>
      <c r="D58" s="5">
        <v>49.0</v>
      </c>
      <c r="E58" s="5">
        <v>20.0</v>
      </c>
      <c r="G58" s="5">
        <v>1.16</v>
      </c>
      <c r="H58" s="5" t="s">
        <v>61</v>
      </c>
      <c r="I58" s="9">
        <v>46106.59496527778</v>
      </c>
      <c r="J58" s="5" t="s">
        <v>137</v>
      </c>
      <c r="K58" s="5">
        <v>50.0</v>
      </c>
      <c r="L58" s="5">
        <v>11000.0</v>
      </c>
      <c r="M58" s="5">
        <v>11000.0</v>
      </c>
      <c r="N58" s="8">
        <v>42276.0</v>
      </c>
      <c r="O58" s="5" t="s">
        <v>24</v>
      </c>
      <c r="P58" s="5" t="s">
        <v>25</v>
      </c>
      <c r="S58" s="5" t="s">
        <v>38</v>
      </c>
    </row>
    <row r="59">
      <c r="A59" s="5">
        <v>58.0</v>
      </c>
      <c r="B59" s="5" t="s">
        <v>485</v>
      </c>
      <c r="C59" s="5" t="s">
        <v>20</v>
      </c>
      <c r="E59" s="5">
        <v>10.0</v>
      </c>
      <c r="K59" s="5">
        <v>10.0</v>
      </c>
      <c r="N59" s="8">
        <v>42312.0</v>
      </c>
      <c r="O59" s="5" t="s">
        <v>24</v>
      </c>
      <c r="P59" s="5" t="s">
        <v>25</v>
      </c>
      <c r="S59" s="5" t="s">
        <v>38</v>
      </c>
    </row>
    <row r="60">
      <c r="A60" s="5">
        <v>59.0</v>
      </c>
      <c r="B60" s="5" t="s">
        <v>488</v>
      </c>
      <c r="C60" s="5" t="s">
        <v>20</v>
      </c>
      <c r="E60" s="5">
        <v>10.0</v>
      </c>
      <c r="G60" s="5">
        <v>0.97</v>
      </c>
      <c r="K60" s="5">
        <v>10.0</v>
      </c>
      <c r="N60" s="8">
        <v>42315.0</v>
      </c>
      <c r="O60" s="5" t="s">
        <v>24</v>
      </c>
      <c r="P60" s="5" t="s">
        <v>25</v>
      </c>
      <c r="S60" s="5" t="s">
        <v>75</v>
      </c>
    </row>
    <row r="61">
      <c r="A61" s="5">
        <v>60.0</v>
      </c>
      <c r="B61" s="5" t="s">
        <v>490</v>
      </c>
      <c r="C61" s="5" t="s">
        <v>20</v>
      </c>
      <c r="D61" s="5">
        <v>0.0</v>
      </c>
      <c r="E61" s="5">
        <v>10.0</v>
      </c>
      <c r="H61" s="5" t="s">
        <v>277</v>
      </c>
      <c r="I61" s="9">
        <v>46084.49159722222</v>
      </c>
      <c r="J61" s="5" t="s">
        <v>206</v>
      </c>
      <c r="K61" s="5">
        <v>10.0</v>
      </c>
      <c r="L61" s="5">
        <v>50.0</v>
      </c>
      <c r="M61" s="5">
        <v>50.0</v>
      </c>
      <c r="N61" s="8">
        <v>42853.0</v>
      </c>
      <c r="O61" s="5" t="s">
        <v>24</v>
      </c>
      <c r="P61" s="5" t="s">
        <v>25</v>
      </c>
      <c r="S61" s="5" t="s">
        <v>118</v>
      </c>
    </row>
    <row r="62">
      <c r="A62" s="5">
        <v>61.0</v>
      </c>
      <c r="B62" s="5" t="s">
        <v>493</v>
      </c>
      <c r="C62" s="5" t="s">
        <v>20</v>
      </c>
      <c r="E62" s="5">
        <v>10.0</v>
      </c>
      <c r="K62" s="5">
        <v>50.0</v>
      </c>
      <c r="N62" s="8">
        <v>44692.0</v>
      </c>
    </row>
    <row r="63">
      <c r="A63" s="5">
        <v>62.0</v>
      </c>
      <c r="B63" s="5" t="s">
        <v>495</v>
      </c>
      <c r="C63" s="5" t="s">
        <v>20</v>
      </c>
      <c r="E63" s="5">
        <v>10.0</v>
      </c>
      <c r="K63" s="5">
        <v>40.0</v>
      </c>
      <c r="N63" s="8">
        <v>42338.0</v>
      </c>
      <c r="O63" s="5" t="s">
        <v>50</v>
      </c>
      <c r="P63" s="5" t="s">
        <v>25</v>
      </c>
      <c r="S63" s="5" t="s">
        <v>38</v>
      </c>
    </row>
    <row r="64">
      <c r="A64" s="5">
        <v>63.0</v>
      </c>
      <c r="B64" s="5" t="s">
        <v>497</v>
      </c>
      <c r="C64" s="5" t="s">
        <v>20</v>
      </c>
      <c r="D64" s="5">
        <v>1.0</v>
      </c>
      <c r="E64" s="5">
        <v>10.0</v>
      </c>
      <c r="H64" s="5" t="s">
        <v>148</v>
      </c>
      <c r="I64" s="9">
        <v>46071.37432870371</v>
      </c>
      <c r="K64" s="5">
        <v>10.0</v>
      </c>
      <c r="L64" s="5">
        <v>200.0</v>
      </c>
      <c r="M64" s="5">
        <v>600.0</v>
      </c>
      <c r="N64" s="8">
        <v>42446.0</v>
      </c>
      <c r="O64" s="5" t="s">
        <v>24</v>
      </c>
      <c r="P64" s="5" t="s">
        <v>25</v>
      </c>
      <c r="S64" s="5" t="s">
        <v>38</v>
      </c>
    </row>
    <row r="65">
      <c r="A65" s="5">
        <v>64.0</v>
      </c>
      <c r="B65" s="5" t="s">
        <v>501</v>
      </c>
      <c r="C65" s="5" t="s">
        <v>20</v>
      </c>
      <c r="D65" s="5">
        <v>12.0</v>
      </c>
      <c r="E65" s="5">
        <v>10.0</v>
      </c>
      <c r="H65" s="5" t="s">
        <v>40</v>
      </c>
      <c r="I65" s="9">
        <v>46124.87163194444</v>
      </c>
      <c r="J65" s="5" t="s">
        <v>503</v>
      </c>
      <c r="K65" s="5">
        <v>10.0</v>
      </c>
      <c r="L65" s="5">
        <v>20000.0</v>
      </c>
      <c r="M65" s="5">
        <v>22000.0</v>
      </c>
      <c r="N65" s="8">
        <v>42334.0</v>
      </c>
      <c r="O65" s="5" t="s">
        <v>24</v>
      </c>
      <c r="P65" s="5" t="s">
        <v>25</v>
      </c>
      <c r="S65" s="5" t="s">
        <v>118</v>
      </c>
    </row>
    <row r="66">
      <c r="A66" s="5">
        <v>65.0</v>
      </c>
      <c r="B66" s="5" t="s">
        <v>506</v>
      </c>
      <c r="C66" s="5" t="s">
        <v>20</v>
      </c>
      <c r="E66" s="5">
        <v>10.0</v>
      </c>
      <c r="K66" s="5">
        <v>10.0</v>
      </c>
      <c r="N66" s="8">
        <v>42946.0</v>
      </c>
    </row>
    <row r="67">
      <c r="A67" s="5">
        <v>66.0</v>
      </c>
      <c r="B67" s="5" t="s">
        <v>508</v>
      </c>
      <c r="C67" s="5" t="s">
        <v>20</v>
      </c>
      <c r="D67" s="5">
        <v>19.0</v>
      </c>
      <c r="E67" s="5">
        <v>10.0</v>
      </c>
      <c r="H67" s="5" t="s">
        <v>47</v>
      </c>
      <c r="I67" s="9">
        <v>46088.132268518515</v>
      </c>
      <c r="J67" s="5" t="s">
        <v>151</v>
      </c>
      <c r="K67" s="5">
        <v>20.0</v>
      </c>
      <c r="L67" s="5">
        <v>17000.0</v>
      </c>
      <c r="M67" s="5">
        <v>17000.0</v>
      </c>
      <c r="N67" s="8">
        <v>43080.0</v>
      </c>
      <c r="O67" s="5" t="s">
        <v>24</v>
      </c>
      <c r="P67" s="5" t="s">
        <v>25</v>
      </c>
      <c r="S67" s="5" t="s">
        <v>512</v>
      </c>
    </row>
    <row r="68">
      <c r="A68" s="5">
        <v>67.0</v>
      </c>
      <c r="B68" s="5" t="s">
        <v>513</v>
      </c>
      <c r="C68" s="5" t="s">
        <v>20</v>
      </c>
      <c r="E68" s="5">
        <v>10.0</v>
      </c>
      <c r="G68" s="5">
        <v>0.88</v>
      </c>
      <c r="K68" s="5">
        <v>10.0</v>
      </c>
      <c r="N68" s="8">
        <v>42771.0</v>
      </c>
      <c r="O68" s="5" t="s">
        <v>184</v>
      </c>
      <c r="P68" s="5" t="s">
        <v>25</v>
      </c>
      <c r="S68" s="5" t="s">
        <v>75</v>
      </c>
    </row>
    <row r="69">
      <c r="A69" s="5">
        <v>68.0</v>
      </c>
      <c r="B69" s="5" t="s">
        <v>515</v>
      </c>
      <c r="C69" s="5" t="s">
        <v>20</v>
      </c>
      <c r="E69" s="5">
        <v>10.0</v>
      </c>
      <c r="K69" s="5">
        <v>10.0</v>
      </c>
      <c r="N69" s="8">
        <v>43115.0</v>
      </c>
      <c r="O69" s="5" t="s">
        <v>24</v>
      </c>
      <c r="P69" s="5" t="s">
        <v>25</v>
      </c>
      <c r="S69" s="5" t="s">
        <v>38</v>
      </c>
    </row>
    <row r="70">
      <c r="A70" s="5">
        <v>69.0</v>
      </c>
      <c r="B70" s="5" t="s">
        <v>517</v>
      </c>
      <c r="C70" s="5" t="s">
        <v>20</v>
      </c>
      <c r="E70" s="5">
        <v>10.0</v>
      </c>
      <c r="K70" s="5">
        <v>10.0</v>
      </c>
      <c r="N70" s="8">
        <v>42290.0</v>
      </c>
      <c r="O70" s="5" t="s">
        <v>24</v>
      </c>
      <c r="P70" s="5" t="s">
        <v>25</v>
      </c>
      <c r="S70" s="5" t="s">
        <v>38</v>
      </c>
    </row>
    <row r="71">
      <c r="A71" s="5">
        <v>70.0</v>
      </c>
      <c r="B71" s="5" t="s">
        <v>520</v>
      </c>
      <c r="C71" s="5" t="s">
        <v>20</v>
      </c>
      <c r="E71" s="5">
        <v>10.0</v>
      </c>
      <c r="K71" s="5">
        <v>30.0</v>
      </c>
      <c r="N71" s="8">
        <v>43982.0</v>
      </c>
      <c r="O71" s="5" t="s">
        <v>24</v>
      </c>
      <c r="P71" s="5" t="s">
        <v>25</v>
      </c>
      <c r="S71" s="5" t="s">
        <v>38</v>
      </c>
    </row>
    <row r="72">
      <c r="A72" s="5">
        <v>71.0</v>
      </c>
      <c r="B72" s="5" t="s">
        <v>521</v>
      </c>
      <c r="C72" s="5" t="s">
        <v>20</v>
      </c>
      <c r="D72" s="5">
        <v>49.0</v>
      </c>
      <c r="E72" s="5">
        <v>10.0</v>
      </c>
      <c r="H72" s="5" t="s">
        <v>41</v>
      </c>
      <c r="I72" s="9">
        <v>46143.35967592592</v>
      </c>
      <c r="J72" s="5" t="s">
        <v>494</v>
      </c>
      <c r="K72" s="5">
        <v>10.0</v>
      </c>
      <c r="L72" s="5">
        <v>100.0</v>
      </c>
      <c r="M72" s="5">
        <v>1100.0</v>
      </c>
      <c r="N72" s="8">
        <v>42442.0</v>
      </c>
      <c r="O72" s="5" t="s">
        <v>24</v>
      </c>
      <c r="P72" s="5" t="s">
        <v>25</v>
      </c>
      <c r="S72" s="5" t="s">
        <v>38</v>
      </c>
    </row>
    <row r="73">
      <c r="A73" s="5">
        <v>72.0</v>
      </c>
      <c r="B73" s="5" t="s">
        <v>525</v>
      </c>
      <c r="C73" s="5" t="s">
        <v>20</v>
      </c>
      <c r="E73" s="5">
        <v>10.0</v>
      </c>
      <c r="K73" s="5">
        <v>30.0</v>
      </c>
      <c r="N73" s="8">
        <v>45212.0</v>
      </c>
    </row>
    <row r="74">
      <c r="A74" s="5">
        <v>73.0</v>
      </c>
      <c r="B74" s="5" t="s">
        <v>526</v>
      </c>
      <c r="C74" s="5" t="s">
        <v>20</v>
      </c>
      <c r="E74" s="5">
        <v>10.0</v>
      </c>
      <c r="K74" s="5">
        <v>10.0</v>
      </c>
      <c r="N74" s="8">
        <v>42592.0</v>
      </c>
    </row>
    <row r="75">
      <c r="A75" s="5">
        <v>74.0</v>
      </c>
      <c r="B75" s="5" t="s">
        <v>529</v>
      </c>
      <c r="C75" s="5" t="s">
        <v>20</v>
      </c>
      <c r="E75" s="5">
        <v>10.0</v>
      </c>
      <c r="K75" s="5">
        <v>10.0</v>
      </c>
      <c r="N75" s="8">
        <v>42699.0</v>
      </c>
      <c r="O75" s="5" t="s">
        <v>100</v>
      </c>
      <c r="P75" s="5" t="s">
        <v>25</v>
      </c>
      <c r="S75" s="5" t="s">
        <v>29</v>
      </c>
    </row>
    <row r="76">
      <c r="A76" s="5">
        <v>75.0</v>
      </c>
      <c r="B76" s="5" t="s">
        <v>449</v>
      </c>
      <c r="C76" s="5" t="s">
        <v>20</v>
      </c>
      <c r="D76" s="5">
        <v>20.0</v>
      </c>
      <c r="E76" s="5">
        <v>10.0</v>
      </c>
      <c r="H76" s="5" t="s">
        <v>446</v>
      </c>
      <c r="I76" s="9">
        <v>46148.40923611111</v>
      </c>
      <c r="J76" s="5" t="s">
        <v>346</v>
      </c>
      <c r="K76" s="5">
        <v>20.0</v>
      </c>
      <c r="L76" s="5">
        <v>60.0</v>
      </c>
      <c r="M76" s="5">
        <v>200.0</v>
      </c>
      <c r="N76" s="8">
        <v>42323.0</v>
      </c>
      <c r="O76" s="5" t="s">
        <v>24</v>
      </c>
      <c r="P76" s="5" t="s">
        <v>25</v>
      </c>
      <c r="S76" s="5" t="s">
        <v>38</v>
      </c>
    </row>
    <row r="77">
      <c r="A77" s="5">
        <v>76.0</v>
      </c>
      <c r="B77" s="5" t="s">
        <v>536</v>
      </c>
      <c r="C77" s="5" t="s">
        <v>20</v>
      </c>
      <c r="N77" s="8">
        <v>42430.0</v>
      </c>
      <c r="O77" s="5" t="s">
        <v>24</v>
      </c>
      <c r="P77" s="5" t="s">
        <v>25</v>
      </c>
      <c r="S77" s="5" t="s">
        <v>38</v>
      </c>
    </row>
    <row r="78">
      <c r="A78" s="5">
        <v>77.0</v>
      </c>
      <c r="B78" s="5" t="s">
        <v>540</v>
      </c>
      <c r="C78" s="5" t="s">
        <v>20</v>
      </c>
      <c r="N78" s="8">
        <v>42284.0</v>
      </c>
    </row>
    <row r="79">
      <c r="A79" s="5">
        <v>78.0</v>
      </c>
      <c r="B79" s="5" t="s">
        <v>541</v>
      </c>
      <c r="C79" s="5" t="s">
        <v>20</v>
      </c>
      <c r="N79" s="8">
        <v>44753.0</v>
      </c>
    </row>
    <row r="80">
      <c r="A80" s="5">
        <v>79.0</v>
      </c>
      <c r="B80" s="5" t="s">
        <v>542</v>
      </c>
      <c r="C80" s="5" t="s">
        <v>20</v>
      </c>
      <c r="N80" s="8">
        <v>44234.0</v>
      </c>
    </row>
    <row r="81">
      <c r="A81" s="5">
        <v>80.0</v>
      </c>
      <c r="B81" s="5" t="s">
        <v>543</v>
      </c>
      <c r="C81" s="5" t="s">
        <v>20</v>
      </c>
      <c r="N81" s="8">
        <v>44160.0</v>
      </c>
    </row>
    <row r="82">
      <c r="A82" s="5">
        <v>81.0</v>
      </c>
      <c r="B82" s="5" t="s">
        <v>545</v>
      </c>
      <c r="C82" s="5" t="s">
        <v>20</v>
      </c>
      <c r="N82" s="8">
        <v>43300.0</v>
      </c>
    </row>
    <row r="83">
      <c r="A83" s="5">
        <v>82.0</v>
      </c>
      <c r="B83" s="5" t="s">
        <v>546</v>
      </c>
      <c r="C83" s="5" t="s">
        <v>20</v>
      </c>
      <c r="N83" s="8">
        <v>42779.0</v>
      </c>
    </row>
    <row r="84">
      <c r="A84" s="5">
        <v>83.0</v>
      </c>
      <c r="B84" s="5" t="s">
        <v>548</v>
      </c>
      <c r="C84" s="5" t="s">
        <v>20</v>
      </c>
      <c r="N84" s="8">
        <v>42435.0</v>
      </c>
      <c r="O84" s="5" t="s">
        <v>464</v>
      </c>
      <c r="P84" s="5" t="s">
        <v>25</v>
      </c>
      <c r="S84" s="5" t="s">
        <v>118</v>
      </c>
    </row>
    <row r="85">
      <c r="A85" s="5">
        <v>84.0</v>
      </c>
      <c r="B85" s="5" t="s">
        <v>551</v>
      </c>
      <c r="C85" s="5" t="s">
        <v>20</v>
      </c>
      <c r="N85" s="8">
        <v>42461.0</v>
      </c>
    </row>
    <row r="86">
      <c r="A86" s="5">
        <v>85.0</v>
      </c>
      <c r="B86" s="5" t="s">
        <v>553</v>
      </c>
      <c r="C86" s="5" t="s">
        <v>20</v>
      </c>
      <c r="N86" s="8">
        <v>42272.0</v>
      </c>
    </row>
    <row r="87">
      <c r="A87" s="5">
        <v>86.0</v>
      </c>
      <c r="B87" s="5" t="s">
        <v>554</v>
      </c>
      <c r="C87" s="5" t="s">
        <v>20</v>
      </c>
      <c r="N87" s="8">
        <v>45245.0</v>
      </c>
    </row>
    <row r="88">
      <c r="A88" s="5">
        <v>87.0</v>
      </c>
      <c r="B88" s="5" t="s">
        <v>556</v>
      </c>
      <c r="C88" s="5" t="s">
        <v>20</v>
      </c>
      <c r="N88" s="8">
        <v>45869.0</v>
      </c>
    </row>
    <row r="89">
      <c r="A89" s="5">
        <v>88.0</v>
      </c>
      <c r="B89" s="5" t="s">
        <v>557</v>
      </c>
      <c r="C89" s="5" t="s">
        <v>20</v>
      </c>
      <c r="N89" s="8">
        <v>42351.0</v>
      </c>
      <c r="O89" s="5" t="s">
        <v>24</v>
      </c>
      <c r="P89" s="5" t="s">
        <v>25</v>
      </c>
      <c r="S89" s="5" t="s">
        <v>29</v>
      </c>
    </row>
    <row r="90">
      <c r="A90" s="5">
        <v>89.0</v>
      </c>
      <c r="B90" s="5" t="s">
        <v>560</v>
      </c>
      <c r="C90" s="5" t="s">
        <v>20</v>
      </c>
      <c r="N90" s="8">
        <v>43009.0</v>
      </c>
    </row>
    <row r="91">
      <c r="A91" s="5">
        <v>90.0</v>
      </c>
      <c r="B91" s="5" t="s">
        <v>561</v>
      </c>
      <c r="C91" s="5" t="s">
        <v>20</v>
      </c>
      <c r="N91" s="8">
        <v>42604.0</v>
      </c>
      <c r="O91" s="5" t="s">
        <v>464</v>
      </c>
      <c r="P91" s="5" t="s">
        <v>25</v>
      </c>
      <c r="S91" s="5" t="s">
        <v>157</v>
      </c>
    </row>
    <row r="92">
      <c r="A92" s="5">
        <v>91.0</v>
      </c>
      <c r="B92" s="5" t="s">
        <v>565</v>
      </c>
      <c r="C92" s="5" t="s">
        <v>20</v>
      </c>
      <c r="N92" s="8">
        <v>42801.0</v>
      </c>
      <c r="O92" s="5" t="s">
        <v>24</v>
      </c>
      <c r="P92" s="5" t="s">
        <v>25</v>
      </c>
      <c r="S92" s="5" t="s">
        <v>38</v>
      </c>
    </row>
    <row r="93">
      <c r="A93" s="5">
        <v>92.0</v>
      </c>
      <c r="B93" s="5" t="s">
        <v>567</v>
      </c>
      <c r="C93" s="5" t="s">
        <v>20</v>
      </c>
      <c r="D93" s="5">
        <v>10.0</v>
      </c>
      <c r="H93" s="5" t="s">
        <v>40</v>
      </c>
      <c r="I93" s="9">
        <v>46118.29240740741</v>
      </c>
      <c r="J93" s="5" t="s">
        <v>568</v>
      </c>
      <c r="K93" s="5">
        <v>10.0</v>
      </c>
      <c r="L93" s="5">
        <v>20000.0</v>
      </c>
      <c r="M93" s="5">
        <v>21000.0</v>
      </c>
      <c r="N93" s="8">
        <v>42284.0</v>
      </c>
      <c r="O93" s="5" t="s">
        <v>184</v>
      </c>
      <c r="P93" s="5" t="s">
        <v>25</v>
      </c>
      <c r="S93" s="5" t="s">
        <v>38</v>
      </c>
    </row>
    <row r="94">
      <c r="A94" s="5">
        <v>93.0</v>
      </c>
      <c r="B94" s="5" t="s">
        <v>570</v>
      </c>
      <c r="C94" s="5" t="s">
        <v>20</v>
      </c>
      <c r="D94" s="5">
        <v>0.0</v>
      </c>
      <c r="H94" s="5" t="s">
        <v>457</v>
      </c>
      <c r="I94" s="9">
        <v>46161.9496875</v>
      </c>
      <c r="J94" s="5" t="s">
        <v>572</v>
      </c>
      <c r="L94" s="5">
        <v>40.0</v>
      </c>
      <c r="M94" s="5">
        <v>40.0</v>
      </c>
      <c r="N94" s="8">
        <v>42606.0</v>
      </c>
      <c r="O94" s="5" t="s">
        <v>24</v>
      </c>
      <c r="P94" s="5" t="s">
        <v>25</v>
      </c>
      <c r="S94" s="5" t="s">
        <v>118</v>
      </c>
    </row>
    <row r="95">
      <c r="A95" s="5">
        <v>94.0</v>
      </c>
      <c r="B95" s="5" t="s">
        <v>575</v>
      </c>
      <c r="C95" s="5" t="s">
        <v>20</v>
      </c>
      <c r="N95" s="8">
        <v>43741.0</v>
      </c>
    </row>
    <row r="96">
      <c r="A96" s="5">
        <v>95.0</v>
      </c>
      <c r="B96" s="5" t="s">
        <v>576</v>
      </c>
      <c r="C96" s="5" t="s">
        <v>20</v>
      </c>
      <c r="N96" s="8">
        <v>44940.0</v>
      </c>
    </row>
    <row r="97">
      <c r="A97" s="5">
        <v>96.0</v>
      </c>
      <c r="B97" s="5" t="s">
        <v>577</v>
      </c>
      <c r="C97" s="5" t="s">
        <v>20</v>
      </c>
      <c r="N97" s="8">
        <v>42480.0</v>
      </c>
    </row>
    <row r="98">
      <c r="A98" s="5">
        <v>97.0</v>
      </c>
      <c r="B98" s="5" t="s">
        <v>578</v>
      </c>
      <c r="C98" s="5" t="s">
        <v>20</v>
      </c>
      <c r="N98" s="8">
        <v>42883.0</v>
      </c>
    </row>
    <row r="99">
      <c r="A99" s="5">
        <v>98.0</v>
      </c>
      <c r="B99" s="5" t="s">
        <v>580</v>
      </c>
      <c r="C99" s="5" t="s">
        <v>20</v>
      </c>
      <c r="N99" s="8">
        <v>43087.0</v>
      </c>
    </row>
    <row r="100">
      <c r="A100" s="5">
        <v>99.0</v>
      </c>
      <c r="B100" s="5" t="s">
        <v>582</v>
      </c>
      <c r="C100" s="5" t="s">
        <v>20</v>
      </c>
      <c r="N100" s="8">
        <v>45001.0</v>
      </c>
    </row>
    <row r="101">
      <c r="A101" s="5">
        <v>100.0</v>
      </c>
      <c r="B101" s="5" t="s">
        <v>584</v>
      </c>
      <c r="C101" s="5" t="s">
        <v>20</v>
      </c>
      <c r="N101" s="8">
        <v>43683.0</v>
      </c>
    </row>
    <row r="102">
      <c r="A102" s="5">
        <v>101.0</v>
      </c>
      <c r="B102" s="5" t="s">
        <v>586</v>
      </c>
      <c r="C102" s="5" t="s">
        <v>20</v>
      </c>
      <c r="N102" s="8">
        <v>44222.0</v>
      </c>
    </row>
    <row r="103">
      <c r="A103" s="5">
        <v>102.0</v>
      </c>
      <c r="B103" s="5" t="s">
        <v>587</v>
      </c>
      <c r="C103" s="5" t="s">
        <v>20</v>
      </c>
      <c r="N103" s="8">
        <v>46077.0</v>
      </c>
    </row>
    <row r="104">
      <c r="A104" s="5">
        <v>103.0</v>
      </c>
      <c r="B104" s="5" t="s">
        <v>589</v>
      </c>
      <c r="C104" s="5" t="s">
        <v>20</v>
      </c>
      <c r="D104" s="5">
        <v>41.0</v>
      </c>
      <c r="H104" s="5" t="s">
        <v>504</v>
      </c>
      <c r="I104" s="9">
        <v>46090.18850694445</v>
      </c>
      <c r="J104" s="5" t="s">
        <v>591</v>
      </c>
      <c r="L104" s="5">
        <v>20.0</v>
      </c>
      <c r="M104" s="5">
        <v>20.0</v>
      </c>
      <c r="N104" s="8">
        <v>44001.0</v>
      </c>
      <c r="O104" s="5" t="s">
        <v>24</v>
      </c>
      <c r="P104" s="5" t="s">
        <v>25</v>
      </c>
      <c r="S104" s="5" t="s">
        <v>118</v>
      </c>
    </row>
    <row r="105">
      <c r="A105" s="5">
        <v>104.0</v>
      </c>
      <c r="B105" s="5" t="s">
        <v>593</v>
      </c>
      <c r="C105" s="5" t="s">
        <v>20</v>
      </c>
      <c r="N105" s="8">
        <v>43213.0</v>
      </c>
    </row>
    <row r="106">
      <c r="A106" s="5">
        <v>105.0</v>
      </c>
      <c r="B106" s="5" t="s">
        <v>594</v>
      </c>
      <c r="C106" s="5" t="s">
        <v>20</v>
      </c>
      <c r="N106" s="8">
        <v>42334.0</v>
      </c>
    </row>
    <row r="107">
      <c r="A107" s="5">
        <v>106.0</v>
      </c>
      <c r="B107" s="5" t="s">
        <v>595</v>
      </c>
      <c r="C107" s="5" t="s">
        <v>20</v>
      </c>
      <c r="D107" s="5">
        <v>48.0</v>
      </c>
      <c r="H107" s="5" t="s">
        <v>305</v>
      </c>
      <c r="I107" s="9">
        <v>46149.05506944445</v>
      </c>
      <c r="J107" s="5" t="s">
        <v>78</v>
      </c>
      <c r="L107" s="5">
        <v>30.0</v>
      </c>
      <c r="M107" s="5">
        <v>60.0</v>
      </c>
      <c r="N107" s="8">
        <v>44562.0</v>
      </c>
      <c r="O107" s="5" t="s">
        <v>464</v>
      </c>
      <c r="P107" s="5" t="s">
        <v>25</v>
      </c>
      <c r="S107" s="5" t="s">
        <v>75</v>
      </c>
    </row>
    <row r="108">
      <c r="A108" s="5">
        <v>107.0</v>
      </c>
      <c r="B108" s="5" t="s">
        <v>598</v>
      </c>
      <c r="C108" s="5" t="s">
        <v>20</v>
      </c>
      <c r="N108" s="8">
        <v>42708.0</v>
      </c>
    </row>
    <row r="109">
      <c r="A109" s="5">
        <v>108.0</v>
      </c>
      <c r="B109" s="5" t="s">
        <v>599</v>
      </c>
      <c r="C109" s="5" t="s">
        <v>20</v>
      </c>
      <c r="D109" s="5">
        <v>46.0</v>
      </c>
      <c r="H109" s="5" t="s">
        <v>47</v>
      </c>
      <c r="I109" s="9">
        <v>46083.3575462963</v>
      </c>
      <c r="J109" s="5" t="s">
        <v>600</v>
      </c>
      <c r="L109" s="5">
        <v>17000.0</v>
      </c>
      <c r="M109" s="5">
        <v>17000.0</v>
      </c>
      <c r="N109" s="8">
        <v>42406.0</v>
      </c>
      <c r="O109" s="5" t="s">
        <v>24</v>
      </c>
      <c r="P109" s="5" t="s">
        <v>25</v>
      </c>
      <c r="S109" s="5" t="s">
        <v>118</v>
      </c>
    </row>
    <row r="110">
      <c r="A110" s="5">
        <v>109.0</v>
      </c>
      <c r="B110" s="5" t="s">
        <v>603</v>
      </c>
      <c r="C110" s="5" t="s">
        <v>20</v>
      </c>
      <c r="N110" s="8">
        <v>42272.0</v>
      </c>
    </row>
    <row r="111">
      <c r="A111" s="5">
        <v>110.0</v>
      </c>
      <c r="B111" s="5" t="s">
        <v>604</v>
      </c>
      <c r="C111" s="5" t="s">
        <v>20</v>
      </c>
      <c r="N111" s="8">
        <v>44246.0</v>
      </c>
    </row>
    <row r="112">
      <c r="A112" s="5">
        <v>111.0</v>
      </c>
      <c r="B112" s="5" t="s">
        <v>606</v>
      </c>
      <c r="C112" s="5" t="s">
        <v>20</v>
      </c>
      <c r="N112" s="8">
        <v>44790.0</v>
      </c>
    </row>
    <row r="113">
      <c r="A113" s="5">
        <v>112.0</v>
      </c>
      <c r="B113" s="5" t="s">
        <v>609</v>
      </c>
      <c r="C113" s="5" t="s">
        <v>20</v>
      </c>
      <c r="D113" s="5">
        <v>0.0</v>
      </c>
      <c r="H113" s="5" t="s">
        <v>449</v>
      </c>
      <c r="I113" s="9">
        <v>46076.27679398148</v>
      </c>
      <c r="J113" s="5" t="s">
        <v>33</v>
      </c>
      <c r="L113" s="5">
        <v>200.0</v>
      </c>
      <c r="M113" s="5">
        <v>200.0</v>
      </c>
      <c r="N113" s="8">
        <v>45112.0</v>
      </c>
      <c r="O113" s="5" t="s">
        <v>24</v>
      </c>
      <c r="P113" s="5" t="s">
        <v>25</v>
      </c>
      <c r="S113" s="5" t="s">
        <v>38</v>
      </c>
    </row>
    <row r="114">
      <c r="A114" s="5">
        <v>113.0</v>
      </c>
      <c r="B114" s="5" t="s">
        <v>614</v>
      </c>
      <c r="C114" s="5" t="s">
        <v>20</v>
      </c>
      <c r="N114" s="8">
        <v>42410.0</v>
      </c>
    </row>
    <row r="115">
      <c r="A115" s="5">
        <v>114.0</v>
      </c>
      <c r="B115" s="5" t="s">
        <v>616</v>
      </c>
      <c r="C115" s="5" t="s">
        <v>20</v>
      </c>
      <c r="D115" s="5">
        <v>0.0</v>
      </c>
      <c r="H115" s="5" t="s">
        <v>148</v>
      </c>
      <c r="I115" s="9">
        <v>46155.19625</v>
      </c>
      <c r="L115" s="5">
        <v>40.0</v>
      </c>
      <c r="M115" s="5">
        <v>40.0</v>
      </c>
      <c r="N115" s="8">
        <v>44208.0</v>
      </c>
      <c r="O115" s="5" t="s">
        <v>24</v>
      </c>
      <c r="P115" s="5" t="s">
        <v>25</v>
      </c>
      <c r="S115" s="5" t="s">
        <v>38</v>
      </c>
    </row>
    <row r="116">
      <c r="A116" s="5">
        <v>115.0</v>
      </c>
      <c r="B116" s="5" t="s">
        <v>619</v>
      </c>
      <c r="C116" s="5" t="s">
        <v>20</v>
      </c>
      <c r="N116" s="8">
        <v>44594.0</v>
      </c>
    </row>
    <row r="117">
      <c r="A117" s="5">
        <v>116.0</v>
      </c>
      <c r="B117" s="5" t="s">
        <v>621</v>
      </c>
      <c r="C117" s="5" t="s">
        <v>20</v>
      </c>
      <c r="N117" s="8">
        <v>42780.0</v>
      </c>
      <c r="O117" s="5" t="s">
        <v>50</v>
      </c>
      <c r="P117" s="5" t="s">
        <v>25</v>
      </c>
      <c r="S117" s="5" t="s">
        <v>38</v>
      </c>
    </row>
    <row r="118">
      <c r="A118" s="5">
        <v>117.0</v>
      </c>
      <c r="B118" s="5" t="s">
        <v>624</v>
      </c>
      <c r="C118" s="5" t="s">
        <v>20</v>
      </c>
      <c r="N118" s="8">
        <v>43958.0</v>
      </c>
    </row>
    <row r="119">
      <c r="A119" s="5">
        <v>118.0</v>
      </c>
      <c r="B119" s="5" t="s">
        <v>626</v>
      </c>
      <c r="C119" s="5" t="s">
        <v>20</v>
      </c>
      <c r="N119" s="8">
        <v>44307.0</v>
      </c>
    </row>
    <row r="120">
      <c r="A120" s="5">
        <v>119.0</v>
      </c>
      <c r="B120" s="5" t="s">
        <v>629</v>
      </c>
      <c r="C120" s="5" t="s">
        <v>20</v>
      </c>
      <c r="D120" s="5">
        <v>13.0</v>
      </c>
      <c r="H120" s="5" t="s">
        <v>305</v>
      </c>
      <c r="I120" s="9">
        <v>46123.63990740741</v>
      </c>
      <c r="J120" s="5" t="s">
        <v>206</v>
      </c>
      <c r="L120" s="5">
        <v>30.0</v>
      </c>
      <c r="M120" s="5">
        <v>60.0</v>
      </c>
      <c r="N120" s="8">
        <v>44487.0</v>
      </c>
      <c r="O120" s="5" t="s">
        <v>464</v>
      </c>
      <c r="P120" s="5" t="s">
        <v>25</v>
      </c>
      <c r="S120" s="5" t="s">
        <v>75</v>
      </c>
    </row>
    <row r="121">
      <c r="A121" s="5">
        <v>120.0</v>
      </c>
      <c r="B121" s="5" t="s">
        <v>633</v>
      </c>
      <c r="C121" s="5" t="s">
        <v>20</v>
      </c>
      <c r="N121" s="8">
        <v>44801.0</v>
      </c>
    </row>
    <row r="122">
      <c r="A122" s="5">
        <v>121.0</v>
      </c>
      <c r="B122" s="5" t="s">
        <v>637</v>
      </c>
      <c r="C122" s="5" t="s">
        <v>20</v>
      </c>
      <c r="N122" s="8">
        <v>42410.0</v>
      </c>
    </row>
    <row r="123">
      <c r="A123" s="5">
        <v>122.0</v>
      </c>
      <c r="B123" s="5" t="s">
        <v>639</v>
      </c>
      <c r="C123" s="5" t="s">
        <v>20</v>
      </c>
      <c r="N123" s="8">
        <v>42346.0</v>
      </c>
    </row>
    <row r="124">
      <c r="A124" s="5">
        <v>123.0</v>
      </c>
      <c r="B124" s="5" t="s">
        <v>642</v>
      </c>
      <c r="C124" s="5" t="s">
        <v>20</v>
      </c>
      <c r="N124" s="8">
        <v>42271.0</v>
      </c>
      <c r="O124" s="5" t="s">
        <v>24</v>
      </c>
      <c r="P124" s="5" t="s">
        <v>25</v>
      </c>
      <c r="S124" s="5" t="s">
        <v>38</v>
      </c>
    </row>
    <row r="125">
      <c r="A125" s="5">
        <v>124.0</v>
      </c>
      <c r="B125" s="5" t="s">
        <v>644</v>
      </c>
      <c r="C125" s="5" t="s">
        <v>20</v>
      </c>
    </row>
    <row r="126">
      <c r="A126" s="5">
        <v>125.0</v>
      </c>
      <c r="B126" s="5" t="s">
        <v>646</v>
      </c>
      <c r="C126" s="5" t="s">
        <v>20</v>
      </c>
    </row>
    <row r="127">
      <c r="A127" s="5">
        <v>126.0</v>
      </c>
      <c r="B127" s="5" t="s">
        <v>648</v>
      </c>
      <c r="C127" s="5" t="s">
        <v>20</v>
      </c>
    </row>
    <row r="128">
      <c r="A128" s="5">
        <v>127.0</v>
      </c>
      <c r="B128" s="5" t="s">
        <v>649</v>
      </c>
      <c r="C128" s="5" t="s">
        <v>20</v>
      </c>
    </row>
    <row r="129">
      <c r="A129" s="5">
        <v>128.0</v>
      </c>
      <c r="B129" s="5" t="s">
        <v>650</v>
      </c>
      <c r="C129" s="5" t="s">
        <v>20</v>
      </c>
    </row>
    <row r="130">
      <c r="A130" s="5">
        <v>129.0</v>
      </c>
      <c r="B130" s="5" t="s">
        <v>652</v>
      </c>
      <c r="C130" s="5" t="s">
        <v>20</v>
      </c>
    </row>
    <row r="131">
      <c r="A131" s="5">
        <v>130.0</v>
      </c>
      <c r="B131" s="5" t="s">
        <v>655</v>
      </c>
      <c r="C131" s="5" t="s">
        <v>20</v>
      </c>
    </row>
    <row r="132">
      <c r="A132" s="5">
        <v>131.0</v>
      </c>
      <c r="B132" s="5" t="s">
        <v>658</v>
      </c>
      <c r="C132" s="5" t="s">
        <v>20</v>
      </c>
    </row>
    <row r="133">
      <c r="A133" s="5">
        <v>132.0</v>
      </c>
      <c r="B133" s="5" t="s">
        <v>661</v>
      </c>
      <c r="C133" s="5" t="s">
        <v>20</v>
      </c>
    </row>
    <row r="134">
      <c r="A134" s="5">
        <v>133.0</v>
      </c>
      <c r="B134" s="5" t="s">
        <v>664</v>
      </c>
      <c r="C134" s="5" t="s">
        <v>20</v>
      </c>
    </row>
    <row r="135">
      <c r="A135" s="5">
        <v>134.0</v>
      </c>
      <c r="B135" s="5" t="s">
        <v>666</v>
      </c>
      <c r="C135" s="5" t="s">
        <v>20</v>
      </c>
    </row>
    <row r="136">
      <c r="A136" s="5">
        <v>135.0</v>
      </c>
      <c r="B136" s="5" t="s">
        <v>668</v>
      </c>
      <c r="C136" s="5" t="s">
        <v>20</v>
      </c>
    </row>
    <row r="137">
      <c r="A137" s="5">
        <v>136.0</v>
      </c>
      <c r="B137" s="5" t="s">
        <v>670</v>
      </c>
      <c r="C137" s="5" t="s">
        <v>20</v>
      </c>
    </row>
    <row r="138">
      <c r="A138" s="5">
        <v>137.0</v>
      </c>
      <c r="B138" s="5" t="s">
        <v>672</v>
      </c>
      <c r="C138" s="5" t="s">
        <v>20</v>
      </c>
    </row>
    <row r="139">
      <c r="A139" s="5">
        <v>138.0</v>
      </c>
      <c r="B139" s="5" t="s">
        <v>675</v>
      </c>
      <c r="C139" s="5" t="s">
        <v>20</v>
      </c>
    </row>
    <row r="140">
      <c r="A140" s="5">
        <v>139.0</v>
      </c>
      <c r="B140" s="5" t="s">
        <v>676</v>
      </c>
      <c r="C140" s="5" t="s">
        <v>20</v>
      </c>
    </row>
    <row r="141">
      <c r="A141" s="5">
        <v>140.0</v>
      </c>
      <c r="B141" s="5" t="s">
        <v>678</v>
      </c>
      <c r="C141" s="5" t="s">
        <v>20</v>
      </c>
    </row>
    <row r="142">
      <c r="A142" s="5">
        <v>141.0</v>
      </c>
      <c r="B142" s="5" t="s">
        <v>680</v>
      </c>
      <c r="C142" s="5" t="s">
        <v>20</v>
      </c>
    </row>
    <row r="143">
      <c r="A143" s="5">
        <v>142.0</v>
      </c>
      <c r="B143" s="5" t="s">
        <v>682</v>
      </c>
      <c r="C143" s="5" t="s">
        <v>20</v>
      </c>
    </row>
    <row r="144">
      <c r="A144" s="5">
        <v>143.0</v>
      </c>
      <c r="B144" s="5" t="s">
        <v>683</v>
      </c>
      <c r="C144" s="5" t="s">
        <v>20</v>
      </c>
    </row>
    <row r="145">
      <c r="A145" s="5">
        <v>144.0</v>
      </c>
      <c r="B145" s="5" t="s">
        <v>685</v>
      </c>
      <c r="C145" s="5" t="s">
        <v>20</v>
      </c>
    </row>
    <row r="146">
      <c r="A146" s="5">
        <v>145.0</v>
      </c>
      <c r="B146" s="5" t="s">
        <v>686</v>
      </c>
      <c r="C146" s="5" t="s">
        <v>20</v>
      </c>
    </row>
    <row r="147">
      <c r="A147" s="5">
        <v>146.0</v>
      </c>
      <c r="B147" s="5" t="s">
        <v>688</v>
      </c>
      <c r="C147" s="5" t="s">
        <v>20</v>
      </c>
    </row>
    <row r="148">
      <c r="A148" s="5">
        <v>147.0</v>
      </c>
      <c r="B148" s="5" t="s">
        <v>690</v>
      </c>
      <c r="C148" s="5" t="s">
        <v>20</v>
      </c>
    </row>
    <row r="149">
      <c r="A149" s="5">
        <v>148.0</v>
      </c>
      <c r="B149" s="5" t="s">
        <v>692</v>
      </c>
      <c r="C149" s="5" t="s">
        <v>20</v>
      </c>
    </row>
    <row r="150">
      <c r="A150" s="5">
        <v>149.0</v>
      </c>
      <c r="B150" s="5" t="s">
        <v>693</v>
      </c>
      <c r="C150" s="5" t="s">
        <v>20</v>
      </c>
    </row>
    <row r="151">
      <c r="A151" s="5">
        <v>150.0</v>
      </c>
      <c r="B151" s="5" t="s">
        <v>695</v>
      </c>
      <c r="C151" s="5" t="s">
        <v>20</v>
      </c>
    </row>
    <row r="152">
      <c r="A152" s="5">
        <v>151.0</v>
      </c>
      <c r="B152" s="5" t="s">
        <v>696</v>
      </c>
      <c r="C152" s="5" t="s">
        <v>20</v>
      </c>
    </row>
    <row r="153">
      <c r="A153" s="5">
        <v>152.0</v>
      </c>
      <c r="B153" s="5" t="s">
        <v>697</v>
      </c>
      <c r="C153" s="5" t="s">
        <v>20</v>
      </c>
    </row>
    <row r="154">
      <c r="A154" s="5">
        <v>153.0</v>
      </c>
      <c r="B154" s="5" t="s">
        <v>698</v>
      </c>
      <c r="C154" s="5" t="s">
        <v>20</v>
      </c>
    </row>
    <row r="155">
      <c r="A155" s="5">
        <v>154.0</v>
      </c>
      <c r="B155" s="5" t="s">
        <v>700</v>
      </c>
      <c r="C155" s="5" t="s">
        <v>20</v>
      </c>
    </row>
    <row r="156">
      <c r="A156" s="5">
        <v>155.0</v>
      </c>
      <c r="B156" s="5" t="s">
        <v>702</v>
      </c>
      <c r="C156" s="5" t="s">
        <v>20</v>
      </c>
    </row>
    <row r="157">
      <c r="A157" s="5">
        <v>156.0</v>
      </c>
      <c r="B157" s="5" t="s">
        <v>707</v>
      </c>
      <c r="C157" s="5" t="s">
        <v>20</v>
      </c>
    </row>
    <row r="158">
      <c r="A158" s="5">
        <v>157.0</v>
      </c>
      <c r="B158" s="5" t="s">
        <v>710</v>
      </c>
      <c r="C158" s="5" t="s">
        <v>20</v>
      </c>
    </row>
    <row r="159">
      <c r="A159" s="5">
        <v>158.0</v>
      </c>
      <c r="B159" s="5" t="s">
        <v>712</v>
      </c>
      <c r="C159" s="5" t="s">
        <v>20</v>
      </c>
    </row>
    <row r="160">
      <c r="A160" s="5">
        <v>159.0</v>
      </c>
      <c r="B160" s="5" t="s">
        <v>717</v>
      </c>
      <c r="C160" s="5" t="s">
        <v>20</v>
      </c>
    </row>
    <row r="161">
      <c r="A161" s="5">
        <v>160.0</v>
      </c>
      <c r="B161" s="5" t="s">
        <v>719</v>
      </c>
      <c r="C161" s="5" t="s">
        <v>20</v>
      </c>
    </row>
    <row r="162">
      <c r="A162" s="5">
        <v>161.0</v>
      </c>
      <c r="B162" s="5" t="s">
        <v>723</v>
      </c>
      <c r="C162" s="5" t="s">
        <v>20</v>
      </c>
    </row>
    <row r="163">
      <c r="A163" s="5">
        <v>162.0</v>
      </c>
      <c r="B163" s="5" t="s">
        <v>726</v>
      </c>
      <c r="C163" s="5" t="s">
        <v>20</v>
      </c>
    </row>
    <row r="164">
      <c r="A164" s="5">
        <v>163.0</v>
      </c>
      <c r="B164" s="5" t="s">
        <v>727</v>
      </c>
      <c r="C164" s="5" t="s">
        <v>20</v>
      </c>
    </row>
    <row r="165">
      <c r="A165" s="5">
        <v>164.0</v>
      </c>
      <c r="B165" s="5" t="s">
        <v>730</v>
      </c>
      <c r="C165" s="5" t="s">
        <v>20</v>
      </c>
    </row>
    <row r="166">
      <c r="A166" s="5">
        <v>165.0</v>
      </c>
      <c r="B166" s="5" t="s">
        <v>732</v>
      </c>
      <c r="C166" s="5" t="s">
        <v>20</v>
      </c>
    </row>
    <row r="167">
      <c r="A167" s="5">
        <v>166.0</v>
      </c>
      <c r="B167" s="5" t="s">
        <v>734</v>
      </c>
      <c r="C167" s="5" t="s">
        <v>20</v>
      </c>
    </row>
    <row r="168">
      <c r="A168" s="5">
        <v>167.0</v>
      </c>
      <c r="B168" s="5" t="s">
        <v>745</v>
      </c>
      <c r="C168" s="5" t="s">
        <v>20</v>
      </c>
    </row>
    <row r="169">
      <c r="A169" s="5">
        <v>168.0</v>
      </c>
      <c r="B169" s="5" t="s">
        <v>747</v>
      </c>
      <c r="C169" s="5" t="s">
        <v>20</v>
      </c>
    </row>
    <row r="170">
      <c r="A170" s="5">
        <v>169.0</v>
      </c>
      <c r="B170" s="5" t="s">
        <v>752</v>
      </c>
      <c r="C170" s="5" t="s">
        <v>20</v>
      </c>
    </row>
    <row r="171">
      <c r="A171" s="5">
        <v>170.0</v>
      </c>
      <c r="B171" s="5" t="s">
        <v>755</v>
      </c>
      <c r="C171" s="5" t="s">
        <v>20</v>
      </c>
    </row>
    <row r="172">
      <c r="A172" s="5">
        <v>171.0</v>
      </c>
      <c r="B172" s="5" t="s">
        <v>757</v>
      </c>
      <c r="C172" s="5" t="s">
        <v>20</v>
      </c>
    </row>
    <row r="173">
      <c r="A173" s="5">
        <v>172.0</v>
      </c>
      <c r="B173" s="5" t="s">
        <v>759</v>
      </c>
      <c r="C173" s="5" t="s">
        <v>20</v>
      </c>
    </row>
    <row r="174">
      <c r="A174" s="5">
        <v>173.0</v>
      </c>
      <c r="B174" s="5" t="s">
        <v>760</v>
      </c>
      <c r="C174" s="5" t="s">
        <v>20</v>
      </c>
    </row>
    <row r="175">
      <c r="A175" s="5">
        <v>174.0</v>
      </c>
      <c r="B175" s="5" t="s">
        <v>763</v>
      </c>
      <c r="C175" s="5" t="s">
        <v>20</v>
      </c>
    </row>
    <row r="176">
      <c r="A176" s="5">
        <v>175.0</v>
      </c>
      <c r="B176" s="5" t="s">
        <v>765</v>
      </c>
      <c r="C176" s="5" t="s">
        <v>20</v>
      </c>
    </row>
    <row r="177">
      <c r="A177" s="5">
        <v>176.0</v>
      </c>
      <c r="B177" s="5" t="s">
        <v>770</v>
      </c>
      <c r="C177" s="5" t="s">
        <v>20</v>
      </c>
    </row>
    <row r="178">
      <c r="A178" s="5">
        <v>177.0</v>
      </c>
      <c r="B178" s="5" t="s">
        <v>771</v>
      </c>
      <c r="C178" s="5" t="s">
        <v>20</v>
      </c>
    </row>
    <row r="179">
      <c r="A179" s="5">
        <v>178.0</v>
      </c>
      <c r="B179" s="5" t="s">
        <v>773</v>
      </c>
      <c r="C179" s="5" t="s">
        <v>20</v>
      </c>
    </row>
    <row r="180">
      <c r="A180" s="5">
        <v>179.0</v>
      </c>
      <c r="B180" s="5" t="s">
        <v>775</v>
      </c>
      <c r="C180" s="5" t="s">
        <v>20</v>
      </c>
    </row>
    <row r="181">
      <c r="A181" s="5">
        <v>180.0</v>
      </c>
      <c r="B181" s="5" t="s">
        <v>776</v>
      </c>
      <c r="C181" s="5" t="s">
        <v>20</v>
      </c>
    </row>
    <row r="182">
      <c r="A182" s="5">
        <v>181.0</v>
      </c>
      <c r="B182" s="5" t="s">
        <v>777</v>
      </c>
      <c r="C182" s="5" t="s">
        <v>20</v>
      </c>
    </row>
    <row r="183">
      <c r="A183" s="5">
        <v>182.0</v>
      </c>
      <c r="B183" s="5" t="s">
        <v>778</v>
      </c>
      <c r="C183" s="5" t="s">
        <v>20</v>
      </c>
    </row>
    <row r="184">
      <c r="A184" s="5">
        <v>183.0</v>
      </c>
      <c r="B184" s="5" t="s">
        <v>781</v>
      </c>
      <c r="C184" s="5" t="s">
        <v>20</v>
      </c>
    </row>
    <row r="185">
      <c r="A185" s="5">
        <v>184.0</v>
      </c>
      <c r="B185" s="5" t="s">
        <v>782</v>
      </c>
      <c r="C185" s="5" t="s">
        <v>20</v>
      </c>
    </row>
    <row r="186">
      <c r="A186" s="5">
        <v>185.0</v>
      </c>
      <c r="B186" s="5" t="s">
        <v>783</v>
      </c>
      <c r="C186" s="5" t="s">
        <v>20</v>
      </c>
    </row>
    <row r="187">
      <c r="A187" s="5">
        <v>186.0</v>
      </c>
      <c r="B187" s="5" t="s">
        <v>785</v>
      </c>
      <c r="C187" s="5" t="s">
        <v>20</v>
      </c>
    </row>
    <row r="188">
      <c r="A188" s="5">
        <v>187.0</v>
      </c>
      <c r="B188" s="5" t="s">
        <v>787</v>
      </c>
      <c r="C188" s="5" t="s">
        <v>20</v>
      </c>
    </row>
    <row r="189">
      <c r="A189" s="5">
        <v>188.0</v>
      </c>
      <c r="B189" s="5" t="s">
        <v>788</v>
      </c>
      <c r="C189" s="5" t="s">
        <v>20</v>
      </c>
    </row>
    <row r="190">
      <c r="A190" s="5">
        <v>189.0</v>
      </c>
      <c r="B190" s="5" t="s">
        <v>789</v>
      </c>
      <c r="C190" s="5" t="s">
        <v>20</v>
      </c>
    </row>
    <row r="191">
      <c r="A191" s="5">
        <v>190.0</v>
      </c>
      <c r="B191" s="5" t="s">
        <v>790</v>
      </c>
      <c r="C191" s="5" t="s">
        <v>20</v>
      </c>
    </row>
    <row r="192">
      <c r="A192" s="5">
        <v>191.0</v>
      </c>
      <c r="B192" s="5" t="s">
        <v>793</v>
      </c>
      <c r="C192" s="5" t="s">
        <v>20</v>
      </c>
    </row>
    <row r="193">
      <c r="A193" s="5">
        <v>192.0</v>
      </c>
      <c r="B193" s="5" t="s">
        <v>795</v>
      </c>
      <c r="C193" s="5" t="s">
        <v>20</v>
      </c>
    </row>
    <row r="194">
      <c r="A194" s="5">
        <v>193.0</v>
      </c>
      <c r="B194" s="5" t="s">
        <v>797</v>
      </c>
      <c r="C194" s="5" t="s">
        <v>20</v>
      </c>
    </row>
    <row r="195">
      <c r="A195" s="5">
        <v>194.0</v>
      </c>
      <c r="B195" s="5" t="s">
        <v>799</v>
      </c>
      <c r="C195" s="5" t="s">
        <v>20</v>
      </c>
    </row>
    <row r="196">
      <c r="A196" s="5">
        <v>195.0</v>
      </c>
      <c r="B196" s="5" t="s">
        <v>801</v>
      </c>
      <c r="C196" s="5" t="s">
        <v>20</v>
      </c>
    </row>
    <row r="197">
      <c r="A197" s="5">
        <v>196.0</v>
      </c>
      <c r="B197" s="5" t="s">
        <v>805</v>
      </c>
      <c r="C197" s="5" t="s">
        <v>20</v>
      </c>
    </row>
    <row r="198">
      <c r="A198" s="5">
        <v>197.0</v>
      </c>
      <c r="B198" s="5" t="s">
        <v>807</v>
      </c>
      <c r="C198" s="5" t="s">
        <v>20</v>
      </c>
    </row>
    <row r="199">
      <c r="A199" s="5">
        <v>198.0</v>
      </c>
      <c r="B199" s="5" t="s">
        <v>808</v>
      </c>
      <c r="C199" s="5" t="s">
        <v>20</v>
      </c>
    </row>
    <row r="200">
      <c r="A200" s="5">
        <v>199.0</v>
      </c>
      <c r="B200" s="5" t="s">
        <v>813</v>
      </c>
      <c r="C200" s="5" t="s">
        <v>20</v>
      </c>
    </row>
    <row r="201">
      <c r="A201" s="5">
        <v>200.0</v>
      </c>
      <c r="B201" s="5" t="s">
        <v>814</v>
      </c>
      <c r="C201" s="5" t="s">
        <v>20</v>
      </c>
    </row>
    <row r="202">
      <c r="A202" s="5">
        <v>201.0</v>
      </c>
      <c r="B202" s="5" t="s">
        <v>815</v>
      </c>
      <c r="C202" s="5" t="s">
        <v>20</v>
      </c>
    </row>
    <row r="203">
      <c r="A203" s="5">
        <v>202.0</v>
      </c>
      <c r="B203" s="5" t="s">
        <v>818</v>
      </c>
      <c r="C203" s="5" t="s">
        <v>20</v>
      </c>
    </row>
    <row r="204">
      <c r="A204" s="5">
        <v>203.0</v>
      </c>
      <c r="B204" s="5" t="s">
        <v>820</v>
      </c>
      <c r="C204" s="5" t="s">
        <v>20</v>
      </c>
    </row>
    <row r="205">
      <c r="A205" s="5">
        <v>204.0</v>
      </c>
      <c r="B205" s="5" t="s">
        <v>823</v>
      </c>
      <c r="C205" s="5" t="s">
        <v>20</v>
      </c>
    </row>
    <row r="206">
      <c r="A206" s="5">
        <v>205.0</v>
      </c>
      <c r="B206" s="5" t="s">
        <v>826</v>
      </c>
      <c r="C206" s="5" t="s">
        <v>20</v>
      </c>
    </row>
    <row r="207">
      <c r="A207" s="5">
        <v>206.0</v>
      </c>
      <c r="B207" s="5" t="s">
        <v>829</v>
      </c>
      <c r="C207" s="5" t="s">
        <v>20</v>
      </c>
    </row>
    <row r="208">
      <c r="A208" s="5">
        <v>207.0</v>
      </c>
      <c r="B208" s="5" t="s">
        <v>835</v>
      </c>
      <c r="C208" s="5" t="s">
        <v>20</v>
      </c>
    </row>
    <row r="209">
      <c r="A209" s="5">
        <v>208.0</v>
      </c>
      <c r="B209" s="5" t="s">
        <v>840</v>
      </c>
      <c r="C209" s="5" t="s">
        <v>20</v>
      </c>
    </row>
    <row r="210">
      <c r="A210" s="5">
        <v>209.0</v>
      </c>
      <c r="B210" s="5" t="s">
        <v>843</v>
      </c>
      <c r="C210" s="5" t="s">
        <v>20</v>
      </c>
    </row>
    <row r="211">
      <c r="A211" s="5">
        <v>210.0</v>
      </c>
      <c r="B211" s="5" t="s">
        <v>849</v>
      </c>
      <c r="C211" s="5" t="s">
        <v>20</v>
      </c>
    </row>
    <row r="212">
      <c r="A212" s="5">
        <v>211.0</v>
      </c>
      <c r="B212" s="5" t="s">
        <v>853</v>
      </c>
      <c r="C212" s="5" t="s">
        <v>20</v>
      </c>
    </row>
    <row r="213">
      <c r="A213" s="5">
        <v>212.0</v>
      </c>
      <c r="B213" s="5" t="s">
        <v>859</v>
      </c>
      <c r="C213" s="5" t="s">
        <v>20</v>
      </c>
    </row>
    <row r="214">
      <c r="A214" s="5">
        <v>213.0</v>
      </c>
      <c r="B214" s="5" t="s">
        <v>862</v>
      </c>
      <c r="C214" s="5" t="s">
        <v>20</v>
      </c>
    </row>
    <row r="215">
      <c r="A215" s="5">
        <v>214.0</v>
      </c>
      <c r="B215" s="5" t="s">
        <v>863</v>
      </c>
      <c r="C215" s="5" t="s">
        <v>20</v>
      </c>
    </row>
    <row r="216">
      <c r="A216" s="5">
        <v>215.0</v>
      </c>
      <c r="B216" s="5" t="s">
        <v>865</v>
      </c>
      <c r="C216" s="5" t="s">
        <v>20</v>
      </c>
    </row>
    <row r="217">
      <c r="A217" s="5">
        <v>216.0</v>
      </c>
      <c r="B217" s="5" t="s">
        <v>866</v>
      </c>
      <c r="C217" s="5" t="s">
        <v>20</v>
      </c>
    </row>
    <row r="218">
      <c r="A218" s="5">
        <v>217.0</v>
      </c>
      <c r="B218" s="5" t="s">
        <v>867</v>
      </c>
      <c r="C218" s="5" t="s">
        <v>20</v>
      </c>
    </row>
    <row r="219">
      <c r="A219" s="5">
        <v>218.0</v>
      </c>
      <c r="B219" s="5" t="s">
        <v>868</v>
      </c>
      <c r="C219" s="5" t="s">
        <v>20</v>
      </c>
    </row>
    <row r="220">
      <c r="A220" s="5">
        <v>219.0</v>
      </c>
      <c r="B220" s="5" t="s">
        <v>870</v>
      </c>
      <c r="C220" s="5" t="s">
        <v>20</v>
      </c>
    </row>
    <row r="221">
      <c r="A221" s="5">
        <v>220.0</v>
      </c>
      <c r="B221" s="5" t="s">
        <v>872</v>
      </c>
      <c r="C221" s="5" t="s">
        <v>20</v>
      </c>
    </row>
    <row r="222">
      <c r="A222" s="5">
        <v>221.0</v>
      </c>
      <c r="B222" s="5" t="s">
        <v>874</v>
      </c>
      <c r="C222" s="5" t="s">
        <v>20</v>
      </c>
    </row>
    <row r="223">
      <c r="A223" s="5">
        <v>222.0</v>
      </c>
      <c r="B223" s="5" t="s">
        <v>877</v>
      </c>
      <c r="C223" s="5" t="s">
        <v>20</v>
      </c>
    </row>
    <row r="224">
      <c r="A224" s="5">
        <v>223.0</v>
      </c>
      <c r="B224" s="5" t="s">
        <v>883</v>
      </c>
      <c r="C224" s="5" t="s">
        <v>20</v>
      </c>
    </row>
    <row r="225">
      <c r="A225" s="5">
        <v>224.0</v>
      </c>
      <c r="B225" s="5" t="s">
        <v>885</v>
      </c>
      <c r="C225" s="5" t="s">
        <v>20</v>
      </c>
    </row>
    <row r="226">
      <c r="A226" s="5">
        <v>225.0</v>
      </c>
      <c r="B226" s="5" t="s">
        <v>887</v>
      </c>
      <c r="C226" s="5" t="s">
        <v>20</v>
      </c>
    </row>
    <row r="227">
      <c r="A227" s="5">
        <v>226.0</v>
      </c>
      <c r="B227" s="5" t="s">
        <v>889</v>
      </c>
      <c r="C227" s="5" t="s">
        <v>20</v>
      </c>
    </row>
    <row r="228">
      <c r="A228" s="5">
        <v>227.0</v>
      </c>
      <c r="B228" s="5" t="s">
        <v>893</v>
      </c>
      <c r="C228" s="5" t="s">
        <v>20</v>
      </c>
    </row>
    <row r="229">
      <c r="A229" s="5">
        <v>228.0</v>
      </c>
      <c r="B229" s="5" t="s">
        <v>896</v>
      </c>
      <c r="C229" s="5" t="s">
        <v>20</v>
      </c>
    </row>
    <row r="230">
      <c r="A230" s="5">
        <v>229.0</v>
      </c>
      <c r="B230" s="5" t="s">
        <v>898</v>
      </c>
      <c r="C230" s="5" t="s">
        <v>20</v>
      </c>
    </row>
    <row r="231">
      <c r="A231" s="5">
        <v>230.0</v>
      </c>
      <c r="B231" s="5" t="s">
        <v>901</v>
      </c>
      <c r="C231" s="5" t="s">
        <v>20</v>
      </c>
    </row>
    <row r="232">
      <c r="A232" s="5">
        <v>231.0</v>
      </c>
      <c r="B232" s="5" t="s">
        <v>902</v>
      </c>
      <c r="C232" s="5" t="s">
        <v>20</v>
      </c>
    </row>
    <row r="233">
      <c r="A233" s="5">
        <v>232.0</v>
      </c>
      <c r="B233" s="5" t="s">
        <v>903</v>
      </c>
      <c r="C233" s="5" t="s">
        <v>20</v>
      </c>
    </row>
    <row r="234">
      <c r="A234" s="5">
        <v>233.0</v>
      </c>
      <c r="B234" s="5" t="s">
        <v>905</v>
      </c>
      <c r="C234" s="5" t="s">
        <v>20</v>
      </c>
    </row>
    <row r="235">
      <c r="A235" s="5">
        <v>234.0</v>
      </c>
      <c r="B235" s="5" t="s">
        <v>907</v>
      </c>
      <c r="C235" s="5" t="s">
        <v>20</v>
      </c>
    </row>
    <row r="236">
      <c r="A236" s="5">
        <v>235.0</v>
      </c>
      <c r="B236" s="5" t="s">
        <v>909</v>
      </c>
      <c r="C236" s="5" t="s">
        <v>20</v>
      </c>
    </row>
    <row r="237">
      <c r="A237" s="5">
        <v>236.0</v>
      </c>
      <c r="B237" s="5" t="s">
        <v>910</v>
      </c>
      <c r="C237" s="5" t="s">
        <v>20</v>
      </c>
    </row>
    <row r="238">
      <c r="A238" s="5">
        <v>237.0</v>
      </c>
      <c r="B238" s="5" t="s">
        <v>916</v>
      </c>
      <c r="C238" s="5" t="s">
        <v>20</v>
      </c>
    </row>
    <row r="239">
      <c r="A239" s="5">
        <v>238.0</v>
      </c>
      <c r="B239" s="5" t="s">
        <v>918</v>
      </c>
      <c r="C239" s="5" t="s">
        <v>20</v>
      </c>
    </row>
    <row r="240">
      <c r="A240" s="5">
        <v>239.0</v>
      </c>
      <c r="B240" s="5" t="s">
        <v>922</v>
      </c>
      <c r="C240" s="5" t="s">
        <v>20</v>
      </c>
    </row>
    <row r="241">
      <c r="A241" s="5">
        <v>240.0</v>
      </c>
      <c r="B241" s="5" t="s">
        <v>925</v>
      </c>
      <c r="C241" s="5" t="s">
        <v>20</v>
      </c>
    </row>
    <row r="242">
      <c r="A242" s="5">
        <v>241.0</v>
      </c>
      <c r="B242" s="5" t="s">
        <v>927</v>
      </c>
      <c r="C242" s="5" t="s">
        <v>20</v>
      </c>
    </row>
    <row r="243">
      <c r="A243" s="5">
        <v>242.0</v>
      </c>
      <c r="B243" s="5" t="s">
        <v>930</v>
      </c>
      <c r="C243" s="5" t="s">
        <v>20</v>
      </c>
    </row>
    <row r="244">
      <c r="A244" s="5">
        <v>243.0</v>
      </c>
      <c r="B244" s="5" t="s">
        <v>932</v>
      </c>
      <c r="C244" s="5" t="s">
        <v>20</v>
      </c>
    </row>
    <row r="245">
      <c r="A245" s="5">
        <v>244.0</v>
      </c>
      <c r="B245" s="5" t="s">
        <v>933</v>
      </c>
      <c r="C245" s="5" t="s">
        <v>20</v>
      </c>
    </row>
    <row r="246">
      <c r="A246" s="5">
        <v>245.0</v>
      </c>
      <c r="B246" s="5" t="s">
        <v>937</v>
      </c>
      <c r="C246" s="5" t="s">
        <v>20</v>
      </c>
    </row>
    <row r="247">
      <c r="A247" s="5">
        <v>246.0</v>
      </c>
      <c r="B247" s="5" t="s">
        <v>938</v>
      </c>
      <c r="C247" s="5" t="s">
        <v>20</v>
      </c>
    </row>
    <row r="248">
      <c r="A248" s="5">
        <v>247.0</v>
      </c>
      <c r="B248" s="5" t="s">
        <v>945</v>
      </c>
      <c r="C248" s="5" t="s">
        <v>20</v>
      </c>
    </row>
    <row r="249">
      <c r="A249" s="5">
        <v>248.0</v>
      </c>
      <c r="B249" s="5" t="s">
        <v>948</v>
      </c>
      <c r="C249" s="5" t="s">
        <v>20</v>
      </c>
    </row>
    <row r="250">
      <c r="A250" s="5">
        <v>249.0</v>
      </c>
      <c r="B250" s="5" t="s">
        <v>952</v>
      </c>
      <c r="C250" s="5" t="s">
        <v>20</v>
      </c>
    </row>
    <row r="251">
      <c r="A251" s="5">
        <v>250.0</v>
      </c>
      <c r="B251" s="5" t="s">
        <v>953</v>
      </c>
      <c r="C251" s="5" t="s">
        <v>20</v>
      </c>
    </row>
    <row r="252">
      <c r="A252" s="5">
        <v>251.0</v>
      </c>
      <c r="B252" s="5" t="s">
        <v>957</v>
      </c>
      <c r="C252" s="5" t="s">
        <v>20</v>
      </c>
    </row>
    <row r="253">
      <c r="A253" s="5">
        <v>252.0</v>
      </c>
      <c r="B253" s="5" t="s">
        <v>960</v>
      </c>
      <c r="C253" s="5" t="s">
        <v>20</v>
      </c>
    </row>
    <row r="254">
      <c r="A254" s="5">
        <v>253.0</v>
      </c>
      <c r="B254" s="5" t="s">
        <v>962</v>
      </c>
      <c r="C254" s="5" t="s">
        <v>20</v>
      </c>
    </row>
    <row r="255">
      <c r="A255" s="5">
        <v>254.0</v>
      </c>
      <c r="B255" s="5" t="s">
        <v>965</v>
      </c>
      <c r="C255" s="5" t="s">
        <v>20</v>
      </c>
    </row>
    <row r="256">
      <c r="A256" s="5">
        <v>255.0</v>
      </c>
      <c r="B256" s="5" t="s">
        <v>970</v>
      </c>
      <c r="C256" s="5" t="s">
        <v>20</v>
      </c>
    </row>
    <row r="257">
      <c r="A257" s="5">
        <v>256.0</v>
      </c>
      <c r="B257" s="5" t="s">
        <v>971</v>
      </c>
      <c r="C257" s="5" t="s">
        <v>20</v>
      </c>
    </row>
    <row r="258">
      <c r="A258" s="5">
        <v>257.0</v>
      </c>
      <c r="B258" s="5" t="s">
        <v>973</v>
      </c>
      <c r="C258" s="5" t="s">
        <v>20</v>
      </c>
    </row>
    <row r="259">
      <c r="A259" s="5">
        <v>258.0</v>
      </c>
      <c r="B259" s="5" t="s">
        <v>977</v>
      </c>
      <c r="C259" s="5" t="s">
        <v>20</v>
      </c>
    </row>
    <row r="260">
      <c r="A260" s="5">
        <v>259.0</v>
      </c>
      <c r="B260" s="5" t="s">
        <v>979</v>
      </c>
      <c r="C260" s="5" t="s">
        <v>20</v>
      </c>
    </row>
    <row r="261">
      <c r="A261" s="5">
        <v>260.0</v>
      </c>
      <c r="B261" s="5" t="s">
        <v>981</v>
      </c>
      <c r="C261" s="5" t="s">
        <v>20</v>
      </c>
    </row>
    <row r="262">
      <c r="A262" s="5">
        <v>261.0</v>
      </c>
      <c r="B262" s="5" t="s">
        <v>986</v>
      </c>
      <c r="C262" s="5" t="s">
        <v>20</v>
      </c>
    </row>
    <row r="263">
      <c r="A263" s="5">
        <v>262.0</v>
      </c>
      <c r="B263" s="5" t="s">
        <v>988</v>
      </c>
      <c r="C263" s="5" t="s">
        <v>20</v>
      </c>
    </row>
    <row r="264">
      <c r="A264" s="5">
        <v>263.0</v>
      </c>
      <c r="B264" s="5" t="s">
        <v>990</v>
      </c>
      <c r="C264" s="5" t="s">
        <v>20</v>
      </c>
    </row>
    <row r="265">
      <c r="A265" s="5">
        <v>264.0</v>
      </c>
      <c r="B265" s="5" t="s">
        <v>993</v>
      </c>
      <c r="C265" s="5" t="s">
        <v>20</v>
      </c>
    </row>
    <row r="266">
      <c r="A266" s="5">
        <v>265.0</v>
      </c>
      <c r="B266" s="5" t="s">
        <v>995</v>
      </c>
      <c r="C266" s="5" t="s">
        <v>20</v>
      </c>
    </row>
    <row r="267">
      <c r="A267" s="5">
        <v>266.0</v>
      </c>
      <c r="B267" s="5" t="s">
        <v>997</v>
      </c>
      <c r="C267" s="5" t="s">
        <v>20</v>
      </c>
    </row>
    <row r="268">
      <c r="A268" s="5">
        <v>267.0</v>
      </c>
      <c r="B268" s="5" t="s">
        <v>998</v>
      </c>
      <c r="C268" s="5" t="s">
        <v>20</v>
      </c>
    </row>
    <row r="269">
      <c r="A269" s="5">
        <v>268.0</v>
      </c>
      <c r="B269" s="5" t="s">
        <v>999</v>
      </c>
      <c r="C269" s="5" t="s">
        <v>20</v>
      </c>
    </row>
    <row r="270">
      <c r="A270" s="5">
        <v>269.0</v>
      </c>
      <c r="B270" s="5" t="s">
        <v>1001</v>
      </c>
      <c r="C270" s="5" t="s">
        <v>20</v>
      </c>
    </row>
    <row r="271">
      <c r="A271" s="5">
        <v>270.0</v>
      </c>
      <c r="B271" s="5" t="s">
        <v>1004</v>
      </c>
      <c r="C271" s="5" t="s">
        <v>20</v>
      </c>
    </row>
    <row r="272">
      <c r="A272" s="5">
        <v>271.0</v>
      </c>
      <c r="B272" s="5" t="s">
        <v>1006</v>
      </c>
      <c r="C272" s="5" t="s">
        <v>20</v>
      </c>
    </row>
    <row r="273">
      <c r="A273" s="5">
        <v>272.0</v>
      </c>
      <c r="B273" s="5" t="s">
        <v>1008</v>
      </c>
      <c r="C273" s="5" t="s">
        <v>20</v>
      </c>
    </row>
    <row r="274">
      <c r="A274" s="5">
        <v>273.0</v>
      </c>
      <c r="B274" s="5" t="s">
        <v>1011</v>
      </c>
      <c r="C274" s="5" t="s">
        <v>20</v>
      </c>
    </row>
    <row r="275">
      <c r="A275" s="5">
        <v>274.0</v>
      </c>
      <c r="B275" s="5" t="s">
        <v>1013</v>
      </c>
      <c r="C275" s="5" t="s">
        <v>20</v>
      </c>
    </row>
    <row r="276">
      <c r="A276" s="5">
        <v>275.0</v>
      </c>
      <c r="B276" s="5" t="s">
        <v>1015</v>
      </c>
      <c r="C276" s="5" t="s">
        <v>20</v>
      </c>
    </row>
    <row r="277">
      <c r="A277" s="5">
        <v>276.0</v>
      </c>
      <c r="B277" s="5" t="s">
        <v>1016</v>
      </c>
      <c r="C277" s="5" t="s">
        <v>20</v>
      </c>
    </row>
    <row r="278">
      <c r="A278" s="5">
        <v>277.0</v>
      </c>
      <c r="B278" s="5" t="s">
        <v>1017</v>
      </c>
      <c r="C278" s="5" t="s">
        <v>20</v>
      </c>
    </row>
    <row r="279">
      <c r="A279" s="5">
        <v>278.0</v>
      </c>
      <c r="B279" s="5" t="s">
        <v>1020</v>
      </c>
      <c r="C279" s="5" t="s">
        <v>20</v>
      </c>
    </row>
    <row r="280">
      <c r="A280" s="5">
        <v>279.0</v>
      </c>
      <c r="B280" s="5" t="s">
        <v>1021</v>
      </c>
      <c r="C280" s="5" t="s">
        <v>20</v>
      </c>
    </row>
    <row r="281">
      <c r="A281" s="5">
        <v>280.0</v>
      </c>
      <c r="B281" s="5" t="s">
        <v>1024</v>
      </c>
      <c r="C281" s="5" t="s">
        <v>20</v>
      </c>
    </row>
    <row r="282">
      <c r="A282" s="5">
        <v>281.0</v>
      </c>
      <c r="B282" s="5" t="s">
        <v>1027</v>
      </c>
      <c r="C282" s="5" t="s">
        <v>20</v>
      </c>
    </row>
    <row r="283">
      <c r="A283" s="5">
        <v>282.0</v>
      </c>
      <c r="B283" s="5" t="s">
        <v>1030</v>
      </c>
      <c r="C283" s="5" t="s">
        <v>20</v>
      </c>
    </row>
    <row r="284">
      <c r="A284" s="5">
        <v>283.0</v>
      </c>
      <c r="B284" s="5" t="s">
        <v>1032</v>
      </c>
      <c r="C284" s="5" t="s">
        <v>20</v>
      </c>
    </row>
    <row r="285">
      <c r="A285" s="5">
        <v>284.0</v>
      </c>
      <c r="B285" s="5" t="s">
        <v>1033</v>
      </c>
      <c r="C285" s="5" t="s">
        <v>20</v>
      </c>
    </row>
    <row r="286">
      <c r="A286" s="5">
        <v>285.0</v>
      </c>
      <c r="B286" s="5" t="s">
        <v>1035</v>
      </c>
      <c r="C286" s="5" t="s">
        <v>20</v>
      </c>
    </row>
    <row r="287">
      <c r="A287" s="5">
        <v>286.0</v>
      </c>
      <c r="B287" s="5" t="s">
        <v>1039</v>
      </c>
      <c r="C287" s="5" t="s">
        <v>20</v>
      </c>
    </row>
    <row r="288">
      <c r="A288" s="5">
        <v>287.0</v>
      </c>
      <c r="B288" s="5" t="s">
        <v>1042</v>
      </c>
      <c r="C288" s="5" t="s">
        <v>20</v>
      </c>
    </row>
    <row r="289">
      <c r="A289" s="5">
        <v>288.0</v>
      </c>
      <c r="B289" s="5" t="s">
        <v>1044</v>
      </c>
      <c r="C289" s="5" t="s">
        <v>20</v>
      </c>
    </row>
    <row r="290">
      <c r="A290" s="5">
        <v>289.0</v>
      </c>
      <c r="B290" s="5" t="s">
        <v>1049</v>
      </c>
      <c r="C290" s="5" t="s">
        <v>20</v>
      </c>
    </row>
    <row r="291">
      <c r="A291" s="5">
        <v>290.0</v>
      </c>
      <c r="B291" s="5" t="s">
        <v>1051</v>
      </c>
      <c r="C291" s="5" t="s">
        <v>20</v>
      </c>
    </row>
    <row r="292">
      <c r="A292" s="5">
        <v>291.0</v>
      </c>
      <c r="B292" s="5" t="s">
        <v>1053</v>
      </c>
      <c r="C292" s="5" t="s">
        <v>20</v>
      </c>
    </row>
    <row r="293">
      <c r="A293" s="5">
        <v>292.0</v>
      </c>
      <c r="B293" s="5" t="s">
        <v>1054</v>
      </c>
      <c r="C293" s="5" t="s">
        <v>20</v>
      </c>
    </row>
    <row r="294">
      <c r="A294" s="5">
        <v>293.0</v>
      </c>
      <c r="B294" s="5" t="s">
        <v>1056</v>
      </c>
      <c r="C294" s="5" t="s">
        <v>20</v>
      </c>
    </row>
    <row r="295">
      <c r="A295" s="5">
        <v>294.0</v>
      </c>
      <c r="B295" s="5" t="s">
        <v>1057</v>
      </c>
      <c r="C295" s="5" t="s">
        <v>20</v>
      </c>
    </row>
    <row r="296">
      <c r="A296" s="5">
        <v>295.0</v>
      </c>
      <c r="B296" s="5" t="s">
        <v>1058</v>
      </c>
      <c r="C296" s="5" t="s">
        <v>20</v>
      </c>
    </row>
    <row r="297">
      <c r="A297" s="5">
        <v>296.0</v>
      </c>
      <c r="B297" s="5" t="s">
        <v>1062</v>
      </c>
      <c r="C297" s="5" t="s">
        <v>20</v>
      </c>
    </row>
    <row r="298">
      <c r="A298" s="5">
        <v>297.0</v>
      </c>
      <c r="B298" s="5" t="s">
        <v>1065</v>
      </c>
      <c r="C298" s="5" t="s">
        <v>20</v>
      </c>
    </row>
    <row r="299">
      <c r="A299" s="5">
        <v>298.0</v>
      </c>
      <c r="B299" s="5" t="s">
        <v>1067</v>
      </c>
      <c r="C299" s="5" t="s">
        <v>20</v>
      </c>
    </row>
    <row r="300">
      <c r="A300" s="5">
        <v>299.0</v>
      </c>
      <c r="B300" s="5" t="s">
        <v>1068</v>
      </c>
      <c r="C300" s="5" t="s">
        <v>20</v>
      </c>
    </row>
    <row r="301">
      <c r="A301" s="5">
        <v>300.0</v>
      </c>
      <c r="B301" s="5" t="s">
        <v>1070</v>
      </c>
      <c r="C301" s="5" t="s">
        <v>20</v>
      </c>
    </row>
    <row r="302">
      <c r="A302" s="5">
        <v>301.0</v>
      </c>
      <c r="B302" s="5" t="s">
        <v>1072</v>
      </c>
      <c r="C302" s="5" t="s">
        <v>20</v>
      </c>
    </row>
    <row r="303">
      <c r="A303" s="5">
        <v>302.0</v>
      </c>
      <c r="B303" s="5" t="s">
        <v>1074</v>
      </c>
      <c r="C303" s="5" t="s">
        <v>20</v>
      </c>
    </row>
    <row r="304">
      <c r="A304" s="5">
        <v>303.0</v>
      </c>
      <c r="B304" s="5" t="s">
        <v>1077</v>
      </c>
      <c r="C304" s="5" t="s">
        <v>20</v>
      </c>
    </row>
    <row r="305">
      <c r="A305" s="5">
        <v>304.0</v>
      </c>
      <c r="B305" s="5" t="s">
        <v>1081</v>
      </c>
      <c r="C305" s="5" t="s">
        <v>20</v>
      </c>
    </row>
    <row r="306">
      <c r="A306" s="5">
        <v>305.0</v>
      </c>
      <c r="B306" s="5" t="s">
        <v>1083</v>
      </c>
      <c r="C306" s="5" t="s">
        <v>20</v>
      </c>
    </row>
    <row r="307">
      <c r="A307" s="5">
        <v>306.0</v>
      </c>
      <c r="B307" s="5" t="s">
        <v>1085</v>
      </c>
      <c r="C307" s="5" t="s">
        <v>20</v>
      </c>
    </row>
    <row r="308">
      <c r="A308" s="5">
        <v>307.0</v>
      </c>
      <c r="B308" s="5" t="s">
        <v>1087</v>
      </c>
      <c r="C308" s="5" t="s">
        <v>20</v>
      </c>
    </row>
    <row r="309">
      <c r="A309" s="5">
        <v>308.0</v>
      </c>
      <c r="B309" s="5" t="s">
        <v>1090</v>
      </c>
      <c r="C309" s="5" t="s">
        <v>20</v>
      </c>
    </row>
    <row r="310">
      <c r="A310" s="5">
        <v>309.0</v>
      </c>
      <c r="B310" s="5" t="s">
        <v>1091</v>
      </c>
      <c r="C310" s="5" t="s">
        <v>20</v>
      </c>
    </row>
    <row r="311">
      <c r="A311" s="5">
        <v>310.0</v>
      </c>
      <c r="B311" s="5" t="s">
        <v>1093</v>
      </c>
      <c r="C311" s="5" t="s">
        <v>20</v>
      </c>
    </row>
    <row r="312">
      <c r="A312" s="5">
        <v>311.0</v>
      </c>
      <c r="B312" s="5" t="s">
        <v>1095</v>
      </c>
      <c r="C312" s="5" t="s">
        <v>20</v>
      </c>
    </row>
    <row r="313">
      <c r="A313" s="5">
        <v>312.0</v>
      </c>
      <c r="B313" s="5" t="s">
        <v>1099</v>
      </c>
      <c r="C313" s="5" t="s">
        <v>20</v>
      </c>
    </row>
    <row r="314">
      <c r="A314" s="5">
        <v>313.0</v>
      </c>
      <c r="B314" s="5" t="s">
        <v>1101</v>
      </c>
      <c r="C314" s="5" t="s">
        <v>20</v>
      </c>
    </row>
    <row r="315">
      <c r="A315" s="5">
        <v>314.0</v>
      </c>
      <c r="B315" s="5" t="s">
        <v>1103</v>
      </c>
      <c r="C315" s="5" t="s">
        <v>20</v>
      </c>
    </row>
    <row r="316">
      <c r="A316" s="5">
        <v>315.0</v>
      </c>
      <c r="B316" s="5" t="s">
        <v>1109</v>
      </c>
      <c r="C316" s="5" t="s">
        <v>20</v>
      </c>
    </row>
    <row r="317">
      <c r="A317" s="5">
        <v>316.0</v>
      </c>
      <c r="B317" s="5" t="s">
        <v>1111</v>
      </c>
      <c r="C317" s="5" t="s">
        <v>20</v>
      </c>
    </row>
    <row r="318">
      <c r="A318" s="5">
        <v>317.0</v>
      </c>
      <c r="B318" s="5" t="s">
        <v>1113</v>
      </c>
      <c r="C318" s="5" t="s">
        <v>20</v>
      </c>
    </row>
    <row r="319">
      <c r="A319" s="5">
        <v>318.0</v>
      </c>
      <c r="B319" s="5" t="s">
        <v>1115</v>
      </c>
      <c r="C319" s="5" t="s">
        <v>20</v>
      </c>
    </row>
    <row r="320">
      <c r="A320" s="5">
        <v>319.0</v>
      </c>
      <c r="B320" s="5" t="s">
        <v>1116</v>
      </c>
      <c r="C320" s="5" t="s">
        <v>20</v>
      </c>
    </row>
    <row r="321">
      <c r="A321" s="5">
        <v>320.0</v>
      </c>
      <c r="B321" s="5" t="s">
        <v>1120</v>
      </c>
      <c r="C321" s="5" t="s">
        <v>20</v>
      </c>
    </row>
    <row r="322">
      <c r="A322" s="5">
        <v>321.0</v>
      </c>
      <c r="B322" s="5" t="s">
        <v>1122</v>
      </c>
      <c r="C322" s="5" t="s">
        <v>20</v>
      </c>
    </row>
    <row r="323">
      <c r="A323" s="5">
        <v>322.0</v>
      </c>
      <c r="B323" s="5" t="s">
        <v>1124</v>
      </c>
      <c r="C323" s="5" t="s">
        <v>20</v>
      </c>
    </row>
    <row r="324">
      <c r="A324" s="5">
        <v>323.0</v>
      </c>
      <c r="B324" s="5" t="s">
        <v>1126</v>
      </c>
      <c r="C324" s="5" t="s">
        <v>20</v>
      </c>
    </row>
    <row r="325">
      <c r="A325" s="5">
        <v>324.0</v>
      </c>
      <c r="B325" s="5" t="s">
        <v>1127</v>
      </c>
      <c r="C325" s="5" t="s">
        <v>20</v>
      </c>
    </row>
    <row r="326">
      <c r="A326" s="5">
        <v>325.0</v>
      </c>
      <c r="B326" s="5" t="s">
        <v>1129</v>
      </c>
      <c r="C326" s="5" t="s">
        <v>20</v>
      </c>
    </row>
    <row r="327">
      <c r="A327" s="5">
        <v>326.0</v>
      </c>
      <c r="B327" s="5" t="s">
        <v>1131</v>
      </c>
      <c r="C327" s="5" t="s">
        <v>20</v>
      </c>
    </row>
    <row r="328">
      <c r="A328" s="5">
        <v>327.0</v>
      </c>
      <c r="B328" s="5" t="s">
        <v>1133</v>
      </c>
      <c r="C328" s="5" t="s">
        <v>20</v>
      </c>
    </row>
    <row r="329">
      <c r="A329" s="5">
        <v>328.0</v>
      </c>
      <c r="B329" s="5" t="s">
        <v>1134</v>
      </c>
      <c r="C329" s="5" t="s">
        <v>20</v>
      </c>
    </row>
    <row r="330">
      <c r="A330" s="5">
        <v>329.0</v>
      </c>
      <c r="B330" s="5" t="s">
        <v>1140</v>
      </c>
      <c r="C330" s="5" t="s">
        <v>20</v>
      </c>
    </row>
    <row r="331">
      <c r="A331" s="5">
        <v>330.0</v>
      </c>
      <c r="B331" s="5" t="s">
        <v>1141</v>
      </c>
      <c r="C331" s="5" t="s">
        <v>20</v>
      </c>
    </row>
    <row r="332">
      <c r="A332" s="5">
        <v>331.0</v>
      </c>
      <c r="B332" s="5" t="s">
        <v>1144</v>
      </c>
      <c r="C332" s="5" t="s">
        <v>20</v>
      </c>
    </row>
    <row r="333">
      <c r="A333" s="5">
        <v>332.0</v>
      </c>
      <c r="B333" s="5" t="s">
        <v>1148</v>
      </c>
      <c r="C333" s="5" t="s">
        <v>20</v>
      </c>
    </row>
    <row r="334">
      <c r="A334" s="5">
        <v>333.0</v>
      </c>
      <c r="B334" s="5" t="s">
        <v>1151</v>
      </c>
      <c r="C334" s="5" t="s">
        <v>20</v>
      </c>
    </row>
    <row r="335">
      <c r="A335" s="5">
        <v>334.0</v>
      </c>
      <c r="B335" s="5" t="s">
        <v>1154</v>
      </c>
      <c r="C335" s="5" t="s">
        <v>20</v>
      </c>
    </row>
    <row r="336">
      <c r="A336" s="5">
        <v>335.0</v>
      </c>
      <c r="B336" s="5" t="s">
        <v>1157</v>
      </c>
      <c r="C336" s="5" t="s">
        <v>20</v>
      </c>
    </row>
    <row r="337">
      <c r="A337" s="5">
        <v>336.0</v>
      </c>
      <c r="B337" s="5" t="s">
        <v>1161</v>
      </c>
      <c r="C337" s="5" t="s">
        <v>20</v>
      </c>
    </row>
    <row r="338">
      <c r="A338" s="5">
        <v>337.0</v>
      </c>
      <c r="B338" s="5" t="s">
        <v>1163</v>
      </c>
      <c r="C338" s="5" t="s">
        <v>20</v>
      </c>
    </row>
    <row r="339">
      <c r="A339" s="5">
        <v>338.0</v>
      </c>
      <c r="B339" s="5" t="s">
        <v>1165</v>
      </c>
      <c r="C339" s="5" t="s">
        <v>20</v>
      </c>
    </row>
    <row r="340">
      <c r="A340" s="5">
        <v>339.0</v>
      </c>
      <c r="B340" s="5" t="s">
        <v>1169</v>
      </c>
      <c r="C340" s="5" t="s">
        <v>20</v>
      </c>
    </row>
    <row r="341">
      <c r="A341" s="5">
        <v>340.0</v>
      </c>
      <c r="B341" s="5" t="s">
        <v>1170</v>
      </c>
      <c r="C341" s="5" t="s">
        <v>20</v>
      </c>
    </row>
    <row r="342">
      <c r="A342" s="5">
        <v>341.0</v>
      </c>
      <c r="B342" s="5" t="s">
        <v>1172</v>
      </c>
      <c r="C342" s="5" t="s">
        <v>20</v>
      </c>
    </row>
    <row r="343">
      <c r="A343" s="5">
        <v>342.0</v>
      </c>
      <c r="B343" s="5" t="s">
        <v>1176</v>
      </c>
      <c r="C343" s="5" t="s">
        <v>20</v>
      </c>
    </row>
    <row r="344">
      <c r="A344" s="5">
        <v>343.0</v>
      </c>
      <c r="B344" s="5" t="s">
        <v>1178</v>
      </c>
      <c r="C344" s="5" t="s">
        <v>20</v>
      </c>
    </row>
    <row r="345">
      <c r="A345" s="5">
        <v>344.0</v>
      </c>
      <c r="B345" s="5" t="s">
        <v>1179</v>
      </c>
      <c r="C345" s="5" t="s">
        <v>20</v>
      </c>
    </row>
    <row r="346">
      <c r="A346" s="5">
        <v>345.0</v>
      </c>
      <c r="B346" s="5" t="s">
        <v>1180</v>
      </c>
      <c r="C346" s="5" t="s">
        <v>20</v>
      </c>
    </row>
    <row r="347">
      <c r="A347" s="5">
        <v>346.0</v>
      </c>
      <c r="B347" s="5" t="s">
        <v>1181</v>
      </c>
      <c r="C347" s="5" t="s">
        <v>20</v>
      </c>
    </row>
    <row r="348">
      <c r="A348" s="5">
        <v>347.0</v>
      </c>
      <c r="B348" s="5" t="s">
        <v>1182</v>
      </c>
      <c r="C348" s="5" t="s">
        <v>20</v>
      </c>
    </row>
    <row r="349">
      <c r="A349" s="5">
        <v>348.0</v>
      </c>
      <c r="B349" s="5" t="s">
        <v>1183</v>
      </c>
      <c r="C349" s="5" t="s">
        <v>20</v>
      </c>
    </row>
    <row r="350">
      <c r="A350" s="5">
        <v>349.0</v>
      </c>
      <c r="B350" s="5" t="s">
        <v>1185</v>
      </c>
      <c r="C350" s="5" t="s">
        <v>20</v>
      </c>
    </row>
    <row r="351">
      <c r="A351" s="5">
        <v>350.0</v>
      </c>
      <c r="B351" s="5" t="s">
        <v>1188</v>
      </c>
      <c r="C351" s="5" t="s">
        <v>20</v>
      </c>
    </row>
    <row r="352">
      <c r="A352" s="5">
        <v>351.0</v>
      </c>
      <c r="B352" s="5" t="s">
        <v>1191</v>
      </c>
      <c r="C352" s="5" t="s">
        <v>20</v>
      </c>
    </row>
    <row r="353">
      <c r="A353" s="5">
        <v>352.0</v>
      </c>
      <c r="B353" s="5" t="s">
        <v>1195</v>
      </c>
      <c r="C353" s="5" t="s">
        <v>20</v>
      </c>
    </row>
    <row r="354">
      <c r="A354" s="5">
        <v>353.0</v>
      </c>
      <c r="B354" s="5" t="s">
        <v>1197</v>
      </c>
      <c r="C354" s="5" t="s">
        <v>20</v>
      </c>
    </row>
    <row r="355">
      <c r="A355" s="5">
        <v>354.0</v>
      </c>
      <c r="B355" s="5" t="s">
        <v>1199</v>
      </c>
      <c r="C355" s="5" t="s">
        <v>20</v>
      </c>
    </row>
    <row r="356">
      <c r="A356" s="5">
        <v>355.0</v>
      </c>
      <c r="B356" s="5" t="s">
        <v>1201</v>
      </c>
      <c r="C356" s="5" t="s">
        <v>20</v>
      </c>
    </row>
    <row r="357">
      <c r="A357" s="5">
        <v>356.0</v>
      </c>
      <c r="B357" s="5" t="s">
        <v>1204</v>
      </c>
      <c r="C357" s="5" t="s">
        <v>20</v>
      </c>
    </row>
    <row r="358">
      <c r="A358" s="5">
        <v>357.0</v>
      </c>
      <c r="B358" s="5" t="s">
        <v>1206</v>
      </c>
      <c r="C358" s="5" t="s">
        <v>20</v>
      </c>
    </row>
    <row r="359">
      <c r="A359" s="5">
        <v>358.0</v>
      </c>
      <c r="B359" s="5" t="s">
        <v>1209</v>
      </c>
      <c r="C359" s="5" t="s">
        <v>20</v>
      </c>
    </row>
    <row r="360">
      <c r="A360" s="5">
        <v>359.0</v>
      </c>
      <c r="B360" s="5" t="s">
        <v>1212</v>
      </c>
      <c r="C360" s="5" t="s">
        <v>20</v>
      </c>
    </row>
    <row r="361">
      <c r="A361" s="5">
        <v>360.0</v>
      </c>
      <c r="B361" s="5" t="s">
        <v>1215</v>
      </c>
      <c r="C361" s="5" t="s">
        <v>20</v>
      </c>
    </row>
    <row r="362">
      <c r="A362" s="5">
        <v>361.0</v>
      </c>
      <c r="B362" s="5" t="s">
        <v>1217</v>
      </c>
      <c r="C362" s="5" t="s">
        <v>20</v>
      </c>
    </row>
    <row r="363">
      <c r="A363" s="5">
        <v>362.0</v>
      </c>
      <c r="B363" s="5" t="s">
        <v>1219</v>
      </c>
      <c r="C363" s="5" t="s">
        <v>20</v>
      </c>
    </row>
    <row r="364">
      <c r="A364" s="5">
        <v>363.0</v>
      </c>
      <c r="B364" s="5" t="s">
        <v>1222</v>
      </c>
      <c r="C364" s="5" t="s">
        <v>20</v>
      </c>
    </row>
    <row r="365">
      <c r="A365" s="5">
        <v>364.0</v>
      </c>
      <c r="B365" s="5" t="s">
        <v>1223</v>
      </c>
      <c r="C365" s="5" t="s">
        <v>20</v>
      </c>
    </row>
    <row r="366">
      <c r="A366" s="5">
        <v>365.0</v>
      </c>
      <c r="B366" s="5" t="s">
        <v>1225</v>
      </c>
      <c r="C366" s="5" t="s">
        <v>20</v>
      </c>
    </row>
    <row r="367">
      <c r="A367" s="5">
        <v>366.0</v>
      </c>
      <c r="B367" s="5" t="s">
        <v>1227</v>
      </c>
      <c r="C367" s="5" t="s">
        <v>20</v>
      </c>
    </row>
    <row r="368">
      <c r="A368" s="5">
        <v>367.0</v>
      </c>
      <c r="B368" s="5" t="s">
        <v>1228</v>
      </c>
      <c r="C368" s="5" t="s">
        <v>20</v>
      </c>
    </row>
    <row r="369">
      <c r="A369" s="5">
        <v>368.0</v>
      </c>
      <c r="B369" s="5" t="s">
        <v>1229</v>
      </c>
      <c r="C369" s="5" t="s">
        <v>20</v>
      </c>
    </row>
    <row r="370">
      <c r="A370" s="5">
        <v>369.0</v>
      </c>
      <c r="B370" s="5" t="s">
        <v>1231</v>
      </c>
      <c r="C370" s="5" t="s">
        <v>20</v>
      </c>
    </row>
    <row r="371">
      <c r="A371" s="5">
        <v>370.0</v>
      </c>
      <c r="B371" s="5" t="s">
        <v>1235</v>
      </c>
      <c r="C371" s="5" t="s">
        <v>20</v>
      </c>
    </row>
    <row r="372">
      <c r="A372" s="5">
        <v>371.0</v>
      </c>
      <c r="B372" s="5" t="s">
        <v>1238</v>
      </c>
      <c r="C372" s="5" t="s">
        <v>20</v>
      </c>
    </row>
    <row r="373">
      <c r="A373" s="5">
        <v>372.0</v>
      </c>
      <c r="B373" s="5" t="s">
        <v>1240</v>
      </c>
      <c r="C373" s="5" t="s">
        <v>20</v>
      </c>
    </row>
    <row r="374">
      <c r="A374" s="5">
        <v>373.0</v>
      </c>
      <c r="B374" s="5" t="s">
        <v>1241</v>
      </c>
      <c r="C374" s="5" t="s">
        <v>20</v>
      </c>
    </row>
    <row r="375">
      <c r="A375" s="5">
        <v>374.0</v>
      </c>
      <c r="B375" s="5" t="s">
        <v>1243</v>
      </c>
      <c r="C375" s="5" t="s">
        <v>20</v>
      </c>
    </row>
    <row r="376">
      <c r="A376" s="5">
        <v>375.0</v>
      </c>
      <c r="B376" s="5" t="s">
        <v>1245</v>
      </c>
      <c r="C376" s="5" t="s">
        <v>20</v>
      </c>
    </row>
    <row r="377">
      <c r="A377" s="5">
        <v>376.0</v>
      </c>
      <c r="B377" s="5" t="s">
        <v>1247</v>
      </c>
      <c r="C377" s="5" t="s">
        <v>20</v>
      </c>
    </row>
    <row r="378">
      <c r="A378" s="5">
        <v>377.0</v>
      </c>
      <c r="B378" s="5" t="s">
        <v>1249</v>
      </c>
      <c r="C378" s="5" t="s">
        <v>20</v>
      </c>
    </row>
    <row r="379">
      <c r="A379" s="5">
        <v>378.0</v>
      </c>
      <c r="B379" s="5" t="s">
        <v>1251</v>
      </c>
      <c r="C379" s="5" t="s">
        <v>20</v>
      </c>
    </row>
    <row r="380">
      <c r="A380" s="5">
        <v>379.0</v>
      </c>
      <c r="B380" s="5" t="s">
        <v>1254</v>
      </c>
      <c r="C380" s="5" t="s">
        <v>20</v>
      </c>
    </row>
    <row r="381">
      <c r="A381" s="5">
        <v>380.0</v>
      </c>
      <c r="B381" s="5" t="s">
        <v>1257</v>
      </c>
      <c r="C381" s="5" t="s">
        <v>20</v>
      </c>
    </row>
    <row r="382">
      <c r="A382" s="5">
        <v>381.0</v>
      </c>
      <c r="B382" s="5" t="s">
        <v>1260</v>
      </c>
      <c r="C382" s="5" t="s">
        <v>20</v>
      </c>
    </row>
    <row r="383">
      <c r="A383" s="5">
        <v>382.0</v>
      </c>
      <c r="B383" s="5" t="s">
        <v>1262</v>
      </c>
      <c r="C383" s="5" t="s">
        <v>20</v>
      </c>
    </row>
    <row r="384">
      <c r="A384" s="5">
        <v>383.0</v>
      </c>
      <c r="B384" s="5" t="s">
        <v>1265</v>
      </c>
      <c r="C384" s="5" t="s">
        <v>20</v>
      </c>
    </row>
    <row r="385">
      <c r="A385" s="5">
        <v>384.0</v>
      </c>
      <c r="B385" s="5" t="s">
        <v>1268</v>
      </c>
      <c r="C385" s="5" t="s">
        <v>20</v>
      </c>
    </row>
    <row r="386">
      <c r="A386" s="5">
        <v>385.0</v>
      </c>
      <c r="B386" s="5" t="s">
        <v>1270</v>
      </c>
      <c r="C386" s="5" t="s">
        <v>20</v>
      </c>
    </row>
    <row r="387">
      <c r="A387" s="5">
        <v>386.0</v>
      </c>
      <c r="B387" s="5" t="s">
        <v>1272</v>
      </c>
      <c r="C387" s="5" t="s">
        <v>20</v>
      </c>
    </row>
    <row r="388">
      <c r="A388" s="5">
        <v>387.0</v>
      </c>
      <c r="B388" s="5" t="s">
        <v>1275</v>
      </c>
      <c r="C388" s="5" t="s">
        <v>20</v>
      </c>
    </row>
    <row r="389">
      <c r="A389" s="5">
        <v>388.0</v>
      </c>
      <c r="B389" s="5" t="s">
        <v>1277</v>
      </c>
      <c r="C389" s="5" t="s">
        <v>20</v>
      </c>
    </row>
    <row r="390">
      <c r="A390" s="5">
        <v>389.0</v>
      </c>
      <c r="B390" s="5" t="s">
        <v>1280</v>
      </c>
      <c r="C390" s="5" t="s">
        <v>20</v>
      </c>
    </row>
    <row r="391">
      <c r="A391" s="5">
        <v>390.0</v>
      </c>
      <c r="B391" s="5" t="s">
        <v>1282</v>
      </c>
      <c r="C391" s="5" t="s">
        <v>20</v>
      </c>
    </row>
    <row r="392">
      <c r="A392" s="5">
        <v>391.0</v>
      </c>
      <c r="B392" s="5" t="s">
        <v>1284</v>
      </c>
      <c r="C392" s="5" t="s">
        <v>20</v>
      </c>
    </row>
    <row r="393">
      <c r="A393" s="5">
        <v>392.0</v>
      </c>
      <c r="B393" s="5" t="s">
        <v>1286</v>
      </c>
      <c r="C393" s="5" t="s">
        <v>20</v>
      </c>
    </row>
    <row r="394">
      <c r="A394" s="5">
        <v>393.0</v>
      </c>
      <c r="B394" s="5" t="s">
        <v>1288</v>
      </c>
      <c r="C394" s="5" t="s">
        <v>20</v>
      </c>
    </row>
    <row r="395">
      <c r="A395" s="5">
        <v>394.0</v>
      </c>
      <c r="B395" s="5" t="s">
        <v>1302</v>
      </c>
      <c r="C395" s="5" t="s">
        <v>20</v>
      </c>
    </row>
    <row r="396">
      <c r="A396" s="5">
        <v>395.0</v>
      </c>
      <c r="B396" s="5" t="s">
        <v>1304</v>
      </c>
      <c r="C396" s="5" t="s">
        <v>20</v>
      </c>
    </row>
    <row r="397">
      <c r="A397" s="5">
        <v>396.0</v>
      </c>
      <c r="B397" s="5" t="s">
        <v>1306</v>
      </c>
      <c r="C397" s="5" t="s">
        <v>20</v>
      </c>
    </row>
    <row r="398">
      <c r="A398" s="5">
        <v>397.0</v>
      </c>
      <c r="B398" s="5" t="s">
        <v>1308</v>
      </c>
      <c r="C398" s="5" t="s">
        <v>20</v>
      </c>
    </row>
    <row r="399">
      <c r="A399" s="5">
        <v>398.0</v>
      </c>
      <c r="B399" s="5" t="s">
        <v>1310</v>
      </c>
      <c r="C399" s="5" t="s">
        <v>20</v>
      </c>
    </row>
    <row r="400">
      <c r="A400" s="5">
        <v>399.0</v>
      </c>
      <c r="B400" s="5" t="s">
        <v>1313</v>
      </c>
      <c r="C400" s="5" t="s">
        <v>20</v>
      </c>
    </row>
    <row r="401">
      <c r="A401" s="5">
        <v>400.0</v>
      </c>
      <c r="B401" s="5" t="s">
        <v>1315</v>
      </c>
      <c r="C401" s="5" t="s">
        <v>20</v>
      </c>
    </row>
    <row r="402">
      <c r="A402" s="5">
        <v>401.0</v>
      </c>
      <c r="B402" s="5" t="s">
        <v>1318</v>
      </c>
      <c r="C402" s="5" t="s">
        <v>20</v>
      </c>
    </row>
    <row r="403">
      <c r="A403" s="5">
        <v>402.0</v>
      </c>
      <c r="B403" s="5" t="s">
        <v>1321</v>
      </c>
      <c r="C403" s="5" t="s">
        <v>20</v>
      </c>
    </row>
    <row r="404">
      <c r="A404" s="5">
        <v>403.0</v>
      </c>
      <c r="B404" s="5" t="s">
        <v>1324</v>
      </c>
      <c r="C404" s="5" t="s">
        <v>20</v>
      </c>
    </row>
    <row r="405">
      <c r="A405" s="5">
        <v>404.0</v>
      </c>
      <c r="B405" s="5" t="s">
        <v>1326</v>
      </c>
      <c r="C405" s="5" t="s">
        <v>20</v>
      </c>
    </row>
    <row r="406">
      <c r="A406" s="5">
        <v>405.0</v>
      </c>
      <c r="B406" s="5" t="s">
        <v>1328</v>
      </c>
      <c r="C406" s="5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28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19</v>
      </c>
      <c r="C2" s="5" t="s">
        <v>20</v>
      </c>
      <c r="D2" s="5">
        <v>0.0</v>
      </c>
      <c r="E2" s="5">
        <v>133000.0</v>
      </c>
      <c r="F2" s="5">
        <v>0.09</v>
      </c>
      <c r="G2" s="5">
        <v>1.16</v>
      </c>
      <c r="H2" s="5" t="s">
        <v>19</v>
      </c>
      <c r="I2" s="9">
        <v>46162.51018518519</v>
      </c>
      <c r="J2" s="5" t="s">
        <v>22</v>
      </c>
      <c r="K2" s="5">
        <v>137000.0</v>
      </c>
      <c r="L2" s="5">
        <v>131000.0</v>
      </c>
      <c r="M2" s="5">
        <v>135000.0</v>
      </c>
      <c r="N2" s="8">
        <v>42248.0</v>
      </c>
      <c r="O2" s="5" t="s">
        <v>24</v>
      </c>
      <c r="P2" s="5" t="s">
        <v>25</v>
      </c>
      <c r="Q2" s="5" t="s">
        <v>26</v>
      </c>
      <c r="R2" s="5" t="s">
        <v>28</v>
      </c>
      <c r="S2" s="5" t="s">
        <v>29</v>
      </c>
    </row>
    <row r="3">
      <c r="A3" s="5">
        <v>2.0</v>
      </c>
      <c r="B3" s="5" t="s">
        <v>30</v>
      </c>
      <c r="C3" s="5" t="s">
        <v>20</v>
      </c>
      <c r="D3" s="5">
        <v>9.0</v>
      </c>
      <c r="E3" s="5">
        <v>17000.0</v>
      </c>
      <c r="F3" s="5">
        <v>0.6</v>
      </c>
      <c r="G3" s="5">
        <v>1.09</v>
      </c>
      <c r="H3" s="5" t="s">
        <v>30</v>
      </c>
      <c r="I3" s="9">
        <v>46058.00326388889</v>
      </c>
      <c r="J3" s="5" t="s">
        <v>33</v>
      </c>
      <c r="K3" s="5">
        <v>18000.0</v>
      </c>
      <c r="L3" s="5">
        <v>15000.0</v>
      </c>
      <c r="M3" s="5">
        <v>16000.0</v>
      </c>
      <c r="N3" s="8">
        <v>42251.0</v>
      </c>
      <c r="O3" s="5" t="s">
        <v>24</v>
      </c>
      <c r="P3" s="5" t="s">
        <v>25</v>
      </c>
      <c r="Q3" s="5" t="s">
        <v>36</v>
      </c>
      <c r="R3" s="5" t="s">
        <v>37</v>
      </c>
      <c r="S3" s="5" t="s">
        <v>38</v>
      </c>
    </row>
    <row r="4">
      <c r="A4" s="5">
        <v>3.0</v>
      </c>
      <c r="B4" s="5" t="s">
        <v>40</v>
      </c>
      <c r="C4" s="5" t="s">
        <v>20</v>
      </c>
      <c r="D4" s="5">
        <v>5.0</v>
      </c>
      <c r="E4" s="5">
        <v>12000.0</v>
      </c>
      <c r="F4" s="5">
        <v>0.04</v>
      </c>
      <c r="G4" s="5">
        <v>1.04</v>
      </c>
      <c r="H4" s="5" t="s">
        <v>41</v>
      </c>
      <c r="I4" s="9">
        <v>46149.25739583333</v>
      </c>
      <c r="J4" s="5" t="s">
        <v>22</v>
      </c>
      <c r="K4" s="5">
        <v>13000.0</v>
      </c>
      <c r="L4" s="5">
        <v>150.0</v>
      </c>
      <c r="M4" s="5">
        <v>1300.0</v>
      </c>
      <c r="N4" s="8">
        <v>42249.0</v>
      </c>
      <c r="O4" s="5" t="s">
        <v>24</v>
      </c>
      <c r="P4" s="5" t="s">
        <v>25</v>
      </c>
      <c r="Q4" s="5" t="s">
        <v>44</v>
      </c>
      <c r="R4" s="5" t="s">
        <v>45</v>
      </c>
      <c r="S4" s="5" t="s">
        <v>46</v>
      </c>
    </row>
    <row r="5">
      <c r="A5" s="5">
        <v>4.0</v>
      </c>
      <c r="B5" s="5" t="s">
        <v>47</v>
      </c>
      <c r="C5" s="5" t="s">
        <v>20</v>
      </c>
      <c r="D5" s="5">
        <v>34.0</v>
      </c>
      <c r="E5" s="5">
        <v>9600.0</v>
      </c>
      <c r="F5" s="5">
        <v>0.6</v>
      </c>
      <c r="G5" s="5">
        <v>1.01</v>
      </c>
      <c r="H5" s="5" t="s">
        <v>47</v>
      </c>
      <c r="I5" s="9">
        <v>46149.23415509259</v>
      </c>
      <c r="J5" s="5" t="s">
        <v>22</v>
      </c>
      <c r="K5" s="5">
        <v>32000.0</v>
      </c>
      <c r="L5" s="5">
        <v>15000.0</v>
      </c>
      <c r="M5" s="5">
        <v>16000.0</v>
      </c>
      <c r="N5" s="8">
        <v>42248.0</v>
      </c>
      <c r="O5" s="5" t="s">
        <v>50</v>
      </c>
      <c r="P5" s="5" t="s">
        <v>25</v>
      </c>
      <c r="Q5" s="5" t="s">
        <v>51</v>
      </c>
      <c r="R5" s="5" t="s">
        <v>53</v>
      </c>
      <c r="S5" s="5" t="s">
        <v>29</v>
      </c>
    </row>
    <row r="6">
      <c r="A6" s="5">
        <v>5.0</v>
      </c>
      <c r="B6" s="5" t="s">
        <v>54</v>
      </c>
      <c r="C6" s="5" t="s">
        <v>20</v>
      </c>
      <c r="D6" s="5">
        <v>0.0</v>
      </c>
      <c r="E6" s="5">
        <v>9400.0</v>
      </c>
      <c r="F6" s="5">
        <v>0.25</v>
      </c>
      <c r="G6" s="5">
        <v>1.06</v>
      </c>
      <c r="H6" s="5" t="s">
        <v>56</v>
      </c>
      <c r="I6" s="9">
        <v>46149.2334837963</v>
      </c>
      <c r="J6" s="5" t="s">
        <v>22</v>
      </c>
      <c r="K6" s="5">
        <v>9400.0</v>
      </c>
      <c r="L6" s="5">
        <v>5900.0</v>
      </c>
      <c r="M6" s="5">
        <v>6000.0</v>
      </c>
      <c r="N6" s="8">
        <v>42248.0</v>
      </c>
      <c r="O6" s="5" t="s">
        <v>24</v>
      </c>
      <c r="Q6" s="5" t="s">
        <v>58</v>
      </c>
      <c r="R6" s="5" t="s">
        <v>59</v>
      </c>
      <c r="S6" s="5" t="s">
        <v>60</v>
      </c>
    </row>
    <row r="7">
      <c r="A7" s="5">
        <v>6.0</v>
      </c>
      <c r="B7" s="5" t="s">
        <v>61</v>
      </c>
      <c r="C7" s="5" t="s">
        <v>20</v>
      </c>
      <c r="D7" s="5">
        <v>70.0</v>
      </c>
      <c r="E7" s="5">
        <v>6700.0</v>
      </c>
      <c r="F7" s="5">
        <v>1.6</v>
      </c>
      <c r="G7" s="5">
        <v>1.08</v>
      </c>
      <c r="H7" s="5" t="s">
        <v>61</v>
      </c>
      <c r="I7" s="9">
        <v>46149.25696759259</v>
      </c>
      <c r="J7" s="5" t="s">
        <v>63</v>
      </c>
      <c r="K7" s="5">
        <v>7100.0</v>
      </c>
      <c r="L7" s="5">
        <v>11000.0</v>
      </c>
      <c r="M7" s="5">
        <v>11000.0</v>
      </c>
      <c r="N7" s="8">
        <v>42254.0</v>
      </c>
      <c r="O7" s="5" t="s">
        <v>50</v>
      </c>
      <c r="P7" s="5" t="s">
        <v>25</v>
      </c>
      <c r="Q7" s="5" t="s">
        <v>66</v>
      </c>
      <c r="R7" s="5" t="s">
        <v>67</v>
      </c>
      <c r="S7" s="5" t="s">
        <v>38</v>
      </c>
    </row>
    <row r="8">
      <c r="A8" s="5">
        <v>7.0</v>
      </c>
      <c r="B8" s="5" t="s">
        <v>68</v>
      </c>
      <c r="C8" s="5" t="s">
        <v>20</v>
      </c>
      <c r="D8" s="5">
        <v>52.0</v>
      </c>
      <c r="E8" s="5">
        <v>4600.0</v>
      </c>
      <c r="F8" s="5">
        <v>5.0</v>
      </c>
      <c r="G8" s="5">
        <v>1.04</v>
      </c>
      <c r="H8" s="5" t="s">
        <v>19</v>
      </c>
      <c r="I8" s="9">
        <v>46149.2365162037</v>
      </c>
      <c r="J8" s="5" t="s">
        <v>22</v>
      </c>
      <c r="K8" s="5">
        <v>4600.0</v>
      </c>
      <c r="L8" s="5">
        <v>137000.0</v>
      </c>
      <c r="M8" s="5">
        <v>140000.0</v>
      </c>
      <c r="N8" s="8">
        <v>42305.0</v>
      </c>
      <c r="O8" s="5" t="s">
        <v>71</v>
      </c>
      <c r="P8" s="5" t="s">
        <v>25</v>
      </c>
      <c r="Q8" s="5" t="s">
        <v>73</v>
      </c>
      <c r="R8" s="5" t="s">
        <v>74</v>
      </c>
      <c r="S8" s="5" t="s">
        <v>75</v>
      </c>
    </row>
    <row r="9">
      <c r="A9" s="5">
        <v>8.0</v>
      </c>
      <c r="B9" s="5" t="s">
        <v>76</v>
      </c>
      <c r="C9" s="5" t="s">
        <v>20</v>
      </c>
      <c r="D9" s="5">
        <v>61.0</v>
      </c>
      <c r="E9" s="5">
        <v>4500.0</v>
      </c>
      <c r="F9" s="5">
        <v>7.0</v>
      </c>
      <c r="H9" s="5" t="s">
        <v>47</v>
      </c>
      <c r="I9" s="9">
        <v>46149.25616898148</v>
      </c>
      <c r="J9" s="5" t="s">
        <v>78</v>
      </c>
      <c r="K9" s="5">
        <v>4500.0</v>
      </c>
      <c r="L9" s="5">
        <v>15000.0</v>
      </c>
      <c r="M9" s="5">
        <v>16000.0</v>
      </c>
      <c r="N9" s="8">
        <v>42550.0</v>
      </c>
      <c r="O9" s="5" t="s">
        <v>80</v>
      </c>
      <c r="P9" s="5" t="s">
        <v>25</v>
      </c>
      <c r="Q9" s="5" t="s">
        <v>82</v>
      </c>
      <c r="R9" s="5" t="s">
        <v>83</v>
      </c>
      <c r="S9" s="5" t="s">
        <v>38</v>
      </c>
    </row>
    <row r="10">
      <c r="A10" s="5">
        <v>9.0</v>
      </c>
      <c r="B10" s="5" t="s">
        <v>85</v>
      </c>
      <c r="C10" s="5" t="s">
        <v>20</v>
      </c>
      <c r="D10" s="5">
        <v>65.0</v>
      </c>
      <c r="E10" s="5">
        <v>4100.0</v>
      </c>
      <c r="F10" s="5">
        <v>0.3</v>
      </c>
      <c r="G10" s="5">
        <v>1.04</v>
      </c>
      <c r="H10" s="5" t="s">
        <v>61</v>
      </c>
      <c r="I10" s="9">
        <v>46149.247777777775</v>
      </c>
      <c r="J10" s="5" t="s">
        <v>87</v>
      </c>
      <c r="K10" s="5">
        <v>9900.0</v>
      </c>
      <c r="L10" s="5">
        <v>11000.0</v>
      </c>
      <c r="M10" s="5">
        <v>11000.0</v>
      </c>
      <c r="N10" s="8">
        <v>42250.0</v>
      </c>
      <c r="O10" s="5" t="s">
        <v>50</v>
      </c>
      <c r="P10" s="5" t="s">
        <v>25</v>
      </c>
      <c r="Q10" s="5" t="s">
        <v>88</v>
      </c>
      <c r="R10" s="5" t="s">
        <v>90</v>
      </c>
      <c r="S10" s="5" t="s">
        <v>38</v>
      </c>
    </row>
    <row r="11">
      <c r="A11" s="5">
        <v>10.0</v>
      </c>
      <c r="B11" s="5" t="s">
        <v>91</v>
      </c>
      <c r="C11" s="5" t="s">
        <v>20</v>
      </c>
      <c r="D11" s="5">
        <v>47.0</v>
      </c>
      <c r="E11" s="5">
        <v>3700.0</v>
      </c>
      <c r="F11" s="5">
        <v>0.6</v>
      </c>
      <c r="G11" s="5">
        <v>1.03</v>
      </c>
      <c r="H11" s="5" t="s">
        <v>30</v>
      </c>
      <c r="I11" s="9">
        <v>46149.23486111111</v>
      </c>
      <c r="J11" s="5" t="s">
        <v>22</v>
      </c>
      <c r="K11" s="5">
        <v>3900.0</v>
      </c>
      <c r="L11" s="5">
        <v>26000.0</v>
      </c>
      <c r="M11" s="5">
        <v>27000.0</v>
      </c>
      <c r="N11" s="8">
        <v>42248.0</v>
      </c>
      <c r="O11" s="5" t="s">
        <v>24</v>
      </c>
      <c r="P11" s="5" t="s">
        <v>25</v>
      </c>
      <c r="Q11" s="5" t="s">
        <v>94</v>
      </c>
      <c r="R11" s="5" t="s">
        <v>96</v>
      </c>
      <c r="S11" s="5" t="s">
        <v>38</v>
      </c>
    </row>
    <row r="12">
      <c r="A12" s="5">
        <v>11.0</v>
      </c>
      <c r="B12" s="5" t="s">
        <v>97</v>
      </c>
      <c r="C12" s="5" t="s">
        <v>20</v>
      </c>
      <c r="D12" s="5">
        <v>55.0</v>
      </c>
      <c r="E12" s="5">
        <v>3700.0</v>
      </c>
      <c r="F12" s="5">
        <v>0.7</v>
      </c>
      <c r="H12" s="5" t="s">
        <v>41</v>
      </c>
      <c r="I12" s="9">
        <v>46149.25771990741</v>
      </c>
      <c r="J12" s="5" t="s">
        <v>99</v>
      </c>
      <c r="K12" s="5">
        <v>4100.0</v>
      </c>
      <c r="L12" s="5">
        <v>150.0</v>
      </c>
      <c r="M12" s="5">
        <v>1300.0</v>
      </c>
      <c r="N12" s="8">
        <v>43207.0</v>
      </c>
      <c r="O12" s="5" t="s">
        <v>100</v>
      </c>
      <c r="Q12" s="5" t="s">
        <v>101</v>
      </c>
      <c r="R12" s="5" t="s">
        <v>103</v>
      </c>
      <c r="S12" s="5" t="s">
        <v>104</v>
      </c>
    </row>
    <row r="13">
      <c r="A13" s="5">
        <v>12.0</v>
      </c>
      <c r="B13" s="5" t="s">
        <v>105</v>
      </c>
      <c r="C13" s="5" t="s">
        <v>20</v>
      </c>
      <c r="D13" s="5">
        <v>48.0</v>
      </c>
      <c r="E13" s="5">
        <v>3200.0</v>
      </c>
      <c r="F13" s="5">
        <v>0.6</v>
      </c>
      <c r="G13" s="5">
        <v>0.95</v>
      </c>
      <c r="H13" s="5" t="s">
        <v>30</v>
      </c>
      <c r="I13" s="9">
        <v>46149.24775462963</v>
      </c>
      <c r="J13" s="5" t="s">
        <v>22</v>
      </c>
      <c r="K13" s="5">
        <v>3300.0</v>
      </c>
      <c r="L13" s="5">
        <v>26000.0</v>
      </c>
      <c r="M13" s="5">
        <v>27000.0</v>
      </c>
      <c r="N13" s="8">
        <v>42283.0</v>
      </c>
      <c r="O13" s="5" t="s">
        <v>24</v>
      </c>
      <c r="P13" s="5" t="s">
        <v>25</v>
      </c>
      <c r="Q13" s="5" t="s">
        <v>109</v>
      </c>
      <c r="R13" s="5" t="s">
        <v>110</v>
      </c>
      <c r="S13" s="5" t="s">
        <v>38</v>
      </c>
    </row>
    <row r="14">
      <c r="A14" s="5">
        <v>13.0</v>
      </c>
      <c r="B14" s="5" t="s">
        <v>112</v>
      </c>
      <c r="C14" s="5" t="s">
        <v>20</v>
      </c>
      <c r="D14" s="5">
        <v>74.0</v>
      </c>
      <c r="E14" s="5">
        <v>1600.0</v>
      </c>
      <c r="F14" s="5">
        <v>0.5</v>
      </c>
      <c r="G14" s="5">
        <v>1.04</v>
      </c>
      <c r="H14" s="5" t="s">
        <v>47</v>
      </c>
      <c r="I14" s="9">
        <v>45978.91601851852</v>
      </c>
      <c r="J14" s="5" t="s">
        <v>114</v>
      </c>
      <c r="K14" s="5">
        <v>3100.0</v>
      </c>
      <c r="L14" s="5">
        <v>11000.0</v>
      </c>
      <c r="M14" s="5">
        <v>11000.0</v>
      </c>
      <c r="N14" s="8">
        <v>42252.0</v>
      </c>
      <c r="O14" s="5" t="s">
        <v>24</v>
      </c>
      <c r="P14" s="5" t="s">
        <v>25</v>
      </c>
      <c r="Q14" s="5" t="s">
        <v>116</v>
      </c>
      <c r="R14" s="5" t="s">
        <v>117</v>
      </c>
      <c r="S14" s="5" t="s">
        <v>118</v>
      </c>
    </row>
    <row r="15">
      <c r="A15" s="5">
        <v>14.0</v>
      </c>
      <c r="B15" s="5" t="s">
        <v>120</v>
      </c>
      <c r="C15" s="5" t="s">
        <v>20</v>
      </c>
      <c r="D15" s="5">
        <v>0.0</v>
      </c>
      <c r="E15" s="5">
        <v>1600.0</v>
      </c>
      <c r="F15" s="5">
        <v>1.8</v>
      </c>
      <c r="H15" s="5" t="s">
        <v>40</v>
      </c>
      <c r="I15" s="9">
        <v>45892.6421412037</v>
      </c>
      <c r="J15" s="5" t="s">
        <v>33</v>
      </c>
      <c r="K15" s="5">
        <v>1600.0</v>
      </c>
      <c r="L15" s="5">
        <v>36000.0</v>
      </c>
      <c r="M15" s="5">
        <v>38000.0</v>
      </c>
      <c r="N15" s="8">
        <v>45191.0</v>
      </c>
      <c r="O15" s="5" t="s">
        <v>100</v>
      </c>
      <c r="Q15" s="5" t="s">
        <v>122</v>
      </c>
      <c r="R15" s="5" t="s">
        <v>123</v>
      </c>
      <c r="S15" s="5" t="s">
        <v>29</v>
      </c>
    </row>
    <row r="16">
      <c r="A16" s="5">
        <v>15.0</v>
      </c>
      <c r="B16" s="5" t="s">
        <v>125</v>
      </c>
      <c r="C16" s="5" t="s">
        <v>20</v>
      </c>
      <c r="D16" s="5">
        <v>43.0</v>
      </c>
      <c r="E16" s="5">
        <v>1500.0</v>
      </c>
      <c r="F16" s="5">
        <v>0.6</v>
      </c>
      <c r="G16" s="5">
        <v>1.03</v>
      </c>
      <c r="H16" s="5" t="s">
        <v>47</v>
      </c>
      <c r="I16" s="9">
        <v>45989.0046875</v>
      </c>
      <c r="J16" s="5" t="s">
        <v>127</v>
      </c>
      <c r="K16" s="5">
        <v>1500.0</v>
      </c>
      <c r="L16" s="5">
        <v>21000.0</v>
      </c>
      <c r="M16" s="5">
        <v>21000.0</v>
      </c>
      <c r="N16" s="8">
        <v>42253.0</v>
      </c>
      <c r="O16" s="5" t="s">
        <v>129</v>
      </c>
      <c r="P16" s="5" t="s">
        <v>25</v>
      </c>
      <c r="Q16" s="5" t="s">
        <v>131</v>
      </c>
      <c r="R16" s="5" t="s">
        <v>133</v>
      </c>
      <c r="S16" s="5" t="s">
        <v>29</v>
      </c>
    </row>
    <row r="17">
      <c r="A17" s="5">
        <v>16.0</v>
      </c>
      <c r="B17" s="5" t="s">
        <v>134</v>
      </c>
      <c r="C17" s="5" t="s">
        <v>20</v>
      </c>
      <c r="D17" s="5">
        <v>75.0</v>
      </c>
      <c r="E17" s="5">
        <v>1400.0</v>
      </c>
      <c r="G17" s="5">
        <v>1.06</v>
      </c>
      <c r="H17" s="5" t="s">
        <v>61</v>
      </c>
      <c r="I17" s="9">
        <v>45896.80138888889</v>
      </c>
      <c r="J17" s="5" t="s">
        <v>137</v>
      </c>
      <c r="K17" s="5">
        <v>1400.0</v>
      </c>
      <c r="L17" s="5">
        <v>16000.0</v>
      </c>
      <c r="M17" s="5">
        <v>16000.0</v>
      </c>
      <c r="N17" s="8">
        <v>42310.0</v>
      </c>
      <c r="O17" s="5" t="s">
        <v>50</v>
      </c>
      <c r="P17" s="5" t="s">
        <v>25</v>
      </c>
      <c r="Q17" s="5" t="s">
        <v>139</v>
      </c>
      <c r="R17" s="5" t="s">
        <v>140</v>
      </c>
      <c r="S17" s="5" t="s">
        <v>38</v>
      </c>
    </row>
    <row r="18">
      <c r="A18" s="5">
        <v>17.0</v>
      </c>
      <c r="B18" s="5" t="s">
        <v>143</v>
      </c>
      <c r="C18" s="5" t="s">
        <v>20</v>
      </c>
      <c r="D18" s="5">
        <v>57.0</v>
      </c>
      <c r="E18" s="5">
        <v>1000.0</v>
      </c>
      <c r="F18" s="5">
        <v>0.6</v>
      </c>
      <c r="G18" s="5">
        <v>1.28</v>
      </c>
      <c r="H18" s="5" t="s">
        <v>147</v>
      </c>
      <c r="I18" s="9">
        <v>45896.67324074074</v>
      </c>
      <c r="J18" s="5" t="s">
        <v>63</v>
      </c>
      <c r="K18" s="5">
        <v>1200.0</v>
      </c>
      <c r="L18" s="5">
        <v>5400.0</v>
      </c>
      <c r="M18" s="5">
        <v>6500.0</v>
      </c>
      <c r="N18" s="8">
        <v>42252.0</v>
      </c>
      <c r="O18" s="5" t="s">
        <v>24</v>
      </c>
      <c r="P18" s="5" t="s">
        <v>25</v>
      </c>
      <c r="Q18" s="5" t="s">
        <v>152</v>
      </c>
      <c r="R18" s="5" t="s">
        <v>155</v>
      </c>
      <c r="S18" s="5" t="s">
        <v>157</v>
      </c>
    </row>
    <row r="19">
      <c r="A19" s="5">
        <v>18.0</v>
      </c>
      <c r="B19" s="5" t="s">
        <v>160</v>
      </c>
      <c r="C19" s="5" t="s">
        <v>20</v>
      </c>
      <c r="D19" s="5">
        <v>27.0</v>
      </c>
      <c r="E19" s="5">
        <v>1000.0</v>
      </c>
      <c r="F19" s="5">
        <v>0.7</v>
      </c>
      <c r="H19" s="5" t="s">
        <v>30</v>
      </c>
      <c r="I19" s="9">
        <v>45905.90665509259</v>
      </c>
      <c r="J19" s="5" t="s">
        <v>127</v>
      </c>
      <c r="K19" s="5">
        <v>1500.0</v>
      </c>
      <c r="L19" s="5">
        <v>28000.0</v>
      </c>
      <c r="M19" s="5">
        <v>29000.0</v>
      </c>
      <c r="N19" s="8">
        <v>42671.0</v>
      </c>
      <c r="O19" s="5" t="s">
        <v>24</v>
      </c>
      <c r="P19" s="5" t="s">
        <v>25</v>
      </c>
      <c r="Q19" s="5" t="s">
        <v>166</v>
      </c>
      <c r="R19" s="5" t="s">
        <v>167</v>
      </c>
      <c r="S19" s="5" t="s">
        <v>38</v>
      </c>
    </row>
    <row r="20">
      <c r="A20" s="5">
        <v>19.0</v>
      </c>
      <c r="B20" s="5" t="s">
        <v>169</v>
      </c>
      <c r="C20" s="5" t="s">
        <v>20</v>
      </c>
      <c r="D20" s="5">
        <v>59.0</v>
      </c>
      <c r="E20" s="5">
        <v>1000.0</v>
      </c>
      <c r="F20" s="5">
        <v>0.6</v>
      </c>
      <c r="H20" s="5" t="s">
        <v>147</v>
      </c>
      <c r="I20" s="9">
        <v>45896.608460648145</v>
      </c>
      <c r="J20" s="5" t="s">
        <v>114</v>
      </c>
      <c r="K20" s="5">
        <v>1100.0</v>
      </c>
      <c r="L20" s="5">
        <v>5400.0</v>
      </c>
      <c r="M20" s="5">
        <v>6500.0</v>
      </c>
      <c r="N20" s="8">
        <v>42337.0</v>
      </c>
      <c r="O20" s="5" t="s">
        <v>50</v>
      </c>
      <c r="P20" s="5" t="s">
        <v>25</v>
      </c>
      <c r="Q20" s="5" t="s">
        <v>174</v>
      </c>
      <c r="R20" s="5" t="s">
        <v>175</v>
      </c>
      <c r="S20" s="5" t="s">
        <v>118</v>
      </c>
    </row>
    <row r="21">
      <c r="A21" s="5">
        <v>20.0</v>
      </c>
      <c r="B21" s="5" t="s">
        <v>177</v>
      </c>
      <c r="C21" s="5" t="s">
        <v>20</v>
      </c>
      <c r="D21" s="5">
        <v>73.0</v>
      </c>
      <c r="E21" s="5">
        <v>900.0</v>
      </c>
      <c r="F21" s="5">
        <v>3.0</v>
      </c>
      <c r="G21" s="5">
        <v>0.97</v>
      </c>
      <c r="H21" s="5" t="s">
        <v>19</v>
      </c>
      <c r="I21" s="9">
        <v>45897.236122685186</v>
      </c>
      <c r="J21" s="5" t="s">
        <v>22</v>
      </c>
      <c r="K21" s="5">
        <v>900.0</v>
      </c>
      <c r="L21" s="5">
        <v>210000.0</v>
      </c>
      <c r="M21" s="5">
        <v>214000.0</v>
      </c>
      <c r="N21" s="8">
        <v>42253.0</v>
      </c>
      <c r="O21" s="5" t="s">
        <v>100</v>
      </c>
      <c r="P21" s="5" t="s">
        <v>25</v>
      </c>
      <c r="Q21" s="5" t="s">
        <v>182</v>
      </c>
      <c r="R21" s="5" t="s">
        <v>183</v>
      </c>
      <c r="S21" s="5" t="s">
        <v>29</v>
      </c>
    </row>
    <row r="22">
      <c r="A22" s="5">
        <v>21.0</v>
      </c>
      <c r="B22" s="5" t="s">
        <v>186</v>
      </c>
      <c r="C22" s="5" t="s">
        <v>20</v>
      </c>
      <c r="D22" s="5">
        <v>40.0</v>
      </c>
      <c r="E22" s="5">
        <v>800.0</v>
      </c>
      <c r="F22" s="5">
        <v>1.1</v>
      </c>
      <c r="H22" s="5" t="s">
        <v>30</v>
      </c>
      <c r="I22" s="9">
        <v>45950.43460648148</v>
      </c>
      <c r="J22" s="5" t="s">
        <v>78</v>
      </c>
      <c r="K22" s="5">
        <v>800.0</v>
      </c>
      <c r="L22" s="5">
        <v>27000.0</v>
      </c>
      <c r="M22" s="5">
        <v>28000.0</v>
      </c>
      <c r="N22" s="8">
        <v>43406.0</v>
      </c>
      <c r="O22" s="5" t="s">
        <v>24</v>
      </c>
      <c r="P22" s="5" t="s">
        <v>25</v>
      </c>
      <c r="Q22" s="5" t="s">
        <v>192</v>
      </c>
      <c r="R22" s="5" t="s">
        <v>194</v>
      </c>
      <c r="S22" s="5" t="s">
        <v>38</v>
      </c>
    </row>
    <row r="23">
      <c r="A23" s="5">
        <v>22.0</v>
      </c>
      <c r="B23" s="5" t="s">
        <v>196</v>
      </c>
      <c r="C23" s="5" t="s">
        <v>20</v>
      </c>
      <c r="E23" s="5">
        <v>800.0</v>
      </c>
      <c r="K23" s="5">
        <v>800.0</v>
      </c>
      <c r="N23" s="8">
        <v>42290.0</v>
      </c>
      <c r="O23" s="5" t="s">
        <v>80</v>
      </c>
      <c r="P23" s="5" t="s">
        <v>25</v>
      </c>
      <c r="Q23" s="5" t="s">
        <v>199</v>
      </c>
      <c r="R23" s="5" t="s">
        <v>200</v>
      </c>
      <c r="S23" s="5" t="s">
        <v>29</v>
      </c>
    </row>
    <row r="24">
      <c r="A24" s="5">
        <v>23.0</v>
      </c>
      <c r="B24" s="5" t="s">
        <v>202</v>
      </c>
      <c r="C24" s="5" t="s">
        <v>20</v>
      </c>
      <c r="D24" s="5">
        <v>69.0</v>
      </c>
      <c r="E24" s="5">
        <v>800.0</v>
      </c>
      <c r="H24" s="5" t="s">
        <v>61</v>
      </c>
      <c r="I24" s="9">
        <v>45979.51422453704</v>
      </c>
      <c r="J24" s="5" t="s">
        <v>206</v>
      </c>
      <c r="K24" s="5">
        <v>900.0</v>
      </c>
      <c r="L24" s="5">
        <v>14000.0</v>
      </c>
      <c r="M24" s="5">
        <v>14000.0</v>
      </c>
      <c r="N24" s="8">
        <v>42839.0</v>
      </c>
      <c r="O24" s="5" t="s">
        <v>50</v>
      </c>
      <c r="P24" s="5" t="s">
        <v>25</v>
      </c>
      <c r="Q24" s="5" t="s">
        <v>208</v>
      </c>
      <c r="R24" s="5" t="s">
        <v>209</v>
      </c>
      <c r="S24" s="5" t="s">
        <v>38</v>
      </c>
    </row>
    <row r="25">
      <c r="A25" s="5">
        <v>24.0</v>
      </c>
      <c r="B25" s="5" t="s">
        <v>210</v>
      </c>
      <c r="C25" s="5" t="s">
        <v>20</v>
      </c>
      <c r="E25" s="5">
        <v>800.0</v>
      </c>
      <c r="G25" s="5">
        <v>1.01</v>
      </c>
      <c r="K25" s="5">
        <v>800.0</v>
      </c>
      <c r="N25" s="8">
        <v>42249.0</v>
      </c>
      <c r="O25" s="5" t="s">
        <v>24</v>
      </c>
      <c r="P25" s="5" t="s">
        <v>25</v>
      </c>
      <c r="Q25" s="5" t="s">
        <v>213</v>
      </c>
      <c r="R25" s="5" t="s">
        <v>214</v>
      </c>
      <c r="S25" s="5" t="s">
        <v>38</v>
      </c>
    </row>
    <row r="26">
      <c r="A26" s="5">
        <v>25.0</v>
      </c>
      <c r="B26" s="5" t="s">
        <v>216</v>
      </c>
      <c r="C26" s="5" t="s">
        <v>20</v>
      </c>
      <c r="D26" s="5">
        <v>39.0</v>
      </c>
      <c r="E26" s="5">
        <v>400.0</v>
      </c>
      <c r="F26" s="5">
        <v>0.6</v>
      </c>
      <c r="G26" s="5">
        <v>0.93</v>
      </c>
      <c r="H26" s="5" t="s">
        <v>19</v>
      </c>
      <c r="I26" s="9">
        <v>45897.38543981482</v>
      </c>
      <c r="J26" s="5" t="s">
        <v>78</v>
      </c>
      <c r="K26" s="5">
        <v>400.0</v>
      </c>
      <c r="L26" s="5">
        <v>210000.0</v>
      </c>
      <c r="M26" s="5">
        <v>214000.0</v>
      </c>
      <c r="N26" s="8">
        <v>42283.0</v>
      </c>
      <c r="O26" s="5" t="s">
        <v>24</v>
      </c>
      <c r="P26" s="5" t="s">
        <v>25</v>
      </c>
      <c r="Q26" s="5" t="s">
        <v>220</v>
      </c>
      <c r="R26" s="5" t="s">
        <v>221</v>
      </c>
      <c r="S26" s="5" t="s">
        <v>38</v>
      </c>
    </row>
    <row r="27">
      <c r="A27" s="5">
        <v>26.0</v>
      </c>
      <c r="B27" s="5" t="s">
        <v>223</v>
      </c>
      <c r="C27" s="5" t="s">
        <v>20</v>
      </c>
      <c r="D27" s="5">
        <v>75.0</v>
      </c>
      <c r="E27" s="5">
        <v>400.0</v>
      </c>
      <c r="F27" s="5">
        <v>0.6</v>
      </c>
      <c r="H27" s="5" t="s">
        <v>147</v>
      </c>
      <c r="I27" s="9">
        <v>45887.41909722222</v>
      </c>
      <c r="J27" s="5" t="s">
        <v>151</v>
      </c>
      <c r="K27" s="5">
        <v>400.0</v>
      </c>
      <c r="L27" s="5">
        <v>5100.0</v>
      </c>
      <c r="M27" s="5">
        <v>6300.0</v>
      </c>
      <c r="N27" s="8">
        <v>42256.0</v>
      </c>
      <c r="O27" s="5" t="s">
        <v>24</v>
      </c>
      <c r="P27" s="5" t="s">
        <v>25</v>
      </c>
      <c r="Q27" s="5" t="s">
        <v>226</v>
      </c>
      <c r="R27" s="5" t="s">
        <v>227</v>
      </c>
      <c r="S27" s="5" t="s">
        <v>118</v>
      </c>
    </row>
    <row r="28">
      <c r="A28" s="5">
        <v>27.0</v>
      </c>
      <c r="B28" s="5" t="s">
        <v>229</v>
      </c>
      <c r="C28" s="5" t="s">
        <v>20</v>
      </c>
      <c r="E28" s="5">
        <v>400.0</v>
      </c>
      <c r="F28" s="5">
        <v>0.6</v>
      </c>
      <c r="G28" s="5">
        <v>1.04</v>
      </c>
      <c r="K28" s="5">
        <v>400.0</v>
      </c>
      <c r="N28" s="8">
        <v>42280.0</v>
      </c>
      <c r="O28" s="5" t="s">
        <v>100</v>
      </c>
      <c r="P28" s="5" t="s">
        <v>25</v>
      </c>
      <c r="Q28" s="5" t="s">
        <v>231</v>
      </c>
      <c r="R28" s="5" t="s">
        <v>232</v>
      </c>
      <c r="S28" s="5" t="s">
        <v>29</v>
      </c>
    </row>
    <row r="29">
      <c r="A29" s="5">
        <v>28.0</v>
      </c>
      <c r="B29" s="5" t="s">
        <v>234</v>
      </c>
      <c r="C29" s="5" t="s">
        <v>20</v>
      </c>
      <c r="D29" s="5">
        <v>61.0</v>
      </c>
      <c r="E29" s="5">
        <v>350.0</v>
      </c>
      <c r="F29" s="5">
        <v>0.8</v>
      </c>
      <c r="H29" s="5" t="s">
        <v>30</v>
      </c>
      <c r="I29" s="9">
        <v>45892.85282407407</v>
      </c>
      <c r="J29" s="5" t="s">
        <v>127</v>
      </c>
      <c r="K29" s="5">
        <v>350.0</v>
      </c>
      <c r="L29" s="5">
        <v>28000.0</v>
      </c>
      <c r="M29" s="5">
        <v>29000.0</v>
      </c>
      <c r="N29" s="8">
        <v>44966.0</v>
      </c>
      <c r="O29" s="5" t="s">
        <v>184</v>
      </c>
      <c r="P29" s="5" t="s">
        <v>25</v>
      </c>
      <c r="Q29" s="5" t="s">
        <v>237</v>
      </c>
      <c r="R29" s="5" t="s">
        <v>238</v>
      </c>
      <c r="S29" s="5" t="s">
        <v>38</v>
      </c>
    </row>
    <row r="30">
      <c r="A30" s="5">
        <v>29.0</v>
      </c>
      <c r="B30" s="5" t="s">
        <v>240</v>
      </c>
      <c r="C30" s="5" t="s">
        <v>20</v>
      </c>
      <c r="D30" s="5">
        <v>58.0</v>
      </c>
      <c r="E30" s="5">
        <v>300.0</v>
      </c>
      <c r="F30" s="5">
        <v>1.7</v>
      </c>
      <c r="H30" s="5" t="s">
        <v>19</v>
      </c>
      <c r="I30" s="9">
        <v>45896.89263888889</v>
      </c>
      <c r="J30" s="5" t="s">
        <v>243</v>
      </c>
      <c r="K30" s="5">
        <v>300.0</v>
      </c>
      <c r="L30" s="5">
        <v>210000.0</v>
      </c>
      <c r="M30" s="5">
        <v>214000.0</v>
      </c>
      <c r="N30" s="8">
        <v>42884.0</v>
      </c>
      <c r="O30" s="5" t="s">
        <v>100</v>
      </c>
      <c r="P30" s="5" t="s">
        <v>25</v>
      </c>
      <c r="Q30" s="5" t="s">
        <v>245</v>
      </c>
      <c r="R30" s="5" t="s">
        <v>246</v>
      </c>
      <c r="S30" s="5" t="s">
        <v>38</v>
      </c>
    </row>
    <row r="31">
      <c r="A31" s="5">
        <v>30.0</v>
      </c>
      <c r="B31" s="5" t="s">
        <v>247</v>
      </c>
      <c r="C31" s="5" t="s">
        <v>20</v>
      </c>
      <c r="D31" s="5">
        <v>43.0</v>
      </c>
      <c r="E31" s="5">
        <v>250.0</v>
      </c>
      <c r="H31" s="5" t="s">
        <v>19</v>
      </c>
      <c r="I31" s="9">
        <v>45940.97998842593</v>
      </c>
      <c r="J31" s="5" t="s">
        <v>243</v>
      </c>
      <c r="K31" s="5">
        <v>250.0</v>
      </c>
      <c r="L31" s="5">
        <v>181000.0</v>
      </c>
      <c r="M31" s="5">
        <v>185000.0</v>
      </c>
      <c r="N31" s="8">
        <v>42665.0</v>
      </c>
      <c r="O31" s="5" t="s">
        <v>80</v>
      </c>
      <c r="P31" s="5" t="s">
        <v>25</v>
      </c>
      <c r="Q31" s="5" t="s">
        <v>250</v>
      </c>
      <c r="R31" s="5">
        <v>73.0</v>
      </c>
      <c r="S31" s="5" t="s">
        <v>29</v>
      </c>
    </row>
    <row r="32">
      <c r="A32" s="5">
        <v>31.0</v>
      </c>
      <c r="B32" s="5" t="s">
        <v>252</v>
      </c>
      <c r="C32" s="5" t="s">
        <v>20</v>
      </c>
      <c r="D32" s="5">
        <v>2.0</v>
      </c>
      <c r="E32" s="5">
        <v>200.0</v>
      </c>
      <c r="H32" s="5" t="s">
        <v>19</v>
      </c>
      <c r="I32" s="9">
        <v>45938.00324074074</v>
      </c>
      <c r="J32" s="5" t="s">
        <v>254</v>
      </c>
      <c r="K32" s="5">
        <v>250.0</v>
      </c>
      <c r="L32" s="5">
        <v>179000.0</v>
      </c>
      <c r="M32" s="5">
        <v>183000.0</v>
      </c>
      <c r="N32" s="8">
        <v>42938.0</v>
      </c>
      <c r="O32" s="5" t="s">
        <v>184</v>
      </c>
      <c r="P32" s="5" t="s">
        <v>25</v>
      </c>
      <c r="Q32" s="5" t="s">
        <v>256</v>
      </c>
      <c r="R32" s="5" t="s">
        <v>258</v>
      </c>
      <c r="S32" s="5" t="s">
        <v>29</v>
      </c>
    </row>
    <row r="33">
      <c r="A33" s="5">
        <v>32.0</v>
      </c>
      <c r="B33" s="5" t="s">
        <v>260</v>
      </c>
      <c r="C33" s="5" t="s">
        <v>20</v>
      </c>
      <c r="D33" s="5">
        <v>14.0</v>
      </c>
      <c r="E33" s="5">
        <v>200.0</v>
      </c>
      <c r="F33" s="5">
        <v>0.09</v>
      </c>
      <c r="G33" s="5">
        <v>0.81</v>
      </c>
      <c r="H33" s="5" t="s">
        <v>19</v>
      </c>
      <c r="I33" s="9">
        <v>46157.10802083334</v>
      </c>
      <c r="J33" s="5" t="s">
        <v>22</v>
      </c>
      <c r="K33" s="5">
        <v>200.0</v>
      </c>
      <c r="L33" s="5">
        <v>131000.0</v>
      </c>
      <c r="M33" s="5">
        <v>135000.0</v>
      </c>
      <c r="N33" s="8">
        <v>42537.0</v>
      </c>
      <c r="O33" s="5" t="s">
        <v>24</v>
      </c>
      <c r="P33" s="5" t="s">
        <v>25</v>
      </c>
      <c r="Q33" s="5" t="s">
        <v>263</v>
      </c>
      <c r="R33" s="5" t="s">
        <v>264</v>
      </c>
      <c r="S33" s="5" t="s">
        <v>38</v>
      </c>
    </row>
    <row r="34">
      <c r="A34" s="5">
        <v>33.0</v>
      </c>
      <c r="B34" s="5" t="s">
        <v>266</v>
      </c>
      <c r="C34" s="5" t="s">
        <v>20</v>
      </c>
      <c r="D34" s="5">
        <v>29.0</v>
      </c>
      <c r="E34" s="5">
        <v>200.0</v>
      </c>
      <c r="F34" s="5">
        <v>4.0</v>
      </c>
      <c r="H34" s="5" t="s">
        <v>30</v>
      </c>
      <c r="I34" s="9">
        <v>45974.01957175926</v>
      </c>
      <c r="J34" s="5" t="s">
        <v>22</v>
      </c>
      <c r="K34" s="5">
        <v>200.0</v>
      </c>
      <c r="L34" s="5">
        <v>37000.0</v>
      </c>
      <c r="M34" s="5">
        <v>38000.0</v>
      </c>
      <c r="N34" s="8">
        <v>44025.0</v>
      </c>
      <c r="O34" s="5" t="s">
        <v>100</v>
      </c>
      <c r="P34" s="5" t="s">
        <v>25</v>
      </c>
      <c r="S34" s="5" t="s">
        <v>38</v>
      </c>
    </row>
    <row r="35">
      <c r="A35" s="5">
        <v>34.0</v>
      </c>
      <c r="B35" s="5" t="s">
        <v>269</v>
      </c>
      <c r="C35" s="5" t="s">
        <v>20</v>
      </c>
      <c r="E35" s="5">
        <v>200.0</v>
      </c>
      <c r="K35" s="5">
        <v>200.0</v>
      </c>
      <c r="N35" s="8">
        <v>43958.0</v>
      </c>
      <c r="O35" s="5" t="s">
        <v>184</v>
      </c>
      <c r="P35" s="5" t="s">
        <v>25</v>
      </c>
      <c r="S35" s="5" t="s">
        <v>118</v>
      </c>
    </row>
    <row r="36">
      <c r="A36" s="5">
        <v>35.0</v>
      </c>
      <c r="B36" s="5" t="s">
        <v>272</v>
      </c>
      <c r="C36" s="5" t="s">
        <v>20</v>
      </c>
      <c r="D36" s="5">
        <v>77.0</v>
      </c>
      <c r="E36" s="5">
        <v>150.0</v>
      </c>
      <c r="H36" s="5" t="s">
        <v>19</v>
      </c>
      <c r="I36" s="9">
        <v>46123.39202546296</v>
      </c>
      <c r="J36" s="5" t="s">
        <v>206</v>
      </c>
      <c r="K36" s="5">
        <v>150.0</v>
      </c>
      <c r="L36" s="5">
        <v>136000.0</v>
      </c>
      <c r="M36" s="5">
        <v>140000.0</v>
      </c>
      <c r="N36" s="8">
        <v>43091.0</v>
      </c>
      <c r="O36" s="5" t="s">
        <v>24</v>
      </c>
      <c r="P36" s="5" t="s">
        <v>25</v>
      </c>
      <c r="S36" s="5" t="s">
        <v>157</v>
      </c>
    </row>
    <row r="37">
      <c r="A37" s="5">
        <v>36.0</v>
      </c>
      <c r="B37" s="5" t="s">
        <v>277</v>
      </c>
      <c r="C37" s="5" t="s">
        <v>20</v>
      </c>
      <c r="D37" s="5">
        <v>0.0</v>
      </c>
      <c r="E37" s="5">
        <v>150.0</v>
      </c>
      <c r="H37" s="5" t="s">
        <v>277</v>
      </c>
      <c r="I37" s="9">
        <v>46143.11436342593</v>
      </c>
      <c r="J37" s="5" t="s">
        <v>280</v>
      </c>
      <c r="K37" s="5">
        <v>150.0</v>
      </c>
      <c r="L37" s="5">
        <v>90.0</v>
      </c>
      <c r="M37" s="5">
        <v>90.0</v>
      </c>
      <c r="N37" s="8">
        <v>42617.0</v>
      </c>
      <c r="O37" s="5" t="s">
        <v>184</v>
      </c>
      <c r="P37" s="5" t="s">
        <v>25</v>
      </c>
      <c r="S37" s="5" t="s">
        <v>38</v>
      </c>
    </row>
    <row r="38">
      <c r="A38" s="5">
        <v>37.0</v>
      </c>
      <c r="B38" s="5" t="s">
        <v>283</v>
      </c>
      <c r="C38" s="5" t="s">
        <v>20</v>
      </c>
      <c r="D38" s="5">
        <v>75.0</v>
      </c>
      <c r="E38" s="5">
        <v>150.0</v>
      </c>
      <c r="F38" s="5">
        <v>0.25</v>
      </c>
      <c r="H38" s="5" t="s">
        <v>285</v>
      </c>
      <c r="I38" s="9">
        <v>46072.293078703704</v>
      </c>
      <c r="J38" s="5" t="s">
        <v>206</v>
      </c>
      <c r="K38" s="5">
        <v>200.0</v>
      </c>
      <c r="L38" s="5">
        <v>3500.0</v>
      </c>
      <c r="M38" s="5">
        <v>3900.0</v>
      </c>
      <c r="N38" s="8">
        <v>42763.0</v>
      </c>
      <c r="O38" s="5" t="s">
        <v>50</v>
      </c>
      <c r="P38" s="5" t="s">
        <v>25</v>
      </c>
      <c r="Q38" s="5" t="s">
        <v>287</v>
      </c>
      <c r="R38" s="5" t="s">
        <v>289</v>
      </c>
      <c r="S38" s="5" t="s">
        <v>118</v>
      </c>
    </row>
    <row r="39">
      <c r="A39" s="5">
        <v>38.0</v>
      </c>
      <c r="B39" s="5" t="s">
        <v>291</v>
      </c>
      <c r="C39" s="5" t="s">
        <v>20</v>
      </c>
      <c r="D39" s="5">
        <v>41.0</v>
      </c>
      <c r="E39" s="5">
        <v>150.0</v>
      </c>
      <c r="G39" s="5">
        <v>0.95</v>
      </c>
      <c r="H39" s="5" t="s">
        <v>47</v>
      </c>
      <c r="I39" s="9">
        <v>46123.82780092592</v>
      </c>
      <c r="J39" s="5" t="s">
        <v>22</v>
      </c>
      <c r="K39" s="5">
        <v>150.0</v>
      </c>
      <c r="L39" s="5">
        <v>16000.0</v>
      </c>
      <c r="M39" s="5">
        <v>16000.0</v>
      </c>
      <c r="N39" s="8">
        <v>42256.0</v>
      </c>
      <c r="O39" s="5" t="s">
        <v>80</v>
      </c>
      <c r="P39" s="5" t="s">
        <v>25</v>
      </c>
      <c r="S39" s="5" t="s">
        <v>29</v>
      </c>
    </row>
    <row r="40">
      <c r="A40" s="5">
        <v>39.0</v>
      </c>
      <c r="B40" s="5" t="s">
        <v>298</v>
      </c>
      <c r="C40" s="5" t="s">
        <v>20</v>
      </c>
      <c r="D40" s="5">
        <v>65.0</v>
      </c>
      <c r="E40" s="5">
        <v>150.0</v>
      </c>
      <c r="F40" s="5">
        <v>1.4</v>
      </c>
      <c r="H40" s="5" t="s">
        <v>300</v>
      </c>
      <c r="I40" s="9">
        <v>46163.15738425926</v>
      </c>
      <c r="J40" s="5" t="s">
        <v>206</v>
      </c>
      <c r="K40" s="5">
        <v>150.0</v>
      </c>
      <c r="L40" s="5">
        <v>1100.0</v>
      </c>
      <c r="M40" s="5">
        <v>1200.0</v>
      </c>
      <c r="N40" s="8">
        <v>42280.0</v>
      </c>
      <c r="O40" s="5" t="s">
        <v>24</v>
      </c>
      <c r="P40" s="5" t="s">
        <v>25</v>
      </c>
      <c r="S40" s="5" t="s">
        <v>157</v>
      </c>
    </row>
    <row r="41">
      <c r="A41" s="5">
        <v>40.0</v>
      </c>
      <c r="B41" s="5" t="s">
        <v>303</v>
      </c>
      <c r="C41" s="5" t="s">
        <v>20</v>
      </c>
      <c r="E41" s="5">
        <v>150.0</v>
      </c>
      <c r="K41" s="5">
        <v>150.0</v>
      </c>
      <c r="N41" s="8">
        <v>42507.0</v>
      </c>
    </row>
    <row r="42">
      <c r="A42" s="5">
        <v>41.0</v>
      </c>
      <c r="B42" s="5" t="s">
        <v>305</v>
      </c>
      <c r="C42" s="5" t="s">
        <v>20</v>
      </c>
      <c r="D42" s="5">
        <v>19.0</v>
      </c>
      <c r="E42" s="5">
        <v>150.0</v>
      </c>
      <c r="H42" s="5" t="s">
        <v>30</v>
      </c>
      <c r="I42" s="9">
        <v>46156.209710648145</v>
      </c>
      <c r="J42" s="5" t="s">
        <v>22</v>
      </c>
      <c r="K42" s="5">
        <v>150.0</v>
      </c>
      <c r="L42" s="5">
        <v>26000.0</v>
      </c>
      <c r="M42" s="5">
        <v>27000.0</v>
      </c>
      <c r="N42" s="8">
        <v>42269.0</v>
      </c>
      <c r="O42" s="5" t="s">
        <v>24</v>
      </c>
      <c r="P42" s="5" t="s">
        <v>25</v>
      </c>
      <c r="S42" s="5" t="s">
        <v>38</v>
      </c>
    </row>
    <row r="43">
      <c r="A43" s="5">
        <v>42.0</v>
      </c>
      <c r="B43" s="5" t="s">
        <v>310</v>
      </c>
      <c r="C43" s="5" t="s">
        <v>20</v>
      </c>
      <c r="D43" s="5">
        <v>22.0</v>
      </c>
      <c r="E43" s="5">
        <v>100.0</v>
      </c>
      <c r="H43" s="5" t="s">
        <v>19</v>
      </c>
      <c r="I43" s="9">
        <v>46163.15893518519</v>
      </c>
      <c r="J43" s="5" t="s">
        <v>78</v>
      </c>
      <c r="K43" s="5">
        <v>100.0</v>
      </c>
      <c r="L43" s="5">
        <v>131000.0</v>
      </c>
      <c r="M43" s="5">
        <v>135000.0</v>
      </c>
      <c r="N43" s="8">
        <v>42469.0</v>
      </c>
      <c r="O43" s="5" t="s">
        <v>184</v>
      </c>
      <c r="P43" s="5" t="s">
        <v>25</v>
      </c>
      <c r="Q43" s="5" t="s">
        <v>314</v>
      </c>
      <c r="R43" s="5" t="s">
        <v>315</v>
      </c>
      <c r="S43" s="5" t="s">
        <v>38</v>
      </c>
    </row>
    <row r="44">
      <c r="A44" s="5">
        <v>43.0</v>
      </c>
      <c r="B44" s="5" t="s">
        <v>316</v>
      </c>
      <c r="C44" s="5" t="s">
        <v>20</v>
      </c>
      <c r="D44" s="5">
        <v>24.0</v>
      </c>
      <c r="E44" s="5">
        <v>100.0</v>
      </c>
      <c r="G44" s="5">
        <v>1.02</v>
      </c>
      <c r="H44" s="5" t="s">
        <v>19</v>
      </c>
      <c r="I44" s="9">
        <v>46090.056967592594</v>
      </c>
      <c r="J44" s="5" t="s">
        <v>319</v>
      </c>
      <c r="K44" s="5">
        <v>250.0</v>
      </c>
      <c r="L44" s="5">
        <v>145000.0</v>
      </c>
      <c r="M44" s="5">
        <v>149000.0</v>
      </c>
      <c r="N44" s="8">
        <v>42284.0</v>
      </c>
      <c r="O44" s="5" t="s">
        <v>184</v>
      </c>
      <c r="P44" s="5" t="s">
        <v>25</v>
      </c>
      <c r="Q44" s="5" t="s">
        <v>321</v>
      </c>
      <c r="R44" s="5" t="s">
        <v>322</v>
      </c>
      <c r="S44" s="5" t="s">
        <v>29</v>
      </c>
    </row>
    <row r="45">
      <c r="A45" s="5">
        <v>44.0</v>
      </c>
      <c r="B45" s="5" t="s">
        <v>324</v>
      </c>
      <c r="C45" s="5" t="s">
        <v>20</v>
      </c>
      <c r="D45" s="5">
        <v>76.0</v>
      </c>
      <c r="E45" s="5">
        <v>100.0</v>
      </c>
      <c r="H45" s="5" t="s">
        <v>147</v>
      </c>
      <c r="I45" s="9">
        <v>46149.00409722222</v>
      </c>
      <c r="K45" s="5">
        <v>150.0</v>
      </c>
      <c r="L45" s="5">
        <v>2100.0</v>
      </c>
      <c r="M45" s="5">
        <v>2700.0</v>
      </c>
      <c r="N45" s="8">
        <v>42277.0</v>
      </c>
      <c r="O45" s="5" t="s">
        <v>24</v>
      </c>
      <c r="P45" s="5" t="s">
        <v>25</v>
      </c>
      <c r="S45" s="5" t="s">
        <v>157</v>
      </c>
    </row>
    <row r="46">
      <c r="A46" s="5">
        <v>45.0</v>
      </c>
      <c r="B46" s="5" t="s">
        <v>41</v>
      </c>
      <c r="C46" s="5" t="s">
        <v>20</v>
      </c>
      <c r="D46" s="5">
        <v>64.0</v>
      </c>
      <c r="E46" s="5">
        <v>100.0</v>
      </c>
      <c r="F46" s="5">
        <v>1.4</v>
      </c>
      <c r="H46" s="5" t="s">
        <v>40</v>
      </c>
      <c r="I46" s="9">
        <v>46162.07782407408</v>
      </c>
      <c r="J46" s="5" t="s">
        <v>78</v>
      </c>
      <c r="K46" s="5">
        <v>100.0</v>
      </c>
      <c r="L46" s="5">
        <v>17000.0</v>
      </c>
      <c r="M46" s="5">
        <v>19000.0</v>
      </c>
      <c r="N46" s="8">
        <v>42504.0</v>
      </c>
      <c r="O46" s="5" t="s">
        <v>24</v>
      </c>
      <c r="P46" s="5" t="s">
        <v>25</v>
      </c>
      <c r="S46" s="5" t="s">
        <v>118</v>
      </c>
    </row>
    <row r="47">
      <c r="A47" s="5">
        <v>46.0</v>
      </c>
      <c r="B47" s="5" t="s">
        <v>330</v>
      </c>
      <c r="C47" s="5" t="s">
        <v>20</v>
      </c>
      <c r="D47" s="5">
        <v>2.0</v>
      </c>
      <c r="E47" s="5">
        <v>100.0</v>
      </c>
      <c r="F47" s="5">
        <v>1.6</v>
      </c>
      <c r="H47" s="5" t="s">
        <v>19</v>
      </c>
      <c r="I47" s="9">
        <v>46107.385092592594</v>
      </c>
      <c r="J47" s="5" t="s">
        <v>78</v>
      </c>
      <c r="K47" s="5">
        <v>100.0</v>
      </c>
      <c r="L47" s="5">
        <v>137000.0</v>
      </c>
      <c r="M47" s="5">
        <v>141000.0</v>
      </c>
      <c r="N47" s="8">
        <v>42518.0</v>
      </c>
      <c r="O47" s="5" t="s">
        <v>100</v>
      </c>
      <c r="P47" s="5" t="s">
        <v>25</v>
      </c>
      <c r="Q47" s="5" t="s">
        <v>333</v>
      </c>
      <c r="R47" s="5" t="s">
        <v>334</v>
      </c>
      <c r="S47" s="5" t="s">
        <v>38</v>
      </c>
    </row>
    <row r="48">
      <c r="A48" s="5">
        <v>47.0</v>
      </c>
      <c r="B48" s="5" t="s">
        <v>336</v>
      </c>
      <c r="C48" s="5" t="s">
        <v>20</v>
      </c>
      <c r="E48" s="5">
        <v>80.0</v>
      </c>
      <c r="K48" s="5">
        <v>150.0</v>
      </c>
      <c r="N48" s="8">
        <v>45611.0</v>
      </c>
    </row>
    <row r="49">
      <c r="A49" s="5">
        <v>48.0</v>
      </c>
      <c r="B49" s="5" t="s">
        <v>339</v>
      </c>
      <c r="C49" s="5" t="s">
        <v>20</v>
      </c>
      <c r="D49" s="5">
        <v>3.0</v>
      </c>
      <c r="E49" s="5">
        <v>80.0</v>
      </c>
      <c r="F49" s="5">
        <v>0.9</v>
      </c>
      <c r="H49" s="5" t="s">
        <v>340</v>
      </c>
      <c r="I49" s="9">
        <v>46082.695381944446</v>
      </c>
      <c r="J49" s="5" t="s">
        <v>254</v>
      </c>
      <c r="K49" s="5">
        <v>80.0</v>
      </c>
      <c r="L49" s="5">
        <v>13000.0</v>
      </c>
      <c r="M49" s="5">
        <v>18000.0</v>
      </c>
      <c r="N49" s="8">
        <v>45121.0</v>
      </c>
      <c r="O49" s="5" t="s">
        <v>184</v>
      </c>
      <c r="P49" s="5" t="s">
        <v>25</v>
      </c>
      <c r="S49" s="5" t="s">
        <v>29</v>
      </c>
    </row>
    <row r="50">
      <c r="A50" s="5">
        <v>49.0</v>
      </c>
      <c r="B50" s="5" t="s">
        <v>344</v>
      </c>
      <c r="C50" s="5" t="s">
        <v>20</v>
      </c>
      <c r="D50" s="5">
        <v>63.0</v>
      </c>
      <c r="E50" s="5">
        <v>80.0</v>
      </c>
      <c r="F50" s="5">
        <v>1.4</v>
      </c>
      <c r="G50" s="5">
        <v>0.87</v>
      </c>
      <c r="H50" s="5" t="s">
        <v>19</v>
      </c>
      <c r="I50" s="9">
        <v>46147.80615740741</v>
      </c>
      <c r="J50" s="5" t="s">
        <v>346</v>
      </c>
      <c r="K50" s="5">
        <v>90.0</v>
      </c>
      <c r="L50" s="5">
        <v>137000.0</v>
      </c>
      <c r="M50" s="5">
        <v>140000.0</v>
      </c>
      <c r="N50" s="8">
        <v>42250.0</v>
      </c>
      <c r="O50" s="5" t="s">
        <v>24</v>
      </c>
      <c r="P50" s="5" t="s">
        <v>25</v>
      </c>
      <c r="S50" s="5" t="s">
        <v>157</v>
      </c>
    </row>
    <row r="51">
      <c r="A51" s="5">
        <v>50.0</v>
      </c>
      <c r="B51" s="5" t="s">
        <v>348</v>
      </c>
      <c r="C51" s="5" t="s">
        <v>20</v>
      </c>
      <c r="D51" s="5">
        <v>54.0</v>
      </c>
      <c r="E51" s="5">
        <v>80.0</v>
      </c>
      <c r="H51" s="5" t="s">
        <v>30</v>
      </c>
      <c r="I51" s="9">
        <v>46161.75342592593</v>
      </c>
      <c r="J51" s="5" t="s">
        <v>22</v>
      </c>
      <c r="K51" s="5">
        <v>90.0</v>
      </c>
      <c r="L51" s="5">
        <v>26000.0</v>
      </c>
      <c r="M51" s="5">
        <v>27000.0</v>
      </c>
      <c r="N51" s="8">
        <v>42309.0</v>
      </c>
      <c r="O51" s="5" t="s">
        <v>24</v>
      </c>
      <c r="P51" s="5" t="s">
        <v>25</v>
      </c>
      <c r="S51" s="5" t="s">
        <v>38</v>
      </c>
    </row>
    <row r="52">
      <c r="A52" s="5">
        <v>51.0</v>
      </c>
      <c r="B52" s="5" t="s">
        <v>353</v>
      </c>
      <c r="C52" s="5" t="s">
        <v>20</v>
      </c>
      <c r="D52" s="5">
        <v>3.0</v>
      </c>
      <c r="E52" s="5">
        <v>80.0</v>
      </c>
      <c r="G52" s="5">
        <v>0.57</v>
      </c>
      <c r="H52" s="5" t="s">
        <v>19</v>
      </c>
      <c r="I52" s="9">
        <v>46100.62700231482</v>
      </c>
      <c r="J52" s="5" t="s">
        <v>355</v>
      </c>
      <c r="K52" s="5">
        <v>80.0</v>
      </c>
      <c r="L52" s="5">
        <v>141000.0</v>
      </c>
      <c r="M52" s="5">
        <v>145000.0</v>
      </c>
      <c r="N52" s="8">
        <v>42845.0</v>
      </c>
      <c r="O52" s="5" t="s">
        <v>184</v>
      </c>
      <c r="P52" s="5" t="s">
        <v>25</v>
      </c>
      <c r="Q52" s="5" t="s">
        <v>358</v>
      </c>
      <c r="R52" s="5" t="s">
        <v>359</v>
      </c>
      <c r="S52" s="5" t="s">
        <v>360</v>
      </c>
    </row>
    <row r="53">
      <c r="A53" s="5">
        <v>52.0</v>
      </c>
      <c r="B53" s="5" t="s">
        <v>362</v>
      </c>
      <c r="C53" s="5" t="s">
        <v>20</v>
      </c>
      <c r="D53" s="5">
        <v>31.0</v>
      </c>
      <c r="E53" s="5">
        <v>70.0</v>
      </c>
      <c r="F53" s="5">
        <v>0.7</v>
      </c>
      <c r="H53" s="5" t="s">
        <v>19</v>
      </c>
      <c r="I53" s="9">
        <v>46144.207291666666</v>
      </c>
      <c r="J53" s="5" t="s">
        <v>243</v>
      </c>
      <c r="K53" s="5">
        <v>100.0</v>
      </c>
      <c r="L53" s="5">
        <v>137000.0</v>
      </c>
      <c r="M53" s="5">
        <v>140000.0</v>
      </c>
      <c r="N53" s="8">
        <v>42259.0</v>
      </c>
      <c r="O53" s="5" t="s">
        <v>24</v>
      </c>
      <c r="P53" s="5" t="s">
        <v>25</v>
      </c>
      <c r="S53" s="5" t="s">
        <v>38</v>
      </c>
    </row>
    <row r="54">
      <c r="A54" s="5">
        <v>53.0</v>
      </c>
      <c r="B54" s="5" t="s">
        <v>368</v>
      </c>
      <c r="C54" s="5" t="s">
        <v>20</v>
      </c>
      <c r="D54" s="5">
        <v>59.0</v>
      </c>
      <c r="E54" s="5">
        <v>70.0</v>
      </c>
      <c r="H54" s="5" t="s">
        <v>47</v>
      </c>
      <c r="I54" s="9">
        <v>46087.89585648148</v>
      </c>
      <c r="J54" s="5" t="s">
        <v>151</v>
      </c>
      <c r="K54" s="5">
        <v>70.0</v>
      </c>
      <c r="L54" s="5">
        <v>17000.0</v>
      </c>
      <c r="M54" s="5">
        <v>17000.0</v>
      </c>
      <c r="N54" s="8">
        <v>42257.0</v>
      </c>
      <c r="O54" s="5" t="s">
        <v>100</v>
      </c>
      <c r="P54" s="5" t="s">
        <v>25</v>
      </c>
      <c r="S54" s="5" t="s">
        <v>29</v>
      </c>
    </row>
    <row r="55">
      <c r="A55" s="5">
        <v>54.0</v>
      </c>
      <c r="B55" s="5" t="s">
        <v>372</v>
      </c>
      <c r="C55" s="5" t="s">
        <v>20</v>
      </c>
      <c r="E55" s="5">
        <v>70.0</v>
      </c>
      <c r="K55" s="5">
        <v>70.0</v>
      </c>
      <c r="N55" s="8">
        <v>42522.0</v>
      </c>
    </row>
    <row r="56">
      <c r="A56" s="5">
        <v>55.0</v>
      </c>
      <c r="B56" s="5" t="s">
        <v>374</v>
      </c>
      <c r="C56" s="5" t="s">
        <v>20</v>
      </c>
      <c r="D56" s="5">
        <v>55.0</v>
      </c>
      <c r="E56" s="5">
        <v>70.0</v>
      </c>
      <c r="H56" s="5" t="s">
        <v>61</v>
      </c>
      <c r="I56" s="9">
        <v>46145.49365740741</v>
      </c>
      <c r="J56" s="5" t="s">
        <v>206</v>
      </c>
      <c r="K56" s="5">
        <v>90.0</v>
      </c>
      <c r="L56" s="5">
        <v>11000.0</v>
      </c>
      <c r="M56" s="5">
        <v>11000.0</v>
      </c>
      <c r="N56" s="8">
        <v>42305.0</v>
      </c>
      <c r="O56" s="5" t="s">
        <v>50</v>
      </c>
      <c r="P56" s="5" t="s">
        <v>25</v>
      </c>
      <c r="S56" s="5" t="s">
        <v>38</v>
      </c>
    </row>
    <row r="57">
      <c r="A57" s="5">
        <v>56.0</v>
      </c>
      <c r="B57" s="5" t="s">
        <v>379</v>
      </c>
      <c r="C57" s="5" t="s">
        <v>20</v>
      </c>
      <c r="E57" s="5">
        <v>70.0</v>
      </c>
      <c r="K57" s="5">
        <v>80.0</v>
      </c>
      <c r="N57" s="8">
        <v>43192.0</v>
      </c>
      <c r="O57" s="5" t="s">
        <v>24</v>
      </c>
      <c r="P57" s="5" t="s">
        <v>25</v>
      </c>
      <c r="S57" s="5" t="s">
        <v>38</v>
      </c>
    </row>
    <row r="58">
      <c r="A58" s="5">
        <v>57.0</v>
      </c>
      <c r="B58" s="5" t="s">
        <v>381</v>
      </c>
      <c r="C58" s="5" t="s">
        <v>20</v>
      </c>
      <c r="D58" s="5">
        <v>66.0</v>
      </c>
      <c r="E58" s="5">
        <v>70.0</v>
      </c>
      <c r="F58" s="5">
        <v>0.1</v>
      </c>
      <c r="H58" s="5" t="s">
        <v>147</v>
      </c>
      <c r="I58" s="9">
        <v>46147.08127314815</v>
      </c>
      <c r="K58" s="5">
        <v>70.0</v>
      </c>
      <c r="L58" s="5">
        <v>600.0</v>
      </c>
      <c r="M58" s="5">
        <v>600.0</v>
      </c>
      <c r="N58" s="8">
        <v>42514.0</v>
      </c>
      <c r="O58" s="5" t="s">
        <v>24</v>
      </c>
      <c r="P58" s="5" t="s">
        <v>25</v>
      </c>
      <c r="Q58" s="5" t="s">
        <v>385</v>
      </c>
      <c r="R58" s="5" t="s">
        <v>387</v>
      </c>
      <c r="S58" s="5" t="s">
        <v>118</v>
      </c>
    </row>
    <row r="59">
      <c r="A59" s="5">
        <v>58.0</v>
      </c>
      <c r="B59" s="5" t="s">
        <v>389</v>
      </c>
      <c r="C59" s="5" t="s">
        <v>20</v>
      </c>
      <c r="E59" s="5">
        <v>70.0</v>
      </c>
      <c r="K59" s="5">
        <v>70.0</v>
      </c>
      <c r="N59" s="8">
        <v>42268.0</v>
      </c>
      <c r="O59" s="5" t="s">
        <v>24</v>
      </c>
      <c r="P59" s="5" t="s">
        <v>25</v>
      </c>
      <c r="S59" s="5" t="s">
        <v>38</v>
      </c>
    </row>
    <row r="60">
      <c r="A60" s="5">
        <v>59.0</v>
      </c>
      <c r="B60" s="5" t="s">
        <v>392</v>
      </c>
      <c r="C60" s="5" t="s">
        <v>20</v>
      </c>
      <c r="E60" s="5">
        <v>70.0</v>
      </c>
      <c r="K60" s="5">
        <v>70.0</v>
      </c>
      <c r="N60" s="8">
        <v>45894.0</v>
      </c>
    </row>
    <row r="61">
      <c r="A61" s="5">
        <v>60.0</v>
      </c>
      <c r="B61" s="5" t="s">
        <v>395</v>
      </c>
      <c r="C61" s="5" t="s">
        <v>20</v>
      </c>
      <c r="D61" s="5">
        <v>2.0</v>
      </c>
      <c r="E61" s="5">
        <v>70.0</v>
      </c>
      <c r="H61" s="5" t="s">
        <v>19</v>
      </c>
      <c r="I61" s="9">
        <v>46122.44495370371</v>
      </c>
      <c r="J61" s="5" t="s">
        <v>197</v>
      </c>
      <c r="K61" s="5">
        <v>70.0</v>
      </c>
      <c r="L61" s="5">
        <v>136000.0</v>
      </c>
      <c r="M61" s="5">
        <v>140000.0</v>
      </c>
      <c r="N61" s="8">
        <v>42959.0</v>
      </c>
      <c r="O61" s="5" t="s">
        <v>397</v>
      </c>
      <c r="P61" s="5" t="s">
        <v>25</v>
      </c>
      <c r="S61" s="5" t="s">
        <v>29</v>
      </c>
    </row>
    <row r="62">
      <c r="A62" s="5">
        <v>61.0</v>
      </c>
      <c r="B62" s="5" t="s">
        <v>399</v>
      </c>
      <c r="C62" s="5" t="s">
        <v>20</v>
      </c>
      <c r="D62" s="5">
        <v>46.0</v>
      </c>
      <c r="E62" s="5">
        <v>70.0</v>
      </c>
      <c r="F62" s="5">
        <v>11.0</v>
      </c>
      <c r="H62" s="5" t="s">
        <v>19</v>
      </c>
      <c r="I62" s="9">
        <v>46144.419641203705</v>
      </c>
      <c r="J62" s="5" t="s">
        <v>151</v>
      </c>
      <c r="K62" s="5">
        <v>70.0</v>
      </c>
      <c r="L62" s="5">
        <v>137000.0</v>
      </c>
      <c r="M62" s="5">
        <v>140000.0</v>
      </c>
      <c r="N62" s="8">
        <v>42314.0</v>
      </c>
      <c r="O62" s="5" t="s">
        <v>24</v>
      </c>
      <c r="P62" s="5" t="s">
        <v>25</v>
      </c>
      <c r="S62" s="5" t="s">
        <v>38</v>
      </c>
    </row>
    <row r="63">
      <c r="A63" s="5">
        <v>62.0</v>
      </c>
      <c r="B63" s="5" t="s">
        <v>402</v>
      </c>
      <c r="C63" s="5" t="s">
        <v>20</v>
      </c>
      <c r="E63" s="5">
        <v>60.0</v>
      </c>
      <c r="K63" s="5">
        <v>60.0</v>
      </c>
      <c r="N63" s="8">
        <v>44756.0</v>
      </c>
    </row>
    <row r="64">
      <c r="A64" s="5">
        <v>63.0</v>
      </c>
      <c r="B64" s="5" t="s">
        <v>404</v>
      </c>
      <c r="C64" s="5" t="s">
        <v>20</v>
      </c>
      <c r="D64" s="5">
        <v>0.0</v>
      </c>
      <c r="E64" s="5">
        <v>60.0</v>
      </c>
      <c r="G64" s="5">
        <v>1.02</v>
      </c>
      <c r="H64" s="5" t="s">
        <v>19</v>
      </c>
      <c r="I64" s="9">
        <v>46155.48082175926</v>
      </c>
      <c r="J64" s="5" t="s">
        <v>78</v>
      </c>
      <c r="K64" s="5">
        <v>70.0</v>
      </c>
      <c r="L64" s="5">
        <v>131000.0</v>
      </c>
      <c r="M64" s="5">
        <v>135000.0</v>
      </c>
      <c r="N64" s="8">
        <v>42279.0</v>
      </c>
      <c r="O64" s="5" t="s">
        <v>24</v>
      </c>
      <c r="P64" s="5" t="s">
        <v>25</v>
      </c>
      <c r="Q64" s="5" t="s">
        <v>408</v>
      </c>
      <c r="R64" s="5">
        <v>94.0</v>
      </c>
      <c r="S64" s="5" t="s">
        <v>29</v>
      </c>
    </row>
    <row r="65">
      <c r="A65" s="5">
        <v>64.0</v>
      </c>
      <c r="B65" s="5" t="s">
        <v>410</v>
      </c>
      <c r="C65" s="5" t="s">
        <v>20</v>
      </c>
      <c r="D65" s="5">
        <v>42.0</v>
      </c>
      <c r="E65" s="5">
        <v>60.0</v>
      </c>
      <c r="H65" s="5" t="s">
        <v>47</v>
      </c>
      <c r="I65" s="9">
        <v>46131.636342592596</v>
      </c>
      <c r="J65" s="5" t="s">
        <v>22</v>
      </c>
      <c r="K65" s="5">
        <v>60.0</v>
      </c>
      <c r="L65" s="5">
        <v>16000.0</v>
      </c>
      <c r="M65" s="5">
        <v>17000.0</v>
      </c>
      <c r="N65" s="8">
        <v>42912.0</v>
      </c>
      <c r="O65" s="5" t="s">
        <v>80</v>
      </c>
      <c r="P65" s="5" t="s">
        <v>25</v>
      </c>
      <c r="S65" s="5" t="s">
        <v>118</v>
      </c>
    </row>
    <row r="66">
      <c r="A66" s="5">
        <v>65.0</v>
      </c>
      <c r="B66" s="5" t="s">
        <v>415</v>
      </c>
      <c r="C66" s="5" t="s">
        <v>20</v>
      </c>
      <c r="E66" s="5">
        <v>60.0</v>
      </c>
      <c r="K66" s="5">
        <v>60.0</v>
      </c>
      <c r="N66" s="8">
        <v>42497.0</v>
      </c>
    </row>
    <row r="67">
      <c r="A67" s="5">
        <v>66.0</v>
      </c>
      <c r="B67" s="5" t="s">
        <v>417</v>
      </c>
      <c r="C67" s="5" t="s">
        <v>20</v>
      </c>
      <c r="E67" s="5">
        <v>60.0</v>
      </c>
      <c r="K67" s="5">
        <v>60.0</v>
      </c>
      <c r="N67" s="8">
        <v>43876.0</v>
      </c>
      <c r="O67" s="5" t="s">
        <v>80</v>
      </c>
      <c r="P67" s="5" t="s">
        <v>25</v>
      </c>
      <c r="S67" s="5" t="s">
        <v>38</v>
      </c>
    </row>
    <row r="68">
      <c r="A68" s="5">
        <v>67.0</v>
      </c>
      <c r="B68" s="5" t="s">
        <v>420</v>
      </c>
      <c r="C68" s="5" t="s">
        <v>20</v>
      </c>
      <c r="D68" s="5">
        <v>0.0</v>
      </c>
      <c r="E68" s="5">
        <v>60.0</v>
      </c>
      <c r="F68" s="5">
        <v>1.0</v>
      </c>
      <c r="H68" s="5" t="s">
        <v>40</v>
      </c>
      <c r="I68" s="9">
        <v>46125.579039351855</v>
      </c>
      <c r="J68" s="5" t="s">
        <v>355</v>
      </c>
      <c r="K68" s="5">
        <v>100.0</v>
      </c>
      <c r="L68" s="5">
        <v>20000.0</v>
      </c>
      <c r="M68" s="5">
        <v>22000.0</v>
      </c>
      <c r="N68" s="8">
        <v>44647.0</v>
      </c>
      <c r="O68" s="5" t="s">
        <v>24</v>
      </c>
      <c r="P68" s="5" t="s">
        <v>25</v>
      </c>
      <c r="S68" s="5" t="s">
        <v>29</v>
      </c>
    </row>
    <row r="69">
      <c r="A69" s="5">
        <v>68.0</v>
      </c>
      <c r="B69" s="5" t="s">
        <v>424</v>
      </c>
      <c r="C69" s="5" t="s">
        <v>20</v>
      </c>
      <c r="E69" s="5">
        <v>60.0</v>
      </c>
      <c r="K69" s="5">
        <v>70.0</v>
      </c>
      <c r="N69" s="8">
        <v>45353.0</v>
      </c>
    </row>
    <row r="70">
      <c r="A70" s="5">
        <v>69.0</v>
      </c>
      <c r="B70" s="5" t="s">
        <v>427</v>
      </c>
      <c r="C70" s="5" t="s">
        <v>20</v>
      </c>
      <c r="D70" s="5">
        <v>82.0</v>
      </c>
      <c r="E70" s="5">
        <v>60.0</v>
      </c>
      <c r="H70" s="5" t="s">
        <v>147</v>
      </c>
      <c r="I70" s="9">
        <v>46144.66819444444</v>
      </c>
      <c r="J70" s="5" t="s">
        <v>206</v>
      </c>
      <c r="K70" s="5">
        <v>60.0</v>
      </c>
      <c r="L70" s="5">
        <v>2100.0</v>
      </c>
      <c r="M70" s="5">
        <v>2700.0</v>
      </c>
      <c r="N70" s="8">
        <v>42676.0</v>
      </c>
      <c r="O70" s="5" t="s">
        <v>50</v>
      </c>
      <c r="P70" s="5" t="s">
        <v>25</v>
      </c>
      <c r="S70" s="5" t="s">
        <v>145</v>
      </c>
    </row>
    <row r="71">
      <c r="A71" s="5">
        <v>70.0</v>
      </c>
      <c r="B71" s="5" t="s">
        <v>431</v>
      </c>
      <c r="C71" s="5" t="s">
        <v>20</v>
      </c>
      <c r="E71" s="5">
        <v>60.0</v>
      </c>
      <c r="K71" s="5">
        <v>60.0</v>
      </c>
      <c r="N71" s="8">
        <v>44335.0</v>
      </c>
      <c r="O71" s="5" t="s">
        <v>80</v>
      </c>
      <c r="P71" s="5" t="s">
        <v>25</v>
      </c>
      <c r="S71" s="5" t="s">
        <v>118</v>
      </c>
    </row>
    <row r="72">
      <c r="A72" s="5">
        <v>71.0</v>
      </c>
      <c r="B72" s="5" t="s">
        <v>437</v>
      </c>
      <c r="C72" s="5" t="s">
        <v>20</v>
      </c>
      <c r="E72" s="5">
        <v>60.0</v>
      </c>
      <c r="K72" s="5">
        <v>60.0</v>
      </c>
      <c r="N72" s="8">
        <v>44097.0</v>
      </c>
      <c r="O72" s="5" t="s">
        <v>24</v>
      </c>
      <c r="P72" s="5" t="s">
        <v>25</v>
      </c>
      <c r="S72" s="5" t="s">
        <v>38</v>
      </c>
    </row>
    <row r="73">
      <c r="A73" s="5">
        <v>72.0</v>
      </c>
      <c r="B73" s="5" t="s">
        <v>440</v>
      </c>
      <c r="C73" s="5" t="s">
        <v>20</v>
      </c>
      <c r="D73" s="5">
        <v>65.0</v>
      </c>
      <c r="E73" s="5">
        <v>60.0</v>
      </c>
      <c r="H73" s="5" t="s">
        <v>285</v>
      </c>
      <c r="I73" s="9">
        <v>46161.422268518516</v>
      </c>
      <c r="J73" s="5" t="s">
        <v>442</v>
      </c>
      <c r="K73" s="5">
        <v>60.0</v>
      </c>
      <c r="L73" s="5">
        <v>3200.0</v>
      </c>
      <c r="M73" s="5">
        <v>81000.0</v>
      </c>
      <c r="N73" s="8">
        <v>42465.0</v>
      </c>
      <c r="O73" s="5" t="s">
        <v>24</v>
      </c>
      <c r="P73" s="5" t="s">
        <v>25</v>
      </c>
      <c r="S73" s="5" t="s">
        <v>118</v>
      </c>
    </row>
    <row r="74">
      <c r="A74" s="5">
        <v>73.0</v>
      </c>
      <c r="B74" s="5" t="s">
        <v>447</v>
      </c>
      <c r="C74" s="5" t="s">
        <v>20</v>
      </c>
      <c r="E74" s="5">
        <v>60.0</v>
      </c>
      <c r="K74" s="5">
        <v>60.0</v>
      </c>
      <c r="N74" s="8">
        <v>44093.0</v>
      </c>
    </row>
    <row r="75">
      <c r="A75" s="5">
        <v>74.0</v>
      </c>
      <c r="B75" s="5" t="s">
        <v>436</v>
      </c>
      <c r="C75" s="5" t="s">
        <v>20</v>
      </c>
      <c r="D75" s="5">
        <v>1.0</v>
      </c>
      <c r="E75" s="5">
        <v>50.0</v>
      </c>
      <c r="G75" s="5">
        <v>0.66</v>
      </c>
      <c r="H75" s="5" t="s">
        <v>105</v>
      </c>
      <c r="I75" s="9">
        <v>46161.0391087963</v>
      </c>
      <c r="J75" s="5" t="s">
        <v>206</v>
      </c>
      <c r="K75" s="5">
        <v>50.0</v>
      </c>
      <c r="L75" s="5">
        <v>10.0</v>
      </c>
      <c r="M75" s="5">
        <v>10.0</v>
      </c>
      <c r="N75" s="8">
        <v>42278.0</v>
      </c>
      <c r="O75" s="5" t="s">
        <v>184</v>
      </c>
      <c r="P75" s="5" t="s">
        <v>25</v>
      </c>
      <c r="Q75" s="5" t="s">
        <v>444</v>
      </c>
      <c r="R75" s="5">
        <v>62.0</v>
      </c>
      <c r="S75" s="5" t="s">
        <v>38</v>
      </c>
    </row>
    <row r="76">
      <c r="A76" s="5">
        <v>75.0</v>
      </c>
      <c r="B76" s="5" t="s">
        <v>451</v>
      </c>
      <c r="C76" s="5" t="s">
        <v>20</v>
      </c>
      <c r="D76" s="5">
        <v>1.0</v>
      </c>
      <c r="E76" s="5">
        <v>50.0</v>
      </c>
      <c r="G76" s="5">
        <v>0.94</v>
      </c>
      <c r="H76" s="5" t="s">
        <v>19</v>
      </c>
      <c r="I76" s="9">
        <v>46145.85638888889</v>
      </c>
      <c r="J76" s="5" t="s">
        <v>78</v>
      </c>
      <c r="K76" s="5">
        <v>50.0</v>
      </c>
      <c r="L76" s="5">
        <v>137000.0</v>
      </c>
      <c r="M76" s="5">
        <v>140000.0</v>
      </c>
      <c r="N76" s="8">
        <v>42310.0</v>
      </c>
      <c r="O76" s="5" t="s">
        <v>100</v>
      </c>
      <c r="P76" s="5" t="s">
        <v>25</v>
      </c>
      <c r="Q76" s="5" t="s">
        <v>452</v>
      </c>
      <c r="R76" s="5" t="s">
        <v>453</v>
      </c>
      <c r="S76" s="5" t="s">
        <v>29</v>
      </c>
    </row>
    <row r="77">
      <c r="A77" s="5">
        <v>76.0</v>
      </c>
      <c r="B77" s="5" t="s">
        <v>455</v>
      </c>
      <c r="C77" s="5" t="s">
        <v>20</v>
      </c>
      <c r="D77" s="5">
        <v>24.0</v>
      </c>
      <c r="E77" s="5">
        <v>50.0</v>
      </c>
      <c r="H77" s="5" t="s">
        <v>19</v>
      </c>
      <c r="I77" s="9">
        <v>46088.90591435185</v>
      </c>
      <c r="J77" s="5" t="s">
        <v>456</v>
      </c>
      <c r="K77" s="5">
        <v>50.0</v>
      </c>
      <c r="L77" s="5">
        <v>145000.0</v>
      </c>
      <c r="M77" s="5">
        <v>149000.0</v>
      </c>
      <c r="N77" s="8">
        <v>42868.0</v>
      </c>
      <c r="O77" s="5" t="s">
        <v>184</v>
      </c>
      <c r="P77" s="5" t="s">
        <v>25</v>
      </c>
      <c r="S77" s="5" t="s">
        <v>38</v>
      </c>
    </row>
    <row r="78">
      <c r="A78" s="5">
        <v>77.0</v>
      </c>
      <c r="B78" s="5" t="s">
        <v>457</v>
      </c>
      <c r="C78" s="5" t="s">
        <v>20</v>
      </c>
      <c r="D78" s="5">
        <v>0.0</v>
      </c>
      <c r="E78" s="5">
        <v>50.0</v>
      </c>
      <c r="H78" s="5" t="s">
        <v>457</v>
      </c>
      <c r="I78" s="9">
        <v>46143.34614583333</v>
      </c>
      <c r="J78" s="5" t="s">
        <v>206</v>
      </c>
      <c r="K78" s="5">
        <v>60.0</v>
      </c>
      <c r="L78" s="5">
        <v>30.0</v>
      </c>
      <c r="M78" s="5">
        <v>30.0</v>
      </c>
      <c r="N78" s="8">
        <v>42302.0</v>
      </c>
      <c r="O78" s="5" t="s">
        <v>184</v>
      </c>
      <c r="P78" s="5" t="s">
        <v>25</v>
      </c>
      <c r="S78" s="5" t="s">
        <v>459</v>
      </c>
    </row>
    <row r="79">
      <c r="A79" s="5">
        <v>78.0</v>
      </c>
      <c r="B79" s="5" t="s">
        <v>446</v>
      </c>
      <c r="C79" s="5" t="s">
        <v>20</v>
      </c>
      <c r="D79" s="5">
        <v>3.0</v>
      </c>
      <c r="E79" s="5">
        <v>50.0</v>
      </c>
      <c r="G79" s="5">
        <v>1.04</v>
      </c>
      <c r="H79" s="5" t="s">
        <v>449</v>
      </c>
      <c r="I79" s="9">
        <v>46122.60337962963</v>
      </c>
      <c r="J79" s="5" t="s">
        <v>346</v>
      </c>
      <c r="K79" s="5">
        <v>60.0</v>
      </c>
      <c r="L79" s="5">
        <v>10.0</v>
      </c>
      <c r="M79" s="5">
        <v>20.0</v>
      </c>
      <c r="N79" s="8">
        <v>42289.0</v>
      </c>
      <c r="O79" s="5" t="s">
        <v>24</v>
      </c>
      <c r="P79" s="5" t="s">
        <v>25</v>
      </c>
      <c r="S79" s="5" t="s">
        <v>38</v>
      </c>
    </row>
    <row r="80">
      <c r="A80" s="5">
        <v>79.0</v>
      </c>
      <c r="B80" s="5" t="s">
        <v>462</v>
      </c>
      <c r="C80" s="5" t="s">
        <v>20</v>
      </c>
      <c r="D80" s="5">
        <v>0.0</v>
      </c>
      <c r="E80" s="5">
        <v>50.0</v>
      </c>
      <c r="H80" s="5" t="s">
        <v>277</v>
      </c>
      <c r="I80" s="9">
        <v>46143.167974537035</v>
      </c>
      <c r="J80" s="5" t="s">
        <v>206</v>
      </c>
      <c r="K80" s="5">
        <v>50.0</v>
      </c>
      <c r="L80" s="5">
        <v>90.0</v>
      </c>
      <c r="M80" s="5">
        <v>90.0</v>
      </c>
      <c r="N80" s="8">
        <v>42819.0</v>
      </c>
      <c r="O80" s="5" t="s">
        <v>184</v>
      </c>
      <c r="P80" s="5" t="s">
        <v>25</v>
      </c>
      <c r="S80" s="5" t="s">
        <v>38</v>
      </c>
    </row>
    <row r="81">
      <c r="A81" s="5">
        <v>80.0</v>
      </c>
      <c r="B81" s="5" t="s">
        <v>450</v>
      </c>
      <c r="C81" s="5" t="s">
        <v>20</v>
      </c>
      <c r="D81" s="5">
        <v>0.0</v>
      </c>
      <c r="E81" s="5">
        <v>50.0</v>
      </c>
      <c r="F81" s="5">
        <v>5.0</v>
      </c>
      <c r="H81" s="5" t="s">
        <v>40</v>
      </c>
      <c r="I81" s="9">
        <v>46126.87116898148</v>
      </c>
      <c r="J81" s="5" t="s">
        <v>243</v>
      </c>
      <c r="K81" s="5">
        <v>50.0</v>
      </c>
      <c r="L81" s="5">
        <v>20000.0</v>
      </c>
      <c r="M81" s="5">
        <v>22000.0</v>
      </c>
      <c r="N81" s="8">
        <v>42352.0</v>
      </c>
      <c r="O81" s="5" t="s">
        <v>184</v>
      </c>
      <c r="P81" s="5" t="s">
        <v>25</v>
      </c>
      <c r="S81" s="5" t="s">
        <v>29</v>
      </c>
    </row>
    <row r="82">
      <c r="A82" s="5">
        <v>81.0</v>
      </c>
      <c r="B82" s="5" t="s">
        <v>465</v>
      </c>
      <c r="C82" s="5" t="s">
        <v>20</v>
      </c>
      <c r="E82" s="5">
        <v>50.0</v>
      </c>
      <c r="K82" s="5">
        <v>50.0</v>
      </c>
      <c r="N82" s="8">
        <v>44140.0</v>
      </c>
      <c r="O82" s="5" t="s">
        <v>100</v>
      </c>
      <c r="P82" s="5" t="s">
        <v>25</v>
      </c>
      <c r="S82" s="5" t="s">
        <v>38</v>
      </c>
    </row>
    <row r="83">
      <c r="A83" s="5">
        <v>82.0</v>
      </c>
      <c r="B83" s="5" t="s">
        <v>467</v>
      </c>
      <c r="C83" s="5" t="s">
        <v>20</v>
      </c>
      <c r="E83" s="5">
        <v>50.0</v>
      </c>
      <c r="F83" s="5">
        <v>0.25</v>
      </c>
      <c r="K83" s="5">
        <v>50.0</v>
      </c>
      <c r="N83" s="8">
        <v>43024.0</v>
      </c>
      <c r="O83" s="5" t="s">
        <v>24</v>
      </c>
      <c r="P83" s="5" t="s">
        <v>25</v>
      </c>
      <c r="S83" s="5" t="s">
        <v>469</v>
      </c>
    </row>
    <row r="84">
      <c r="A84" s="5">
        <v>83.0</v>
      </c>
      <c r="B84" s="5" t="s">
        <v>470</v>
      </c>
      <c r="C84" s="5" t="s">
        <v>20</v>
      </c>
      <c r="D84" s="5">
        <v>34.0</v>
      </c>
      <c r="E84" s="5">
        <v>50.0</v>
      </c>
      <c r="H84" s="5" t="s">
        <v>47</v>
      </c>
      <c r="I84" s="9">
        <v>46155.67854166667</v>
      </c>
      <c r="J84" s="5" t="s">
        <v>151</v>
      </c>
      <c r="K84" s="5">
        <v>50.0</v>
      </c>
      <c r="L84" s="5">
        <v>16000.0</v>
      </c>
      <c r="M84" s="5">
        <v>16000.0</v>
      </c>
      <c r="N84" s="8">
        <v>43468.0</v>
      </c>
      <c r="O84" s="5" t="s">
        <v>464</v>
      </c>
      <c r="P84" s="5" t="s">
        <v>25</v>
      </c>
      <c r="S84" s="5" t="s">
        <v>75</v>
      </c>
    </row>
    <row r="85">
      <c r="A85" s="5">
        <v>84.0</v>
      </c>
      <c r="B85" s="5" t="s">
        <v>454</v>
      </c>
      <c r="C85" s="5" t="s">
        <v>20</v>
      </c>
      <c r="D85" s="5">
        <v>0.0</v>
      </c>
      <c r="E85" s="5">
        <v>50.0</v>
      </c>
      <c r="H85" s="5" t="s">
        <v>47</v>
      </c>
      <c r="I85" s="9">
        <v>46141.674259259256</v>
      </c>
      <c r="J85" s="5" t="s">
        <v>151</v>
      </c>
      <c r="K85" s="5">
        <v>50.0</v>
      </c>
      <c r="L85" s="5">
        <v>15000.0</v>
      </c>
      <c r="M85" s="5">
        <v>16000.0</v>
      </c>
      <c r="N85" s="8">
        <v>42336.0</v>
      </c>
      <c r="O85" s="5" t="s">
        <v>184</v>
      </c>
      <c r="P85" s="5" t="s">
        <v>25</v>
      </c>
      <c r="S85" s="5" t="s">
        <v>38</v>
      </c>
    </row>
    <row r="86">
      <c r="A86" s="5">
        <v>85.0</v>
      </c>
      <c r="B86" s="5" t="s">
        <v>474</v>
      </c>
      <c r="C86" s="5" t="s">
        <v>20</v>
      </c>
      <c r="E86" s="5">
        <v>50.0</v>
      </c>
      <c r="K86" s="5">
        <v>60.0</v>
      </c>
      <c r="N86" s="8">
        <v>42596.0</v>
      </c>
      <c r="O86" s="5" t="s">
        <v>24</v>
      </c>
      <c r="P86" s="5" t="s">
        <v>25</v>
      </c>
      <c r="S86" s="5" t="s">
        <v>118</v>
      </c>
    </row>
    <row r="87">
      <c r="A87" s="5">
        <v>86.0</v>
      </c>
      <c r="B87" s="5" t="s">
        <v>458</v>
      </c>
      <c r="C87" s="5" t="s">
        <v>20</v>
      </c>
      <c r="D87" s="5">
        <v>11.0</v>
      </c>
      <c r="E87" s="5">
        <v>50.0</v>
      </c>
      <c r="F87" s="5">
        <v>8.0</v>
      </c>
      <c r="G87" s="5">
        <v>1.15</v>
      </c>
      <c r="H87" s="5" t="s">
        <v>40</v>
      </c>
      <c r="I87" s="9">
        <v>46118.25922453704</v>
      </c>
      <c r="J87" s="5" t="s">
        <v>151</v>
      </c>
      <c r="K87" s="5">
        <v>50.0</v>
      </c>
      <c r="L87" s="5">
        <v>20000.0</v>
      </c>
      <c r="M87" s="5">
        <v>21000.0</v>
      </c>
      <c r="N87" s="8">
        <v>42346.0</v>
      </c>
      <c r="O87" s="5" t="s">
        <v>80</v>
      </c>
      <c r="P87" s="5" t="s">
        <v>25</v>
      </c>
      <c r="S87" s="5" t="s">
        <v>29</v>
      </c>
    </row>
    <row r="88">
      <c r="A88" s="5">
        <v>87.0</v>
      </c>
      <c r="B88" s="5" t="s">
        <v>476</v>
      </c>
      <c r="C88" s="5" t="s">
        <v>20</v>
      </c>
      <c r="E88" s="5">
        <v>50.0</v>
      </c>
      <c r="K88" s="5">
        <v>50.0</v>
      </c>
      <c r="N88" s="8">
        <v>45506.0</v>
      </c>
    </row>
    <row r="89">
      <c r="A89" s="5">
        <v>88.0</v>
      </c>
      <c r="B89" s="5" t="s">
        <v>477</v>
      </c>
      <c r="C89" s="5" t="s">
        <v>20</v>
      </c>
      <c r="E89" s="5">
        <v>40.0</v>
      </c>
      <c r="K89" s="5">
        <v>40.0</v>
      </c>
      <c r="N89" s="8">
        <v>45653.0</v>
      </c>
    </row>
    <row r="90">
      <c r="A90" s="5">
        <v>89.0</v>
      </c>
      <c r="B90" s="5" t="s">
        <v>478</v>
      </c>
      <c r="C90" s="5" t="s">
        <v>20</v>
      </c>
      <c r="D90" s="5">
        <v>0.0</v>
      </c>
      <c r="E90" s="5">
        <v>40.0</v>
      </c>
      <c r="H90" s="5" t="s">
        <v>19</v>
      </c>
      <c r="I90" s="9">
        <v>46123.02170138889</v>
      </c>
      <c r="J90" s="5" t="s">
        <v>151</v>
      </c>
      <c r="K90" s="5">
        <v>40.0</v>
      </c>
      <c r="L90" s="5">
        <v>136000.0</v>
      </c>
      <c r="M90" s="5">
        <v>140000.0</v>
      </c>
      <c r="N90" s="8">
        <v>43895.0</v>
      </c>
      <c r="O90" s="5" t="s">
        <v>184</v>
      </c>
      <c r="P90" s="5" t="s">
        <v>25</v>
      </c>
      <c r="S90" s="5" t="s">
        <v>38</v>
      </c>
    </row>
    <row r="91">
      <c r="A91" s="5">
        <v>90.0</v>
      </c>
      <c r="B91" s="5" t="s">
        <v>480</v>
      </c>
      <c r="C91" s="5" t="s">
        <v>20</v>
      </c>
      <c r="E91" s="5">
        <v>40.0</v>
      </c>
      <c r="K91" s="5">
        <v>40.0</v>
      </c>
      <c r="N91" s="8">
        <v>42751.0</v>
      </c>
    </row>
    <row r="92">
      <c r="A92" s="5">
        <v>91.0</v>
      </c>
      <c r="B92" s="5" t="s">
        <v>482</v>
      </c>
      <c r="C92" s="5" t="s">
        <v>20</v>
      </c>
      <c r="E92" s="5">
        <v>40.0</v>
      </c>
      <c r="K92" s="5">
        <v>40.0</v>
      </c>
      <c r="N92" s="8">
        <v>45516.0</v>
      </c>
    </row>
    <row r="93">
      <c r="A93" s="5">
        <v>92.0</v>
      </c>
      <c r="B93" s="5" t="s">
        <v>483</v>
      </c>
      <c r="C93" s="5" t="s">
        <v>20</v>
      </c>
      <c r="D93" s="5">
        <v>34.0</v>
      </c>
      <c r="E93" s="5">
        <v>40.0</v>
      </c>
      <c r="H93" s="5" t="s">
        <v>40</v>
      </c>
      <c r="I93" s="9">
        <v>46124.26974537037</v>
      </c>
      <c r="J93" s="5" t="s">
        <v>78</v>
      </c>
      <c r="K93" s="5">
        <v>60.0</v>
      </c>
      <c r="L93" s="5">
        <v>20000.0</v>
      </c>
      <c r="M93" s="5">
        <v>22000.0</v>
      </c>
      <c r="N93" s="8">
        <v>44662.0</v>
      </c>
      <c r="O93" s="5" t="s">
        <v>80</v>
      </c>
      <c r="P93" s="5" t="s">
        <v>25</v>
      </c>
      <c r="S93" s="5" t="s">
        <v>29</v>
      </c>
    </row>
    <row r="94">
      <c r="A94" s="5">
        <v>93.0</v>
      </c>
      <c r="B94" s="5" t="s">
        <v>484</v>
      </c>
      <c r="C94" s="5" t="s">
        <v>20</v>
      </c>
      <c r="D94" s="5">
        <v>0.0</v>
      </c>
      <c r="E94" s="5">
        <v>40.0</v>
      </c>
      <c r="H94" s="5" t="s">
        <v>19</v>
      </c>
      <c r="I94" s="9">
        <v>46125.923472222225</v>
      </c>
      <c r="J94" s="5" t="s">
        <v>151</v>
      </c>
      <c r="K94" s="5">
        <v>40.0</v>
      </c>
      <c r="L94" s="5">
        <v>136000.0</v>
      </c>
      <c r="M94" s="5">
        <v>140000.0</v>
      </c>
      <c r="N94" s="8">
        <v>43032.0</v>
      </c>
      <c r="O94" s="5" t="s">
        <v>24</v>
      </c>
      <c r="P94" s="5" t="s">
        <v>25</v>
      </c>
      <c r="S94" s="5" t="s">
        <v>118</v>
      </c>
    </row>
    <row r="95">
      <c r="A95" s="5">
        <v>94.0</v>
      </c>
      <c r="B95" s="5" t="s">
        <v>486</v>
      </c>
      <c r="C95" s="5" t="s">
        <v>20</v>
      </c>
      <c r="E95" s="5">
        <v>40.0</v>
      </c>
      <c r="K95" s="5">
        <v>40.0</v>
      </c>
      <c r="N95" s="8">
        <v>44116.0</v>
      </c>
      <c r="O95" s="5" t="s">
        <v>24</v>
      </c>
      <c r="P95" s="5" t="s">
        <v>25</v>
      </c>
      <c r="S95" s="5" t="s">
        <v>38</v>
      </c>
    </row>
    <row r="96">
      <c r="A96" s="5">
        <v>95.0</v>
      </c>
      <c r="B96" s="5" t="s">
        <v>487</v>
      </c>
      <c r="C96" s="5" t="s">
        <v>20</v>
      </c>
      <c r="D96" s="5">
        <v>51.0</v>
      </c>
      <c r="E96" s="5">
        <v>40.0</v>
      </c>
      <c r="H96" s="5" t="s">
        <v>47</v>
      </c>
      <c r="I96" s="9">
        <v>46123.50219907407</v>
      </c>
      <c r="J96" s="5" t="s">
        <v>243</v>
      </c>
      <c r="K96" s="5">
        <v>40.0</v>
      </c>
      <c r="L96" s="5">
        <v>16000.0</v>
      </c>
      <c r="M96" s="5">
        <v>16000.0</v>
      </c>
      <c r="N96" s="8">
        <v>42683.0</v>
      </c>
      <c r="O96" s="5" t="s">
        <v>129</v>
      </c>
      <c r="P96" s="5" t="s">
        <v>25</v>
      </c>
      <c r="S96" s="5" t="s">
        <v>29</v>
      </c>
    </row>
    <row r="97">
      <c r="A97" s="5">
        <v>96.0</v>
      </c>
      <c r="B97" s="5" t="s">
        <v>489</v>
      </c>
      <c r="C97" s="5" t="s">
        <v>20</v>
      </c>
      <c r="D97" s="5">
        <v>63.0</v>
      </c>
      <c r="E97" s="5">
        <v>40.0</v>
      </c>
      <c r="H97" s="5" t="s">
        <v>61</v>
      </c>
      <c r="I97" s="9">
        <v>46127.30511574074</v>
      </c>
      <c r="J97" s="5" t="s">
        <v>114</v>
      </c>
      <c r="K97" s="5">
        <v>60.0</v>
      </c>
      <c r="L97" s="5">
        <v>11000.0</v>
      </c>
      <c r="M97" s="5">
        <v>11000.0</v>
      </c>
      <c r="N97" s="8">
        <v>43276.0</v>
      </c>
      <c r="O97" s="5" t="s">
        <v>50</v>
      </c>
      <c r="P97" s="5" t="s">
        <v>25</v>
      </c>
      <c r="S97" s="5" t="s">
        <v>38</v>
      </c>
    </row>
    <row r="98">
      <c r="A98" s="5">
        <v>97.0</v>
      </c>
      <c r="B98" s="5" t="s">
        <v>491</v>
      </c>
      <c r="C98" s="5" t="s">
        <v>20</v>
      </c>
      <c r="D98" s="5">
        <v>68.0</v>
      </c>
      <c r="E98" s="5">
        <v>40.0</v>
      </c>
      <c r="H98" s="5" t="s">
        <v>61</v>
      </c>
      <c r="I98" s="9">
        <v>46106.682291666664</v>
      </c>
      <c r="J98" s="5" t="s">
        <v>87</v>
      </c>
      <c r="K98" s="5">
        <v>50.0</v>
      </c>
      <c r="L98" s="5">
        <v>11000.0</v>
      </c>
      <c r="M98" s="5">
        <v>11000.0</v>
      </c>
      <c r="N98" s="8">
        <v>42398.0</v>
      </c>
      <c r="O98" s="5" t="s">
        <v>50</v>
      </c>
      <c r="P98" s="5" t="s">
        <v>25</v>
      </c>
      <c r="S98" s="5" t="s">
        <v>38</v>
      </c>
    </row>
    <row r="99">
      <c r="A99" s="5">
        <v>98.0</v>
      </c>
      <c r="B99" s="5" t="s">
        <v>492</v>
      </c>
      <c r="C99" s="5" t="s">
        <v>20</v>
      </c>
      <c r="D99" s="5">
        <v>0.0</v>
      </c>
      <c r="E99" s="5">
        <v>40.0</v>
      </c>
      <c r="H99" s="5" t="s">
        <v>19</v>
      </c>
      <c r="I99" s="9">
        <v>46126.70122685185</v>
      </c>
      <c r="J99" s="5" t="s">
        <v>494</v>
      </c>
      <c r="K99" s="5">
        <v>40.0</v>
      </c>
      <c r="L99" s="5">
        <v>136000.0</v>
      </c>
      <c r="M99" s="5">
        <v>140000.0</v>
      </c>
      <c r="N99" s="8">
        <v>42468.0</v>
      </c>
      <c r="O99" s="5" t="s">
        <v>24</v>
      </c>
      <c r="P99" s="5" t="s">
        <v>25</v>
      </c>
      <c r="S99" s="5" t="s">
        <v>29</v>
      </c>
    </row>
    <row r="100">
      <c r="A100" s="5">
        <v>99.0</v>
      </c>
      <c r="B100" s="5" t="s">
        <v>496</v>
      </c>
      <c r="C100" s="5" t="s">
        <v>20</v>
      </c>
      <c r="D100" s="5">
        <v>9.0</v>
      </c>
      <c r="E100" s="5">
        <v>40.0</v>
      </c>
      <c r="H100" s="5" t="s">
        <v>47</v>
      </c>
      <c r="I100" s="9">
        <v>46125.771469907406</v>
      </c>
      <c r="J100" s="5" t="s">
        <v>243</v>
      </c>
      <c r="K100" s="5">
        <v>40.0</v>
      </c>
      <c r="L100" s="5">
        <v>16000.0</v>
      </c>
      <c r="M100" s="5">
        <v>17000.0</v>
      </c>
      <c r="N100" s="8">
        <v>42359.0</v>
      </c>
      <c r="O100" s="5" t="s">
        <v>50</v>
      </c>
      <c r="P100" s="5" t="s">
        <v>25</v>
      </c>
      <c r="S100" s="5" t="s">
        <v>38</v>
      </c>
    </row>
    <row r="101">
      <c r="A101" s="5">
        <v>100.0</v>
      </c>
      <c r="B101" s="5" t="s">
        <v>498</v>
      </c>
      <c r="C101" s="5" t="s">
        <v>20</v>
      </c>
      <c r="E101" s="5">
        <v>30.0</v>
      </c>
      <c r="K101" s="5">
        <v>40.0</v>
      </c>
      <c r="N101" s="8">
        <v>45636.0</v>
      </c>
    </row>
    <row r="102">
      <c r="A102" s="5">
        <v>101.0</v>
      </c>
      <c r="B102" s="5" t="s">
        <v>499</v>
      </c>
      <c r="C102" s="5" t="s">
        <v>20</v>
      </c>
      <c r="E102" s="5">
        <v>30.0</v>
      </c>
      <c r="K102" s="5">
        <v>30.0</v>
      </c>
      <c r="N102" s="8">
        <v>42403.0</v>
      </c>
      <c r="O102" s="5" t="s">
        <v>100</v>
      </c>
      <c r="P102" s="5" t="s">
        <v>25</v>
      </c>
      <c r="S102" s="5" t="s">
        <v>38</v>
      </c>
    </row>
    <row r="103">
      <c r="A103" s="5">
        <v>102.0</v>
      </c>
      <c r="B103" s="5" t="s">
        <v>500</v>
      </c>
      <c r="C103" s="5" t="s">
        <v>20</v>
      </c>
      <c r="E103" s="5">
        <v>30.0</v>
      </c>
      <c r="G103" s="5">
        <v>1.05</v>
      </c>
      <c r="K103" s="5">
        <v>30.0</v>
      </c>
      <c r="N103" s="8">
        <v>42248.0</v>
      </c>
      <c r="O103" s="5" t="s">
        <v>24</v>
      </c>
      <c r="P103" s="5" t="s">
        <v>25</v>
      </c>
      <c r="S103" s="5" t="s">
        <v>38</v>
      </c>
    </row>
    <row r="104">
      <c r="A104" s="5">
        <v>103.0</v>
      </c>
      <c r="B104" s="5" t="s">
        <v>502</v>
      </c>
      <c r="C104" s="5" t="s">
        <v>20</v>
      </c>
      <c r="D104" s="5">
        <v>65.0</v>
      </c>
      <c r="E104" s="5">
        <v>30.0</v>
      </c>
      <c r="F104" s="5">
        <v>0.7</v>
      </c>
      <c r="H104" s="5" t="s">
        <v>504</v>
      </c>
      <c r="I104" s="9">
        <v>46143.76708333333</v>
      </c>
      <c r="J104" s="5" t="s">
        <v>206</v>
      </c>
      <c r="K104" s="5">
        <v>80.0</v>
      </c>
      <c r="L104" s="5">
        <v>150.0</v>
      </c>
      <c r="M104" s="5">
        <v>350.0</v>
      </c>
      <c r="N104" s="8">
        <v>43509.0</v>
      </c>
      <c r="O104" s="5" t="s">
        <v>24</v>
      </c>
      <c r="P104" s="5" t="s">
        <v>25</v>
      </c>
      <c r="S104" s="5" t="s">
        <v>118</v>
      </c>
    </row>
    <row r="105">
      <c r="A105" s="5">
        <v>104.0</v>
      </c>
      <c r="B105" s="5" t="s">
        <v>505</v>
      </c>
      <c r="C105" s="5" t="s">
        <v>20</v>
      </c>
      <c r="D105" s="5">
        <v>38.0</v>
      </c>
      <c r="E105" s="5">
        <v>30.0</v>
      </c>
      <c r="F105" s="5">
        <v>1.0</v>
      </c>
      <c r="H105" s="5" t="s">
        <v>19</v>
      </c>
      <c r="I105" s="9">
        <v>46147.089155092595</v>
      </c>
      <c r="J105" s="5" t="s">
        <v>78</v>
      </c>
      <c r="K105" s="5">
        <v>90.0</v>
      </c>
      <c r="L105" s="5">
        <v>137000.0</v>
      </c>
      <c r="M105" s="5">
        <v>140000.0</v>
      </c>
      <c r="N105" s="8">
        <v>42249.0</v>
      </c>
      <c r="O105" s="5" t="s">
        <v>24</v>
      </c>
      <c r="P105" s="5" t="s">
        <v>25</v>
      </c>
      <c r="Q105" s="5" t="s">
        <v>507</v>
      </c>
      <c r="R105" s="5" t="s">
        <v>509</v>
      </c>
      <c r="S105" s="5" t="s">
        <v>118</v>
      </c>
    </row>
    <row r="106">
      <c r="A106" s="5">
        <v>105.0</v>
      </c>
      <c r="B106" s="5" t="s">
        <v>510</v>
      </c>
      <c r="C106" s="5" t="s">
        <v>20</v>
      </c>
      <c r="E106" s="5">
        <v>30.0</v>
      </c>
      <c r="K106" s="5">
        <v>30.0</v>
      </c>
      <c r="N106" s="8">
        <v>42717.0</v>
      </c>
    </row>
    <row r="107">
      <c r="A107" s="5">
        <v>106.0</v>
      </c>
      <c r="B107" s="5" t="s">
        <v>511</v>
      </c>
      <c r="C107" s="5" t="s">
        <v>20</v>
      </c>
      <c r="E107" s="5">
        <v>30.0</v>
      </c>
      <c r="K107" s="5">
        <v>30.0</v>
      </c>
      <c r="N107" s="8">
        <v>45156.0</v>
      </c>
    </row>
    <row r="108">
      <c r="A108" s="5">
        <v>107.0</v>
      </c>
      <c r="B108" s="5" t="s">
        <v>460</v>
      </c>
      <c r="C108" s="5" t="s">
        <v>20</v>
      </c>
      <c r="D108" s="5">
        <v>0.0</v>
      </c>
      <c r="E108" s="5">
        <v>30.0</v>
      </c>
      <c r="H108" s="5" t="s">
        <v>461</v>
      </c>
      <c r="I108" s="9">
        <v>46132.077418981484</v>
      </c>
      <c r="J108" s="5" t="s">
        <v>78</v>
      </c>
      <c r="K108" s="5">
        <v>30.0</v>
      </c>
      <c r="L108" s="5">
        <v>100.0</v>
      </c>
      <c r="M108" s="5">
        <v>250.0</v>
      </c>
      <c r="N108" s="8">
        <v>44648.0</v>
      </c>
      <c r="O108" s="5" t="s">
        <v>184</v>
      </c>
      <c r="P108" s="5" t="s">
        <v>25</v>
      </c>
      <c r="S108" s="5" t="s">
        <v>29</v>
      </c>
    </row>
    <row r="109">
      <c r="A109" s="5">
        <v>108.0</v>
      </c>
      <c r="B109" s="5" t="s">
        <v>514</v>
      </c>
      <c r="C109" s="5" t="s">
        <v>20</v>
      </c>
      <c r="E109" s="5">
        <v>30.0</v>
      </c>
      <c r="K109" s="5">
        <v>40.0</v>
      </c>
      <c r="N109" s="8">
        <v>43588.0</v>
      </c>
      <c r="O109" s="5" t="s">
        <v>24</v>
      </c>
      <c r="P109" s="5" t="s">
        <v>25</v>
      </c>
      <c r="S109" s="5" t="s">
        <v>469</v>
      </c>
    </row>
    <row r="110">
      <c r="A110" s="5">
        <v>109.0</v>
      </c>
      <c r="B110" s="5" t="s">
        <v>516</v>
      </c>
      <c r="C110" s="5" t="s">
        <v>20</v>
      </c>
      <c r="D110" s="5">
        <v>0.0</v>
      </c>
      <c r="E110" s="5">
        <v>30.0</v>
      </c>
      <c r="H110" s="5" t="s">
        <v>19</v>
      </c>
      <c r="I110" s="9">
        <v>46145.17811342593</v>
      </c>
      <c r="J110" s="5" t="s">
        <v>197</v>
      </c>
      <c r="K110" s="5">
        <v>30.0</v>
      </c>
      <c r="L110" s="5">
        <v>137000.0</v>
      </c>
      <c r="M110" s="5">
        <v>140000.0</v>
      </c>
      <c r="N110" s="8">
        <v>42324.0</v>
      </c>
      <c r="O110" s="5" t="s">
        <v>184</v>
      </c>
      <c r="P110" s="5" t="s">
        <v>25</v>
      </c>
      <c r="S110" s="5" t="s">
        <v>38</v>
      </c>
    </row>
    <row r="111">
      <c r="A111" s="5">
        <v>110.0</v>
      </c>
      <c r="B111" s="5" t="s">
        <v>518</v>
      </c>
      <c r="C111" s="5" t="s">
        <v>20</v>
      </c>
      <c r="E111" s="5">
        <v>30.0</v>
      </c>
      <c r="K111" s="5">
        <v>30.0</v>
      </c>
      <c r="N111" s="8">
        <v>42989.0</v>
      </c>
    </row>
    <row r="112">
      <c r="A112" s="5">
        <v>111.0</v>
      </c>
      <c r="B112" s="5" t="s">
        <v>519</v>
      </c>
      <c r="C112" s="5" t="s">
        <v>20</v>
      </c>
      <c r="D112" s="5">
        <v>8.0</v>
      </c>
      <c r="E112" s="5">
        <v>30.0</v>
      </c>
      <c r="H112" s="5" t="s">
        <v>457</v>
      </c>
      <c r="I112" s="9">
        <v>46089.42491898148</v>
      </c>
      <c r="J112" s="5" t="s">
        <v>206</v>
      </c>
      <c r="K112" s="5">
        <v>30.0</v>
      </c>
      <c r="L112" s="5">
        <v>30.0</v>
      </c>
      <c r="M112" s="5">
        <v>30.0</v>
      </c>
      <c r="N112" s="8">
        <v>43999.0</v>
      </c>
      <c r="O112" s="5" t="s">
        <v>24</v>
      </c>
      <c r="P112" s="5" t="s">
        <v>25</v>
      </c>
      <c r="S112" s="5" t="s">
        <v>118</v>
      </c>
    </row>
    <row r="113">
      <c r="A113" s="5">
        <v>112.0</v>
      </c>
      <c r="B113" s="5" t="s">
        <v>463</v>
      </c>
      <c r="C113" s="5" t="s">
        <v>20</v>
      </c>
      <c r="D113" s="5">
        <v>2.0</v>
      </c>
      <c r="E113" s="5">
        <v>30.0</v>
      </c>
      <c r="F113" s="5">
        <v>1.0</v>
      </c>
      <c r="H113" s="5" t="s">
        <v>19</v>
      </c>
      <c r="I113" s="9">
        <v>46149.05769675926</v>
      </c>
      <c r="J113" s="5" t="s">
        <v>151</v>
      </c>
      <c r="K113" s="5">
        <v>30.0</v>
      </c>
      <c r="L113" s="5">
        <v>137000.0</v>
      </c>
      <c r="M113" s="5">
        <v>140000.0</v>
      </c>
      <c r="N113" s="8">
        <v>42276.0</v>
      </c>
      <c r="O113" s="5" t="s">
        <v>464</v>
      </c>
      <c r="P113" s="5" t="s">
        <v>25</v>
      </c>
      <c r="S113" s="5" t="s">
        <v>29</v>
      </c>
    </row>
    <row r="114">
      <c r="A114" s="5">
        <v>113.0</v>
      </c>
      <c r="B114" s="5" t="s">
        <v>522</v>
      </c>
      <c r="C114" s="5" t="s">
        <v>20</v>
      </c>
      <c r="E114" s="5">
        <v>30.0</v>
      </c>
      <c r="K114" s="5">
        <v>30.0</v>
      </c>
      <c r="N114" s="8">
        <v>45856.0</v>
      </c>
    </row>
    <row r="115">
      <c r="A115" s="5">
        <v>114.0</v>
      </c>
      <c r="B115" s="5" t="s">
        <v>523</v>
      </c>
      <c r="C115" s="5" t="s">
        <v>20</v>
      </c>
      <c r="E115" s="5">
        <v>30.0</v>
      </c>
      <c r="K115" s="5">
        <v>30.0</v>
      </c>
      <c r="N115" s="8">
        <v>42796.0</v>
      </c>
    </row>
    <row r="116">
      <c r="A116" s="5">
        <v>115.0</v>
      </c>
      <c r="B116" s="5" t="s">
        <v>524</v>
      </c>
      <c r="C116" s="5" t="s">
        <v>20</v>
      </c>
      <c r="D116" s="5">
        <v>12.0</v>
      </c>
      <c r="E116" s="5">
        <v>30.0</v>
      </c>
      <c r="H116" s="5" t="s">
        <v>19</v>
      </c>
      <c r="I116" s="9">
        <v>46089.892280092594</v>
      </c>
      <c r="J116" s="5" t="s">
        <v>151</v>
      </c>
      <c r="K116" s="5">
        <v>30.0</v>
      </c>
      <c r="L116" s="5">
        <v>145000.0</v>
      </c>
      <c r="M116" s="5">
        <v>149000.0</v>
      </c>
      <c r="N116" s="8">
        <v>45022.0</v>
      </c>
      <c r="O116" s="5" t="s">
        <v>100</v>
      </c>
      <c r="P116" s="5" t="s">
        <v>25</v>
      </c>
      <c r="S116" s="5" t="s">
        <v>118</v>
      </c>
    </row>
    <row r="117">
      <c r="A117" s="5">
        <v>116.0</v>
      </c>
      <c r="B117" s="5" t="s">
        <v>527</v>
      </c>
      <c r="C117" s="5" t="s">
        <v>20</v>
      </c>
      <c r="E117" s="5">
        <v>30.0</v>
      </c>
      <c r="K117" s="5">
        <v>30.0</v>
      </c>
      <c r="N117" s="8">
        <v>45527.0</v>
      </c>
    </row>
    <row r="118">
      <c r="A118" s="5">
        <v>117.0</v>
      </c>
      <c r="B118" s="5" t="s">
        <v>528</v>
      </c>
      <c r="C118" s="5" t="s">
        <v>20</v>
      </c>
      <c r="D118" s="5">
        <v>47.0</v>
      </c>
      <c r="E118" s="5">
        <v>30.0</v>
      </c>
      <c r="H118" s="5" t="s">
        <v>504</v>
      </c>
      <c r="I118" s="9">
        <v>46149.004282407404</v>
      </c>
      <c r="J118" s="5" t="s">
        <v>206</v>
      </c>
      <c r="K118" s="5">
        <v>60.0</v>
      </c>
      <c r="L118" s="5">
        <v>150.0</v>
      </c>
      <c r="M118" s="5">
        <v>400.0</v>
      </c>
      <c r="N118" s="8">
        <v>43035.0</v>
      </c>
      <c r="O118" s="5" t="s">
        <v>530</v>
      </c>
      <c r="P118" s="5" t="s">
        <v>25</v>
      </c>
      <c r="Q118" s="5" t="s">
        <v>531</v>
      </c>
      <c r="R118" s="5" t="s">
        <v>532</v>
      </c>
      <c r="S118" s="5" t="s">
        <v>29</v>
      </c>
    </row>
    <row r="119">
      <c r="A119" s="5">
        <v>118.0</v>
      </c>
      <c r="B119" s="5" t="s">
        <v>466</v>
      </c>
      <c r="C119" s="5" t="s">
        <v>20</v>
      </c>
      <c r="E119" s="5">
        <v>20.0</v>
      </c>
      <c r="K119" s="5">
        <v>30.0</v>
      </c>
      <c r="N119" s="8">
        <v>42455.0</v>
      </c>
      <c r="O119" s="5" t="s">
        <v>184</v>
      </c>
      <c r="P119" s="5" t="s">
        <v>25</v>
      </c>
      <c r="S119" s="5" t="s">
        <v>38</v>
      </c>
    </row>
    <row r="120">
      <c r="A120" s="5">
        <v>119.0</v>
      </c>
      <c r="B120" s="5" t="s">
        <v>533</v>
      </c>
      <c r="C120" s="5" t="s">
        <v>20</v>
      </c>
      <c r="E120" s="5">
        <v>20.0</v>
      </c>
      <c r="K120" s="5">
        <v>20.0</v>
      </c>
      <c r="N120" s="8">
        <v>44597.0</v>
      </c>
      <c r="O120" s="5" t="s">
        <v>24</v>
      </c>
      <c r="P120" s="5" t="s">
        <v>25</v>
      </c>
      <c r="S120" s="5" t="s">
        <v>38</v>
      </c>
    </row>
    <row r="121">
      <c r="A121" s="5">
        <v>120.0</v>
      </c>
      <c r="B121" s="5" t="s">
        <v>534</v>
      </c>
      <c r="C121" s="5" t="s">
        <v>20</v>
      </c>
      <c r="D121" s="5">
        <v>0.0</v>
      </c>
      <c r="E121" s="5">
        <v>20.0</v>
      </c>
      <c r="H121" s="5" t="s">
        <v>19</v>
      </c>
      <c r="I121" s="9">
        <v>46101.0403125</v>
      </c>
      <c r="J121" s="5" t="s">
        <v>78</v>
      </c>
      <c r="K121" s="5">
        <v>20.0</v>
      </c>
      <c r="L121" s="5">
        <v>141000.0</v>
      </c>
      <c r="M121" s="5">
        <v>145000.0</v>
      </c>
      <c r="N121" s="8">
        <v>44155.0</v>
      </c>
      <c r="O121" s="5" t="s">
        <v>80</v>
      </c>
      <c r="P121" s="5" t="s">
        <v>25</v>
      </c>
      <c r="S121" s="5" t="s">
        <v>29</v>
      </c>
    </row>
    <row r="122">
      <c r="A122" s="5">
        <v>121.0</v>
      </c>
      <c r="B122" s="5" t="s">
        <v>468</v>
      </c>
      <c r="C122" s="5" t="s">
        <v>20</v>
      </c>
      <c r="D122" s="5">
        <v>14.0</v>
      </c>
      <c r="E122" s="5">
        <v>20.0</v>
      </c>
      <c r="H122" s="5" t="s">
        <v>19</v>
      </c>
      <c r="I122" s="9">
        <v>46125.69761574074</v>
      </c>
      <c r="J122" s="5" t="s">
        <v>471</v>
      </c>
      <c r="K122" s="5">
        <v>20.0</v>
      </c>
      <c r="L122" s="5">
        <v>136000.0</v>
      </c>
      <c r="M122" s="5">
        <v>140000.0</v>
      </c>
      <c r="N122" s="8">
        <v>43014.0</v>
      </c>
      <c r="O122" s="5" t="s">
        <v>184</v>
      </c>
      <c r="P122" s="5" t="s">
        <v>25</v>
      </c>
      <c r="S122" s="5" t="s">
        <v>29</v>
      </c>
    </row>
    <row r="123">
      <c r="A123" s="5">
        <v>122.0</v>
      </c>
      <c r="B123" s="5" t="s">
        <v>535</v>
      </c>
      <c r="C123" s="5" t="s">
        <v>20</v>
      </c>
      <c r="E123" s="5">
        <v>20.0</v>
      </c>
      <c r="K123" s="5">
        <v>20.0</v>
      </c>
      <c r="N123" s="8">
        <v>45444.0</v>
      </c>
    </row>
    <row r="124">
      <c r="A124" s="5">
        <v>123.0</v>
      </c>
      <c r="B124" s="5" t="s">
        <v>472</v>
      </c>
      <c r="C124" s="5" t="s">
        <v>20</v>
      </c>
      <c r="D124" s="5">
        <v>0.0</v>
      </c>
      <c r="E124" s="5">
        <v>20.0</v>
      </c>
      <c r="H124" s="5" t="s">
        <v>457</v>
      </c>
      <c r="I124" s="9">
        <v>46161.257835648146</v>
      </c>
      <c r="J124" s="5" t="s">
        <v>473</v>
      </c>
      <c r="K124" s="5">
        <v>20.0</v>
      </c>
      <c r="L124" s="5">
        <v>40.0</v>
      </c>
      <c r="M124" s="5">
        <v>40.0</v>
      </c>
      <c r="N124" s="8">
        <v>42314.0</v>
      </c>
      <c r="O124" s="5" t="s">
        <v>24</v>
      </c>
      <c r="P124" s="5" t="s">
        <v>25</v>
      </c>
      <c r="S124" s="5" t="s">
        <v>118</v>
      </c>
    </row>
    <row r="125">
      <c r="A125" s="5">
        <v>124.0</v>
      </c>
      <c r="B125" s="5" t="s">
        <v>537</v>
      </c>
      <c r="C125" s="5" t="s">
        <v>20</v>
      </c>
      <c r="E125" s="5">
        <v>20.0</v>
      </c>
      <c r="K125" s="5">
        <v>20.0</v>
      </c>
      <c r="N125" s="8">
        <v>44980.0</v>
      </c>
    </row>
    <row r="126">
      <c r="A126" s="5">
        <v>125.0</v>
      </c>
      <c r="B126" s="5" t="s">
        <v>538</v>
      </c>
      <c r="C126" s="5" t="s">
        <v>20</v>
      </c>
      <c r="E126" s="5">
        <v>20.0</v>
      </c>
      <c r="K126" s="5">
        <v>20.0</v>
      </c>
      <c r="N126" s="8">
        <v>45664.0</v>
      </c>
    </row>
    <row r="127">
      <c r="A127" s="5">
        <v>126.0</v>
      </c>
      <c r="B127" s="5" t="s">
        <v>539</v>
      </c>
      <c r="C127" s="5" t="s">
        <v>20</v>
      </c>
      <c r="D127" s="5">
        <v>73.0</v>
      </c>
      <c r="E127" s="5">
        <v>20.0</v>
      </c>
      <c r="F127" s="5">
        <v>0.25</v>
      </c>
      <c r="H127" s="5" t="s">
        <v>300</v>
      </c>
      <c r="I127" s="9">
        <v>46160.83896990741</v>
      </c>
      <c r="K127" s="5">
        <v>20.0</v>
      </c>
      <c r="L127" s="5">
        <v>1000.0</v>
      </c>
      <c r="M127" s="5">
        <v>1100.0</v>
      </c>
      <c r="N127" s="8">
        <v>42536.0</v>
      </c>
      <c r="O127" s="5" t="s">
        <v>24</v>
      </c>
      <c r="P127" s="5" t="s">
        <v>25</v>
      </c>
      <c r="S127" s="5" t="s">
        <v>118</v>
      </c>
    </row>
    <row r="128">
      <c r="A128" s="5">
        <v>127.0</v>
      </c>
      <c r="B128" s="5" t="s">
        <v>475</v>
      </c>
      <c r="C128" s="5" t="s">
        <v>20</v>
      </c>
      <c r="D128" s="5">
        <v>24.0</v>
      </c>
      <c r="E128" s="5">
        <v>20.0</v>
      </c>
      <c r="H128" s="5" t="s">
        <v>148</v>
      </c>
      <c r="I128" s="9">
        <v>46157.35157407408</v>
      </c>
      <c r="J128" s="5" t="s">
        <v>78</v>
      </c>
      <c r="K128" s="5">
        <v>20.0</v>
      </c>
      <c r="L128" s="5">
        <v>70.0</v>
      </c>
      <c r="M128" s="5">
        <v>90.0</v>
      </c>
      <c r="N128" s="8">
        <v>42458.0</v>
      </c>
      <c r="O128" s="5" t="s">
        <v>24</v>
      </c>
      <c r="P128" s="5" t="s">
        <v>25</v>
      </c>
      <c r="S128" s="5" t="s">
        <v>38</v>
      </c>
    </row>
    <row r="129">
      <c r="A129" s="5">
        <v>128.0</v>
      </c>
      <c r="B129" s="5" t="s">
        <v>544</v>
      </c>
      <c r="C129" s="5" t="s">
        <v>20</v>
      </c>
      <c r="D129" s="5">
        <v>74.0</v>
      </c>
      <c r="E129" s="5">
        <v>20.0</v>
      </c>
      <c r="H129" s="5" t="s">
        <v>61</v>
      </c>
      <c r="I129" s="9">
        <v>46161.261145833334</v>
      </c>
      <c r="J129" s="5" t="s">
        <v>206</v>
      </c>
      <c r="K129" s="5">
        <v>900.0</v>
      </c>
      <c r="L129" s="5">
        <v>11000.0</v>
      </c>
      <c r="M129" s="5">
        <v>12000.0</v>
      </c>
      <c r="N129" s="8">
        <v>42767.0</v>
      </c>
      <c r="O129" s="5" t="s">
        <v>50</v>
      </c>
      <c r="P129" s="5" t="s">
        <v>25</v>
      </c>
      <c r="S129" s="5" t="s">
        <v>38</v>
      </c>
    </row>
    <row r="130">
      <c r="A130" s="5">
        <v>129.0</v>
      </c>
      <c r="B130" s="5" t="s">
        <v>547</v>
      </c>
      <c r="C130" s="5" t="s">
        <v>20</v>
      </c>
      <c r="E130" s="5">
        <v>20.0</v>
      </c>
      <c r="K130" s="5">
        <v>20.0</v>
      </c>
      <c r="N130" s="8">
        <v>44280.0</v>
      </c>
      <c r="O130" s="5" t="s">
        <v>24</v>
      </c>
      <c r="P130" s="5" t="s">
        <v>25</v>
      </c>
      <c r="S130" s="5" t="s">
        <v>38</v>
      </c>
    </row>
    <row r="131">
      <c r="A131" s="5">
        <v>130.0</v>
      </c>
      <c r="B131" s="5" t="s">
        <v>549</v>
      </c>
      <c r="C131" s="5" t="s">
        <v>20</v>
      </c>
      <c r="E131" s="5">
        <v>20.0</v>
      </c>
      <c r="K131" s="5">
        <v>20.0</v>
      </c>
      <c r="N131" s="8">
        <v>43305.0</v>
      </c>
    </row>
    <row r="132">
      <c r="A132" s="5">
        <v>131.0</v>
      </c>
      <c r="B132" s="5" t="s">
        <v>550</v>
      </c>
      <c r="C132" s="5" t="s">
        <v>20</v>
      </c>
      <c r="D132" s="5">
        <v>3.0</v>
      </c>
      <c r="E132" s="5">
        <v>20.0</v>
      </c>
      <c r="H132" s="5" t="s">
        <v>277</v>
      </c>
      <c r="I132" s="9">
        <v>46144.156805555554</v>
      </c>
      <c r="J132" s="5" t="s">
        <v>206</v>
      </c>
      <c r="K132" s="5">
        <v>20.0</v>
      </c>
      <c r="L132" s="5">
        <v>90.0</v>
      </c>
      <c r="M132" s="5">
        <v>90.0</v>
      </c>
      <c r="N132" s="8">
        <v>44360.0</v>
      </c>
      <c r="O132" s="5" t="s">
        <v>24</v>
      </c>
      <c r="P132" s="5" t="s">
        <v>25</v>
      </c>
      <c r="S132" s="5" t="s">
        <v>118</v>
      </c>
    </row>
    <row r="133">
      <c r="A133" s="5">
        <v>132.0</v>
      </c>
      <c r="B133" s="5" t="s">
        <v>552</v>
      </c>
      <c r="C133" s="5" t="s">
        <v>20</v>
      </c>
      <c r="D133" s="5">
        <v>63.0</v>
      </c>
      <c r="E133" s="5">
        <v>20.0</v>
      </c>
      <c r="H133" s="5" t="s">
        <v>285</v>
      </c>
      <c r="I133" s="9">
        <v>46082.531180555554</v>
      </c>
      <c r="J133" s="5" t="s">
        <v>206</v>
      </c>
      <c r="K133" s="5">
        <v>20.0</v>
      </c>
      <c r="L133" s="5">
        <v>3500.0</v>
      </c>
      <c r="M133" s="5">
        <v>3700.0</v>
      </c>
      <c r="N133" s="8">
        <v>44872.0</v>
      </c>
      <c r="O133" s="5" t="s">
        <v>24</v>
      </c>
      <c r="P133" s="5" t="s">
        <v>25</v>
      </c>
      <c r="S133" s="5" t="s">
        <v>157</v>
      </c>
    </row>
    <row r="134">
      <c r="A134" s="5">
        <v>133.0</v>
      </c>
      <c r="B134" s="5" t="s">
        <v>555</v>
      </c>
      <c r="C134" s="5" t="s">
        <v>20</v>
      </c>
      <c r="D134" s="5">
        <v>0.0</v>
      </c>
      <c r="E134" s="5">
        <v>20.0</v>
      </c>
      <c r="H134" s="5" t="s">
        <v>19</v>
      </c>
      <c r="I134" s="9">
        <v>46162.50802083333</v>
      </c>
      <c r="J134" s="5" t="s">
        <v>151</v>
      </c>
      <c r="K134" s="5">
        <v>90.0</v>
      </c>
      <c r="L134" s="5">
        <v>131000.0</v>
      </c>
      <c r="M134" s="5">
        <v>135000.0</v>
      </c>
      <c r="N134" s="8">
        <v>42319.0</v>
      </c>
      <c r="O134" s="5" t="s">
        <v>100</v>
      </c>
      <c r="P134" s="5" t="s">
        <v>25</v>
      </c>
      <c r="S134" s="5" t="s">
        <v>38</v>
      </c>
    </row>
    <row r="135">
      <c r="A135" s="5">
        <v>134.0</v>
      </c>
      <c r="B135" s="5" t="s">
        <v>558</v>
      </c>
      <c r="C135" s="5" t="s">
        <v>20</v>
      </c>
      <c r="E135" s="5">
        <v>20.0</v>
      </c>
      <c r="K135" s="5">
        <v>20.0</v>
      </c>
      <c r="N135" s="8">
        <v>42553.0</v>
      </c>
    </row>
    <row r="136">
      <c r="A136" s="5">
        <v>135.0</v>
      </c>
      <c r="B136" s="5" t="s">
        <v>559</v>
      </c>
      <c r="C136" s="5" t="s">
        <v>20</v>
      </c>
      <c r="D136" s="5">
        <v>4.0</v>
      </c>
      <c r="E136" s="5">
        <v>20.0</v>
      </c>
      <c r="H136" s="5" t="s">
        <v>30</v>
      </c>
      <c r="I136" s="9">
        <v>46148.34883101852</v>
      </c>
      <c r="J136" s="5" t="s">
        <v>78</v>
      </c>
      <c r="K136" s="5">
        <v>20.0</v>
      </c>
      <c r="L136" s="5">
        <v>26000.0</v>
      </c>
      <c r="M136" s="5">
        <v>27000.0</v>
      </c>
      <c r="N136" s="8">
        <v>43456.0</v>
      </c>
      <c r="O136" s="5" t="s">
        <v>184</v>
      </c>
      <c r="P136" s="5" t="s">
        <v>25</v>
      </c>
      <c r="S136" s="5" t="s">
        <v>38</v>
      </c>
    </row>
    <row r="137">
      <c r="A137" s="5">
        <v>136.0</v>
      </c>
      <c r="B137" s="5" t="s">
        <v>562</v>
      </c>
      <c r="C137" s="5" t="s">
        <v>20</v>
      </c>
      <c r="E137" s="5">
        <v>20.0</v>
      </c>
      <c r="K137" s="5">
        <v>20.0</v>
      </c>
      <c r="N137" s="8">
        <v>44397.0</v>
      </c>
    </row>
    <row r="138">
      <c r="A138" s="5">
        <v>137.0</v>
      </c>
      <c r="B138" s="5" t="s">
        <v>563</v>
      </c>
      <c r="C138" s="5" t="s">
        <v>20</v>
      </c>
      <c r="E138" s="5">
        <v>20.0</v>
      </c>
      <c r="K138" s="5">
        <v>20.0</v>
      </c>
      <c r="N138" s="8">
        <v>42253.0</v>
      </c>
    </row>
    <row r="139">
      <c r="A139" s="5">
        <v>138.0</v>
      </c>
      <c r="B139" s="5" t="s">
        <v>564</v>
      </c>
      <c r="C139" s="5" t="s">
        <v>20</v>
      </c>
      <c r="D139" s="5">
        <v>0.0</v>
      </c>
      <c r="E139" s="5">
        <v>20.0</v>
      </c>
      <c r="H139" s="5" t="s">
        <v>19</v>
      </c>
      <c r="I139" s="9">
        <v>46088.398935185185</v>
      </c>
      <c r="J139" s="5" t="s">
        <v>78</v>
      </c>
      <c r="K139" s="5">
        <v>20.0</v>
      </c>
      <c r="L139" s="5">
        <v>145000.0</v>
      </c>
      <c r="M139" s="5">
        <v>149000.0</v>
      </c>
      <c r="N139" s="8">
        <v>42542.0</v>
      </c>
      <c r="O139" s="5" t="s">
        <v>80</v>
      </c>
      <c r="P139" s="5" t="s">
        <v>25</v>
      </c>
      <c r="S139" s="5" t="s">
        <v>118</v>
      </c>
    </row>
    <row r="140">
      <c r="A140" s="5">
        <v>139.0</v>
      </c>
      <c r="B140" s="5" t="s">
        <v>566</v>
      </c>
      <c r="C140" s="5" t="s">
        <v>20</v>
      </c>
      <c r="D140" s="5">
        <v>36.0</v>
      </c>
      <c r="E140" s="5">
        <v>20.0</v>
      </c>
      <c r="H140" s="5" t="s">
        <v>30</v>
      </c>
      <c r="I140" s="9">
        <v>46123.770625</v>
      </c>
      <c r="J140" s="5" t="s">
        <v>22</v>
      </c>
      <c r="K140" s="5">
        <v>20.0</v>
      </c>
      <c r="L140" s="5">
        <v>26000.0</v>
      </c>
      <c r="M140" s="5">
        <v>27000.0</v>
      </c>
      <c r="N140" s="8">
        <v>43855.0</v>
      </c>
      <c r="O140" s="5" t="s">
        <v>24</v>
      </c>
      <c r="P140" s="5" t="s">
        <v>25</v>
      </c>
      <c r="S140" s="5" t="s">
        <v>38</v>
      </c>
    </row>
    <row r="141">
      <c r="A141" s="5">
        <v>140.0</v>
      </c>
      <c r="B141" s="5" t="s">
        <v>569</v>
      </c>
      <c r="C141" s="5" t="s">
        <v>20</v>
      </c>
      <c r="E141" s="5">
        <v>20.0</v>
      </c>
      <c r="K141" s="5">
        <v>20.0</v>
      </c>
      <c r="N141" s="8">
        <v>42780.0</v>
      </c>
      <c r="O141" s="5" t="s">
        <v>80</v>
      </c>
      <c r="P141" s="5" t="s">
        <v>25</v>
      </c>
      <c r="S141" s="5" t="s">
        <v>38</v>
      </c>
    </row>
    <row r="142">
      <c r="A142" s="5">
        <v>141.0</v>
      </c>
      <c r="B142" s="5" t="s">
        <v>479</v>
      </c>
      <c r="C142" s="5" t="s">
        <v>20</v>
      </c>
      <c r="E142" s="5">
        <v>20.0</v>
      </c>
      <c r="K142" s="5">
        <v>20.0</v>
      </c>
      <c r="N142" s="8">
        <v>45120.0</v>
      </c>
    </row>
    <row r="143">
      <c r="A143" s="5">
        <v>142.0</v>
      </c>
      <c r="B143" s="5" t="s">
        <v>571</v>
      </c>
      <c r="C143" s="5" t="s">
        <v>20</v>
      </c>
      <c r="E143" s="5">
        <v>20.0</v>
      </c>
      <c r="K143" s="5">
        <v>30.0</v>
      </c>
      <c r="N143" s="8">
        <v>45034.0</v>
      </c>
    </row>
    <row r="144">
      <c r="A144" s="5">
        <v>143.0</v>
      </c>
      <c r="B144" s="5" t="s">
        <v>573</v>
      </c>
      <c r="C144" s="5" t="s">
        <v>20</v>
      </c>
      <c r="D144" s="5">
        <v>0.0</v>
      </c>
      <c r="E144" s="5">
        <v>20.0</v>
      </c>
      <c r="H144" s="5" t="s">
        <v>340</v>
      </c>
      <c r="I144" s="9">
        <v>46083.36078703704</v>
      </c>
      <c r="J144" s="5" t="s">
        <v>197</v>
      </c>
      <c r="K144" s="5">
        <v>20.0</v>
      </c>
      <c r="L144" s="5">
        <v>13000.0</v>
      </c>
      <c r="M144" s="5">
        <v>18000.0</v>
      </c>
      <c r="N144" s="8">
        <v>42298.0</v>
      </c>
      <c r="O144" s="5" t="s">
        <v>24</v>
      </c>
      <c r="P144" s="5" t="s">
        <v>25</v>
      </c>
      <c r="S144" s="5" t="s">
        <v>574</v>
      </c>
    </row>
    <row r="145">
      <c r="A145" s="5">
        <v>144.0</v>
      </c>
      <c r="B145" s="5" t="s">
        <v>481</v>
      </c>
      <c r="C145" s="5" t="s">
        <v>20</v>
      </c>
      <c r="D145" s="5">
        <v>49.0</v>
      </c>
      <c r="E145" s="5">
        <v>20.0</v>
      </c>
      <c r="G145" s="5">
        <v>1.16</v>
      </c>
      <c r="H145" s="5" t="s">
        <v>61</v>
      </c>
      <c r="I145" s="9">
        <v>46106.59496527778</v>
      </c>
      <c r="J145" s="5" t="s">
        <v>137</v>
      </c>
      <c r="K145" s="5">
        <v>50.0</v>
      </c>
      <c r="L145" s="5">
        <v>11000.0</v>
      </c>
      <c r="M145" s="5">
        <v>11000.0</v>
      </c>
      <c r="N145" s="8">
        <v>42276.0</v>
      </c>
      <c r="O145" s="5" t="s">
        <v>24</v>
      </c>
      <c r="P145" s="5" t="s">
        <v>25</v>
      </c>
      <c r="S145" s="5" t="s">
        <v>38</v>
      </c>
    </row>
    <row r="146">
      <c r="A146" s="5">
        <v>145.0</v>
      </c>
      <c r="B146" s="5" t="s">
        <v>579</v>
      </c>
      <c r="C146" s="5" t="s">
        <v>20</v>
      </c>
      <c r="E146" s="5">
        <v>20.0</v>
      </c>
      <c r="F146" s="5">
        <v>1.0</v>
      </c>
      <c r="K146" s="5">
        <v>20.0</v>
      </c>
      <c r="N146" s="8">
        <v>43497.0</v>
      </c>
      <c r="O146" s="5" t="s">
        <v>100</v>
      </c>
      <c r="P146" s="5" t="s">
        <v>25</v>
      </c>
      <c r="S146" s="5" t="s">
        <v>118</v>
      </c>
    </row>
    <row r="147">
      <c r="A147" s="5">
        <v>146.0</v>
      </c>
      <c r="B147" s="5" t="s">
        <v>581</v>
      </c>
      <c r="C147" s="5" t="s">
        <v>20</v>
      </c>
      <c r="E147" s="5">
        <v>20.0</v>
      </c>
      <c r="K147" s="5">
        <v>20.0</v>
      </c>
      <c r="N147" s="8">
        <v>42398.0</v>
      </c>
      <c r="O147" s="5" t="s">
        <v>583</v>
      </c>
      <c r="P147" s="5" t="s">
        <v>25</v>
      </c>
      <c r="S147" s="5" t="s">
        <v>29</v>
      </c>
    </row>
    <row r="148">
      <c r="A148" s="5">
        <v>147.0</v>
      </c>
      <c r="B148" s="5" t="s">
        <v>585</v>
      </c>
      <c r="C148" s="5" t="s">
        <v>20</v>
      </c>
      <c r="E148" s="5">
        <v>20.0</v>
      </c>
      <c r="K148" s="5">
        <v>20.0</v>
      </c>
      <c r="N148" s="8">
        <v>43074.0</v>
      </c>
    </row>
    <row r="149">
      <c r="A149" s="5">
        <v>148.0</v>
      </c>
      <c r="B149" s="5" t="s">
        <v>588</v>
      </c>
      <c r="C149" s="5" t="s">
        <v>20</v>
      </c>
      <c r="E149" s="5">
        <v>20.0</v>
      </c>
      <c r="K149" s="5">
        <v>20.0</v>
      </c>
      <c r="N149" s="8">
        <v>42813.0</v>
      </c>
      <c r="O149" s="5" t="s">
        <v>24</v>
      </c>
      <c r="P149" s="5" t="s">
        <v>25</v>
      </c>
      <c r="S149" s="5" t="s">
        <v>29</v>
      </c>
    </row>
    <row r="150">
      <c r="A150" s="5">
        <v>149.0</v>
      </c>
      <c r="B150" s="5" t="s">
        <v>590</v>
      </c>
      <c r="C150" s="5" t="s">
        <v>20</v>
      </c>
      <c r="E150" s="5">
        <v>20.0</v>
      </c>
      <c r="K150" s="5">
        <v>20.0</v>
      </c>
      <c r="N150" s="8">
        <v>46000.0</v>
      </c>
    </row>
    <row r="151">
      <c r="A151" s="5">
        <v>150.0</v>
      </c>
      <c r="B151" s="5" t="s">
        <v>592</v>
      </c>
      <c r="C151" s="5" t="s">
        <v>20</v>
      </c>
      <c r="D151" s="5">
        <v>0.0</v>
      </c>
      <c r="E151" s="5">
        <v>20.0</v>
      </c>
      <c r="H151" s="5" t="s">
        <v>19</v>
      </c>
      <c r="I151" s="9">
        <v>46145.40211805556</v>
      </c>
      <c r="J151" s="5" t="s">
        <v>78</v>
      </c>
      <c r="K151" s="5">
        <v>20.0</v>
      </c>
      <c r="L151" s="5">
        <v>137000.0</v>
      </c>
      <c r="M151" s="5">
        <v>140000.0</v>
      </c>
      <c r="N151" s="8">
        <v>42278.0</v>
      </c>
      <c r="O151" s="5" t="s">
        <v>184</v>
      </c>
      <c r="P151" s="5" t="s">
        <v>25</v>
      </c>
      <c r="S151" s="5" t="s">
        <v>29</v>
      </c>
    </row>
    <row r="152">
      <c r="A152" s="5">
        <v>151.0</v>
      </c>
      <c r="B152" s="5" t="s">
        <v>596</v>
      </c>
      <c r="C152" s="5" t="s">
        <v>20</v>
      </c>
      <c r="E152" s="5">
        <v>20.0</v>
      </c>
      <c r="K152" s="5">
        <v>20.0</v>
      </c>
      <c r="N152" s="8">
        <v>42304.0</v>
      </c>
      <c r="O152" s="5" t="s">
        <v>24</v>
      </c>
      <c r="P152" s="5" t="s">
        <v>25</v>
      </c>
      <c r="S152" s="5" t="s">
        <v>38</v>
      </c>
    </row>
    <row r="153">
      <c r="A153" s="5">
        <v>152.0</v>
      </c>
      <c r="B153" s="5" t="s">
        <v>597</v>
      </c>
      <c r="C153" s="5" t="s">
        <v>20</v>
      </c>
      <c r="D153" s="5">
        <v>4.0</v>
      </c>
      <c r="E153" s="5">
        <v>20.0</v>
      </c>
      <c r="H153" s="5" t="s">
        <v>19</v>
      </c>
      <c r="I153" s="9">
        <v>46122.602800925924</v>
      </c>
      <c r="J153" s="5" t="s">
        <v>494</v>
      </c>
      <c r="K153" s="5">
        <v>20.0</v>
      </c>
      <c r="L153" s="5">
        <v>136000.0</v>
      </c>
      <c r="M153" s="5">
        <v>140000.0</v>
      </c>
      <c r="N153" s="8">
        <v>44193.0</v>
      </c>
      <c r="O153" s="5" t="s">
        <v>184</v>
      </c>
      <c r="P153" s="5" t="s">
        <v>25</v>
      </c>
      <c r="S153" s="5" t="s">
        <v>38</v>
      </c>
    </row>
    <row r="154">
      <c r="A154" s="5">
        <v>153.0</v>
      </c>
      <c r="B154" s="5" t="s">
        <v>601</v>
      </c>
      <c r="C154" s="5" t="s">
        <v>20</v>
      </c>
      <c r="E154" s="5">
        <v>20.0</v>
      </c>
      <c r="K154" s="5">
        <v>59000.0</v>
      </c>
      <c r="N154" s="8">
        <v>44312.0</v>
      </c>
    </row>
    <row r="155">
      <c r="A155" s="5">
        <v>154.0</v>
      </c>
      <c r="B155" s="5" t="s">
        <v>602</v>
      </c>
      <c r="C155" s="5" t="s">
        <v>20</v>
      </c>
      <c r="E155" s="5">
        <v>20.0</v>
      </c>
      <c r="K155" s="5">
        <v>70.0</v>
      </c>
      <c r="N155" s="8">
        <v>42276.0</v>
      </c>
    </row>
    <row r="156">
      <c r="A156" s="5">
        <v>155.0</v>
      </c>
      <c r="B156" s="5" t="s">
        <v>605</v>
      </c>
      <c r="C156" s="5" t="s">
        <v>20</v>
      </c>
      <c r="E156" s="5">
        <v>20.0</v>
      </c>
      <c r="K156" s="5">
        <v>20.0</v>
      </c>
      <c r="N156" s="8">
        <v>45445.0</v>
      </c>
    </row>
    <row r="157">
      <c r="A157" s="5">
        <v>156.0</v>
      </c>
      <c r="B157" s="5" t="s">
        <v>608</v>
      </c>
      <c r="C157" s="5" t="s">
        <v>20</v>
      </c>
      <c r="D157" s="5">
        <v>54.0</v>
      </c>
      <c r="E157" s="5">
        <v>20.0</v>
      </c>
      <c r="H157" s="5" t="s">
        <v>47</v>
      </c>
      <c r="I157" s="9">
        <v>46155.6808912037</v>
      </c>
      <c r="J157" s="5" t="s">
        <v>78</v>
      </c>
      <c r="K157" s="5">
        <v>50.0</v>
      </c>
      <c r="L157" s="5">
        <v>16000.0</v>
      </c>
      <c r="M157" s="5">
        <v>16000.0</v>
      </c>
      <c r="N157" s="8">
        <v>42971.0</v>
      </c>
      <c r="O157" s="5" t="s">
        <v>71</v>
      </c>
      <c r="P157" s="5" t="s">
        <v>25</v>
      </c>
      <c r="S157" s="5" t="s">
        <v>29</v>
      </c>
    </row>
    <row r="158">
      <c r="A158" s="5">
        <v>157.0</v>
      </c>
      <c r="B158" s="5" t="s">
        <v>615</v>
      </c>
      <c r="C158" s="5" t="s">
        <v>20</v>
      </c>
      <c r="D158" s="5">
        <v>66.0</v>
      </c>
      <c r="E158" s="5">
        <v>20.0</v>
      </c>
      <c r="H158" s="5" t="s">
        <v>617</v>
      </c>
      <c r="I158" s="9">
        <v>46083.55385416667</v>
      </c>
      <c r="J158" s="5" t="s">
        <v>151</v>
      </c>
      <c r="K158" s="5">
        <v>30.0</v>
      </c>
      <c r="L158" s="5">
        <v>10.0</v>
      </c>
      <c r="M158" s="5">
        <v>10.0</v>
      </c>
      <c r="N158" s="8">
        <v>44109.0</v>
      </c>
      <c r="O158" s="5" t="s">
        <v>24</v>
      </c>
      <c r="P158" s="5" t="s">
        <v>25</v>
      </c>
      <c r="S158" s="5" t="s">
        <v>157</v>
      </c>
    </row>
    <row r="159">
      <c r="A159" s="5">
        <v>158.0</v>
      </c>
      <c r="B159" s="5" t="s">
        <v>618</v>
      </c>
      <c r="C159" s="5" t="s">
        <v>20</v>
      </c>
      <c r="D159" s="5">
        <v>69.0</v>
      </c>
      <c r="E159" s="5">
        <v>20.0</v>
      </c>
      <c r="H159" s="5" t="s">
        <v>61</v>
      </c>
      <c r="I159" s="9">
        <v>46071.851064814815</v>
      </c>
      <c r="J159" s="5" t="s">
        <v>620</v>
      </c>
      <c r="K159" s="5">
        <v>20.0</v>
      </c>
      <c r="L159" s="5">
        <v>11000.0</v>
      </c>
      <c r="M159" s="5">
        <v>11000.0</v>
      </c>
      <c r="N159" s="8">
        <v>44323.0</v>
      </c>
      <c r="O159" s="5" t="s">
        <v>50</v>
      </c>
      <c r="P159" s="5" t="s">
        <v>25</v>
      </c>
      <c r="S159" s="5" t="s">
        <v>38</v>
      </c>
    </row>
    <row r="160">
      <c r="A160" s="5">
        <v>159.0</v>
      </c>
      <c r="B160" s="5" t="s">
        <v>622</v>
      </c>
      <c r="C160" s="5" t="s">
        <v>20</v>
      </c>
      <c r="E160" s="5">
        <v>10.0</v>
      </c>
      <c r="K160" s="5">
        <v>10.0</v>
      </c>
      <c r="N160" s="8">
        <v>44137.0</v>
      </c>
      <c r="O160" s="5" t="s">
        <v>24</v>
      </c>
      <c r="P160" s="5" t="s">
        <v>25</v>
      </c>
      <c r="S160" s="5" t="s">
        <v>38</v>
      </c>
    </row>
    <row r="161">
      <c r="A161" s="5">
        <v>160.0</v>
      </c>
      <c r="B161" s="5" t="s">
        <v>625</v>
      </c>
      <c r="C161" s="5" t="s">
        <v>20</v>
      </c>
      <c r="E161" s="5">
        <v>10.0</v>
      </c>
      <c r="K161" s="5">
        <v>150.0</v>
      </c>
      <c r="N161" s="8">
        <v>44212.0</v>
      </c>
    </row>
    <row r="162">
      <c r="A162" s="5">
        <v>161.0</v>
      </c>
      <c r="B162" s="5" t="s">
        <v>627</v>
      </c>
      <c r="C162" s="5" t="s">
        <v>20</v>
      </c>
      <c r="D162" s="5">
        <v>77.0</v>
      </c>
      <c r="E162" s="5">
        <v>10.0</v>
      </c>
      <c r="H162" s="5" t="s">
        <v>631</v>
      </c>
      <c r="I162" s="9">
        <v>46126.948275462964</v>
      </c>
      <c r="K162" s="5">
        <v>10.0</v>
      </c>
      <c r="L162" s="5">
        <v>10.0</v>
      </c>
      <c r="M162" s="5">
        <v>10.0</v>
      </c>
      <c r="N162" s="8">
        <v>43993.0</v>
      </c>
      <c r="O162" s="5" t="s">
        <v>50</v>
      </c>
      <c r="P162" s="5" t="s">
        <v>25</v>
      </c>
      <c r="S162" s="5" t="s">
        <v>75</v>
      </c>
    </row>
    <row r="163">
      <c r="A163" s="5">
        <v>162.0</v>
      </c>
      <c r="B163" s="5" t="s">
        <v>632</v>
      </c>
      <c r="C163" s="5" t="s">
        <v>20</v>
      </c>
      <c r="E163" s="5">
        <v>10.0</v>
      </c>
      <c r="K163" s="5">
        <v>10.0</v>
      </c>
      <c r="N163" s="8">
        <v>45869.0</v>
      </c>
    </row>
    <row r="164">
      <c r="A164" s="5">
        <v>163.0</v>
      </c>
      <c r="B164" s="5" t="s">
        <v>634</v>
      </c>
      <c r="C164" s="5" t="s">
        <v>20</v>
      </c>
      <c r="D164" s="5">
        <v>45.0</v>
      </c>
      <c r="E164" s="5">
        <v>10.0</v>
      </c>
      <c r="H164" s="5" t="s">
        <v>40</v>
      </c>
      <c r="I164" s="9">
        <v>46162.51025462963</v>
      </c>
      <c r="J164" s="5" t="s">
        <v>78</v>
      </c>
      <c r="K164" s="5">
        <v>10.0</v>
      </c>
      <c r="L164" s="5">
        <v>17000.0</v>
      </c>
      <c r="M164" s="5">
        <v>19000.0</v>
      </c>
      <c r="N164" s="8">
        <v>45290.0</v>
      </c>
      <c r="O164" s="5" t="s">
        <v>71</v>
      </c>
      <c r="P164" s="5" t="s">
        <v>25</v>
      </c>
      <c r="S164" s="5" t="s">
        <v>75</v>
      </c>
    </row>
    <row r="165">
      <c r="A165" s="5">
        <v>164.0</v>
      </c>
      <c r="B165" s="5" t="s">
        <v>638</v>
      </c>
      <c r="C165" s="5" t="s">
        <v>20</v>
      </c>
      <c r="D165" s="5">
        <v>85.0</v>
      </c>
      <c r="E165" s="5">
        <v>10.0</v>
      </c>
      <c r="H165" s="5" t="s">
        <v>285</v>
      </c>
      <c r="I165" s="9">
        <v>46155.122407407405</v>
      </c>
      <c r="J165" s="5" t="s">
        <v>87</v>
      </c>
      <c r="K165" s="5">
        <v>10.0</v>
      </c>
      <c r="L165" s="5">
        <v>3100.0</v>
      </c>
      <c r="M165" s="5">
        <v>3500.0</v>
      </c>
      <c r="N165" s="8">
        <v>43180.0</v>
      </c>
      <c r="O165" s="5" t="s">
        <v>50</v>
      </c>
      <c r="P165" s="5" t="s">
        <v>25</v>
      </c>
      <c r="S165" s="5" t="s">
        <v>118</v>
      </c>
    </row>
    <row r="166">
      <c r="A166" s="5">
        <v>165.0</v>
      </c>
      <c r="B166" s="5" t="s">
        <v>485</v>
      </c>
      <c r="C166" s="5" t="s">
        <v>20</v>
      </c>
      <c r="E166" s="5">
        <v>10.0</v>
      </c>
      <c r="K166" s="5">
        <v>10.0</v>
      </c>
      <c r="N166" s="8">
        <v>42312.0</v>
      </c>
      <c r="O166" s="5" t="s">
        <v>24</v>
      </c>
      <c r="P166" s="5" t="s">
        <v>25</v>
      </c>
      <c r="S166" s="5" t="s">
        <v>38</v>
      </c>
    </row>
    <row r="167">
      <c r="A167" s="5">
        <v>166.0</v>
      </c>
      <c r="B167" s="5" t="s">
        <v>645</v>
      </c>
      <c r="C167" s="5" t="s">
        <v>20</v>
      </c>
      <c r="E167" s="5">
        <v>10.0</v>
      </c>
      <c r="G167" s="5">
        <v>1.06</v>
      </c>
      <c r="K167" s="5">
        <v>20.0</v>
      </c>
      <c r="N167" s="8">
        <v>42454.0</v>
      </c>
      <c r="O167" s="5" t="s">
        <v>24</v>
      </c>
      <c r="P167" s="5" t="s">
        <v>25</v>
      </c>
      <c r="S167" s="5" t="s">
        <v>38</v>
      </c>
    </row>
    <row r="168">
      <c r="A168" s="5">
        <v>167.0</v>
      </c>
      <c r="B168" s="5" t="s">
        <v>647</v>
      </c>
      <c r="C168" s="5" t="s">
        <v>20</v>
      </c>
      <c r="D168" s="5">
        <v>27.0</v>
      </c>
      <c r="E168" s="5">
        <v>10.0</v>
      </c>
      <c r="H168" s="5" t="s">
        <v>30</v>
      </c>
      <c r="I168" s="9">
        <v>46089.66003472222</v>
      </c>
      <c r="J168" s="5" t="s">
        <v>114</v>
      </c>
      <c r="K168" s="5">
        <v>10.0</v>
      </c>
      <c r="L168" s="5">
        <v>33000.0</v>
      </c>
      <c r="M168" s="5">
        <v>34000.0</v>
      </c>
      <c r="N168" s="8">
        <v>45066.0</v>
      </c>
      <c r="O168" s="5" t="s">
        <v>24</v>
      </c>
      <c r="P168" s="5" t="s">
        <v>25</v>
      </c>
      <c r="S168" s="5" t="s">
        <v>38</v>
      </c>
    </row>
    <row r="169">
      <c r="A169" s="5">
        <v>168.0</v>
      </c>
      <c r="B169" s="5" t="s">
        <v>651</v>
      </c>
      <c r="C169" s="5" t="s">
        <v>20</v>
      </c>
      <c r="E169" s="5">
        <v>10.0</v>
      </c>
      <c r="K169" s="5">
        <v>10.0</v>
      </c>
      <c r="N169" s="8">
        <v>45801.0</v>
      </c>
    </row>
    <row r="170">
      <c r="A170" s="5">
        <v>169.0</v>
      </c>
      <c r="B170" s="5" t="s">
        <v>653</v>
      </c>
      <c r="C170" s="5" t="s">
        <v>20</v>
      </c>
      <c r="E170" s="5">
        <v>10.0</v>
      </c>
      <c r="K170" s="5">
        <v>10.0</v>
      </c>
      <c r="N170" s="8">
        <v>43031.0</v>
      </c>
    </row>
    <row r="171">
      <c r="A171" s="5">
        <v>170.0</v>
      </c>
      <c r="B171" s="5" t="s">
        <v>656</v>
      </c>
      <c r="C171" s="5" t="s">
        <v>20</v>
      </c>
      <c r="E171" s="5">
        <v>10.0</v>
      </c>
      <c r="K171" s="5">
        <v>10.0</v>
      </c>
      <c r="N171" s="8">
        <v>45721.0</v>
      </c>
    </row>
    <row r="172">
      <c r="A172" s="5">
        <v>171.0</v>
      </c>
      <c r="B172" s="5" t="s">
        <v>659</v>
      </c>
      <c r="C172" s="5" t="s">
        <v>20</v>
      </c>
      <c r="E172" s="5">
        <v>10.0</v>
      </c>
      <c r="K172" s="5">
        <v>100.0</v>
      </c>
      <c r="N172" s="8">
        <v>44298.0</v>
      </c>
    </row>
    <row r="173">
      <c r="A173" s="5">
        <v>172.0</v>
      </c>
      <c r="B173" s="5" t="s">
        <v>663</v>
      </c>
      <c r="C173" s="5" t="s">
        <v>20</v>
      </c>
      <c r="E173" s="5">
        <v>10.0</v>
      </c>
      <c r="K173" s="5">
        <v>10.0</v>
      </c>
      <c r="N173" s="8">
        <v>45004.0</v>
      </c>
    </row>
    <row r="174">
      <c r="A174" s="5">
        <v>173.0</v>
      </c>
      <c r="B174" s="5" t="s">
        <v>665</v>
      </c>
      <c r="C174" s="5" t="s">
        <v>20</v>
      </c>
      <c r="E174" s="5">
        <v>10.0</v>
      </c>
      <c r="K174" s="5">
        <v>10.0</v>
      </c>
      <c r="N174" s="8">
        <v>45531.0</v>
      </c>
    </row>
    <row r="175">
      <c r="A175" s="5">
        <v>174.0</v>
      </c>
      <c r="B175" s="5" t="s">
        <v>667</v>
      </c>
      <c r="C175" s="5" t="s">
        <v>20</v>
      </c>
      <c r="D175" s="5">
        <v>2.0</v>
      </c>
      <c r="E175" s="5">
        <v>10.0</v>
      </c>
      <c r="H175" s="5" t="s">
        <v>19</v>
      </c>
      <c r="I175" s="9">
        <v>46155.52400462963</v>
      </c>
      <c r="J175" s="5" t="s">
        <v>33</v>
      </c>
      <c r="K175" s="5">
        <v>10.0</v>
      </c>
      <c r="L175" s="5">
        <v>131000.0</v>
      </c>
      <c r="M175" s="5">
        <v>135000.0</v>
      </c>
      <c r="N175" s="8">
        <v>42408.0</v>
      </c>
      <c r="O175" s="5" t="s">
        <v>24</v>
      </c>
      <c r="P175" s="5" t="s">
        <v>25</v>
      </c>
      <c r="S175" s="5" t="s">
        <v>38</v>
      </c>
    </row>
    <row r="176">
      <c r="A176" s="5">
        <v>175.0</v>
      </c>
      <c r="B176" s="5" t="s">
        <v>671</v>
      </c>
      <c r="C176" s="5" t="s">
        <v>20</v>
      </c>
      <c r="E176" s="5">
        <v>10.0</v>
      </c>
      <c r="K176" s="5">
        <v>10.0</v>
      </c>
      <c r="N176" s="8">
        <v>46117.0</v>
      </c>
    </row>
    <row r="177">
      <c r="A177" s="5">
        <v>176.0</v>
      </c>
      <c r="B177" s="5" t="s">
        <v>677</v>
      </c>
      <c r="C177" s="5" t="s">
        <v>20</v>
      </c>
      <c r="E177" s="5">
        <v>10.0</v>
      </c>
      <c r="K177" s="5">
        <v>10.0</v>
      </c>
      <c r="N177" s="8">
        <v>46053.0</v>
      </c>
    </row>
    <row r="178">
      <c r="A178" s="5">
        <v>177.0</v>
      </c>
      <c r="B178" s="5" t="s">
        <v>679</v>
      </c>
      <c r="C178" s="5" t="s">
        <v>20</v>
      </c>
      <c r="E178" s="5">
        <v>10.0</v>
      </c>
      <c r="K178" s="5">
        <v>10.0</v>
      </c>
      <c r="N178" s="8">
        <v>44168.0</v>
      </c>
      <c r="O178" s="5" t="s">
        <v>24</v>
      </c>
      <c r="P178" s="5" t="s">
        <v>25</v>
      </c>
      <c r="S178" s="5" t="s">
        <v>38</v>
      </c>
    </row>
    <row r="179">
      <c r="A179" s="5">
        <v>178.0</v>
      </c>
      <c r="B179" s="5" t="s">
        <v>681</v>
      </c>
      <c r="C179" s="5" t="s">
        <v>20</v>
      </c>
      <c r="D179" s="5">
        <v>49.0</v>
      </c>
      <c r="E179" s="5">
        <v>10.0</v>
      </c>
      <c r="H179" s="5" t="s">
        <v>47</v>
      </c>
      <c r="I179" s="9">
        <v>46107.386828703704</v>
      </c>
      <c r="J179" s="5" t="s">
        <v>114</v>
      </c>
      <c r="K179" s="5">
        <v>20.0</v>
      </c>
      <c r="L179" s="5">
        <v>17000.0</v>
      </c>
      <c r="M179" s="5">
        <v>18000.0</v>
      </c>
      <c r="N179" s="8">
        <v>43873.0</v>
      </c>
      <c r="O179" s="5" t="s">
        <v>100</v>
      </c>
      <c r="P179" s="5" t="s">
        <v>25</v>
      </c>
      <c r="S179" s="5" t="s">
        <v>38</v>
      </c>
    </row>
    <row r="180">
      <c r="A180" s="5">
        <v>179.0</v>
      </c>
      <c r="B180" s="5" t="s">
        <v>684</v>
      </c>
      <c r="C180" s="5" t="s">
        <v>20</v>
      </c>
      <c r="E180" s="5">
        <v>10.0</v>
      </c>
      <c r="K180" s="5">
        <v>10.0</v>
      </c>
      <c r="N180" s="8">
        <v>42445.0</v>
      </c>
      <c r="O180" s="5" t="s">
        <v>24</v>
      </c>
      <c r="P180" s="5" t="s">
        <v>25</v>
      </c>
      <c r="S180" s="5" t="s">
        <v>118</v>
      </c>
    </row>
    <row r="181">
      <c r="A181" s="5">
        <v>180.0</v>
      </c>
      <c r="B181" s="5" t="s">
        <v>687</v>
      </c>
      <c r="C181" s="5" t="s">
        <v>20</v>
      </c>
      <c r="E181" s="5">
        <v>10.0</v>
      </c>
      <c r="K181" s="5">
        <v>10.0</v>
      </c>
      <c r="N181" s="8">
        <v>45397.0</v>
      </c>
    </row>
    <row r="182">
      <c r="A182" s="5">
        <v>181.0</v>
      </c>
      <c r="B182" s="5" t="s">
        <v>689</v>
      </c>
      <c r="C182" s="5" t="s">
        <v>20</v>
      </c>
      <c r="E182" s="5">
        <v>10.0</v>
      </c>
      <c r="K182" s="5">
        <v>10.0</v>
      </c>
      <c r="N182" s="8">
        <v>43843.0</v>
      </c>
    </row>
    <row r="183">
      <c r="A183" s="5">
        <v>182.0</v>
      </c>
      <c r="B183" s="5" t="s">
        <v>691</v>
      </c>
      <c r="C183" s="5" t="s">
        <v>20</v>
      </c>
      <c r="D183" s="5">
        <v>5.0</v>
      </c>
      <c r="E183" s="5">
        <v>10.0</v>
      </c>
      <c r="H183" s="5" t="s">
        <v>19</v>
      </c>
      <c r="I183" s="9">
        <v>46144.252118055556</v>
      </c>
      <c r="J183" s="5" t="s">
        <v>151</v>
      </c>
      <c r="K183" s="5">
        <v>10.0</v>
      </c>
      <c r="L183" s="5">
        <v>137000.0</v>
      </c>
      <c r="M183" s="5">
        <v>140000.0</v>
      </c>
      <c r="N183" s="8">
        <v>42881.0</v>
      </c>
      <c r="O183" s="5" t="s">
        <v>184</v>
      </c>
      <c r="P183" s="5" t="s">
        <v>25</v>
      </c>
      <c r="S183" s="5" t="s">
        <v>29</v>
      </c>
    </row>
    <row r="184">
      <c r="A184" s="5">
        <v>183.0</v>
      </c>
      <c r="B184" s="5" t="s">
        <v>694</v>
      </c>
      <c r="C184" s="5" t="s">
        <v>20</v>
      </c>
      <c r="E184" s="5">
        <v>10.0</v>
      </c>
      <c r="K184" s="5">
        <v>10.0</v>
      </c>
      <c r="N184" s="8">
        <v>42511.0</v>
      </c>
    </row>
    <row r="185">
      <c r="A185" s="5">
        <v>184.0</v>
      </c>
      <c r="B185" s="5" t="s">
        <v>490</v>
      </c>
      <c r="C185" s="5" t="s">
        <v>20</v>
      </c>
      <c r="D185" s="5">
        <v>0.0</v>
      </c>
      <c r="E185" s="5">
        <v>10.0</v>
      </c>
      <c r="H185" s="5" t="s">
        <v>277</v>
      </c>
      <c r="I185" s="9">
        <v>46084.49159722222</v>
      </c>
      <c r="J185" s="5" t="s">
        <v>206</v>
      </c>
      <c r="K185" s="5">
        <v>10.0</v>
      </c>
      <c r="L185" s="5">
        <v>50.0</v>
      </c>
      <c r="M185" s="5">
        <v>50.0</v>
      </c>
      <c r="N185" s="8">
        <v>42853.0</v>
      </c>
      <c r="O185" s="5" t="s">
        <v>24</v>
      </c>
      <c r="P185" s="5" t="s">
        <v>25</v>
      </c>
      <c r="S185" s="5" t="s">
        <v>118</v>
      </c>
    </row>
    <row r="186">
      <c r="A186" s="5">
        <v>185.0</v>
      </c>
      <c r="B186" s="5" t="s">
        <v>699</v>
      </c>
      <c r="C186" s="5" t="s">
        <v>20</v>
      </c>
      <c r="E186" s="5">
        <v>10.0</v>
      </c>
      <c r="K186" s="5">
        <v>10.0</v>
      </c>
      <c r="N186" s="8">
        <v>43456.0</v>
      </c>
    </row>
    <row r="187">
      <c r="A187" s="5">
        <v>186.0</v>
      </c>
      <c r="B187" s="5" t="s">
        <v>21</v>
      </c>
      <c r="C187" s="5" t="s">
        <v>20</v>
      </c>
      <c r="E187" s="5">
        <v>10.0</v>
      </c>
      <c r="K187" s="5">
        <v>10.0</v>
      </c>
      <c r="N187" s="8">
        <v>43584.0</v>
      </c>
    </row>
    <row r="188">
      <c r="A188" s="5">
        <v>187.0</v>
      </c>
      <c r="B188" s="5" t="s">
        <v>706</v>
      </c>
      <c r="C188" s="5" t="s">
        <v>20</v>
      </c>
      <c r="E188" s="5">
        <v>10.0</v>
      </c>
      <c r="K188" s="5">
        <v>10.0</v>
      </c>
      <c r="N188" s="8">
        <v>44411.0</v>
      </c>
    </row>
    <row r="189">
      <c r="A189" s="5">
        <v>188.0</v>
      </c>
      <c r="B189" s="5" t="s">
        <v>709</v>
      </c>
      <c r="C189" s="5" t="s">
        <v>20</v>
      </c>
      <c r="E189" s="5">
        <v>10.0</v>
      </c>
      <c r="K189" s="5">
        <v>10.0</v>
      </c>
      <c r="N189" s="8">
        <v>45467.0</v>
      </c>
    </row>
    <row r="190">
      <c r="A190" s="5">
        <v>189.0</v>
      </c>
      <c r="B190" s="5" t="s">
        <v>714</v>
      </c>
      <c r="C190" s="5" t="s">
        <v>20</v>
      </c>
      <c r="E190" s="5">
        <v>10.0</v>
      </c>
      <c r="K190" s="5">
        <v>10.0</v>
      </c>
      <c r="N190" s="8">
        <v>42617.0</v>
      </c>
      <c r="O190" s="5" t="s">
        <v>184</v>
      </c>
      <c r="P190" s="5" t="s">
        <v>25</v>
      </c>
      <c r="S190" s="5" t="s">
        <v>38</v>
      </c>
    </row>
    <row r="191">
      <c r="A191" s="5">
        <v>190.0</v>
      </c>
      <c r="B191" s="5" t="s">
        <v>718</v>
      </c>
      <c r="C191" s="5" t="s">
        <v>20</v>
      </c>
      <c r="E191" s="5">
        <v>10.0</v>
      </c>
      <c r="K191" s="5">
        <v>10.0</v>
      </c>
      <c r="N191" s="8">
        <v>42894.0</v>
      </c>
    </row>
    <row r="192">
      <c r="A192" s="5">
        <v>191.0</v>
      </c>
      <c r="B192" s="5" t="s">
        <v>720</v>
      </c>
      <c r="C192" s="5" t="s">
        <v>20</v>
      </c>
      <c r="E192" s="5">
        <v>10.0</v>
      </c>
      <c r="K192" s="5">
        <v>10.0</v>
      </c>
      <c r="N192" s="8">
        <v>45996.0</v>
      </c>
    </row>
    <row r="193">
      <c r="A193" s="5">
        <v>192.0</v>
      </c>
      <c r="B193" s="5" t="s">
        <v>724</v>
      </c>
      <c r="C193" s="5" t="s">
        <v>20</v>
      </c>
      <c r="E193" s="5">
        <v>10.0</v>
      </c>
      <c r="K193" s="5">
        <v>10.0</v>
      </c>
      <c r="N193" s="8">
        <v>42253.0</v>
      </c>
    </row>
    <row r="194">
      <c r="A194" s="5">
        <v>193.0</v>
      </c>
      <c r="B194" s="5" t="s">
        <v>725</v>
      </c>
      <c r="C194" s="5" t="s">
        <v>20</v>
      </c>
      <c r="E194" s="5">
        <v>10.0</v>
      </c>
      <c r="K194" s="5">
        <v>20.0</v>
      </c>
      <c r="N194" s="8">
        <v>43106.0</v>
      </c>
      <c r="O194" s="5" t="s">
        <v>50</v>
      </c>
      <c r="P194" s="5" t="s">
        <v>25</v>
      </c>
      <c r="S194" s="5" t="s">
        <v>38</v>
      </c>
    </row>
    <row r="195">
      <c r="A195" s="5">
        <v>194.0</v>
      </c>
      <c r="B195" s="5" t="s">
        <v>728</v>
      </c>
      <c r="C195" s="5" t="s">
        <v>20</v>
      </c>
      <c r="E195" s="5">
        <v>10.0</v>
      </c>
      <c r="K195" s="5">
        <v>10.0</v>
      </c>
      <c r="N195" s="8">
        <v>45713.0</v>
      </c>
    </row>
    <row r="196">
      <c r="A196" s="5">
        <v>195.0</v>
      </c>
      <c r="B196" s="5" t="s">
        <v>731</v>
      </c>
      <c r="C196" s="5" t="s">
        <v>20</v>
      </c>
      <c r="D196" s="5">
        <v>48.0</v>
      </c>
      <c r="E196" s="5">
        <v>10.0</v>
      </c>
      <c r="H196" s="5" t="s">
        <v>19</v>
      </c>
      <c r="I196" s="9">
        <v>46150.0790162037</v>
      </c>
      <c r="J196" s="5" t="s">
        <v>78</v>
      </c>
      <c r="K196" s="5">
        <v>10.0</v>
      </c>
      <c r="L196" s="5">
        <v>137000.0</v>
      </c>
      <c r="M196" s="5">
        <v>141000.0</v>
      </c>
      <c r="N196" s="8">
        <v>44267.0</v>
      </c>
      <c r="O196" s="5" t="s">
        <v>80</v>
      </c>
      <c r="P196" s="5" t="s">
        <v>25</v>
      </c>
      <c r="S196" s="5" t="s">
        <v>38</v>
      </c>
    </row>
    <row r="197">
      <c r="A197" s="5">
        <v>196.0</v>
      </c>
      <c r="B197" s="5" t="s">
        <v>737</v>
      </c>
      <c r="C197" s="5" t="s">
        <v>20</v>
      </c>
      <c r="E197" s="5">
        <v>10.0</v>
      </c>
      <c r="K197" s="5">
        <v>10.0</v>
      </c>
      <c r="N197" s="8">
        <v>45586.0</v>
      </c>
    </row>
    <row r="198">
      <c r="A198" s="5">
        <v>197.0</v>
      </c>
      <c r="B198" s="5" t="s">
        <v>739</v>
      </c>
      <c r="C198" s="5" t="s">
        <v>20</v>
      </c>
      <c r="E198" s="5">
        <v>10.0</v>
      </c>
      <c r="K198" s="5">
        <v>10.0</v>
      </c>
      <c r="N198" s="8">
        <v>44442.0</v>
      </c>
      <c r="O198" s="5" t="s">
        <v>24</v>
      </c>
      <c r="P198" s="5" t="s">
        <v>25</v>
      </c>
      <c r="S198" s="5" t="s">
        <v>38</v>
      </c>
    </row>
    <row r="199">
      <c r="A199" s="5">
        <v>198.0</v>
      </c>
      <c r="B199" s="5" t="s">
        <v>741</v>
      </c>
      <c r="C199" s="5" t="s">
        <v>20</v>
      </c>
      <c r="D199" s="5">
        <v>58.0</v>
      </c>
      <c r="E199" s="5">
        <v>10.0</v>
      </c>
      <c r="G199" s="5">
        <v>1.02</v>
      </c>
      <c r="H199" s="5" t="s">
        <v>61</v>
      </c>
      <c r="I199" s="9">
        <v>46083.777974537035</v>
      </c>
      <c r="J199" s="5" t="s">
        <v>746</v>
      </c>
      <c r="K199" s="5">
        <v>20.0</v>
      </c>
      <c r="L199" s="5">
        <v>11000.0</v>
      </c>
      <c r="M199" s="5">
        <v>11000.0</v>
      </c>
      <c r="N199" s="8">
        <v>42398.0</v>
      </c>
      <c r="O199" s="5" t="s">
        <v>50</v>
      </c>
      <c r="P199" s="5" t="s">
        <v>25</v>
      </c>
      <c r="Q199" s="5" t="s">
        <v>748</v>
      </c>
      <c r="R199" s="5" t="s">
        <v>749</v>
      </c>
      <c r="S199" s="5" t="s">
        <v>38</v>
      </c>
    </row>
    <row r="200">
      <c r="A200" s="5">
        <v>199.0</v>
      </c>
      <c r="B200" s="5" t="s">
        <v>751</v>
      </c>
      <c r="C200" s="5" t="s">
        <v>20</v>
      </c>
      <c r="D200" s="5">
        <v>0.0</v>
      </c>
      <c r="E200" s="5">
        <v>10.0</v>
      </c>
      <c r="H200" s="5" t="s">
        <v>457</v>
      </c>
      <c r="I200" s="9">
        <v>46125.94458333333</v>
      </c>
      <c r="J200" s="5" t="s">
        <v>572</v>
      </c>
      <c r="K200" s="5">
        <v>10.0</v>
      </c>
      <c r="L200" s="5">
        <v>30.0</v>
      </c>
      <c r="M200" s="5">
        <v>30.0</v>
      </c>
      <c r="N200" s="8">
        <v>42858.0</v>
      </c>
      <c r="O200" s="5" t="s">
        <v>184</v>
      </c>
      <c r="P200" s="5" t="s">
        <v>25</v>
      </c>
      <c r="S200" s="5" t="s">
        <v>118</v>
      </c>
    </row>
    <row r="201">
      <c r="A201" s="5">
        <v>200.0</v>
      </c>
      <c r="B201" s="5" t="s">
        <v>756</v>
      </c>
      <c r="C201" s="5" t="s">
        <v>20</v>
      </c>
      <c r="E201" s="5">
        <v>10.0</v>
      </c>
      <c r="K201" s="5">
        <v>10.0</v>
      </c>
      <c r="N201" s="8">
        <v>45677.0</v>
      </c>
    </row>
    <row r="202">
      <c r="A202" s="5">
        <v>201.0</v>
      </c>
      <c r="B202" s="5" t="s">
        <v>758</v>
      </c>
      <c r="C202" s="5" t="s">
        <v>20</v>
      </c>
      <c r="E202" s="5">
        <v>10.0</v>
      </c>
      <c r="K202" s="5">
        <v>10.0</v>
      </c>
      <c r="N202" s="8">
        <v>45950.0</v>
      </c>
    </row>
    <row r="203">
      <c r="A203" s="5">
        <v>202.0</v>
      </c>
      <c r="B203" s="5" t="s">
        <v>493</v>
      </c>
      <c r="C203" s="5" t="s">
        <v>20</v>
      </c>
      <c r="E203" s="5">
        <v>10.0</v>
      </c>
      <c r="K203" s="5">
        <v>50.0</v>
      </c>
      <c r="N203" s="8">
        <v>44692.0</v>
      </c>
    </row>
    <row r="204">
      <c r="A204" s="5">
        <v>203.0</v>
      </c>
      <c r="B204" s="5" t="s">
        <v>762</v>
      </c>
      <c r="C204" s="5" t="s">
        <v>20</v>
      </c>
      <c r="E204" s="5">
        <v>10.0</v>
      </c>
      <c r="K204" s="5">
        <v>10.0</v>
      </c>
      <c r="N204" s="8">
        <v>46010.0</v>
      </c>
    </row>
    <row r="205">
      <c r="A205" s="5">
        <v>204.0</v>
      </c>
      <c r="B205" s="5" t="s">
        <v>764</v>
      </c>
      <c r="C205" s="5" t="s">
        <v>20</v>
      </c>
      <c r="E205" s="5">
        <v>10.0</v>
      </c>
      <c r="K205" s="5">
        <v>10.0</v>
      </c>
      <c r="N205" s="8">
        <v>42546.0</v>
      </c>
      <c r="O205" s="5" t="s">
        <v>24</v>
      </c>
      <c r="P205" s="5" t="s">
        <v>25</v>
      </c>
      <c r="S205" s="5" t="s">
        <v>38</v>
      </c>
    </row>
    <row r="206">
      <c r="A206" s="5">
        <v>205.0</v>
      </c>
      <c r="B206" s="5" t="s">
        <v>768</v>
      </c>
      <c r="C206" s="5" t="s">
        <v>20</v>
      </c>
      <c r="E206" s="5">
        <v>10.0</v>
      </c>
      <c r="K206" s="5">
        <v>10.0</v>
      </c>
      <c r="N206" s="8">
        <v>44215.0</v>
      </c>
    </row>
    <row r="207">
      <c r="A207" s="5">
        <v>206.0</v>
      </c>
      <c r="B207" s="5" t="s">
        <v>769</v>
      </c>
      <c r="C207" s="5" t="s">
        <v>20</v>
      </c>
      <c r="D207" s="5">
        <v>55.0</v>
      </c>
      <c r="E207" s="5">
        <v>10.0</v>
      </c>
      <c r="H207" s="5" t="s">
        <v>61</v>
      </c>
      <c r="I207" s="9">
        <v>46144.26351851852</v>
      </c>
      <c r="J207" s="5" t="s">
        <v>346</v>
      </c>
      <c r="K207" s="5">
        <v>10.0</v>
      </c>
      <c r="L207" s="5">
        <v>11000.0</v>
      </c>
      <c r="M207" s="5">
        <v>11000.0</v>
      </c>
      <c r="N207" s="8">
        <v>44312.0</v>
      </c>
      <c r="O207" s="5" t="s">
        <v>24</v>
      </c>
      <c r="P207" s="5" t="s">
        <v>25</v>
      </c>
      <c r="S207" s="5" t="s">
        <v>38</v>
      </c>
    </row>
    <row r="208">
      <c r="A208" s="5">
        <v>207.0</v>
      </c>
      <c r="B208" s="5" t="s">
        <v>495</v>
      </c>
      <c r="C208" s="5" t="s">
        <v>20</v>
      </c>
      <c r="E208" s="5">
        <v>10.0</v>
      </c>
      <c r="K208" s="5">
        <v>40.0</v>
      </c>
      <c r="N208" s="8">
        <v>42338.0</v>
      </c>
      <c r="O208" s="5" t="s">
        <v>50</v>
      </c>
      <c r="P208" s="5" t="s">
        <v>25</v>
      </c>
      <c r="S208" s="5" t="s">
        <v>38</v>
      </c>
    </row>
    <row r="209">
      <c r="A209" s="5">
        <v>208.0</v>
      </c>
      <c r="B209" s="5" t="s">
        <v>772</v>
      </c>
      <c r="C209" s="5" t="s">
        <v>20</v>
      </c>
      <c r="E209" s="5">
        <v>10.0</v>
      </c>
      <c r="K209" s="5">
        <v>10.0</v>
      </c>
      <c r="N209" s="8">
        <v>42309.0</v>
      </c>
      <c r="O209" s="5" t="s">
        <v>24</v>
      </c>
      <c r="P209" s="5" t="s">
        <v>25</v>
      </c>
      <c r="S209" s="5" t="s">
        <v>38</v>
      </c>
    </row>
    <row r="210">
      <c r="A210" s="5">
        <v>209.0</v>
      </c>
      <c r="B210" s="5" t="s">
        <v>774</v>
      </c>
      <c r="C210" s="5" t="s">
        <v>20</v>
      </c>
      <c r="D210" s="5">
        <v>32.0</v>
      </c>
      <c r="E210" s="5">
        <v>10.0</v>
      </c>
      <c r="H210" s="5" t="s">
        <v>461</v>
      </c>
      <c r="I210" s="9">
        <v>46088.40246527778</v>
      </c>
      <c r="J210" s="5" t="s">
        <v>151</v>
      </c>
      <c r="K210" s="5">
        <v>10.0</v>
      </c>
      <c r="L210" s="5">
        <v>150.0</v>
      </c>
      <c r="M210" s="5">
        <v>1700.0</v>
      </c>
      <c r="N210" s="8">
        <v>44685.0</v>
      </c>
      <c r="O210" s="5" t="s">
        <v>71</v>
      </c>
      <c r="P210" s="5" t="s">
        <v>25</v>
      </c>
      <c r="S210" s="5" t="s">
        <v>29</v>
      </c>
    </row>
    <row r="211">
      <c r="A211" s="5">
        <v>210.0</v>
      </c>
      <c r="B211" s="5" t="s">
        <v>501</v>
      </c>
      <c r="C211" s="5" t="s">
        <v>20</v>
      </c>
      <c r="D211" s="5">
        <v>12.0</v>
      </c>
      <c r="E211" s="5">
        <v>10.0</v>
      </c>
      <c r="H211" s="5" t="s">
        <v>40</v>
      </c>
      <c r="I211" s="9">
        <v>46124.87163194444</v>
      </c>
      <c r="J211" s="5" t="s">
        <v>503</v>
      </c>
      <c r="K211" s="5">
        <v>10.0</v>
      </c>
      <c r="L211" s="5">
        <v>20000.0</v>
      </c>
      <c r="M211" s="5">
        <v>22000.0</v>
      </c>
      <c r="N211" s="8">
        <v>42334.0</v>
      </c>
      <c r="O211" s="5" t="s">
        <v>24</v>
      </c>
      <c r="P211" s="5" t="s">
        <v>25</v>
      </c>
      <c r="S211" s="5" t="s">
        <v>118</v>
      </c>
    </row>
    <row r="212">
      <c r="A212" s="5">
        <v>211.0</v>
      </c>
      <c r="B212" s="5" t="s">
        <v>779</v>
      </c>
      <c r="C212" s="5" t="s">
        <v>20</v>
      </c>
      <c r="D212" s="5">
        <v>72.0</v>
      </c>
      <c r="E212" s="5">
        <v>10.0</v>
      </c>
      <c r="H212" s="5" t="s">
        <v>61</v>
      </c>
      <c r="I212" s="9">
        <v>46156.73423611111</v>
      </c>
      <c r="J212" s="5" t="s">
        <v>206</v>
      </c>
      <c r="K212" s="5">
        <v>10.0</v>
      </c>
      <c r="L212" s="5">
        <v>11000.0</v>
      </c>
      <c r="M212" s="5">
        <v>12000.0</v>
      </c>
      <c r="N212" s="8">
        <v>43144.0</v>
      </c>
      <c r="O212" s="5" t="s">
        <v>24</v>
      </c>
      <c r="P212" s="5" t="s">
        <v>25</v>
      </c>
      <c r="S212" s="5" t="s">
        <v>38</v>
      </c>
    </row>
    <row r="213">
      <c r="A213" s="5">
        <v>212.0</v>
      </c>
      <c r="B213" s="5" t="s">
        <v>506</v>
      </c>
      <c r="C213" s="5" t="s">
        <v>20</v>
      </c>
      <c r="E213" s="5">
        <v>10.0</v>
      </c>
      <c r="K213" s="5">
        <v>10.0</v>
      </c>
      <c r="N213" s="8">
        <v>42946.0</v>
      </c>
    </row>
    <row r="214">
      <c r="A214" s="5">
        <v>213.0</v>
      </c>
      <c r="B214" s="5" t="s">
        <v>784</v>
      </c>
      <c r="C214" s="5" t="s">
        <v>20</v>
      </c>
      <c r="E214" s="5">
        <v>10.0</v>
      </c>
      <c r="K214" s="5">
        <v>10.0</v>
      </c>
      <c r="N214" s="8">
        <v>43721.0</v>
      </c>
      <c r="O214" s="5" t="s">
        <v>50</v>
      </c>
      <c r="P214" s="5" t="s">
        <v>25</v>
      </c>
      <c r="S214" s="5" t="s">
        <v>38</v>
      </c>
    </row>
    <row r="215">
      <c r="A215" s="5">
        <v>214.0</v>
      </c>
      <c r="B215" s="5" t="s">
        <v>786</v>
      </c>
      <c r="C215" s="5" t="s">
        <v>20</v>
      </c>
      <c r="D215" s="5">
        <v>21.0</v>
      </c>
      <c r="E215" s="5">
        <v>10.0</v>
      </c>
      <c r="H215" s="5" t="s">
        <v>19</v>
      </c>
      <c r="I215" s="9">
        <v>46125.05217592593</v>
      </c>
      <c r="J215" s="5" t="s">
        <v>471</v>
      </c>
      <c r="K215" s="5">
        <v>10.0</v>
      </c>
      <c r="L215" s="5">
        <v>136000.0</v>
      </c>
      <c r="M215" s="5">
        <v>140000.0</v>
      </c>
      <c r="N215" s="8">
        <v>43979.0</v>
      </c>
      <c r="O215" s="5" t="s">
        <v>184</v>
      </c>
      <c r="P215" s="5" t="s">
        <v>25</v>
      </c>
      <c r="S215" s="5" t="s">
        <v>38</v>
      </c>
    </row>
    <row r="216">
      <c r="A216" s="5">
        <v>215.0</v>
      </c>
      <c r="B216" s="5" t="s">
        <v>23</v>
      </c>
      <c r="C216" s="5" t="s">
        <v>20</v>
      </c>
      <c r="E216" s="5">
        <v>10.0</v>
      </c>
      <c r="K216" s="5">
        <v>10.0</v>
      </c>
      <c r="N216" s="8">
        <v>43752.0</v>
      </c>
    </row>
    <row r="217">
      <c r="A217" s="5">
        <v>216.0</v>
      </c>
      <c r="B217" s="5" t="s">
        <v>794</v>
      </c>
      <c r="C217" s="5" t="s">
        <v>20</v>
      </c>
      <c r="D217" s="5">
        <v>0.0</v>
      </c>
      <c r="E217" s="5">
        <v>10.0</v>
      </c>
      <c r="H217" s="5" t="s">
        <v>340</v>
      </c>
      <c r="I217" s="9">
        <v>46083.97623842592</v>
      </c>
      <c r="J217" s="5" t="s">
        <v>796</v>
      </c>
      <c r="K217" s="5">
        <v>10.0</v>
      </c>
      <c r="L217" s="5">
        <v>13000.0</v>
      </c>
      <c r="M217" s="5">
        <v>18000.0</v>
      </c>
      <c r="N217" s="8">
        <v>44060.0</v>
      </c>
      <c r="O217" s="5" t="s">
        <v>24</v>
      </c>
      <c r="P217" s="5" t="s">
        <v>25</v>
      </c>
      <c r="S217" s="5" t="s">
        <v>38</v>
      </c>
    </row>
    <row r="218">
      <c r="A218" s="5">
        <v>217.0</v>
      </c>
      <c r="B218" s="5" t="s">
        <v>798</v>
      </c>
      <c r="C218" s="5" t="s">
        <v>20</v>
      </c>
      <c r="D218" s="5">
        <v>0.0</v>
      </c>
      <c r="E218" s="5">
        <v>10.0</v>
      </c>
      <c r="H218" s="5" t="s">
        <v>19</v>
      </c>
      <c r="I218" s="9">
        <v>46141.73811342593</v>
      </c>
      <c r="J218" s="5" t="s">
        <v>494</v>
      </c>
      <c r="K218" s="5">
        <v>10.0</v>
      </c>
      <c r="L218" s="5">
        <v>136000.0</v>
      </c>
      <c r="M218" s="5">
        <v>140000.0</v>
      </c>
      <c r="N218" s="8">
        <v>42627.0</v>
      </c>
      <c r="O218" s="5" t="s">
        <v>184</v>
      </c>
      <c r="P218" s="5" t="s">
        <v>25</v>
      </c>
      <c r="S218" s="5" t="s">
        <v>118</v>
      </c>
    </row>
    <row r="219">
      <c r="A219" s="5">
        <v>218.0</v>
      </c>
      <c r="B219" s="5" t="s">
        <v>803</v>
      </c>
      <c r="C219" s="5" t="s">
        <v>20</v>
      </c>
      <c r="E219" s="5">
        <v>10.0</v>
      </c>
      <c r="K219" s="5">
        <v>10.0</v>
      </c>
      <c r="N219" s="8">
        <v>42691.0</v>
      </c>
      <c r="O219" s="5" t="s">
        <v>129</v>
      </c>
      <c r="P219" s="5" t="s">
        <v>25</v>
      </c>
      <c r="S219" s="5" t="s">
        <v>38</v>
      </c>
    </row>
    <row r="220">
      <c r="A220" s="5">
        <v>219.0</v>
      </c>
      <c r="B220" s="5" t="s">
        <v>809</v>
      </c>
      <c r="C220" s="5" t="s">
        <v>20</v>
      </c>
      <c r="E220" s="5">
        <v>10.0</v>
      </c>
      <c r="K220" s="5">
        <v>3400.0</v>
      </c>
      <c r="N220" s="8">
        <v>44164.0</v>
      </c>
    </row>
    <row r="221">
      <c r="A221" s="5">
        <v>220.0</v>
      </c>
      <c r="B221" s="5" t="s">
        <v>508</v>
      </c>
      <c r="C221" s="5" t="s">
        <v>20</v>
      </c>
      <c r="D221" s="5">
        <v>19.0</v>
      </c>
      <c r="E221" s="5">
        <v>10.0</v>
      </c>
      <c r="H221" s="5" t="s">
        <v>47</v>
      </c>
      <c r="I221" s="9">
        <v>46088.132268518515</v>
      </c>
      <c r="J221" s="5" t="s">
        <v>151</v>
      </c>
      <c r="K221" s="5">
        <v>20.0</v>
      </c>
      <c r="L221" s="5">
        <v>17000.0</v>
      </c>
      <c r="M221" s="5">
        <v>17000.0</v>
      </c>
      <c r="N221" s="8">
        <v>43080.0</v>
      </c>
      <c r="O221" s="5" t="s">
        <v>24</v>
      </c>
      <c r="P221" s="5" t="s">
        <v>25</v>
      </c>
      <c r="S221" s="5" t="s">
        <v>512</v>
      </c>
    </row>
    <row r="222">
      <c r="A222" s="5">
        <v>221.0</v>
      </c>
      <c r="B222" s="5" t="s">
        <v>816</v>
      </c>
      <c r="C222" s="5" t="s">
        <v>20</v>
      </c>
      <c r="D222" s="5">
        <v>53.0</v>
      </c>
      <c r="E222" s="5">
        <v>10.0</v>
      </c>
      <c r="H222" s="5" t="s">
        <v>30</v>
      </c>
      <c r="I222" s="9">
        <v>46148.04377314815</v>
      </c>
      <c r="J222" s="5" t="s">
        <v>78</v>
      </c>
      <c r="K222" s="5">
        <v>10.0</v>
      </c>
      <c r="L222" s="5">
        <v>26000.0</v>
      </c>
      <c r="M222" s="5">
        <v>27000.0</v>
      </c>
      <c r="N222" s="8">
        <v>44034.0</v>
      </c>
      <c r="O222" s="5" t="s">
        <v>24</v>
      </c>
      <c r="P222" s="5" t="s">
        <v>25</v>
      </c>
      <c r="S222" s="5" t="s">
        <v>38</v>
      </c>
    </row>
    <row r="223">
      <c r="A223" s="5">
        <v>222.0</v>
      </c>
      <c r="B223" s="5" t="s">
        <v>631</v>
      </c>
      <c r="C223" s="5" t="s">
        <v>20</v>
      </c>
      <c r="D223" s="5">
        <v>61.0</v>
      </c>
      <c r="E223" s="5">
        <v>10.0</v>
      </c>
      <c r="H223" s="5" t="s">
        <v>631</v>
      </c>
      <c r="I223" s="9">
        <v>46149.54761574074</v>
      </c>
      <c r="J223" s="5" t="s">
        <v>206</v>
      </c>
      <c r="K223" s="5">
        <v>10.0</v>
      </c>
      <c r="L223" s="5">
        <v>10.0</v>
      </c>
      <c r="M223" s="5">
        <v>10.0</v>
      </c>
      <c r="N223" s="8">
        <v>44287.0</v>
      </c>
      <c r="O223" s="5" t="s">
        <v>100</v>
      </c>
      <c r="P223" s="5" t="s">
        <v>25</v>
      </c>
      <c r="S223" s="5" t="s">
        <v>827</v>
      </c>
    </row>
    <row r="224">
      <c r="A224" s="5">
        <v>223.0</v>
      </c>
      <c r="B224" s="5" t="s">
        <v>830</v>
      </c>
      <c r="C224" s="5" t="s">
        <v>20</v>
      </c>
      <c r="E224" s="5">
        <v>10.0</v>
      </c>
      <c r="F224" s="5">
        <v>0.4</v>
      </c>
      <c r="K224" s="5">
        <v>10.0</v>
      </c>
      <c r="N224" s="8">
        <v>42329.0</v>
      </c>
    </row>
    <row r="225">
      <c r="A225" s="5">
        <v>224.0</v>
      </c>
      <c r="B225" s="5" t="s">
        <v>836</v>
      </c>
      <c r="C225" s="5" t="s">
        <v>20</v>
      </c>
      <c r="E225" s="5">
        <v>10.0</v>
      </c>
      <c r="K225" s="5">
        <v>10.0</v>
      </c>
      <c r="N225" s="8">
        <v>45516.0</v>
      </c>
    </row>
    <row r="226">
      <c r="A226" s="5">
        <v>225.0</v>
      </c>
      <c r="B226" s="5" t="s">
        <v>515</v>
      </c>
      <c r="C226" s="5" t="s">
        <v>20</v>
      </c>
      <c r="E226" s="5">
        <v>10.0</v>
      </c>
      <c r="K226" s="5">
        <v>10.0</v>
      </c>
      <c r="N226" s="8">
        <v>43115.0</v>
      </c>
      <c r="O226" s="5" t="s">
        <v>24</v>
      </c>
      <c r="P226" s="5" t="s">
        <v>25</v>
      </c>
      <c r="S226" s="5" t="s">
        <v>38</v>
      </c>
    </row>
    <row r="227">
      <c r="A227" s="5">
        <v>226.0</v>
      </c>
      <c r="B227" s="5" t="s">
        <v>844</v>
      </c>
      <c r="C227" s="5" t="s">
        <v>20</v>
      </c>
      <c r="D227" s="5">
        <v>0.0</v>
      </c>
      <c r="E227" s="5">
        <v>10.0</v>
      </c>
      <c r="H227" s="5" t="s">
        <v>457</v>
      </c>
      <c r="I227" s="9">
        <v>46098.18783564815</v>
      </c>
      <c r="J227" s="5" t="s">
        <v>850</v>
      </c>
      <c r="K227" s="5">
        <v>10.0</v>
      </c>
      <c r="L227" s="5">
        <v>30.0</v>
      </c>
      <c r="M227" s="5">
        <v>30.0</v>
      </c>
      <c r="N227" s="8">
        <v>45003.0</v>
      </c>
      <c r="O227" s="5" t="s">
        <v>24</v>
      </c>
      <c r="P227" s="5" t="s">
        <v>25</v>
      </c>
      <c r="S227" s="5" t="s">
        <v>118</v>
      </c>
    </row>
    <row r="228">
      <c r="A228" s="5">
        <v>227.0</v>
      </c>
      <c r="B228" s="5" t="s">
        <v>856</v>
      </c>
      <c r="C228" s="5" t="s">
        <v>20</v>
      </c>
      <c r="E228" s="5">
        <v>10.0</v>
      </c>
      <c r="K228" s="5">
        <v>10.0</v>
      </c>
      <c r="N228" s="8">
        <v>45580.0</v>
      </c>
    </row>
    <row r="229">
      <c r="A229" s="5">
        <v>228.0</v>
      </c>
      <c r="B229" s="5" t="s">
        <v>861</v>
      </c>
      <c r="C229" s="5" t="s">
        <v>20</v>
      </c>
      <c r="E229" s="5">
        <v>10.0</v>
      </c>
      <c r="K229" s="5">
        <v>10.0</v>
      </c>
      <c r="N229" s="8">
        <v>44344.0</v>
      </c>
    </row>
    <row r="230">
      <c r="A230" s="5">
        <v>229.0</v>
      </c>
      <c r="B230" s="5" t="s">
        <v>864</v>
      </c>
      <c r="C230" s="5" t="s">
        <v>20</v>
      </c>
      <c r="E230" s="5">
        <v>10.0</v>
      </c>
      <c r="K230" s="5">
        <v>10.0</v>
      </c>
      <c r="N230" s="8">
        <v>42665.0</v>
      </c>
      <c r="O230" s="5" t="s">
        <v>80</v>
      </c>
      <c r="P230" s="5" t="s">
        <v>25</v>
      </c>
      <c r="S230" s="5" t="s">
        <v>38</v>
      </c>
    </row>
    <row r="231">
      <c r="A231" s="5">
        <v>230.0</v>
      </c>
      <c r="B231" s="5" t="s">
        <v>517</v>
      </c>
      <c r="C231" s="5" t="s">
        <v>20</v>
      </c>
      <c r="E231" s="5">
        <v>10.0</v>
      </c>
      <c r="K231" s="5">
        <v>10.0</v>
      </c>
      <c r="N231" s="8">
        <v>42290.0</v>
      </c>
      <c r="O231" s="5" t="s">
        <v>24</v>
      </c>
      <c r="P231" s="5" t="s">
        <v>25</v>
      </c>
      <c r="S231" s="5" t="s">
        <v>38</v>
      </c>
    </row>
    <row r="232">
      <c r="A232" s="5">
        <v>231.0</v>
      </c>
      <c r="B232" s="5" t="s">
        <v>520</v>
      </c>
      <c r="C232" s="5" t="s">
        <v>20</v>
      </c>
      <c r="E232" s="5">
        <v>10.0</v>
      </c>
      <c r="K232" s="5">
        <v>30.0</v>
      </c>
      <c r="N232" s="8">
        <v>43982.0</v>
      </c>
      <c r="O232" s="5" t="s">
        <v>24</v>
      </c>
      <c r="P232" s="5" t="s">
        <v>25</v>
      </c>
      <c r="S232" s="5" t="s">
        <v>38</v>
      </c>
    </row>
    <row r="233">
      <c r="A233" s="5">
        <v>232.0</v>
      </c>
      <c r="B233" s="5" t="s">
        <v>869</v>
      </c>
      <c r="C233" s="5" t="s">
        <v>20</v>
      </c>
      <c r="E233" s="5">
        <v>10.0</v>
      </c>
      <c r="K233" s="5">
        <v>10.0</v>
      </c>
      <c r="N233" s="8">
        <v>44928.0</v>
      </c>
    </row>
    <row r="234">
      <c r="A234" s="5">
        <v>233.0</v>
      </c>
      <c r="B234" s="5" t="s">
        <v>871</v>
      </c>
      <c r="C234" s="5" t="s">
        <v>20</v>
      </c>
      <c r="D234" s="5">
        <v>0.0</v>
      </c>
      <c r="E234" s="5">
        <v>10.0</v>
      </c>
      <c r="H234" s="5" t="s">
        <v>457</v>
      </c>
      <c r="I234" s="9">
        <v>46161.794120370374</v>
      </c>
      <c r="J234" s="5" t="s">
        <v>206</v>
      </c>
      <c r="K234" s="5">
        <v>10.0</v>
      </c>
      <c r="L234" s="5">
        <v>40.0</v>
      </c>
      <c r="M234" s="5">
        <v>40.0</v>
      </c>
      <c r="N234" s="8">
        <v>42262.0</v>
      </c>
      <c r="O234" s="5" t="s">
        <v>24</v>
      </c>
      <c r="P234" s="5" t="s">
        <v>25</v>
      </c>
      <c r="S234" s="5" t="s">
        <v>875</v>
      </c>
    </row>
    <row r="235">
      <c r="A235" s="5">
        <v>234.0</v>
      </c>
      <c r="B235" s="5" t="s">
        <v>876</v>
      </c>
      <c r="C235" s="5" t="s">
        <v>20</v>
      </c>
      <c r="E235" s="5">
        <v>10.0</v>
      </c>
      <c r="K235" s="5">
        <v>10.0</v>
      </c>
      <c r="N235" s="8">
        <v>45802.0</v>
      </c>
    </row>
    <row r="236">
      <c r="A236" s="5">
        <v>235.0</v>
      </c>
      <c r="B236" s="5" t="s">
        <v>878</v>
      </c>
      <c r="C236" s="5" t="s">
        <v>20</v>
      </c>
      <c r="D236" s="5">
        <v>42.0</v>
      </c>
      <c r="E236" s="5">
        <v>10.0</v>
      </c>
      <c r="H236" s="5" t="s">
        <v>30</v>
      </c>
      <c r="I236" s="9">
        <v>46156.274930555555</v>
      </c>
      <c r="J236" s="5" t="s">
        <v>114</v>
      </c>
      <c r="K236" s="5">
        <v>10.0</v>
      </c>
      <c r="L236" s="5">
        <v>26000.0</v>
      </c>
      <c r="M236" s="5">
        <v>27000.0</v>
      </c>
      <c r="N236" s="8">
        <v>44059.0</v>
      </c>
      <c r="O236" s="5" t="s">
        <v>24</v>
      </c>
      <c r="P236" s="5" t="s">
        <v>25</v>
      </c>
      <c r="S236" s="5" t="s">
        <v>38</v>
      </c>
    </row>
    <row r="237">
      <c r="A237" s="5">
        <v>236.0</v>
      </c>
      <c r="B237" s="5" t="s">
        <v>882</v>
      </c>
      <c r="C237" s="5" t="s">
        <v>20</v>
      </c>
      <c r="D237" s="5">
        <v>59.0</v>
      </c>
      <c r="E237" s="5">
        <v>10.0</v>
      </c>
      <c r="H237" s="5" t="s">
        <v>61</v>
      </c>
      <c r="I237" s="9">
        <v>46126.97677083333</v>
      </c>
      <c r="J237" s="5" t="s">
        <v>114</v>
      </c>
      <c r="K237" s="5">
        <v>20.0</v>
      </c>
      <c r="L237" s="5">
        <v>11000.0</v>
      </c>
      <c r="M237" s="5">
        <v>11000.0</v>
      </c>
      <c r="N237" s="8">
        <v>43352.0</v>
      </c>
      <c r="O237" s="5" t="s">
        <v>100</v>
      </c>
      <c r="P237" s="5" t="s">
        <v>25</v>
      </c>
      <c r="S237" s="5" t="s">
        <v>38</v>
      </c>
    </row>
    <row r="238">
      <c r="A238" s="5">
        <v>237.0</v>
      </c>
      <c r="B238" s="5" t="s">
        <v>884</v>
      </c>
      <c r="C238" s="5" t="s">
        <v>20</v>
      </c>
      <c r="E238" s="5">
        <v>10.0</v>
      </c>
      <c r="K238" s="5">
        <v>10.0</v>
      </c>
      <c r="N238" s="8">
        <v>43361.0</v>
      </c>
    </row>
    <row r="239">
      <c r="A239" s="5">
        <v>238.0</v>
      </c>
      <c r="B239" s="5" t="s">
        <v>886</v>
      </c>
      <c r="C239" s="5" t="s">
        <v>20</v>
      </c>
      <c r="E239" s="5">
        <v>10.0</v>
      </c>
      <c r="K239" s="5">
        <v>10.0</v>
      </c>
      <c r="N239" s="8">
        <v>45432.0</v>
      </c>
    </row>
    <row r="240">
      <c r="A240" s="5">
        <v>239.0</v>
      </c>
      <c r="B240" s="5" t="s">
        <v>888</v>
      </c>
      <c r="C240" s="5" t="s">
        <v>20</v>
      </c>
      <c r="E240" s="5">
        <v>10.0</v>
      </c>
      <c r="K240" s="5">
        <v>10.0</v>
      </c>
      <c r="N240" s="8">
        <v>45277.0</v>
      </c>
    </row>
    <row r="241">
      <c r="A241" s="5">
        <v>240.0</v>
      </c>
      <c r="B241" s="5" t="s">
        <v>890</v>
      </c>
      <c r="C241" s="5" t="s">
        <v>20</v>
      </c>
      <c r="E241" s="5">
        <v>10.0</v>
      </c>
      <c r="K241" s="5">
        <v>10.0</v>
      </c>
      <c r="N241" s="8">
        <v>45151.0</v>
      </c>
    </row>
    <row r="242">
      <c r="A242" s="5">
        <v>241.0</v>
      </c>
      <c r="B242" s="5" t="s">
        <v>891</v>
      </c>
      <c r="C242" s="5" t="s">
        <v>20</v>
      </c>
      <c r="E242" s="5">
        <v>10.0</v>
      </c>
      <c r="K242" s="5">
        <v>10.0</v>
      </c>
      <c r="N242" s="8">
        <v>42252.0</v>
      </c>
      <c r="O242" s="5" t="s">
        <v>894</v>
      </c>
      <c r="P242" s="5" t="s">
        <v>25</v>
      </c>
      <c r="S242" s="5" t="s">
        <v>38</v>
      </c>
    </row>
    <row r="243">
      <c r="A243" s="5">
        <v>242.0</v>
      </c>
      <c r="B243" s="5" t="s">
        <v>895</v>
      </c>
      <c r="C243" s="5" t="s">
        <v>20</v>
      </c>
      <c r="E243" s="5">
        <v>10.0</v>
      </c>
      <c r="K243" s="5">
        <v>10.0</v>
      </c>
      <c r="N243" s="8">
        <v>45421.0</v>
      </c>
    </row>
    <row r="244">
      <c r="A244" s="5">
        <v>243.0</v>
      </c>
      <c r="B244" s="5" t="s">
        <v>897</v>
      </c>
      <c r="C244" s="5" t="s">
        <v>20</v>
      </c>
      <c r="D244" s="5">
        <v>24.0</v>
      </c>
      <c r="E244" s="5">
        <v>10.0</v>
      </c>
      <c r="H244" s="5" t="s">
        <v>30</v>
      </c>
      <c r="I244" s="9">
        <v>46122.712696759256</v>
      </c>
      <c r="J244" s="5" t="s">
        <v>78</v>
      </c>
      <c r="K244" s="5">
        <v>10.0</v>
      </c>
      <c r="L244" s="5">
        <v>26000.0</v>
      </c>
      <c r="M244" s="5">
        <v>27000.0</v>
      </c>
      <c r="N244" s="8">
        <v>44053.0</v>
      </c>
      <c r="O244" s="5" t="s">
        <v>184</v>
      </c>
      <c r="P244" s="5" t="s">
        <v>25</v>
      </c>
      <c r="S244" s="5" t="s">
        <v>38</v>
      </c>
    </row>
    <row r="245">
      <c r="A245" s="5">
        <v>244.0</v>
      </c>
      <c r="B245" s="5" t="s">
        <v>521</v>
      </c>
      <c r="C245" s="5" t="s">
        <v>20</v>
      </c>
      <c r="D245" s="5">
        <v>49.0</v>
      </c>
      <c r="E245" s="5">
        <v>10.0</v>
      </c>
      <c r="H245" s="5" t="s">
        <v>41</v>
      </c>
      <c r="I245" s="9">
        <v>46143.35967592592</v>
      </c>
      <c r="J245" s="5" t="s">
        <v>494</v>
      </c>
      <c r="K245" s="5">
        <v>10.0</v>
      </c>
      <c r="L245" s="5">
        <v>100.0</v>
      </c>
      <c r="M245" s="5">
        <v>1100.0</v>
      </c>
      <c r="N245" s="8">
        <v>42442.0</v>
      </c>
      <c r="O245" s="5" t="s">
        <v>24</v>
      </c>
      <c r="P245" s="5" t="s">
        <v>25</v>
      </c>
      <c r="S245" s="5" t="s">
        <v>38</v>
      </c>
    </row>
    <row r="246">
      <c r="A246" s="5">
        <v>245.0</v>
      </c>
      <c r="B246" s="5" t="s">
        <v>904</v>
      </c>
      <c r="C246" s="5" t="s">
        <v>20</v>
      </c>
      <c r="E246" s="5">
        <v>10.0</v>
      </c>
      <c r="K246" s="5">
        <v>10.0</v>
      </c>
      <c r="N246" s="8">
        <v>43069.0</v>
      </c>
    </row>
    <row r="247">
      <c r="A247" s="5">
        <v>246.0</v>
      </c>
      <c r="B247" s="5" t="s">
        <v>27</v>
      </c>
      <c r="C247" s="5" t="s">
        <v>20</v>
      </c>
      <c r="E247" s="5">
        <v>10.0</v>
      </c>
      <c r="K247" s="5">
        <v>10.0</v>
      </c>
      <c r="N247" s="8">
        <v>44888.0</v>
      </c>
    </row>
    <row r="248">
      <c r="A248" s="5">
        <v>247.0</v>
      </c>
      <c r="B248" s="5" t="s">
        <v>908</v>
      </c>
      <c r="C248" s="5" t="s">
        <v>20</v>
      </c>
      <c r="D248" s="5">
        <v>36.0</v>
      </c>
      <c r="E248" s="5">
        <v>10.0</v>
      </c>
      <c r="H248" s="5" t="s">
        <v>47</v>
      </c>
      <c r="I248" s="9">
        <v>46149.41065972222</v>
      </c>
      <c r="J248" s="5" t="s">
        <v>243</v>
      </c>
      <c r="K248" s="5">
        <v>60.0</v>
      </c>
      <c r="L248" s="5">
        <v>15000.0</v>
      </c>
      <c r="M248" s="5">
        <v>16000.0</v>
      </c>
      <c r="N248" s="8">
        <v>43407.0</v>
      </c>
      <c r="O248" s="5" t="s">
        <v>100</v>
      </c>
      <c r="P248" s="5" t="s">
        <v>25</v>
      </c>
      <c r="S248" s="5" t="s">
        <v>29</v>
      </c>
    </row>
    <row r="249">
      <c r="A249" s="5">
        <v>248.0</v>
      </c>
      <c r="B249" s="5" t="s">
        <v>912</v>
      </c>
      <c r="C249" s="5" t="s">
        <v>20</v>
      </c>
      <c r="E249" s="5">
        <v>10.0</v>
      </c>
      <c r="K249" s="5">
        <v>10.0</v>
      </c>
      <c r="N249" s="8">
        <v>45171.0</v>
      </c>
    </row>
    <row r="250">
      <c r="A250" s="5">
        <v>249.0</v>
      </c>
      <c r="B250" s="5" t="s">
        <v>917</v>
      </c>
      <c r="C250" s="5" t="s">
        <v>20</v>
      </c>
      <c r="E250" s="5">
        <v>10.0</v>
      </c>
      <c r="K250" s="5">
        <v>10.0</v>
      </c>
      <c r="N250" s="8">
        <v>43203.0</v>
      </c>
    </row>
    <row r="251">
      <c r="A251" s="5">
        <v>250.0</v>
      </c>
      <c r="B251" s="5" t="s">
        <v>919</v>
      </c>
      <c r="C251" s="5" t="s">
        <v>20</v>
      </c>
      <c r="E251" s="5">
        <v>10.0</v>
      </c>
      <c r="K251" s="5">
        <v>10.0</v>
      </c>
      <c r="N251" s="8">
        <v>44534.0</v>
      </c>
      <c r="O251" s="5" t="s">
        <v>24</v>
      </c>
      <c r="P251" s="5" t="s">
        <v>25</v>
      </c>
      <c r="S251" s="5" t="s">
        <v>118</v>
      </c>
    </row>
    <row r="252">
      <c r="A252" s="5">
        <v>251.0</v>
      </c>
      <c r="B252" s="5" t="s">
        <v>526</v>
      </c>
      <c r="C252" s="5" t="s">
        <v>20</v>
      </c>
      <c r="E252" s="5">
        <v>10.0</v>
      </c>
      <c r="K252" s="5">
        <v>10.0</v>
      </c>
      <c r="N252" s="8">
        <v>42592.0</v>
      </c>
    </row>
    <row r="253">
      <c r="A253" s="5">
        <v>252.0</v>
      </c>
      <c r="B253" s="5" t="s">
        <v>926</v>
      </c>
      <c r="C253" s="5" t="s">
        <v>20</v>
      </c>
      <c r="E253" s="5">
        <v>10.0</v>
      </c>
      <c r="K253" s="5">
        <v>10.0</v>
      </c>
      <c r="N253" s="8">
        <v>43046.0</v>
      </c>
    </row>
    <row r="254">
      <c r="A254" s="5">
        <v>253.0</v>
      </c>
      <c r="B254" s="5" t="s">
        <v>929</v>
      </c>
      <c r="C254" s="5" t="s">
        <v>20</v>
      </c>
      <c r="D254" s="5">
        <v>46.0</v>
      </c>
      <c r="E254" s="5">
        <v>10.0</v>
      </c>
      <c r="H254" s="5" t="s">
        <v>61</v>
      </c>
      <c r="I254" s="9">
        <v>46098.58577546296</v>
      </c>
      <c r="J254" s="5" t="s">
        <v>206</v>
      </c>
      <c r="K254" s="5">
        <v>10.0</v>
      </c>
      <c r="L254" s="5">
        <v>11000.0</v>
      </c>
      <c r="M254" s="5">
        <v>11000.0</v>
      </c>
      <c r="N254" s="8">
        <v>44554.0</v>
      </c>
      <c r="O254" s="5" t="s">
        <v>24</v>
      </c>
      <c r="P254" s="5" t="s">
        <v>25</v>
      </c>
      <c r="S254" s="5" t="s">
        <v>38</v>
      </c>
    </row>
    <row r="255">
      <c r="A255" s="5">
        <v>254.0</v>
      </c>
      <c r="B255" s="5" t="s">
        <v>529</v>
      </c>
      <c r="C255" s="5" t="s">
        <v>20</v>
      </c>
      <c r="E255" s="5">
        <v>10.0</v>
      </c>
      <c r="K255" s="5">
        <v>10.0</v>
      </c>
      <c r="N255" s="8">
        <v>42699.0</v>
      </c>
      <c r="O255" s="5" t="s">
        <v>100</v>
      </c>
      <c r="P255" s="5" t="s">
        <v>25</v>
      </c>
      <c r="S255" s="5" t="s">
        <v>29</v>
      </c>
    </row>
    <row r="256">
      <c r="A256" s="5">
        <v>255.0</v>
      </c>
      <c r="B256" s="5" t="s">
        <v>449</v>
      </c>
      <c r="C256" s="5" t="s">
        <v>20</v>
      </c>
      <c r="D256" s="5">
        <v>20.0</v>
      </c>
      <c r="E256" s="5">
        <v>10.0</v>
      </c>
      <c r="H256" s="5" t="s">
        <v>446</v>
      </c>
      <c r="I256" s="9">
        <v>46148.40923611111</v>
      </c>
      <c r="J256" s="5" t="s">
        <v>346</v>
      </c>
      <c r="K256" s="5">
        <v>20.0</v>
      </c>
      <c r="L256" s="5">
        <v>60.0</v>
      </c>
      <c r="M256" s="5">
        <v>200.0</v>
      </c>
      <c r="N256" s="8">
        <v>42323.0</v>
      </c>
      <c r="O256" s="5" t="s">
        <v>24</v>
      </c>
      <c r="P256" s="5" t="s">
        <v>25</v>
      </c>
      <c r="S256" s="5" t="s">
        <v>38</v>
      </c>
    </row>
    <row r="257">
      <c r="A257" s="5">
        <v>256.0</v>
      </c>
      <c r="B257" s="5" t="s">
        <v>943</v>
      </c>
      <c r="C257" s="5" t="s">
        <v>20</v>
      </c>
      <c r="E257" s="5">
        <v>10.0</v>
      </c>
      <c r="K257" s="5">
        <v>10.0</v>
      </c>
      <c r="N257" s="8">
        <v>43124.0</v>
      </c>
    </row>
    <row r="258">
      <c r="A258" s="5">
        <v>257.0</v>
      </c>
      <c r="B258" s="5" t="s">
        <v>944</v>
      </c>
      <c r="C258" s="5" t="s">
        <v>20</v>
      </c>
      <c r="E258" s="5">
        <v>10.0</v>
      </c>
      <c r="K258" s="5">
        <v>10.0</v>
      </c>
      <c r="N258" s="8">
        <v>42957.0</v>
      </c>
      <c r="O258" s="5" t="s">
        <v>184</v>
      </c>
      <c r="P258" s="5" t="s">
        <v>25</v>
      </c>
      <c r="S258" s="5" t="s">
        <v>38</v>
      </c>
    </row>
    <row r="259">
      <c r="A259" s="5">
        <v>258.0</v>
      </c>
      <c r="B259" s="5" t="s">
        <v>946</v>
      </c>
      <c r="C259" s="5" t="s">
        <v>20</v>
      </c>
      <c r="E259" s="5">
        <v>10.0</v>
      </c>
      <c r="K259" s="5">
        <v>10.0</v>
      </c>
      <c r="N259" s="8">
        <v>45206.0</v>
      </c>
    </row>
    <row r="260">
      <c r="A260" s="5">
        <v>259.0</v>
      </c>
      <c r="B260" s="5" t="s">
        <v>951</v>
      </c>
      <c r="C260" s="5" t="s">
        <v>20</v>
      </c>
      <c r="E260" s="5">
        <v>10.0</v>
      </c>
      <c r="K260" s="5">
        <v>10.0</v>
      </c>
      <c r="N260" s="8">
        <v>42319.0</v>
      </c>
      <c r="O260" s="5" t="s">
        <v>24</v>
      </c>
      <c r="P260" s="5" t="s">
        <v>25</v>
      </c>
      <c r="S260" s="5" t="s">
        <v>38</v>
      </c>
    </row>
    <row r="261">
      <c r="A261" s="5">
        <v>260.0</v>
      </c>
      <c r="B261" s="5" t="s">
        <v>954</v>
      </c>
      <c r="C261" s="5" t="s">
        <v>20</v>
      </c>
      <c r="E261" s="5">
        <v>10.0</v>
      </c>
      <c r="K261" s="5">
        <v>10.0</v>
      </c>
      <c r="N261" s="8">
        <v>44295.0</v>
      </c>
    </row>
    <row r="262">
      <c r="A262" s="5">
        <v>261.0</v>
      </c>
      <c r="B262" s="5" t="s">
        <v>958</v>
      </c>
      <c r="C262" s="5" t="s">
        <v>20</v>
      </c>
      <c r="E262" s="5">
        <v>10.0</v>
      </c>
      <c r="K262" s="5">
        <v>10.0</v>
      </c>
      <c r="N262" s="8">
        <v>45560.0</v>
      </c>
    </row>
    <row r="263">
      <c r="A263" s="5">
        <v>262.0</v>
      </c>
      <c r="B263" s="5" t="s">
        <v>961</v>
      </c>
      <c r="C263" s="5" t="s">
        <v>20</v>
      </c>
      <c r="E263" s="5">
        <v>10.0</v>
      </c>
      <c r="K263" s="5">
        <v>10.0</v>
      </c>
      <c r="N263" s="8">
        <v>45822.0</v>
      </c>
    </row>
    <row r="264">
      <c r="A264" s="5">
        <v>263.0</v>
      </c>
      <c r="B264" s="5" t="s">
        <v>963</v>
      </c>
      <c r="C264" s="5" t="s">
        <v>20</v>
      </c>
      <c r="E264" s="5">
        <v>10.0</v>
      </c>
      <c r="K264" s="5">
        <v>10.0</v>
      </c>
      <c r="N264" s="8">
        <v>45516.0</v>
      </c>
    </row>
    <row r="265">
      <c r="A265" s="5">
        <v>264.0</v>
      </c>
      <c r="B265" s="5" t="s">
        <v>967</v>
      </c>
      <c r="C265" s="5" t="s">
        <v>20</v>
      </c>
      <c r="E265" s="5">
        <v>10.0</v>
      </c>
      <c r="K265" s="5">
        <v>10.0</v>
      </c>
      <c r="N265" s="8">
        <v>45940.0</v>
      </c>
    </row>
    <row r="266">
      <c r="A266" s="5">
        <v>265.0</v>
      </c>
      <c r="B266" s="5" t="s">
        <v>969</v>
      </c>
      <c r="C266" s="5" t="s">
        <v>20</v>
      </c>
      <c r="D266" s="5">
        <v>55.0</v>
      </c>
      <c r="E266" s="5">
        <v>10.0</v>
      </c>
      <c r="H266" s="5" t="s">
        <v>47</v>
      </c>
      <c r="I266" s="9">
        <v>46125.032326388886</v>
      </c>
      <c r="K266" s="5">
        <v>20.0</v>
      </c>
      <c r="L266" s="5">
        <v>16000.0</v>
      </c>
      <c r="M266" s="5">
        <v>16000.0</v>
      </c>
      <c r="N266" s="8">
        <v>42912.0</v>
      </c>
      <c r="O266" s="5" t="s">
        <v>80</v>
      </c>
      <c r="P266" s="5" t="s">
        <v>25</v>
      </c>
      <c r="S266" s="5" t="s">
        <v>118</v>
      </c>
    </row>
    <row r="267">
      <c r="A267" s="5">
        <v>266.0</v>
      </c>
      <c r="B267" s="5" t="s">
        <v>975</v>
      </c>
      <c r="C267" s="5" t="s">
        <v>20</v>
      </c>
      <c r="E267" s="5">
        <v>10.0</v>
      </c>
      <c r="K267" s="5">
        <v>10.0</v>
      </c>
      <c r="N267" s="8">
        <v>45758.0</v>
      </c>
    </row>
    <row r="268">
      <c r="A268" s="5">
        <v>267.0</v>
      </c>
      <c r="B268" s="5" t="s">
        <v>978</v>
      </c>
      <c r="C268" s="5" t="s">
        <v>20</v>
      </c>
      <c r="E268" s="5">
        <v>10.0</v>
      </c>
      <c r="K268" s="5">
        <v>10.0</v>
      </c>
      <c r="N268" s="8">
        <v>44965.0</v>
      </c>
    </row>
    <row r="269">
      <c r="A269" s="5">
        <v>268.0</v>
      </c>
      <c r="B269" s="5" t="s">
        <v>982</v>
      </c>
      <c r="C269" s="5" t="s">
        <v>20</v>
      </c>
      <c r="E269" s="5">
        <v>10.0</v>
      </c>
      <c r="K269" s="5">
        <v>10.0</v>
      </c>
      <c r="N269" s="8">
        <v>45695.0</v>
      </c>
    </row>
    <row r="270">
      <c r="A270" s="5">
        <v>269.0</v>
      </c>
      <c r="B270" s="5" t="s">
        <v>31</v>
      </c>
      <c r="C270" s="5" t="s">
        <v>20</v>
      </c>
      <c r="E270" s="5">
        <v>10.0</v>
      </c>
      <c r="K270" s="5">
        <v>10.0</v>
      </c>
      <c r="N270" s="8">
        <v>42964.0</v>
      </c>
    </row>
    <row r="271">
      <c r="A271" s="5">
        <v>270.0</v>
      </c>
      <c r="B271" s="5" t="s">
        <v>989</v>
      </c>
      <c r="C271" s="5" t="s">
        <v>20</v>
      </c>
      <c r="E271" s="5">
        <v>10.0</v>
      </c>
      <c r="K271" s="5">
        <v>10.0</v>
      </c>
      <c r="N271" s="8">
        <v>44100.0</v>
      </c>
      <c r="O271" s="5" t="s">
        <v>24</v>
      </c>
      <c r="P271" s="5" t="s">
        <v>25</v>
      </c>
      <c r="S271" s="5" t="s">
        <v>38</v>
      </c>
    </row>
    <row r="272">
      <c r="A272" s="5">
        <v>271.0</v>
      </c>
      <c r="B272" s="5" t="s">
        <v>994</v>
      </c>
      <c r="C272" s="5" t="s">
        <v>20</v>
      </c>
      <c r="E272" s="5">
        <v>10.0</v>
      </c>
      <c r="K272" s="5">
        <v>10.0</v>
      </c>
      <c r="N272" s="8">
        <v>45392.0</v>
      </c>
    </row>
    <row r="273">
      <c r="A273" s="5">
        <v>272.0</v>
      </c>
      <c r="B273" s="5" t="s">
        <v>996</v>
      </c>
      <c r="C273" s="5" t="s">
        <v>20</v>
      </c>
      <c r="D273" s="5">
        <v>36.0</v>
      </c>
      <c r="E273" s="5">
        <v>10.0</v>
      </c>
      <c r="H273" s="5" t="s">
        <v>30</v>
      </c>
      <c r="I273" s="9">
        <v>46101.23947916667</v>
      </c>
      <c r="J273" s="5" t="s">
        <v>22</v>
      </c>
      <c r="K273" s="5">
        <v>10.0</v>
      </c>
      <c r="L273" s="5">
        <v>28000.0</v>
      </c>
      <c r="M273" s="5">
        <v>29000.0</v>
      </c>
      <c r="N273" s="8">
        <v>43994.0</v>
      </c>
      <c r="O273" s="5" t="s">
        <v>24</v>
      </c>
      <c r="P273" s="5" t="s">
        <v>25</v>
      </c>
      <c r="S273" s="5" t="s">
        <v>38</v>
      </c>
    </row>
    <row r="274">
      <c r="A274" s="5">
        <v>273.0</v>
      </c>
      <c r="B274" s="5" t="s">
        <v>1000</v>
      </c>
      <c r="C274" s="5" t="s">
        <v>20</v>
      </c>
      <c r="D274" s="5">
        <v>0.0</v>
      </c>
      <c r="E274" s="5">
        <v>10.0</v>
      </c>
      <c r="G274" s="5">
        <v>1.22</v>
      </c>
      <c r="H274" s="5" t="s">
        <v>1002</v>
      </c>
      <c r="I274" s="9">
        <v>46156.42716435185</v>
      </c>
      <c r="J274" s="5" t="s">
        <v>78</v>
      </c>
      <c r="K274" s="5">
        <v>10.0</v>
      </c>
      <c r="L274" s="5">
        <v>10.0</v>
      </c>
      <c r="M274" s="5">
        <v>10.0</v>
      </c>
      <c r="N274" s="8">
        <v>42254.0</v>
      </c>
      <c r="O274" s="5" t="s">
        <v>24</v>
      </c>
      <c r="P274" s="5" t="s">
        <v>25</v>
      </c>
      <c r="Q274" s="5" t="s">
        <v>1005</v>
      </c>
      <c r="R274" s="5">
        <v>14.0</v>
      </c>
      <c r="S274" s="5" t="s">
        <v>469</v>
      </c>
    </row>
    <row r="275">
      <c r="A275" s="5">
        <v>274.0</v>
      </c>
      <c r="B275" s="5" t="s">
        <v>1007</v>
      </c>
      <c r="C275" s="5" t="s">
        <v>20</v>
      </c>
      <c r="N275" s="8">
        <v>45514.0</v>
      </c>
    </row>
    <row r="276">
      <c r="A276" s="5">
        <v>275.0</v>
      </c>
      <c r="B276" s="5" t="s">
        <v>1012</v>
      </c>
      <c r="C276" s="5" t="s">
        <v>20</v>
      </c>
      <c r="K276" s="5">
        <v>250.0</v>
      </c>
      <c r="N276" s="8">
        <v>45341.0</v>
      </c>
    </row>
    <row r="277">
      <c r="A277" s="5">
        <v>276.0</v>
      </c>
      <c r="B277" s="5" t="s">
        <v>1014</v>
      </c>
      <c r="C277" s="5" t="s">
        <v>20</v>
      </c>
      <c r="N277" s="8">
        <v>44720.0</v>
      </c>
    </row>
    <row r="278">
      <c r="A278" s="5">
        <v>277.0</v>
      </c>
      <c r="B278" s="5" t="s">
        <v>32</v>
      </c>
      <c r="C278" s="5" t="s">
        <v>20</v>
      </c>
      <c r="K278" s="5">
        <v>30.0</v>
      </c>
      <c r="N278" s="8">
        <v>45149.0</v>
      </c>
    </row>
    <row r="279">
      <c r="A279" s="5">
        <v>278.0</v>
      </c>
      <c r="B279" s="5" t="s">
        <v>1018</v>
      </c>
      <c r="C279" s="5" t="s">
        <v>20</v>
      </c>
      <c r="F279" s="5">
        <v>0.4</v>
      </c>
      <c r="K279" s="5">
        <v>10.0</v>
      </c>
      <c r="N279" s="8">
        <v>42451.0</v>
      </c>
      <c r="O279" s="5" t="s">
        <v>50</v>
      </c>
      <c r="P279" s="5" t="s">
        <v>25</v>
      </c>
      <c r="S279" s="5" t="s">
        <v>145</v>
      </c>
    </row>
    <row r="280">
      <c r="A280" s="5">
        <v>279.0</v>
      </c>
      <c r="B280" s="5" t="s">
        <v>1022</v>
      </c>
      <c r="C280" s="5" t="s">
        <v>20</v>
      </c>
      <c r="N280" s="8">
        <v>45494.0</v>
      </c>
    </row>
    <row r="281">
      <c r="A281" s="5">
        <v>280.0</v>
      </c>
      <c r="B281" s="5" t="s">
        <v>34</v>
      </c>
      <c r="C281" s="5" t="s">
        <v>20</v>
      </c>
      <c r="K281" s="5">
        <v>350.0</v>
      </c>
      <c r="N281" s="8">
        <v>45352.0</v>
      </c>
    </row>
    <row r="282">
      <c r="A282" s="5">
        <v>281.0</v>
      </c>
      <c r="B282" s="5" t="s">
        <v>1028</v>
      </c>
      <c r="C282" s="5" t="s">
        <v>20</v>
      </c>
      <c r="K282" s="5">
        <v>80.0</v>
      </c>
      <c r="N282" s="8">
        <v>45025.0</v>
      </c>
    </row>
    <row r="283">
      <c r="A283" s="5">
        <v>282.0</v>
      </c>
      <c r="B283" s="5" t="s">
        <v>1031</v>
      </c>
      <c r="C283" s="5" t="s">
        <v>20</v>
      </c>
      <c r="N283" s="8">
        <v>42320.0</v>
      </c>
      <c r="O283" s="5" t="s">
        <v>894</v>
      </c>
      <c r="P283" s="5" t="s">
        <v>25</v>
      </c>
      <c r="S283" s="5" t="s">
        <v>29</v>
      </c>
    </row>
    <row r="284">
      <c r="A284" s="5">
        <v>283.0</v>
      </c>
      <c r="B284" s="5" t="s">
        <v>1034</v>
      </c>
      <c r="C284" s="5" t="s">
        <v>20</v>
      </c>
      <c r="N284" s="8">
        <v>45020.0</v>
      </c>
    </row>
    <row r="285">
      <c r="A285" s="5">
        <v>284.0</v>
      </c>
      <c r="B285" s="5" t="s">
        <v>1038</v>
      </c>
      <c r="C285" s="5" t="s">
        <v>20</v>
      </c>
      <c r="K285" s="5">
        <v>10.0</v>
      </c>
      <c r="N285" s="8">
        <v>45586.0</v>
      </c>
    </row>
    <row r="286">
      <c r="A286" s="5">
        <v>285.0</v>
      </c>
      <c r="B286" s="5" t="s">
        <v>1041</v>
      </c>
      <c r="C286" s="5" t="s">
        <v>20</v>
      </c>
      <c r="K286" s="5">
        <v>10.0</v>
      </c>
      <c r="N286" s="8">
        <v>44254.0</v>
      </c>
    </row>
    <row r="287">
      <c r="A287" s="5">
        <v>286.0</v>
      </c>
      <c r="B287" s="5" t="s">
        <v>536</v>
      </c>
      <c r="C287" s="5" t="s">
        <v>20</v>
      </c>
      <c r="N287" s="8">
        <v>42430.0</v>
      </c>
      <c r="O287" s="5" t="s">
        <v>24</v>
      </c>
      <c r="P287" s="5" t="s">
        <v>25</v>
      </c>
      <c r="S287" s="5" t="s">
        <v>38</v>
      </c>
    </row>
    <row r="288">
      <c r="A288" s="5">
        <v>287.0</v>
      </c>
      <c r="B288" s="5" t="s">
        <v>1047</v>
      </c>
      <c r="C288" s="5" t="s">
        <v>20</v>
      </c>
      <c r="N288" s="8">
        <v>43882.0</v>
      </c>
    </row>
    <row r="289">
      <c r="A289" s="5">
        <v>288.0</v>
      </c>
      <c r="B289" s="5" t="s">
        <v>1050</v>
      </c>
      <c r="C289" s="5" t="s">
        <v>20</v>
      </c>
      <c r="K289" s="5">
        <v>20.0</v>
      </c>
      <c r="N289" s="8">
        <v>44341.0</v>
      </c>
    </row>
    <row r="290">
      <c r="A290" s="5">
        <v>289.0</v>
      </c>
      <c r="B290" s="5" t="s">
        <v>1052</v>
      </c>
      <c r="C290" s="5" t="s">
        <v>20</v>
      </c>
      <c r="K290" s="5">
        <v>10.0</v>
      </c>
      <c r="N290" s="8">
        <v>44469.0</v>
      </c>
    </row>
    <row r="291">
      <c r="A291" s="5">
        <v>290.0</v>
      </c>
      <c r="B291" s="5" t="s">
        <v>35</v>
      </c>
      <c r="C291" s="5" t="s">
        <v>20</v>
      </c>
      <c r="K291" s="5">
        <v>20.0</v>
      </c>
      <c r="N291" s="8">
        <v>43961.0</v>
      </c>
    </row>
    <row r="292">
      <c r="A292" s="5">
        <v>291.0</v>
      </c>
      <c r="B292" s="5" t="s">
        <v>1055</v>
      </c>
      <c r="C292" s="5" t="s">
        <v>20</v>
      </c>
      <c r="D292" s="5">
        <v>0.0</v>
      </c>
      <c r="F292" s="5">
        <v>1.8</v>
      </c>
      <c r="H292" s="5" t="s">
        <v>617</v>
      </c>
      <c r="I292" s="9">
        <v>46084.182662037034</v>
      </c>
      <c r="J292" s="5" t="s">
        <v>243</v>
      </c>
      <c r="L292" s="5">
        <v>10.0</v>
      </c>
      <c r="M292" s="5">
        <v>10.0</v>
      </c>
      <c r="N292" s="8">
        <v>45199.0</v>
      </c>
      <c r="O292" s="5" t="s">
        <v>100</v>
      </c>
      <c r="S292" s="5" t="s">
        <v>29</v>
      </c>
    </row>
    <row r="293">
      <c r="A293" s="5">
        <v>292.0</v>
      </c>
      <c r="B293" s="5" t="s">
        <v>1059</v>
      </c>
      <c r="C293" s="5" t="s">
        <v>20</v>
      </c>
      <c r="K293" s="5">
        <v>10.0</v>
      </c>
      <c r="N293" s="8">
        <v>43875.0</v>
      </c>
    </row>
    <row r="294">
      <c r="A294" s="5">
        <v>293.0</v>
      </c>
      <c r="B294" s="5" t="s">
        <v>1063</v>
      </c>
      <c r="C294" s="5" t="s">
        <v>20</v>
      </c>
      <c r="N294" s="8">
        <v>44730.0</v>
      </c>
    </row>
    <row r="295">
      <c r="A295" s="5">
        <v>294.0</v>
      </c>
      <c r="B295" s="5" t="s">
        <v>1064</v>
      </c>
      <c r="C295" s="5" t="s">
        <v>20</v>
      </c>
      <c r="K295" s="5">
        <v>30.0</v>
      </c>
      <c r="N295" s="8">
        <v>44667.0</v>
      </c>
    </row>
    <row r="296">
      <c r="A296" s="5">
        <v>295.0</v>
      </c>
      <c r="B296" s="5" t="s">
        <v>1066</v>
      </c>
      <c r="C296" s="5" t="s">
        <v>20</v>
      </c>
      <c r="N296" s="8">
        <v>43200.0</v>
      </c>
    </row>
    <row r="297">
      <c r="A297" s="5">
        <v>296.0</v>
      </c>
      <c r="B297" s="5" t="s">
        <v>1069</v>
      </c>
      <c r="C297" s="5" t="s">
        <v>20</v>
      </c>
      <c r="K297" s="5">
        <v>40.0</v>
      </c>
      <c r="N297" s="8">
        <v>44422.0</v>
      </c>
    </row>
    <row r="298">
      <c r="A298" s="5">
        <v>297.0</v>
      </c>
      <c r="B298" s="5" t="s">
        <v>1071</v>
      </c>
      <c r="C298" s="5" t="s">
        <v>20</v>
      </c>
      <c r="K298" s="5">
        <v>10.0</v>
      </c>
      <c r="N298" s="8">
        <v>44462.0</v>
      </c>
    </row>
    <row r="299">
      <c r="A299" s="5">
        <v>298.0</v>
      </c>
      <c r="B299" s="5" t="s">
        <v>1073</v>
      </c>
      <c r="C299" s="5" t="s">
        <v>20</v>
      </c>
      <c r="K299" s="5">
        <v>100.0</v>
      </c>
      <c r="N299" s="8">
        <v>45649.0</v>
      </c>
    </row>
    <row r="300">
      <c r="A300" s="5">
        <v>299.0</v>
      </c>
      <c r="B300" s="5" t="s">
        <v>1075</v>
      </c>
      <c r="C300" s="5" t="s">
        <v>20</v>
      </c>
      <c r="K300" s="5">
        <v>4700.0</v>
      </c>
      <c r="N300" s="8">
        <v>44556.0</v>
      </c>
    </row>
    <row r="301">
      <c r="A301" s="5">
        <v>300.0</v>
      </c>
      <c r="B301" s="5" t="s">
        <v>39</v>
      </c>
      <c r="C301" s="5" t="s">
        <v>20</v>
      </c>
      <c r="K301" s="5">
        <v>50.0</v>
      </c>
      <c r="N301" s="8">
        <v>45591.0</v>
      </c>
    </row>
    <row r="302">
      <c r="A302" s="5">
        <v>301.0</v>
      </c>
      <c r="B302" s="5" t="s">
        <v>1078</v>
      </c>
      <c r="C302" s="5" t="s">
        <v>20</v>
      </c>
      <c r="K302" s="5">
        <v>450.0</v>
      </c>
      <c r="N302" s="8">
        <v>44330.0</v>
      </c>
    </row>
    <row r="303">
      <c r="A303" s="5">
        <v>302.0</v>
      </c>
      <c r="B303" s="5" t="s">
        <v>1082</v>
      </c>
      <c r="C303" s="5" t="s">
        <v>20</v>
      </c>
      <c r="K303" s="5">
        <v>20.0</v>
      </c>
      <c r="N303" s="8">
        <v>45642.0</v>
      </c>
    </row>
    <row r="304">
      <c r="A304" s="5">
        <v>303.0</v>
      </c>
      <c r="B304" s="5" t="s">
        <v>1084</v>
      </c>
      <c r="C304" s="5" t="s">
        <v>20</v>
      </c>
      <c r="K304" s="5">
        <v>50.0</v>
      </c>
      <c r="N304" s="8">
        <v>45565.0</v>
      </c>
    </row>
    <row r="305">
      <c r="A305" s="5">
        <v>304.0</v>
      </c>
      <c r="B305" s="5" t="s">
        <v>1086</v>
      </c>
      <c r="C305" s="5" t="s">
        <v>20</v>
      </c>
      <c r="K305" s="5">
        <v>100.0</v>
      </c>
      <c r="N305" s="8">
        <v>44591.0</v>
      </c>
    </row>
    <row r="306">
      <c r="A306" s="5">
        <v>305.0</v>
      </c>
      <c r="B306" s="5" t="s">
        <v>1088</v>
      </c>
      <c r="C306" s="5" t="s">
        <v>20</v>
      </c>
      <c r="K306" s="5">
        <v>100.0</v>
      </c>
      <c r="N306" s="8">
        <v>45132.0</v>
      </c>
    </row>
    <row r="307">
      <c r="A307" s="5">
        <v>306.0</v>
      </c>
      <c r="B307" s="5" t="s">
        <v>42</v>
      </c>
      <c r="C307" s="5" t="s">
        <v>20</v>
      </c>
      <c r="K307" s="5">
        <v>30.0</v>
      </c>
      <c r="N307" s="8">
        <v>45081.0</v>
      </c>
    </row>
    <row r="308">
      <c r="A308" s="5">
        <v>307.0</v>
      </c>
      <c r="B308" s="5" t="s">
        <v>1092</v>
      </c>
      <c r="C308" s="5" t="s">
        <v>20</v>
      </c>
      <c r="N308" s="8">
        <v>45394.0</v>
      </c>
    </row>
    <row r="309">
      <c r="A309" s="5">
        <v>308.0</v>
      </c>
      <c r="B309" s="5" t="s">
        <v>1094</v>
      </c>
      <c r="C309" s="5" t="s">
        <v>20</v>
      </c>
      <c r="K309" s="5">
        <v>700.0</v>
      </c>
      <c r="N309" s="8">
        <v>44343.0</v>
      </c>
    </row>
    <row r="310">
      <c r="A310" s="5">
        <v>309.0</v>
      </c>
      <c r="B310" s="5" t="s">
        <v>1098</v>
      </c>
      <c r="C310" s="5" t="s">
        <v>20</v>
      </c>
      <c r="K310" s="5">
        <v>20.0</v>
      </c>
      <c r="N310" s="8">
        <v>44118.0</v>
      </c>
    </row>
    <row r="311">
      <c r="A311" s="5">
        <v>310.0</v>
      </c>
      <c r="B311" s="5" t="s">
        <v>1102</v>
      </c>
      <c r="C311" s="5" t="s">
        <v>20</v>
      </c>
      <c r="N311" s="8">
        <v>42490.0</v>
      </c>
    </row>
    <row r="312">
      <c r="A312" s="5">
        <v>311.0</v>
      </c>
      <c r="B312" s="5" t="s">
        <v>1104</v>
      </c>
      <c r="C312" s="5" t="s">
        <v>20</v>
      </c>
      <c r="N312" s="8">
        <v>45067.0</v>
      </c>
    </row>
    <row r="313">
      <c r="A313" s="5">
        <v>312.0</v>
      </c>
      <c r="B313" s="5" t="s">
        <v>1108</v>
      </c>
      <c r="C313" s="5" t="s">
        <v>20</v>
      </c>
      <c r="K313" s="5">
        <v>2200.0</v>
      </c>
      <c r="N313" s="8">
        <v>44038.0</v>
      </c>
    </row>
    <row r="314">
      <c r="A314" s="5">
        <v>313.0</v>
      </c>
      <c r="B314" s="5" t="s">
        <v>1112</v>
      </c>
      <c r="C314" s="5" t="s">
        <v>20</v>
      </c>
      <c r="N314" s="8">
        <v>43981.0</v>
      </c>
    </row>
    <row r="315">
      <c r="A315" s="5">
        <v>314.0</v>
      </c>
      <c r="B315" s="5" t="s">
        <v>1114</v>
      </c>
      <c r="C315" s="5" t="s">
        <v>20</v>
      </c>
      <c r="N315" s="8">
        <v>42850.0</v>
      </c>
    </row>
    <row r="316">
      <c r="A316" s="5">
        <v>315.0</v>
      </c>
      <c r="B316" s="5" t="s">
        <v>1117</v>
      </c>
      <c r="C316" s="5" t="s">
        <v>20</v>
      </c>
      <c r="K316" s="5">
        <v>2500.0</v>
      </c>
      <c r="N316" s="8">
        <v>45514.0</v>
      </c>
    </row>
    <row r="317">
      <c r="A317" s="5">
        <v>316.0</v>
      </c>
      <c r="B317" s="5" t="s">
        <v>1121</v>
      </c>
      <c r="C317" s="5" t="s">
        <v>20</v>
      </c>
      <c r="N317" s="8">
        <v>44035.0</v>
      </c>
    </row>
    <row r="318">
      <c r="A318" s="5">
        <v>317.0</v>
      </c>
      <c r="B318" s="5" t="s">
        <v>1123</v>
      </c>
      <c r="C318" s="5" t="s">
        <v>20</v>
      </c>
      <c r="K318" s="5">
        <v>100.0</v>
      </c>
      <c r="N318" s="8">
        <v>43987.0</v>
      </c>
    </row>
    <row r="319">
      <c r="A319" s="5">
        <v>318.0</v>
      </c>
      <c r="B319" s="5" t="s">
        <v>43</v>
      </c>
      <c r="C319" s="5" t="s">
        <v>20</v>
      </c>
      <c r="K319" s="5">
        <v>10.0</v>
      </c>
      <c r="N319" s="8">
        <v>44445.0</v>
      </c>
    </row>
    <row r="320">
      <c r="A320" s="5">
        <v>319.0</v>
      </c>
      <c r="B320" s="5" t="s">
        <v>1125</v>
      </c>
      <c r="C320" s="5" t="s">
        <v>20</v>
      </c>
      <c r="N320" s="8">
        <v>44606.0</v>
      </c>
    </row>
    <row r="321">
      <c r="A321" s="5">
        <v>320.0</v>
      </c>
      <c r="B321" s="5" t="s">
        <v>1128</v>
      </c>
      <c r="C321" s="5" t="s">
        <v>20</v>
      </c>
      <c r="K321" s="5">
        <v>20.0</v>
      </c>
      <c r="N321" s="8">
        <v>44034.0</v>
      </c>
    </row>
    <row r="322">
      <c r="A322" s="5">
        <v>321.0</v>
      </c>
      <c r="B322" s="5" t="s">
        <v>48</v>
      </c>
      <c r="C322" s="5" t="s">
        <v>20</v>
      </c>
      <c r="K322" s="5">
        <v>10.0</v>
      </c>
      <c r="N322" s="8">
        <v>44392.0</v>
      </c>
    </row>
    <row r="323">
      <c r="A323" s="5">
        <v>322.0</v>
      </c>
      <c r="B323" s="5" t="s">
        <v>1130</v>
      </c>
      <c r="C323" s="5" t="s">
        <v>20</v>
      </c>
      <c r="K323" s="5">
        <v>250.0</v>
      </c>
      <c r="N323" s="8">
        <v>44654.0</v>
      </c>
    </row>
    <row r="324">
      <c r="A324" s="5">
        <v>323.0</v>
      </c>
      <c r="B324" s="5" t="s">
        <v>49</v>
      </c>
      <c r="C324" s="5" t="s">
        <v>20</v>
      </c>
      <c r="K324" s="5">
        <v>80.0</v>
      </c>
      <c r="N324" s="8">
        <v>44533.0</v>
      </c>
    </row>
    <row r="325">
      <c r="A325" s="5">
        <v>324.0</v>
      </c>
      <c r="B325" s="5" t="s">
        <v>52</v>
      </c>
      <c r="C325" s="5" t="s">
        <v>20</v>
      </c>
      <c r="K325" s="5">
        <v>30.0</v>
      </c>
      <c r="N325" s="8">
        <v>44377.0</v>
      </c>
    </row>
    <row r="326">
      <c r="A326" s="5">
        <v>325.0</v>
      </c>
      <c r="B326" s="5" t="s">
        <v>1135</v>
      </c>
      <c r="C326" s="5" t="s">
        <v>20</v>
      </c>
      <c r="K326" s="5">
        <v>600.0</v>
      </c>
      <c r="N326" s="8">
        <v>44168.0</v>
      </c>
    </row>
    <row r="327">
      <c r="A327" s="5">
        <v>326.0</v>
      </c>
      <c r="B327" s="5" t="s">
        <v>55</v>
      </c>
      <c r="C327" s="5" t="s">
        <v>20</v>
      </c>
      <c r="K327" s="5">
        <v>70.0</v>
      </c>
      <c r="N327" s="8">
        <v>45327.0</v>
      </c>
    </row>
    <row r="328">
      <c r="A328" s="5">
        <v>327.0</v>
      </c>
      <c r="B328" s="5" t="s">
        <v>57</v>
      </c>
      <c r="C328" s="5" t="s">
        <v>20</v>
      </c>
      <c r="K328" s="5">
        <v>50.0</v>
      </c>
      <c r="N328" s="8">
        <v>44672.0</v>
      </c>
    </row>
    <row r="329">
      <c r="A329" s="5">
        <v>328.0</v>
      </c>
      <c r="B329" s="5" t="s">
        <v>1142</v>
      </c>
      <c r="C329" s="5" t="s">
        <v>20</v>
      </c>
      <c r="N329" s="8">
        <v>43553.0</v>
      </c>
      <c r="O329" s="5" t="s">
        <v>184</v>
      </c>
      <c r="P329" s="5" t="s">
        <v>25</v>
      </c>
      <c r="S329" s="5" t="s">
        <v>118</v>
      </c>
    </row>
    <row r="330">
      <c r="A330" s="5">
        <v>329.0</v>
      </c>
      <c r="B330" s="5" t="s">
        <v>1146</v>
      </c>
      <c r="C330" s="5" t="s">
        <v>20</v>
      </c>
      <c r="K330" s="5">
        <v>100.0</v>
      </c>
      <c r="N330" s="8">
        <v>44719.0</v>
      </c>
    </row>
    <row r="331">
      <c r="A331" s="5">
        <v>330.0</v>
      </c>
      <c r="B331" s="5" t="s">
        <v>1149</v>
      </c>
      <c r="C331" s="5" t="s">
        <v>20</v>
      </c>
      <c r="N331" s="8">
        <v>45541.0</v>
      </c>
    </row>
    <row r="332">
      <c r="A332" s="5">
        <v>331.0</v>
      </c>
      <c r="B332" s="5" t="s">
        <v>1150</v>
      </c>
      <c r="C332" s="5" t="s">
        <v>20</v>
      </c>
      <c r="K332" s="5">
        <v>40.0</v>
      </c>
      <c r="N332" s="8">
        <v>46012.0</v>
      </c>
    </row>
    <row r="333">
      <c r="A333" s="5">
        <v>332.0</v>
      </c>
      <c r="B333" s="5" t="s">
        <v>1153</v>
      </c>
      <c r="C333" s="5" t="s">
        <v>20</v>
      </c>
      <c r="K333" s="5">
        <v>1500.0</v>
      </c>
      <c r="N333" s="8">
        <v>44663.0</v>
      </c>
    </row>
    <row r="334">
      <c r="A334" s="5">
        <v>333.0</v>
      </c>
      <c r="B334" s="5" t="s">
        <v>1155</v>
      </c>
      <c r="C334" s="5" t="s">
        <v>20</v>
      </c>
      <c r="K334" s="5">
        <v>40.0</v>
      </c>
      <c r="N334" s="8">
        <v>44792.0</v>
      </c>
    </row>
    <row r="335">
      <c r="A335" s="5">
        <v>334.0</v>
      </c>
      <c r="B335" s="5" t="s">
        <v>1158</v>
      </c>
      <c r="C335" s="5" t="s">
        <v>20</v>
      </c>
      <c r="K335" s="5">
        <v>700.0</v>
      </c>
      <c r="N335" s="8">
        <v>44912.0</v>
      </c>
    </row>
    <row r="336">
      <c r="A336" s="5">
        <v>335.0</v>
      </c>
      <c r="B336" s="5" t="s">
        <v>1162</v>
      </c>
      <c r="C336" s="5" t="s">
        <v>20</v>
      </c>
      <c r="N336" s="8">
        <v>43068.0</v>
      </c>
      <c r="O336" s="5" t="s">
        <v>184</v>
      </c>
      <c r="P336" s="5" t="s">
        <v>25</v>
      </c>
      <c r="S336" s="5" t="s">
        <v>38</v>
      </c>
    </row>
    <row r="337">
      <c r="A337" s="5">
        <v>336.0</v>
      </c>
      <c r="B337" s="5" t="s">
        <v>1164</v>
      </c>
      <c r="C337" s="5" t="s">
        <v>20</v>
      </c>
      <c r="N337" s="8">
        <v>43342.0</v>
      </c>
    </row>
    <row r="338">
      <c r="A338" s="5">
        <v>337.0</v>
      </c>
      <c r="B338" s="5" t="s">
        <v>1166</v>
      </c>
      <c r="C338" s="5" t="s">
        <v>20</v>
      </c>
      <c r="K338" s="5">
        <v>150.0</v>
      </c>
      <c r="N338" s="8">
        <v>45416.0</v>
      </c>
    </row>
    <row r="339">
      <c r="A339" s="5">
        <v>338.0</v>
      </c>
      <c r="B339" s="5" t="s">
        <v>1168</v>
      </c>
      <c r="C339" s="5" t="s">
        <v>20</v>
      </c>
      <c r="K339" s="5">
        <v>500.0</v>
      </c>
      <c r="N339" s="8">
        <v>44241.0</v>
      </c>
    </row>
    <row r="340">
      <c r="A340" s="5">
        <v>339.0</v>
      </c>
      <c r="B340" s="5" t="s">
        <v>1171</v>
      </c>
      <c r="C340" s="5" t="s">
        <v>20</v>
      </c>
      <c r="K340" s="5">
        <v>10.0</v>
      </c>
      <c r="N340" s="8">
        <v>44234.0</v>
      </c>
    </row>
    <row r="341">
      <c r="A341" s="5">
        <v>340.0</v>
      </c>
      <c r="B341" s="5" t="s">
        <v>1174</v>
      </c>
      <c r="C341" s="5" t="s">
        <v>20</v>
      </c>
      <c r="N341" s="8">
        <v>44040.0</v>
      </c>
    </row>
    <row r="342">
      <c r="A342" s="5">
        <v>341.0</v>
      </c>
      <c r="B342" s="5" t="s">
        <v>1177</v>
      </c>
      <c r="C342" s="5" t="s">
        <v>20</v>
      </c>
      <c r="K342" s="5">
        <v>20.0</v>
      </c>
      <c r="N342" s="8">
        <v>45007.0</v>
      </c>
    </row>
    <row r="343">
      <c r="A343" s="5">
        <v>342.0</v>
      </c>
      <c r="B343" s="5" t="s">
        <v>1186</v>
      </c>
      <c r="C343" s="5" t="s">
        <v>20</v>
      </c>
      <c r="N343" s="8">
        <v>42491.0</v>
      </c>
    </row>
    <row r="344">
      <c r="A344" s="5">
        <v>343.0</v>
      </c>
      <c r="B344" s="5" t="s">
        <v>1189</v>
      </c>
      <c r="C344" s="5" t="s">
        <v>20</v>
      </c>
      <c r="K344" s="5">
        <v>1000.0</v>
      </c>
      <c r="N344" s="8">
        <v>43280.0</v>
      </c>
    </row>
    <row r="345">
      <c r="A345" s="5">
        <v>344.0</v>
      </c>
      <c r="B345" s="5" t="s">
        <v>1193</v>
      </c>
      <c r="C345" s="5" t="s">
        <v>20</v>
      </c>
      <c r="K345" s="5">
        <v>40.0</v>
      </c>
      <c r="N345" s="8">
        <v>43898.0</v>
      </c>
    </row>
    <row r="346">
      <c r="A346" s="5">
        <v>345.0</v>
      </c>
      <c r="B346" s="5" t="s">
        <v>1196</v>
      </c>
      <c r="C346" s="5" t="s">
        <v>20</v>
      </c>
      <c r="N346" s="8">
        <v>45502.0</v>
      </c>
    </row>
    <row r="347">
      <c r="A347" s="5">
        <v>346.0</v>
      </c>
      <c r="B347" s="5" t="s">
        <v>1200</v>
      </c>
      <c r="C347" s="5" t="s">
        <v>20</v>
      </c>
      <c r="K347" s="5">
        <v>40.0</v>
      </c>
      <c r="N347" s="8">
        <v>44408.0</v>
      </c>
    </row>
    <row r="348">
      <c r="A348" s="5">
        <v>347.0</v>
      </c>
      <c r="B348" s="5" t="s">
        <v>62</v>
      </c>
      <c r="C348" s="5" t="s">
        <v>20</v>
      </c>
      <c r="K348" s="5">
        <v>7700.0</v>
      </c>
      <c r="N348" s="8">
        <v>43844.0</v>
      </c>
    </row>
    <row r="349">
      <c r="A349" s="5">
        <v>348.0</v>
      </c>
      <c r="B349" s="5" t="s">
        <v>1202</v>
      </c>
      <c r="C349" s="5" t="s">
        <v>20</v>
      </c>
      <c r="N349" s="8">
        <v>42269.0</v>
      </c>
      <c r="O349" s="5" t="s">
        <v>24</v>
      </c>
      <c r="P349" s="5" t="s">
        <v>25</v>
      </c>
      <c r="S349" s="5" t="s">
        <v>38</v>
      </c>
    </row>
    <row r="350">
      <c r="A350" s="5">
        <v>349.0</v>
      </c>
      <c r="B350" s="5" t="s">
        <v>1205</v>
      </c>
      <c r="C350" s="5" t="s">
        <v>20</v>
      </c>
      <c r="K350" s="5">
        <v>1000.0</v>
      </c>
      <c r="N350" s="8">
        <v>44195.0</v>
      </c>
    </row>
    <row r="351">
      <c r="A351" s="5">
        <v>350.0</v>
      </c>
      <c r="B351" s="5" t="s">
        <v>1207</v>
      </c>
      <c r="C351" s="5" t="s">
        <v>20</v>
      </c>
      <c r="N351" s="8">
        <v>44712.0</v>
      </c>
    </row>
    <row r="352">
      <c r="A352" s="5">
        <v>351.0</v>
      </c>
      <c r="B352" s="5" t="s">
        <v>1210</v>
      </c>
      <c r="C352" s="5" t="s">
        <v>20</v>
      </c>
      <c r="K352" s="5">
        <v>100.0</v>
      </c>
      <c r="N352" s="8">
        <v>44645.0</v>
      </c>
    </row>
    <row r="353">
      <c r="A353" s="5">
        <v>352.0</v>
      </c>
      <c r="B353" s="5" t="s">
        <v>1211</v>
      </c>
      <c r="C353" s="5" t="s">
        <v>20</v>
      </c>
      <c r="K353" s="5">
        <v>80.0</v>
      </c>
      <c r="N353" s="8">
        <v>45440.0</v>
      </c>
    </row>
    <row r="354">
      <c r="A354" s="5">
        <v>353.0</v>
      </c>
      <c r="B354" s="5" t="s">
        <v>1213</v>
      </c>
      <c r="C354" s="5" t="s">
        <v>20</v>
      </c>
      <c r="K354" s="5">
        <v>50.0</v>
      </c>
      <c r="N354" s="8">
        <v>43979.0</v>
      </c>
    </row>
    <row r="355">
      <c r="A355" s="5">
        <v>354.0</v>
      </c>
      <c r="B355" s="5" t="s">
        <v>1216</v>
      </c>
      <c r="C355" s="5" t="s">
        <v>20</v>
      </c>
      <c r="K355" s="5">
        <v>20.0</v>
      </c>
      <c r="N355" s="8">
        <v>43882.0</v>
      </c>
    </row>
    <row r="356">
      <c r="A356" s="5">
        <v>355.0</v>
      </c>
      <c r="B356" s="5" t="s">
        <v>1218</v>
      </c>
      <c r="C356" s="5" t="s">
        <v>20</v>
      </c>
      <c r="N356" s="8">
        <v>43513.0</v>
      </c>
    </row>
    <row r="357">
      <c r="A357" s="5">
        <v>356.0</v>
      </c>
      <c r="B357" s="5" t="s">
        <v>1221</v>
      </c>
      <c r="C357" s="5" t="s">
        <v>20</v>
      </c>
      <c r="K357" s="5">
        <v>30.0</v>
      </c>
      <c r="N357" s="8">
        <v>43956.0</v>
      </c>
    </row>
    <row r="358">
      <c r="A358" s="5">
        <v>357.0</v>
      </c>
      <c r="B358" s="5" t="s">
        <v>64</v>
      </c>
      <c r="C358" s="5" t="s">
        <v>20</v>
      </c>
      <c r="N358" s="8">
        <v>44556.0</v>
      </c>
    </row>
    <row r="359">
      <c r="A359" s="5">
        <v>358.0</v>
      </c>
      <c r="B359" s="5" t="s">
        <v>1224</v>
      </c>
      <c r="C359" s="5" t="s">
        <v>20</v>
      </c>
      <c r="K359" s="5">
        <v>20.0</v>
      </c>
      <c r="N359" s="8">
        <v>44304.0</v>
      </c>
    </row>
    <row r="360">
      <c r="A360" s="5">
        <v>359.0</v>
      </c>
      <c r="B360" s="5" t="s">
        <v>65</v>
      </c>
      <c r="C360" s="5" t="s">
        <v>20</v>
      </c>
      <c r="K360" s="5">
        <v>200.0</v>
      </c>
      <c r="N360" s="8">
        <v>44656.0</v>
      </c>
    </row>
    <row r="361">
      <c r="A361" s="5">
        <v>360.0</v>
      </c>
      <c r="B361" s="5" t="s">
        <v>1230</v>
      </c>
      <c r="C361" s="5" t="s">
        <v>20</v>
      </c>
      <c r="N361" s="8">
        <v>44500.0</v>
      </c>
    </row>
    <row r="362">
      <c r="A362" s="5">
        <v>361.0</v>
      </c>
      <c r="B362" s="5" t="s">
        <v>1232</v>
      </c>
      <c r="C362" s="5" t="s">
        <v>20</v>
      </c>
      <c r="K362" s="5">
        <v>250.0</v>
      </c>
      <c r="N362" s="8">
        <v>45383.0</v>
      </c>
    </row>
    <row r="363">
      <c r="A363" s="5">
        <v>362.0</v>
      </c>
      <c r="B363" s="5" t="s">
        <v>1237</v>
      </c>
      <c r="C363" s="5" t="s">
        <v>20</v>
      </c>
      <c r="K363" s="5">
        <v>800.0</v>
      </c>
      <c r="N363" s="8">
        <v>44826.0</v>
      </c>
    </row>
    <row r="364">
      <c r="A364" s="5">
        <v>363.0</v>
      </c>
      <c r="B364" s="5" t="s">
        <v>1239</v>
      </c>
      <c r="C364" s="5" t="s">
        <v>20</v>
      </c>
      <c r="K364" s="5">
        <v>150.0</v>
      </c>
      <c r="N364" s="8">
        <v>43983.0</v>
      </c>
    </row>
    <row r="365">
      <c r="A365" s="5">
        <v>364.0</v>
      </c>
      <c r="B365" s="5" t="s">
        <v>1242</v>
      </c>
      <c r="C365" s="5" t="s">
        <v>20</v>
      </c>
      <c r="N365" s="8">
        <v>45513.0</v>
      </c>
    </row>
    <row r="366">
      <c r="A366" s="5">
        <v>365.0</v>
      </c>
      <c r="B366" s="5" t="s">
        <v>1244</v>
      </c>
      <c r="C366" s="5" t="s">
        <v>20</v>
      </c>
      <c r="N366" s="8">
        <v>44178.0</v>
      </c>
    </row>
    <row r="367">
      <c r="A367" s="5">
        <v>366.0</v>
      </c>
      <c r="B367" s="5" t="s">
        <v>1246</v>
      </c>
      <c r="C367" s="5" t="s">
        <v>20</v>
      </c>
      <c r="K367" s="5">
        <v>2300.0</v>
      </c>
      <c r="N367" s="8">
        <v>44545.0</v>
      </c>
    </row>
    <row r="368">
      <c r="A368" s="5">
        <v>367.0</v>
      </c>
      <c r="B368" s="5" t="s">
        <v>1248</v>
      </c>
      <c r="C368" s="5" t="s">
        <v>20</v>
      </c>
      <c r="K368" s="5">
        <v>300.0</v>
      </c>
      <c r="N368" s="8">
        <v>44595.0</v>
      </c>
    </row>
    <row r="369">
      <c r="A369" s="5">
        <v>368.0</v>
      </c>
      <c r="B369" s="5" t="s">
        <v>1250</v>
      </c>
      <c r="C369" s="5" t="s">
        <v>20</v>
      </c>
      <c r="N369" s="8">
        <v>44383.0</v>
      </c>
    </row>
    <row r="370">
      <c r="A370" s="5">
        <v>369.0</v>
      </c>
      <c r="B370" s="5" t="s">
        <v>1252</v>
      </c>
      <c r="C370" s="5" t="s">
        <v>20</v>
      </c>
      <c r="N370" s="8">
        <v>44090.0</v>
      </c>
      <c r="O370" s="5" t="s">
        <v>24</v>
      </c>
      <c r="P370" s="5" t="s">
        <v>25</v>
      </c>
      <c r="S370" s="5" t="s">
        <v>38</v>
      </c>
    </row>
    <row r="371">
      <c r="A371" s="5">
        <v>370.0</v>
      </c>
      <c r="B371" s="5" t="s">
        <v>1256</v>
      </c>
      <c r="C371" s="5" t="s">
        <v>20</v>
      </c>
      <c r="N371" s="8">
        <v>44477.0</v>
      </c>
    </row>
    <row r="372">
      <c r="A372" s="5">
        <v>371.0</v>
      </c>
      <c r="B372" s="5" t="s">
        <v>1258</v>
      </c>
      <c r="C372" s="5" t="s">
        <v>20</v>
      </c>
      <c r="K372" s="5">
        <v>200.0</v>
      </c>
      <c r="N372" s="8">
        <v>44609.0</v>
      </c>
    </row>
    <row r="373">
      <c r="A373" s="5">
        <v>372.0</v>
      </c>
      <c r="B373" s="5" t="s">
        <v>1261</v>
      </c>
      <c r="C373" s="5" t="s">
        <v>20</v>
      </c>
      <c r="K373" s="5">
        <v>250.0</v>
      </c>
      <c r="N373" s="8">
        <v>44065.0</v>
      </c>
    </row>
    <row r="374">
      <c r="A374" s="5">
        <v>373.0</v>
      </c>
      <c r="B374" s="5" t="s">
        <v>1263</v>
      </c>
      <c r="C374" s="5" t="s">
        <v>20</v>
      </c>
      <c r="K374" s="5">
        <v>10.0</v>
      </c>
      <c r="N374" s="8">
        <v>45460.0</v>
      </c>
    </row>
    <row r="375">
      <c r="A375" s="5">
        <v>374.0</v>
      </c>
      <c r="B375" s="5" t="s">
        <v>1267</v>
      </c>
      <c r="C375" s="5" t="s">
        <v>20</v>
      </c>
      <c r="N375" s="8">
        <v>44521.0</v>
      </c>
    </row>
    <row r="376">
      <c r="A376" s="5">
        <v>375.0</v>
      </c>
      <c r="B376" s="5" t="s">
        <v>1269</v>
      </c>
      <c r="C376" s="5" t="s">
        <v>20</v>
      </c>
      <c r="K376" s="5">
        <v>1400.0</v>
      </c>
      <c r="N376" s="8">
        <v>43885.0</v>
      </c>
    </row>
    <row r="377">
      <c r="A377" s="5">
        <v>376.0</v>
      </c>
      <c r="B377" s="5" t="s">
        <v>1271</v>
      </c>
      <c r="C377" s="5" t="s">
        <v>20</v>
      </c>
      <c r="K377" s="5">
        <v>900.0</v>
      </c>
      <c r="N377" s="8">
        <v>44963.0</v>
      </c>
    </row>
    <row r="378">
      <c r="A378" s="5">
        <v>377.0</v>
      </c>
      <c r="B378" s="5" t="s">
        <v>1273</v>
      </c>
      <c r="C378" s="5" t="s">
        <v>20</v>
      </c>
      <c r="K378" s="5">
        <v>250.0</v>
      </c>
      <c r="N378" s="8">
        <v>43957.0</v>
      </c>
    </row>
    <row r="379">
      <c r="A379" s="5">
        <v>378.0</v>
      </c>
      <c r="B379" s="5" t="s">
        <v>1276</v>
      </c>
      <c r="C379" s="5" t="s">
        <v>20</v>
      </c>
      <c r="K379" s="5">
        <v>10.0</v>
      </c>
      <c r="N379" s="8">
        <v>45516.0</v>
      </c>
    </row>
    <row r="380">
      <c r="A380" s="5">
        <v>379.0</v>
      </c>
      <c r="B380" s="5" t="s">
        <v>1278</v>
      </c>
      <c r="C380" s="5" t="s">
        <v>20</v>
      </c>
      <c r="N380" s="8">
        <v>44426.0</v>
      </c>
    </row>
    <row r="381">
      <c r="A381" s="5">
        <v>380.0</v>
      </c>
      <c r="B381" s="5" t="s">
        <v>1281</v>
      </c>
      <c r="C381" s="5" t="s">
        <v>20</v>
      </c>
      <c r="N381" s="8">
        <v>43981.0</v>
      </c>
      <c r="O381" s="5" t="s">
        <v>24</v>
      </c>
      <c r="P381" s="5" t="s">
        <v>25</v>
      </c>
      <c r="S381" s="5" t="s">
        <v>38</v>
      </c>
    </row>
    <row r="382">
      <c r="A382" s="5">
        <v>381.0</v>
      </c>
      <c r="B382" s="5" t="s">
        <v>1283</v>
      </c>
      <c r="C382" s="5" t="s">
        <v>20</v>
      </c>
      <c r="N382" s="8">
        <v>43024.0</v>
      </c>
    </row>
    <row r="383">
      <c r="A383" s="5">
        <v>382.0</v>
      </c>
      <c r="B383" s="5" t="s">
        <v>69</v>
      </c>
      <c r="C383" s="5" t="s">
        <v>20</v>
      </c>
      <c r="K383" s="5">
        <v>20.0</v>
      </c>
      <c r="N383" s="8">
        <v>44777.0</v>
      </c>
    </row>
    <row r="384">
      <c r="A384" s="5">
        <v>383.0</v>
      </c>
      <c r="B384" s="5" t="s">
        <v>1287</v>
      </c>
      <c r="C384" s="5" t="s">
        <v>20</v>
      </c>
      <c r="N384" s="8">
        <v>44593.0</v>
      </c>
    </row>
    <row r="385">
      <c r="A385" s="5">
        <v>384.0</v>
      </c>
      <c r="B385" s="5" t="s">
        <v>1289</v>
      </c>
      <c r="C385" s="5" t="s">
        <v>20</v>
      </c>
      <c r="K385" s="5">
        <v>90.0</v>
      </c>
      <c r="N385" s="8">
        <v>44828.0</v>
      </c>
    </row>
    <row r="386">
      <c r="A386" s="5">
        <v>385.0</v>
      </c>
      <c r="B386" s="5" t="s">
        <v>1291</v>
      </c>
      <c r="C386" s="5" t="s">
        <v>20</v>
      </c>
      <c r="K386" s="5">
        <v>54000.0</v>
      </c>
      <c r="N386" s="8">
        <v>44199.0</v>
      </c>
    </row>
    <row r="387">
      <c r="A387" s="5">
        <v>386.0</v>
      </c>
      <c r="B387" s="5" t="s">
        <v>1292</v>
      </c>
      <c r="C387" s="5" t="s">
        <v>20</v>
      </c>
      <c r="K387" s="5">
        <v>30.0</v>
      </c>
      <c r="N387" s="8">
        <v>44919.0</v>
      </c>
    </row>
    <row r="388">
      <c r="A388" s="5">
        <v>387.0</v>
      </c>
      <c r="B388" s="5" t="s">
        <v>1295</v>
      </c>
      <c r="C388" s="5" t="s">
        <v>20</v>
      </c>
      <c r="K388" s="5">
        <v>70.0</v>
      </c>
      <c r="N388" s="8">
        <v>44849.0</v>
      </c>
    </row>
    <row r="389">
      <c r="A389" s="5">
        <v>388.0</v>
      </c>
      <c r="B389" s="5" t="s">
        <v>1297</v>
      </c>
      <c r="C389" s="5" t="s">
        <v>20</v>
      </c>
      <c r="N389" s="8">
        <v>44277.0</v>
      </c>
    </row>
    <row r="390">
      <c r="A390" s="5">
        <v>389.0</v>
      </c>
      <c r="B390" s="5" t="s">
        <v>1298</v>
      </c>
      <c r="C390" s="5" t="s">
        <v>20</v>
      </c>
      <c r="K390" s="5">
        <v>10.0</v>
      </c>
      <c r="N390" s="8">
        <v>43970.0</v>
      </c>
    </row>
    <row r="391">
      <c r="A391" s="5">
        <v>390.0</v>
      </c>
      <c r="B391" s="5" t="s">
        <v>1299</v>
      </c>
      <c r="C391" s="5" t="s">
        <v>20</v>
      </c>
      <c r="N391" s="8">
        <v>44502.0</v>
      </c>
    </row>
    <row r="392">
      <c r="A392" s="5">
        <v>391.0</v>
      </c>
      <c r="B392" s="5" t="s">
        <v>1301</v>
      </c>
      <c r="C392" s="5" t="s">
        <v>20</v>
      </c>
      <c r="K392" s="5">
        <v>150.0</v>
      </c>
      <c r="N392" s="8">
        <v>44498.0</v>
      </c>
    </row>
    <row r="393">
      <c r="A393" s="5">
        <v>392.0</v>
      </c>
      <c r="B393" s="5" t="s">
        <v>1305</v>
      </c>
      <c r="C393" s="5" t="s">
        <v>20</v>
      </c>
      <c r="K393" s="5">
        <v>300.0</v>
      </c>
      <c r="N393" s="8">
        <v>43954.0</v>
      </c>
    </row>
    <row r="394">
      <c r="A394" s="5">
        <v>393.0</v>
      </c>
      <c r="B394" s="5" t="s">
        <v>1307</v>
      </c>
      <c r="C394" s="5" t="s">
        <v>20</v>
      </c>
      <c r="N394" s="8">
        <v>44293.0</v>
      </c>
    </row>
    <row r="395">
      <c r="A395" s="5">
        <v>394.0</v>
      </c>
      <c r="B395" s="5" t="s">
        <v>1309</v>
      </c>
      <c r="C395" s="5" t="s">
        <v>20</v>
      </c>
      <c r="K395" s="5">
        <v>30.0</v>
      </c>
      <c r="N395" s="8">
        <v>44278.0</v>
      </c>
    </row>
    <row r="396">
      <c r="A396" s="5">
        <v>395.0</v>
      </c>
      <c r="B396" s="5" t="s">
        <v>1312</v>
      </c>
      <c r="C396" s="5" t="s">
        <v>20</v>
      </c>
      <c r="K396" s="5">
        <v>450.0</v>
      </c>
      <c r="N396" s="8">
        <v>44794.0</v>
      </c>
    </row>
    <row r="397">
      <c r="A397" s="5">
        <v>396.0</v>
      </c>
      <c r="B397" s="5" t="s">
        <v>1314</v>
      </c>
      <c r="C397" s="5" t="s">
        <v>20</v>
      </c>
      <c r="K397" s="5">
        <v>400.0</v>
      </c>
      <c r="N397" s="8">
        <v>44517.0</v>
      </c>
    </row>
    <row r="398">
      <c r="A398" s="5">
        <v>397.0</v>
      </c>
      <c r="B398" s="5" t="s">
        <v>70</v>
      </c>
      <c r="C398" s="5" t="s">
        <v>20</v>
      </c>
      <c r="K398" s="5">
        <v>20.0</v>
      </c>
      <c r="N398" s="8">
        <v>45369.0</v>
      </c>
    </row>
    <row r="399">
      <c r="A399" s="5">
        <v>398.0</v>
      </c>
      <c r="B399" s="5" t="s">
        <v>1320</v>
      </c>
      <c r="C399" s="5" t="s">
        <v>20</v>
      </c>
      <c r="N399" s="8">
        <v>45514.0</v>
      </c>
    </row>
    <row r="400">
      <c r="A400" s="5">
        <v>399.0</v>
      </c>
      <c r="B400" s="5" t="s">
        <v>1322</v>
      </c>
      <c r="C400" s="5" t="s">
        <v>20</v>
      </c>
      <c r="K400" s="5">
        <v>150.0</v>
      </c>
      <c r="N400" s="8">
        <v>44385.0</v>
      </c>
    </row>
    <row r="401">
      <c r="A401" s="5">
        <v>400.0</v>
      </c>
      <c r="B401" s="5" t="s">
        <v>1323</v>
      </c>
      <c r="C401" s="5" t="s">
        <v>20</v>
      </c>
      <c r="N401" s="8">
        <v>45196.0</v>
      </c>
    </row>
    <row r="402">
      <c r="A402" s="5">
        <v>401.0</v>
      </c>
      <c r="B402" s="5" t="s">
        <v>1325</v>
      </c>
      <c r="C402" s="5" t="s">
        <v>20</v>
      </c>
      <c r="K402" s="5">
        <v>900.0</v>
      </c>
      <c r="N402" s="8">
        <v>45029.0</v>
      </c>
    </row>
    <row r="403">
      <c r="A403" s="5">
        <v>402.0</v>
      </c>
      <c r="B403" s="5" t="s">
        <v>1327</v>
      </c>
      <c r="C403" s="5" t="s">
        <v>20</v>
      </c>
      <c r="K403" s="5">
        <v>250.0</v>
      </c>
      <c r="N403" s="8">
        <v>45275.0</v>
      </c>
    </row>
    <row r="404">
      <c r="A404" s="5">
        <v>403.0</v>
      </c>
      <c r="B404" s="5" t="s">
        <v>1329</v>
      </c>
      <c r="C404" s="5" t="s">
        <v>20</v>
      </c>
      <c r="N404" s="8">
        <v>44981.0</v>
      </c>
    </row>
    <row r="405">
      <c r="A405" s="5">
        <v>404.0</v>
      </c>
      <c r="B405" s="5" t="s">
        <v>1330</v>
      </c>
      <c r="C405" s="5" t="s">
        <v>20</v>
      </c>
      <c r="N405" s="8">
        <v>43407.0</v>
      </c>
      <c r="O405" s="5" t="s">
        <v>24</v>
      </c>
      <c r="P405" s="5" t="s">
        <v>25</v>
      </c>
      <c r="S405" s="5" t="s">
        <v>38</v>
      </c>
    </row>
    <row r="406">
      <c r="A406" s="5">
        <v>405.0</v>
      </c>
      <c r="B406" s="5" t="s">
        <v>1331</v>
      </c>
      <c r="C406" s="5" t="s">
        <v>20</v>
      </c>
      <c r="K406" s="5">
        <v>100.0</v>
      </c>
      <c r="N406" s="8">
        <v>44797.0</v>
      </c>
    </row>
    <row r="407">
      <c r="A407" s="5">
        <v>406.0</v>
      </c>
      <c r="B407" s="5" t="s">
        <v>1332</v>
      </c>
      <c r="C407" s="5" t="s">
        <v>20</v>
      </c>
      <c r="K407" s="5">
        <v>20.0</v>
      </c>
      <c r="N407" s="8">
        <v>44711.0</v>
      </c>
    </row>
    <row r="408">
      <c r="A408" s="5">
        <v>407.0</v>
      </c>
      <c r="B408" s="5" t="s">
        <v>1334</v>
      </c>
      <c r="C408" s="5" t="s">
        <v>20</v>
      </c>
      <c r="K408" s="5">
        <v>250.0</v>
      </c>
      <c r="N408" s="8">
        <v>44694.0</v>
      </c>
    </row>
    <row r="409">
      <c r="A409" s="5">
        <v>408.0</v>
      </c>
      <c r="B409" s="5" t="s">
        <v>1335</v>
      </c>
      <c r="C409" s="5" t="s">
        <v>20</v>
      </c>
      <c r="K409" s="5">
        <v>20.0</v>
      </c>
      <c r="N409" s="8">
        <v>44985.0</v>
      </c>
    </row>
    <row r="410">
      <c r="A410" s="5">
        <v>409.0</v>
      </c>
      <c r="B410" s="5" t="s">
        <v>72</v>
      </c>
      <c r="C410" s="5" t="s">
        <v>20</v>
      </c>
      <c r="K410" s="5">
        <v>250.0</v>
      </c>
      <c r="N410" s="8">
        <v>44986.0</v>
      </c>
    </row>
    <row r="411">
      <c r="A411" s="5">
        <v>410.0</v>
      </c>
      <c r="B411" s="5" t="s">
        <v>1339</v>
      </c>
      <c r="C411" s="5" t="s">
        <v>20</v>
      </c>
      <c r="N411" s="8">
        <v>44189.0</v>
      </c>
      <c r="O411" s="5" t="s">
        <v>24</v>
      </c>
      <c r="P411" s="5" t="s">
        <v>25</v>
      </c>
      <c r="S411" s="5" t="s">
        <v>38</v>
      </c>
    </row>
    <row r="412">
      <c r="A412" s="5">
        <v>411.0</v>
      </c>
      <c r="B412" s="5" t="s">
        <v>1340</v>
      </c>
      <c r="C412" s="5" t="s">
        <v>20</v>
      </c>
      <c r="K412" s="5">
        <v>200.0</v>
      </c>
      <c r="N412" s="8">
        <v>45425.0</v>
      </c>
    </row>
    <row r="413">
      <c r="A413" s="5">
        <v>412.0</v>
      </c>
      <c r="B413" s="5" t="s">
        <v>1341</v>
      </c>
      <c r="C413" s="5" t="s">
        <v>20</v>
      </c>
      <c r="K413" s="5">
        <v>10.0</v>
      </c>
      <c r="N413" s="8">
        <v>44874.0</v>
      </c>
    </row>
    <row r="414">
      <c r="A414" s="5">
        <v>413.0</v>
      </c>
      <c r="B414" s="5" t="s">
        <v>77</v>
      </c>
      <c r="C414" s="5" t="s">
        <v>20</v>
      </c>
      <c r="K414" s="5">
        <v>40.0</v>
      </c>
      <c r="N414" s="8">
        <v>45620.0</v>
      </c>
    </row>
    <row r="415">
      <c r="A415" s="5">
        <v>414.0</v>
      </c>
      <c r="B415" s="5" t="s">
        <v>79</v>
      </c>
      <c r="C415" s="5" t="s">
        <v>20</v>
      </c>
      <c r="N415" s="8">
        <v>42334.0</v>
      </c>
    </row>
    <row r="416">
      <c r="A416" s="5">
        <v>415.0</v>
      </c>
      <c r="B416" s="5" t="s">
        <v>1343</v>
      </c>
      <c r="C416" s="5" t="s">
        <v>20</v>
      </c>
      <c r="K416" s="5">
        <v>30.0</v>
      </c>
      <c r="N416" s="8">
        <v>44612.0</v>
      </c>
    </row>
    <row r="417">
      <c r="A417" s="5">
        <v>416.0</v>
      </c>
      <c r="B417" s="5" t="s">
        <v>1345</v>
      </c>
      <c r="C417" s="5" t="s">
        <v>20</v>
      </c>
      <c r="N417" s="8">
        <v>44638.0</v>
      </c>
    </row>
    <row r="418">
      <c r="A418" s="5">
        <v>417.0</v>
      </c>
      <c r="B418" s="5" t="s">
        <v>81</v>
      </c>
      <c r="C418" s="5" t="s">
        <v>20</v>
      </c>
      <c r="K418" s="5">
        <v>30.0</v>
      </c>
      <c r="N418" s="8">
        <v>44068.0</v>
      </c>
    </row>
    <row r="419">
      <c r="A419" s="5">
        <v>418.0</v>
      </c>
      <c r="B419" s="5" t="s">
        <v>84</v>
      </c>
      <c r="C419" s="5" t="s">
        <v>20</v>
      </c>
      <c r="K419" s="5">
        <v>50.0</v>
      </c>
      <c r="N419" s="8">
        <v>44369.0</v>
      </c>
    </row>
    <row r="420">
      <c r="A420" s="5">
        <v>419.0</v>
      </c>
      <c r="B420" s="5" t="s">
        <v>1348</v>
      </c>
      <c r="C420" s="5" t="s">
        <v>20</v>
      </c>
      <c r="K420" s="5">
        <v>40.0</v>
      </c>
      <c r="N420" s="8">
        <v>44684.0</v>
      </c>
    </row>
    <row r="421">
      <c r="A421" s="5">
        <v>420.0</v>
      </c>
      <c r="B421" s="5" t="s">
        <v>1350</v>
      </c>
      <c r="C421" s="5" t="s">
        <v>20</v>
      </c>
      <c r="K421" s="5">
        <v>10.0</v>
      </c>
      <c r="N421" s="8">
        <v>44269.0</v>
      </c>
    </row>
    <row r="422">
      <c r="A422" s="5">
        <v>421.0</v>
      </c>
      <c r="B422" s="5" t="s">
        <v>1352</v>
      </c>
      <c r="C422" s="5" t="s">
        <v>20</v>
      </c>
      <c r="K422" s="5">
        <v>1200.0</v>
      </c>
      <c r="N422" s="8">
        <v>44241.0</v>
      </c>
    </row>
    <row r="423">
      <c r="A423" s="5">
        <v>422.0</v>
      </c>
      <c r="B423" s="5" t="s">
        <v>1355</v>
      </c>
      <c r="C423" s="5" t="s">
        <v>20</v>
      </c>
      <c r="K423" s="5">
        <v>10.0</v>
      </c>
      <c r="N423" s="8">
        <v>44099.0</v>
      </c>
    </row>
    <row r="424">
      <c r="A424" s="5">
        <v>423.0</v>
      </c>
      <c r="B424" s="5" t="s">
        <v>1356</v>
      </c>
      <c r="C424" s="5" t="s">
        <v>20</v>
      </c>
      <c r="K424" s="5">
        <v>6500.0</v>
      </c>
      <c r="N424" s="8">
        <v>42731.0</v>
      </c>
    </row>
    <row r="425">
      <c r="A425" s="5">
        <v>424.0</v>
      </c>
      <c r="B425" s="5" t="s">
        <v>1357</v>
      </c>
      <c r="C425" s="5" t="s">
        <v>20</v>
      </c>
      <c r="N425" s="8">
        <v>44550.0</v>
      </c>
    </row>
    <row r="426">
      <c r="A426" s="5">
        <v>425.0</v>
      </c>
      <c r="B426" s="5" t="s">
        <v>86</v>
      </c>
      <c r="C426" s="5" t="s">
        <v>20</v>
      </c>
      <c r="K426" s="5">
        <v>30.0</v>
      </c>
      <c r="N426" s="8">
        <v>45363.0</v>
      </c>
    </row>
    <row r="427">
      <c r="A427" s="5">
        <v>426.0</v>
      </c>
      <c r="B427" s="5" t="s">
        <v>1359</v>
      </c>
      <c r="C427" s="5" t="s">
        <v>20</v>
      </c>
      <c r="N427" s="8">
        <v>46071.0</v>
      </c>
    </row>
    <row r="428">
      <c r="A428" s="5">
        <v>427.0</v>
      </c>
      <c r="B428" s="5" t="s">
        <v>1360</v>
      </c>
      <c r="C428" s="5" t="s">
        <v>20</v>
      </c>
      <c r="K428" s="5">
        <v>1600.0</v>
      </c>
      <c r="N428" s="8">
        <v>44192.0</v>
      </c>
    </row>
    <row r="429">
      <c r="A429" s="5">
        <v>428.0</v>
      </c>
      <c r="B429" s="5" t="s">
        <v>1361</v>
      </c>
      <c r="C429" s="5" t="s">
        <v>20</v>
      </c>
      <c r="N429" s="8">
        <v>42480.0</v>
      </c>
      <c r="O429" s="5" t="s">
        <v>50</v>
      </c>
      <c r="P429" s="5" t="s">
        <v>25</v>
      </c>
      <c r="S429" s="5" t="s">
        <v>29</v>
      </c>
    </row>
    <row r="430">
      <c r="A430" s="5">
        <v>429.0</v>
      </c>
      <c r="B430" s="5" t="s">
        <v>1363</v>
      </c>
      <c r="C430" s="5" t="s">
        <v>20</v>
      </c>
      <c r="N430" s="8">
        <v>42314.0</v>
      </c>
    </row>
    <row r="431">
      <c r="A431" s="5">
        <v>430.0</v>
      </c>
      <c r="B431" s="5" t="s">
        <v>1364</v>
      </c>
      <c r="C431" s="5" t="s">
        <v>20</v>
      </c>
      <c r="N431" s="8">
        <v>45518.0</v>
      </c>
    </row>
    <row r="432">
      <c r="A432" s="5">
        <v>431.0</v>
      </c>
      <c r="B432" s="5" t="s">
        <v>1365</v>
      </c>
      <c r="C432" s="5" t="s">
        <v>20</v>
      </c>
      <c r="F432" s="5">
        <v>0.2</v>
      </c>
      <c r="K432" s="5">
        <v>150.0</v>
      </c>
      <c r="N432" s="8">
        <v>44431.0</v>
      </c>
    </row>
    <row r="433">
      <c r="A433" s="5">
        <v>432.0</v>
      </c>
      <c r="B433" s="5" t="s">
        <v>1366</v>
      </c>
      <c r="C433" s="5" t="s">
        <v>20</v>
      </c>
      <c r="K433" s="5">
        <v>150.0</v>
      </c>
      <c r="N433" s="8">
        <v>44156.0</v>
      </c>
    </row>
    <row r="434">
      <c r="A434" s="5">
        <v>433.0</v>
      </c>
      <c r="B434" s="5" t="s">
        <v>1367</v>
      </c>
      <c r="C434" s="5" t="s">
        <v>20</v>
      </c>
      <c r="K434" s="5">
        <v>1200.0</v>
      </c>
      <c r="N434" s="8">
        <v>44811.0</v>
      </c>
    </row>
    <row r="435">
      <c r="A435" s="5">
        <v>434.0</v>
      </c>
      <c r="B435" s="5" t="s">
        <v>1369</v>
      </c>
      <c r="C435" s="5" t="s">
        <v>20</v>
      </c>
      <c r="K435" s="5">
        <v>20.0</v>
      </c>
      <c r="N435" s="8">
        <v>44608.0</v>
      </c>
    </row>
    <row r="436">
      <c r="A436" s="5">
        <v>435.0</v>
      </c>
      <c r="B436" s="5" t="s">
        <v>1371</v>
      </c>
      <c r="C436" s="5" t="s">
        <v>20</v>
      </c>
      <c r="N436" s="8">
        <v>46049.0</v>
      </c>
    </row>
    <row r="437">
      <c r="A437" s="5">
        <v>436.0</v>
      </c>
      <c r="B437" s="5" t="s">
        <v>1373</v>
      </c>
      <c r="C437" s="5" t="s">
        <v>20</v>
      </c>
      <c r="N437" s="8">
        <v>43176.0</v>
      </c>
    </row>
    <row r="438">
      <c r="A438" s="5">
        <v>437.0</v>
      </c>
      <c r="B438" s="5" t="s">
        <v>1374</v>
      </c>
      <c r="C438" s="5" t="s">
        <v>20</v>
      </c>
      <c r="K438" s="5">
        <v>20.0</v>
      </c>
      <c r="N438" s="8">
        <v>43939.0</v>
      </c>
    </row>
    <row r="439">
      <c r="A439" s="5">
        <v>438.0</v>
      </c>
      <c r="B439" s="5" t="s">
        <v>1375</v>
      </c>
      <c r="C439" s="5" t="s">
        <v>20</v>
      </c>
      <c r="K439" s="5">
        <v>1200.0</v>
      </c>
      <c r="N439" s="8">
        <v>44275.0</v>
      </c>
    </row>
    <row r="440">
      <c r="A440" s="5">
        <v>439.0</v>
      </c>
      <c r="B440" s="5" t="s">
        <v>1377</v>
      </c>
      <c r="C440" s="5" t="s">
        <v>20</v>
      </c>
      <c r="K440" s="5">
        <v>10000.0</v>
      </c>
      <c r="N440" s="8">
        <v>45162.0</v>
      </c>
    </row>
    <row r="441">
      <c r="A441" s="5">
        <v>440.0</v>
      </c>
      <c r="B441" s="5" t="s">
        <v>1378</v>
      </c>
      <c r="C441" s="5" t="s">
        <v>20</v>
      </c>
      <c r="N441" s="8">
        <v>44229.0</v>
      </c>
    </row>
    <row r="442">
      <c r="A442" s="5">
        <v>441.0</v>
      </c>
      <c r="B442" s="5" t="s">
        <v>1379</v>
      </c>
      <c r="C442" s="5" t="s">
        <v>20</v>
      </c>
      <c r="K442" s="5">
        <v>400.0</v>
      </c>
      <c r="N442" s="8">
        <v>45480.0</v>
      </c>
    </row>
    <row r="443">
      <c r="A443" s="5">
        <v>442.0</v>
      </c>
      <c r="B443" s="5" t="s">
        <v>1380</v>
      </c>
      <c r="C443" s="5" t="s">
        <v>20</v>
      </c>
      <c r="K443" s="5">
        <v>2200.0</v>
      </c>
      <c r="N443" s="8">
        <v>44692.0</v>
      </c>
    </row>
    <row r="444">
      <c r="A444" s="5">
        <v>443.0</v>
      </c>
      <c r="B444" s="5" t="s">
        <v>1386</v>
      </c>
      <c r="C444" s="5" t="s">
        <v>20</v>
      </c>
      <c r="N444" s="8">
        <v>43041.0</v>
      </c>
    </row>
    <row r="445">
      <c r="A445" s="5">
        <v>444.0</v>
      </c>
      <c r="B445" s="5" t="s">
        <v>1389</v>
      </c>
      <c r="C445" s="5" t="s">
        <v>20</v>
      </c>
      <c r="K445" s="5">
        <v>100.0</v>
      </c>
      <c r="N445" s="8">
        <v>44839.0</v>
      </c>
    </row>
    <row r="446">
      <c r="A446" s="5">
        <v>445.0</v>
      </c>
      <c r="B446" s="5" t="s">
        <v>89</v>
      </c>
      <c r="C446" s="5" t="s">
        <v>20</v>
      </c>
      <c r="K446" s="5">
        <v>300.0</v>
      </c>
      <c r="N446" s="8">
        <v>43862.0</v>
      </c>
    </row>
    <row r="447">
      <c r="A447" s="5">
        <v>446.0</v>
      </c>
      <c r="B447" s="5" t="s">
        <v>1390</v>
      </c>
      <c r="C447" s="5" t="s">
        <v>20</v>
      </c>
      <c r="K447" s="5">
        <v>900.0</v>
      </c>
      <c r="N447" s="8">
        <v>44273.0</v>
      </c>
    </row>
    <row r="448">
      <c r="A448" s="5">
        <v>447.0</v>
      </c>
      <c r="B448" s="5" t="s">
        <v>1391</v>
      </c>
      <c r="C448" s="5" t="s">
        <v>20</v>
      </c>
      <c r="N448" s="8">
        <v>45233.0</v>
      </c>
    </row>
    <row r="449">
      <c r="A449" s="5">
        <v>448.0</v>
      </c>
      <c r="B449" s="5" t="s">
        <v>1392</v>
      </c>
      <c r="C449" s="5" t="s">
        <v>20</v>
      </c>
      <c r="N449" s="8">
        <v>45122.0</v>
      </c>
    </row>
    <row r="450">
      <c r="A450" s="5">
        <v>449.0</v>
      </c>
      <c r="B450" s="5" t="s">
        <v>1393</v>
      </c>
      <c r="C450" s="5" t="s">
        <v>20</v>
      </c>
      <c r="N450" s="8">
        <v>45510.0</v>
      </c>
    </row>
    <row r="451">
      <c r="A451" s="5">
        <v>450.0</v>
      </c>
      <c r="B451" s="5" t="s">
        <v>1395</v>
      </c>
      <c r="C451" s="5" t="s">
        <v>20</v>
      </c>
      <c r="K451" s="5">
        <v>1600.0</v>
      </c>
      <c r="N451" s="8">
        <v>44104.0</v>
      </c>
    </row>
    <row r="452">
      <c r="A452" s="5">
        <v>451.0</v>
      </c>
      <c r="B452" s="5" t="s">
        <v>92</v>
      </c>
      <c r="C452" s="5" t="s">
        <v>20</v>
      </c>
      <c r="K452" s="5">
        <v>80.0</v>
      </c>
      <c r="N452" s="8">
        <v>44977.0</v>
      </c>
    </row>
    <row r="453">
      <c r="A453" s="5">
        <v>452.0</v>
      </c>
      <c r="B453" s="5" t="s">
        <v>1396</v>
      </c>
      <c r="C453" s="5" t="s">
        <v>20</v>
      </c>
      <c r="K453" s="5">
        <v>350.0</v>
      </c>
      <c r="N453" s="8">
        <v>45385.0</v>
      </c>
    </row>
    <row r="454">
      <c r="A454" s="5">
        <v>453.0</v>
      </c>
      <c r="B454" s="5" t="s">
        <v>1397</v>
      </c>
      <c r="C454" s="5" t="s">
        <v>20</v>
      </c>
      <c r="K454" s="5">
        <v>10.0</v>
      </c>
      <c r="N454" s="8">
        <v>44311.0</v>
      </c>
    </row>
    <row r="455">
      <c r="A455" s="5">
        <v>454.0</v>
      </c>
      <c r="B455" s="5" t="s">
        <v>1398</v>
      </c>
      <c r="C455" s="5" t="s">
        <v>20</v>
      </c>
      <c r="N455" s="8">
        <v>44501.0</v>
      </c>
      <c r="O455" s="5" t="s">
        <v>129</v>
      </c>
      <c r="P455" s="5" t="s">
        <v>25</v>
      </c>
      <c r="S455" s="5" t="s">
        <v>157</v>
      </c>
    </row>
    <row r="456">
      <c r="A456" s="5">
        <v>455.0</v>
      </c>
      <c r="B456" s="5" t="s">
        <v>1399</v>
      </c>
      <c r="C456" s="5" t="s">
        <v>20</v>
      </c>
      <c r="K456" s="5">
        <v>90.0</v>
      </c>
      <c r="N456" s="8">
        <v>44154.0</v>
      </c>
    </row>
    <row r="457">
      <c r="A457" s="5">
        <v>456.0</v>
      </c>
      <c r="B457" s="5" t="s">
        <v>1400</v>
      </c>
      <c r="C457" s="5" t="s">
        <v>20</v>
      </c>
      <c r="K457" s="5">
        <v>30.0</v>
      </c>
      <c r="N457" s="8">
        <v>45319.0</v>
      </c>
    </row>
    <row r="458">
      <c r="A458" s="5">
        <v>457.0</v>
      </c>
      <c r="B458" s="5" t="s">
        <v>1402</v>
      </c>
      <c r="C458" s="5" t="s">
        <v>20</v>
      </c>
      <c r="N458" s="8">
        <v>45974.0</v>
      </c>
    </row>
    <row r="459">
      <c r="A459" s="5">
        <v>458.0</v>
      </c>
      <c r="B459" s="5" t="s">
        <v>1403</v>
      </c>
      <c r="C459" s="5" t="s">
        <v>20</v>
      </c>
      <c r="N459" s="8">
        <v>43818.0</v>
      </c>
    </row>
    <row r="460">
      <c r="A460" s="5">
        <v>459.0</v>
      </c>
      <c r="B460" s="5" t="s">
        <v>1406</v>
      </c>
      <c r="C460" s="5" t="s">
        <v>20</v>
      </c>
      <c r="K460" s="5">
        <v>500.0</v>
      </c>
      <c r="N460" s="8">
        <v>43997.0</v>
      </c>
    </row>
    <row r="461">
      <c r="A461" s="5">
        <v>460.0</v>
      </c>
      <c r="B461" s="5" t="s">
        <v>1410</v>
      </c>
      <c r="C461" s="5" t="s">
        <v>20</v>
      </c>
      <c r="N461" s="8">
        <v>45121.0</v>
      </c>
    </row>
    <row r="462">
      <c r="A462" s="5">
        <v>461.0</v>
      </c>
      <c r="B462" s="5" t="s">
        <v>1411</v>
      </c>
      <c r="C462" s="5" t="s">
        <v>20</v>
      </c>
      <c r="N462" s="8">
        <v>45191.0</v>
      </c>
    </row>
    <row r="463">
      <c r="A463" s="5">
        <v>462.0</v>
      </c>
      <c r="B463" s="5" t="s">
        <v>1413</v>
      </c>
      <c r="C463" s="5" t="s">
        <v>20</v>
      </c>
      <c r="K463" s="5">
        <v>350.0</v>
      </c>
      <c r="N463" s="8">
        <v>43979.0</v>
      </c>
    </row>
    <row r="464">
      <c r="A464" s="5">
        <v>463.0</v>
      </c>
      <c r="B464" s="5" t="s">
        <v>1416</v>
      </c>
      <c r="C464" s="5" t="s">
        <v>20</v>
      </c>
      <c r="K464" s="5">
        <v>20.0</v>
      </c>
      <c r="N464" s="8">
        <v>44123.0</v>
      </c>
    </row>
    <row r="465">
      <c r="A465" s="5">
        <v>464.0</v>
      </c>
      <c r="B465" s="5" t="s">
        <v>1417</v>
      </c>
      <c r="C465" s="5" t="s">
        <v>20</v>
      </c>
      <c r="K465" s="5">
        <v>10.0</v>
      </c>
      <c r="N465" s="8">
        <v>45068.0</v>
      </c>
    </row>
    <row r="466">
      <c r="A466" s="5">
        <v>465.0</v>
      </c>
      <c r="B466" s="5" t="s">
        <v>1418</v>
      </c>
      <c r="C466" s="5" t="s">
        <v>20</v>
      </c>
      <c r="N466" s="8">
        <v>44548.0</v>
      </c>
    </row>
    <row r="467">
      <c r="A467" s="5">
        <v>466.0</v>
      </c>
      <c r="B467" s="5" t="s">
        <v>93</v>
      </c>
      <c r="C467" s="5" t="s">
        <v>20</v>
      </c>
      <c r="K467" s="5">
        <v>1100.0</v>
      </c>
      <c r="N467" s="8">
        <v>44394.0</v>
      </c>
    </row>
    <row r="468">
      <c r="A468" s="5">
        <v>467.0</v>
      </c>
      <c r="B468" s="5" t="s">
        <v>1420</v>
      </c>
      <c r="C468" s="5" t="s">
        <v>20</v>
      </c>
      <c r="N468" s="8">
        <v>42253.0</v>
      </c>
    </row>
    <row r="469">
      <c r="A469" s="5">
        <v>468.0</v>
      </c>
      <c r="B469" s="5" t="s">
        <v>1422</v>
      </c>
      <c r="C469" s="5" t="s">
        <v>20</v>
      </c>
      <c r="N469" s="8">
        <v>44952.0</v>
      </c>
    </row>
    <row r="470">
      <c r="A470" s="5">
        <v>469.0</v>
      </c>
      <c r="B470" s="5" t="s">
        <v>1423</v>
      </c>
      <c r="C470" s="5" t="s">
        <v>20</v>
      </c>
      <c r="K470" s="5">
        <v>350.0</v>
      </c>
      <c r="N470" s="8">
        <v>45097.0</v>
      </c>
    </row>
    <row r="471">
      <c r="A471" s="5">
        <v>470.0</v>
      </c>
      <c r="B471" s="5" t="s">
        <v>1424</v>
      </c>
      <c r="C471" s="5" t="s">
        <v>20</v>
      </c>
      <c r="K471" s="5">
        <v>250.0</v>
      </c>
      <c r="N471" s="8">
        <v>43895.0</v>
      </c>
    </row>
    <row r="472">
      <c r="A472" s="5">
        <v>471.0</v>
      </c>
      <c r="B472" s="5" t="s">
        <v>1425</v>
      </c>
      <c r="C472" s="5" t="s">
        <v>20</v>
      </c>
      <c r="K472" s="5">
        <v>450.0</v>
      </c>
      <c r="N472" s="8">
        <v>45650.0</v>
      </c>
    </row>
    <row r="473">
      <c r="A473" s="5">
        <v>472.0</v>
      </c>
      <c r="B473" s="5" t="s">
        <v>542</v>
      </c>
      <c r="C473" s="5" t="s">
        <v>20</v>
      </c>
      <c r="N473" s="8">
        <v>44234.0</v>
      </c>
    </row>
    <row r="474">
      <c r="A474" s="5">
        <v>473.0</v>
      </c>
      <c r="B474" s="5" t="s">
        <v>1427</v>
      </c>
      <c r="C474" s="5" t="s">
        <v>20</v>
      </c>
      <c r="K474" s="5">
        <v>1600.0</v>
      </c>
      <c r="N474" s="8">
        <v>44955.0</v>
      </c>
    </row>
    <row r="475">
      <c r="A475" s="5">
        <v>474.0</v>
      </c>
      <c r="B475" s="5" t="s">
        <v>1428</v>
      </c>
      <c r="C475" s="5" t="s">
        <v>20</v>
      </c>
      <c r="D475" s="5">
        <v>36.0</v>
      </c>
      <c r="H475" s="5" t="s">
        <v>47</v>
      </c>
      <c r="I475" s="9">
        <v>46145.94351851852</v>
      </c>
      <c r="J475" s="5" t="s">
        <v>151</v>
      </c>
      <c r="K475" s="5">
        <v>10.0</v>
      </c>
      <c r="L475" s="5">
        <v>15000.0</v>
      </c>
      <c r="M475" s="5">
        <v>16000.0</v>
      </c>
      <c r="N475" s="8">
        <v>42344.0</v>
      </c>
      <c r="O475" s="5" t="s">
        <v>100</v>
      </c>
      <c r="P475" s="5" t="s">
        <v>25</v>
      </c>
      <c r="S475" s="5" t="s">
        <v>29</v>
      </c>
    </row>
    <row r="476">
      <c r="A476" s="5">
        <v>475.0</v>
      </c>
      <c r="B476" s="5" t="s">
        <v>1429</v>
      </c>
      <c r="C476" s="5" t="s">
        <v>20</v>
      </c>
      <c r="N476" s="8">
        <v>42344.0</v>
      </c>
    </row>
    <row r="477">
      <c r="A477" s="5">
        <v>476.0</v>
      </c>
      <c r="B477" s="5" t="s">
        <v>95</v>
      </c>
      <c r="C477" s="5" t="s">
        <v>20</v>
      </c>
      <c r="N477" s="8">
        <v>44768.0</v>
      </c>
    </row>
    <row r="478">
      <c r="A478" s="5">
        <v>477.0</v>
      </c>
      <c r="B478" s="5" t="s">
        <v>1430</v>
      </c>
      <c r="C478" s="5" t="s">
        <v>20</v>
      </c>
      <c r="N478" s="8">
        <v>44208.0</v>
      </c>
    </row>
    <row r="479">
      <c r="A479" s="5">
        <v>478.0</v>
      </c>
      <c r="B479" s="5" t="s">
        <v>1431</v>
      </c>
      <c r="C479" s="5" t="s">
        <v>20</v>
      </c>
      <c r="K479" s="5">
        <v>50.0</v>
      </c>
      <c r="N479" s="8">
        <v>43840.0</v>
      </c>
    </row>
    <row r="480">
      <c r="A480" s="5">
        <v>479.0</v>
      </c>
      <c r="B480" s="5" t="s">
        <v>1432</v>
      </c>
      <c r="C480" s="5" t="s">
        <v>20</v>
      </c>
      <c r="K480" s="5">
        <v>150.0</v>
      </c>
      <c r="N480" s="8">
        <v>44927.0</v>
      </c>
    </row>
    <row r="481">
      <c r="A481" s="5">
        <v>480.0</v>
      </c>
      <c r="B481" s="5" t="s">
        <v>1433</v>
      </c>
      <c r="C481" s="5" t="s">
        <v>20</v>
      </c>
      <c r="K481" s="5">
        <v>100.0</v>
      </c>
      <c r="N481" s="8">
        <v>44706.0</v>
      </c>
    </row>
    <row r="482">
      <c r="A482" s="5">
        <v>481.0</v>
      </c>
      <c r="B482" s="5" t="s">
        <v>1434</v>
      </c>
      <c r="C482" s="5" t="s">
        <v>20</v>
      </c>
      <c r="K482" s="5">
        <v>50.0</v>
      </c>
      <c r="N482" s="8">
        <v>44841.0</v>
      </c>
    </row>
    <row r="483">
      <c r="A483" s="5">
        <v>482.0</v>
      </c>
      <c r="B483" s="5" t="s">
        <v>1435</v>
      </c>
      <c r="C483" s="5" t="s">
        <v>20</v>
      </c>
      <c r="N483" s="8">
        <v>43162.0</v>
      </c>
    </row>
    <row r="484">
      <c r="A484" s="5">
        <v>483.0</v>
      </c>
      <c r="B484" s="5" t="s">
        <v>1436</v>
      </c>
      <c r="C484" s="5" t="s">
        <v>20</v>
      </c>
      <c r="K484" s="5">
        <v>2400.0</v>
      </c>
      <c r="N484" s="8">
        <v>45278.0</v>
      </c>
    </row>
    <row r="485">
      <c r="A485" s="5">
        <v>484.0</v>
      </c>
      <c r="B485" s="5" t="s">
        <v>98</v>
      </c>
      <c r="C485" s="5" t="s">
        <v>20</v>
      </c>
      <c r="K485" s="5">
        <v>150.0</v>
      </c>
      <c r="N485" s="8">
        <v>45712.0</v>
      </c>
    </row>
    <row r="486">
      <c r="A486" s="5">
        <v>485.0</v>
      </c>
      <c r="B486" s="5" t="s">
        <v>1437</v>
      </c>
      <c r="C486" s="5" t="s">
        <v>20</v>
      </c>
      <c r="K486" s="5">
        <v>250.0</v>
      </c>
      <c r="N486" s="8">
        <v>44825.0</v>
      </c>
    </row>
    <row r="487">
      <c r="A487" s="5">
        <v>486.0</v>
      </c>
      <c r="B487" s="5" t="s">
        <v>1438</v>
      </c>
      <c r="C487" s="5" t="s">
        <v>20</v>
      </c>
      <c r="N487" s="8">
        <v>45675.0</v>
      </c>
    </row>
    <row r="488">
      <c r="A488" s="5">
        <v>487.0</v>
      </c>
      <c r="B488" s="5" t="s">
        <v>1440</v>
      </c>
      <c r="C488" s="5" t="s">
        <v>20</v>
      </c>
      <c r="K488" s="5">
        <v>30.0</v>
      </c>
      <c r="N488" s="8">
        <v>45201.0</v>
      </c>
    </row>
    <row r="489">
      <c r="A489" s="5">
        <v>488.0</v>
      </c>
      <c r="B489" s="5" t="s">
        <v>1441</v>
      </c>
      <c r="C489" s="5" t="s">
        <v>20</v>
      </c>
      <c r="N489" s="8">
        <v>46011.0</v>
      </c>
    </row>
    <row r="490">
      <c r="A490" s="5">
        <v>489.0</v>
      </c>
      <c r="B490" s="5" t="s">
        <v>1442</v>
      </c>
      <c r="C490" s="5" t="s">
        <v>20</v>
      </c>
      <c r="K490" s="5">
        <v>10.0</v>
      </c>
      <c r="N490" s="8">
        <v>44414.0</v>
      </c>
    </row>
    <row r="491">
      <c r="A491" s="5">
        <v>490.0</v>
      </c>
      <c r="B491" s="5" t="s">
        <v>1445</v>
      </c>
      <c r="C491" s="5" t="s">
        <v>20</v>
      </c>
      <c r="K491" s="5">
        <v>200.0</v>
      </c>
      <c r="N491" s="8">
        <v>43860.0</v>
      </c>
    </row>
    <row r="492">
      <c r="A492" s="5">
        <v>491.0</v>
      </c>
      <c r="B492" s="5" t="s">
        <v>1446</v>
      </c>
      <c r="C492" s="5" t="s">
        <v>20</v>
      </c>
      <c r="N492" s="8">
        <v>45654.0</v>
      </c>
    </row>
    <row r="493">
      <c r="A493" s="5">
        <v>492.0</v>
      </c>
      <c r="B493" s="5" t="s">
        <v>1447</v>
      </c>
      <c r="C493" s="5" t="s">
        <v>20</v>
      </c>
      <c r="K493" s="5">
        <v>20.0</v>
      </c>
      <c r="N493" s="8">
        <v>43898.0</v>
      </c>
    </row>
    <row r="494">
      <c r="A494" s="5">
        <v>493.0</v>
      </c>
      <c r="B494" s="5" t="s">
        <v>1448</v>
      </c>
      <c r="C494" s="5" t="s">
        <v>20</v>
      </c>
      <c r="K494" s="5">
        <v>1000.0</v>
      </c>
      <c r="N494" s="8">
        <v>43028.0</v>
      </c>
    </row>
    <row r="495">
      <c r="A495" s="5">
        <v>494.0</v>
      </c>
      <c r="B495" s="5" t="s">
        <v>1449</v>
      </c>
      <c r="C495" s="5" t="s">
        <v>20</v>
      </c>
      <c r="K495" s="5">
        <v>150.0</v>
      </c>
      <c r="N495" s="8">
        <v>45049.0</v>
      </c>
    </row>
    <row r="496">
      <c r="A496" s="5">
        <v>495.0</v>
      </c>
      <c r="B496" s="5" t="s">
        <v>1450</v>
      </c>
      <c r="C496" s="5" t="s">
        <v>20</v>
      </c>
      <c r="K496" s="5">
        <v>250.0</v>
      </c>
      <c r="N496" s="8">
        <v>44347.0</v>
      </c>
    </row>
    <row r="497">
      <c r="A497" s="5">
        <v>496.0</v>
      </c>
      <c r="B497" s="5" t="s">
        <v>1451</v>
      </c>
      <c r="C497" s="5" t="s">
        <v>20</v>
      </c>
      <c r="K497" s="5">
        <v>400.0</v>
      </c>
      <c r="N497" s="8">
        <v>43864.0</v>
      </c>
    </row>
    <row r="498">
      <c r="A498" s="5">
        <v>497.0</v>
      </c>
      <c r="B498" s="5" t="s">
        <v>1453</v>
      </c>
      <c r="C498" s="5" t="s">
        <v>20</v>
      </c>
      <c r="N498" s="8">
        <v>42864.0</v>
      </c>
    </row>
    <row r="499">
      <c r="A499" s="5">
        <v>498.0</v>
      </c>
      <c r="B499" s="5" t="s">
        <v>1454</v>
      </c>
      <c r="C499" s="5" t="s">
        <v>20</v>
      </c>
      <c r="N499" s="8">
        <v>43758.0</v>
      </c>
    </row>
    <row r="500">
      <c r="A500" s="5">
        <v>499.0</v>
      </c>
      <c r="B500" s="5" t="s">
        <v>1456</v>
      </c>
      <c r="C500" s="5" t="s">
        <v>20</v>
      </c>
      <c r="K500" s="5">
        <v>10.0</v>
      </c>
      <c r="N500" s="8">
        <v>45248.0</v>
      </c>
    </row>
    <row r="501">
      <c r="A501" s="5">
        <v>500.0</v>
      </c>
      <c r="B501" s="5" t="s">
        <v>1457</v>
      </c>
      <c r="C501" s="5" t="s">
        <v>20</v>
      </c>
      <c r="K501" s="5">
        <v>200.0</v>
      </c>
      <c r="N501" s="8">
        <v>42386.0</v>
      </c>
    </row>
    <row r="502">
      <c r="A502" s="5">
        <v>501.0</v>
      </c>
      <c r="B502" s="5" t="s">
        <v>1458</v>
      </c>
      <c r="C502" s="5" t="s">
        <v>20</v>
      </c>
      <c r="K502" s="5">
        <v>150.0</v>
      </c>
      <c r="N502" s="8">
        <v>44249.0</v>
      </c>
    </row>
    <row r="503">
      <c r="A503" s="5">
        <v>502.0</v>
      </c>
      <c r="B503" s="5" t="s">
        <v>1459</v>
      </c>
      <c r="C503" s="5" t="s">
        <v>20</v>
      </c>
      <c r="N503" s="8">
        <v>42251.0</v>
      </c>
      <c r="O503" s="5" t="s">
        <v>80</v>
      </c>
      <c r="P503" s="5" t="s">
        <v>25</v>
      </c>
      <c r="S503" s="5" t="s">
        <v>118</v>
      </c>
    </row>
    <row r="504">
      <c r="A504" s="5">
        <v>503.0</v>
      </c>
      <c r="B504" s="5" t="s">
        <v>1460</v>
      </c>
      <c r="C504" s="5" t="s">
        <v>20</v>
      </c>
      <c r="N504" s="8">
        <v>45008.0</v>
      </c>
    </row>
    <row r="505">
      <c r="A505" s="5">
        <v>504.0</v>
      </c>
      <c r="B505" s="5" t="s">
        <v>1461</v>
      </c>
      <c r="C505" s="5" t="s">
        <v>20</v>
      </c>
      <c r="K505" s="5">
        <v>10.0</v>
      </c>
      <c r="N505" s="8">
        <v>44300.0</v>
      </c>
    </row>
    <row r="506">
      <c r="A506" s="5">
        <v>505.0</v>
      </c>
      <c r="B506" s="5" t="s">
        <v>1462</v>
      </c>
      <c r="C506" s="5" t="s">
        <v>20</v>
      </c>
      <c r="K506" s="5">
        <v>1300.0</v>
      </c>
      <c r="N506" s="8">
        <v>44984.0</v>
      </c>
    </row>
    <row r="507">
      <c r="A507" s="5">
        <v>506.0</v>
      </c>
      <c r="B507" s="5" t="s">
        <v>1464</v>
      </c>
      <c r="C507" s="5" t="s">
        <v>20</v>
      </c>
      <c r="K507" s="5">
        <v>20.0</v>
      </c>
      <c r="N507" s="8">
        <v>44429.0</v>
      </c>
    </row>
    <row r="508">
      <c r="A508" s="5">
        <v>507.0</v>
      </c>
      <c r="B508" s="5" t="s">
        <v>1467</v>
      </c>
      <c r="C508" s="5" t="s">
        <v>20</v>
      </c>
      <c r="N508" s="8">
        <v>43535.0</v>
      </c>
    </row>
    <row r="509">
      <c r="A509" s="5">
        <v>508.0</v>
      </c>
      <c r="B509" s="5" t="s">
        <v>1468</v>
      </c>
      <c r="C509" s="5" t="s">
        <v>20</v>
      </c>
      <c r="N509" s="8">
        <v>45351.0</v>
      </c>
    </row>
    <row r="510">
      <c r="A510" s="5">
        <v>509.0</v>
      </c>
      <c r="B510" s="5" t="s">
        <v>1469</v>
      </c>
      <c r="C510" s="5" t="s">
        <v>20</v>
      </c>
      <c r="K510" s="5">
        <v>200.0</v>
      </c>
      <c r="N510" s="8">
        <v>44985.0</v>
      </c>
    </row>
    <row r="511">
      <c r="A511" s="5">
        <v>510.0</v>
      </c>
      <c r="B511" s="5" t="s">
        <v>1470</v>
      </c>
      <c r="C511" s="5" t="s">
        <v>20</v>
      </c>
      <c r="K511" s="5">
        <v>80.0</v>
      </c>
      <c r="N511" s="8">
        <v>44603.0</v>
      </c>
    </row>
    <row r="512">
      <c r="A512" s="5">
        <v>511.0</v>
      </c>
      <c r="B512" s="5" t="s">
        <v>1471</v>
      </c>
      <c r="C512" s="5" t="s">
        <v>20</v>
      </c>
      <c r="N512" s="8">
        <v>45355.0</v>
      </c>
    </row>
    <row r="513">
      <c r="A513" s="5">
        <v>512.0</v>
      </c>
      <c r="B513" s="5" t="s">
        <v>1473</v>
      </c>
      <c r="C513" s="5" t="s">
        <v>20</v>
      </c>
      <c r="K513" s="5">
        <v>250.0</v>
      </c>
      <c r="N513" s="8">
        <v>44840.0</v>
      </c>
    </row>
    <row r="514">
      <c r="A514" s="5">
        <v>513.0</v>
      </c>
      <c r="B514" s="5" t="s">
        <v>1474</v>
      </c>
      <c r="C514" s="5" t="s">
        <v>20</v>
      </c>
      <c r="K514" s="5">
        <v>90.0</v>
      </c>
      <c r="N514" s="8">
        <v>45048.0</v>
      </c>
    </row>
    <row r="515">
      <c r="A515" s="5">
        <v>514.0</v>
      </c>
      <c r="B515" s="5" t="s">
        <v>1475</v>
      </c>
      <c r="C515" s="5" t="s">
        <v>20</v>
      </c>
      <c r="N515" s="8">
        <v>44518.0</v>
      </c>
    </row>
    <row r="516">
      <c r="A516" s="5">
        <v>515.0</v>
      </c>
      <c r="B516" s="5" t="s">
        <v>1476</v>
      </c>
      <c r="C516" s="5" t="s">
        <v>20</v>
      </c>
      <c r="K516" s="5">
        <v>20.0</v>
      </c>
      <c r="N516" s="8">
        <v>44141.0</v>
      </c>
    </row>
    <row r="517">
      <c r="A517" s="5">
        <v>516.0</v>
      </c>
      <c r="B517" s="5" t="s">
        <v>1477</v>
      </c>
      <c r="C517" s="5" t="s">
        <v>20</v>
      </c>
      <c r="N517" s="8">
        <v>42787.0</v>
      </c>
    </row>
    <row r="518">
      <c r="A518" s="5">
        <v>517.0</v>
      </c>
      <c r="B518" s="5" t="s">
        <v>102</v>
      </c>
      <c r="C518" s="5" t="s">
        <v>20</v>
      </c>
      <c r="N518" s="8">
        <v>45953.0</v>
      </c>
    </row>
    <row r="519">
      <c r="A519" s="5">
        <v>518.0</v>
      </c>
      <c r="B519" s="5" t="s">
        <v>1478</v>
      </c>
      <c r="C519" s="5" t="s">
        <v>20</v>
      </c>
      <c r="K519" s="5">
        <v>150.0</v>
      </c>
      <c r="N519" s="8">
        <v>44056.0</v>
      </c>
    </row>
    <row r="520">
      <c r="A520" s="5">
        <v>519.0</v>
      </c>
      <c r="B520" s="5" t="s">
        <v>1480</v>
      </c>
      <c r="C520" s="5" t="s">
        <v>20</v>
      </c>
      <c r="K520" s="5">
        <v>350.0</v>
      </c>
      <c r="N520" s="8">
        <v>44904.0</v>
      </c>
    </row>
    <row r="521">
      <c r="A521" s="5">
        <v>520.0</v>
      </c>
      <c r="B521" s="5" t="s">
        <v>1481</v>
      </c>
      <c r="C521" s="5" t="s">
        <v>20</v>
      </c>
      <c r="N521" s="8">
        <v>43022.0</v>
      </c>
    </row>
    <row r="522">
      <c r="A522" s="5">
        <v>521.0</v>
      </c>
      <c r="B522" s="5" t="s">
        <v>1483</v>
      </c>
      <c r="C522" s="5" t="s">
        <v>20</v>
      </c>
      <c r="D522" s="5">
        <v>0.0</v>
      </c>
      <c r="H522" s="5" t="s">
        <v>19</v>
      </c>
      <c r="I522" s="9">
        <v>46127.35685185185</v>
      </c>
      <c r="J522" s="5" t="s">
        <v>151</v>
      </c>
      <c r="L522" s="5">
        <v>136000.0</v>
      </c>
      <c r="M522" s="5">
        <v>140000.0</v>
      </c>
      <c r="N522" s="8">
        <v>42631.0</v>
      </c>
      <c r="O522" s="5" t="s">
        <v>24</v>
      </c>
      <c r="P522" s="5" t="s">
        <v>25</v>
      </c>
      <c r="S522" s="5" t="s">
        <v>118</v>
      </c>
    </row>
    <row r="523">
      <c r="A523" s="5">
        <v>522.0</v>
      </c>
      <c r="B523" s="5" t="s">
        <v>1486</v>
      </c>
      <c r="C523" s="5" t="s">
        <v>20</v>
      </c>
      <c r="K523" s="5">
        <v>500.0</v>
      </c>
      <c r="N523" s="8">
        <v>44395.0</v>
      </c>
    </row>
    <row r="524">
      <c r="A524" s="5">
        <v>523.0</v>
      </c>
      <c r="B524" s="5" t="s">
        <v>1487</v>
      </c>
      <c r="C524" s="5" t="s">
        <v>20</v>
      </c>
      <c r="K524" s="5">
        <v>10.0</v>
      </c>
      <c r="N524" s="8">
        <v>44508.0</v>
      </c>
    </row>
    <row r="525">
      <c r="A525" s="5">
        <v>524.0</v>
      </c>
      <c r="B525" s="5" t="s">
        <v>1488</v>
      </c>
      <c r="C525" s="5" t="s">
        <v>20</v>
      </c>
      <c r="K525" s="5">
        <v>1800.0</v>
      </c>
      <c r="N525" s="8">
        <v>44569.0</v>
      </c>
    </row>
    <row r="526">
      <c r="A526" s="5">
        <v>525.0</v>
      </c>
      <c r="B526" s="5" t="s">
        <v>1490</v>
      </c>
      <c r="C526" s="5" t="s">
        <v>20</v>
      </c>
      <c r="K526" s="5">
        <v>5200.0</v>
      </c>
      <c r="N526" s="8">
        <v>44389.0</v>
      </c>
    </row>
    <row r="527">
      <c r="A527" s="5">
        <v>526.0</v>
      </c>
      <c r="B527" s="5" t="s">
        <v>1491</v>
      </c>
      <c r="C527" s="5" t="s">
        <v>20</v>
      </c>
      <c r="K527" s="5">
        <v>150.0</v>
      </c>
      <c r="N527" s="8">
        <v>45728.0</v>
      </c>
    </row>
    <row r="528">
      <c r="A528" s="5">
        <v>527.0</v>
      </c>
      <c r="B528" s="5" t="s">
        <v>1493</v>
      </c>
      <c r="C528" s="5" t="s">
        <v>20</v>
      </c>
      <c r="N528" s="8">
        <v>44657.0</v>
      </c>
    </row>
    <row r="529">
      <c r="A529" s="5">
        <v>528.0</v>
      </c>
      <c r="B529" s="5" t="s">
        <v>1494</v>
      </c>
      <c r="C529" s="5" t="s">
        <v>20</v>
      </c>
      <c r="K529" s="5">
        <v>20.0</v>
      </c>
      <c r="N529" s="8">
        <v>45035.0</v>
      </c>
    </row>
    <row r="530">
      <c r="A530" s="5">
        <v>529.0</v>
      </c>
      <c r="B530" s="5" t="s">
        <v>1495</v>
      </c>
      <c r="C530" s="5" t="s">
        <v>20</v>
      </c>
      <c r="N530" s="8">
        <v>45481.0</v>
      </c>
    </row>
    <row r="531">
      <c r="A531" s="5">
        <v>530.0</v>
      </c>
      <c r="B531" s="5" t="s">
        <v>1496</v>
      </c>
      <c r="C531" s="5" t="s">
        <v>20</v>
      </c>
      <c r="N531" s="8">
        <v>45535.0</v>
      </c>
    </row>
    <row r="532">
      <c r="A532" s="5">
        <v>531.0</v>
      </c>
      <c r="B532" s="5" t="s">
        <v>1497</v>
      </c>
      <c r="C532" s="5" t="s">
        <v>20</v>
      </c>
      <c r="N532" s="8">
        <v>45400.0</v>
      </c>
    </row>
    <row r="533">
      <c r="A533" s="5">
        <v>532.0</v>
      </c>
      <c r="B533" s="5" t="s">
        <v>1499</v>
      </c>
      <c r="C533" s="5" t="s">
        <v>20</v>
      </c>
      <c r="K533" s="5">
        <v>20.0</v>
      </c>
      <c r="N533" s="8">
        <v>45023.0</v>
      </c>
    </row>
    <row r="534">
      <c r="A534" s="5">
        <v>533.0</v>
      </c>
      <c r="B534" s="5" t="s">
        <v>1500</v>
      </c>
      <c r="C534" s="5" t="s">
        <v>20</v>
      </c>
      <c r="K534" s="5">
        <v>50.0</v>
      </c>
      <c r="N534" s="8">
        <v>44735.0</v>
      </c>
    </row>
    <row r="535">
      <c r="A535" s="5">
        <v>534.0</v>
      </c>
      <c r="B535" s="5" t="s">
        <v>1501</v>
      </c>
      <c r="C535" s="5" t="s">
        <v>20</v>
      </c>
      <c r="N535" s="8">
        <v>43198.0</v>
      </c>
    </row>
    <row r="536">
      <c r="A536" s="5">
        <v>535.0</v>
      </c>
      <c r="B536" s="5" t="s">
        <v>1502</v>
      </c>
      <c r="C536" s="5" t="s">
        <v>20</v>
      </c>
      <c r="K536" s="5">
        <v>500.0</v>
      </c>
      <c r="N536" s="8">
        <v>43977.0</v>
      </c>
    </row>
    <row r="537">
      <c r="A537" s="5">
        <v>536.0</v>
      </c>
      <c r="B537" s="5" t="s">
        <v>1503</v>
      </c>
      <c r="C537" s="5" t="s">
        <v>20</v>
      </c>
      <c r="N537" s="8">
        <v>44505.0</v>
      </c>
    </row>
    <row r="538">
      <c r="A538" s="5">
        <v>537.0</v>
      </c>
      <c r="B538" s="5" t="s">
        <v>1504</v>
      </c>
      <c r="C538" s="5" t="s">
        <v>20</v>
      </c>
      <c r="N538" s="8">
        <v>44190.0</v>
      </c>
    </row>
    <row r="539">
      <c r="A539" s="5">
        <v>538.0</v>
      </c>
      <c r="B539" s="5" t="s">
        <v>1505</v>
      </c>
      <c r="C539" s="5" t="s">
        <v>20</v>
      </c>
      <c r="K539" s="5">
        <v>40.0</v>
      </c>
      <c r="N539" s="8">
        <v>44436.0</v>
      </c>
    </row>
    <row r="540">
      <c r="A540" s="5">
        <v>539.0</v>
      </c>
      <c r="B540" s="5" t="s">
        <v>1506</v>
      </c>
      <c r="C540" s="5" t="s">
        <v>20</v>
      </c>
      <c r="K540" s="5">
        <v>150.0</v>
      </c>
      <c r="N540" s="8">
        <v>45420.0</v>
      </c>
    </row>
    <row r="541">
      <c r="A541" s="5">
        <v>540.0</v>
      </c>
      <c r="B541" s="5" t="s">
        <v>1507</v>
      </c>
      <c r="C541" s="5" t="s">
        <v>20</v>
      </c>
      <c r="N541" s="8">
        <v>42352.0</v>
      </c>
    </row>
    <row r="542">
      <c r="A542" s="5">
        <v>541.0</v>
      </c>
      <c r="B542" s="5" t="s">
        <v>1508</v>
      </c>
      <c r="C542" s="5" t="s">
        <v>20</v>
      </c>
      <c r="K542" s="5">
        <v>20.0</v>
      </c>
      <c r="N542" s="8">
        <v>44869.0</v>
      </c>
    </row>
    <row r="543">
      <c r="A543" s="5">
        <v>542.0</v>
      </c>
      <c r="B543" s="5" t="s">
        <v>1509</v>
      </c>
      <c r="C543" s="5" t="s">
        <v>20</v>
      </c>
      <c r="K543" s="5">
        <v>500.0</v>
      </c>
      <c r="N543" s="8">
        <v>44038.0</v>
      </c>
    </row>
    <row r="544">
      <c r="A544" s="5">
        <v>543.0</v>
      </c>
      <c r="B544" s="5" t="s">
        <v>1510</v>
      </c>
      <c r="C544" s="5" t="s">
        <v>20</v>
      </c>
      <c r="K544" s="5">
        <v>30.0</v>
      </c>
      <c r="N544" s="8">
        <v>44139.0</v>
      </c>
    </row>
    <row r="545">
      <c r="A545" s="5">
        <v>544.0</v>
      </c>
      <c r="B545" s="5" t="s">
        <v>1511</v>
      </c>
      <c r="C545" s="5" t="s">
        <v>20</v>
      </c>
      <c r="D545" s="5">
        <v>16.0</v>
      </c>
      <c r="H545" s="5" t="s">
        <v>19</v>
      </c>
      <c r="I545" s="9">
        <v>46126.528715277775</v>
      </c>
      <c r="J545" s="5" t="s">
        <v>22</v>
      </c>
      <c r="L545" s="5">
        <v>136000.0</v>
      </c>
      <c r="M545" s="5">
        <v>140000.0</v>
      </c>
      <c r="N545" s="8">
        <v>42279.0</v>
      </c>
      <c r="O545" s="5" t="s">
        <v>100</v>
      </c>
      <c r="P545" s="5" t="s">
        <v>25</v>
      </c>
      <c r="S545" s="5" t="s">
        <v>29</v>
      </c>
    </row>
    <row r="546">
      <c r="A546" s="5">
        <v>545.0</v>
      </c>
      <c r="B546" s="5" t="s">
        <v>1512</v>
      </c>
      <c r="C546" s="5" t="s">
        <v>20</v>
      </c>
      <c r="K546" s="5">
        <v>10.0</v>
      </c>
      <c r="N546" s="8">
        <v>44425.0</v>
      </c>
    </row>
    <row r="547">
      <c r="A547" s="5">
        <v>546.0</v>
      </c>
      <c r="B547" s="5" t="s">
        <v>1513</v>
      </c>
      <c r="C547" s="5" t="s">
        <v>20</v>
      </c>
      <c r="D547" s="5">
        <v>0.0</v>
      </c>
      <c r="H547" s="5" t="s">
        <v>1000</v>
      </c>
      <c r="I547" s="9">
        <v>46098.746296296296</v>
      </c>
      <c r="J547" s="5" t="s">
        <v>87</v>
      </c>
      <c r="L547" s="5">
        <v>0.0</v>
      </c>
      <c r="M547" s="5">
        <v>0.0</v>
      </c>
      <c r="N547" s="8">
        <v>44415.0</v>
      </c>
      <c r="O547" s="5" t="s">
        <v>24</v>
      </c>
      <c r="P547" s="5" t="s">
        <v>25</v>
      </c>
      <c r="S547" s="5" t="s">
        <v>469</v>
      </c>
    </row>
    <row r="548">
      <c r="A548" s="5">
        <v>547.0</v>
      </c>
      <c r="B548" s="5" t="s">
        <v>1517</v>
      </c>
      <c r="C548" s="5" t="s">
        <v>20</v>
      </c>
      <c r="N548" s="8">
        <v>44220.0</v>
      </c>
    </row>
    <row r="549">
      <c r="A549" s="5">
        <v>548.0</v>
      </c>
      <c r="B549" s="5" t="s">
        <v>106</v>
      </c>
      <c r="C549" s="5" t="s">
        <v>20</v>
      </c>
      <c r="K549" s="5">
        <v>30.0</v>
      </c>
      <c r="N549" s="8">
        <v>45424.0</v>
      </c>
    </row>
    <row r="550">
      <c r="A550" s="5">
        <v>549.0</v>
      </c>
      <c r="B550" s="5" t="s">
        <v>1518</v>
      </c>
      <c r="C550" s="5" t="s">
        <v>20</v>
      </c>
      <c r="K550" s="5">
        <v>50.0</v>
      </c>
      <c r="N550" s="8">
        <v>44377.0</v>
      </c>
    </row>
    <row r="551">
      <c r="A551" s="5">
        <v>550.0</v>
      </c>
      <c r="B551" s="5" t="s">
        <v>1519</v>
      </c>
      <c r="C551" s="5" t="s">
        <v>20</v>
      </c>
      <c r="K551" s="5">
        <v>20.0</v>
      </c>
      <c r="N551" s="8">
        <v>43845.0</v>
      </c>
    </row>
    <row r="552">
      <c r="A552" s="5">
        <v>551.0</v>
      </c>
      <c r="B552" s="5" t="s">
        <v>1520</v>
      </c>
      <c r="C552" s="5" t="s">
        <v>20</v>
      </c>
      <c r="K552" s="5">
        <v>30.0</v>
      </c>
      <c r="N552" s="8">
        <v>44802.0</v>
      </c>
    </row>
    <row r="553">
      <c r="A553" s="5">
        <v>552.0</v>
      </c>
      <c r="B553" s="5" t="s">
        <v>1521</v>
      </c>
      <c r="C553" s="5" t="s">
        <v>20</v>
      </c>
      <c r="N553" s="8">
        <v>45951.0</v>
      </c>
    </row>
    <row r="554">
      <c r="A554" s="5">
        <v>553.0</v>
      </c>
      <c r="B554" s="5" t="s">
        <v>1522</v>
      </c>
      <c r="C554" s="5" t="s">
        <v>20</v>
      </c>
      <c r="N554" s="8">
        <v>44484.0</v>
      </c>
    </row>
    <row r="555">
      <c r="A555" s="5">
        <v>554.0</v>
      </c>
      <c r="B555" s="5" t="s">
        <v>1523</v>
      </c>
      <c r="C555" s="5" t="s">
        <v>20</v>
      </c>
      <c r="N555" s="8">
        <v>44884.0</v>
      </c>
    </row>
    <row r="556">
      <c r="A556" s="5">
        <v>555.0</v>
      </c>
      <c r="B556" s="5" t="s">
        <v>1525</v>
      </c>
      <c r="C556" s="5" t="s">
        <v>20</v>
      </c>
      <c r="N556" s="8">
        <v>42795.0</v>
      </c>
      <c r="O556" s="5" t="s">
        <v>24</v>
      </c>
      <c r="P556" s="5" t="s">
        <v>25</v>
      </c>
      <c r="S556" s="5" t="s">
        <v>38</v>
      </c>
    </row>
    <row r="557">
      <c r="A557" s="5">
        <v>556.0</v>
      </c>
      <c r="B557" s="5" t="s">
        <v>1526</v>
      </c>
      <c r="C557" s="5" t="s">
        <v>20</v>
      </c>
      <c r="K557" s="5">
        <v>600.0</v>
      </c>
      <c r="N557" s="8">
        <v>44681.0</v>
      </c>
    </row>
    <row r="558">
      <c r="A558" s="5">
        <v>557.0</v>
      </c>
      <c r="B558" s="5" t="s">
        <v>107</v>
      </c>
      <c r="C558" s="5" t="s">
        <v>20</v>
      </c>
      <c r="K558" s="5">
        <v>60.0</v>
      </c>
      <c r="N558" s="8">
        <v>45385.0</v>
      </c>
    </row>
    <row r="559">
      <c r="A559" s="5">
        <v>558.0</v>
      </c>
      <c r="B559" s="5" t="s">
        <v>1528</v>
      </c>
      <c r="C559" s="5" t="s">
        <v>20</v>
      </c>
      <c r="K559" s="5">
        <v>400.0</v>
      </c>
      <c r="N559" s="8">
        <v>44399.0</v>
      </c>
    </row>
    <row r="560">
      <c r="A560" s="5">
        <v>559.0</v>
      </c>
      <c r="B560" s="5" t="s">
        <v>1529</v>
      </c>
      <c r="C560" s="5" t="s">
        <v>20</v>
      </c>
      <c r="N560" s="8">
        <v>43027.0</v>
      </c>
    </row>
    <row r="561">
      <c r="A561" s="5">
        <v>560.0</v>
      </c>
      <c r="B561" s="5" t="s">
        <v>1530</v>
      </c>
      <c r="C561" s="5" t="s">
        <v>20</v>
      </c>
      <c r="N561" s="8">
        <v>43705.0</v>
      </c>
    </row>
    <row r="562">
      <c r="A562" s="5">
        <v>561.0</v>
      </c>
      <c r="B562" s="5" t="s">
        <v>1531</v>
      </c>
      <c r="C562" s="5" t="s">
        <v>20</v>
      </c>
      <c r="K562" s="5">
        <v>450.0</v>
      </c>
      <c r="N562" s="8">
        <v>44752.0</v>
      </c>
    </row>
    <row r="563">
      <c r="A563" s="5">
        <v>562.0</v>
      </c>
      <c r="B563" s="5" t="s">
        <v>1533</v>
      </c>
      <c r="C563" s="5" t="s">
        <v>20</v>
      </c>
      <c r="N563" s="8">
        <v>44418.0</v>
      </c>
    </row>
    <row r="564">
      <c r="A564" s="5">
        <v>563.0</v>
      </c>
      <c r="B564" s="5" t="s">
        <v>1534</v>
      </c>
      <c r="C564" s="5" t="s">
        <v>20</v>
      </c>
      <c r="K564" s="5">
        <v>600.0</v>
      </c>
      <c r="N564" s="8">
        <v>43864.0</v>
      </c>
    </row>
    <row r="565">
      <c r="A565" s="5">
        <v>564.0</v>
      </c>
      <c r="B565" s="5" t="s">
        <v>1535</v>
      </c>
      <c r="C565" s="5" t="s">
        <v>20</v>
      </c>
      <c r="K565" s="5">
        <v>10.0</v>
      </c>
      <c r="N565" s="8">
        <v>44603.0</v>
      </c>
    </row>
    <row r="566">
      <c r="A566" s="5">
        <v>565.0</v>
      </c>
      <c r="B566" s="5" t="s">
        <v>1536</v>
      </c>
      <c r="C566" s="5" t="s">
        <v>20</v>
      </c>
      <c r="K566" s="5">
        <v>40.0</v>
      </c>
      <c r="N566" s="8">
        <v>45001.0</v>
      </c>
    </row>
    <row r="567">
      <c r="A567" s="5">
        <v>566.0</v>
      </c>
      <c r="B567" s="5" t="s">
        <v>1537</v>
      </c>
      <c r="C567" s="5" t="s">
        <v>20</v>
      </c>
      <c r="N567" s="8">
        <v>42646.0</v>
      </c>
    </row>
    <row r="568">
      <c r="A568" s="5">
        <v>567.0</v>
      </c>
      <c r="B568" s="5" t="s">
        <v>1538</v>
      </c>
      <c r="C568" s="5" t="s">
        <v>20</v>
      </c>
      <c r="K568" s="5">
        <v>1600.0</v>
      </c>
      <c r="N568" s="8">
        <v>44894.0</v>
      </c>
    </row>
    <row r="569">
      <c r="A569" s="5">
        <v>568.0</v>
      </c>
      <c r="B569" s="5" t="s">
        <v>1539</v>
      </c>
      <c r="C569" s="5" t="s">
        <v>20</v>
      </c>
      <c r="K569" s="5">
        <v>100.0</v>
      </c>
      <c r="N569" s="8">
        <v>45649.0</v>
      </c>
    </row>
    <row r="570">
      <c r="A570" s="5">
        <v>569.0</v>
      </c>
      <c r="B570" s="5" t="s">
        <v>1541</v>
      </c>
      <c r="C570" s="5" t="s">
        <v>20</v>
      </c>
      <c r="K570" s="5">
        <v>20.0</v>
      </c>
      <c r="N570" s="8">
        <v>44043.0</v>
      </c>
    </row>
    <row r="571">
      <c r="A571" s="5">
        <v>570.0</v>
      </c>
      <c r="B571" s="5" t="s">
        <v>1542</v>
      </c>
      <c r="C571" s="5" t="s">
        <v>20</v>
      </c>
      <c r="K571" s="5">
        <v>70.0</v>
      </c>
      <c r="N571" s="8">
        <v>45141.0</v>
      </c>
    </row>
    <row r="572">
      <c r="A572" s="5">
        <v>571.0</v>
      </c>
      <c r="B572" s="5" t="s">
        <v>1543</v>
      </c>
      <c r="C572" s="5" t="s">
        <v>20</v>
      </c>
      <c r="K572" s="5">
        <v>10.0</v>
      </c>
      <c r="N572" s="8">
        <v>45035.0</v>
      </c>
    </row>
    <row r="573">
      <c r="A573" s="5">
        <v>572.0</v>
      </c>
      <c r="B573" s="5" t="s">
        <v>1544</v>
      </c>
      <c r="C573" s="5" t="s">
        <v>20</v>
      </c>
      <c r="K573" s="5">
        <v>150.0</v>
      </c>
      <c r="N573" s="8">
        <v>44249.0</v>
      </c>
    </row>
    <row r="574">
      <c r="A574" s="5">
        <v>573.0</v>
      </c>
      <c r="B574" s="5" t="s">
        <v>1545</v>
      </c>
      <c r="C574" s="5" t="s">
        <v>20</v>
      </c>
      <c r="N574" s="8">
        <v>42998.0</v>
      </c>
      <c r="O574" s="5" t="s">
        <v>24</v>
      </c>
      <c r="P574" s="5" t="s">
        <v>25</v>
      </c>
      <c r="S574" s="5" t="s">
        <v>38</v>
      </c>
    </row>
    <row r="575">
      <c r="A575" s="5">
        <v>574.0</v>
      </c>
      <c r="B575" s="5" t="s">
        <v>1546</v>
      </c>
      <c r="C575" s="5" t="s">
        <v>20</v>
      </c>
      <c r="K575" s="5">
        <v>150.0</v>
      </c>
      <c r="N575" s="8">
        <v>44665.0</v>
      </c>
    </row>
    <row r="576">
      <c r="A576" s="5">
        <v>575.0</v>
      </c>
      <c r="B576" s="5" t="s">
        <v>1547</v>
      </c>
      <c r="C576" s="5" t="s">
        <v>20</v>
      </c>
      <c r="D576" s="5">
        <v>43.0</v>
      </c>
      <c r="H576" s="5" t="s">
        <v>30</v>
      </c>
      <c r="I576" s="9">
        <v>46148.99408564815</v>
      </c>
      <c r="J576" s="5" t="s">
        <v>22</v>
      </c>
      <c r="L576" s="5">
        <v>26000.0</v>
      </c>
      <c r="M576" s="5">
        <v>27000.0</v>
      </c>
      <c r="N576" s="8">
        <v>44302.0</v>
      </c>
      <c r="O576" s="5" t="s">
        <v>100</v>
      </c>
      <c r="P576" s="5" t="s">
        <v>25</v>
      </c>
      <c r="S576" s="5" t="s">
        <v>38</v>
      </c>
    </row>
    <row r="577">
      <c r="A577" s="5">
        <v>576.0</v>
      </c>
      <c r="B577" s="5" t="s">
        <v>1548</v>
      </c>
      <c r="C577" s="5" t="s">
        <v>20</v>
      </c>
      <c r="N577" s="8">
        <v>42692.0</v>
      </c>
      <c r="O577" s="5" t="s">
        <v>100</v>
      </c>
      <c r="P577" s="5" t="s">
        <v>25</v>
      </c>
      <c r="S577" s="5" t="s">
        <v>118</v>
      </c>
    </row>
    <row r="578">
      <c r="A578" s="5">
        <v>577.0</v>
      </c>
      <c r="B578" s="5" t="s">
        <v>1549</v>
      </c>
      <c r="C578" s="5" t="s">
        <v>20</v>
      </c>
      <c r="K578" s="5">
        <v>50.0</v>
      </c>
      <c r="N578" s="8">
        <v>44002.0</v>
      </c>
    </row>
    <row r="579">
      <c r="A579" s="5">
        <v>578.0</v>
      </c>
      <c r="B579" s="5" t="s">
        <v>1551</v>
      </c>
      <c r="C579" s="5" t="s">
        <v>20</v>
      </c>
      <c r="K579" s="5">
        <v>100.0</v>
      </c>
      <c r="N579" s="8">
        <v>45057.0</v>
      </c>
    </row>
    <row r="580">
      <c r="A580" s="5">
        <v>579.0</v>
      </c>
      <c r="B580" s="5" t="s">
        <v>1552</v>
      </c>
      <c r="C580" s="5" t="s">
        <v>20</v>
      </c>
      <c r="N580" s="8">
        <v>44486.0</v>
      </c>
    </row>
    <row r="581">
      <c r="A581" s="5">
        <v>580.0</v>
      </c>
      <c r="B581" s="5" t="s">
        <v>1554</v>
      </c>
      <c r="C581" s="5" t="s">
        <v>20</v>
      </c>
      <c r="K581" s="5">
        <v>20.0</v>
      </c>
      <c r="N581" s="8">
        <v>44892.0</v>
      </c>
    </row>
    <row r="582">
      <c r="A582" s="5">
        <v>581.0</v>
      </c>
      <c r="B582" s="5" t="s">
        <v>108</v>
      </c>
      <c r="C582" s="5" t="s">
        <v>20</v>
      </c>
      <c r="K582" s="5">
        <v>30.0</v>
      </c>
      <c r="N582" s="8">
        <v>44552.0</v>
      </c>
    </row>
    <row r="583">
      <c r="A583" s="5">
        <v>582.0</v>
      </c>
      <c r="B583" s="5" t="s">
        <v>1556</v>
      </c>
      <c r="C583" s="5" t="s">
        <v>20</v>
      </c>
      <c r="K583" s="5">
        <v>100.0</v>
      </c>
      <c r="N583" s="8">
        <v>44768.0</v>
      </c>
    </row>
    <row r="584">
      <c r="A584" s="5">
        <v>583.0</v>
      </c>
      <c r="B584" s="5" t="s">
        <v>1558</v>
      </c>
      <c r="C584" s="5" t="s">
        <v>20</v>
      </c>
      <c r="K584" s="5">
        <v>100.0</v>
      </c>
      <c r="N584" s="8">
        <v>44502.0</v>
      </c>
    </row>
    <row r="585">
      <c r="A585" s="5">
        <v>584.0</v>
      </c>
      <c r="B585" s="5" t="s">
        <v>1559</v>
      </c>
      <c r="C585" s="5" t="s">
        <v>20</v>
      </c>
      <c r="K585" s="5">
        <v>800.0</v>
      </c>
      <c r="N585" s="8">
        <v>42723.0</v>
      </c>
    </row>
    <row r="586">
      <c r="A586" s="5">
        <v>585.0</v>
      </c>
      <c r="B586" s="5" t="s">
        <v>1561</v>
      </c>
      <c r="C586" s="5" t="s">
        <v>20</v>
      </c>
      <c r="N586" s="8">
        <v>44412.0</v>
      </c>
    </row>
    <row r="587">
      <c r="A587" s="5">
        <v>586.0</v>
      </c>
      <c r="B587" s="5" t="s">
        <v>1562</v>
      </c>
      <c r="C587" s="5" t="s">
        <v>20</v>
      </c>
      <c r="N587" s="8">
        <v>42486.0</v>
      </c>
    </row>
    <row r="588">
      <c r="A588" s="5">
        <v>587.0</v>
      </c>
      <c r="B588" s="5" t="s">
        <v>1563</v>
      </c>
      <c r="C588" s="5" t="s">
        <v>20</v>
      </c>
      <c r="N588" s="8">
        <v>42884.0</v>
      </c>
    </row>
    <row r="589">
      <c r="A589" s="5">
        <v>588.0</v>
      </c>
      <c r="B589" s="5" t="s">
        <v>1565</v>
      </c>
      <c r="C589" s="5" t="s">
        <v>20</v>
      </c>
      <c r="K589" s="5">
        <v>60.0</v>
      </c>
      <c r="N589" s="8">
        <v>45305.0</v>
      </c>
    </row>
    <row r="590">
      <c r="A590" s="5">
        <v>589.0</v>
      </c>
      <c r="B590" s="5" t="s">
        <v>111</v>
      </c>
      <c r="C590" s="5" t="s">
        <v>20</v>
      </c>
      <c r="K590" s="5">
        <v>10.0</v>
      </c>
      <c r="N590" s="8">
        <v>45308.0</v>
      </c>
    </row>
    <row r="591">
      <c r="A591" s="5">
        <v>590.0</v>
      </c>
      <c r="B591" s="5" t="s">
        <v>1566</v>
      </c>
      <c r="C591" s="5" t="s">
        <v>20</v>
      </c>
      <c r="N591" s="8">
        <v>44925.0</v>
      </c>
    </row>
    <row r="592">
      <c r="A592" s="5">
        <v>591.0</v>
      </c>
      <c r="B592" s="5" t="s">
        <v>113</v>
      </c>
      <c r="C592" s="5" t="s">
        <v>20</v>
      </c>
      <c r="K592" s="5">
        <v>10.0</v>
      </c>
      <c r="N592" s="8">
        <v>43935.0</v>
      </c>
    </row>
    <row r="593">
      <c r="A593" s="5">
        <v>592.0</v>
      </c>
      <c r="B593" s="5" t="s">
        <v>1567</v>
      </c>
      <c r="C593" s="5" t="s">
        <v>20</v>
      </c>
      <c r="K593" s="5">
        <v>50.0</v>
      </c>
      <c r="N593" s="8">
        <v>45048.0</v>
      </c>
    </row>
    <row r="594">
      <c r="A594" s="5">
        <v>593.0</v>
      </c>
      <c r="B594" s="5" t="s">
        <v>115</v>
      </c>
      <c r="C594" s="5" t="s">
        <v>20</v>
      </c>
      <c r="K594" s="5">
        <v>2100.0</v>
      </c>
      <c r="N594" s="8">
        <v>44405.0</v>
      </c>
    </row>
    <row r="595">
      <c r="A595" s="5">
        <v>594.0</v>
      </c>
      <c r="B595" s="5" t="s">
        <v>1568</v>
      </c>
      <c r="C595" s="5" t="s">
        <v>20</v>
      </c>
      <c r="D595" s="5">
        <v>0.0</v>
      </c>
      <c r="H595" s="5" t="s">
        <v>19</v>
      </c>
      <c r="I595" s="9">
        <v>46122.07436342593</v>
      </c>
      <c r="J595" s="5" t="s">
        <v>494</v>
      </c>
      <c r="L595" s="5">
        <v>136000.0</v>
      </c>
      <c r="M595" s="5">
        <v>140000.0</v>
      </c>
      <c r="N595" s="8">
        <v>43125.0</v>
      </c>
      <c r="O595" s="5" t="s">
        <v>184</v>
      </c>
      <c r="P595" s="5" t="s">
        <v>25</v>
      </c>
      <c r="S595" s="5" t="s">
        <v>29</v>
      </c>
    </row>
    <row r="596">
      <c r="A596" s="5">
        <v>595.0</v>
      </c>
      <c r="B596" s="5" t="s">
        <v>1570</v>
      </c>
      <c r="C596" s="5" t="s">
        <v>20</v>
      </c>
      <c r="K596" s="5">
        <v>50.0</v>
      </c>
      <c r="N596" s="8">
        <v>44206.0</v>
      </c>
    </row>
    <row r="597">
      <c r="A597" s="5">
        <v>596.0</v>
      </c>
      <c r="B597" s="5" t="s">
        <v>119</v>
      </c>
      <c r="C597" s="5" t="s">
        <v>20</v>
      </c>
      <c r="K597" s="5">
        <v>20.0</v>
      </c>
      <c r="N597" s="8">
        <v>44556.0</v>
      </c>
    </row>
    <row r="598">
      <c r="A598" s="5">
        <v>597.0</v>
      </c>
      <c r="B598" s="5" t="s">
        <v>1571</v>
      </c>
      <c r="C598" s="5" t="s">
        <v>20</v>
      </c>
      <c r="K598" s="5">
        <v>250.0</v>
      </c>
      <c r="N598" s="8">
        <v>44277.0</v>
      </c>
    </row>
    <row r="599">
      <c r="A599" s="5">
        <v>598.0</v>
      </c>
      <c r="B599" s="5" t="s">
        <v>121</v>
      </c>
      <c r="C599" s="5" t="s">
        <v>20</v>
      </c>
      <c r="K599" s="5">
        <v>200.0</v>
      </c>
      <c r="N599" s="8">
        <v>44799.0</v>
      </c>
    </row>
    <row r="600">
      <c r="A600" s="5">
        <v>599.0</v>
      </c>
      <c r="B600" s="5" t="s">
        <v>1573</v>
      </c>
      <c r="C600" s="5" t="s">
        <v>20</v>
      </c>
      <c r="D600" s="5">
        <v>42.0</v>
      </c>
      <c r="H600" s="5" t="s">
        <v>19</v>
      </c>
      <c r="I600" s="9">
        <v>46149.71333333333</v>
      </c>
      <c r="J600" s="5" t="s">
        <v>78</v>
      </c>
      <c r="L600" s="5">
        <v>137000.0</v>
      </c>
      <c r="M600" s="5">
        <v>140000.0</v>
      </c>
      <c r="N600" s="8">
        <v>42424.0</v>
      </c>
      <c r="O600" s="5" t="s">
        <v>80</v>
      </c>
      <c r="P600" s="5" t="s">
        <v>25</v>
      </c>
      <c r="S600" s="5" t="s">
        <v>38</v>
      </c>
    </row>
    <row r="601">
      <c r="A601" s="5">
        <v>600.0</v>
      </c>
      <c r="B601" s="5" t="s">
        <v>1574</v>
      </c>
      <c r="C601" s="5" t="s">
        <v>20</v>
      </c>
      <c r="K601" s="5">
        <v>10.0</v>
      </c>
      <c r="N601" s="8">
        <v>43939.0</v>
      </c>
    </row>
    <row r="602">
      <c r="A602" s="5">
        <v>601.0</v>
      </c>
      <c r="B602" s="5" t="s">
        <v>124</v>
      </c>
      <c r="C602" s="5" t="s">
        <v>20</v>
      </c>
      <c r="K602" s="5">
        <v>3600.0</v>
      </c>
      <c r="N602" s="8">
        <v>44889.0</v>
      </c>
    </row>
    <row r="603">
      <c r="A603" s="5">
        <v>602.0</v>
      </c>
      <c r="B603" s="5" t="s">
        <v>1575</v>
      </c>
      <c r="C603" s="5" t="s">
        <v>20</v>
      </c>
      <c r="D603" s="5">
        <v>30.0</v>
      </c>
      <c r="H603" s="5" t="s">
        <v>47</v>
      </c>
      <c r="I603" s="9">
        <v>46127.3325</v>
      </c>
      <c r="J603" s="5" t="s">
        <v>22</v>
      </c>
      <c r="L603" s="5">
        <v>16000.0</v>
      </c>
      <c r="M603" s="5">
        <v>17000.0</v>
      </c>
      <c r="N603" s="8">
        <v>43648.0</v>
      </c>
      <c r="O603" s="5" t="s">
        <v>80</v>
      </c>
      <c r="P603" s="5" t="s">
        <v>25</v>
      </c>
      <c r="S603" s="5" t="s">
        <v>29</v>
      </c>
    </row>
    <row r="604">
      <c r="A604" s="5">
        <v>603.0</v>
      </c>
      <c r="B604" s="5" t="s">
        <v>1576</v>
      </c>
      <c r="C604" s="5" t="s">
        <v>20</v>
      </c>
      <c r="N604" s="8">
        <v>43978.0</v>
      </c>
    </row>
    <row r="605">
      <c r="A605" s="5">
        <v>604.0</v>
      </c>
      <c r="B605" s="5" t="s">
        <v>1577</v>
      </c>
      <c r="C605" s="5" t="s">
        <v>20</v>
      </c>
      <c r="K605" s="5">
        <v>150.0</v>
      </c>
      <c r="N605" s="8">
        <v>45207.0</v>
      </c>
    </row>
    <row r="606">
      <c r="A606" s="5">
        <v>605.0</v>
      </c>
      <c r="B606" s="5" t="s">
        <v>1578</v>
      </c>
      <c r="C606" s="5" t="s">
        <v>20</v>
      </c>
      <c r="K606" s="5">
        <v>10000.0</v>
      </c>
      <c r="N606" s="8">
        <v>44765.0</v>
      </c>
    </row>
    <row r="607">
      <c r="A607" s="5">
        <v>606.0</v>
      </c>
      <c r="B607" s="5" t="s">
        <v>1580</v>
      </c>
      <c r="C607" s="5" t="s">
        <v>20</v>
      </c>
      <c r="K607" s="5">
        <v>3000.0</v>
      </c>
      <c r="N607" s="8">
        <v>44554.0</v>
      </c>
    </row>
    <row r="608">
      <c r="A608" s="5">
        <v>607.0</v>
      </c>
      <c r="B608" s="5" t="s">
        <v>1582</v>
      </c>
      <c r="C608" s="5" t="s">
        <v>20</v>
      </c>
      <c r="K608" s="5">
        <v>20.0</v>
      </c>
      <c r="N608" s="8">
        <v>44963.0</v>
      </c>
    </row>
    <row r="609">
      <c r="A609" s="5">
        <v>608.0</v>
      </c>
      <c r="B609" s="5" t="s">
        <v>1583</v>
      </c>
      <c r="C609" s="5" t="s">
        <v>20</v>
      </c>
      <c r="K609" s="5">
        <v>10.0</v>
      </c>
      <c r="N609" s="8">
        <v>43860.0</v>
      </c>
    </row>
    <row r="610">
      <c r="A610" s="5">
        <v>609.0</v>
      </c>
      <c r="B610" s="5" t="s">
        <v>1585</v>
      </c>
      <c r="C610" s="5" t="s">
        <v>20</v>
      </c>
      <c r="K610" s="5">
        <v>100.0</v>
      </c>
      <c r="N610" s="8">
        <v>44971.0</v>
      </c>
    </row>
    <row r="611">
      <c r="A611" s="5">
        <v>610.0</v>
      </c>
      <c r="B611" s="5" t="s">
        <v>1586</v>
      </c>
      <c r="C611" s="5" t="s">
        <v>20</v>
      </c>
      <c r="K611" s="5">
        <v>200.0</v>
      </c>
      <c r="N611" s="8">
        <v>43962.0</v>
      </c>
    </row>
    <row r="612">
      <c r="A612" s="5">
        <v>611.0</v>
      </c>
      <c r="B612" s="5" t="s">
        <v>1587</v>
      </c>
      <c r="C612" s="5" t="s">
        <v>20</v>
      </c>
      <c r="N612" s="8">
        <v>44394.0</v>
      </c>
    </row>
    <row r="613">
      <c r="A613" s="5">
        <v>612.0</v>
      </c>
      <c r="B613" s="5" t="s">
        <v>1588</v>
      </c>
      <c r="C613" s="5" t="s">
        <v>20</v>
      </c>
      <c r="N613" s="8">
        <v>44146.0</v>
      </c>
      <c r="O613" s="5" t="s">
        <v>184</v>
      </c>
      <c r="P613" s="5" t="s">
        <v>25</v>
      </c>
      <c r="S613" s="5" t="s">
        <v>38</v>
      </c>
    </row>
    <row r="614">
      <c r="A614" s="5">
        <v>613.0</v>
      </c>
      <c r="B614" s="5" t="s">
        <v>1589</v>
      </c>
      <c r="C614" s="5" t="s">
        <v>20</v>
      </c>
      <c r="N614" s="8">
        <v>45454.0</v>
      </c>
    </row>
    <row r="615">
      <c r="A615" s="5">
        <v>614.0</v>
      </c>
      <c r="B615" s="5" t="s">
        <v>1590</v>
      </c>
      <c r="C615" s="5" t="s">
        <v>20</v>
      </c>
      <c r="N615" s="8">
        <v>45515.0</v>
      </c>
    </row>
    <row r="616">
      <c r="A616" s="5">
        <v>615.0</v>
      </c>
      <c r="B616" s="5" t="s">
        <v>1592</v>
      </c>
      <c r="C616" s="5" t="s">
        <v>20</v>
      </c>
      <c r="K616" s="5">
        <v>10.0</v>
      </c>
      <c r="N616" s="8">
        <v>44215.0</v>
      </c>
    </row>
    <row r="617">
      <c r="A617" s="5">
        <v>616.0</v>
      </c>
      <c r="B617" s="5" t="s">
        <v>126</v>
      </c>
      <c r="C617" s="5" t="s">
        <v>20</v>
      </c>
      <c r="K617" s="5">
        <v>300.0</v>
      </c>
      <c r="N617" s="8">
        <v>44933.0</v>
      </c>
    </row>
    <row r="618">
      <c r="A618" s="5">
        <v>617.0</v>
      </c>
      <c r="B618" s="5" t="s">
        <v>1593</v>
      </c>
      <c r="C618" s="5" t="s">
        <v>20</v>
      </c>
      <c r="N618" s="8">
        <v>44142.0</v>
      </c>
    </row>
    <row r="619">
      <c r="A619" s="5">
        <v>618.0</v>
      </c>
      <c r="B619" s="5" t="s">
        <v>1594</v>
      </c>
      <c r="C619" s="5" t="s">
        <v>20</v>
      </c>
      <c r="K619" s="5">
        <v>8300.0</v>
      </c>
      <c r="N619" s="8">
        <v>44208.0</v>
      </c>
    </row>
    <row r="620">
      <c r="A620" s="5">
        <v>619.0</v>
      </c>
      <c r="B620" s="5" t="s">
        <v>1595</v>
      </c>
      <c r="C620" s="5" t="s">
        <v>20</v>
      </c>
      <c r="D620" s="5">
        <v>0.0</v>
      </c>
      <c r="G620" s="5">
        <v>1.04</v>
      </c>
      <c r="H620" s="5" t="s">
        <v>340</v>
      </c>
      <c r="I620" s="9">
        <v>46084.04023148148</v>
      </c>
      <c r="J620" s="5" t="s">
        <v>355</v>
      </c>
      <c r="L620" s="5">
        <v>13000.0</v>
      </c>
      <c r="M620" s="5">
        <v>18000.0</v>
      </c>
      <c r="N620" s="8">
        <v>42360.0</v>
      </c>
      <c r="O620" s="5" t="s">
        <v>24</v>
      </c>
      <c r="P620" s="5" t="s">
        <v>25</v>
      </c>
      <c r="S620" s="5" t="s">
        <v>1596</v>
      </c>
    </row>
    <row r="621">
      <c r="A621" s="5">
        <v>620.0</v>
      </c>
      <c r="B621" s="5" t="s">
        <v>1597</v>
      </c>
      <c r="C621" s="5" t="s">
        <v>20</v>
      </c>
      <c r="K621" s="5">
        <v>450.0</v>
      </c>
      <c r="N621" s="8">
        <v>44865.0</v>
      </c>
    </row>
    <row r="622">
      <c r="A622" s="5">
        <v>621.0</v>
      </c>
      <c r="B622" s="5" t="s">
        <v>1599</v>
      </c>
      <c r="C622" s="5" t="s">
        <v>20</v>
      </c>
      <c r="N622" s="8">
        <v>45283.0</v>
      </c>
    </row>
    <row r="623">
      <c r="A623" s="5">
        <v>622.0</v>
      </c>
      <c r="B623" s="5" t="s">
        <v>1600</v>
      </c>
      <c r="C623" s="5" t="s">
        <v>20</v>
      </c>
      <c r="N623" s="8">
        <v>45033.0</v>
      </c>
    </row>
    <row r="624">
      <c r="A624" s="5">
        <v>623.0</v>
      </c>
      <c r="B624" s="5" t="s">
        <v>1601</v>
      </c>
      <c r="C624" s="5" t="s">
        <v>20</v>
      </c>
      <c r="K624" s="5">
        <v>20.0</v>
      </c>
      <c r="N624" s="8">
        <v>44878.0</v>
      </c>
    </row>
    <row r="625">
      <c r="A625" s="5">
        <v>624.0</v>
      </c>
      <c r="B625" s="5" t="s">
        <v>1602</v>
      </c>
      <c r="C625" s="5" t="s">
        <v>20</v>
      </c>
      <c r="K625" s="5">
        <v>70.0</v>
      </c>
      <c r="N625" s="8">
        <v>45171.0</v>
      </c>
    </row>
    <row r="626">
      <c r="A626" s="5">
        <v>625.0</v>
      </c>
      <c r="B626" s="5" t="s">
        <v>1603</v>
      </c>
      <c r="C626" s="5" t="s">
        <v>20</v>
      </c>
      <c r="D626" s="5">
        <v>9.0</v>
      </c>
      <c r="H626" s="5" t="s">
        <v>1285</v>
      </c>
      <c r="I626" s="9">
        <v>46147.20915509259</v>
      </c>
      <c r="J626" s="5" t="s">
        <v>1604</v>
      </c>
      <c r="L626" s="5">
        <v>30.0</v>
      </c>
      <c r="M626" s="5">
        <v>30.0</v>
      </c>
      <c r="N626" s="8">
        <v>44004.0</v>
      </c>
      <c r="O626" s="5" t="s">
        <v>24</v>
      </c>
      <c r="P626" s="5" t="s">
        <v>25</v>
      </c>
      <c r="S626" s="5" t="s">
        <v>875</v>
      </c>
    </row>
    <row r="627">
      <c r="A627" s="5">
        <v>626.0</v>
      </c>
      <c r="B627" s="5" t="s">
        <v>1605</v>
      </c>
      <c r="C627" s="5" t="s">
        <v>20</v>
      </c>
      <c r="N627" s="8">
        <v>45309.0</v>
      </c>
    </row>
    <row r="628">
      <c r="A628" s="5">
        <v>627.0</v>
      </c>
      <c r="B628" s="5" t="s">
        <v>1607</v>
      </c>
      <c r="C628" s="5" t="s">
        <v>20</v>
      </c>
      <c r="N628" s="8">
        <v>44965.0</v>
      </c>
    </row>
    <row r="629">
      <c r="A629" s="5">
        <v>628.0</v>
      </c>
      <c r="B629" s="5" t="s">
        <v>1608</v>
      </c>
      <c r="C629" s="5" t="s">
        <v>20</v>
      </c>
      <c r="K629" s="5">
        <v>200.0</v>
      </c>
      <c r="N629" s="8">
        <v>44533.0</v>
      </c>
    </row>
    <row r="630">
      <c r="A630" s="5">
        <v>629.0</v>
      </c>
      <c r="B630" s="5" t="s">
        <v>128</v>
      </c>
      <c r="C630" s="5" t="s">
        <v>20</v>
      </c>
      <c r="K630" s="5">
        <v>70.0</v>
      </c>
      <c r="N630" s="8">
        <v>44317.0</v>
      </c>
    </row>
    <row r="631">
      <c r="A631" s="5">
        <v>630.0</v>
      </c>
      <c r="B631" s="5" t="s">
        <v>1611</v>
      </c>
      <c r="C631" s="5" t="s">
        <v>20</v>
      </c>
      <c r="N631" s="8">
        <v>42309.0</v>
      </c>
    </row>
    <row r="632">
      <c r="A632" s="5">
        <v>631.0</v>
      </c>
      <c r="B632" s="5" t="s">
        <v>1612</v>
      </c>
      <c r="C632" s="5" t="s">
        <v>20</v>
      </c>
      <c r="K632" s="5">
        <v>50.0</v>
      </c>
      <c r="N632" s="8">
        <v>44287.0</v>
      </c>
    </row>
    <row r="633">
      <c r="A633" s="5">
        <v>632.0</v>
      </c>
      <c r="B633" s="5" t="s">
        <v>1613</v>
      </c>
      <c r="C633" s="5" t="s">
        <v>20</v>
      </c>
      <c r="N633" s="8">
        <v>43874.0</v>
      </c>
    </row>
    <row r="634">
      <c r="A634" s="5">
        <v>633.0</v>
      </c>
      <c r="B634" s="5" t="s">
        <v>135</v>
      </c>
      <c r="C634" s="5" t="s">
        <v>20</v>
      </c>
      <c r="K634" s="5">
        <v>300.0</v>
      </c>
      <c r="N634" s="8">
        <v>44035.0</v>
      </c>
    </row>
    <row r="635">
      <c r="A635" s="5">
        <v>634.0</v>
      </c>
      <c r="B635" s="5" t="s">
        <v>1614</v>
      </c>
      <c r="C635" s="5" t="s">
        <v>20</v>
      </c>
      <c r="K635" s="5">
        <v>70.0</v>
      </c>
      <c r="N635" s="8">
        <v>44054.0</v>
      </c>
    </row>
    <row r="636">
      <c r="A636" s="5">
        <v>635.0</v>
      </c>
      <c r="B636" s="5" t="s">
        <v>132</v>
      </c>
      <c r="C636" s="5" t="s">
        <v>20</v>
      </c>
      <c r="K636" s="5">
        <v>50.0</v>
      </c>
      <c r="N636" s="8">
        <v>44700.0</v>
      </c>
    </row>
    <row r="637">
      <c r="A637" s="5">
        <v>636.0</v>
      </c>
      <c r="B637" s="5" t="s">
        <v>543</v>
      </c>
      <c r="C637" s="5" t="s">
        <v>20</v>
      </c>
      <c r="N637" s="8">
        <v>44160.0</v>
      </c>
    </row>
    <row r="638">
      <c r="A638" s="5">
        <v>637.0</v>
      </c>
      <c r="B638" s="5" t="s">
        <v>1615</v>
      </c>
      <c r="C638" s="5" t="s">
        <v>20</v>
      </c>
      <c r="K638" s="5">
        <v>50.0</v>
      </c>
      <c r="N638" s="8">
        <v>45650.0</v>
      </c>
    </row>
    <row r="639">
      <c r="A639" s="5">
        <v>638.0</v>
      </c>
      <c r="B639" s="5" t="s">
        <v>1616</v>
      </c>
      <c r="C639" s="5" t="s">
        <v>20</v>
      </c>
      <c r="N639" s="8">
        <v>44174.0</v>
      </c>
      <c r="O639" s="5" t="s">
        <v>184</v>
      </c>
      <c r="P639" s="5" t="s">
        <v>25</v>
      </c>
      <c r="S639" s="5" t="s">
        <v>38</v>
      </c>
    </row>
    <row r="640">
      <c r="A640" s="5">
        <v>639.0</v>
      </c>
      <c r="B640" s="5" t="s">
        <v>1618</v>
      </c>
      <c r="C640" s="5" t="s">
        <v>20</v>
      </c>
      <c r="N640" s="8">
        <v>43772.0</v>
      </c>
    </row>
    <row r="641">
      <c r="A641" s="5">
        <v>640.0</v>
      </c>
      <c r="B641" s="5" t="s">
        <v>1619</v>
      </c>
      <c r="C641" s="5" t="s">
        <v>20</v>
      </c>
      <c r="N641" s="8">
        <v>44406.0</v>
      </c>
    </row>
    <row r="642">
      <c r="A642" s="5">
        <v>641.0</v>
      </c>
      <c r="B642" s="5" t="s">
        <v>1620</v>
      </c>
      <c r="C642" s="5" t="s">
        <v>20</v>
      </c>
      <c r="N642" s="8">
        <v>45086.0</v>
      </c>
    </row>
    <row r="643">
      <c r="A643" s="5">
        <v>642.0</v>
      </c>
      <c r="B643" s="5" t="s">
        <v>1622</v>
      </c>
      <c r="C643" s="5" t="s">
        <v>20</v>
      </c>
      <c r="K643" s="5">
        <v>10.0</v>
      </c>
      <c r="N643" s="8">
        <v>44665.0</v>
      </c>
    </row>
    <row r="644">
      <c r="A644" s="5">
        <v>643.0</v>
      </c>
      <c r="B644" s="5" t="s">
        <v>1623</v>
      </c>
      <c r="C644" s="5" t="s">
        <v>20</v>
      </c>
      <c r="K644" s="5">
        <v>1100.0</v>
      </c>
      <c r="N644" s="8">
        <v>43964.0</v>
      </c>
    </row>
    <row r="645">
      <c r="A645" s="5">
        <v>644.0</v>
      </c>
      <c r="B645" s="5" t="s">
        <v>1624</v>
      </c>
      <c r="C645" s="5" t="s">
        <v>20</v>
      </c>
      <c r="N645" s="8">
        <v>44756.0</v>
      </c>
    </row>
    <row r="646">
      <c r="A646" s="5">
        <v>645.0</v>
      </c>
      <c r="B646" s="5" t="s">
        <v>1626</v>
      </c>
      <c r="C646" s="5" t="s">
        <v>20</v>
      </c>
      <c r="K646" s="5">
        <v>10.0</v>
      </c>
      <c r="N646" s="8">
        <v>44060.0</v>
      </c>
    </row>
    <row r="647">
      <c r="A647" s="5">
        <v>646.0</v>
      </c>
      <c r="B647" s="5" t="s">
        <v>1627</v>
      </c>
      <c r="C647" s="5" t="s">
        <v>20</v>
      </c>
      <c r="N647" s="8">
        <v>45921.0</v>
      </c>
    </row>
    <row r="648">
      <c r="A648" s="5">
        <v>647.0</v>
      </c>
      <c r="B648" s="5" t="s">
        <v>1628</v>
      </c>
      <c r="C648" s="5" t="s">
        <v>20</v>
      </c>
      <c r="K648" s="5">
        <v>10.0</v>
      </c>
      <c r="N648" s="8">
        <v>44827.0</v>
      </c>
    </row>
    <row r="649">
      <c r="A649" s="5">
        <v>648.0</v>
      </c>
      <c r="B649" s="5" t="s">
        <v>1629</v>
      </c>
      <c r="C649" s="5" t="s">
        <v>20</v>
      </c>
      <c r="K649" s="5">
        <v>5600.0</v>
      </c>
      <c r="N649" s="8">
        <v>44452.0</v>
      </c>
    </row>
    <row r="650">
      <c r="A650" s="5">
        <v>649.0</v>
      </c>
      <c r="B650" s="5" t="s">
        <v>1631</v>
      </c>
      <c r="C650" s="5" t="s">
        <v>20</v>
      </c>
      <c r="N650" s="8">
        <v>42497.0</v>
      </c>
    </row>
    <row r="651">
      <c r="A651" s="5">
        <v>650.0</v>
      </c>
      <c r="B651" s="5" t="s">
        <v>138</v>
      </c>
      <c r="C651" s="5" t="s">
        <v>20</v>
      </c>
      <c r="K651" s="5">
        <v>10.0</v>
      </c>
      <c r="N651" s="8">
        <v>44750.0</v>
      </c>
    </row>
    <row r="652">
      <c r="A652" s="5">
        <v>651.0</v>
      </c>
      <c r="B652" s="5" t="s">
        <v>1632</v>
      </c>
      <c r="C652" s="5" t="s">
        <v>20</v>
      </c>
      <c r="N652" s="8">
        <v>44488.0</v>
      </c>
    </row>
    <row r="653">
      <c r="A653" s="5">
        <v>652.0</v>
      </c>
      <c r="B653" s="5" t="s">
        <v>1634</v>
      </c>
      <c r="C653" s="5" t="s">
        <v>20</v>
      </c>
      <c r="N653" s="8">
        <v>44824.0</v>
      </c>
    </row>
    <row r="654">
      <c r="A654" s="5">
        <v>653.0</v>
      </c>
      <c r="B654" s="5" t="s">
        <v>1636</v>
      </c>
      <c r="C654" s="5" t="s">
        <v>20</v>
      </c>
      <c r="N654" s="8">
        <v>45011.0</v>
      </c>
    </row>
    <row r="655">
      <c r="A655" s="5">
        <v>654.0</v>
      </c>
      <c r="B655" s="5" t="s">
        <v>1637</v>
      </c>
      <c r="C655" s="5" t="s">
        <v>20</v>
      </c>
      <c r="K655" s="5">
        <v>2200.0</v>
      </c>
      <c r="N655" s="8">
        <v>44556.0</v>
      </c>
    </row>
    <row r="656">
      <c r="A656" s="5">
        <v>655.0</v>
      </c>
      <c r="B656" s="5" t="s">
        <v>1638</v>
      </c>
      <c r="C656" s="5" t="s">
        <v>20</v>
      </c>
      <c r="K656" s="5">
        <v>1700.0</v>
      </c>
      <c r="N656" s="8">
        <v>42285.0</v>
      </c>
    </row>
    <row r="657">
      <c r="A657" s="5">
        <v>656.0</v>
      </c>
      <c r="B657" s="5" t="s">
        <v>1641</v>
      </c>
      <c r="C657" s="5" t="s">
        <v>20</v>
      </c>
      <c r="N657" s="8">
        <v>44355.0</v>
      </c>
    </row>
    <row r="658">
      <c r="A658" s="5">
        <v>657.0</v>
      </c>
      <c r="B658" s="5" t="s">
        <v>1643</v>
      </c>
      <c r="C658" s="5" t="s">
        <v>20</v>
      </c>
      <c r="K658" s="5">
        <v>100.0</v>
      </c>
      <c r="N658" s="8">
        <v>44105.0</v>
      </c>
    </row>
    <row r="659">
      <c r="A659" s="5">
        <v>658.0</v>
      </c>
      <c r="B659" s="5" t="s">
        <v>1644</v>
      </c>
      <c r="C659" s="5" t="s">
        <v>20</v>
      </c>
      <c r="K659" s="5">
        <v>100.0</v>
      </c>
      <c r="N659" s="8">
        <v>43922.0</v>
      </c>
    </row>
    <row r="660">
      <c r="A660" s="5">
        <v>659.0</v>
      </c>
      <c r="B660" s="5" t="s">
        <v>1645</v>
      </c>
      <c r="C660" s="5" t="s">
        <v>20</v>
      </c>
      <c r="K660" s="5">
        <v>200.0</v>
      </c>
      <c r="N660" s="8">
        <v>44062.0</v>
      </c>
    </row>
    <row r="661">
      <c r="A661" s="5">
        <v>660.0</v>
      </c>
      <c r="B661" s="5" t="s">
        <v>1646</v>
      </c>
      <c r="C661" s="5" t="s">
        <v>20</v>
      </c>
      <c r="N661" s="8">
        <v>44519.0</v>
      </c>
    </row>
    <row r="662">
      <c r="A662" s="5">
        <v>661.0</v>
      </c>
      <c r="B662" s="5" t="s">
        <v>1647</v>
      </c>
      <c r="C662" s="5" t="s">
        <v>20</v>
      </c>
      <c r="K662" s="5">
        <v>90.0</v>
      </c>
      <c r="N662" s="8">
        <v>44499.0</v>
      </c>
    </row>
    <row r="663">
      <c r="A663" s="5">
        <v>662.0</v>
      </c>
      <c r="B663" s="5" t="s">
        <v>1648</v>
      </c>
      <c r="C663" s="5" t="s">
        <v>20</v>
      </c>
      <c r="K663" s="5">
        <v>10.0</v>
      </c>
      <c r="N663" s="8">
        <v>44591.0</v>
      </c>
    </row>
    <row r="664">
      <c r="A664" s="5">
        <v>663.0</v>
      </c>
      <c r="B664" s="5" t="s">
        <v>141</v>
      </c>
      <c r="C664" s="5" t="s">
        <v>20</v>
      </c>
      <c r="K664" s="5">
        <v>20.0</v>
      </c>
      <c r="N664" s="8">
        <v>44063.0</v>
      </c>
    </row>
    <row r="665">
      <c r="A665" s="5">
        <v>664.0</v>
      </c>
      <c r="B665" s="5" t="s">
        <v>1649</v>
      </c>
      <c r="C665" s="5" t="s">
        <v>20</v>
      </c>
      <c r="K665" s="5">
        <v>10.0</v>
      </c>
      <c r="N665" s="8">
        <v>44353.0</v>
      </c>
    </row>
    <row r="666">
      <c r="A666" s="5">
        <v>665.0</v>
      </c>
      <c r="B666" s="5" t="s">
        <v>1651</v>
      </c>
      <c r="C666" s="5" t="s">
        <v>20</v>
      </c>
      <c r="N666" s="8">
        <v>46051.0</v>
      </c>
    </row>
    <row r="667">
      <c r="A667" s="5">
        <v>666.0</v>
      </c>
      <c r="B667" s="5" t="s">
        <v>546</v>
      </c>
      <c r="C667" s="5" t="s">
        <v>20</v>
      </c>
      <c r="N667" s="8">
        <v>42779.0</v>
      </c>
    </row>
    <row r="668">
      <c r="A668" s="5">
        <v>667.0</v>
      </c>
      <c r="B668" s="5" t="s">
        <v>1652</v>
      </c>
      <c r="C668" s="5" t="s">
        <v>20</v>
      </c>
      <c r="K668" s="5">
        <v>150.0</v>
      </c>
      <c r="N668" s="8">
        <v>44447.0</v>
      </c>
    </row>
    <row r="669">
      <c r="A669" s="5">
        <v>668.0</v>
      </c>
      <c r="B669" s="5" t="s">
        <v>1653</v>
      </c>
      <c r="C669" s="5" t="s">
        <v>20</v>
      </c>
      <c r="N669" s="8">
        <v>46112.0</v>
      </c>
    </row>
    <row r="670">
      <c r="A670" s="5">
        <v>669.0</v>
      </c>
      <c r="B670" s="5" t="s">
        <v>1654</v>
      </c>
      <c r="C670" s="5" t="s">
        <v>20</v>
      </c>
      <c r="K670" s="5">
        <v>9100.0</v>
      </c>
      <c r="N670" s="8">
        <v>45285.0</v>
      </c>
    </row>
    <row r="671">
      <c r="A671" s="5">
        <v>670.0</v>
      </c>
      <c r="B671" s="5" t="s">
        <v>1656</v>
      </c>
      <c r="C671" s="5" t="s">
        <v>20</v>
      </c>
      <c r="N671" s="8">
        <v>42422.0</v>
      </c>
    </row>
    <row r="672">
      <c r="A672" s="5">
        <v>671.0</v>
      </c>
      <c r="B672" s="5" t="s">
        <v>1658</v>
      </c>
      <c r="C672" s="5" t="s">
        <v>20</v>
      </c>
      <c r="K672" s="5">
        <v>60.0</v>
      </c>
      <c r="N672" s="8">
        <v>44629.0</v>
      </c>
    </row>
    <row r="673">
      <c r="A673" s="5">
        <v>672.0</v>
      </c>
      <c r="B673" s="5" t="s">
        <v>1659</v>
      </c>
      <c r="C673" s="5" t="s">
        <v>20</v>
      </c>
      <c r="N673" s="8">
        <v>43659.0</v>
      </c>
      <c r="O673" s="5" t="s">
        <v>50</v>
      </c>
      <c r="P673" s="5" t="s">
        <v>25</v>
      </c>
      <c r="S673" s="5" t="s">
        <v>29</v>
      </c>
    </row>
    <row r="674">
      <c r="A674" s="5">
        <v>673.0</v>
      </c>
      <c r="B674" s="5" t="s">
        <v>1661</v>
      </c>
      <c r="C674" s="5" t="s">
        <v>20</v>
      </c>
      <c r="K674" s="5">
        <v>10.0</v>
      </c>
      <c r="N674" s="8">
        <v>44213.0</v>
      </c>
    </row>
    <row r="675">
      <c r="A675" s="5">
        <v>674.0</v>
      </c>
      <c r="B675" s="5" t="s">
        <v>1662</v>
      </c>
      <c r="C675" s="5" t="s">
        <v>20</v>
      </c>
      <c r="N675" s="8">
        <v>45442.0</v>
      </c>
    </row>
    <row r="676">
      <c r="A676" s="5">
        <v>675.0</v>
      </c>
      <c r="B676" s="5" t="s">
        <v>1663</v>
      </c>
      <c r="C676" s="5" t="s">
        <v>20</v>
      </c>
      <c r="K676" s="5">
        <v>700.0</v>
      </c>
      <c r="N676" s="8">
        <v>44093.0</v>
      </c>
    </row>
    <row r="677">
      <c r="A677" s="5">
        <v>676.0</v>
      </c>
      <c r="B677" s="5" t="s">
        <v>1664</v>
      </c>
      <c r="C677" s="5" t="s">
        <v>20</v>
      </c>
      <c r="K677" s="5">
        <v>150.0</v>
      </c>
      <c r="N677" s="8">
        <v>43901.0</v>
      </c>
    </row>
    <row r="678">
      <c r="A678" s="5">
        <v>677.0</v>
      </c>
      <c r="B678" s="5" t="s">
        <v>1666</v>
      </c>
      <c r="C678" s="5" t="s">
        <v>20</v>
      </c>
      <c r="N678" s="8">
        <v>43600.0</v>
      </c>
    </row>
    <row r="679">
      <c r="A679" s="5">
        <v>678.0</v>
      </c>
      <c r="B679" s="5" t="s">
        <v>1667</v>
      </c>
      <c r="C679" s="5" t="s">
        <v>20</v>
      </c>
      <c r="K679" s="5">
        <v>50.0</v>
      </c>
      <c r="N679" s="8">
        <v>44690.0</v>
      </c>
    </row>
    <row r="680">
      <c r="A680" s="5">
        <v>679.0</v>
      </c>
      <c r="B680" s="5" t="s">
        <v>1668</v>
      </c>
      <c r="C680" s="5" t="s">
        <v>20</v>
      </c>
      <c r="N680" s="8">
        <v>44055.0</v>
      </c>
    </row>
    <row r="681">
      <c r="A681" s="5">
        <v>680.0</v>
      </c>
      <c r="B681" s="5" t="s">
        <v>1669</v>
      </c>
      <c r="C681" s="5" t="s">
        <v>20</v>
      </c>
      <c r="K681" s="5">
        <v>100.0</v>
      </c>
      <c r="N681" s="8">
        <v>44677.0</v>
      </c>
    </row>
    <row r="682">
      <c r="A682" s="5">
        <v>681.0</v>
      </c>
      <c r="B682" s="5" t="s">
        <v>1670</v>
      </c>
      <c r="C682" s="5" t="s">
        <v>20</v>
      </c>
      <c r="K682" s="5">
        <v>50.0</v>
      </c>
      <c r="N682" s="8">
        <v>44565.0</v>
      </c>
    </row>
    <row r="683">
      <c r="A683" s="5">
        <v>682.0</v>
      </c>
      <c r="B683" s="5" t="s">
        <v>1671</v>
      </c>
      <c r="C683" s="5" t="s">
        <v>20</v>
      </c>
      <c r="K683" s="5">
        <v>600.0</v>
      </c>
      <c r="N683" s="8">
        <v>43937.0</v>
      </c>
    </row>
    <row r="684">
      <c r="A684" s="5">
        <v>683.0</v>
      </c>
      <c r="B684" s="5" t="s">
        <v>1672</v>
      </c>
      <c r="C684" s="5" t="s">
        <v>20</v>
      </c>
      <c r="N684" s="8">
        <v>44640.0</v>
      </c>
      <c r="O684" s="5" t="s">
        <v>100</v>
      </c>
      <c r="P684" s="5" t="s">
        <v>25</v>
      </c>
      <c r="S684" s="5" t="s">
        <v>29</v>
      </c>
    </row>
    <row r="685">
      <c r="A685" s="5">
        <v>684.0</v>
      </c>
      <c r="B685" s="5" t="s">
        <v>1673</v>
      </c>
      <c r="C685" s="5" t="s">
        <v>20</v>
      </c>
      <c r="K685" s="5">
        <v>20.0</v>
      </c>
      <c r="N685" s="8">
        <v>44949.0</v>
      </c>
    </row>
    <row r="686">
      <c r="A686" s="5">
        <v>685.0</v>
      </c>
      <c r="B686" s="5" t="s">
        <v>1674</v>
      </c>
      <c r="C686" s="5" t="s">
        <v>20</v>
      </c>
      <c r="K686" s="5">
        <v>50.0</v>
      </c>
      <c r="N686" s="8">
        <v>44349.0</v>
      </c>
    </row>
    <row r="687">
      <c r="A687" s="5">
        <v>686.0</v>
      </c>
      <c r="B687" s="5" t="s">
        <v>1675</v>
      </c>
      <c r="C687" s="5" t="s">
        <v>20</v>
      </c>
      <c r="K687" s="5">
        <v>10.0</v>
      </c>
      <c r="N687" s="8">
        <v>44284.0</v>
      </c>
    </row>
    <row r="688">
      <c r="A688" s="5">
        <v>687.0</v>
      </c>
      <c r="B688" s="5" t="s">
        <v>1676</v>
      </c>
      <c r="C688" s="5" t="s">
        <v>20</v>
      </c>
      <c r="N688" s="8">
        <v>44274.0</v>
      </c>
      <c r="O688" s="5" t="s">
        <v>24</v>
      </c>
      <c r="P688" s="5" t="s">
        <v>25</v>
      </c>
      <c r="S688" s="5" t="s">
        <v>38</v>
      </c>
    </row>
    <row r="689">
      <c r="A689" s="5">
        <v>688.0</v>
      </c>
      <c r="B689" s="5" t="s">
        <v>1677</v>
      </c>
      <c r="C689" s="5" t="s">
        <v>20</v>
      </c>
      <c r="K689" s="5">
        <v>200.0</v>
      </c>
      <c r="N689" s="8">
        <v>44591.0</v>
      </c>
    </row>
    <row r="690">
      <c r="A690" s="5">
        <v>689.0</v>
      </c>
      <c r="B690" s="5" t="s">
        <v>1678</v>
      </c>
      <c r="C690" s="5" t="s">
        <v>20</v>
      </c>
      <c r="K690" s="5">
        <v>3000.0</v>
      </c>
      <c r="N690" s="8">
        <v>45631.0</v>
      </c>
    </row>
    <row r="691">
      <c r="A691" s="5">
        <v>690.0</v>
      </c>
      <c r="B691" s="5" t="s">
        <v>1679</v>
      </c>
      <c r="C691" s="5" t="s">
        <v>20</v>
      </c>
      <c r="K691" s="5">
        <v>100.0</v>
      </c>
      <c r="N691" s="8">
        <v>43865.0</v>
      </c>
    </row>
    <row r="692">
      <c r="A692" s="5">
        <v>691.0</v>
      </c>
      <c r="B692" s="5" t="s">
        <v>1680</v>
      </c>
      <c r="C692" s="5" t="s">
        <v>20</v>
      </c>
      <c r="N692" s="8">
        <v>44669.0</v>
      </c>
    </row>
    <row r="693">
      <c r="A693" s="5">
        <v>692.0</v>
      </c>
      <c r="B693" s="5" t="s">
        <v>1682</v>
      </c>
      <c r="C693" s="5" t="s">
        <v>20</v>
      </c>
      <c r="N693" s="8">
        <v>43868.0</v>
      </c>
    </row>
    <row r="694">
      <c r="A694" s="5">
        <v>693.0</v>
      </c>
      <c r="B694" s="5" t="s">
        <v>1683</v>
      </c>
      <c r="C694" s="5" t="s">
        <v>20</v>
      </c>
      <c r="K694" s="5">
        <v>30.0</v>
      </c>
      <c r="N694" s="8">
        <v>44571.0</v>
      </c>
    </row>
    <row r="695">
      <c r="A695" s="5">
        <v>694.0</v>
      </c>
      <c r="B695" s="5" t="s">
        <v>146</v>
      </c>
      <c r="C695" s="5" t="s">
        <v>20</v>
      </c>
      <c r="K695" s="5">
        <v>60.0</v>
      </c>
      <c r="N695" s="8">
        <v>45310.0</v>
      </c>
    </row>
    <row r="696">
      <c r="A696" s="5">
        <v>695.0</v>
      </c>
      <c r="B696" s="5" t="s">
        <v>1684</v>
      </c>
      <c r="C696" s="5" t="s">
        <v>20</v>
      </c>
      <c r="K696" s="5">
        <v>900.0</v>
      </c>
      <c r="N696" s="8">
        <v>45747.0</v>
      </c>
    </row>
    <row r="697">
      <c r="A697" s="5">
        <v>696.0</v>
      </c>
      <c r="B697" s="5" t="s">
        <v>1685</v>
      </c>
      <c r="C697" s="5" t="s">
        <v>20</v>
      </c>
      <c r="K697" s="5">
        <v>1100.0</v>
      </c>
      <c r="N697" s="8">
        <v>45615.0</v>
      </c>
    </row>
    <row r="698">
      <c r="A698" s="5">
        <v>697.0</v>
      </c>
      <c r="B698" s="5" t="s">
        <v>1686</v>
      </c>
      <c r="C698" s="5" t="s">
        <v>20</v>
      </c>
      <c r="K698" s="5">
        <v>100.0</v>
      </c>
      <c r="N698" s="8">
        <v>43967.0</v>
      </c>
    </row>
    <row r="699">
      <c r="A699" s="5">
        <v>698.0</v>
      </c>
      <c r="B699" s="5" t="s">
        <v>1688</v>
      </c>
      <c r="C699" s="5" t="s">
        <v>20</v>
      </c>
      <c r="K699" s="5">
        <v>800.0</v>
      </c>
      <c r="N699" s="8">
        <v>44744.0</v>
      </c>
    </row>
    <row r="700">
      <c r="A700" s="5">
        <v>699.0</v>
      </c>
      <c r="B700" s="5" t="s">
        <v>1689</v>
      </c>
      <c r="C700" s="5" t="s">
        <v>20</v>
      </c>
      <c r="K700" s="5">
        <v>2200.0</v>
      </c>
      <c r="N700" s="8">
        <v>45380.0</v>
      </c>
    </row>
    <row r="701">
      <c r="A701" s="5">
        <v>700.0</v>
      </c>
      <c r="B701" s="5" t="s">
        <v>1691</v>
      </c>
      <c r="C701" s="5" t="s">
        <v>20</v>
      </c>
      <c r="K701" s="5">
        <v>700.0</v>
      </c>
      <c r="N701" s="8">
        <v>44565.0</v>
      </c>
    </row>
    <row r="702">
      <c r="A702" s="5">
        <v>701.0</v>
      </c>
      <c r="B702" s="5" t="s">
        <v>149</v>
      </c>
      <c r="C702" s="5" t="s">
        <v>20</v>
      </c>
      <c r="K702" s="5">
        <v>80.0</v>
      </c>
      <c r="N702" s="8">
        <v>44038.0</v>
      </c>
    </row>
    <row r="703">
      <c r="A703" s="5">
        <v>702.0</v>
      </c>
      <c r="B703" s="5" t="s">
        <v>1692</v>
      </c>
      <c r="C703" s="5" t="s">
        <v>20</v>
      </c>
      <c r="N703" s="8">
        <v>45158.0</v>
      </c>
    </row>
    <row r="704">
      <c r="A704" s="5">
        <v>703.0</v>
      </c>
      <c r="B704" s="5" t="s">
        <v>1693</v>
      </c>
      <c r="C704" s="5" t="s">
        <v>20</v>
      </c>
      <c r="N704" s="8">
        <v>42504.0</v>
      </c>
    </row>
    <row r="705">
      <c r="A705" s="5">
        <v>704.0</v>
      </c>
      <c r="B705" s="5" t="s">
        <v>1694</v>
      </c>
      <c r="C705" s="5" t="s">
        <v>20</v>
      </c>
      <c r="D705" s="5">
        <v>0.0</v>
      </c>
      <c r="H705" s="5" t="s">
        <v>449</v>
      </c>
      <c r="I705" s="9">
        <v>46082.69795138889</v>
      </c>
      <c r="J705" s="5" t="s">
        <v>243</v>
      </c>
      <c r="L705" s="5">
        <v>200.0</v>
      </c>
      <c r="M705" s="5">
        <v>200.0</v>
      </c>
      <c r="N705" s="8">
        <v>45212.0</v>
      </c>
      <c r="O705" s="5" t="s">
        <v>24</v>
      </c>
      <c r="P705" s="5" t="s">
        <v>25</v>
      </c>
      <c r="S705" s="5" t="s">
        <v>38</v>
      </c>
    </row>
    <row r="706">
      <c r="A706" s="5">
        <v>705.0</v>
      </c>
      <c r="B706" s="5" t="s">
        <v>1695</v>
      </c>
      <c r="C706" s="5" t="s">
        <v>20</v>
      </c>
      <c r="K706" s="5">
        <v>150.0</v>
      </c>
      <c r="N706" s="8">
        <v>44817.0</v>
      </c>
    </row>
    <row r="707">
      <c r="A707" s="5">
        <v>706.0</v>
      </c>
      <c r="B707" s="5" t="s">
        <v>1696</v>
      </c>
      <c r="C707" s="5" t="s">
        <v>20</v>
      </c>
      <c r="K707" s="5">
        <v>1000.0</v>
      </c>
      <c r="N707" s="8">
        <v>44267.0</v>
      </c>
    </row>
    <row r="708">
      <c r="A708" s="5">
        <v>707.0</v>
      </c>
      <c r="B708" s="5" t="s">
        <v>1698</v>
      </c>
      <c r="C708" s="5" t="s">
        <v>20</v>
      </c>
      <c r="K708" s="5">
        <v>6100.0</v>
      </c>
      <c r="N708" s="8">
        <v>44403.0</v>
      </c>
    </row>
    <row r="709">
      <c r="A709" s="5">
        <v>708.0</v>
      </c>
      <c r="B709" s="5" t="s">
        <v>1699</v>
      </c>
      <c r="C709" s="5" t="s">
        <v>20</v>
      </c>
      <c r="N709" s="8">
        <v>44239.0</v>
      </c>
    </row>
    <row r="710">
      <c r="A710" s="5">
        <v>709.0</v>
      </c>
      <c r="B710" s="5" t="s">
        <v>1701</v>
      </c>
      <c r="C710" s="5" t="s">
        <v>20</v>
      </c>
      <c r="N710" s="8">
        <v>44433.0</v>
      </c>
    </row>
    <row r="711">
      <c r="A711" s="5">
        <v>710.0</v>
      </c>
      <c r="B711" s="5" t="s">
        <v>1703</v>
      </c>
      <c r="C711" s="5" t="s">
        <v>20</v>
      </c>
      <c r="N711" s="8">
        <v>45070.0</v>
      </c>
    </row>
    <row r="712">
      <c r="A712" s="5">
        <v>711.0</v>
      </c>
      <c r="B712" s="5" t="s">
        <v>1705</v>
      </c>
      <c r="C712" s="5" t="s">
        <v>20</v>
      </c>
      <c r="K712" s="5">
        <v>10.0</v>
      </c>
      <c r="N712" s="8">
        <v>43941.0</v>
      </c>
    </row>
    <row r="713">
      <c r="A713" s="5">
        <v>712.0</v>
      </c>
      <c r="B713" s="5" t="s">
        <v>150</v>
      </c>
      <c r="C713" s="5" t="s">
        <v>20</v>
      </c>
      <c r="K713" s="5">
        <v>80.0</v>
      </c>
      <c r="N713" s="8">
        <v>44448.0</v>
      </c>
    </row>
    <row r="714">
      <c r="A714" s="5">
        <v>713.0</v>
      </c>
      <c r="B714" s="5" t="s">
        <v>1707</v>
      </c>
      <c r="C714" s="5" t="s">
        <v>20</v>
      </c>
      <c r="N714" s="8">
        <v>43872.0</v>
      </c>
      <c r="O714" s="5" t="s">
        <v>129</v>
      </c>
      <c r="P714" s="5" t="s">
        <v>25</v>
      </c>
      <c r="S714" s="5" t="s">
        <v>157</v>
      </c>
    </row>
    <row r="715">
      <c r="A715" s="5">
        <v>714.0</v>
      </c>
      <c r="B715" s="5" t="s">
        <v>1708</v>
      </c>
      <c r="C715" s="5" t="s">
        <v>20</v>
      </c>
      <c r="K715" s="5">
        <v>20.0</v>
      </c>
      <c r="N715" s="8">
        <v>44747.0</v>
      </c>
    </row>
    <row r="716">
      <c r="A716" s="5">
        <v>715.0</v>
      </c>
      <c r="B716" s="5" t="s">
        <v>1709</v>
      </c>
      <c r="C716" s="5" t="s">
        <v>20</v>
      </c>
      <c r="K716" s="5">
        <v>2400.0</v>
      </c>
      <c r="N716" s="8">
        <v>45292.0</v>
      </c>
    </row>
    <row r="717">
      <c r="A717" s="5">
        <v>716.0</v>
      </c>
      <c r="B717" s="5" t="s">
        <v>1710</v>
      </c>
      <c r="C717" s="5" t="s">
        <v>20</v>
      </c>
      <c r="N717" s="8">
        <v>44447.0</v>
      </c>
    </row>
    <row r="718">
      <c r="A718" s="5">
        <v>717.0</v>
      </c>
      <c r="B718" s="5" t="s">
        <v>1711</v>
      </c>
      <c r="C718" s="5" t="s">
        <v>20</v>
      </c>
      <c r="N718" s="8">
        <v>42693.0</v>
      </c>
    </row>
    <row r="719">
      <c r="A719" s="5">
        <v>718.0</v>
      </c>
      <c r="B719" s="5" t="s">
        <v>1712</v>
      </c>
      <c r="C719" s="5" t="s">
        <v>20</v>
      </c>
      <c r="N719" s="8">
        <v>45675.0</v>
      </c>
    </row>
    <row r="720">
      <c r="A720" s="5">
        <v>719.0</v>
      </c>
      <c r="B720" s="5" t="s">
        <v>1714</v>
      </c>
      <c r="C720" s="5" t="s">
        <v>20</v>
      </c>
      <c r="K720" s="5">
        <v>350.0</v>
      </c>
      <c r="N720" s="8">
        <v>44263.0</v>
      </c>
    </row>
    <row r="721">
      <c r="A721" s="5">
        <v>720.0</v>
      </c>
      <c r="B721" s="5" t="s">
        <v>1715</v>
      </c>
      <c r="C721" s="5" t="s">
        <v>20</v>
      </c>
      <c r="K721" s="5">
        <v>10.0</v>
      </c>
      <c r="N721" s="8">
        <v>44207.0</v>
      </c>
    </row>
    <row r="722">
      <c r="A722" s="5">
        <v>721.0</v>
      </c>
      <c r="B722" s="5" t="s">
        <v>1716</v>
      </c>
      <c r="C722" s="5" t="s">
        <v>20</v>
      </c>
      <c r="K722" s="5">
        <v>70.0</v>
      </c>
      <c r="N722" s="8">
        <v>45095.0</v>
      </c>
    </row>
    <row r="723">
      <c r="A723" s="5">
        <v>722.0</v>
      </c>
      <c r="B723" s="5" t="s">
        <v>1717</v>
      </c>
      <c r="C723" s="5" t="s">
        <v>20</v>
      </c>
      <c r="K723" s="5">
        <v>200.0</v>
      </c>
      <c r="N723" s="8">
        <v>45802.0</v>
      </c>
    </row>
    <row r="724">
      <c r="A724" s="5">
        <v>723.0</v>
      </c>
      <c r="B724" s="5" t="s">
        <v>1718</v>
      </c>
      <c r="C724" s="5" t="s">
        <v>20</v>
      </c>
      <c r="K724" s="5">
        <v>20.0</v>
      </c>
      <c r="N724" s="8">
        <v>44024.0</v>
      </c>
    </row>
    <row r="725">
      <c r="A725" s="5">
        <v>724.0</v>
      </c>
      <c r="B725" s="5" t="s">
        <v>1719</v>
      </c>
      <c r="C725" s="5" t="s">
        <v>20</v>
      </c>
      <c r="K725" s="5">
        <v>150.0</v>
      </c>
      <c r="N725" s="8">
        <v>44552.0</v>
      </c>
    </row>
    <row r="726">
      <c r="A726" s="5">
        <v>725.0</v>
      </c>
      <c r="B726" s="5" t="s">
        <v>1720</v>
      </c>
      <c r="C726" s="5" t="s">
        <v>20</v>
      </c>
      <c r="K726" s="5">
        <v>100.0</v>
      </c>
      <c r="N726" s="8">
        <v>44934.0</v>
      </c>
    </row>
    <row r="727">
      <c r="A727" s="5">
        <v>726.0</v>
      </c>
      <c r="B727" s="5" t="s">
        <v>153</v>
      </c>
      <c r="C727" s="5" t="s">
        <v>20</v>
      </c>
      <c r="K727" s="5">
        <v>40.0</v>
      </c>
      <c r="N727" s="8">
        <v>44757.0</v>
      </c>
    </row>
    <row r="728">
      <c r="A728" s="5">
        <v>727.0</v>
      </c>
      <c r="B728" s="5" t="s">
        <v>1721</v>
      </c>
      <c r="C728" s="5" t="s">
        <v>20</v>
      </c>
      <c r="K728" s="5">
        <v>30.0</v>
      </c>
      <c r="N728" s="8">
        <v>45153.0</v>
      </c>
    </row>
    <row r="729">
      <c r="A729" s="5">
        <v>728.0</v>
      </c>
      <c r="B729" s="5" t="s">
        <v>1722</v>
      </c>
      <c r="C729" s="5" t="s">
        <v>20</v>
      </c>
      <c r="N729" s="8">
        <v>43753.0</v>
      </c>
    </row>
    <row r="730">
      <c r="A730" s="5">
        <v>729.0</v>
      </c>
      <c r="B730" s="5" t="s">
        <v>1723</v>
      </c>
      <c r="C730" s="5" t="s">
        <v>20</v>
      </c>
      <c r="N730" s="8">
        <v>42666.0</v>
      </c>
    </row>
    <row r="731">
      <c r="A731" s="5">
        <v>730.0</v>
      </c>
      <c r="B731" s="5" t="s">
        <v>1725</v>
      </c>
      <c r="C731" s="5" t="s">
        <v>20</v>
      </c>
      <c r="K731" s="5">
        <v>100.0</v>
      </c>
      <c r="N731" s="8">
        <v>44919.0</v>
      </c>
    </row>
    <row r="732">
      <c r="A732" s="5">
        <v>731.0</v>
      </c>
      <c r="B732" s="5" t="s">
        <v>1726</v>
      </c>
      <c r="C732" s="5" t="s">
        <v>20</v>
      </c>
      <c r="K732" s="5">
        <v>200.0</v>
      </c>
      <c r="N732" s="8">
        <v>45596.0</v>
      </c>
    </row>
    <row r="733">
      <c r="A733" s="5">
        <v>732.0</v>
      </c>
      <c r="B733" s="5" t="s">
        <v>1727</v>
      </c>
      <c r="C733" s="5" t="s">
        <v>20</v>
      </c>
      <c r="K733" s="5">
        <v>400.0</v>
      </c>
      <c r="N733" s="8">
        <v>44098.0</v>
      </c>
    </row>
    <row r="734">
      <c r="A734" s="5">
        <v>733.0</v>
      </c>
      <c r="B734" s="5" t="s">
        <v>1728</v>
      </c>
      <c r="C734" s="5" t="s">
        <v>20</v>
      </c>
      <c r="N734" s="8">
        <v>42968.0</v>
      </c>
    </row>
    <row r="735">
      <c r="A735" s="5">
        <v>734.0</v>
      </c>
      <c r="B735" s="5" t="s">
        <v>1729</v>
      </c>
      <c r="C735" s="5" t="s">
        <v>20</v>
      </c>
      <c r="K735" s="5">
        <v>70.0</v>
      </c>
      <c r="N735" s="8">
        <v>44420.0</v>
      </c>
    </row>
    <row r="736">
      <c r="A736" s="5">
        <v>735.0</v>
      </c>
      <c r="B736" s="5" t="s">
        <v>1730</v>
      </c>
      <c r="C736" s="5" t="s">
        <v>20</v>
      </c>
      <c r="D736" s="5">
        <v>10.0</v>
      </c>
      <c r="H736" s="5" t="s">
        <v>457</v>
      </c>
      <c r="I736" s="9">
        <v>46123.14511574074</v>
      </c>
      <c r="J736" s="5" t="s">
        <v>591</v>
      </c>
      <c r="L736" s="5">
        <v>30.0</v>
      </c>
      <c r="M736" s="5">
        <v>30.0</v>
      </c>
      <c r="N736" s="8">
        <v>44080.0</v>
      </c>
      <c r="O736" s="5" t="s">
        <v>24</v>
      </c>
      <c r="P736" s="5" t="s">
        <v>25</v>
      </c>
      <c r="S736" s="5" t="s">
        <v>118</v>
      </c>
    </row>
    <row r="737">
      <c r="A737" s="5">
        <v>736.0</v>
      </c>
      <c r="B737" s="5" t="s">
        <v>1731</v>
      </c>
      <c r="C737" s="5" t="s">
        <v>20</v>
      </c>
      <c r="N737" s="8">
        <v>43848.0</v>
      </c>
    </row>
    <row r="738">
      <c r="A738" s="5">
        <v>737.0</v>
      </c>
      <c r="B738" s="5" t="s">
        <v>1733</v>
      </c>
      <c r="C738" s="5" t="s">
        <v>20</v>
      </c>
      <c r="K738" s="5">
        <v>20.0</v>
      </c>
      <c r="N738" s="8">
        <v>44415.0</v>
      </c>
    </row>
    <row r="739">
      <c r="A739" s="5">
        <v>738.0</v>
      </c>
      <c r="B739" s="5" t="s">
        <v>1734</v>
      </c>
      <c r="C739" s="5" t="s">
        <v>20</v>
      </c>
      <c r="N739" s="8">
        <v>44519.0</v>
      </c>
    </row>
    <row r="740">
      <c r="A740" s="5">
        <v>739.0</v>
      </c>
      <c r="B740" s="5" t="s">
        <v>1735</v>
      </c>
      <c r="C740" s="5" t="s">
        <v>20</v>
      </c>
      <c r="K740" s="5">
        <v>100.0</v>
      </c>
      <c r="N740" s="8">
        <v>43975.0</v>
      </c>
    </row>
    <row r="741">
      <c r="A741" s="5">
        <v>740.0</v>
      </c>
      <c r="B741" s="5" t="s">
        <v>1736</v>
      </c>
      <c r="C741" s="5" t="s">
        <v>20</v>
      </c>
      <c r="K741" s="5">
        <v>30.0</v>
      </c>
      <c r="N741" s="8">
        <v>44898.0</v>
      </c>
    </row>
    <row r="742">
      <c r="A742" s="5">
        <v>741.0</v>
      </c>
      <c r="B742" s="5" t="s">
        <v>154</v>
      </c>
      <c r="C742" s="5" t="s">
        <v>20</v>
      </c>
      <c r="K742" s="5">
        <v>40.0</v>
      </c>
      <c r="N742" s="8">
        <v>43991.0</v>
      </c>
    </row>
    <row r="743">
      <c r="A743" s="5">
        <v>742.0</v>
      </c>
      <c r="B743" s="5" t="s">
        <v>1737</v>
      </c>
      <c r="C743" s="5" t="s">
        <v>20</v>
      </c>
      <c r="N743" s="8">
        <v>45061.0</v>
      </c>
    </row>
    <row r="744">
      <c r="A744" s="5">
        <v>743.0</v>
      </c>
      <c r="B744" s="5" t="s">
        <v>1738</v>
      </c>
      <c r="C744" s="5" t="s">
        <v>20</v>
      </c>
      <c r="K744" s="5">
        <v>20.0</v>
      </c>
      <c r="N744" s="8">
        <v>44542.0</v>
      </c>
    </row>
    <row r="745">
      <c r="A745" s="5">
        <v>744.0</v>
      </c>
      <c r="B745" s="5" t="s">
        <v>159</v>
      </c>
      <c r="C745" s="5" t="s">
        <v>20</v>
      </c>
      <c r="K745" s="5">
        <v>1200.0</v>
      </c>
      <c r="N745" s="8">
        <v>43932.0</v>
      </c>
    </row>
    <row r="746">
      <c r="A746" s="5">
        <v>745.0</v>
      </c>
      <c r="B746" s="5" t="s">
        <v>1739</v>
      </c>
      <c r="C746" s="5" t="s">
        <v>20</v>
      </c>
      <c r="K746" s="5">
        <v>900.0</v>
      </c>
      <c r="N746" s="8">
        <v>44539.0</v>
      </c>
    </row>
    <row r="747">
      <c r="A747" s="5">
        <v>746.0</v>
      </c>
      <c r="B747" s="5" t="s">
        <v>1740</v>
      </c>
      <c r="C747" s="5" t="s">
        <v>20</v>
      </c>
      <c r="N747" s="8">
        <v>43217.0</v>
      </c>
    </row>
    <row r="748">
      <c r="A748" s="5">
        <v>747.0</v>
      </c>
      <c r="B748" s="5" t="s">
        <v>161</v>
      </c>
      <c r="C748" s="5" t="s">
        <v>20</v>
      </c>
      <c r="N748" s="8">
        <v>44855.0</v>
      </c>
    </row>
    <row r="749">
      <c r="A749" s="5">
        <v>748.0</v>
      </c>
      <c r="B749" s="5" t="s">
        <v>1743</v>
      </c>
      <c r="C749" s="5" t="s">
        <v>20</v>
      </c>
      <c r="N749" s="8">
        <v>44313.0</v>
      </c>
    </row>
    <row r="750">
      <c r="A750" s="5">
        <v>749.0</v>
      </c>
      <c r="B750" s="5" t="s">
        <v>1744</v>
      </c>
      <c r="C750" s="5" t="s">
        <v>20</v>
      </c>
      <c r="N750" s="8">
        <v>43113.0</v>
      </c>
    </row>
    <row r="751">
      <c r="A751" s="5">
        <v>750.0</v>
      </c>
      <c r="B751" s="5" t="s">
        <v>162</v>
      </c>
      <c r="C751" s="5" t="s">
        <v>20</v>
      </c>
      <c r="K751" s="5">
        <v>20.0</v>
      </c>
      <c r="N751" s="8">
        <v>45289.0</v>
      </c>
    </row>
    <row r="752">
      <c r="A752" s="5">
        <v>751.0</v>
      </c>
      <c r="B752" s="5" t="s">
        <v>1745</v>
      </c>
      <c r="C752" s="5" t="s">
        <v>20</v>
      </c>
      <c r="K752" s="5">
        <v>20.0</v>
      </c>
      <c r="N752" s="8">
        <v>44239.0</v>
      </c>
    </row>
    <row r="753">
      <c r="A753" s="5">
        <v>752.0</v>
      </c>
      <c r="B753" s="5" t="s">
        <v>1747</v>
      </c>
      <c r="C753" s="5" t="s">
        <v>20</v>
      </c>
      <c r="N753" s="8">
        <v>44319.0</v>
      </c>
    </row>
    <row r="754">
      <c r="A754" s="5">
        <v>753.0</v>
      </c>
      <c r="B754" s="5" t="s">
        <v>163</v>
      </c>
      <c r="C754" s="5" t="s">
        <v>20</v>
      </c>
      <c r="K754" s="5">
        <v>60.0</v>
      </c>
      <c r="N754" s="8">
        <v>45035.0</v>
      </c>
    </row>
    <row r="755">
      <c r="A755" s="5">
        <v>754.0</v>
      </c>
      <c r="B755" s="5" t="s">
        <v>164</v>
      </c>
      <c r="C755" s="5" t="s">
        <v>20</v>
      </c>
      <c r="K755" s="5">
        <v>10.0</v>
      </c>
      <c r="N755" s="8">
        <v>44429.0</v>
      </c>
    </row>
    <row r="756">
      <c r="A756" s="5">
        <v>755.0</v>
      </c>
      <c r="B756" s="5" t="s">
        <v>1749</v>
      </c>
      <c r="C756" s="5" t="s">
        <v>20</v>
      </c>
      <c r="K756" s="5">
        <v>1200.0</v>
      </c>
      <c r="N756" s="8">
        <v>44900.0</v>
      </c>
    </row>
    <row r="757">
      <c r="A757" s="5">
        <v>756.0</v>
      </c>
      <c r="B757" s="5" t="s">
        <v>1750</v>
      </c>
      <c r="C757" s="5" t="s">
        <v>20</v>
      </c>
      <c r="N757" s="8">
        <v>42308.0</v>
      </c>
    </row>
    <row r="758">
      <c r="A758" s="5">
        <v>757.0</v>
      </c>
      <c r="B758" s="5" t="s">
        <v>1751</v>
      </c>
      <c r="C758" s="5" t="s">
        <v>20</v>
      </c>
      <c r="N758" s="8">
        <v>45551.0</v>
      </c>
    </row>
    <row r="759">
      <c r="A759" s="5">
        <v>758.0</v>
      </c>
      <c r="B759" s="5" t="s">
        <v>165</v>
      </c>
      <c r="C759" s="5" t="s">
        <v>20</v>
      </c>
      <c r="K759" s="5">
        <v>1200.0</v>
      </c>
      <c r="N759" s="8">
        <v>45691.0</v>
      </c>
    </row>
    <row r="760">
      <c r="A760" s="5">
        <v>759.0</v>
      </c>
      <c r="B760" s="5" t="s">
        <v>1752</v>
      </c>
      <c r="C760" s="5" t="s">
        <v>20</v>
      </c>
      <c r="N760" s="8">
        <v>43137.0</v>
      </c>
    </row>
    <row r="761">
      <c r="A761" s="5">
        <v>760.0</v>
      </c>
      <c r="B761" s="5" t="s">
        <v>1753</v>
      </c>
      <c r="C761" s="5" t="s">
        <v>20</v>
      </c>
      <c r="K761" s="5">
        <v>150.0</v>
      </c>
      <c r="N761" s="8">
        <v>44197.0</v>
      </c>
    </row>
    <row r="762">
      <c r="A762" s="5">
        <v>761.0</v>
      </c>
      <c r="B762" s="5" t="s">
        <v>1755</v>
      </c>
      <c r="C762" s="5" t="s">
        <v>20</v>
      </c>
      <c r="N762" s="8">
        <v>44677.0</v>
      </c>
    </row>
    <row r="763">
      <c r="A763" s="5">
        <v>762.0</v>
      </c>
      <c r="B763" s="5" t="s">
        <v>1756</v>
      </c>
      <c r="C763" s="5" t="s">
        <v>20</v>
      </c>
      <c r="K763" s="5">
        <v>250.0</v>
      </c>
      <c r="N763" s="8">
        <v>44685.0</v>
      </c>
    </row>
    <row r="764">
      <c r="A764" s="5">
        <v>763.0</v>
      </c>
      <c r="B764" s="5" t="s">
        <v>1757</v>
      </c>
      <c r="C764" s="5" t="s">
        <v>20</v>
      </c>
      <c r="K764" s="5">
        <v>10.0</v>
      </c>
      <c r="N764" s="8">
        <v>45168.0</v>
      </c>
    </row>
    <row r="765">
      <c r="A765" s="5">
        <v>764.0</v>
      </c>
      <c r="B765" s="5" t="s">
        <v>1758</v>
      </c>
      <c r="C765" s="5" t="s">
        <v>20</v>
      </c>
      <c r="K765" s="5">
        <v>10.0</v>
      </c>
      <c r="N765" s="8">
        <v>44681.0</v>
      </c>
    </row>
    <row r="766">
      <c r="A766" s="5">
        <v>765.0</v>
      </c>
      <c r="B766" s="5" t="s">
        <v>1759</v>
      </c>
      <c r="C766" s="5" t="s">
        <v>20</v>
      </c>
      <c r="K766" s="5">
        <v>1800.0</v>
      </c>
      <c r="N766" s="8">
        <v>43859.0</v>
      </c>
    </row>
    <row r="767">
      <c r="A767" s="5">
        <v>766.0</v>
      </c>
      <c r="B767" s="5" t="s">
        <v>1760</v>
      </c>
      <c r="C767" s="5" t="s">
        <v>20</v>
      </c>
      <c r="K767" s="5">
        <v>10.0</v>
      </c>
      <c r="N767" s="8">
        <v>43860.0</v>
      </c>
    </row>
    <row r="768">
      <c r="A768" s="5">
        <v>767.0</v>
      </c>
      <c r="B768" s="5" t="s">
        <v>1761</v>
      </c>
      <c r="C768" s="5" t="s">
        <v>20</v>
      </c>
      <c r="N768" s="8">
        <v>42405.0</v>
      </c>
    </row>
    <row r="769">
      <c r="A769" s="5">
        <v>768.0</v>
      </c>
      <c r="B769" s="5" t="s">
        <v>1764</v>
      </c>
      <c r="C769" s="5" t="s">
        <v>20</v>
      </c>
      <c r="N769" s="8">
        <v>43791.0</v>
      </c>
    </row>
    <row r="770">
      <c r="A770" s="5">
        <v>769.0</v>
      </c>
      <c r="B770" s="5" t="s">
        <v>168</v>
      </c>
      <c r="C770" s="5" t="s">
        <v>20</v>
      </c>
      <c r="K770" s="5">
        <v>30.0</v>
      </c>
      <c r="N770" s="8">
        <v>44944.0</v>
      </c>
    </row>
    <row r="771">
      <c r="A771" s="5">
        <v>770.0</v>
      </c>
      <c r="B771" s="5" t="s">
        <v>170</v>
      </c>
      <c r="C771" s="5" t="s">
        <v>20</v>
      </c>
      <c r="K771" s="5">
        <v>80.0</v>
      </c>
      <c r="N771" s="8">
        <v>44476.0</v>
      </c>
    </row>
    <row r="772">
      <c r="A772" s="5">
        <v>771.0</v>
      </c>
      <c r="B772" s="5" t="s">
        <v>1766</v>
      </c>
      <c r="C772" s="5" t="s">
        <v>20</v>
      </c>
      <c r="K772" s="5">
        <v>50.0</v>
      </c>
      <c r="N772" s="8">
        <v>45339.0</v>
      </c>
    </row>
    <row r="773">
      <c r="A773" s="5">
        <v>772.0</v>
      </c>
      <c r="B773" s="5" t="s">
        <v>1767</v>
      </c>
      <c r="C773" s="5" t="s">
        <v>20</v>
      </c>
      <c r="N773" s="8">
        <v>45115.0</v>
      </c>
    </row>
    <row r="774">
      <c r="A774" s="5">
        <v>773.0</v>
      </c>
      <c r="B774" s="5" t="s">
        <v>1768</v>
      </c>
      <c r="C774" s="5" t="s">
        <v>20</v>
      </c>
      <c r="N774" s="8">
        <v>44528.0</v>
      </c>
    </row>
    <row r="775">
      <c r="A775" s="5">
        <v>774.0</v>
      </c>
      <c r="B775" s="5" t="s">
        <v>1769</v>
      </c>
      <c r="C775" s="5" t="s">
        <v>20</v>
      </c>
      <c r="N775" s="8">
        <v>44323.0</v>
      </c>
    </row>
    <row r="776">
      <c r="A776" s="5">
        <v>775.0</v>
      </c>
      <c r="B776" s="5" t="s">
        <v>171</v>
      </c>
      <c r="C776" s="5" t="s">
        <v>20</v>
      </c>
      <c r="K776" s="5">
        <v>450.0</v>
      </c>
      <c r="N776" s="8">
        <v>44152.0</v>
      </c>
    </row>
    <row r="777">
      <c r="A777" s="5">
        <v>776.0</v>
      </c>
      <c r="B777" s="5" t="s">
        <v>1772</v>
      </c>
      <c r="C777" s="5" t="s">
        <v>20</v>
      </c>
      <c r="K777" s="5">
        <v>200.0</v>
      </c>
      <c r="N777" s="8">
        <v>43986.0</v>
      </c>
    </row>
    <row r="778">
      <c r="A778" s="5">
        <v>777.0</v>
      </c>
      <c r="B778" s="5" t="s">
        <v>1773</v>
      </c>
      <c r="C778" s="5" t="s">
        <v>20</v>
      </c>
      <c r="N778" s="8">
        <v>45603.0</v>
      </c>
    </row>
    <row r="779">
      <c r="A779" s="5">
        <v>778.0</v>
      </c>
      <c r="B779" s="5" t="s">
        <v>1774</v>
      </c>
      <c r="C779" s="5" t="s">
        <v>20</v>
      </c>
      <c r="K779" s="5">
        <v>10.0</v>
      </c>
      <c r="N779" s="8">
        <v>43972.0</v>
      </c>
    </row>
    <row r="780">
      <c r="A780" s="5">
        <v>779.0</v>
      </c>
      <c r="B780" s="5" t="s">
        <v>1775</v>
      </c>
      <c r="C780" s="5" t="s">
        <v>20</v>
      </c>
      <c r="K780" s="5">
        <v>100.0</v>
      </c>
      <c r="N780" s="8">
        <v>44704.0</v>
      </c>
    </row>
    <row r="781">
      <c r="A781" s="5">
        <v>780.0</v>
      </c>
      <c r="B781" s="5" t="s">
        <v>1776</v>
      </c>
      <c r="C781" s="5" t="s">
        <v>20</v>
      </c>
      <c r="N781" s="8">
        <v>45917.0</v>
      </c>
    </row>
    <row r="782">
      <c r="A782" s="5">
        <v>781.0</v>
      </c>
      <c r="B782" s="5" t="s">
        <v>1777</v>
      </c>
      <c r="C782" s="5" t="s">
        <v>20</v>
      </c>
      <c r="N782" s="8">
        <v>46062.0</v>
      </c>
    </row>
    <row r="783">
      <c r="A783" s="5">
        <v>782.0</v>
      </c>
      <c r="B783" s="5" t="s">
        <v>1778</v>
      </c>
      <c r="C783" s="5" t="s">
        <v>20</v>
      </c>
      <c r="K783" s="5">
        <v>100.0</v>
      </c>
      <c r="N783" s="8">
        <v>44797.0</v>
      </c>
    </row>
    <row r="784">
      <c r="A784" s="5">
        <v>783.0</v>
      </c>
      <c r="B784" s="5" t="s">
        <v>1779</v>
      </c>
      <c r="C784" s="5" t="s">
        <v>20</v>
      </c>
      <c r="N784" s="8">
        <v>44979.0</v>
      </c>
    </row>
    <row r="785">
      <c r="A785" s="5">
        <v>784.0</v>
      </c>
      <c r="B785" s="5" t="s">
        <v>1780</v>
      </c>
      <c r="C785" s="5" t="s">
        <v>20</v>
      </c>
      <c r="K785" s="5">
        <v>40.0</v>
      </c>
      <c r="N785" s="8">
        <v>44151.0</v>
      </c>
    </row>
    <row r="786">
      <c r="A786" s="5">
        <v>785.0</v>
      </c>
      <c r="B786" s="5" t="s">
        <v>1781</v>
      </c>
      <c r="C786" s="5" t="s">
        <v>20</v>
      </c>
      <c r="D786" s="5">
        <v>0.0</v>
      </c>
      <c r="H786" s="5" t="s">
        <v>41</v>
      </c>
      <c r="I786" s="9">
        <v>46143.99644675926</v>
      </c>
      <c r="J786" s="5" t="s">
        <v>78</v>
      </c>
      <c r="L786" s="5">
        <v>100.0</v>
      </c>
      <c r="M786" s="5">
        <v>1100.0</v>
      </c>
      <c r="N786" s="8">
        <v>44789.0</v>
      </c>
      <c r="O786" s="5" t="s">
        <v>432</v>
      </c>
      <c r="P786" s="5" t="s">
        <v>25</v>
      </c>
      <c r="S786" s="5" t="s">
        <v>29</v>
      </c>
    </row>
    <row r="787">
      <c r="A787" s="5">
        <v>786.0</v>
      </c>
      <c r="B787" s="5" t="s">
        <v>1783</v>
      </c>
      <c r="C787" s="5" t="s">
        <v>20</v>
      </c>
      <c r="G787" s="5">
        <v>0.55</v>
      </c>
      <c r="N787" s="8">
        <v>42311.0</v>
      </c>
      <c r="O787" s="5" t="s">
        <v>464</v>
      </c>
      <c r="P787" s="5" t="s">
        <v>25</v>
      </c>
      <c r="S787" s="5" t="s">
        <v>38</v>
      </c>
    </row>
    <row r="788">
      <c r="A788" s="5">
        <v>787.0</v>
      </c>
      <c r="B788" s="5" t="s">
        <v>1786</v>
      </c>
      <c r="C788" s="5" t="s">
        <v>20</v>
      </c>
      <c r="N788" s="8">
        <v>42356.0</v>
      </c>
    </row>
    <row r="789">
      <c r="A789" s="5">
        <v>788.0</v>
      </c>
      <c r="B789" s="5" t="s">
        <v>1787</v>
      </c>
      <c r="C789" s="5" t="s">
        <v>20</v>
      </c>
      <c r="K789" s="5">
        <v>1700.0</v>
      </c>
      <c r="N789" s="8">
        <v>44927.0</v>
      </c>
    </row>
    <row r="790">
      <c r="A790" s="5">
        <v>789.0</v>
      </c>
      <c r="B790" s="5" t="s">
        <v>172</v>
      </c>
      <c r="C790" s="5" t="s">
        <v>20</v>
      </c>
      <c r="K790" s="5">
        <v>10.0</v>
      </c>
      <c r="N790" s="8">
        <v>43996.0</v>
      </c>
    </row>
    <row r="791">
      <c r="A791" s="5">
        <v>790.0</v>
      </c>
      <c r="B791" s="5" t="s">
        <v>1789</v>
      </c>
      <c r="C791" s="5" t="s">
        <v>20</v>
      </c>
      <c r="D791" s="5">
        <v>40.0</v>
      </c>
      <c r="H791" s="5" t="s">
        <v>446</v>
      </c>
      <c r="I791" s="9">
        <v>46161.59648148148</v>
      </c>
      <c r="J791" s="5" t="s">
        <v>243</v>
      </c>
      <c r="K791" s="5">
        <v>10.0</v>
      </c>
      <c r="L791" s="5">
        <v>60.0</v>
      </c>
      <c r="M791" s="5">
        <v>200.0</v>
      </c>
      <c r="N791" s="8">
        <v>44630.0</v>
      </c>
      <c r="O791" s="5" t="s">
        <v>24</v>
      </c>
      <c r="P791" s="5" t="s">
        <v>25</v>
      </c>
      <c r="S791" s="5" t="s">
        <v>38</v>
      </c>
    </row>
    <row r="792">
      <c r="A792" s="5">
        <v>791.0</v>
      </c>
      <c r="B792" s="5" t="s">
        <v>1791</v>
      </c>
      <c r="C792" s="5" t="s">
        <v>20</v>
      </c>
      <c r="K792" s="5">
        <v>90.0</v>
      </c>
      <c r="N792" s="8">
        <v>43952.0</v>
      </c>
    </row>
    <row r="793">
      <c r="A793" s="5">
        <v>792.0</v>
      </c>
      <c r="B793" s="5" t="s">
        <v>1792</v>
      </c>
      <c r="C793" s="5" t="s">
        <v>20</v>
      </c>
      <c r="N793" s="8">
        <v>45168.0</v>
      </c>
    </row>
    <row r="794">
      <c r="A794" s="5">
        <v>793.0</v>
      </c>
      <c r="B794" s="5" t="s">
        <v>1793</v>
      </c>
      <c r="C794" s="5" t="s">
        <v>20</v>
      </c>
      <c r="K794" s="5">
        <v>50.0</v>
      </c>
      <c r="N794" s="8">
        <v>44674.0</v>
      </c>
    </row>
    <row r="795">
      <c r="A795" s="5">
        <v>794.0</v>
      </c>
      <c r="B795" s="5" t="s">
        <v>1794</v>
      </c>
      <c r="C795" s="5" t="s">
        <v>20</v>
      </c>
      <c r="N795" s="8">
        <v>45526.0</v>
      </c>
    </row>
    <row r="796">
      <c r="A796" s="5">
        <v>795.0</v>
      </c>
      <c r="B796" s="5" t="s">
        <v>1795</v>
      </c>
      <c r="C796" s="5" t="s">
        <v>20</v>
      </c>
      <c r="K796" s="5">
        <v>80.0</v>
      </c>
      <c r="N796" s="8">
        <v>45082.0</v>
      </c>
    </row>
    <row r="797">
      <c r="A797" s="5">
        <v>796.0</v>
      </c>
      <c r="B797" s="5" t="s">
        <v>1796</v>
      </c>
      <c r="C797" s="5" t="s">
        <v>20</v>
      </c>
      <c r="N797" s="8">
        <v>44502.0</v>
      </c>
    </row>
    <row r="798">
      <c r="A798" s="5">
        <v>797.0</v>
      </c>
      <c r="B798" s="5" t="s">
        <v>173</v>
      </c>
      <c r="C798" s="5" t="s">
        <v>20</v>
      </c>
      <c r="K798" s="5">
        <v>20.0</v>
      </c>
      <c r="N798" s="8">
        <v>45188.0</v>
      </c>
    </row>
    <row r="799">
      <c r="A799" s="5">
        <v>798.0</v>
      </c>
      <c r="B799" s="5" t="s">
        <v>1797</v>
      </c>
      <c r="C799" s="5" t="s">
        <v>20</v>
      </c>
      <c r="K799" s="5">
        <v>20.0</v>
      </c>
      <c r="N799" s="8">
        <v>45653.0</v>
      </c>
    </row>
    <row r="800">
      <c r="A800" s="5">
        <v>799.0</v>
      </c>
      <c r="B800" s="5" t="s">
        <v>1798</v>
      </c>
      <c r="C800" s="5" t="s">
        <v>20</v>
      </c>
      <c r="D800" s="5">
        <v>31.0</v>
      </c>
      <c r="H800" s="5" t="s">
        <v>504</v>
      </c>
      <c r="I800" s="9">
        <v>46088.62311342593</v>
      </c>
      <c r="J800" s="5" t="s">
        <v>591</v>
      </c>
      <c r="K800" s="5">
        <v>30.0</v>
      </c>
      <c r="L800" s="5">
        <v>20.0</v>
      </c>
      <c r="M800" s="5">
        <v>20.0</v>
      </c>
      <c r="N800" s="8">
        <v>42850.0</v>
      </c>
      <c r="O800" s="5" t="s">
        <v>24</v>
      </c>
      <c r="P800" s="5" t="s">
        <v>25</v>
      </c>
      <c r="S800" s="5" t="s">
        <v>118</v>
      </c>
    </row>
    <row r="801">
      <c r="A801" s="5">
        <v>800.0</v>
      </c>
      <c r="B801" s="5" t="s">
        <v>1800</v>
      </c>
      <c r="C801" s="5" t="s">
        <v>20</v>
      </c>
      <c r="K801" s="5">
        <v>350.0</v>
      </c>
      <c r="N801" s="8">
        <v>44297.0</v>
      </c>
    </row>
    <row r="802">
      <c r="A802" s="5">
        <v>801.0</v>
      </c>
      <c r="B802" s="5" t="s">
        <v>1801</v>
      </c>
      <c r="C802" s="5" t="s">
        <v>20</v>
      </c>
      <c r="N802" s="8">
        <v>44029.0</v>
      </c>
      <c r="O802" s="5" t="s">
        <v>24</v>
      </c>
      <c r="P802" s="5" t="s">
        <v>25</v>
      </c>
      <c r="S802" s="5" t="s">
        <v>38</v>
      </c>
    </row>
    <row r="803">
      <c r="A803" s="5">
        <v>802.0</v>
      </c>
      <c r="B803" s="5" t="s">
        <v>1803</v>
      </c>
      <c r="C803" s="5" t="s">
        <v>20</v>
      </c>
      <c r="K803" s="5">
        <v>2200.0</v>
      </c>
      <c r="N803" s="8">
        <v>44140.0</v>
      </c>
    </row>
    <row r="804">
      <c r="A804" s="5">
        <v>803.0</v>
      </c>
      <c r="B804" s="5" t="s">
        <v>1804</v>
      </c>
      <c r="C804" s="5" t="s">
        <v>20</v>
      </c>
      <c r="K804" s="5">
        <v>600.0</v>
      </c>
      <c r="N804" s="8">
        <v>45278.0</v>
      </c>
    </row>
    <row r="805">
      <c r="A805" s="5">
        <v>804.0</v>
      </c>
      <c r="B805" s="5" t="s">
        <v>1805</v>
      </c>
      <c r="C805" s="5" t="s">
        <v>20</v>
      </c>
      <c r="D805" s="5">
        <v>18.0</v>
      </c>
      <c r="H805" s="5" t="s">
        <v>1285</v>
      </c>
      <c r="I805" s="9">
        <v>46147.633310185185</v>
      </c>
      <c r="J805" s="5" t="s">
        <v>1604</v>
      </c>
      <c r="K805" s="5">
        <v>10.0</v>
      </c>
      <c r="L805" s="5">
        <v>30.0</v>
      </c>
      <c r="M805" s="5">
        <v>30.0</v>
      </c>
      <c r="N805" s="8">
        <v>42520.0</v>
      </c>
      <c r="O805" s="5" t="s">
        <v>24</v>
      </c>
      <c r="P805" s="5" t="s">
        <v>25</v>
      </c>
      <c r="S805" s="5" t="s">
        <v>1807</v>
      </c>
    </row>
    <row r="806">
      <c r="A806" s="5">
        <v>805.0</v>
      </c>
      <c r="B806" s="5" t="s">
        <v>1808</v>
      </c>
      <c r="C806" s="5" t="s">
        <v>20</v>
      </c>
      <c r="N806" s="8">
        <v>44405.0</v>
      </c>
      <c r="O806" s="5" t="s">
        <v>50</v>
      </c>
      <c r="P806" s="5" t="s">
        <v>25</v>
      </c>
      <c r="S806" s="5" t="s">
        <v>38</v>
      </c>
    </row>
    <row r="807">
      <c r="A807" s="5">
        <v>806.0</v>
      </c>
      <c r="B807" s="5" t="s">
        <v>1810</v>
      </c>
      <c r="C807" s="5" t="s">
        <v>20</v>
      </c>
      <c r="K807" s="5">
        <v>1300.0</v>
      </c>
      <c r="N807" s="8">
        <v>44793.0</v>
      </c>
    </row>
    <row r="808">
      <c r="A808" s="5">
        <v>807.0</v>
      </c>
      <c r="B808" s="5" t="s">
        <v>176</v>
      </c>
      <c r="C808" s="5" t="s">
        <v>20</v>
      </c>
      <c r="K808" s="5">
        <v>450.0</v>
      </c>
      <c r="N808" s="8">
        <v>43943.0</v>
      </c>
    </row>
    <row r="809">
      <c r="A809" s="5">
        <v>808.0</v>
      </c>
      <c r="B809" s="5" t="s">
        <v>1811</v>
      </c>
      <c r="C809" s="5" t="s">
        <v>20</v>
      </c>
      <c r="K809" s="5">
        <v>1000.0</v>
      </c>
      <c r="N809" s="8">
        <v>44032.0</v>
      </c>
    </row>
    <row r="810">
      <c r="A810" s="5">
        <v>809.0</v>
      </c>
      <c r="B810" s="5" t="s">
        <v>1812</v>
      </c>
      <c r="C810" s="5" t="s">
        <v>20</v>
      </c>
      <c r="N810" s="8">
        <v>45663.0</v>
      </c>
    </row>
    <row r="811">
      <c r="A811" s="5">
        <v>810.0</v>
      </c>
      <c r="B811" s="5" t="s">
        <v>1813</v>
      </c>
      <c r="C811" s="5" t="s">
        <v>20</v>
      </c>
      <c r="K811" s="5">
        <v>20.0</v>
      </c>
      <c r="N811" s="8">
        <v>44201.0</v>
      </c>
    </row>
    <row r="812">
      <c r="A812" s="5">
        <v>811.0</v>
      </c>
      <c r="B812" s="5" t="s">
        <v>1814</v>
      </c>
      <c r="C812" s="5" t="s">
        <v>20</v>
      </c>
      <c r="N812" s="8">
        <v>45330.0</v>
      </c>
    </row>
    <row r="813">
      <c r="A813" s="5">
        <v>812.0</v>
      </c>
      <c r="B813" s="5" t="s">
        <v>1815</v>
      </c>
      <c r="C813" s="5" t="s">
        <v>20</v>
      </c>
      <c r="K813" s="5">
        <v>1200.0</v>
      </c>
      <c r="N813" s="8">
        <v>45384.0</v>
      </c>
    </row>
    <row r="814">
      <c r="A814" s="5">
        <v>813.0</v>
      </c>
      <c r="B814" s="5" t="s">
        <v>1816</v>
      </c>
      <c r="C814" s="5" t="s">
        <v>20</v>
      </c>
      <c r="K814" s="5">
        <v>100.0</v>
      </c>
      <c r="N814" s="8">
        <v>44581.0</v>
      </c>
    </row>
    <row r="815">
      <c r="A815" s="5">
        <v>814.0</v>
      </c>
      <c r="B815" s="5" t="s">
        <v>1817</v>
      </c>
      <c r="C815" s="5" t="s">
        <v>20</v>
      </c>
      <c r="K815" s="5">
        <v>30.0</v>
      </c>
      <c r="N815" s="8">
        <v>44198.0</v>
      </c>
    </row>
    <row r="816">
      <c r="A816" s="5">
        <v>815.0</v>
      </c>
      <c r="B816" s="5" t="s">
        <v>1818</v>
      </c>
      <c r="C816" s="5" t="s">
        <v>20</v>
      </c>
      <c r="K816" s="5">
        <v>150.0</v>
      </c>
      <c r="N816" s="8">
        <v>44189.0</v>
      </c>
    </row>
    <row r="817">
      <c r="A817" s="5">
        <v>816.0</v>
      </c>
      <c r="B817" s="5" t="s">
        <v>1819</v>
      </c>
      <c r="C817" s="5" t="s">
        <v>20</v>
      </c>
      <c r="K817" s="5">
        <v>10.0</v>
      </c>
      <c r="N817" s="8">
        <v>44212.0</v>
      </c>
    </row>
    <row r="818">
      <c r="A818" s="5">
        <v>817.0</v>
      </c>
      <c r="B818" s="5" t="s">
        <v>1820</v>
      </c>
      <c r="C818" s="5" t="s">
        <v>20</v>
      </c>
      <c r="K818" s="5">
        <v>10.0</v>
      </c>
      <c r="N818" s="8">
        <v>44106.0</v>
      </c>
    </row>
    <row r="819">
      <c r="A819" s="5">
        <v>818.0</v>
      </c>
      <c r="B819" s="5" t="s">
        <v>1822</v>
      </c>
      <c r="C819" s="5" t="s">
        <v>20</v>
      </c>
      <c r="N819" s="8">
        <v>45010.0</v>
      </c>
    </row>
    <row r="820">
      <c r="A820" s="5">
        <v>819.0</v>
      </c>
      <c r="B820" s="5" t="s">
        <v>1824</v>
      </c>
      <c r="C820" s="5" t="s">
        <v>20</v>
      </c>
      <c r="K820" s="5">
        <v>1100.0</v>
      </c>
      <c r="N820" s="8">
        <v>44889.0</v>
      </c>
    </row>
    <row r="821">
      <c r="A821" s="5">
        <v>820.0</v>
      </c>
      <c r="B821" s="5" t="s">
        <v>179</v>
      </c>
      <c r="C821" s="5" t="s">
        <v>20</v>
      </c>
      <c r="K821" s="5">
        <v>200.0</v>
      </c>
      <c r="N821" s="8">
        <v>43985.0</v>
      </c>
    </row>
    <row r="822">
      <c r="A822" s="5">
        <v>821.0</v>
      </c>
      <c r="B822" s="5" t="s">
        <v>1826</v>
      </c>
      <c r="C822" s="5" t="s">
        <v>20</v>
      </c>
      <c r="K822" s="5">
        <v>150.0</v>
      </c>
      <c r="N822" s="8">
        <v>44638.0</v>
      </c>
    </row>
    <row r="823">
      <c r="A823" s="5">
        <v>822.0</v>
      </c>
      <c r="B823" s="5" t="s">
        <v>1827</v>
      </c>
      <c r="C823" s="5" t="s">
        <v>20</v>
      </c>
      <c r="N823" s="8">
        <v>45865.0</v>
      </c>
    </row>
    <row r="824">
      <c r="A824" s="5">
        <v>823.0</v>
      </c>
      <c r="B824" s="5" t="s">
        <v>1828</v>
      </c>
      <c r="C824" s="5" t="s">
        <v>20</v>
      </c>
      <c r="N824" s="8">
        <v>44883.0</v>
      </c>
    </row>
    <row r="825">
      <c r="A825" s="5">
        <v>824.0</v>
      </c>
      <c r="B825" s="5" t="s">
        <v>1829</v>
      </c>
      <c r="C825" s="5" t="s">
        <v>20</v>
      </c>
      <c r="K825" s="5">
        <v>900.0</v>
      </c>
      <c r="N825" s="8">
        <v>44564.0</v>
      </c>
    </row>
    <row r="826">
      <c r="A826" s="5">
        <v>825.0</v>
      </c>
      <c r="B826" s="5" t="s">
        <v>1831</v>
      </c>
      <c r="C826" s="5" t="s">
        <v>20</v>
      </c>
      <c r="N826" s="8">
        <v>43497.0</v>
      </c>
    </row>
    <row r="827">
      <c r="A827" s="5">
        <v>826.0</v>
      </c>
      <c r="B827" s="5" t="s">
        <v>1832</v>
      </c>
      <c r="C827" s="5" t="s">
        <v>20</v>
      </c>
      <c r="K827" s="5">
        <v>40.0</v>
      </c>
      <c r="N827" s="8">
        <v>44106.0</v>
      </c>
    </row>
    <row r="828">
      <c r="A828" s="5">
        <v>827.0</v>
      </c>
      <c r="B828" s="5" t="s">
        <v>1833</v>
      </c>
      <c r="C828" s="5" t="s">
        <v>20</v>
      </c>
      <c r="K828" s="5">
        <v>80.0</v>
      </c>
      <c r="N828" s="8">
        <v>44030.0</v>
      </c>
    </row>
    <row r="829">
      <c r="A829" s="5">
        <v>828.0</v>
      </c>
      <c r="B829" s="5" t="s">
        <v>1834</v>
      </c>
      <c r="C829" s="5" t="s">
        <v>20</v>
      </c>
      <c r="N829" s="8">
        <v>43788.0</v>
      </c>
    </row>
    <row r="830">
      <c r="A830" s="5">
        <v>829.0</v>
      </c>
      <c r="B830" s="5" t="s">
        <v>1835</v>
      </c>
      <c r="C830" s="5" t="s">
        <v>20</v>
      </c>
      <c r="K830" s="5">
        <v>20.0</v>
      </c>
      <c r="N830" s="8">
        <v>44118.0</v>
      </c>
    </row>
    <row r="831">
      <c r="A831" s="5">
        <v>830.0</v>
      </c>
      <c r="B831" s="5" t="s">
        <v>1836</v>
      </c>
      <c r="C831" s="5" t="s">
        <v>20</v>
      </c>
      <c r="K831" s="5">
        <v>300.0</v>
      </c>
      <c r="N831" s="8">
        <v>44792.0</v>
      </c>
    </row>
    <row r="832">
      <c r="A832" s="5">
        <v>831.0</v>
      </c>
      <c r="B832" s="5" t="s">
        <v>1837</v>
      </c>
      <c r="C832" s="5" t="s">
        <v>20</v>
      </c>
      <c r="N832" s="8">
        <v>45048.0</v>
      </c>
    </row>
    <row r="833">
      <c r="A833" s="5">
        <v>832.0</v>
      </c>
      <c r="B833" s="5" t="s">
        <v>1838</v>
      </c>
      <c r="C833" s="5" t="s">
        <v>20</v>
      </c>
      <c r="N833" s="8">
        <v>44169.0</v>
      </c>
    </row>
    <row r="834">
      <c r="A834" s="5">
        <v>833.0</v>
      </c>
      <c r="B834" s="5" t="s">
        <v>1839</v>
      </c>
      <c r="C834" s="5" t="s">
        <v>20</v>
      </c>
      <c r="K834" s="5">
        <v>70.0</v>
      </c>
      <c r="N834" s="8">
        <v>43926.0</v>
      </c>
    </row>
    <row r="835">
      <c r="A835" s="5">
        <v>834.0</v>
      </c>
      <c r="B835" s="5" t="s">
        <v>1840</v>
      </c>
      <c r="C835" s="5" t="s">
        <v>20</v>
      </c>
      <c r="N835" s="8">
        <v>43958.0</v>
      </c>
    </row>
    <row r="836">
      <c r="A836" s="5">
        <v>835.0</v>
      </c>
      <c r="B836" s="5" t="s">
        <v>1842</v>
      </c>
      <c r="C836" s="5" t="s">
        <v>20</v>
      </c>
      <c r="K836" s="5">
        <v>70.0</v>
      </c>
      <c r="N836" s="8">
        <v>44265.0</v>
      </c>
    </row>
    <row r="837">
      <c r="A837" s="5">
        <v>836.0</v>
      </c>
      <c r="B837" s="5" t="s">
        <v>1843</v>
      </c>
      <c r="C837" s="5" t="s">
        <v>20</v>
      </c>
      <c r="D837" s="5">
        <v>31.0</v>
      </c>
      <c r="H837" s="5" t="s">
        <v>340</v>
      </c>
      <c r="I837" s="9">
        <v>46077.42224537037</v>
      </c>
      <c r="J837" s="5" t="s">
        <v>346</v>
      </c>
      <c r="L837" s="5">
        <v>13000.0</v>
      </c>
      <c r="M837" s="5">
        <v>18000.0</v>
      </c>
      <c r="N837" s="8">
        <v>44005.0</v>
      </c>
      <c r="O837" s="5" t="s">
        <v>24</v>
      </c>
      <c r="P837" s="5" t="s">
        <v>25</v>
      </c>
      <c r="S837" s="5" t="s">
        <v>118</v>
      </c>
    </row>
    <row r="838">
      <c r="A838" s="5">
        <v>837.0</v>
      </c>
      <c r="B838" s="5" t="s">
        <v>1846</v>
      </c>
      <c r="C838" s="5" t="s">
        <v>20</v>
      </c>
      <c r="N838" s="8">
        <v>45512.0</v>
      </c>
    </row>
    <row r="839">
      <c r="A839" s="5">
        <v>838.0</v>
      </c>
      <c r="B839" s="5" t="s">
        <v>1847</v>
      </c>
      <c r="C839" s="5" t="s">
        <v>20</v>
      </c>
      <c r="K839" s="5">
        <v>200.0</v>
      </c>
      <c r="N839" s="8">
        <v>44300.0</v>
      </c>
    </row>
    <row r="840">
      <c r="A840" s="5">
        <v>839.0</v>
      </c>
      <c r="B840" s="5" t="s">
        <v>1848</v>
      </c>
      <c r="C840" s="5" t="s">
        <v>20</v>
      </c>
      <c r="D840" s="5">
        <v>33.0</v>
      </c>
      <c r="H840" s="5" t="s">
        <v>30</v>
      </c>
      <c r="I840" s="9">
        <v>46082.39158564815</v>
      </c>
      <c r="J840" s="5" t="s">
        <v>137</v>
      </c>
      <c r="L840" s="5">
        <v>33000.0</v>
      </c>
      <c r="M840" s="5">
        <v>34000.0</v>
      </c>
      <c r="N840" s="8">
        <v>44844.0</v>
      </c>
      <c r="O840" s="5" t="s">
        <v>24</v>
      </c>
      <c r="P840" s="5" t="s">
        <v>25</v>
      </c>
      <c r="S840" s="5" t="s">
        <v>38</v>
      </c>
    </row>
    <row r="841">
      <c r="A841" s="5">
        <v>840.0</v>
      </c>
      <c r="B841" s="5" t="s">
        <v>1850</v>
      </c>
      <c r="C841" s="5" t="s">
        <v>20</v>
      </c>
      <c r="N841" s="8">
        <v>43818.0</v>
      </c>
    </row>
    <row r="842">
      <c r="A842" s="5">
        <v>841.0</v>
      </c>
      <c r="B842" s="5" t="s">
        <v>1851</v>
      </c>
      <c r="C842" s="5" t="s">
        <v>20</v>
      </c>
      <c r="N842" s="8">
        <v>42332.0</v>
      </c>
    </row>
    <row r="843">
      <c r="A843" s="5">
        <v>842.0</v>
      </c>
      <c r="B843" s="5" t="s">
        <v>1852</v>
      </c>
      <c r="C843" s="5" t="s">
        <v>20</v>
      </c>
      <c r="K843" s="5">
        <v>5100.0</v>
      </c>
      <c r="N843" s="8">
        <v>42822.0</v>
      </c>
    </row>
    <row r="844">
      <c r="A844" s="5">
        <v>843.0</v>
      </c>
      <c r="B844" s="5" t="s">
        <v>1853</v>
      </c>
      <c r="C844" s="5" t="s">
        <v>20</v>
      </c>
      <c r="K844" s="5">
        <v>150.0</v>
      </c>
      <c r="N844" s="8">
        <v>44071.0</v>
      </c>
    </row>
    <row r="845">
      <c r="A845" s="5">
        <v>844.0</v>
      </c>
      <c r="B845" s="5" t="s">
        <v>1855</v>
      </c>
      <c r="C845" s="5" t="s">
        <v>20</v>
      </c>
      <c r="N845" s="8">
        <v>44282.0</v>
      </c>
    </row>
    <row r="846">
      <c r="A846" s="5">
        <v>845.0</v>
      </c>
      <c r="B846" s="5" t="s">
        <v>1856</v>
      </c>
      <c r="C846" s="5" t="s">
        <v>20</v>
      </c>
      <c r="K846" s="5">
        <v>40.0</v>
      </c>
      <c r="N846" s="8">
        <v>43840.0</v>
      </c>
    </row>
    <row r="847">
      <c r="A847" s="5">
        <v>846.0</v>
      </c>
      <c r="B847" s="5" t="s">
        <v>1858</v>
      </c>
      <c r="C847" s="5" t="s">
        <v>20</v>
      </c>
      <c r="K847" s="5">
        <v>30.0</v>
      </c>
      <c r="N847" s="8">
        <v>44730.0</v>
      </c>
    </row>
    <row r="848">
      <c r="A848" s="5">
        <v>847.0</v>
      </c>
      <c r="B848" s="5" t="s">
        <v>1859</v>
      </c>
      <c r="C848" s="5" t="s">
        <v>20</v>
      </c>
      <c r="K848" s="5">
        <v>40.0</v>
      </c>
      <c r="N848" s="8">
        <v>44585.0</v>
      </c>
    </row>
    <row r="849">
      <c r="A849" s="5">
        <v>848.0</v>
      </c>
      <c r="B849" s="5" t="s">
        <v>1860</v>
      </c>
      <c r="C849" s="5" t="s">
        <v>20</v>
      </c>
      <c r="K849" s="5">
        <v>100.0</v>
      </c>
      <c r="N849" s="8">
        <v>45102.0</v>
      </c>
    </row>
    <row r="850">
      <c r="A850" s="5">
        <v>849.0</v>
      </c>
      <c r="B850" s="5" t="s">
        <v>1861</v>
      </c>
      <c r="C850" s="5" t="s">
        <v>20</v>
      </c>
      <c r="K850" s="5">
        <v>200.0</v>
      </c>
      <c r="N850" s="8">
        <v>44645.0</v>
      </c>
    </row>
    <row r="851">
      <c r="A851" s="5">
        <v>850.0</v>
      </c>
      <c r="B851" s="5" t="s">
        <v>1862</v>
      </c>
      <c r="C851" s="5" t="s">
        <v>20</v>
      </c>
      <c r="K851" s="5">
        <v>100.0</v>
      </c>
      <c r="N851" s="8">
        <v>44459.0</v>
      </c>
    </row>
    <row r="852">
      <c r="A852" s="5">
        <v>851.0</v>
      </c>
      <c r="B852" s="5" t="s">
        <v>1863</v>
      </c>
      <c r="C852" s="5" t="s">
        <v>20</v>
      </c>
      <c r="K852" s="5">
        <v>30.0</v>
      </c>
      <c r="N852" s="8">
        <v>44085.0</v>
      </c>
    </row>
    <row r="853">
      <c r="A853" s="5">
        <v>852.0</v>
      </c>
      <c r="B853" s="5" t="s">
        <v>1864</v>
      </c>
      <c r="C853" s="5" t="s">
        <v>20</v>
      </c>
      <c r="N853" s="8">
        <v>42973.0</v>
      </c>
    </row>
    <row r="854">
      <c r="A854" s="5">
        <v>853.0</v>
      </c>
      <c r="B854" s="5" t="s">
        <v>548</v>
      </c>
      <c r="C854" s="5" t="s">
        <v>20</v>
      </c>
      <c r="N854" s="8">
        <v>42435.0</v>
      </c>
      <c r="O854" s="5" t="s">
        <v>464</v>
      </c>
      <c r="P854" s="5" t="s">
        <v>25</v>
      </c>
      <c r="S854" s="5" t="s">
        <v>118</v>
      </c>
    </row>
    <row r="855">
      <c r="A855" s="5">
        <v>854.0</v>
      </c>
      <c r="B855" s="5" t="s">
        <v>180</v>
      </c>
      <c r="C855" s="5" t="s">
        <v>20</v>
      </c>
      <c r="K855" s="5">
        <v>1700.0</v>
      </c>
      <c r="N855" s="8">
        <v>43980.0</v>
      </c>
    </row>
    <row r="856">
      <c r="A856" s="5">
        <v>855.0</v>
      </c>
      <c r="B856" s="5" t="s">
        <v>181</v>
      </c>
      <c r="C856" s="5" t="s">
        <v>20</v>
      </c>
      <c r="K856" s="5">
        <v>200.0</v>
      </c>
      <c r="N856" s="8">
        <v>44561.0</v>
      </c>
    </row>
    <row r="857">
      <c r="A857" s="5">
        <v>856.0</v>
      </c>
      <c r="B857" s="5" t="s">
        <v>1865</v>
      </c>
      <c r="C857" s="5" t="s">
        <v>20</v>
      </c>
      <c r="N857" s="8">
        <v>42332.0</v>
      </c>
      <c r="O857" s="5" t="s">
        <v>464</v>
      </c>
      <c r="P857" s="5" t="s">
        <v>25</v>
      </c>
      <c r="S857" s="5" t="s">
        <v>29</v>
      </c>
    </row>
    <row r="858">
      <c r="A858" s="5">
        <v>857.0</v>
      </c>
      <c r="B858" s="5" t="s">
        <v>1866</v>
      </c>
      <c r="C858" s="5" t="s">
        <v>20</v>
      </c>
      <c r="N858" s="8">
        <v>44377.0</v>
      </c>
    </row>
    <row r="859">
      <c r="A859" s="5">
        <v>858.0</v>
      </c>
      <c r="B859" s="5" t="s">
        <v>1867</v>
      </c>
      <c r="C859" s="5" t="s">
        <v>20</v>
      </c>
      <c r="K859" s="5">
        <v>80.0</v>
      </c>
      <c r="N859" s="8">
        <v>45193.0</v>
      </c>
    </row>
    <row r="860">
      <c r="A860" s="5">
        <v>859.0</v>
      </c>
      <c r="B860" s="5" t="s">
        <v>1868</v>
      </c>
      <c r="C860" s="5" t="s">
        <v>20</v>
      </c>
      <c r="N860" s="8">
        <v>44656.0</v>
      </c>
      <c r="O860" s="5" t="s">
        <v>24</v>
      </c>
      <c r="P860" s="5" t="s">
        <v>25</v>
      </c>
      <c r="S860" s="5" t="s">
        <v>118</v>
      </c>
    </row>
    <row r="861">
      <c r="A861" s="5">
        <v>860.0</v>
      </c>
      <c r="B861" s="5" t="s">
        <v>185</v>
      </c>
      <c r="C861" s="5" t="s">
        <v>20</v>
      </c>
      <c r="K861" s="5">
        <v>20.0</v>
      </c>
      <c r="N861" s="8">
        <v>45013.0</v>
      </c>
    </row>
    <row r="862">
      <c r="A862" s="5">
        <v>861.0</v>
      </c>
      <c r="B862" s="5" t="s">
        <v>1869</v>
      </c>
      <c r="C862" s="5" t="s">
        <v>20</v>
      </c>
      <c r="K862" s="5">
        <v>100.0</v>
      </c>
      <c r="N862" s="8">
        <v>45389.0</v>
      </c>
    </row>
    <row r="863">
      <c r="A863" s="5">
        <v>862.0</v>
      </c>
      <c r="B863" s="5" t="s">
        <v>1870</v>
      </c>
      <c r="C863" s="5" t="s">
        <v>20</v>
      </c>
      <c r="K863" s="5">
        <v>10.0</v>
      </c>
      <c r="N863" s="8">
        <v>43989.0</v>
      </c>
    </row>
    <row r="864">
      <c r="A864" s="5">
        <v>863.0</v>
      </c>
      <c r="B864" s="5" t="s">
        <v>189</v>
      </c>
      <c r="C864" s="5" t="s">
        <v>20</v>
      </c>
      <c r="K864" s="5">
        <v>1000.0</v>
      </c>
      <c r="N864" s="8">
        <v>44643.0</v>
      </c>
    </row>
    <row r="865">
      <c r="A865" s="5">
        <v>864.0</v>
      </c>
      <c r="B865" s="5" t="s">
        <v>1871</v>
      </c>
      <c r="C865" s="5" t="s">
        <v>20</v>
      </c>
      <c r="K865" s="5">
        <v>100.0</v>
      </c>
      <c r="N865" s="8">
        <v>45504.0</v>
      </c>
    </row>
    <row r="866">
      <c r="A866" s="5">
        <v>865.0</v>
      </c>
      <c r="B866" s="5" t="s">
        <v>1874</v>
      </c>
      <c r="C866" s="5" t="s">
        <v>20</v>
      </c>
      <c r="K866" s="5">
        <v>400.0</v>
      </c>
      <c r="N866" s="8">
        <v>45386.0</v>
      </c>
    </row>
    <row r="867">
      <c r="A867" s="5">
        <v>866.0</v>
      </c>
      <c r="B867" s="5" t="s">
        <v>1875</v>
      </c>
      <c r="C867" s="5" t="s">
        <v>20</v>
      </c>
      <c r="N867" s="8">
        <v>44497.0</v>
      </c>
    </row>
    <row r="868">
      <c r="A868" s="5">
        <v>867.0</v>
      </c>
      <c r="B868" s="5" t="s">
        <v>1876</v>
      </c>
      <c r="C868" s="5" t="s">
        <v>20</v>
      </c>
      <c r="N868" s="8">
        <v>44292.0</v>
      </c>
    </row>
    <row r="869">
      <c r="A869" s="5">
        <v>868.0</v>
      </c>
      <c r="B869" s="5" t="s">
        <v>191</v>
      </c>
      <c r="C869" s="5" t="s">
        <v>20</v>
      </c>
      <c r="K869" s="5">
        <v>250.0</v>
      </c>
      <c r="N869" s="8">
        <v>44194.0</v>
      </c>
    </row>
    <row r="870">
      <c r="A870" s="5">
        <v>869.0</v>
      </c>
      <c r="B870" s="5" t="s">
        <v>1878</v>
      </c>
      <c r="C870" s="5" t="s">
        <v>20</v>
      </c>
      <c r="N870" s="8">
        <v>42276.0</v>
      </c>
    </row>
    <row r="871">
      <c r="A871" s="5">
        <v>870.0</v>
      </c>
      <c r="B871" s="5" t="s">
        <v>195</v>
      </c>
      <c r="C871" s="5" t="s">
        <v>20</v>
      </c>
      <c r="K871" s="5">
        <v>30.0</v>
      </c>
      <c r="N871" s="8">
        <v>45417.0</v>
      </c>
    </row>
    <row r="872">
      <c r="A872" s="5">
        <v>871.0</v>
      </c>
      <c r="B872" s="5" t="s">
        <v>1880</v>
      </c>
      <c r="C872" s="5" t="s">
        <v>20</v>
      </c>
      <c r="N872" s="8">
        <v>44071.0</v>
      </c>
    </row>
    <row r="873">
      <c r="A873" s="5">
        <v>872.0</v>
      </c>
      <c r="B873" s="5" t="s">
        <v>1881</v>
      </c>
      <c r="C873" s="5" t="s">
        <v>20</v>
      </c>
      <c r="K873" s="5">
        <v>60.0</v>
      </c>
      <c r="N873" s="8">
        <v>44219.0</v>
      </c>
    </row>
    <row r="874">
      <c r="A874" s="5">
        <v>873.0</v>
      </c>
      <c r="B874" s="5" t="s">
        <v>198</v>
      </c>
      <c r="C874" s="5" t="s">
        <v>20</v>
      </c>
      <c r="N874" s="8">
        <v>45195.0</v>
      </c>
    </row>
    <row r="875">
      <c r="A875" s="5">
        <v>874.0</v>
      </c>
      <c r="B875" s="5" t="s">
        <v>1882</v>
      </c>
      <c r="C875" s="5" t="s">
        <v>20</v>
      </c>
      <c r="K875" s="5">
        <v>150.0</v>
      </c>
      <c r="N875" s="8">
        <v>44978.0</v>
      </c>
    </row>
    <row r="876">
      <c r="A876" s="5">
        <v>875.0</v>
      </c>
      <c r="B876" s="5" t="s">
        <v>1884</v>
      </c>
      <c r="C876" s="5" t="s">
        <v>20</v>
      </c>
      <c r="K876" s="5">
        <v>10.0</v>
      </c>
      <c r="N876" s="8">
        <v>44790.0</v>
      </c>
    </row>
    <row r="877">
      <c r="A877" s="5">
        <v>876.0</v>
      </c>
      <c r="B877" s="5" t="s">
        <v>1885</v>
      </c>
      <c r="C877" s="5" t="s">
        <v>20</v>
      </c>
      <c r="N877" s="8">
        <v>43938.0</v>
      </c>
    </row>
    <row r="878">
      <c r="A878" s="5">
        <v>877.0</v>
      </c>
      <c r="B878" s="5" t="s">
        <v>1887</v>
      </c>
      <c r="C878" s="5" t="s">
        <v>20</v>
      </c>
      <c r="K878" s="5">
        <v>10.0</v>
      </c>
      <c r="N878" s="8">
        <v>44862.0</v>
      </c>
    </row>
    <row r="879">
      <c r="A879" s="5">
        <v>878.0</v>
      </c>
      <c r="B879" s="5" t="s">
        <v>1888</v>
      </c>
      <c r="C879" s="5" t="s">
        <v>20</v>
      </c>
      <c r="K879" s="5">
        <v>1200.0</v>
      </c>
      <c r="N879" s="8">
        <v>44272.0</v>
      </c>
    </row>
    <row r="880">
      <c r="A880" s="5">
        <v>879.0</v>
      </c>
      <c r="B880" s="5" t="s">
        <v>1889</v>
      </c>
      <c r="C880" s="5" t="s">
        <v>20</v>
      </c>
      <c r="K880" s="5">
        <v>400.0</v>
      </c>
      <c r="N880" s="8">
        <v>44547.0</v>
      </c>
    </row>
    <row r="881">
      <c r="A881" s="5">
        <v>880.0</v>
      </c>
      <c r="B881" s="5" t="s">
        <v>1890</v>
      </c>
      <c r="C881" s="5" t="s">
        <v>20</v>
      </c>
      <c r="K881" s="5">
        <v>70.0</v>
      </c>
      <c r="N881" s="8">
        <v>44770.0</v>
      </c>
    </row>
    <row r="882">
      <c r="A882" s="5">
        <v>881.0</v>
      </c>
      <c r="B882" s="5" t="s">
        <v>1891</v>
      </c>
      <c r="C882" s="5" t="s">
        <v>20</v>
      </c>
      <c r="K882" s="5">
        <v>10.0</v>
      </c>
      <c r="N882" s="8">
        <v>44407.0</v>
      </c>
    </row>
    <row r="883">
      <c r="A883" s="5">
        <v>882.0</v>
      </c>
      <c r="B883" s="5" t="s">
        <v>1893</v>
      </c>
      <c r="C883" s="5" t="s">
        <v>20</v>
      </c>
      <c r="N883" s="8">
        <v>43873.0</v>
      </c>
    </row>
    <row r="884">
      <c r="A884" s="5">
        <v>883.0</v>
      </c>
      <c r="B884" s="5" t="s">
        <v>201</v>
      </c>
      <c r="C884" s="5" t="s">
        <v>20</v>
      </c>
      <c r="K884" s="5">
        <v>60.0</v>
      </c>
      <c r="N884" s="8">
        <v>44207.0</v>
      </c>
    </row>
    <row r="885">
      <c r="A885" s="5">
        <v>884.0</v>
      </c>
      <c r="B885" s="5" t="s">
        <v>1894</v>
      </c>
      <c r="C885" s="5" t="s">
        <v>20</v>
      </c>
      <c r="N885" s="8">
        <v>45171.0</v>
      </c>
    </row>
    <row r="886">
      <c r="A886" s="5">
        <v>885.0</v>
      </c>
      <c r="B886" s="5" t="s">
        <v>1895</v>
      </c>
      <c r="C886" s="5" t="s">
        <v>20</v>
      </c>
      <c r="N886" s="8">
        <v>44401.0</v>
      </c>
    </row>
    <row r="887">
      <c r="A887" s="5">
        <v>886.0</v>
      </c>
      <c r="B887" s="5" t="s">
        <v>1896</v>
      </c>
      <c r="C887" s="5" t="s">
        <v>20</v>
      </c>
      <c r="N887" s="8">
        <v>44693.0</v>
      </c>
      <c r="O887" s="5" t="s">
        <v>80</v>
      </c>
      <c r="P887" s="5" t="s">
        <v>25</v>
      </c>
      <c r="S887" s="5" t="s">
        <v>118</v>
      </c>
    </row>
    <row r="888">
      <c r="A888" s="5">
        <v>887.0</v>
      </c>
      <c r="B888" s="5" t="s">
        <v>1897</v>
      </c>
      <c r="C888" s="5" t="s">
        <v>20</v>
      </c>
      <c r="K888" s="5">
        <v>150.0</v>
      </c>
      <c r="N888" s="8">
        <v>45608.0</v>
      </c>
    </row>
    <row r="889">
      <c r="A889" s="5">
        <v>888.0</v>
      </c>
      <c r="B889" s="5" t="s">
        <v>1898</v>
      </c>
      <c r="C889" s="5" t="s">
        <v>20</v>
      </c>
      <c r="N889" s="8">
        <v>42841.0</v>
      </c>
    </row>
    <row r="890">
      <c r="A890" s="5">
        <v>889.0</v>
      </c>
      <c r="B890" s="5" t="s">
        <v>1900</v>
      </c>
      <c r="C890" s="5" t="s">
        <v>20</v>
      </c>
      <c r="N890" s="8">
        <v>44088.0</v>
      </c>
    </row>
    <row r="891">
      <c r="A891" s="5">
        <v>890.0</v>
      </c>
      <c r="B891" s="5" t="s">
        <v>1901</v>
      </c>
      <c r="C891" s="5" t="s">
        <v>20</v>
      </c>
      <c r="K891" s="5">
        <v>500.0</v>
      </c>
      <c r="N891" s="8">
        <v>43883.0</v>
      </c>
    </row>
    <row r="892">
      <c r="A892" s="5">
        <v>891.0</v>
      </c>
      <c r="B892" s="5" t="s">
        <v>1902</v>
      </c>
      <c r="C892" s="5" t="s">
        <v>20</v>
      </c>
      <c r="K892" s="5">
        <v>20.0</v>
      </c>
      <c r="N892" s="8">
        <v>45178.0</v>
      </c>
    </row>
    <row r="893">
      <c r="A893" s="5">
        <v>892.0</v>
      </c>
      <c r="B893" s="5" t="s">
        <v>1904</v>
      </c>
      <c r="C893" s="5" t="s">
        <v>20</v>
      </c>
      <c r="K893" s="5">
        <v>250.0</v>
      </c>
      <c r="N893" s="8">
        <v>44562.0</v>
      </c>
    </row>
    <row r="894">
      <c r="A894" s="5">
        <v>893.0</v>
      </c>
      <c r="B894" s="5" t="s">
        <v>1905</v>
      </c>
      <c r="C894" s="5" t="s">
        <v>20</v>
      </c>
      <c r="N894" s="8">
        <v>44007.0</v>
      </c>
    </row>
    <row r="895">
      <c r="A895" s="5">
        <v>894.0</v>
      </c>
      <c r="B895" s="5" t="s">
        <v>1906</v>
      </c>
      <c r="C895" s="5" t="s">
        <v>20</v>
      </c>
      <c r="N895" s="8">
        <v>44666.0</v>
      </c>
    </row>
    <row r="896">
      <c r="A896" s="5">
        <v>895.0</v>
      </c>
      <c r="B896" s="5" t="s">
        <v>1907</v>
      </c>
      <c r="C896" s="5" t="s">
        <v>20</v>
      </c>
      <c r="D896" s="5">
        <v>20.0</v>
      </c>
      <c r="H896" s="5" t="s">
        <v>446</v>
      </c>
      <c r="I896" s="9">
        <v>46142.22949074074</v>
      </c>
      <c r="J896" s="5" t="s">
        <v>346</v>
      </c>
      <c r="L896" s="5">
        <v>60.0</v>
      </c>
      <c r="M896" s="5">
        <v>100.0</v>
      </c>
      <c r="N896" s="8">
        <v>42631.0</v>
      </c>
      <c r="O896" s="5" t="s">
        <v>184</v>
      </c>
      <c r="P896" s="5" t="s">
        <v>25</v>
      </c>
      <c r="S896" s="5" t="s">
        <v>38</v>
      </c>
    </row>
    <row r="897">
      <c r="A897" s="5">
        <v>896.0</v>
      </c>
      <c r="B897" s="5" t="s">
        <v>1909</v>
      </c>
      <c r="C897" s="5" t="s">
        <v>20</v>
      </c>
      <c r="K897" s="5">
        <v>20.0</v>
      </c>
      <c r="N897" s="8">
        <v>45589.0</v>
      </c>
    </row>
    <row r="898">
      <c r="A898" s="5">
        <v>897.0</v>
      </c>
      <c r="B898" s="5" t="s">
        <v>1910</v>
      </c>
      <c r="C898" s="5" t="s">
        <v>20</v>
      </c>
      <c r="K898" s="5">
        <v>40.0</v>
      </c>
      <c r="N898" s="8">
        <v>44608.0</v>
      </c>
    </row>
    <row r="899">
      <c r="A899" s="5">
        <v>898.0</v>
      </c>
      <c r="B899" s="5" t="s">
        <v>557</v>
      </c>
      <c r="C899" s="5" t="s">
        <v>20</v>
      </c>
      <c r="N899" s="8">
        <v>42351.0</v>
      </c>
      <c r="O899" s="5" t="s">
        <v>24</v>
      </c>
      <c r="P899" s="5" t="s">
        <v>25</v>
      </c>
      <c r="S899" s="5" t="s">
        <v>29</v>
      </c>
    </row>
    <row r="900">
      <c r="A900" s="5">
        <v>899.0</v>
      </c>
      <c r="B900" s="5" t="s">
        <v>1911</v>
      </c>
      <c r="C900" s="5" t="s">
        <v>20</v>
      </c>
      <c r="N900" s="8">
        <v>44079.0</v>
      </c>
    </row>
    <row r="901">
      <c r="A901" s="5">
        <v>900.0</v>
      </c>
      <c r="B901" s="5" t="s">
        <v>1913</v>
      </c>
      <c r="C901" s="5" t="s">
        <v>20</v>
      </c>
      <c r="K901" s="5">
        <v>1600.0</v>
      </c>
      <c r="N901" s="8">
        <v>45733.0</v>
      </c>
    </row>
    <row r="902">
      <c r="A902" s="5">
        <v>901.0</v>
      </c>
      <c r="B902" s="5" t="s">
        <v>560</v>
      </c>
      <c r="C902" s="5" t="s">
        <v>20</v>
      </c>
      <c r="N902" s="8">
        <v>43009.0</v>
      </c>
    </row>
    <row r="903">
      <c r="A903" s="5">
        <v>902.0</v>
      </c>
      <c r="B903" s="5" t="s">
        <v>1914</v>
      </c>
      <c r="C903" s="5" t="s">
        <v>20</v>
      </c>
      <c r="K903" s="5">
        <v>30.0</v>
      </c>
      <c r="N903" s="8">
        <v>44206.0</v>
      </c>
    </row>
    <row r="904">
      <c r="A904" s="5">
        <v>903.0</v>
      </c>
      <c r="B904" s="5" t="s">
        <v>1915</v>
      </c>
      <c r="C904" s="5" t="s">
        <v>20</v>
      </c>
      <c r="N904" s="8">
        <v>42347.0</v>
      </c>
      <c r="O904" s="5" t="s">
        <v>100</v>
      </c>
      <c r="P904" s="5" t="s">
        <v>25</v>
      </c>
      <c r="S904" s="5" t="s">
        <v>29</v>
      </c>
    </row>
    <row r="905">
      <c r="A905" s="5">
        <v>904.0</v>
      </c>
      <c r="B905" s="5" t="s">
        <v>1916</v>
      </c>
      <c r="C905" s="5" t="s">
        <v>20</v>
      </c>
      <c r="D905" s="5">
        <v>45.0</v>
      </c>
      <c r="H905" s="5" t="s">
        <v>40</v>
      </c>
      <c r="I905" s="9">
        <v>46127.09412037037</v>
      </c>
      <c r="J905" s="5" t="s">
        <v>206</v>
      </c>
      <c r="L905" s="5">
        <v>20000.0</v>
      </c>
      <c r="M905" s="5">
        <v>22000.0</v>
      </c>
      <c r="N905" s="8">
        <v>45197.0</v>
      </c>
      <c r="O905" s="5" t="s">
        <v>80</v>
      </c>
      <c r="S905" s="5" t="s">
        <v>29</v>
      </c>
    </row>
    <row r="906">
      <c r="A906" s="5">
        <v>905.0</v>
      </c>
      <c r="B906" s="5" t="s">
        <v>1918</v>
      </c>
      <c r="C906" s="5" t="s">
        <v>20</v>
      </c>
      <c r="K906" s="5">
        <v>20.0</v>
      </c>
      <c r="N906" s="8">
        <v>43908.0</v>
      </c>
    </row>
    <row r="907">
      <c r="A907" s="5">
        <v>906.0</v>
      </c>
      <c r="B907" s="5" t="s">
        <v>1919</v>
      </c>
      <c r="C907" s="5" t="s">
        <v>20</v>
      </c>
      <c r="N907" s="8">
        <v>42746.0</v>
      </c>
    </row>
    <row r="908">
      <c r="A908" s="5">
        <v>907.0</v>
      </c>
      <c r="B908" s="5" t="s">
        <v>1920</v>
      </c>
      <c r="C908" s="5" t="s">
        <v>20</v>
      </c>
      <c r="K908" s="5">
        <v>30.0</v>
      </c>
      <c r="N908" s="8">
        <v>44344.0</v>
      </c>
    </row>
    <row r="909">
      <c r="A909" s="5">
        <v>908.0</v>
      </c>
      <c r="B909" s="5" t="s">
        <v>1921</v>
      </c>
      <c r="C909" s="5" t="s">
        <v>20</v>
      </c>
      <c r="K909" s="5">
        <v>10.0</v>
      </c>
      <c r="N909" s="8">
        <v>44574.0</v>
      </c>
    </row>
    <row r="910">
      <c r="A910" s="5">
        <v>909.0</v>
      </c>
      <c r="B910" s="5" t="s">
        <v>205</v>
      </c>
      <c r="C910" s="5" t="s">
        <v>20</v>
      </c>
      <c r="K910" s="5">
        <v>150.0</v>
      </c>
      <c r="N910" s="8">
        <v>44939.0</v>
      </c>
    </row>
    <row r="911">
      <c r="A911" s="5">
        <v>910.0</v>
      </c>
      <c r="B911" s="5" t="s">
        <v>1922</v>
      </c>
      <c r="C911" s="5" t="s">
        <v>20</v>
      </c>
      <c r="N911" s="8">
        <v>45841.0</v>
      </c>
    </row>
    <row r="912">
      <c r="A912" s="5">
        <v>911.0</v>
      </c>
      <c r="B912" s="5" t="s">
        <v>207</v>
      </c>
      <c r="C912" s="5" t="s">
        <v>20</v>
      </c>
      <c r="K912" s="5">
        <v>30.0</v>
      </c>
      <c r="N912" s="8">
        <v>44762.0</v>
      </c>
    </row>
    <row r="913">
      <c r="A913" s="5">
        <v>912.0</v>
      </c>
      <c r="B913" s="5" t="s">
        <v>1923</v>
      </c>
      <c r="C913" s="5" t="s">
        <v>20</v>
      </c>
      <c r="K913" s="5">
        <v>50.0</v>
      </c>
      <c r="N913" s="8">
        <v>44409.0</v>
      </c>
    </row>
    <row r="914">
      <c r="A914" s="5">
        <v>913.0</v>
      </c>
      <c r="B914" s="5" t="s">
        <v>1924</v>
      </c>
      <c r="C914" s="5" t="s">
        <v>20</v>
      </c>
      <c r="N914" s="8">
        <v>44031.0</v>
      </c>
    </row>
    <row r="915">
      <c r="A915" s="5">
        <v>914.0</v>
      </c>
      <c r="B915" s="5" t="s">
        <v>1926</v>
      </c>
      <c r="C915" s="5" t="s">
        <v>20</v>
      </c>
      <c r="K915" s="5">
        <v>10.0</v>
      </c>
      <c r="N915" s="8">
        <v>43990.0</v>
      </c>
    </row>
    <row r="916">
      <c r="A916" s="5">
        <v>915.0</v>
      </c>
      <c r="B916" s="5" t="s">
        <v>1927</v>
      </c>
      <c r="C916" s="5" t="s">
        <v>20</v>
      </c>
      <c r="D916" s="5">
        <v>63.0</v>
      </c>
      <c r="H916" s="5" t="s">
        <v>19</v>
      </c>
      <c r="I916" s="9">
        <v>46143.552465277775</v>
      </c>
      <c r="J916" s="5" t="s">
        <v>78</v>
      </c>
      <c r="L916" s="5">
        <v>136000.0</v>
      </c>
      <c r="M916" s="5">
        <v>140000.0</v>
      </c>
      <c r="N916" s="8">
        <v>43523.0</v>
      </c>
      <c r="O916" s="5" t="s">
        <v>100</v>
      </c>
      <c r="P916" s="5" t="s">
        <v>25</v>
      </c>
      <c r="S916" s="5" t="s">
        <v>38</v>
      </c>
    </row>
    <row r="917">
      <c r="A917" s="5">
        <v>916.0</v>
      </c>
      <c r="B917" s="5" t="s">
        <v>1928</v>
      </c>
      <c r="C917" s="5" t="s">
        <v>20</v>
      </c>
      <c r="K917" s="5">
        <v>10.0</v>
      </c>
      <c r="N917" s="8">
        <v>44577.0</v>
      </c>
    </row>
    <row r="918">
      <c r="A918" s="5">
        <v>917.0</v>
      </c>
      <c r="B918" s="5" t="s">
        <v>1929</v>
      </c>
      <c r="C918" s="5" t="s">
        <v>20</v>
      </c>
      <c r="N918" s="8">
        <v>42869.0</v>
      </c>
    </row>
    <row r="919">
      <c r="A919" s="5">
        <v>918.0</v>
      </c>
      <c r="B919" s="5" t="s">
        <v>1932</v>
      </c>
      <c r="C919" s="5" t="s">
        <v>20</v>
      </c>
      <c r="K919" s="5">
        <v>70.0</v>
      </c>
      <c r="N919" s="8">
        <v>44127.0</v>
      </c>
    </row>
    <row r="920">
      <c r="A920" s="5">
        <v>919.0</v>
      </c>
      <c r="B920" s="5" t="s">
        <v>1935</v>
      </c>
      <c r="C920" s="5" t="s">
        <v>20</v>
      </c>
      <c r="K920" s="5">
        <v>200.0</v>
      </c>
      <c r="N920" s="8">
        <v>44492.0</v>
      </c>
    </row>
    <row r="921">
      <c r="A921" s="5">
        <v>920.0</v>
      </c>
      <c r="B921" s="5" t="s">
        <v>1937</v>
      </c>
      <c r="C921" s="5" t="s">
        <v>20</v>
      </c>
      <c r="N921" s="8">
        <v>44233.0</v>
      </c>
    </row>
    <row r="922">
      <c r="A922" s="5">
        <v>921.0</v>
      </c>
      <c r="B922" s="5" t="s">
        <v>211</v>
      </c>
      <c r="C922" s="5" t="s">
        <v>20</v>
      </c>
      <c r="K922" s="5">
        <v>30.0</v>
      </c>
      <c r="N922" s="8">
        <v>44539.0</v>
      </c>
    </row>
    <row r="923">
      <c r="A923" s="5">
        <v>922.0</v>
      </c>
      <c r="B923" s="5" t="s">
        <v>212</v>
      </c>
      <c r="C923" s="5" t="s">
        <v>20</v>
      </c>
      <c r="K923" s="5">
        <v>80.0</v>
      </c>
      <c r="N923" s="8">
        <v>44520.0</v>
      </c>
    </row>
    <row r="924">
      <c r="A924" s="5">
        <v>923.0</v>
      </c>
      <c r="B924" s="5" t="s">
        <v>1938</v>
      </c>
      <c r="C924" s="5" t="s">
        <v>20</v>
      </c>
      <c r="N924" s="8">
        <v>44701.0</v>
      </c>
    </row>
    <row r="925">
      <c r="A925" s="5">
        <v>924.0</v>
      </c>
      <c r="B925" s="5" t="s">
        <v>1940</v>
      </c>
      <c r="C925" s="5" t="s">
        <v>20</v>
      </c>
      <c r="K925" s="5">
        <v>20.0</v>
      </c>
      <c r="N925" s="8">
        <v>44342.0</v>
      </c>
    </row>
    <row r="926">
      <c r="A926" s="5">
        <v>925.0</v>
      </c>
      <c r="B926" s="5" t="s">
        <v>1941</v>
      </c>
      <c r="C926" s="5" t="s">
        <v>20</v>
      </c>
      <c r="N926" s="8">
        <v>43068.0</v>
      </c>
    </row>
    <row r="927">
      <c r="A927" s="5">
        <v>926.0</v>
      </c>
      <c r="B927" s="5" t="s">
        <v>1942</v>
      </c>
      <c r="C927" s="5" t="s">
        <v>20</v>
      </c>
      <c r="N927" s="8">
        <v>45206.0</v>
      </c>
    </row>
    <row r="928">
      <c r="A928" s="5">
        <v>927.0</v>
      </c>
      <c r="B928" s="5" t="s">
        <v>1944</v>
      </c>
      <c r="C928" s="5" t="s">
        <v>20</v>
      </c>
      <c r="K928" s="5">
        <v>10.0</v>
      </c>
      <c r="N928" s="8">
        <v>44314.0</v>
      </c>
    </row>
    <row r="929">
      <c r="A929" s="5">
        <v>928.0</v>
      </c>
      <c r="B929" s="5" t="s">
        <v>1945</v>
      </c>
      <c r="C929" s="5" t="s">
        <v>20</v>
      </c>
      <c r="N929" s="8">
        <v>42581.0</v>
      </c>
      <c r="O929" s="5" t="s">
        <v>24</v>
      </c>
      <c r="P929" s="5" t="s">
        <v>25</v>
      </c>
      <c r="S929" s="5" t="s">
        <v>38</v>
      </c>
    </row>
    <row r="930">
      <c r="A930" s="5">
        <v>929.0</v>
      </c>
      <c r="B930" s="5" t="s">
        <v>1946</v>
      </c>
      <c r="C930" s="5" t="s">
        <v>20</v>
      </c>
      <c r="K930" s="5">
        <v>250.0</v>
      </c>
      <c r="N930" s="8">
        <v>43995.0</v>
      </c>
    </row>
    <row r="931">
      <c r="A931" s="5">
        <v>930.0</v>
      </c>
      <c r="B931" s="5" t="s">
        <v>1947</v>
      </c>
      <c r="C931" s="5" t="s">
        <v>20</v>
      </c>
      <c r="N931" s="8">
        <v>43000.0</v>
      </c>
    </row>
    <row r="932">
      <c r="A932" s="5">
        <v>931.0</v>
      </c>
      <c r="B932" s="5" t="s">
        <v>215</v>
      </c>
      <c r="C932" s="5" t="s">
        <v>20</v>
      </c>
      <c r="K932" s="5">
        <v>300.0</v>
      </c>
      <c r="N932" s="8">
        <v>44848.0</v>
      </c>
    </row>
    <row r="933">
      <c r="A933" s="5">
        <v>932.0</v>
      </c>
      <c r="B933" s="5" t="s">
        <v>1949</v>
      </c>
      <c r="C933" s="5" t="s">
        <v>20</v>
      </c>
      <c r="K933" s="5">
        <v>1100.0</v>
      </c>
      <c r="N933" s="8">
        <v>44257.0</v>
      </c>
    </row>
    <row r="934">
      <c r="A934" s="5">
        <v>933.0</v>
      </c>
      <c r="B934" s="5" t="s">
        <v>1950</v>
      </c>
      <c r="C934" s="5" t="s">
        <v>20</v>
      </c>
      <c r="K934" s="5">
        <v>300.0</v>
      </c>
      <c r="N934" s="8">
        <v>44199.0</v>
      </c>
    </row>
    <row r="935">
      <c r="A935" s="5">
        <v>934.0</v>
      </c>
      <c r="B935" s="5" t="s">
        <v>1952</v>
      </c>
      <c r="C935" s="5" t="s">
        <v>20</v>
      </c>
      <c r="K935" s="5">
        <v>10.0</v>
      </c>
      <c r="N935" s="8">
        <v>44566.0</v>
      </c>
    </row>
    <row r="936">
      <c r="A936" s="5">
        <v>935.0</v>
      </c>
      <c r="B936" s="5" t="s">
        <v>1953</v>
      </c>
      <c r="C936" s="5" t="s">
        <v>20</v>
      </c>
      <c r="N936" s="8">
        <v>43227.0</v>
      </c>
    </row>
    <row r="937">
      <c r="A937" s="5">
        <v>936.0</v>
      </c>
      <c r="B937" s="5" t="s">
        <v>1954</v>
      </c>
      <c r="C937" s="5" t="s">
        <v>20</v>
      </c>
      <c r="N937" s="8">
        <v>45512.0</v>
      </c>
    </row>
    <row r="938">
      <c r="A938" s="5">
        <v>937.0</v>
      </c>
      <c r="B938" s="5" t="s">
        <v>1956</v>
      </c>
      <c r="C938" s="5" t="s">
        <v>20</v>
      </c>
      <c r="K938" s="5">
        <v>150.0</v>
      </c>
      <c r="N938" s="8">
        <v>44513.0</v>
      </c>
    </row>
    <row r="939">
      <c r="A939" s="5">
        <v>938.0</v>
      </c>
      <c r="B939" s="5" t="s">
        <v>1957</v>
      </c>
      <c r="C939" s="5" t="s">
        <v>20</v>
      </c>
      <c r="K939" s="5">
        <v>50.0</v>
      </c>
      <c r="N939" s="8">
        <v>44430.0</v>
      </c>
    </row>
    <row r="940">
      <c r="A940" s="5">
        <v>939.0</v>
      </c>
      <c r="B940" s="5" t="s">
        <v>1958</v>
      </c>
      <c r="C940" s="5" t="s">
        <v>20</v>
      </c>
      <c r="K940" s="5">
        <v>400.0</v>
      </c>
      <c r="N940" s="8">
        <v>44587.0</v>
      </c>
    </row>
    <row r="941">
      <c r="A941" s="5">
        <v>940.0</v>
      </c>
      <c r="B941" s="5" t="s">
        <v>1959</v>
      </c>
      <c r="C941" s="5" t="s">
        <v>20</v>
      </c>
      <c r="K941" s="5">
        <v>60.0</v>
      </c>
      <c r="N941" s="8">
        <v>44727.0</v>
      </c>
    </row>
    <row r="942">
      <c r="A942" s="5">
        <v>941.0</v>
      </c>
      <c r="B942" s="5" t="s">
        <v>1960</v>
      </c>
      <c r="C942" s="5" t="s">
        <v>20</v>
      </c>
      <c r="N942" s="8">
        <v>45232.0</v>
      </c>
    </row>
    <row r="943">
      <c r="A943" s="5">
        <v>942.0</v>
      </c>
      <c r="B943" s="5" t="s">
        <v>1961</v>
      </c>
      <c r="C943" s="5" t="s">
        <v>20</v>
      </c>
      <c r="K943" s="5">
        <v>1600.0</v>
      </c>
      <c r="N943" s="8">
        <v>44920.0</v>
      </c>
    </row>
    <row r="944">
      <c r="A944" s="5">
        <v>943.0</v>
      </c>
      <c r="B944" s="5" t="s">
        <v>217</v>
      </c>
      <c r="C944" s="5" t="s">
        <v>20</v>
      </c>
      <c r="K944" s="5">
        <v>30.0</v>
      </c>
      <c r="N944" s="8">
        <v>45578.0</v>
      </c>
    </row>
    <row r="945">
      <c r="A945" s="5">
        <v>944.0</v>
      </c>
      <c r="B945" s="5" t="s">
        <v>1963</v>
      </c>
      <c r="C945" s="5" t="s">
        <v>20</v>
      </c>
      <c r="N945" s="8">
        <v>44073.0</v>
      </c>
    </row>
    <row r="946">
      <c r="A946" s="5">
        <v>945.0</v>
      </c>
      <c r="B946" s="5" t="s">
        <v>1964</v>
      </c>
      <c r="C946" s="5" t="s">
        <v>20</v>
      </c>
      <c r="N946" s="8">
        <v>45150.0</v>
      </c>
    </row>
    <row r="947">
      <c r="A947" s="5">
        <v>946.0</v>
      </c>
      <c r="B947" s="5" t="s">
        <v>1966</v>
      </c>
      <c r="C947" s="5" t="s">
        <v>20</v>
      </c>
      <c r="K947" s="5">
        <v>90.0</v>
      </c>
      <c r="N947" s="8">
        <v>45203.0</v>
      </c>
    </row>
    <row r="948">
      <c r="A948" s="5">
        <v>947.0</v>
      </c>
      <c r="B948" s="5" t="s">
        <v>1968</v>
      </c>
      <c r="C948" s="5" t="s">
        <v>20</v>
      </c>
      <c r="N948" s="8">
        <v>45513.0</v>
      </c>
    </row>
    <row r="949">
      <c r="A949" s="5">
        <v>948.0</v>
      </c>
      <c r="B949" s="5" t="s">
        <v>561</v>
      </c>
      <c r="C949" s="5" t="s">
        <v>20</v>
      </c>
      <c r="N949" s="8">
        <v>42604.0</v>
      </c>
      <c r="O949" s="5" t="s">
        <v>464</v>
      </c>
      <c r="P949" s="5" t="s">
        <v>25</v>
      </c>
      <c r="S949" s="5" t="s">
        <v>157</v>
      </c>
    </row>
    <row r="950">
      <c r="A950" s="5">
        <v>949.0</v>
      </c>
      <c r="B950" s="5" t="s">
        <v>1971</v>
      </c>
      <c r="C950" s="5" t="s">
        <v>20</v>
      </c>
      <c r="N950" s="8">
        <v>44258.0</v>
      </c>
    </row>
    <row r="951">
      <c r="A951" s="5">
        <v>950.0</v>
      </c>
      <c r="B951" s="5" t="s">
        <v>218</v>
      </c>
      <c r="C951" s="5" t="s">
        <v>20</v>
      </c>
      <c r="K951" s="5">
        <v>50.0</v>
      </c>
      <c r="N951" s="8">
        <v>45238.0</v>
      </c>
    </row>
    <row r="952">
      <c r="A952" s="5">
        <v>951.0</v>
      </c>
      <c r="B952" s="5" t="s">
        <v>1973</v>
      </c>
      <c r="C952" s="5" t="s">
        <v>20</v>
      </c>
      <c r="K952" s="5">
        <v>250.0</v>
      </c>
      <c r="N952" s="8">
        <v>45243.0</v>
      </c>
    </row>
    <row r="953">
      <c r="A953" s="5">
        <v>952.0</v>
      </c>
      <c r="B953" s="5" t="s">
        <v>1975</v>
      </c>
      <c r="C953" s="5" t="s">
        <v>20</v>
      </c>
      <c r="K953" s="5">
        <v>1400.0</v>
      </c>
      <c r="N953" s="8">
        <v>44463.0</v>
      </c>
    </row>
    <row r="954">
      <c r="A954" s="5">
        <v>953.0</v>
      </c>
      <c r="B954" s="5" t="s">
        <v>1976</v>
      </c>
      <c r="C954" s="5" t="s">
        <v>20</v>
      </c>
      <c r="K954" s="5">
        <v>40.0</v>
      </c>
      <c r="N954" s="8">
        <v>44245.0</v>
      </c>
    </row>
    <row r="955">
      <c r="A955" s="5">
        <v>954.0</v>
      </c>
      <c r="B955" s="5" t="s">
        <v>1977</v>
      </c>
      <c r="C955" s="5" t="s">
        <v>20</v>
      </c>
      <c r="N955" s="8">
        <v>44599.0</v>
      </c>
    </row>
    <row r="956">
      <c r="A956" s="5">
        <v>955.0</v>
      </c>
      <c r="B956" s="5" t="s">
        <v>1978</v>
      </c>
      <c r="C956" s="5" t="s">
        <v>20</v>
      </c>
      <c r="N956" s="8">
        <v>42396.0</v>
      </c>
    </row>
    <row r="957">
      <c r="A957" s="5">
        <v>956.0</v>
      </c>
      <c r="B957" s="5" t="s">
        <v>219</v>
      </c>
      <c r="C957" s="5" t="s">
        <v>20</v>
      </c>
      <c r="K957" s="5">
        <v>200.0</v>
      </c>
      <c r="N957" s="8">
        <v>45273.0</v>
      </c>
    </row>
    <row r="958">
      <c r="A958" s="5">
        <v>957.0</v>
      </c>
      <c r="B958" s="5" t="s">
        <v>1979</v>
      </c>
      <c r="C958" s="5" t="s">
        <v>20</v>
      </c>
      <c r="N958" s="8">
        <v>45201.0</v>
      </c>
    </row>
    <row r="959">
      <c r="A959" s="5">
        <v>958.0</v>
      </c>
      <c r="B959" s="5" t="s">
        <v>222</v>
      </c>
      <c r="C959" s="5" t="s">
        <v>20</v>
      </c>
      <c r="K959" s="5">
        <v>200.0</v>
      </c>
      <c r="N959" s="8">
        <v>44697.0</v>
      </c>
    </row>
    <row r="960">
      <c r="A960" s="5">
        <v>959.0</v>
      </c>
      <c r="B960" s="5" t="s">
        <v>1980</v>
      </c>
      <c r="C960" s="5" t="s">
        <v>20</v>
      </c>
      <c r="N960" s="8">
        <v>45113.0</v>
      </c>
    </row>
    <row r="961">
      <c r="A961" s="5">
        <v>960.0</v>
      </c>
      <c r="B961" s="5" t="s">
        <v>1981</v>
      </c>
      <c r="C961" s="5" t="s">
        <v>20</v>
      </c>
      <c r="N961" s="8">
        <v>45513.0</v>
      </c>
    </row>
    <row r="962">
      <c r="A962" s="5">
        <v>961.0</v>
      </c>
      <c r="B962" s="5" t="s">
        <v>1982</v>
      </c>
      <c r="C962" s="5" t="s">
        <v>20</v>
      </c>
      <c r="K962" s="5">
        <v>20.0</v>
      </c>
      <c r="N962" s="8">
        <v>44878.0</v>
      </c>
    </row>
    <row r="963">
      <c r="A963" s="5">
        <v>962.0</v>
      </c>
      <c r="B963" s="5" t="s">
        <v>1983</v>
      </c>
      <c r="C963" s="5" t="s">
        <v>20</v>
      </c>
      <c r="N963" s="8">
        <v>44432.0</v>
      </c>
    </row>
    <row r="964">
      <c r="A964" s="5">
        <v>963.0</v>
      </c>
      <c r="B964" s="5" t="s">
        <v>1984</v>
      </c>
      <c r="C964" s="5" t="s">
        <v>20</v>
      </c>
      <c r="K964" s="5">
        <v>10.0</v>
      </c>
      <c r="N964" s="8">
        <v>42442.0</v>
      </c>
    </row>
    <row r="965">
      <c r="A965" s="5">
        <v>964.0</v>
      </c>
      <c r="B965" s="5" t="s">
        <v>1985</v>
      </c>
      <c r="C965" s="5" t="s">
        <v>20</v>
      </c>
      <c r="N965" s="8">
        <v>45367.0</v>
      </c>
    </row>
    <row r="966">
      <c r="A966" s="5">
        <v>965.0</v>
      </c>
      <c r="B966" s="5" t="s">
        <v>1986</v>
      </c>
      <c r="C966" s="5" t="s">
        <v>20</v>
      </c>
      <c r="N966" s="8">
        <v>44098.0</v>
      </c>
    </row>
    <row r="967">
      <c r="A967" s="5">
        <v>966.0</v>
      </c>
      <c r="B967" s="5" t="s">
        <v>565</v>
      </c>
      <c r="C967" s="5" t="s">
        <v>20</v>
      </c>
      <c r="N967" s="8">
        <v>42801.0</v>
      </c>
      <c r="O967" s="5" t="s">
        <v>24</v>
      </c>
      <c r="P967" s="5" t="s">
        <v>25</v>
      </c>
      <c r="S967" s="5" t="s">
        <v>38</v>
      </c>
    </row>
    <row r="968">
      <c r="A968" s="5">
        <v>967.0</v>
      </c>
      <c r="B968" s="5" t="s">
        <v>1987</v>
      </c>
      <c r="C968" s="5" t="s">
        <v>20</v>
      </c>
      <c r="K968" s="5">
        <v>30.0</v>
      </c>
      <c r="N968" s="8">
        <v>44282.0</v>
      </c>
    </row>
    <row r="969">
      <c r="A969" s="5">
        <v>968.0</v>
      </c>
      <c r="B969" s="5" t="s">
        <v>1988</v>
      </c>
      <c r="C969" s="5" t="s">
        <v>20</v>
      </c>
      <c r="N969" s="8">
        <v>42918.0</v>
      </c>
    </row>
    <row r="970">
      <c r="A970" s="5">
        <v>969.0</v>
      </c>
      <c r="B970" s="5" t="s">
        <v>1989</v>
      </c>
      <c r="C970" s="5" t="s">
        <v>20</v>
      </c>
      <c r="K970" s="5">
        <v>250.0</v>
      </c>
      <c r="N970" s="8">
        <v>44411.0</v>
      </c>
    </row>
    <row r="971">
      <c r="A971" s="5">
        <v>970.0</v>
      </c>
      <c r="B971" s="5" t="s">
        <v>1990</v>
      </c>
      <c r="C971" s="5" t="s">
        <v>20</v>
      </c>
      <c r="N971" s="8">
        <v>45083.0</v>
      </c>
    </row>
    <row r="972">
      <c r="A972" s="5">
        <v>971.0</v>
      </c>
      <c r="B972" s="5" t="s">
        <v>1991</v>
      </c>
      <c r="C972" s="5" t="s">
        <v>20</v>
      </c>
      <c r="K972" s="5">
        <v>100.0</v>
      </c>
      <c r="N972" s="8">
        <v>43841.0</v>
      </c>
    </row>
    <row r="973">
      <c r="A973" s="5">
        <v>972.0</v>
      </c>
      <c r="B973" s="5" t="s">
        <v>1992</v>
      </c>
      <c r="C973" s="5" t="s">
        <v>20</v>
      </c>
      <c r="K973" s="5">
        <v>150.0</v>
      </c>
      <c r="N973" s="8">
        <v>45408.0</v>
      </c>
    </row>
    <row r="974">
      <c r="A974" s="5">
        <v>973.0</v>
      </c>
      <c r="B974" s="5" t="s">
        <v>1993</v>
      </c>
      <c r="C974" s="5" t="s">
        <v>20</v>
      </c>
      <c r="K974" s="5">
        <v>20.0</v>
      </c>
      <c r="N974" s="8">
        <v>44435.0</v>
      </c>
    </row>
    <row r="975">
      <c r="A975" s="5">
        <v>974.0</v>
      </c>
      <c r="B975" s="5" t="s">
        <v>224</v>
      </c>
      <c r="C975" s="5" t="s">
        <v>20</v>
      </c>
      <c r="K975" s="5">
        <v>40.0</v>
      </c>
      <c r="N975" s="8">
        <v>45296.0</v>
      </c>
    </row>
    <row r="976">
      <c r="A976" s="5">
        <v>975.0</v>
      </c>
      <c r="B976" s="5" t="s">
        <v>567</v>
      </c>
      <c r="C976" s="5" t="s">
        <v>20</v>
      </c>
      <c r="D976" s="5">
        <v>10.0</v>
      </c>
      <c r="H976" s="5" t="s">
        <v>40</v>
      </c>
      <c r="I976" s="9">
        <v>46118.29240740741</v>
      </c>
      <c r="J976" s="5" t="s">
        <v>568</v>
      </c>
      <c r="K976" s="5">
        <v>10.0</v>
      </c>
      <c r="L976" s="5">
        <v>20000.0</v>
      </c>
      <c r="M976" s="5">
        <v>21000.0</v>
      </c>
      <c r="N976" s="8">
        <v>42284.0</v>
      </c>
      <c r="O976" s="5" t="s">
        <v>184</v>
      </c>
      <c r="P976" s="5" t="s">
        <v>25</v>
      </c>
      <c r="S976" s="5" t="s">
        <v>38</v>
      </c>
    </row>
    <row r="977">
      <c r="A977" s="5">
        <v>976.0</v>
      </c>
      <c r="B977" s="5" t="s">
        <v>1994</v>
      </c>
      <c r="C977" s="5" t="s">
        <v>20</v>
      </c>
      <c r="K977" s="5">
        <v>200.0</v>
      </c>
      <c r="N977" s="8">
        <v>44430.0</v>
      </c>
    </row>
    <row r="978">
      <c r="A978" s="5">
        <v>977.0</v>
      </c>
      <c r="B978" s="5" t="s">
        <v>1995</v>
      </c>
      <c r="C978" s="5" t="s">
        <v>20</v>
      </c>
      <c r="K978" s="5">
        <v>150.0</v>
      </c>
      <c r="N978" s="8">
        <v>44134.0</v>
      </c>
    </row>
    <row r="979">
      <c r="A979" s="5">
        <v>978.0</v>
      </c>
      <c r="B979" s="5" t="s">
        <v>1997</v>
      </c>
      <c r="C979" s="5" t="s">
        <v>20</v>
      </c>
      <c r="N979" s="8">
        <v>44238.0</v>
      </c>
    </row>
    <row r="980">
      <c r="A980" s="5">
        <v>979.0</v>
      </c>
      <c r="B980" s="5" t="s">
        <v>1998</v>
      </c>
      <c r="C980" s="5" t="s">
        <v>20</v>
      </c>
      <c r="K980" s="5">
        <v>450.0</v>
      </c>
      <c r="N980" s="8">
        <v>44838.0</v>
      </c>
    </row>
    <row r="981">
      <c r="A981" s="5">
        <v>980.0</v>
      </c>
      <c r="B981" s="5" t="s">
        <v>1999</v>
      </c>
      <c r="C981" s="5" t="s">
        <v>20</v>
      </c>
      <c r="K981" s="5">
        <v>150.0</v>
      </c>
      <c r="N981" s="8">
        <v>45096.0</v>
      </c>
    </row>
    <row r="982">
      <c r="A982" s="5">
        <v>981.0</v>
      </c>
      <c r="B982" s="5" t="s">
        <v>2000</v>
      </c>
      <c r="C982" s="5" t="s">
        <v>20</v>
      </c>
      <c r="N982" s="8">
        <v>42289.0</v>
      </c>
    </row>
    <row r="983">
      <c r="A983" s="5">
        <v>982.0</v>
      </c>
      <c r="B983" s="5" t="s">
        <v>2001</v>
      </c>
      <c r="C983" s="5" t="s">
        <v>20</v>
      </c>
      <c r="K983" s="5">
        <v>1100.0</v>
      </c>
      <c r="N983" s="8">
        <v>44213.0</v>
      </c>
    </row>
    <row r="984">
      <c r="A984" s="5">
        <v>983.0</v>
      </c>
      <c r="B984" s="5" t="s">
        <v>2002</v>
      </c>
      <c r="C984" s="5" t="s">
        <v>20</v>
      </c>
      <c r="K984" s="5">
        <v>10.0</v>
      </c>
      <c r="N984" s="8">
        <v>45242.0</v>
      </c>
    </row>
    <row r="985">
      <c r="A985" s="5">
        <v>984.0</v>
      </c>
      <c r="B985" s="5" t="s">
        <v>2003</v>
      </c>
      <c r="C985" s="5" t="s">
        <v>20</v>
      </c>
      <c r="K985" s="5">
        <v>500.0</v>
      </c>
      <c r="N985" s="8">
        <v>44015.0</v>
      </c>
    </row>
    <row r="986">
      <c r="A986" s="5">
        <v>985.0</v>
      </c>
      <c r="B986" s="5" t="s">
        <v>2005</v>
      </c>
      <c r="C986" s="5" t="s">
        <v>20</v>
      </c>
      <c r="N986" s="8">
        <v>44417.0</v>
      </c>
    </row>
    <row r="987">
      <c r="A987" s="5">
        <v>986.0</v>
      </c>
      <c r="B987" s="5" t="s">
        <v>2006</v>
      </c>
      <c r="C987" s="5" t="s">
        <v>20</v>
      </c>
      <c r="D987" s="5">
        <v>0.0</v>
      </c>
      <c r="H987" s="5" t="s">
        <v>19</v>
      </c>
      <c r="I987" s="9">
        <v>46154.81804398148</v>
      </c>
      <c r="J987" s="5" t="s">
        <v>78</v>
      </c>
      <c r="L987" s="5">
        <v>131000.0</v>
      </c>
      <c r="M987" s="5">
        <v>135000.0</v>
      </c>
      <c r="N987" s="8">
        <v>42970.0</v>
      </c>
      <c r="O987" s="5" t="s">
        <v>184</v>
      </c>
      <c r="P987" s="5" t="s">
        <v>25</v>
      </c>
      <c r="S987" s="5" t="s">
        <v>29</v>
      </c>
    </row>
    <row r="988">
      <c r="A988" s="5">
        <v>987.0</v>
      </c>
      <c r="B988" s="5" t="s">
        <v>2008</v>
      </c>
      <c r="C988" s="5" t="s">
        <v>20</v>
      </c>
      <c r="N988" s="8">
        <v>44523.0</v>
      </c>
    </row>
    <row r="989">
      <c r="A989" s="5">
        <v>988.0</v>
      </c>
      <c r="B989" s="5" t="s">
        <v>2010</v>
      </c>
      <c r="C989" s="5" t="s">
        <v>20</v>
      </c>
      <c r="K989" s="5">
        <v>40.0</v>
      </c>
      <c r="N989" s="8">
        <v>45073.0</v>
      </c>
    </row>
    <row r="990">
      <c r="A990" s="5">
        <v>989.0</v>
      </c>
      <c r="B990" s="5" t="s">
        <v>2011</v>
      </c>
      <c r="C990" s="5" t="s">
        <v>20</v>
      </c>
      <c r="K990" s="5">
        <v>100.0</v>
      </c>
      <c r="N990" s="8">
        <v>44345.0</v>
      </c>
    </row>
    <row r="991">
      <c r="A991" s="5">
        <v>990.0</v>
      </c>
      <c r="B991" s="5" t="s">
        <v>2012</v>
      </c>
      <c r="C991" s="5" t="s">
        <v>20</v>
      </c>
      <c r="K991" s="5">
        <v>10.0</v>
      </c>
      <c r="N991" s="8">
        <v>44020.0</v>
      </c>
    </row>
    <row r="992">
      <c r="A992" s="5">
        <v>991.0</v>
      </c>
      <c r="B992" s="5" t="s">
        <v>2013</v>
      </c>
      <c r="C992" s="5" t="s">
        <v>20</v>
      </c>
      <c r="N992" s="8">
        <v>44923.0</v>
      </c>
    </row>
    <row r="993">
      <c r="A993" s="5">
        <v>992.0</v>
      </c>
      <c r="B993" s="5" t="s">
        <v>2014</v>
      </c>
      <c r="C993" s="5" t="s">
        <v>20</v>
      </c>
      <c r="K993" s="5">
        <v>10.0</v>
      </c>
      <c r="N993" s="8">
        <v>44023.0</v>
      </c>
    </row>
    <row r="994">
      <c r="A994" s="5">
        <v>993.0</v>
      </c>
      <c r="B994" s="5" t="s">
        <v>2016</v>
      </c>
      <c r="C994" s="5" t="s">
        <v>20</v>
      </c>
      <c r="K994" s="5">
        <v>150.0</v>
      </c>
      <c r="N994" s="8">
        <v>44077.0</v>
      </c>
    </row>
    <row r="995">
      <c r="A995" s="5">
        <v>994.0</v>
      </c>
      <c r="B995" s="5" t="s">
        <v>2017</v>
      </c>
      <c r="C995" s="5" t="s">
        <v>20</v>
      </c>
      <c r="K995" s="5">
        <v>250.0</v>
      </c>
      <c r="N995" s="8">
        <v>44120.0</v>
      </c>
    </row>
    <row r="996">
      <c r="A996" s="5">
        <v>995.0</v>
      </c>
      <c r="B996" s="5" t="s">
        <v>2019</v>
      </c>
      <c r="C996" s="5" t="s">
        <v>20</v>
      </c>
      <c r="K996" s="5">
        <v>150.0</v>
      </c>
      <c r="N996" s="8">
        <v>44677.0</v>
      </c>
    </row>
    <row r="997">
      <c r="A997" s="5">
        <v>996.0</v>
      </c>
      <c r="B997" s="5" t="s">
        <v>2020</v>
      </c>
      <c r="C997" s="5" t="s">
        <v>20</v>
      </c>
      <c r="N997" s="8">
        <v>42265.0</v>
      </c>
    </row>
    <row r="998">
      <c r="A998" s="5">
        <v>997.0</v>
      </c>
      <c r="B998" s="5" t="s">
        <v>2021</v>
      </c>
      <c r="C998" s="5" t="s">
        <v>20</v>
      </c>
      <c r="K998" s="5">
        <v>20.0</v>
      </c>
      <c r="N998" s="8">
        <v>44153.0</v>
      </c>
    </row>
    <row r="999">
      <c r="A999" s="5">
        <v>998.0</v>
      </c>
      <c r="B999" s="5" t="s">
        <v>2023</v>
      </c>
      <c r="C999" s="5" t="s">
        <v>20</v>
      </c>
      <c r="K999" s="5">
        <v>300.0</v>
      </c>
      <c r="N999" s="8">
        <v>44331.0</v>
      </c>
    </row>
    <row r="1000">
      <c r="A1000" s="5">
        <v>999.0</v>
      </c>
      <c r="B1000" s="5" t="s">
        <v>2024</v>
      </c>
      <c r="C1000" s="5" t="s">
        <v>20</v>
      </c>
      <c r="K1000" s="5">
        <v>150.0</v>
      </c>
      <c r="N1000" s="8">
        <v>45103.0</v>
      </c>
    </row>
    <row r="1001">
      <c r="A1001" s="5">
        <v>1000.0</v>
      </c>
      <c r="B1001" s="5" t="s">
        <v>2025</v>
      </c>
      <c r="C1001" s="5" t="s">
        <v>20</v>
      </c>
      <c r="K1001" s="5">
        <v>300.0</v>
      </c>
      <c r="N1001" s="8">
        <v>44359.0</v>
      </c>
    </row>
    <row r="1002">
      <c r="A1002" s="5">
        <v>1001.0</v>
      </c>
      <c r="B1002" s="5" t="s">
        <v>2026</v>
      </c>
      <c r="C1002" s="5" t="s">
        <v>20</v>
      </c>
      <c r="K1002" s="5">
        <v>150.0</v>
      </c>
      <c r="N1002" s="8">
        <v>45336.0</v>
      </c>
    </row>
    <row r="1003">
      <c r="A1003" s="5">
        <v>1002.0</v>
      </c>
      <c r="B1003" s="5" t="s">
        <v>2027</v>
      </c>
      <c r="C1003" s="5" t="s">
        <v>20</v>
      </c>
      <c r="N1003" s="8">
        <v>44314.0</v>
      </c>
    </row>
    <row r="1004">
      <c r="A1004" s="5">
        <v>1003.0</v>
      </c>
      <c r="B1004" s="5" t="s">
        <v>2028</v>
      </c>
      <c r="C1004" s="5" t="s">
        <v>20</v>
      </c>
      <c r="K1004" s="5">
        <v>2700.0</v>
      </c>
      <c r="N1004" s="8">
        <v>43894.0</v>
      </c>
    </row>
    <row r="1005">
      <c r="A1005" s="5">
        <v>1004.0</v>
      </c>
      <c r="B1005" s="5" t="s">
        <v>2029</v>
      </c>
      <c r="C1005" s="5" t="s">
        <v>20</v>
      </c>
      <c r="K1005" s="5">
        <v>60.0</v>
      </c>
      <c r="N1005" s="8">
        <v>43887.0</v>
      </c>
    </row>
    <row r="1006">
      <c r="A1006" s="5">
        <v>1005.0</v>
      </c>
      <c r="B1006" s="5" t="s">
        <v>2030</v>
      </c>
      <c r="C1006" s="5" t="s">
        <v>20</v>
      </c>
      <c r="N1006" s="8">
        <v>44898.0</v>
      </c>
    </row>
    <row r="1007">
      <c r="A1007" s="5">
        <v>1006.0</v>
      </c>
      <c r="B1007" s="5" t="s">
        <v>2031</v>
      </c>
      <c r="C1007" s="5" t="s">
        <v>20</v>
      </c>
      <c r="K1007" s="5">
        <v>250.0</v>
      </c>
      <c r="N1007" s="8">
        <v>43955.0</v>
      </c>
    </row>
    <row r="1008">
      <c r="A1008" s="5">
        <v>1007.0</v>
      </c>
      <c r="B1008" s="5" t="s">
        <v>2033</v>
      </c>
      <c r="C1008" s="5" t="s">
        <v>20</v>
      </c>
      <c r="K1008" s="5">
        <v>80.0</v>
      </c>
      <c r="N1008" s="8">
        <v>44082.0</v>
      </c>
    </row>
    <row r="1009">
      <c r="A1009" s="5">
        <v>1008.0</v>
      </c>
      <c r="B1009" s="5" t="s">
        <v>2034</v>
      </c>
      <c r="C1009" s="5" t="s">
        <v>20</v>
      </c>
      <c r="K1009" s="5">
        <v>60.0</v>
      </c>
      <c r="N1009" s="8">
        <v>44198.0</v>
      </c>
    </row>
    <row r="1010">
      <c r="A1010" s="5">
        <v>1009.0</v>
      </c>
      <c r="B1010" s="5" t="s">
        <v>2035</v>
      </c>
      <c r="C1010" s="5" t="s">
        <v>20</v>
      </c>
      <c r="K1010" s="5">
        <v>30.0</v>
      </c>
      <c r="N1010" s="8">
        <v>44564.0</v>
      </c>
    </row>
    <row r="1011">
      <c r="A1011" s="5">
        <v>1010.0</v>
      </c>
      <c r="B1011" s="5" t="s">
        <v>2036</v>
      </c>
      <c r="C1011" s="5" t="s">
        <v>20</v>
      </c>
      <c r="K1011" s="5">
        <v>350.0</v>
      </c>
      <c r="N1011" s="8">
        <v>44879.0</v>
      </c>
    </row>
    <row r="1012">
      <c r="A1012" s="5">
        <v>1011.0</v>
      </c>
      <c r="B1012" s="5" t="s">
        <v>2038</v>
      </c>
      <c r="C1012" s="5" t="s">
        <v>20</v>
      </c>
      <c r="K1012" s="5">
        <v>100.0</v>
      </c>
      <c r="N1012" s="8">
        <v>44732.0</v>
      </c>
    </row>
    <row r="1013">
      <c r="A1013" s="5">
        <v>1012.0</v>
      </c>
      <c r="B1013" s="5" t="s">
        <v>2039</v>
      </c>
      <c r="C1013" s="5" t="s">
        <v>20</v>
      </c>
      <c r="K1013" s="5">
        <v>150.0</v>
      </c>
      <c r="N1013" s="8">
        <v>44641.0</v>
      </c>
    </row>
    <row r="1014">
      <c r="A1014" s="5">
        <v>1013.0</v>
      </c>
      <c r="B1014" s="5" t="s">
        <v>2040</v>
      </c>
      <c r="C1014" s="5" t="s">
        <v>20</v>
      </c>
      <c r="N1014" s="8">
        <v>43125.0</v>
      </c>
      <c r="O1014" s="5" t="s">
        <v>71</v>
      </c>
      <c r="P1014" s="5" t="s">
        <v>25</v>
      </c>
      <c r="S1014" s="5" t="s">
        <v>29</v>
      </c>
    </row>
    <row r="1015">
      <c r="A1015" s="5">
        <v>1014.0</v>
      </c>
      <c r="B1015" s="5" t="s">
        <v>2042</v>
      </c>
      <c r="C1015" s="5" t="s">
        <v>20</v>
      </c>
      <c r="N1015" s="8">
        <v>44135.0</v>
      </c>
    </row>
    <row r="1016">
      <c r="A1016" s="5">
        <v>1015.0</v>
      </c>
      <c r="B1016" s="5" t="s">
        <v>2043</v>
      </c>
      <c r="C1016" s="5" t="s">
        <v>20</v>
      </c>
      <c r="K1016" s="5">
        <v>500.0</v>
      </c>
      <c r="N1016" s="8">
        <v>44770.0</v>
      </c>
    </row>
    <row r="1017">
      <c r="A1017" s="5">
        <v>1016.0</v>
      </c>
      <c r="B1017" s="5" t="s">
        <v>2045</v>
      </c>
      <c r="C1017" s="5" t="s">
        <v>20</v>
      </c>
      <c r="K1017" s="5">
        <v>1700.0</v>
      </c>
      <c r="N1017" s="8">
        <v>43898.0</v>
      </c>
    </row>
    <row r="1018">
      <c r="A1018" s="5">
        <v>1017.0</v>
      </c>
      <c r="B1018" s="5" t="s">
        <v>2046</v>
      </c>
      <c r="C1018" s="5" t="s">
        <v>20</v>
      </c>
      <c r="K1018" s="5">
        <v>40.0</v>
      </c>
      <c r="N1018" s="8">
        <v>43951.0</v>
      </c>
    </row>
    <row r="1019">
      <c r="A1019" s="5">
        <v>1018.0</v>
      </c>
      <c r="B1019" s="5" t="s">
        <v>225</v>
      </c>
      <c r="C1019" s="5" t="s">
        <v>20</v>
      </c>
      <c r="K1019" s="5">
        <v>20.0</v>
      </c>
      <c r="N1019" s="8">
        <v>44817.0</v>
      </c>
    </row>
    <row r="1020">
      <c r="A1020" s="5">
        <v>1019.0</v>
      </c>
      <c r="B1020" s="5" t="s">
        <v>2047</v>
      </c>
      <c r="C1020" s="5" t="s">
        <v>20</v>
      </c>
      <c r="N1020" s="8">
        <v>44617.0</v>
      </c>
      <c r="O1020" s="5" t="s">
        <v>184</v>
      </c>
      <c r="P1020" s="5" t="s">
        <v>25</v>
      </c>
      <c r="S1020" s="5" t="s">
        <v>29</v>
      </c>
    </row>
    <row r="1021">
      <c r="A1021" s="5">
        <v>1020.0</v>
      </c>
      <c r="B1021" s="5" t="s">
        <v>2048</v>
      </c>
      <c r="C1021" s="5" t="s">
        <v>20</v>
      </c>
      <c r="N1021" s="8">
        <v>42353.0</v>
      </c>
    </row>
    <row r="1022">
      <c r="A1022" s="5">
        <v>1021.0</v>
      </c>
      <c r="B1022" s="5" t="s">
        <v>2049</v>
      </c>
      <c r="C1022" s="5" t="s">
        <v>20</v>
      </c>
      <c r="N1022" s="8">
        <v>43671.0</v>
      </c>
    </row>
    <row r="1023">
      <c r="A1023" s="5">
        <v>1022.0</v>
      </c>
      <c r="B1023" s="5" t="s">
        <v>2050</v>
      </c>
      <c r="C1023" s="5" t="s">
        <v>20</v>
      </c>
      <c r="N1023" s="8">
        <v>45359.0</v>
      </c>
    </row>
    <row r="1024">
      <c r="A1024" s="5">
        <v>1023.0</v>
      </c>
      <c r="B1024" s="5" t="s">
        <v>2051</v>
      </c>
      <c r="C1024" s="5" t="s">
        <v>20</v>
      </c>
      <c r="N1024" s="8">
        <v>45543.0</v>
      </c>
    </row>
    <row r="1025">
      <c r="A1025" s="5">
        <v>1024.0</v>
      </c>
      <c r="B1025" s="5" t="s">
        <v>2052</v>
      </c>
      <c r="C1025" s="5" t="s">
        <v>20</v>
      </c>
      <c r="K1025" s="5">
        <v>90.0</v>
      </c>
      <c r="N1025" s="8">
        <v>44232.0</v>
      </c>
    </row>
    <row r="1026">
      <c r="A1026" s="5">
        <v>1025.0</v>
      </c>
      <c r="B1026" s="5" t="s">
        <v>2053</v>
      </c>
      <c r="C1026" s="5" t="s">
        <v>20</v>
      </c>
      <c r="K1026" s="5">
        <v>200.0</v>
      </c>
      <c r="N1026" s="8">
        <v>45270.0</v>
      </c>
    </row>
    <row r="1027">
      <c r="A1027" s="5">
        <v>1026.0</v>
      </c>
      <c r="B1027" s="5" t="s">
        <v>2054</v>
      </c>
      <c r="C1027" s="5" t="s">
        <v>20</v>
      </c>
      <c r="K1027" s="5">
        <v>100.0</v>
      </c>
      <c r="N1027" s="8">
        <v>44808.0</v>
      </c>
    </row>
    <row r="1028">
      <c r="A1028" s="5">
        <v>1027.0</v>
      </c>
      <c r="B1028" s="5" t="s">
        <v>2055</v>
      </c>
      <c r="C1028" s="5" t="s">
        <v>20</v>
      </c>
      <c r="N1028" s="8">
        <v>44503.0</v>
      </c>
    </row>
    <row r="1029">
      <c r="A1029" s="5">
        <v>1028.0</v>
      </c>
      <c r="B1029" s="5" t="s">
        <v>2056</v>
      </c>
      <c r="C1029" s="5" t="s">
        <v>20</v>
      </c>
      <c r="K1029" s="5">
        <v>250.0</v>
      </c>
      <c r="N1029" s="8">
        <v>45594.0</v>
      </c>
    </row>
    <row r="1030">
      <c r="A1030" s="5">
        <v>1029.0</v>
      </c>
      <c r="B1030" s="5" t="s">
        <v>2057</v>
      </c>
      <c r="C1030" s="5" t="s">
        <v>20</v>
      </c>
      <c r="K1030" s="5">
        <v>7800.0</v>
      </c>
      <c r="N1030" s="8">
        <v>43374.0</v>
      </c>
    </row>
    <row r="1031">
      <c r="A1031" s="5">
        <v>1030.0</v>
      </c>
      <c r="B1031" s="5" t="s">
        <v>2058</v>
      </c>
      <c r="C1031" s="5" t="s">
        <v>20</v>
      </c>
      <c r="K1031" s="5">
        <v>10.0</v>
      </c>
      <c r="N1031" s="8">
        <v>45009.0</v>
      </c>
    </row>
    <row r="1032">
      <c r="A1032" s="5">
        <v>1031.0</v>
      </c>
      <c r="B1032" s="5" t="s">
        <v>2059</v>
      </c>
      <c r="C1032" s="5" t="s">
        <v>20</v>
      </c>
      <c r="N1032" s="8">
        <v>44524.0</v>
      </c>
    </row>
    <row r="1033">
      <c r="A1033" s="5">
        <v>1032.0</v>
      </c>
      <c r="B1033" s="5" t="s">
        <v>2060</v>
      </c>
      <c r="C1033" s="5" t="s">
        <v>20</v>
      </c>
      <c r="N1033" s="8">
        <v>43812.0</v>
      </c>
    </row>
    <row r="1034">
      <c r="A1034" s="5">
        <v>1033.0</v>
      </c>
      <c r="B1034" s="5" t="s">
        <v>2062</v>
      </c>
      <c r="C1034" s="5" t="s">
        <v>20</v>
      </c>
      <c r="K1034" s="5">
        <v>200.0</v>
      </c>
      <c r="N1034" s="8">
        <v>45003.0</v>
      </c>
    </row>
    <row r="1035">
      <c r="A1035" s="5">
        <v>1034.0</v>
      </c>
      <c r="B1035" s="5" t="s">
        <v>2063</v>
      </c>
      <c r="C1035" s="5" t="s">
        <v>20</v>
      </c>
      <c r="N1035" s="8">
        <v>44445.0</v>
      </c>
      <c r="O1035" s="5" t="s">
        <v>80</v>
      </c>
      <c r="P1035" s="5" t="s">
        <v>25</v>
      </c>
      <c r="S1035" s="5" t="s">
        <v>38</v>
      </c>
    </row>
    <row r="1036">
      <c r="A1036" s="5">
        <v>1035.0</v>
      </c>
      <c r="B1036" s="5" t="s">
        <v>2064</v>
      </c>
      <c r="C1036" s="5" t="s">
        <v>20</v>
      </c>
      <c r="K1036" s="5">
        <v>100.0</v>
      </c>
      <c r="N1036" s="8">
        <v>44595.0</v>
      </c>
    </row>
    <row r="1037">
      <c r="A1037" s="5">
        <v>1036.0</v>
      </c>
      <c r="B1037" s="5" t="s">
        <v>2065</v>
      </c>
      <c r="C1037" s="5" t="s">
        <v>20</v>
      </c>
      <c r="N1037" s="8">
        <v>45692.0</v>
      </c>
    </row>
    <row r="1038">
      <c r="A1038" s="5">
        <v>1037.0</v>
      </c>
      <c r="B1038" s="5" t="s">
        <v>2067</v>
      </c>
      <c r="C1038" s="5" t="s">
        <v>20</v>
      </c>
      <c r="K1038" s="5">
        <v>30.0</v>
      </c>
      <c r="N1038" s="8">
        <v>45367.0</v>
      </c>
    </row>
    <row r="1039">
      <c r="A1039" s="5">
        <v>1038.0</v>
      </c>
      <c r="B1039" s="5" t="s">
        <v>2068</v>
      </c>
      <c r="C1039" s="5" t="s">
        <v>20</v>
      </c>
      <c r="N1039" s="8">
        <v>44567.0</v>
      </c>
    </row>
    <row r="1040">
      <c r="A1040" s="5">
        <v>1039.0</v>
      </c>
      <c r="B1040" s="5" t="s">
        <v>2070</v>
      </c>
      <c r="C1040" s="5" t="s">
        <v>20</v>
      </c>
      <c r="K1040" s="5">
        <v>150.0</v>
      </c>
      <c r="N1040" s="8">
        <v>44406.0</v>
      </c>
    </row>
    <row r="1041">
      <c r="A1041" s="5">
        <v>1040.0</v>
      </c>
      <c r="B1041" s="5" t="s">
        <v>2073</v>
      </c>
      <c r="C1041" s="5" t="s">
        <v>20</v>
      </c>
      <c r="K1041" s="5">
        <v>10.0</v>
      </c>
      <c r="N1041" s="8">
        <v>44524.0</v>
      </c>
    </row>
    <row r="1042">
      <c r="A1042" s="5">
        <v>1041.0</v>
      </c>
      <c r="B1042" s="5" t="s">
        <v>2074</v>
      </c>
      <c r="C1042" s="5" t="s">
        <v>20</v>
      </c>
      <c r="K1042" s="5">
        <v>600.0</v>
      </c>
      <c r="N1042" s="8">
        <v>44123.0</v>
      </c>
    </row>
    <row r="1043">
      <c r="A1043" s="5">
        <v>1042.0</v>
      </c>
      <c r="B1043" s="5" t="s">
        <v>2076</v>
      </c>
      <c r="C1043" s="5" t="s">
        <v>20</v>
      </c>
      <c r="K1043" s="5">
        <v>30.0</v>
      </c>
      <c r="N1043" s="8">
        <v>44730.0</v>
      </c>
    </row>
    <row r="1044">
      <c r="A1044" s="5">
        <v>1043.0</v>
      </c>
      <c r="B1044" s="5" t="s">
        <v>2077</v>
      </c>
      <c r="C1044" s="5" t="s">
        <v>20</v>
      </c>
      <c r="N1044" s="8">
        <v>42494.0</v>
      </c>
      <c r="O1044" s="5" t="s">
        <v>24</v>
      </c>
      <c r="P1044" s="5" t="s">
        <v>25</v>
      </c>
      <c r="S1044" s="5" t="s">
        <v>2078</v>
      </c>
    </row>
    <row r="1045">
      <c r="A1045" s="5">
        <v>1044.0</v>
      </c>
      <c r="B1045" s="5" t="s">
        <v>2079</v>
      </c>
      <c r="C1045" s="5" t="s">
        <v>20</v>
      </c>
      <c r="K1045" s="5">
        <v>30.0</v>
      </c>
      <c r="N1045" s="8">
        <v>45654.0</v>
      </c>
    </row>
    <row r="1046">
      <c r="A1046" s="5">
        <v>1045.0</v>
      </c>
      <c r="B1046" s="5" t="s">
        <v>2080</v>
      </c>
      <c r="C1046" s="5" t="s">
        <v>20</v>
      </c>
      <c r="N1046" s="8">
        <v>45959.0</v>
      </c>
    </row>
    <row r="1047">
      <c r="A1047" s="5">
        <v>1046.0</v>
      </c>
      <c r="B1047" s="5" t="s">
        <v>2081</v>
      </c>
      <c r="C1047" s="5" t="s">
        <v>20</v>
      </c>
      <c r="K1047" s="5">
        <v>250.0</v>
      </c>
      <c r="N1047" s="8">
        <v>44412.0</v>
      </c>
    </row>
    <row r="1048">
      <c r="A1048" s="5">
        <v>1047.0</v>
      </c>
      <c r="B1048" s="5" t="s">
        <v>2082</v>
      </c>
      <c r="C1048" s="5" t="s">
        <v>20</v>
      </c>
      <c r="K1048" s="5">
        <v>40.0</v>
      </c>
      <c r="N1048" s="8">
        <v>44575.0</v>
      </c>
    </row>
    <row r="1049">
      <c r="A1049" s="5">
        <v>1048.0</v>
      </c>
      <c r="B1049" s="5" t="s">
        <v>2083</v>
      </c>
      <c r="C1049" s="5" t="s">
        <v>20</v>
      </c>
      <c r="N1049" s="8">
        <v>44656.0</v>
      </c>
    </row>
    <row r="1050">
      <c r="A1050" s="5">
        <v>1049.0</v>
      </c>
      <c r="B1050" s="5" t="s">
        <v>2084</v>
      </c>
      <c r="C1050" s="5" t="s">
        <v>20</v>
      </c>
      <c r="K1050" s="5">
        <v>200.0</v>
      </c>
      <c r="N1050" s="8">
        <v>44546.0</v>
      </c>
    </row>
    <row r="1051">
      <c r="A1051" s="5">
        <v>1050.0</v>
      </c>
      <c r="B1051" s="5" t="s">
        <v>2085</v>
      </c>
      <c r="C1051" s="5" t="s">
        <v>20</v>
      </c>
      <c r="K1051" s="5">
        <v>10.0</v>
      </c>
      <c r="N1051" s="8">
        <v>44150.0</v>
      </c>
    </row>
    <row r="1052">
      <c r="A1052" s="5">
        <v>1051.0</v>
      </c>
      <c r="B1052" s="5" t="s">
        <v>2087</v>
      </c>
      <c r="C1052" s="5" t="s">
        <v>20</v>
      </c>
      <c r="K1052" s="5">
        <v>100.0</v>
      </c>
      <c r="N1052" s="8">
        <v>44481.0</v>
      </c>
    </row>
    <row r="1053">
      <c r="A1053" s="5">
        <v>1052.0</v>
      </c>
      <c r="B1053" s="5" t="s">
        <v>2089</v>
      </c>
      <c r="C1053" s="5" t="s">
        <v>20</v>
      </c>
      <c r="K1053" s="5">
        <v>200.0</v>
      </c>
      <c r="N1053" s="8">
        <v>44557.0</v>
      </c>
    </row>
    <row r="1054">
      <c r="A1054" s="5">
        <v>1053.0</v>
      </c>
      <c r="B1054" s="5" t="s">
        <v>228</v>
      </c>
      <c r="C1054" s="5" t="s">
        <v>20</v>
      </c>
      <c r="K1054" s="5">
        <v>300.0</v>
      </c>
      <c r="N1054" s="8">
        <v>44725.0</v>
      </c>
    </row>
    <row r="1055">
      <c r="A1055" s="5">
        <v>1054.0</v>
      </c>
      <c r="B1055" s="5" t="s">
        <v>2092</v>
      </c>
      <c r="C1055" s="5" t="s">
        <v>20</v>
      </c>
      <c r="K1055" s="5">
        <v>150.0</v>
      </c>
      <c r="N1055" s="8">
        <v>45431.0</v>
      </c>
    </row>
    <row r="1056">
      <c r="A1056" s="5">
        <v>1055.0</v>
      </c>
      <c r="B1056" s="5" t="s">
        <v>2093</v>
      </c>
      <c r="C1056" s="5" t="s">
        <v>20</v>
      </c>
      <c r="K1056" s="5">
        <v>10.0</v>
      </c>
      <c r="N1056" s="8">
        <v>44116.0</v>
      </c>
    </row>
    <row r="1057">
      <c r="A1057" s="5">
        <v>1056.0</v>
      </c>
      <c r="B1057" s="5" t="s">
        <v>2094</v>
      </c>
      <c r="C1057" s="5" t="s">
        <v>20</v>
      </c>
      <c r="K1057" s="5">
        <v>80.0</v>
      </c>
      <c r="N1057" s="8">
        <v>44583.0</v>
      </c>
    </row>
    <row r="1058">
      <c r="A1058" s="5">
        <v>1057.0</v>
      </c>
      <c r="B1058" s="5" t="s">
        <v>2095</v>
      </c>
      <c r="C1058" s="5" t="s">
        <v>20</v>
      </c>
      <c r="K1058" s="5">
        <v>100.0</v>
      </c>
      <c r="N1058" s="8">
        <v>44144.0</v>
      </c>
    </row>
    <row r="1059">
      <c r="A1059" s="5">
        <v>1058.0</v>
      </c>
      <c r="B1059" s="5" t="s">
        <v>2096</v>
      </c>
      <c r="C1059" s="5" t="s">
        <v>20</v>
      </c>
      <c r="K1059" s="5">
        <v>10.0</v>
      </c>
      <c r="N1059" s="8">
        <v>44633.0</v>
      </c>
    </row>
    <row r="1060">
      <c r="A1060" s="5">
        <v>1059.0</v>
      </c>
      <c r="B1060" s="5" t="s">
        <v>2097</v>
      </c>
      <c r="C1060" s="5" t="s">
        <v>20</v>
      </c>
      <c r="K1060" s="5">
        <v>30.0</v>
      </c>
      <c r="N1060" s="8">
        <v>43959.0</v>
      </c>
    </row>
    <row r="1061">
      <c r="A1061" s="5">
        <v>1060.0</v>
      </c>
      <c r="B1061" s="5" t="s">
        <v>2098</v>
      </c>
      <c r="C1061" s="5" t="s">
        <v>20</v>
      </c>
      <c r="N1061" s="8">
        <v>43897.0</v>
      </c>
    </row>
    <row r="1062">
      <c r="A1062" s="5">
        <v>1061.0</v>
      </c>
      <c r="B1062" s="5" t="s">
        <v>2099</v>
      </c>
      <c r="C1062" s="5" t="s">
        <v>20</v>
      </c>
      <c r="K1062" s="5">
        <v>80.0</v>
      </c>
      <c r="N1062" s="8">
        <v>44925.0</v>
      </c>
    </row>
    <row r="1063">
      <c r="A1063" s="5">
        <v>1062.0</v>
      </c>
      <c r="B1063" s="5" t="s">
        <v>2101</v>
      </c>
      <c r="C1063" s="5" t="s">
        <v>20</v>
      </c>
      <c r="K1063" s="5">
        <v>200.0</v>
      </c>
      <c r="N1063" s="8">
        <v>42715.0</v>
      </c>
    </row>
    <row r="1064">
      <c r="A1064" s="5">
        <v>1063.0</v>
      </c>
      <c r="B1064" s="5" t="s">
        <v>2102</v>
      </c>
      <c r="C1064" s="5" t="s">
        <v>20</v>
      </c>
      <c r="K1064" s="5">
        <v>1500.0</v>
      </c>
      <c r="N1064" s="8">
        <v>43028.0</v>
      </c>
    </row>
    <row r="1065">
      <c r="A1065" s="5">
        <v>1064.0</v>
      </c>
      <c r="B1065" s="5" t="s">
        <v>2103</v>
      </c>
      <c r="C1065" s="5" t="s">
        <v>20</v>
      </c>
      <c r="K1065" s="5">
        <v>500.0</v>
      </c>
      <c r="N1065" s="8">
        <v>44387.0</v>
      </c>
    </row>
    <row r="1066">
      <c r="A1066" s="5">
        <v>1065.0</v>
      </c>
      <c r="B1066" s="5" t="s">
        <v>2104</v>
      </c>
      <c r="C1066" s="5" t="s">
        <v>20</v>
      </c>
      <c r="N1066" s="8">
        <v>45514.0</v>
      </c>
    </row>
    <row r="1067">
      <c r="A1067" s="5">
        <v>1066.0</v>
      </c>
      <c r="B1067" s="5" t="s">
        <v>2105</v>
      </c>
      <c r="C1067" s="5" t="s">
        <v>20</v>
      </c>
      <c r="K1067" s="5">
        <v>350.0</v>
      </c>
      <c r="N1067" s="8">
        <v>45023.0</v>
      </c>
    </row>
    <row r="1068">
      <c r="A1068" s="5">
        <v>1067.0</v>
      </c>
      <c r="B1068" s="5" t="s">
        <v>2106</v>
      </c>
      <c r="C1068" s="5" t="s">
        <v>20</v>
      </c>
      <c r="K1068" s="5">
        <v>1000.0</v>
      </c>
      <c r="N1068" s="8">
        <v>44755.0</v>
      </c>
    </row>
    <row r="1069">
      <c r="A1069" s="5">
        <v>1068.0</v>
      </c>
      <c r="B1069" s="5" t="s">
        <v>230</v>
      </c>
      <c r="C1069" s="5" t="s">
        <v>20</v>
      </c>
      <c r="K1069" s="5">
        <v>10.0</v>
      </c>
      <c r="N1069" s="8">
        <v>45219.0</v>
      </c>
    </row>
    <row r="1070">
      <c r="A1070" s="5">
        <v>1069.0</v>
      </c>
      <c r="B1070" s="5" t="s">
        <v>2108</v>
      </c>
      <c r="C1070" s="5" t="s">
        <v>20</v>
      </c>
      <c r="N1070" s="8">
        <v>45168.0</v>
      </c>
    </row>
    <row r="1071">
      <c r="A1071" s="5">
        <v>1070.0</v>
      </c>
      <c r="B1071" s="5" t="s">
        <v>2110</v>
      </c>
      <c r="C1071" s="5" t="s">
        <v>20</v>
      </c>
      <c r="N1071" s="8">
        <v>45255.0</v>
      </c>
    </row>
    <row r="1072">
      <c r="A1072" s="5">
        <v>1071.0</v>
      </c>
      <c r="B1072" s="5" t="s">
        <v>2111</v>
      </c>
      <c r="C1072" s="5" t="s">
        <v>20</v>
      </c>
      <c r="K1072" s="5">
        <v>80.0</v>
      </c>
      <c r="N1072" s="8">
        <v>44638.0</v>
      </c>
    </row>
    <row r="1073">
      <c r="A1073" s="5">
        <v>1072.0</v>
      </c>
      <c r="B1073" s="5" t="s">
        <v>2112</v>
      </c>
      <c r="C1073" s="5" t="s">
        <v>20</v>
      </c>
      <c r="N1073" s="8">
        <v>43869.0</v>
      </c>
    </row>
    <row r="1074">
      <c r="A1074" s="5">
        <v>1073.0</v>
      </c>
      <c r="B1074" s="5" t="s">
        <v>2114</v>
      </c>
      <c r="C1074" s="5" t="s">
        <v>20</v>
      </c>
      <c r="K1074" s="5">
        <v>20.0</v>
      </c>
      <c r="N1074" s="8">
        <v>44690.0</v>
      </c>
    </row>
    <row r="1075">
      <c r="A1075" s="5">
        <v>1074.0</v>
      </c>
      <c r="B1075" s="5" t="s">
        <v>2115</v>
      </c>
      <c r="C1075" s="5" t="s">
        <v>20</v>
      </c>
      <c r="K1075" s="5">
        <v>350.0</v>
      </c>
      <c r="N1075" s="8">
        <v>43880.0</v>
      </c>
    </row>
    <row r="1076">
      <c r="A1076" s="5">
        <v>1075.0</v>
      </c>
      <c r="B1076" s="5" t="s">
        <v>2117</v>
      </c>
      <c r="C1076" s="5" t="s">
        <v>20</v>
      </c>
      <c r="N1076" s="8">
        <v>44539.0</v>
      </c>
    </row>
    <row r="1077">
      <c r="A1077" s="5">
        <v>1076.0</v>
      </c>
      <c r="B1077" s="5" t="s">
        <v>2118</v>
      </c>
      <c r="C1077" s="5" t="s">
        <v>20</v>
      </c>
      <c r="N1077" s="8">
        <v>42766.0</v>
      </c>
    </row>
    <row r="1078">
      <c r="A1078" s="5">
        <v>1077.0</v>
      </c>
      <c r="B1078" s="5" t="s">
        <v>2119</v>
      </c>
      <c r="C1078" s="5" t="s">
        <v>20</v>
      </c>
      <c r="N1078" s="8">
        <v>45415.0</v>
      </c>
    </row>
    <row r="1079">
      <c r="A1079" s="5">
        <v>1078.0</v>
      </c>
      <c r="B1079" s="5" t="s">
        <v>233</v>
      </c>
      <c r="C1079" s="5" t="s">
        <v>20</v>
      </c>
      <c r="K1079" s="5">
        <v>5600.0</v>
      </c>
      <c r="N1079" s="8">
        <v>45688.0</v>
      </c>
    </row>
    <row r="1080">
      <c r="A1080" s="5">
        <v>1079.0</v>
      </c>
      <c r="B1080" s="5" t="s">
        <v>2121</v>
      </c>
      <c r="C1080" s="5" t="s">
        <v>20</v>
      </c>
      <c r="K1080" s="5">
        <v>450.0</v>
      </c>
      <c r="N1080" s="8">
        <v>44917.0</v>
      </c>
    </row>
    <row r="1081">
      <c r="A1081" s="5">
        <v>1080.0</v>
      </c>
      <c r="B1081" s="5" t="s">
        <v>2123</v>
      </c>
      <c r="C1081" s="5" t="s">
        <v>20</v>
      </c>
      <c r="K1081" s="5">
        <v>10.0</v>
      </c>
      <c r="N1081" s="8">
        <v>45032.0</v>
      </c>
    </row>
    <row r="1082">
      <c r="A1082" s="5">
        <v>1081.0</v>
      </c>
      <c r="B1082" s="5" t="s">
        <v>2124</v>
      </c>
      <c r="C1082" s="5" t="s">
        <v>20</v>
      </c>
      <c r="N1082" s="8">
        <v>42348.0</v>
      </c>
    </row>
    <row r="1083">
      <c r="A1083" s="5">
        <v>1082.0</v>
      </c>
      <c r="B1083" s="5" t="s">
        <v>2126</v>
      </c>
      <c r="C1083" s="5" t="s">
        <v>20</v>
      </c>
      <c r="N1083" s="8">
        <v>42615.0</v>
      </c>
    </row>
    <row r="1084">
      <c r="A1084" s="5">
        <v>1083.0</v>
      </c>
      <c r="B1084" s="5" t="s">
        <v>2127</v>
      </c>
      <c r="C1084" s="5" t="s">
        <v>20</v>
      </c>
      <c r="N1084" s="8">
        <v>45107.0</v>
      </c>
    </row>
    <row r="1085">
      <c r="A1085" s="5">
        <v>1084.0</v>
      </c>
      <c r="B1085" s="5" t="s">
        <v>2128</v>
      </c>
      <c r="C1085" s="5" t="s">
        <v>20</v>
      </c>
      <c r="K1085" s="5">
        <v>500.0</v>
      </c>
      <c r="N1085" s="8">
        <v>45124.0</v>
      </c>
    </row>
    <row r="1086">
      <c r="A1086" s="5">
        <v>1085.0</v>
      </c>
      <c r="B1086" s="5" t="s">
        <v>2129</v>
      </c>
      <c r="C1086" s="5" t="s">
        <v>20</v>
      </c>
      <c r="N1086" s="8">
        <v>42283.0</v>
      </c>
    </row>
    <row r="1087">
      <c r="A1087" s="5">
        <v>1086.0</v>
      </c>
      <c r="B1087" s="5" t="s">
        <v>235</v>
      </c>
      <c r="C1087" s="5" t="s">
        <v>20</v>
      </c>
      <c r="K1087" s="5">
        <v>300.0</v>
      </c>
      <c r="N1087" s="8">
        <v>44966.0</v>
      </c>
    </row>
    <row r="1088">
      <c r="A1088" s="5">
        <v>1087.0</v>
      </c>
      <c r="B1088" s="5" t="s">
        <v>2131</v>
      </c>
      <c r="C1088" s="5" t="s">
        <v>20</v>
      </c>
      <c r="N1088" s="8">
        <v>43943.0</v>
      </c>
    </row>
    <row r="1089">
      <c r="A1089" s="5">
        <v>1088.0</v>
      </c>
      <c r="B1089" s="5" t="s">
        <v>2132</v>
      </c>
      <c r="C1089" s="5" t="s">
        <v>20</v>
      </c>
      <c r="K1089" s="5">
        <v>10.0</v>
      </c>
      <c r="N1089" s="8">
        <v>43306.0</v>
      </c>
    </row>
    <row r="1090">
      <c r="A1090" s="5">
        <v>1089.0</v>
      </c>
      <c r="B1090" s="5" t="s">
        <v>2134</v>
      </c>
      <c r="C1090" s="5" t="s">
        <v>20</v>
      </c>
      <c r="K1090" s="5">
        <v>30.0</v>
      </c>
      <c r="N1090" s="8">
        <v>44328.0</v>
      </c>
    </row>
    <row r="1091">
      <c r="A1091" s="5">
        <v>1090.0</v>
      </c>
      <c r="B1091" s="5" t="s">
        <v>2135</v>
      </c>
      <c r="C1091" s="5" t="s">
        <v>20</v>
      </c>
      <c r="K1091" s="5">
        <v>30.0</v>
      </c>
      <c r="N1091" s="8">
        <v>43909.0</v>
      </c>
    </row>
    <row r="1092">
      <c r="A1092" s="5">
        <v>1091.0</v>
      </c>
      <c r="B1092" s="5" t="s">
        <v>2137</v>
      </c>
      <c r="C1092" s="5" t="s">
        <v>20</v>
      </c>
      <c r="K1092" s="5">
        <v>150.0</v>
      </c>
      <c r="N1092" s="8">
        <v>44510.0</v>
      </c>
    </row>
    <row r="1093">
      <c r="A1093" s="5">
        <v>1092.0</v>
      </c>
      <c r="B1093" s="5" t="s">
        <v>2138</v>
      </c>
      <c r="C1093" s="5" t="s">
        <v>20</v>
      </c>
      <c r="K1093" s="5">
        <v>4500.0</v>
      </c>
      <c r="N1093" s="8">
        <v>43841.0</v>
      </c>
    </row>
    <row r="1094">
      <c r="A1094" s="5">
        <v>1093.0</v>
      </c>
      <c r="B1094" s="5" t="s">
        <v>2139</v>
      </c>
      <c r="C1094" s="5" t="s">
        <v>20</v>
      </c>
      <c r="K1094" s="5">
        <v>20.0</v>
      </c>
      <c r="N1094" s="8">
        <v>45698.0</v>
      </c>
    </row>
    <row r="1095">
      <c r="A1095" s="5">
        <v>1094.0</v>
      </c>
      <c r="B1095" s="5" t="s">
        <v>2141</v>
      </c>
      <c r="C1095" s="5" t="s">
        <v>20</v>
      </c>
      <c r="K1095" s="5">
        <v>200.0</v>
      </c>
      <c r="N1095" s="8">
        <v>44406.0</v>
      </c>
    </row>
    <row r="1096">
      <c r="A1096" s="5">
        <v>1095.0</v>
      </c>
      <c r="B1096" s="5" t="s">
        <v>2142</v>
      </c>
      <c r="C1096" s="5" t="s">
        <v>20</v>
      </c>
      <c r="N1096" s="8">
        <v>42372.0</v>
      </c>
    </row>
    <row r="1097">
      <c r="A1097" s="5">
        <v>1096.0</v>
      </c>
      <c r="B1097" s="5" t="s">
        <v>2143</v>
      </c>
      <c r="C1097" s="5" t="s">
        <v>20</v>
      </c>
      <c r="N1097" s="8">
        <v>42401.0</v>
      </c>
    </row>
    <row r="1098">
      <c r="A1098" s="5">
        <v>1097.0</v>
      </c>
      <c r="B1098" s="5" t="s">
        <v>239</v>
      </c>
      <c r="C1098" s="5" t="s">
        <v>20</v>
      </c>
      <c r="K1098" s="5">
        <v>100.0</v>
      </c>
      <c r="N1098" s="8">
        <v>44861.0</v>
      </c>
    </row>
    <row r="1099">
      <c r="A1099" s="5">
        <v>1098.0</v>
      </c>
      <c r="B1099" s="5" t="s">
        <v>236</v>
      </c>
      <c r="C1099" s="5" t="s">
        <v>20</v>
      </c>
      <c r="K1099" s="5">
        <v>200.0</v>
      </c>
      <c r="N1099" s="8">
        <v>43956.0</v>
      </c>
    </row>
    <row r="1100">
      <c r="A1100" s="5">
        <v>1099.0</v>
      </c>
      <c r="B1100" s="5" t="s">
        <v>2146</v>
      </c>
      <c r="C1100" s="5" t="s">
        <v>20</v>
      </c>
      <c r="N1100" s="8">
        <v>42470.0</v>
      </c>
      <c r="O1100" s="5" t="s">
        <v>129</v>
      </c>
      <c r="P1100" s="5" t="s">
        <v>25</v>
      </c>
      <c r="S1100" s="5" t="s">
        <v>38</v>
      </c>
    </row>
    <row r="1101">
      <c r="A1101" s="5">
        <v>1100.0</v>
      </c>
      <c r="B1101" s="5" t="s">
        <v>2148</v>
      </c>
      <c r="C1101" s="5" t="s">
        <v>20</v>
      </c>
      <c r="N1101" s="8">
        <v>45301.0</v>
      </c>
    </row>
    <row r="1102">
      <c r="A1102" s="5">
        <v>1101.0</v>
      </c>
      <c r="B1102" s="5" t="s">
        <v>2149</v>
      </c>
      <c r="C1102" s="5" t="s">
        <v>20</v>
      </c>
      <c r="K1102" s="5">
        <v>30.0</v>
      </c>
      <c r="N1102" s="8">
        <v>44082.0</v>
      </c>
    </row>
    <row r="1103">
      <c r="A1103" s="5">
        <v>1102.0</v>
      </c>
      <c r="B1103" s="5" t="s">
        <v>2151</v>
      </c>
      <c r="C1103" s="5" t="s">
        <v>20</v>
      </c>
      <c r="K1103" s="5">
        <v>100.0</v>
      </c>
      <c r="N1103" s="8">
        <v>44331.0</v>
      </c>
    </row>
    <row r="1104">
      <c r="A1104" s="5">
        <v>1103.0</v>
      </c>
      <c r="B1104" s="5" t="s">
        <v>2153</v>
      </c>
      <c r="C1104" s="5" t="s">
        <v>20</v>
      </c>
      <c r="K1104" s="5">
        <v>200.0</v>
      </c>
      <c r="N1104" s="8">
        <v>44577.0</v>
      </c>
    </row>
    <row r="1105">
      <c r="A1105" s="5">
        <v>1104.0</v>
      </c>
      <c r="B1105" s="5" t="s">
        <v>2155</v>
      </c>
      <c r="C1105" s="5" t="s">
        <v>20</v>
      </c>
      <c r="N1105" s="8">
        <v>44402.0</v>
      </c>
    </row>
    <row r="1106">
      <c r="A1106" s="5">
        <v>1105.0</v>
      </c>
      <c r="B1106" s="5" t="s">
        <v>241</v>
      </c>
      <c r="C1106" s="5" t="s">
        <v>20</v>
      </c>
      <c r="N1106" s="8">
        <v>45043.0</v>
      </c>
    </row>
    <row r="1107">
      <c r="A1107" s="5">
        <v>1106.0</v>
      </c>
      <c r="B1107" s="5" t="s">
        <v>2156</v>
      </c>
      <c r="C1107" s="5" t="s">
        <v>20</v>
      </c>
      <c r="K1107" s="5">
        <v>20.0</v>
      </c>
      <c r="N1107" s="8">
        <v>44524.0</v>
      </c>
    </row>
    <row r="1108">
      <c r="A1108" s="5">
        <v>1107.0</v>
      </c>
      <c r="B1108" s="5" t="s">
        <v>2158</v>
      </c>
      <c r="C1108" s="5" t="s">
        <v>20</v>
      </c>
      <c r="K1108" s="5">
        <v>400.0</v>
      </c>
      <c r="N1108" s="8">
        <v>44635.0</v>
      </c>
    </row>
    <row r="1109">
      <c r="A1109" s="5">
        <v>1108.0</v>
      </c>
      <c r="B1109" s="5" t="s">
        <v>2159</v>
      </c>
      <c r="C1109" s="5" t="s">
        <v>20</v>
      </c>
      <c r="K1109" s="5">
        <v>90.0</v>
      </c>
      <c r="N1109" s="8">
        <v>44093.0</v>
      </c>
    </row>
    <row r="1110">
      <c r="A1110" s="5">
        <v>1109.0</v>
      </c>
      <c r="B1110" s="5" t="s">
        <v>2160</v>
      </c>
      <c r="C1110" s="5" t="s">
        <v>20</v>
      </c>
      <c r="K1110" s="5">
        <v>10.0</v>
      </c>
      <c r="N1110" s="8">
        <v>44014.0</v>
      </c>
    </row>
    <row r="1111">
      <c r="A1111" s="5">
        <v>1110.0</v>
      </c>
      <c r="B1111" s="5" t="s">
        <v>2162</v>
      </c>
      <c r="C1111" s="5" t="s">
        <v>20</v>
      </c>
      <c r="K1111" s="5">
        <v>300.0</v>
      </c>
      <c r="N1111" s="8">
        <v>45642.0</v>
      </c>
    </row>
    <row r="1112">
      <c r="A1112" s="5">
        <v>1111.0</v>
      </c>
      <c r="B1112" s="5" t="s">
        <v>2163</v>
      </c>
      <c r="C1112" s="5" t="s">
        <v>20</v>
      </c>
      <c r="N1112" s="8">
        <v>45960.0</v>
      </c>
    </row>
    <row r="1113">
      <c r="A1113" s="5">
        <v>1112.0</v>
      </c>
      <c r="B1113" s="5" t="s">
        <v>242</v>
      </c>
      <c r="C1113" s="5" t="s">
        <v>20</v>
      </c>
      <c r="N1113" s="8">
        <v>42932.0</v>
      </c>
    </row>
    <row r="1114">
      <c r="A1114" s="5">
        <v>1113.0</v>
      </c>
      <c r="B1114" s="5" t="s">
        <v>2165</v>
      </c>
      <c r="C1114" s="5" t="s">
        <v>20</v>
      </c>
      <c r="K1114" s="5">
        <v>10.0</v>
      </c>
      <c r="N1114" s="8">
        <v>44016.0</v>
      </c>
    </row>
    <row r="1115">
      <c r="A1115" s="5">
        <v>1114.0</v>
      </c>
      <c r="B1115" s="5" t="s">
        <v>244</v>
      </c>
      <c r="C1115" s="5" t="s">
        <v>20</v>
      </c>
      <c r="K1115" s="5">
        <v>30.0</v>
      </c>
      <c r="N1115" s="8">
        <v>44619.0</v>
      </c>
    </row>
    <row r="1116">
      <c r="A1116" s="5">
        <v>1115.0</v>
      </c>
      <c r="B1116" s="5" t="s">
        <v>248</v>
      </c>
      <c r="C1116" s="5" t="s">
        <v>20</v>
      </c>
      <c r="K1116" s="5">
        <v>150.0</v>
      </c>
      <c r="N1116" s="8">
        <v>44901.0</v>
      </c>
    </row>
    <row r="1117">
      <c r="A1117" s="5">
        <v>1116.0</v>
      </c>
      <c r="B1117" s="5" t="s">
        <v>2167</v>
      </c>
      <c r="C1117" s="5" t="s">
        <v>20</v>
      </c>
      <c r="N1117" s="8">
        <v>44777.0</v>
      </c>
    </row>
    <row r="1118">
      <c r="A1118" s="5">
        <v>1117.0</v>
      </c>
      <c r="B1118" s="5" t="s">
        <v>2169</v>
      </c>
      <c r="C1118" s="5" t="s">
        <v>20</v>
      </c>
      <c r="K1118" s="5">
        <v>1900.0</v>
      </c>
      <c r="N1118" s="8">
        <v>44414.0</v>
      </c>
    </row>
    <row r="1119">
      <c r="A1119" s="5">
        <v>1118.0</v>
      </c>
      <c r="B1119" s="5" t="s">
        <v>2170</v>
      </c>
      <c r="C1119" s="5" t="s">
        <v>20</v>
      </c>
      <c r="N1119" s="8">
        <v>42636.0</v>
      </c>
      <c r="O1119" s="5" t="s">
        <v>432</v>
      </c>
      <c r="P1119" s="5" t="s">
        <v>25</v>
      </c>
      <c r="S1119" s="5" t="s">
        <v>38</v>
      </c>
    </row>
    <row r="1120">
      <c r="A1120" s="5">
        <v>1119.0</v>
      </c>
      <c r="B1120" s="5" t="s">
        <v>2172</v>
      </c>
      <c r="C1120" s="5" t="s">
        <v>20</v>
      </c>
      <c r="N1120" s="8">
        <v>42669.0</v>
      </c>
      <c r="O1120" s="5" t="s">
        <v>24</v>
      </c>
      <c r="P1120" s="5" t="s">
        <v>25</v>
      </c>
      <c r="S1120" s="5" t="s">
        <v>38</v>
      </c>
    </row>
    <row r="1121">
      <c r="A1121" s="5">
        <v>1120.0</v>
      </c>
      <c r="B1121" s="5" t="s">
        <v>2173</v>
      </c>
      <c r="C1121" s="5" t="s">
        <v>20</v>
      </c>
      <c r="N1121" s="8">
        <v>42990.0</v>
      </c>
    </row>
    <row r="1122">
      <c r="A1122" s="5">
        <v>1121.0</v>
      </c>
      <c r="B1122" s="5" t="s">
        <v>2174</v>
      </c>
      <c r="C1122" s="5" t="s">
        <v>20</v>
      </c>
      <c r="K1122" s="5">
        <v>1500.0</v>
      </c>
      <c r="N1122" s="8">
        <v>43985.0</v>
      </c>
    </row>
    <row r="1123">
      <c r="A1123" s="5">
        <v>1122.0</v>
      </c>
      <c r="B1123" s="5" t="s">
        <v>2176</v>
      </c>
      <c r="C1123" s="5" t="s">
        <v>20</v>
      </c>
      <c r="K1123" s="5">
        <v>600.0</v>
      </c>
      <c r="N1123" s="8">
        <v>44517.0</v>
      </c>
    </row>
    <row r="1124">
      <c r="A1124" s="5">
        <v>1123.0</v>
      </c>
      <c r="B1124" s="5" t="s">
        <v>2177</v>
      </c>
      <c r="C1124" s="5" t="s">
        <v>20</v>
      </c>
      <c r="K1124" s="5">
        <v>150.0</v>
      </c>
      <c r="N1124" s="8">
        <v>44598.0</v>
      </c>
    </row>
    <row r="1125">
      <c r="A1125" s="5">
        <v>1124.0</v>
      </c>
      <c r="B1125" s="5" t="s">
        <v>249</v>
      </c>
      <c r="C1125" s="5" t="s">
        <v>20</v>
      </c>
      <c r="K1125" s="5">
        <v>30.0</v>
      </c>
      <c r="N1125" s="8">
        <v>43890.0</v>
      </c>
    </row>
    <row r="1126">
      <c r="A1126" s="5">
        <v>1125.0</v>
      </c>
      <c r="B1126" s="5" t="s">
        <v>2179</v>
      </c>
      <c r="C1126" s="5" t="s">
        <v>20</v>
      </c>
      <c r="N1126" s="8">
        <v>44862.0</v>
      </c>
      <c r="O1126" s="5" t="s">
        <v>129</v>
      </c>
      <c r="P1126" s="5" t="s">
        <v>25</v>
      </c>
      <c r="S1126" s="5" t="s">
        <v>157</v>
      </c>
    </row>
    <row r="1127">
      <c r="A1127" s="5">
        <v>1126.0</v>
      </c>
      <c r="B1127" s="5" t="s">
        <v>570</v>
      </c>
      <c r="C1127" s="5" t="s">
        <v>20</v>
      </c>
      <c r="D1127" s="5">
        <v>0.0</v>
      </c>
      <c r="H1127" s="5" t="s">
        <v>457</v>
      </c>
      <c r="I1127" s="9">
        <v>46161.9496875</v>
      </c>
      <c r="J1127" s="5" t="s">
        <v>572</v>
      </c>
      <c r="L1127" s="5">
        <v>40.0</v>
      </c>
      <c r="M1127" s="5">
        <v>40.0</v>
      </c>
      <c r="N1127" s="8">
        <v>42606.0</v>
      </c>
      <c r="O1127" s="5" t="s">
        <v>24</v>
      </c>
      <c r="P1127" s="5" t="s">
        <v>25</v>
      </c>
      <c r="S1127" s="5" t="s">
        <v>118</v>
      </c>
    </row>
    <row r="1128">
      <c r="A1128" s="5">
        <v>1127.0</v>
      </c>
      <c r="B1128" s="5" t="s">
        <v>2181</v>
      </c>
      <c r="C1128" s="5" t="s">
        <v>20</v>
      </c>
      <c r="K1128" s="5">
        <v>20.0</v>
      </c>
      <c r="N1128" s="8">
        <v>44759.0</v>
      </c>
    </row>
    <row r="1129">
      <c r="A1129" s="5">
        <v>1128.0</v>
      </c>
      <c r="B1129" s="5" t="s">
        <v>251</v>
      </c>
      <c r="C1129" s="5" t="s">
        <v>20</v>
      </c>
      <c r="K1129" s="5">
        <v>7600.0</v>
      </c>
      <c r="N1129" s="8">
        <v>44145.0</v>
      </c>
    </row>
    <row r="1130">
      <c r="A1130" s="5">
        <v>1129.0</v>
      </c>
      <c r="B1130" s="5" t="s">
        <v>2182</v>
      </c>
      <c r="C1130" s="5" t="s">
        <v>20</v>
      </c>
      <c r="N1130" s="8">
        <v>43554.0</v>
      </c>
    </row>
    <row r="1131">
      <c r="A1131" s="5">
        <v>1130.0</v>
      </c>
      <c r="B1131" s="5" t="s">
        <v>2183</v>
      </c>
      <c r="C1131" s="5" t="s">
        <v>20</v>
      </c>
      <c r="K1131" s="5">
        <v>30.0</v>
      </c>
      <c r="N1131" s="8">
        <v>45138.0</v>
      </c>
    </row>
    <row r="1132">
      <c r="A1132" s="5">
        <v>1131.0</v>
      </c>
      <c r="B1132" s="5" t="s">
        <v>2185</v>
      </c>
      <c r="C1132" s="5" t="s">
        <v>20</v>
      </c>
      <c r="N1132" s="8">
        <v>42599.0</v>
      </c>
    </row>
    <row r="1133">
      <c r="A1133" s="5">
        <v>1132.0</v>
      </c>
      <c r="B1133" s="5" t="s">
        <v>2186</v>
      </c>
      <c r="C1133" s="5" t="s">
        <v>20</v>
      </c>
      <c r="K1133" s="5">
        <v>1300.0</v>
      </c>
      <c r="N1133" s="8">
        <v>45224.0</v>
      </c>
    </row>
    <row r="1134">
      <c r="A1134" s="5">
        <v>1133.0</v>
      </c>
      <c r="B1134" s="5" t="s">
        <v>2187</v>
      </c>
      <c r="C1134" s="5" t="s">
        <v>20</v>
      </c>
      <c r="K1134" s="5">
        <v>150.0</v>
      </c>
      <c r="N1134" s="8">
        <v>44935.0</v>
      </c>
    </row>
    <row r="1135">
      <c r="A1135" s="5">
        <v>1134.0</v>
      </c>
      <c r="B1135" s="5" t="s">
        <v>2189</v>
      </c>
      <c r="C1135" s="5" t="s">
        <v>20</v>
      </c>
      <c r="K1135" s="5">
        <v>300.0</v>
      </c>
      <c r="N1135" s="8">
        <v>44079.0</v>
      </c>
    </row>
    <row r="1136">
      <c r="A1136" s="5">
        <v>1135.0</v>
      </c>
      <c r="B1136" s="5" t="s">
        <v>2190</v>
      </c>
      <c r="C1136" s="5" t="s">
        <v>20</v>
      </c>
      <c r="K1136" s="5">
        <v>20.0</v>
      </c>
      <c r="N1136" s="8">
        <v>44665.0</v>
      </c>
    </row>
    <row r="1137">
      <c r="A1137" s="5">
        <v>1136.0</v>
      </c>
      <c r="B1137" s="5" t="s">
        <v>2191</v>
      </c>
      <c r="C1137" s="5" t="s">
        <v>20</v>
      </c>
      <c r="N1137" s="8">
        <v>45114.0</v>
      </c>
    </row>
    <row r="1138">
      <c r="A1138" s="5">
        <v>1137.0</v>
      </c>
      <c r="B1138" s="5" t="s">
        <v>253</v>
      </c>
      <c r="C1138" s="5" t="s">
        <v>20</v>
      </c>
      <c r="K1138" s="5">
        <v>10.0</v>
      </c>
      <c r="N1138" s="8">
        <v>44961.0</v>
      </c>
    </row>
    <row r="1139">
      <c r="A1139" s="5">
        <v>1138.0</v>
      </c>
      <c r="B1139" s="5" t="s">
        <v>2193</v>
      </c>
      <c r="C1139" s="5" t="s">
        <v>20</v>
      </c>
      <c r="N1139" s="8">
        <v>44679.0</v>
      </c>
    </row>
    <row r="1140">
      <c r="A1140" s="5">
        <v>1139.0</v>
      </c>
      <c r="B1140" s="5" t="s">
        <v>2194</v>
      </c>
      <c r="C1140" s="5" t="s">
        <v>20</v>
      </c>
      <c r="N1140" s="8">
        <v>42453.0</v>
      </c>
    </row>
    <row r="1141">
      <c r="A1141" s="5">
        <v>1140.0</v>
      </c>
      <c r="B1141" s="5" t="s">
        <v>2195</v>
      </c>
      <c r="C1141" s="5" t="s">
        <v>20</v>
      </c>
      <c r="N1141" s="8">
        <v>42802.0</v>
      </c>
      <c r="O1141" s="5" t="s">
        <v>24</v>
      </c>
      <c r="P1141" s="5" t="s">
        <v>25</v>
      </c>
      <c r="S1141" s="5" t="s">
        <v>157</v>
      </c>
    </row>
    <row r="1142">
      <c r="A1142" s="5">
        <v>1141.0</v>
      </c>
      <c r="B1142" s="5" t="s">
        <v>2197</v>
      </c>
      <c r="C1142" s="5" t="s">
        <v>20</v>
      </c>
      <c r="K1142" s="5">
        <v>70.0</v>
      </c>
      <c r="N1142" s="8">
        <v>44661.0</v>
      </c>
    </row>
    <row r="1143">
      <c r="A1143" s="5">
        <v>1142.0</v>
      </c>
      <c r="B1143" s="5" t="s">
        <v>2198</v>
      </c>
      <c r="C1143" s="5" t="s">
        <v>20</v>
      </c>
      <c r="K1143" s="5">
        <v>90.0</v>
      </c>
      <c r="N1143" s="8">
        <v>44066.0</v>
      </c>
    </row>
    <row r="1144">
      <c r="A1144" s="5">
        <v>1143.0</v>
      </c>
      <c r="B1144" s="5" t="s">
        <v>2199</v>
      </c>
      <c r="C1144" s="5" t="s">
        <v>20</v>
      </c>
      <c r="N1144" s="8">
        <v>43044.0</v>
      </c>
    </row>
    <row r="1145">
      <c r="A1145" s="5">
        <v>1144.0</v>
      </c>
      <c r="B1145" s="5" t="s">
        <v>2201</v>
      </c>
      <c r="C1145" s="5" t="s">
        <v>20</v>
      </c>
      <c r="K1145" s="5">
        <v>10.0</v>
      </c>
      <c r="N1145" s="8">
        <v>44410.0</v>
      </c>
    </row>
    <row r="1146">
      <c r="A1146" s="5">
        <v>1145.0</v>
      </c>
      <c r="B1146" s="5" t="s">
        <v>2202</v>
      </c>
      <c r="C1146" s="5" t="s">
        <v>20</v>
      </c>
      <c r="K1146" s="5">
        <v>60.0</v>
      </c>
      <c r="N1146" s="8">
        <v>44563.0</v>
      </c>
    </row>
    <row r="1147">
      <c r="A1147" s="5">
        <v>1146.0</v>
      </c>
      <c r="B1147" s="5" t="s">
        <v>2204</v>
      </c>
      <c r="C1147" s="5" t="s">
        <v>20</v>
      </c>
      <c r="N1147" s="8">
        <v>45941.0</v>
      </c>
    </row>
    <row r="1148">
      <c r="A1148" s="5">
        <v>1147.0</v>
      </c>
      <c r="B1148" s="5" t="s">
        <v>2205</v>
      </c>
      <c r="C1148" s="5" t="s">
        <v>20</v>
      </c>
      <c r="N1148" s="8">
        <v>42290.0</v>
      </c>
    </row>
    <row r="1149">
      <c r="A1149" s="5">
        <v>1148.0</v>
      </c>
      <c r="B1149" s="5" t="s">
        <v>2206</v>
      </c>
      <c r="C1149" s="5" t="s">
        <v>20</v>
      </c>
      <c r="K1149" s="5">
        <v>100.0</v>
      </c>
      <c r="N1149" s="8">
        <v>45150.0</v>
      </c>
    </row>
    <row r="1150">
      <c r="A1150" s="5">
        <v>1149.0</v>
      </c>
      <c r="B1150" s="5" t="s">
        <v>2208</v>
      </c>
      <c r="C1150" s="5" t="s">
        <v>20</v>
      </c>
      <c r="K1150" s="5">
        <v>1100.0</v>
      </c>
      <c r="N1150" s="8">
        <v>45002.0</v>
      </c>
    </row>
    <row r="1151">
      <c r="A1151" s="5">
        <v>1150.0</v>
      </c>
      <c r="B1151" s="5" t="s">
        <v>2209</v>
      </c>
      <c r="C1151" s="5" t="s">
        <v>20</v>
      </c>
      <c r="N1151" s="8">
        <v>44307.0</v>
      </c>
    </row>
    <row r="1152">
      <c r="A1152" s="5">
        <v>1151.0</v>
      </c>
      <c r="B1152" s="5" t="s">
        <v>2211</v>
      </c>
      <c r="C1152" s="5" t="s">
        <v>20</v>
      </c>
      <c r="N1152" s="8">
        <v>44244.0</v>
      </c>
    </row>
    <row r="1153">
      <c r="A1153" s="5">
        <v>1152.0</v>
      </c>
      <c r="B1153" s="5" t="s">
        <v>2212</v>
      </c>
      <c r="C1153" s="5" t="s">
        <v>20</v>
      </c>
      <c r="K1153" s="5">
        <v>900.0</v>
      </c>
      <c r="N1153" s="8">
        <v>44018.0</v>
      </c>
    </row>
    <row r="1154">
      <c r="A1154" s="5">
        <v>1153.0</v>
      </c>
      <c r="B1154" s="5" t="s">
        <v>2214</v>
      </c>
      <c r="C1154" s="5" t="s">
        <v>20</v>
      </c>
      <c r="K1154" s="5">
        <v>1500.0</v>
      </c>
      <c r="N1154" s="8">
        <v>45172.0</v>
      </c>
    </row>
    <row r="1155">
      <c r="A1155" s="5">
        <v>1154.0</v>
      </c>
      <c r="B1155" s="5" t="s">
        <v>575</v>
      </c>
      <c r="C1155" s="5" t="s">
        <v>20</v>
      </c>
      <c r="N1155" s="8">
        <v>43741.0</v>
      </c>
    </row>
    <row r="1156">
      <c r="A1156" s="5">
        <v>1155.0</v>
      </c>
      <c r="B1156" s="5" t="s">
        <v>2215</v>
      </c>
      <c r="C1156" s="5" t="s">
        <v>20</v>
      </c>
      <c r="K1156" s="5">
        <v>20.0</v>
      </c>
      <c r="N1156" s="8">
        <v>45657.0</v>
      </c>
    </row>
    <row r="1157">
      <c r="A1157" s="5">
        <v>1156.0</v>
      </c>
      <c r="B1157" s="5" t="s">
        <v>2217</v>
      </c>
      <c r="C1157" s="5" t="s">
        <v>20</v>
      </c>
      <c r="K1157" s="5">
        <v>1100.0</v>
      </c>
      <c r="N1157" s="8">
        <v>44604.0</v>
      </c>
    </row>
    <row r="1158">
      <c r="A1158" s="5">
        <v>1157.0</v>
      </c>
      <c r="B1158" s="5" t="s">
        <v>2219</v>
      </c>
      <c r="C1158" s="5" t="s">
        <v>20</v>
      </c>
      <c r="K1158" s="5">
        <v>450.0</v>
      </c>
      <c r="N1158" s="8">
        <v>45970.0</v>
      </c>
    </row>
    <row r="1159">
      <c r="A1159" s="5">
        <v>1158.0</v>
      </c>
      <c r="B1159" s="5" t="s">
        <v>576</v>
      </c>
      <c r="C1159" s="5" t="s">
        <v>20</v>
      </c>
      <c r="N1159" s="8">
        <v>44940.0</v>
      </c>
    </row>
    <row r="1160">
      <c r="A1160" s="5">
        <v>1159.0</v>
      </c>
      <c r="B1160" s="5" t="s">
        <v>2220</v>
      </c>
      <c r="C1160" s="5" t="s">
        <v>20</v>
      </c>
      <c r="N1160" s="8">
        <v>44336.0</v>
      </c>
    </row>
    <row r="1161">
      <c r="A1161" s="5">
        <v>1160.0</v>
      </c>
      <c r="B1161" s="5" t="s">
        <v>255</v>
      </c>
      <c r="C1161" s="5" t="s">
        <v>20</v>
      </c>
      <c r="K1161" s="5">
        <v>150.0</v>
      </c>
      <c r="N1161" s="8">
        <v>44091.0</v>
      </c>
    </row>
    <row r="1162">
      <c r="A1162" s="5">
        <v>1161.0</v>
      </c>
      <c r="B1162" s="5" t="s">
        <v>577</v>
      </c>
      <c r="C1162" s="5" t="s">
        <v>20</v>
      </c>
      <c r="N1162" s="8">
        <v>42480.0</v>
      </c>
    </row>
    <row r="1163">
      <c r="A1163" s="5">
        <v>1162.0</v>
      </c>
      <c r="B1163" s="5" t="s">
        <v>2222</v>
      </c>
      <c r="C1163" s="5" t="s">
        <v>20</v>
      </c>
      <c r="K1163" s="5">
        <v>600.0</v>
      </c>
      <c r="N1163" s="8">
        <v>44777.0</v>
      </c>
    </row>
    <row r="1164">
      <c r="A1164" s="5">
        <v>1163.0</v>
      </c>
      <c r="B1164" s="5" t="s">
        <v>2130</v>
      </c>
      <c r="C1164" s="5" t="s">
        <v>20</v>
      </c>
      <c r="D1164" s="5">
        <v>58.0</v>
      </c>
      <c r="F1164" s="5">
        <v>0.2</v>
      </c>
      <c r="H1164" s="5" t="s">
        <v>1203</v>
      </c>
      <c r="I1164" s="9">
        <v>46161.83988425926</v>
      </c>
      <c r="J1164" s="5" t="s">
        <v>206</v>
      </c>
      <c r="L1164" s="5">
        <v>40.0</v>
      </c>
      <c r="M1164" s="5">
        <v>40.0</v>
      </c>
      <c r="N1164" s="8">
        <v>42713.0</v>
      </c>
      <c r="O1164" s="5" t="s">
        <v>71</v>
      </c>
      <c r="P1164" s="5" t="s">
        <v>25</v>
      </c>
      <c r="S1164" s="5" t="s">
        <v>118</v>
      </c>
    </row>
    <row r="1165">
      <c r="A1165" s="5">
        <v>1164.0</v>
      </c>
      <c r="B1165" s="5" t="s">
        <v>2225</v>
      </c>
      <c r="C1165" s="5" t="s">
        <v>20</v>
      </c>
      <c r="K1165" s="5">
        <v>800.0</v>
      </c>
      <c r="N1165" s="8">
        <v>45830.0</v>
      </c>
    </row>
    <row r="1166">
      <c r="A1166" s="5">
        <v>1165.0</v>
      </c>
      <c r="B1166" s="5" t="s">
        <v>2226</v>
      </c>
      <c r="C1166" s="5" t="s">
        <v>20</v>
      </c>
      <c r="K1166" s="5">
        <v>300.0</v>
      </c>
      <c r="N1166" s="8">
        <v>44992.0</v>
      </c>
    </row>
    <row r="1167">
      <c r="A1167" s="5">
        <v>1166.0</v>
      </c>
      <c r="B1167" s="5" t="s">
        <v>2227</v>
      </c>
      <c r="C1167" s="5" t="s">
        <v>20</v>
      </c>
      <c r="K1167" s="5">
        <v>300.0</v>
      </c>
      <c r="N1167" s="8">
        <v>45716.0</v>
      </c>
    </row>
    <row r="1168">
      <c r="A1168" s="5">
        <v>1167.0</v>
      </c>
      <c r="B1168" s="5" t="s">
        <v>2229</v>
      </c>
      <c r="C1168" s="5" t="s">
        <v>20</v>
      </c>
      <c r="N1168" s="8">
        <v>42494.0</v>
      </c>
    </row>
    <row r="1169">
      <c r="A1169" s="5">
        <v>1168.0</v>
      </c>
      <c r="B1169" s="5" t="s">
        <v>257</v>
      </c>
      <c r="C1169" s="5" t="s">
        <v>20</v>
      </c>
      <c r="K1169" s="5">
        <v>150.0</v>
      </c>
      <c r="N1169" s="8">
        <v>44590.0</v>
      </c>
    </row>
    <row r="1170">
      <c r="A1170" s="5">
        <v>1169.0</v>
      </c>
      <c r="B1170" s="5" t="s">
        <v>2230</v>
      </c>
      <c r="C1170" s="5" t="s">
        <v>20</v>
      </c>
      <c r="K1170" s="5">
        <v>250.0</v>
      </c>
      <c r="N1170" s="8">
        <v>44305.0</v>
      </c>
    </row>
    <row r="1171">
      <c r="A1171" s="5">
        <v>1170.0</v>
      </c>
      <c r="B1171" s="5" t="s">
        <v>2232</v>
      </c>
      <c r="C1171" s="5" t="s">
        <v>20</v>
      </c>
      <c r="N1171" s="8">
        <v>44392.0</v>
      </c>
      <c r="O1171" s="5" t="s">
        <v>80</v>
      </c>
      <c r="P1171" s="5" t="s">
        <v>25</v>
      </c>
      <c r="S1171" s="5" t="s">
        <v>118</v>
      </c>
    </row>
    <row r="1172">
      <c r="A1172" s="5">
        <v>1171.0</v>
      </c>
      <c r="B1172" s="5" t="s">
        <v>2233</v>
      </c>
      <c r="C1172" s="5" t="s">
        <v>20</v>
      </c>
      <c r="K1172" s="5">
        <v>250.0</v>
      </c>
      <c r="N1172" s="8">
        <v>44687.0</v>
      </c>
    </row>
    <row r="1173">
      <c r="A1173" s="5">
        <v>1172.0</v>
      </c>
      <c r="B1173" s="5" t="s">
        <v>2235</v>
      </c>
      <c r="C1173" s="5" t="s">
        <v>20</v>
      </c>
      <c r="K1173" s="5">
        <v>250.0</v>
      </c>
      <c r="N1173" s="8">
        <v>44172.0</v>
      </c>
    </row>
    <row r="1174">
      <c r="A1174" s="5">
        <v>1173.0</v>
      </c>
      <c r="B1174" s="5" t="s">
        <v>2236</v>
      </c>
      <c r="C1174" s="5" t="s">
        <v>20</v>
      </c>
      <c r="K1174" s="5">
        <v>60.0</v>
      </c>
      <c r="N1174" s="8">
        <v>45037.0</v>
      </c>
    </row>
    <row r="1175">
      <c r="A1175" s="5">
        <v>1174.0</v>
      </c>
      <c r="B1175" s="5" t="s">
        <v>2238</v>
      </c>
      <c r="C1175" s="5" t="s">
        <v>20</v>
      </c>
      <c r="K1175" s="5">
        <v>40.0</v>
      </c>
      <c r="N1175" s="8">
        <v>44895.0</v>
      </c>
    </row>
    <row r="1176">
      <c r="A1176" s="5">
        <v>1175.0</v>
      </c>
      <c r="B1176" s="5" t="s">
        <v>2239</v>
      </c>
      <c r="C1176" s="5" t="s">
        <v>20</v>
      </c>
      <c r="N1176" s="8">
        <v>42498.0</v>
      </c>
    </row>
    <row r="1177">
      <c r="A1177" s="5">
        <v>1176.0</v>
      </c>
      <c r="B1177" s="5" t="s">
        <v>2241</v>
      </c>
      <c r="C1177" s="5" t="s">
        <v>20</v>
      </c>
      <c r="K1177" s="5">
        <v>30.0</v>
      </c>
      <c r="N1177" s="8">
        <v>43991.0</v>
      </c>
    </row>
    <row r="1178">
      <c r="A1178" s="5">
        <v>1177.0</v>
      </c>
      <c r="B1178" s="5" t="s">
        <v>2242</v>
      </c>
      <c r="C1178" s="5" t="s">
        <v>20</v>
      </c>
      <c r="K1178" s="5">
        <v>200.0</v>
      </c>
      <c r="N1178" s="8">
        <v>44980.0</v>
      </c>
    </row>
    <row r="1179">
      <c r="A1179" s="5">
        <v>1178.0</v>
      </c>
      <c r="B1179" s="5" t="s">
        <v>2244</v>
      </c>
      <c r="C1179" s="5" t="s">
        <v>20</v>
      </c>
      <c r="K1179" s="5">
        <v>40.0</v>
      </c>
      <c r="N1179" s="8">
        <v>44158.0</v>
      </c>
    </row>
    <row r="1180">
      <c r="A1180" s="5">
        <v>1179.0</v>
      </c>
      <c r="B1180" s="5" t="s">
        <v>2245</v>
      </c>
      <c r="C1180" s="5" t="s">
        <v>20</v>
      </c>
      <c r="N1180" s="8">
        <v>45826.0</v>
      </c>
    </row>
    <row r="1181">
      <c r="A1181" s="5">
        <v>1180.0</v>
      </c>
      <c r="B1181" s="5" t="s">
        <v>2246</v>
      </c>
      <c r="C1181" s="5" t="s">
        <v>20</v>
      </c>
      <c r="K1181" s="5">
        <v>40.0</v>
      </c>
      <c r="N1181" s="8">
        <v>43875.0</v>
      </c>
    </row>
    <row r="1182">
      <c r="A1182" s="5">
        <v>1181.0</v>
      </c>
      <c r="B1182" s="5" t="s">
        <v>2144</v>
      </c>
      <c r="C1182" s="5" t="s">
        <v>20</v>
      </c>
      <c r="D1182" s="5">
        <v>11.0</v>
      </c>
      <c r="F1182" s="5">
        <v>8.0</v>
      </c>
      <c r="H1182" s="5" t="s">
        <v>19</v>
      </c>
      <c r="I1182" s="9">
        <v>46141.85212962963</v>
      </c>
      <c r="J1182" s="5" t="s">
        <v>22</v>
      </c>
      <c r="L1182" s="5">
        <v>136000.0</v>
      </c>
      <c r="M1182" s="5">
        <v>140000.0</v>
      </c>
      <c r="N1182" s="8">
        <v>42429.0</v>
      </c>
      <c r="O1182" s="5" t="s">
        <v>24</v>
      </c>
      <c r="P1182" s="5" t="s">
        <v>25</v>
      </c>
      <c r="S1182" s="5" t="s">
        <v>38</v>
      </c>
    </row>
    <row r="1183">
      <c r="A1183" s="5">
        <v>1182.0</v>
      </c>
      <c r="B1183" s="5" t="s">
        <v>578</v>
      </c>
      <c r="C1183" s="5" t="s">
        <v>20</v>
      </c>
      <c r="N1183" s="8">
        <v>42883.0</v>
      </c>
    </row>
    <row r="1184">
      <c r="A1184" s="5">
        <v>1183.0</v>
      </c>
      <c r="B1184" s="5" t="s">
        <v>2249</v>
      </c>
      <c r="C1184" s="5" t="s">
        <v>20</v>
      </c>
      <c r="K1184" s="5">
        <v>450.0</v>
      </c>
      <c r="N1184" s="8">
        <v>44934.0</v>
      </c>
    </row>
    <row r="1185">
      <c r="A1185" s="5">
        <v>1184.0</v>
      </c>
      <c r="B1185" s="5" t="s">
        <v>2251</v>
      </c>
      <c r="C1185" s="5" t="s">
        <v>20</v>
      </c>
      <c r="K1185" s="5">
        <v>150.0</v>
      </c>
      <c r="N1185" s="8">
        <v>44273.0</v>
      </c>
    </row>
    <row r="1186">
      <c r="A1186" s="5">
        <v>1185.0</v>
      </c>
      <c r="B1186" s="5" t="s">
        <v>259</v>
      </c>
      <c r="C1186" s="5" t="s">
        <v>20</v>
      </c>
      <c r="K1186" s="5">
        <v>400.0</v>
      </c>
      <c r="N1186" s="8">
        <v>44961.0</v>
      </c>
    </row>
    <row r="1187">
      <c r="A1187" s="5">
        <v>1186.0</v>
      </c>
      <c r="B1187" s="5" t="s">
        <v>2253</v>
      </c>
      <c r="C1187" s="5" t="s">
        <v>20</v>
      </c>
      <c r="N1187" s="8">
        <v>45748.0</v>
      </c>
    </row>
    <row r="1188">
      <c r="A1188" s="5">
        <v>1187.0</v>
      </c>
      <c r="B1188" s="5" t="s">
        <v>2254</v>
      </c>
      <c r="C1188" s="5" t="s">
        <v>20</v>
      </c>
      <c r="K1188" s="5">
        <v>40.0</v>
      </c>
      <c r="N1188" s="8">
        <v>45466.0</v>
      </c>
    </row>
    <row r="1189">
      <c r="A1189" s="5">
        <v>1188.0</v>
      </c>
      <c r="B1189" s="5" t="s">
        <v>2255</v>
      </c>
      <c r="C1189" s="5" t="s">
        <v>20</v>
      </c>
      <c r="K1189" s="5">
        <v>50.0</v>
      </c>
      <c r="N1189" s="8">
        <v>44430.0</v>
      </c>
    </row>
    <row r="1190">
      <c r="A1190" s="5">
        <v>1189.0</v>
      </c>
      <c r="B1190" s="5" t="s">
        <v>2257</v>
      </c>
      <c r="C1190" s="5" t="s">
        <v>20</v>
      </c>
      <c r="N1190" s="8">
        <v>44564.0</v>
      </c>
    </row>
    <row r="1191">
      <c r="A1191" s="5">
        <v>1190.0</v>
      </c>
      <c r="B1191" s="5" t="s">
        <v>261</v>
      </c>
      <c r="C1191" s="5" t="s">
        <v>20</v>
      </c>
      <c r="K1191" s="5">
        <v>450.0</v>
      </c>
      <c r="N1191" s="8">
        <v>44441.0</v>
      </c>
    </row>
    <row r="1192">
      <c r="A1192" s="5">
        <v>1191.0</v>
      </c>
      <c r="B1192" s="5" t="s">
        <v>2258</v>
      </c>
      <c r="C1192" s="5" t="s">
        <v>20</v>
      </c>
      <c r="N1192" s="8">
        <v>44810.0</v>
      </c>
      <c r="O1192" s="5" t="s">
        <v>24</v>
      </c>
      <c r="P1192" s="5" t="s">
        <v>25</v>
      </c>
      <c r="S1192" s="5" t="s">
        <v>38</v>
      </c>
    </row>
    <row r="1193">
      <c r="A1193" s="5">
        <v>1192.0</v>
      </c>
      <c r="B1193" s="5" t="s">
        <v>2260</v>
      </c>
      <c r="C1193" s="5" t="s">
        <v>20</v>
      </c>
      <c r="N1193" s="8">
        <v>42675.0</v>
      </c>
    </row>
    <row r="1194">
      <c r="A1194" s="5">
        <v>1193.0</v>
      </c>
      <c r="B1194" s="5" t="s">
        <v>267</v>
      </c>
      <c r="C1194" s="5" t="s">
        <v>20</v>
      </c>
      <c r="K1194" s="5">
        <v>150.0</v>
      </c>
      <c r="N1194" s="8">
        <v>44654.0</v>
      </c>
    </row>
    <row r="1195">
      <c r="A1195" s="5">
        <v>1194.0</v>
      </c>
      <c r="B1195" s="5" t="s">
        <v>2261</v>
      </c>
      <c r="C1195" s="5" t="s">
        <v>20</v>
      </c>
      <c r="N1195" s="8">
        <v>44475.0</v>
      </c>
    </row>
    <row r="1196">
      <c r="A1196" s="5">
        <v>1195.0</v>
      </c>
      <c r="B1196" s="5" t="s">
        <v>2154</v>
      </c>
      <c r="C1196" s="5" t="s">
        <v>20</v>
      </c>
      <c r="D1196" s="5">
        <v>1.0</v>
      </c>
      <c r="H1196" s="5" t="s">
        <v>30</v>
      </c>
      <c r="I1196" s="9">
        <v>46162.45983796296</v>
      </c>
      <c r="J1196" s="5" t="s">
        <v>22</v>
      </c>
      <c r="L1196" s="5">
        <v>26000.0</v>
      </c>
      <c r="M1196" s="5">
        <v>27000.0</v>
      </c>
      <c r="N1196" s="8">
        <v>44287.0</v>
      </c>
      <c r="O1196" s="5" t="s">
        <v>24</v>
      </c>
      <c r="P1196" s="5" t="s">
        <v>25</v>
      </c>
      <c r="S1196" s="5" t="s">
        <v>38</v>
      </c>
    </row>
    <row r="1197">
      <c r="A1197" s="5">
        <v>1196.0</v>
      </c>
      <c r="B1197" s="5" t="s">
        <v>2263</v>
      </c>
      <c r="C1197" s="5" t="s">
        <v>20</v>
      </c>
      <c r="K1197" s="5">
        <v>60.0</v>
      </c>
      <c r="N1197" s="8">
        <v>45170.0</v>
      </c>
    </row>
    <row r="1198">
      <c r="A1198" s="5">
        <v>1197.0</v>
      </c>
      <c r="B1198" s="5" t="s">
        <v>2264</v>
      </c>
      <c r="C1198" s="5" t="s">
        <v>20</v>
      </c>
      <c r="N1198" s="8">
        <v>42495.0</v>
      </c>
    </row>
    <row r="1199">
      <c r="A1199" s="5">
        <v>1198.0</v>
      </c>
      <c r="B1199" s="5" t="s">
        <v>2265</v>
      </c>
      <c r="C1199" s="5" t="s">
        <v>20</v>
      </c>
      <c r="N1199" s="8">
        <v>42470.0</v>
      </c>
    </row>
    <row r="1200">
      <c r="A1200" s="5">
        <v>1199.0</v>
      </c>
      <c r="B1200" s="5" t="s">
        <v>2267</v>
      </c>
      <c r="C1200" s="5" t="s">
        <v>20</v>
      </c>
      <c r="K1200" s="5">
        <v>100.0</v>
      </c>
      <c r="N1200" s="8">
        <v>44533.0</v>
      </c>
    </row>
    <row r="1201">
      <c r="A1201" s="5">
        <v>1200.0</v>
      </c>
      <c r="B1201" s="5" t="s">
        <v>2268</v>
      </c>
      <c r="C1201" s="5" t="s">
        <v>20</v>
      </c>
      <c r="K1201" s="5">
        <v>800.0</v>
      </c>
      <c r="N1201" s="8">
        <v>44871.0</v>
      </c>
    </row>
    <row r="1202">
      <c r="A1202" s="5">
        <v>1201.0</v>
      </c>
      <c r="B1202" s="5" t="s">
        <v>2269</v>
      </c>
      <c r="C1202" s="5" t="s">
        <v>20</v>
      </c>
      <c r="N1202" s="8">
        <v>45634.0</v>
      </c>
    </row>
    <row r="1203">
      <c r="A1203" s="5">
        <v>1202.0</v>
      </c>
      <c r="B1203" s="5" t="s">
        <v>2271</v>
      </c>
      <c r="C1203" s="5" t="s">
        <v>20</v>
      </c>
      <c r="N1203" s="8">
        <v>45493.0</v>
      </c>
    </row>
    <row r="1204">
      <c r="A1204" s="5">
        <v>1203.0</v>
      </c>
      <c r="B1204" s="5" t="s">
        <v>268</v>
      </c>
      <c r="C1204" s="5" t="s">
        <v>20</v>
      </c>
      <c r="K1204" s="5">
        <v>10.0</v>
      </c>
      <c r="N1204" s="8">
        <v>44911.0</v>
      </c>
    </row>
    <row r="1205">
      <c r="A1205" s="5">
        <v>1204.0</v>
      </c>
      <c r="B1205" s="5" t="s">
        <v>270</v>
      </c>
      <c r="C1205" s="5" t="s">
        <v>20</v>
      </c>
      <c r="K1205" s="5">
        <v>250.0</v>
      </c>
      <c r="N1205" s="8">
        <v>44862.0</v>
      </c>
    </row>
    <row r="1206">
      <c r="A1206" s="5">
        <v>1205.0</v>
      </c>
      <c r="B1206" s="5" t="s">
        <v>2272</v>
      </c>
      <c r="C1206" s="5" t="s">
        <v>20</v>
      </c>
      <c r="N1206" s="8">
        <v>42365.0</v>
      </c>
      <c r="O1206" s="5" t="s">
        <v>24</v>
      </c>
      <c r="P1206" s="5" t="s">
        <v>25</v>
      </c>
      <c r="S1206" s="5" t="s">
        <v>38</v>
      </c>
    </row>
    <row r="1207">
      <c r="A1207" s="5">
        <v>1206.0</v>
      </c>
      <c r="B1207" s="5" t="s">
        <v>271</v>
      </c>
      <c r="C1207" s="5" t="s">
        <v>20</v>
      </c>
      <c r="K1207" s="5">
        <v>600.0</v>
      </c>
      <c r="N1207" s="8">
        <v>44100.0</v>
      </c>
    </row>
    <row r="1208">
      <c r="A1208" s="5">
        <v>1207.0</v>
      </c>
      <c r="B1208" s="5" t="s">
        <v>2274</v>
      </c>
      <c r="C1208" s="5" t="s">
        <v>20</v>
      </c>
      <c r="K1208" s="5">
        <v>150.0</v>
      </c>
      <c r="N1208" s="8">
        <v>44673.0</v>
      </c>
    </row>
    <row r="1209">
      <c r="A1209" s="5">
        <v>1208.0</v>
      </c>
      <c r="B1209" s="5" t="s">
        <v>2275</v>
      </c>
      <c r="C1209" s="5" t="s">
        <v>20</v>
      </c>
      <c r="K1209" s="5">
        <v>70.0</v>
      </c>
      <c r="N1209" s="8">
        <v>44698.0</v>
      </c>
    </row>
    <row r="1210">
      <c r="A1210" s="5">
        <v>1209.0</v>
      </c>
      <c r="B1210" s="5" t="s">
        <v>273</v>
      </c>
      <c r="C1210" s="5" t="s">
        <v>20</v>
      </c>
      <c r="N1210" s="8">
        <v>42631.0</v>
      </c>
    </row>
    <row r="1211">
      <c r="A1211" s="5">
        <v>1210.0</v>
      </c>
      <c r="B1211" s="5" t="s">
        <v>2277</v>
      </c>
      <c r="C1211" s="5" t="s">
        <v>20</v>
      </c>
      <c r="K1211" s="5">
        <v>90.0</v>
      </c>
      <c r="N1211" s="8">
        <v>44207.0</v>
      </c>
    </row>
    <row r="1212">
      <c r="A1212" s="5">
        <v>1211.0</v>
      </c>
      <c r="B1212" s="5" t="s">
        <v>274</v>
      </c>
      <c r="C1212" s="5" t="s">
        <v>20</v>
      </c>
      <c r="K1212" s="5">
        <v>400.0</v>
      </c>
      <c r="N1212" s="8">
        <v>44306.0</v>
      </c>
    </row>
    <row r="1213">
      <c r="A1213" s="5">
        <v>1212.0</v>
      </c>
      <c r="B1213" s="5" t="s">
        <v>2279</v>
      </c>
      <c r="C1213" s="5" t="s">
        <v>20</v>
      </c>
      <c r="N1213" s="8">
        <v>45347.0</v>
      </c>
    </row>
    <row r="1214">
      <c r="A1214" s="5">
        <v>1213.0</v>
      </c>
      <c r="B1214" s="5" t="s">
        <v>2280</v>
      </c>
      <c r="C1214" s="5" t="s">
        <v>20</v>
      </c>
      <c r="N1214" s="8">
        <v>44674.0</v>
      </c>
    </row>
    <row r="1215">
      <c r="A1215" s="5">
        <v>1214.0</v>
      </c>
      <c r="B1215" s="5" t="s">
        <v>2282</v>
      </c>
      <c r="C1215" s="5" t="s">
        <v>20</v>
      </c>
      <c r="K1215" s="5">
        <v>600.0</v>
      </c>
      <c r="N1215" s="8">
        <v>45163.0</v>
      </c>
    </row>
    <row r="1216">
      <c r="A1216" s="5">
        <v>1215.0</v>
      </c>
      <c r="B1216" s="5" t="s">
        <v>275</v>
      </c>
      <c r="C1216" s="5" t="s">
        <v>20</v>
      </c>
      <c r="K1216" s="5">
        <v>200.0</v>
      </c>
      <c r="N1216" s="8">
        <v>43841.0</v>
      </c>
    </row>
    <row r="1217">
      <c r="A1217" s="5">
        <v>1216.0</v>
      </c>
      <c r="B1217" s="5" t="s">
        <v>2283</v>
      </c>
      <c r="C1217" s="5" t="s">
        <v>20</v>
      </c>
      <c r="K1217" s="5">
        <v>250.0</v>
      </c>
      <c r="N1217" s="8">
        <v>44018.0</v>
      </c>
    </row>
    <row r="1218">
      <c r="A1218" s="5">
        <v>1217.0</v>
      </c>
      <c r="B1218" s="5" t="s">
        <v>2285</v>
      </c>
      <c r="C1218" s="5" t="s">
        <v>20</v>
      </c>
      <c r="K1218" s="5">
        <v>40.0</v>
      </c>
      <c r="N1218" s="8">
        <v>45346.0</v>
      </c>
    </row>
    <row r="1219">
      <c r="A1219" s="5">
        <v>1218.0</v>
      </c>
      <c r="B1219" s="5" t="s">
        <v>2287</v>
      </c>
      <c r="C1219" s="5" t="s">
        <v>20</v>
      </c>
      <c r="K1219" s="5">
        <v>250.0</v>
      </c>
      <c r="N1219" s="8">
        <v>43848.0</v>
      </c>
    </row>
    <row r="1220">
      <c r="A1220" s="5">
        <v>1219.0</v>
      </c>
      <c r="B1220" s="5" t="s">
        <v>2289</v>
      </c>
      <c r="C1220" s="5" t="s">
        <v>20</v>
      </c>
      <c r="N1220" s="8">
        <v>44051.0</v>
      </c>
    </row>
    <row r="1221">
      <c r="A1221" s="5">
        <v>1220.0</v>
      </c>
      <c r="B1221" s="5" t="s">
        <v>2291</v>
      </c>
      <c r="C1221" s="5" t="s">
        <v>20</v>
      </c>
      <c r="K1221" s="5">
        <v>10.0</v>
      </c>
      <c r="N1221" s="8">
        <v>45717.0</v>
      </c>
    </row>
    <row r="1222">
      <c r="A1222" s="5">
        <v>1221.0</v>
      </c>
      <c r="B1222" s="5" t="s">
        <v>2292</v>
      </c>
      <c r="C1222" s="5" t="s">
        <v>20</v>
      </c>
      <c r="K1222" s="5">
        <v>30.0</v>
      </c>
      <c r="N1222" s="8">
        <v>44606.0</v>
      </c>
    </row>
    <row r="1223">
      <c r="A1223" s="5">
        <v>1222.0</v>
      </c>
      <c r="B1223" s="5" t="s">
        <v>2293</v>
      </c>
      <c r="C1223" s="5" t="s">
        <v>20</v>
      </c>
      <c r="K1223" s="5">
        <v>40.0</v>
      </c>
      <c r="N1223" s="8">
        <v>43857.0</v>
      </c>
    </row>
    <row r="1224">
      <c r="A1224" s="5">
        <v>1223.0</v>
      </c>
      <c r="B1224" s="5" t="s">
        <v>276</v>
      </c>
      <c r="C1224" s="5" t="s">
        <v>20</v>
      </c>
      <c r="K1224" s="5">
        <v>40.0</v>
      </c>
      <c r="N1224" s="8">
        <v>44435.0</v>
      </c>
    </row>
    <row r="1225">
      <c r="A1225" s="5">
        <v>1224.0</v>
      </c>
      <c r="B1225" s="5" t="s">
        <v>2296</v>
      </c>
      <c r="C1225" s="5" t="s">
        <v>20</v>
      </c>
      <c r="K1225" s="5">
        <v>200.0</v>
      </c>
      <c r="N1225" s="8">
        <v>45549.0</v>
      </c>
    </row>
    <row r="1226">
      <c r="A1226" s="5">
        <v>1225.0</v>
      </c>
      <c r="B1226" s="5" t="s">
        <v>2298</v>
      </c>
      <c r="C1226" s="5" t="s">
        <v>20</v>
      </c>
      <c r="N1226" s="8">
        <v>43694.0</v>
      </c>
    </row>
    <row r="1227">
      <c r="A1227" s="5">
        <v>1226.0</v>
      </c>
      <c r="B1227" s="5" t="s">
        <v>2299</v>
      </c>
      <c r="C1227" s="5" t="s">
        <v>20</v>
      </c>
      <c r="K1227" s="5">
        <v>700.0</v>
      </c>
      <c r="N1227" s="8">
        <v>45213.0</v>
      </c>
    </row>
    <row r="1228">
      <c r="A1228" s="5">
        <v>1227.0</v>
      </c>
      <c r="B1228" s="5" t="s">
        <v>2301</v>
      </c>
      <c r="C1228" s="5" t="s">
        <v>20</v>
      </c>
      <c r="K1228" s="5">
        <v>10.0</v>
      </c>
      <c r="N1228" s="8">
        <v>44316.0</v>
      </c>
    </row>
    <row r="1229">
      <c r="A1229" s="5">
        <v>1228.0</v>
      </c>
      <c r="B1229" s="5" t="s">
        <v>2302</v>
      </c>
      <c r="C1229" s="5" t="s">
        <v>20</v>
      </c>
      <c r="K1229" s="5">
        <v>80.0</v>
      </c>
      <c r="N1229" s="8">
        <v>44267.0</v>
      </c>
    </row>
    <row r="1230">
      <c r="A1230" s="5">
        <v>1229.0</v>
      </c>
      <c r="B1230" s="5" t="s">
        <v>2303</v>
      </c>
      <c r="C1230" s="5" t="s">
        <v>20</v>
      </c>
      <c r="N1230" s="8">
        <v>44895.0</v>
      </c>
    </row>
    <row r="1231">
      <c r="A1231" s="5">
        <v>1230.0</v>
      </c>
      <c r="B1231" s="5" t="s">
        <v>2305</v>
      </c>
      <c r="C1231" s="5" t="s">
        <v>20</v>
      </c>
      <c r="N1231" s="8">
        <v>45917.0</v>
      </c>
    </row>
    <row r="1232">
      <c r="A1232" s="5">
        <v>1231.0</v>
      </c>
      <c r="B1232" s="5" t="s">
        <v>2306</v>
      </c>
      <c r="C1232" s="5" t="s">
        <v>20</v>
      </c>
      <c r="K1232" s="5">
        <v>10.0</v>
      </c>
      <c r="N1232" s="8">
        <v>45456.0</v>
      </c>
    </row>
    <row r="1233">
      <c r="A1233" s="5">
        <v>1232.0</v>
      </c>
      <c r="B1233" s="5" t="s">
        <v>2307</v>
      </c>
      <c r="C1233" s="5" t="s">
        <v>20</v>
      </c>
      <c r="K1233" s="5">
        <v>40.0</v>
      </c>
      <c r="N1233" s="8">
        <v>45289.0</v>
      </c>
    </row>
    <row r="1234">
      <c r="A1234" s="5">
        <v>1233.0</v>
      </c>
      <c r="B1234" s="5" t="s">
        <v>2309</v>
      </c>
      <c r="C1234" s="5" t="s">
        <v>20</v>
      </c>
      <c r="K1234" s="5">
        <v>11000.0</v>
      </c>
      <c r="N1234" s="8">
        <v>44541.0</v>
      </c>
    </row>
    <row r="1235">
      <c r="A1235" s="5">
        <v>1234.0</v>
      </c>
      <c r="B1235" s="5" t="s">
        <v>2311</v>
      </c>
      <c r="C1235" s="5" t="s">
        <v>20</v>
      </c>
      <c r="K1235" s="5">
        <v>150.0</v>
      </c>
      <c r="N1235" s="8">
        <v>44571.0</v>
      </c>
    </row>
    <row r="1236">
      <c r="A1236" s="5">
        <v>1235.0</v>
      </c>
      <c r="B1236" s="5" t="s">
        <v>2313</v>
      </c>
      <c r="C1236" s="5" t="s">
        <v>20</v>
      </c>
      <c r="N1236" s="8">
        <v>45135.0</v>
      </c>
    </row>
    <row r="1237">
      <c r="A1237" s="5">
        <v>1236.0</v>
      </c>
      <c r="B1237" s="5" t="s">
        <v>2315</v>
      </c>
      <c r="C1237" s="5" t="s">
        <v>20</v>
      </c>
      <c r="N1237" s="8">
        <v>44794.0</v>
      </c>
    </row>
    <row r="1238">
      <c r="A1238" s="5">
        <v>1237.0</v>
      </c>
      <c r="B1238" s="5" t="s">
        <v>2316</v>
      </c>
      <c r="C1238" s="5" t="s">
        <v>20</v>
      </c>
      <c r="N1238" s="8">
        <v>45533.0</v>
      </c>
    </row>
    <row r="1239">
      <c r="A1239" s="5">
        <v>1238.0</v>
      </c>
      <c r="B1239" s="5" t="s">
        <v>2317</v>
      </c>
      <c r="C1239" s="5" t="s">
        <v>20</v>
      </c>
      <c r="N1239" s="8">
        <v>45957.0</v>
      </c>
    </row>
    <row r="1240">
      <c r="A1240" s="5">
        <v>1239.0</v>
      </c>
      <c r="B1240" s="5" t="s">
        <v>2319</v>
      </c>
      <c r="C1240" s="5" t="s">
        <v>20</v>
      </c>
      <c r="K1240" s="5">
        <v>50.0</v>
      </c>
      <c r="N1240" s="8">
        <v>44337.0</v>
      </c>
    </row>
    <row r="1241">
      <c r="A1241" s="5">
        <v>1240.0</v>
      </c>
      <c r="B1241" s="5" t="s">
        <v>2321</v>
      </c>
      <c r="C1241" s="5" t="s">
        <v>20</v>
      </c>
      <c r="N1241" s="8">
        <v>44594.0</v>
      </c>
    </row>
    <row r="1242">
      <c r="A1242" s="5">
        <v>1241.0</v>
      </c>
      <c r="B1242" s="5" t="s">
        <v>2322</v>
      </c>
      <c r="C1242" s="5" t="s">
        <v>20</v>
      </c>
      <c r="N1242" s="8">
        <v>45251.0</v>
      </c>
    </row>
    <row r="1243">
      <c r="A1243" s="5">
        <v>1242.0</v>
      </c>
      <c r="B1243" s="5" t="s">
        <v>2323</v>
      </c>
      <c r="C1243" s="5" t="s">
        <v>20</v>
      </c>
      <c r="K1243" s="5">
        <v>100.0</v>
      </c>
      <c r="N1243" s="8">
        <v>44541.0</v>
      </c>
    </row>
    <row r="1244">
      <c r="A1244" s="5">
        <v>1243.0</v>
      </c>
      <c r="B1244" s="5" t="s">
        <v>2325</v>
      </c>
      <c r="C1244" s="5" t="s">
        <v>20</v>
      </c>
      <c r="K1244" s="5">
        <v>10.0</v>
      </c>
      <c r="N1244" s="8">
        <v>43887.0</v>
      </c>
    </row>
    <row r="1245">
      <c r="A1245" s="5">
        <v>1244.0</v>
      </c>
      <c r="B1245" s="5" t="s">
        <v>2326</v>
      </c>
      <c r="C1245" s="5" t="s">
        <v>20</v>
      </c>
      <c r="K1245" s="5">
        <v>10.0</v>
      </c>
      <c r="N1245" s="8">
        <v>44659.0</v>
      </c>
    </row>
    <row r="1246">
      <c r="A1246" s="5">
        <v>1245.0</v>
      </c>
      <c r="B1246" s="5" t="s">
        <v>2328</v>
      </c>
      <c r="C1246" s="5" t="s">
        <v>20</v>
      </c>
      <c r="N1246" s="8">
        <v>45637.0</v>
      </c>
    </row>
    <row r="1247">
      <c r="A1247" s="5">
        <v>1246.0</v>
      </c>
      <c r="B1247" s="5" t="s">
        <v>2330</v>
      </c>
      <c r="C1247" s="5" t="s">
        <v>20</v>
      </c>
      <c r="K1247" s="5">
        <v>50.0</v>
      </c>
      <c r="N1247" s="8">
        <v>44299.0</v>
      </c>
    </row>
    <row r="1248">
      <c r="A1248" s="5">
        <v>1247.0</v>
      </c>
      <c r="B1248" s="5" t="s">
        <v>2331</v>
      </c>
      <c r="C1248" s="5" t="s">
        <v>20</v>
      </c>
      <c r="K1248" s="5">
        <v>150.0</v>
      </c>
      <c r="N1248" s="8">
        <v>43959.0</v>
      </c>
    </row>
    <row r="1249">
      <c r="A1249" s="5">
        <v>1248.0</v>
      </c>
      <c r="B1249" s="5" t="s">
        <v>2333</v>
      </c>
      <c r="C1249" s="5" t="s">
        <v>20</v>
      </c>
      <c r="K1249" s="5">
        <v>8900.0</v>
      </c>
      <c r="N1249" s="8">
        <v>42345.0</v>
      </c>
    </row>
    <row r="1250">
      <c r="A1250" s="5">
        <v>1249.0</v>
      </c>
      <c r="B1250" s="5" t="s">
        <v>2334</v>
      </c>
      <c r="C1250" s="5" t="s">
        <v>20</v>
      </c>
      <c r="K1250" s="5">
        <v>10.0</v>
      </c>
      <c r="N1250" s="8">
        <v>45263.0</v>
      </c>
    </row>
    <row r="1251">
      <c r="A1251" s="5">
        <v>1250.0</v>
      </c>
      <c r="B1251" s="5" t="s">
        <v>2335</v>
      </c>
      <c r="C1251" s="5" t="s">
        <v>20</v>
      </c>
      <c r="N1251" s="8">
        <v>45111.0</v>
      </c>
    </row>
    <row r="1252">
      <c r="A1252" s="5">
        <v>1251.0</v>
      </c>
      <c r="B1252" s="5" t="s">
        <v>2336</v>
      </c>
      <c r="C1252" s="5" t="s">
        <v>20</v>
      </c>
      <c r="N1252" s="8">
        <v>42518.0</v>
      </c>
    </row>
    <row r="1253">
      <c r="A1253" s="5">
        <v>1252.0</v>
      </c>
      <c r="B1253" s="5" t="s">
        <v>2337</v>
      </c>
      <c r="C1253" s="5" t="s">
        <v>20</v>
      </c>
      <c r="N1253" s="8">
        <v>45689.0</v>
      </c>
    </row>
    <row r="1254">
      <c r="A1254" s="5">
        <v>1253.0</v>
      </c>
      <c r="B1254" s="5" t="s">
        <v>2338</v>
      </c>
      <c r="C1254" s="5" t="s">
        <v>20</v>
      </c>
      <c r="K1254" s="5">
        <v>150.0</v>
      </c>
      <c r="N1254" s="8">
        <v>45396.0</v>
      </c>
    </row>
    <row r="1255">
      <c r="A1255" s="5">
        <v>1254.0</v>
      </c>
      <c r="B1255" s="5" t="s">
        <v>2339</v>
      </c>
      <c r="C1255" s="5" t="s">
        <v>20</v>
      </c>
      <c r="N1255" s="8">
        <v>45902.0</v>
      </c>
    </row>
    <row r="1256">
      <c r="A1256" s="5">
        <v>1255.0</v>
      </c>
      <c r="B1256" s="5" t="s">
        <v>2340</v>
      </c>
      <c r="C1256" s="5" t="s">
        <v>20</v>
      </c>
      <c r="K1256" s="5">
        <v>900.0</v>
      </c>
      <c r="N1256" s="8">
        <v>44410.0</v>
      </c>
    </row>
    <row r="1257">
      <c r="A1257" s="5">
        <v>1256.0</v>
      </c>
      <c r="B1257" s="5" t="s">
        <v>2341</v>
      </c>
      <c r="C1257" s="5" t="s">
        <v>20</v>
      </c>
      <c r="N1257" s="8">
        <v>45859.0</v>
      </c>
    </row>
    <row r="1258">
      <c r="A1258" s="5">
        <v>1257.0</v>
      </c>
      <c r="B1258" s="5" t="s">
        <v>2342</v>
      </c>
      <c r="C1258" s="5" t="s">
        <v>20</v>
      </c>
      <c r="K1258" s="5">
        <v>30.0</v>
      </c>
      <c r="N1258" s="8">
        <v>44893.0</v>
      </c>
    </row>
    <row r="1259">
      <c r="A1259" s="5">
        <v>1258.0</v>
      </c>
      <c r="B1259" s="5" t="s">
        <v>2343</v>
      </c>
      <c r="C1259" s="5" t="s">
        <v>20</v>
      </c>
      <c r="N1259" s="8">
        <v>43203.0</v>
      </c>
    </row>
    <row r="1260">
      <c r="A1260" s="5">
        <v>1259.0</v>
      </c>
      <c r="B1260" s="5" t="s">
        <v>2344</v>
      </c>
      <c r="C1260" s="5" t="s">
        <v>20</v>
      </c>
      <c r="N1260" s="8">
        <v>45248.0</v>
      </c>
    </row>
    <row r="1261">
      <c r="A1261" s="5">
        <v>1260.0</v>
      </c>
      <c r="B1261" s="5" t="s">
        <v>278</v>
      </c>
      <c r="C1261" s="5" t="s">
        <v>20</v>
      </c>
      <c r="K1261" s="5">
        <v>500.0</v>
      </c>
      <c r="N1261" s="8">
        <v>44111.0</v>
      </c>
    </row>
    <row r="1262">
      <c r="A1262" s="5">
        <v>1261.0</v>
      </c>
      <c r="B1262" s="5" t="s">
        <v>2345</v>
      </c>
      <c r="C1262" s="5" t="s">
        <v>20</v>
      </c>
      <c r="K1262" s="5">
        <v>100.0</v>
      </c>
      <c r="N1262" s="8">
        <v>44126.0</v>
      </c>
    </row>
    <row r="1263">
      <c r="A1263" s="5">
        <v>1262.0</v>
      </c>
      <c r="B1263" s="5" t="s">
        <v>2346</v>
      </c>
      <c r="C1263" s="5" t="s">
        <v>20</v>
      </c>
      <c r="N1263" s="8">
        <v>42931.0</v>
      </c>
    </row>
    <row r="1264">
      <c r="A1264" s="5">
        <v>1263.0</v>
      </c>
      <c r="B1264" s="5" t="s">
        <v>2347</v>
      </c>
      <c r="C1264" s="5" t="s">
        <v>20</v>
      </c>
      <c r="K1264" s="5">
        <v>150.0</v>
      </c>
      <c r="N1264" s="8">
        <v>43854.0</v>
      </c>
    </row>
    <row r="1265">
      <c r="A1265" s="5">
        <v>1264.0</v>
      </c>
      <c r="B1265" s="5" t="s">
        <v>2348</v>
      </c>
      <c r="C1265" s="5" t="s">
        <v>20</v>
      </c>
      <c r="K1265" s="5">
        <v>70.0</v>
      </c>
      <c r="N1265" s="8">
        <v>44906.0</v>
      </c>
    </row>
    <row r="1266">
      <c r="A1266" s="5">
        <v>1265.0</v>
      </c>
      <c r="B1266" s="5" t="s">
        <v>279</v>
      </c>
      <c r="C1266" s="5" t="s">
        <v>20</v>
      </c>
      <c r="K1266" s="5">
        <v>60.0</v>
      </c>
      <c r="N1266" s="8">
        <v>44451.0</v>
      </c>
    </row>
    <row r="1267">
      <c r="A1267" s="5">
        <v>1266.0</v>
      </c>
      <c r="B1267" s="5" t="s">
        <v>2349</v>
      </c>
      <c r="C1267" s="5" t="s">
        <v>20</v>
      </c>
      <c r="K1267" s="5">
        <v>400.0</v>
      </c>
      <c r="N1267" s="8">
        <v>44540.0</v>
      </c>
    </row>
    <row r="1268">
      <c r="A1268" s="5">
        <v>1267.0</v>
      </c>
      <c r="B1268" s="5" t="s">
        <v>281</v>
      </c>
      <c r="C1268" s="5" t="s">
        <v>20</v>
      </c>
      <c r="K1268" s="5">
        <v>20.0</v>
      </c>
      <c r="N1268" s="8">
        <v>44314.0</v>
      </c>
    </row>
    <row r="1269">
      <c r="A1269" s="5">
        <v>1268.0</v>
      </c>
      <c r="B1269" s="5" t="s">
        <v>2350</v>
      </c>
      <c r="C1269" s="5" t="s">
        <v>20</v>
      </c>
      <c r="K1269" s="5">
        <v>10.0</v>
      </c>
      <c r="N1269" s="8">
        <v>44000.0</v>
      </c>
    </row>
    <row r="1270">
      <c r="A1270" s="5">
        <v>1269.0</v>
      </c>
      <c r="B1270" s="5" t="s">
        <v>2351</v>
      </c>
      <c r="C1270" s="5" t="s">
        <v>20</v>
      </c>
      <c r="K1270" s="5">
        <v>20.0</v>
      </c>
      <c r="N1270" s="8">
        <v>45620.0</v>
      </c>
    </row>
    <row r="1271">
      <c r="A1271" s="5">
        <v>1270.0</v>
      </c>
      <c r="B1271" s="5" t="s">
        <v>2352</v>
      </c>
      <c r="C1271" s="5" t="s">
        <v>20</v>
      </c>
      <c r="K1271" s="5">
        <v>100.0</v>
      </c>
      <c r="N1271" s="8">
        <v>44962.0</v>
      </c>
    </row>
    <row r="1272">
      <c r="A1272" s="5">
        <v>1271.0</v>
      </c>
      <c r="B1272" s="5" t="s">
        <v>2353</v>
      </c>
      <c r="C1272" s="5" t="s">
        <v>20</v>
      </c>
      <c r="N1272" s="8">
        <v>43004.0</v>
      </c>
    </row>
    <row r="1273">
      <c r="A1273" s="5">
        <v>1272.0</v>
      </c>
      <c r="B1273" s="5" t="s">
        <v>2354</v>
      </c>
      <c r="C1273" s="5" t="s">
        <v>20</v>
      </c>
      <c r="K1273" s="5">
        <v>100.0</v>
      </c>
      <c r="N1273" s="8">
        <v>44246.0</v>
      </c>
    </row>
    <row r="1274">
      <c r="A1274" s="5">
        <v>1273.0</v>
      </c>
      <c r="B1274" s="5" t="s">
        <v>2355</v>
      </c>
      <c r="C1274" s="5" t="s">
        <v>20</v>
      </c>
      <c r="N1274" s="8">
        <v>45002.0</v>
      </c>
    </row>
    <row r="1275">
      <c r="A1275" s="5">
        <v>1274.0</v>
      </c>
      <c r="B1275" s="5" t="s">
        <v>2356</v>
      </c>
      <c r="C1275" s="5" t="s">
        <v>20</v>
      </c>
      <c r="K1275" s="5">
        <v>450.0</v>
      </c>
      <c r="N1275" s="8">
        <v>45087.0</v>
      </c>
    </row>
    <row r="1276">
      <c r="A1276" s="5">
        <v>1275.0</v>
      </c>
      <c r="B1276" s="5" t="s">
        <v>2357</v>
      </c>
      <c r="C1276" s="5" t="s">
        <v>20</v>
      </c>
      <c r="K1276" s="5">
        <v>800.0</v>
      </c>
      <c r="N1276" s="8">
        <v>44368.0</v>
      </c>
    </row>
    <row r="1277">
      <c r="A1277" s="5">
        <v>1276.0</v>
      </c>
      <c r="B1277" s="5" t="s">
        <v>2358</v>
      </c>
      <c r="C1277" s="5" t="s">
        <v>20</v>
      </c>
      <c r="N1277" s="8">
        <v>45621.0</v>
      </c>
    </row>
    <row r="1278">
      <c r="A1278" s="5">
        <v>1277.0</v>
      </c>
      <c r="B1278" s="5" t="s">
        <v>2359</v>
      </c>
      <c r="C1278" s="5" t="s">
        <v>20</v>
      </c>
      <c r="K1278" s="5">
        <v>100.0</v>
      </c>
      <c r="N1278" s="8">
        <v>44221.0</v>
      </c>
    </row>
    <row r="1279">
      <c r="A1279" s="5">
        <v>1278.0</v>
      </c>
      <c r="B1279" s="5" t="s">
        <v>2360</v>
      </c>
      <c r="C1279" s="5" t="s">
        <v>20</v>
      </c>
      <c r="K1279" s="5">
        <v>70.0</v>
      </c>
      <c r="N1279" s="8">
        <v>44071.0</v>
      </c>
    </row>
    <row r="1280">
      <c r="A1280" s="5">
        <v>1279.0</v>
      </c>
      <c r="B1280" s="5" t="s">
        <v>284</v>
      </c>
      <c r="C1280" s="5" t="s">
        <v>20</v>
      </c>
      <c r="N1280" s="8">
        <v>44268.0</v>
      </c>
    </row>
    <row r="1281">
      <c r="A1281" s="5">
        <v>1280.0</v>
      </c>
      <c r="B1281" s="5" t="s">
        <v>2361</v>
      </c>
      <c r="C1281" s="5" t="s">
        <v>20</v>
      </c>
      <c r="K1281" s="5">
        <v>100.0</v>
      </c>
      <c r="N1281" s="8">
        <v>45640.0</v>
      </c>
    </row>
    <row r="1282">
      <c r="A1282" s="5">
        <v>1281.0</v>
      </c>
      <c r="B1282" s="5" t="s">
        <v>2362</v>
      </c>
      <c r="C1282" s="5" t="s">
        <v>20</v>
      </c>
      <c r="K1282" s="5">
        <v>600.0</v>
      </c>
      <c r="N1282" s="8">
        <v>44108.0</v>
      </c>
    </row>
    <row r="1283">
      <c r="A1283" s="5">
        <v>1282.0</v>
      </c>
      <c r="B1283" s="5" t="s">
        <v>2363</v>
      </c>
      <c r="C1283" s="5" t="s">
        <v>20</v>
      </c>
      <c r="K1283" s="5">
        <v>30.0</v>
      </c>
      <c r="N1283" s="8">
        <v>45391.0</v>
      </c>
    </row>
    <row r="1284">
      <c r="A1284" s="5">
        <v>1283.0</v>
      </c>
      <c r="B1284" s="5" t="s">
        <v>2364</v>
      </c>
      <c r="C1284" s="5" t="s">
        <v>20</v>
      </c>
      <c r="K1284" s="5">
        <v>600.0</v>
      </c>
      <c r="N1284" s="8">
        <v>44920.0</v>
      </c>
    </row>
    <row r="1285">
      <c r="A1285" s="5">
        <v>1284.0</v>
      </c>
      <c r="B1285" s="5" t="s">
        <v>2365</v>
      </c>
      <c r="C1285" s="5" t="s">
        <v>20</v>
      </c>
      <c r="N1285" s="8">
        <v>43438.0</v>
      </c>
    </row>
    <row r="1286">
      <c r="A1286" s="5">
        <v>1285.0</v>
      </c>
      <c r="B1286" s="5" t="s">
        <v>286</v>
      </c>
      <c r="C1286" s="5" t="s">
        <v>20</v>
      </c>
      <c r="N1286" s="8">
        <v>42325.0</v>
      </c>
      <c r="O1286" s="5" t="s">
        <v>24</v>
      </c>
      <c r="P1286" s="5" t="s">
        <v>25</v>
      </c>
      <c r="S1286" s="5" t="s">
        <v>38</v>
      </c>
    </row>
    <row r="1287">
      <c r="A1287" s="5">
        <v>1286.0</v>
      </c>
      <c r="B1287" s="5" t="s">
        <v>2366</v>
      </c>
      <c r="C1287" s="5" t="s">
        <v>20</v>
      </c>
      <c r="K1287" s="5">
        <v>200.0</v>
      </c>
      <c r="N1287" s="8">
        <v>45188.0</v>
      </c>
    </row>
    <row r="1288">
      <c r="A1288" s="5">
        <v>1287.0</v>
      </c>
      <c r="B1288" s="5" t="s">
        <v>2367</v>
      </c>
      <c r="C1288" s="5" t="s">
        <v>20</v>
      </c>
      <c r="N1288" s="8">
        <v>45504.0</v>
      </c>
    </row>
    <row r="1289">
      <c r="A1289" s="5">
        <v>1288.0</v>
      </c>
      <c r="B1289" s="5" t="s">
        <v>2368</v>
      </c>
      <c r="C1289" s="5" t="s">
        <v>20</v>
      </c>
      <c r="N1289" s="8">
        <v>44637.0</v>
      </c>
    </row>
    <row r="1290">
      <c r="A1290" s="5">
        <v>1289.0</v>
      </c>
      <c r="B1290" s="5" t="s">
        <v>288</v>
      </c>
      <c r="C1290" s="5" t="s">
        <v>20</v>
      </c>
      <c r="K1290" s="5">
        <v>700.0</v>
      </c>
      <c r="N1290" s="8">
        <v>45101.0</v>
      </c>
    </row>
    <row r="1291">
      <c r="A1291" s="5">
        <v>1290.0</v>
      </c>
      <c r="B1291" s="5" t="s">
        <v>2369</v>
      </c>
      <c r="C1291" s="5" t="s">
        <v>20</v>
      </c>
      <c r="N1291" s="8">
        <v>44280.0</v>
      </c>
    </row>
    <row r="1292">
      <c r="A1292" s="5">
        <v>1291.0</v>
      </c>
      <c r="B1292" s="5" t="s">
        <v>2370</v>
      </c>
      <c r="C1292" s="5" t="s">
        <v>20</v>
      </c>
      <c r="N1292" s="8">
        <v>45460.0</v>
      </c>
    </row>
    <row r="1293">
      <c r="A1293" s="5">
        <v>1292.0</v>
      </c>
      <c r="B1293" s="5" t="s">
        <v>2371</v>
      </c>
      <c r="C1293" s="5" t="s">
        <v>20</v>
      </c>
      <c r="K1293" s="5">
        <v>150.0</v>
      </c>
      <c r="N1293" s="8">
        <v>44888.0</v>
      </c>
    </row>
    <row r="1294">
      <c r="A1294" s="5">
        <v>1293.0</v>
      </c>
      <c r="B1294" s="5" t="s">
        <v>2372</v>
      </c>
      <c r="C1294" s="5" t="s">
        <v>20</v>
      </c>
      <c r="K1294" s="5">
        <v>900.0</v>
      </c>
      <c r="N1294" s="8">
        <v>44132.0</v>
      </c>
    </row>
    <row r="1295">
      <c r="A1295" s="5">
        <v>1294.0</v>
      </c>
      <c r="B1295" s="5" t="s">
        <v>2373</v>
      </c>
      <c r="C1295" s="5" t="s">
        <v>20</v>
      </c>
      <c r="N1295" s="8">
        <v>44488.0</v>
      </c>
    </row>
    <row r="1296">
      <c r="A1296" s="5">
        <v>1295.0</v>
      </c>
      <c r="B1296" s="5" t="s">
        <v>2374</v>
      </c>
      <c r="C1296" s="5" t="s">
        <v>20</v>
      </c>
      <c r="K1296" s="5">
        <v>70.0</v>
      </c>
      <c r="N1296" s="8">
        <v>44420.0</v>
      </c>
    </row>
    <row r="1297">
      <c r="A1297" s="5">
        <v>1296.0</v>
      </c>
      <c r="B1297" s="5" t="s">
        <v>2375</v>
      </c>
      <c r="C1297" s="5" t="s">
        <v>20</v>
      </c>
      <c r="K1297" s="5">
        <v>60.0</v>
      </c>
      <c r="N1297" s="8">
        <v>45207.0</v>
      </c>
    </row>
    <row r="1298">
      <c r="A1298" s="5">
        <v>1297.0</v>
      </c>
      <c r="B1298" s="5" t="s">
        <v>2376</v>
      </c>
      <c r="C1298" s="5" t="s">
        <v>20</v>
      </c>
      <c r="N1298" s="8">
        <v>43942.0</v>
      </c>
    </row>
    <row r="1299">
      <c r="A1299" s="5">
        <v>1298.0</v>
      </c>
      <c r="B1299" s="5" t="s">
        <v>2377</v>
      </c>
      <c r="C1299" s="5" t="s">
        <v>20</v>
      </c>
      <c r="N1299" s="8">
        <v>43412.0</v>
      </c>
    </row>
    <row r="1300">
      <c r="A1300" s="5">
        <v>1299.0</v>
      </c>
      <c r="B1300" s="5" t="s">
        <v>2378</v>
      </c>
      <c r="C1300" s="5" t="s">
        <v>20</v>
      </c>
      <c r="K1300" s="5">
        <v>200.0</v>
      </c>
      <c r="N1300" s="8">
        <v>44766.0</v>
      </c>
    </row>
    <row r="1301">
      <c r="A1301" s="5">
        <v>1300.0</v>
      </c>
      <c r="B1301" s="5" t="s">
        <v>2379</v>
      </c>
      <c r="C1301" s="5" t="s">
        <v>20</v>
      </c>
      <c r="K1301" s="5">
        <v>20.0</v>
      </c>
      <c r="N1301" s="8">
        <v>44013.0</v>
      </c>
    </row>
    <row r="1302">
      <c r="A1302" s="5">
        <v>1301.0</v>
      </c>
      <c r="B1302" s="5" t="s">
        <v>293</v>
      </c>
      <c r="C1302" s="5" t="s">
        <v>20</v>
      </c>
      <c r="K1302" s="5">
        <v>20.0</v>
      </c>
      <c r="N1302" s="8">
        <v>43994.0</v>
      </c>
    </row>
    <row r="1303">
      <c r="A1303" s="5">
        <v>1302.0</v>
      </c>
      <c r="B1303" s="5" t="s">
        <v>2380</v>
      </c>
      <c r="C1303" s="5" t="s">
        <v>20</v>
      </c>
      <c r="K1303" s="5">
        <v>40.0</v>
      </c>
      <c r="N1303" s="8">
        <v>44233.0</v>
      </c>
    </row>
    <row r="1304">
      <c r="A1304" s="5">
        <v>1303.0</v>
      </c>
      <c r="B1304" s="5" t="s">
        <v>2381</v>
      </c>
      <c r="C1304" s="5" t="s">
        <v>20</v>
      </c>
      <c r="K1304" s="5">
        <v>10.0</v>
      </c>
      <c r="N1304" s="8">
        <v>42667.0</v>
      </c>
    </row>
    <row r="1305">
      <c r="A1305" s="5">
        <v>1304.0</v>
      </c>
      <c r="B1305" s="5" t="s">
        <v>2382</v>
      </c>
      <c r="C1305" s="5" t="s">
        <v>20</v>
      </c>
      <c r="K1305" s="5">
        <v>300.0</v>
      </c>
      <c r="N1305" s="8">
        <v>45248.0</v>
      </c>
    </row>
    <row r="1306">
      <c r="A1306" s="5">
        <v>1305.0</v>
      </c>
      <c r="B1306" s="5" t="s">
        <v>2383</v>
      </c>
      <c r="C1306" s="5" t="s">
        <v>20</v>
      </c>
      <c r="N1306" s="8">
        <v>44469.0</v>
      </c>
    </row>
    <row r="1307">
      <c r="A1307" s="5">
        <v>1306.0</v>
      </c>
      <c r="B1307" s="5" t="s">
        <v>2384</v>
      </c>
      <c r="C1307" s="5" t="s">
        <v>20</v>
      </c>
      <c r="K1307" s="5">
        <v>80.0</v>
      </c>
      <c r="N1307" s="8">
        <v>44809.0</v>
      </c>
    </row>
    <row r="1308">
      <c r="A1308" s="5">
        <v>1307.0</v>
      </c>
      <c r="B1308" s="5" t="s">
        <v>2385</v>
      </c>
      <c r="C1308" s="5" t="s">
        <v>20</v>
      </c>
      <c r="K1308" s="5">
        <v>1000.0</v>
      </c>
      <c r="N1308" s="8">
        <v>44500.0</v>
      </c>
    </row>
    <row r="1309">
      <c r="A1309" s="5">
        <v>1308.0</v>
      </c>
      <c r="B1309" s="5" t="s">
        <v>2386</v>
      </c>
      <c r="C1309" s="5" t="s">
        <v>20</v>
      </c>
      <c r="N1309" s="8">
        <v>44255.0</v>
      </c>
    </row>
    <row r="1310">
      <c r="A1310" s="5">
        <v>1309.0</v>
      </c>
      <c r="B1310" s="5" t="s">
        <v>2387</v>
      </c>
      <c r="C1310" s="5" t="s">
        <v>20</v>
      </c>
      <c r="K1310" s="5">
        <v>40.0</v>
      </c>
      <c r="N1310" s="8">
        <v>45071.0</v>
      </c>
    </row>
    <row r="1311">
      <c r="A1311" s="5">
        <v>1310.0</v>
      </c>
      <c r="B1311" s="5" t="s">
        <v>2388</v>
      </c>
      <c r="C1311" s="5" t="s">
        <v>20</v>
      </c>
      <c r="K1311" s="5">
        <v>600.0</v>
      </c>
      <c r="N1311" s="8">
        <v>45010.0</v>
      </c>
    </row>
    <row r="1312">
      <c r="A1312" s="5">
        <v>1311.0</v>
      </c>
      <c r="B1312" s="5" t="s">
        <v>2389</v>
      </c>
      <c r="C1312" s="5" t="s">
        <v>20</v>
      </c>
      <c r="N1312" s="8">
        <v>44278.0</v>
      </c>
    </row>
    <row r="1313">
      <c r="A1313" s="5">
        <v>1312.0</v>
      </c>
      <c r="B1313" s="5" t="s">
        <v>2390</v>
      </c>
      <c r="C1313" s="5" t="s">
        <v>20</v>
      </c>
      <c r="K1313" s="5">
        <v>100.0</v>
      </c>
      <c r="N1313" s="8">
        <v>44516.0</v>
      </c>
    </row>
    <row r="1314">
      <c r="A1314" s="5">
        <v>1313.0</v>
      </c>
      <c r="B1314" s="5" t="s">
        <v>295</v>
      </c>
      <c r="C1314" s="5" t="s">
        <v>20</v>
      </c>
      <c r="K1314" s="5">
        <v>300.0</v>
      </c>
      <c r="N1314" s="8">
        <v>42969.0</v>
      </c>
    </row>
    <row r="1315">
      <c r="A1315" s="5">
        <v>1314.0</v>
      </c>
      <c r="B1315" s="5" t="s">
        <v>2391</v>
      </c>
      <c r="C1315" s="5" t="s">
        <v>20</v>
      </c>
      <c r="K1315" s="5">
        <v>400.0</v>
      </c>
      <c r="N1315" s="8">
        <v>44136.0</v>
      </c>
    </row>
    <row r="1316">
      <c r="A1316" s="5">
        <v>1315.0</v>
      </c>
      <c r="B1316" s="5" t="s">
        <v>2392</v>
      </c>
      <c r="C1316" s="5" t="s">
        <v>20</v>
      </c>
      <c r="K1316" s="5">
        <v>1000.0</v>
      </c>
      <c r="N1316" s="8">
        <v>43862.0</v>
      </c>
    </row>
    <row r="1317">
      <c r="A1317" s="5">
        <v>1316.0</v>
      </c>
      <c r="B1317" s="5" t="s">
        <v>296</v>
      </c>
      <c r="C1317" s="5" t="s">
        <v>20</v>
      </c>
      <c r="K1317" s="5">
        <v>10.0</v>
      </c>
      <c r="N1317" s="8">
        <v>43946.0</v>
      </c>
    </row>
    <row r="1318">
      <c r="A1318" s="5">
        <v>1317.0</v>
      </c>
      <c r="B1318" s="5" t="s">
        <v>2393</v>
      </c>
      <c r="C1318" s="5" t="s">
        <v>20</v>
      </c>
      <c r="K1318" s="5">
        <v>2700.0</v>
      </c>
      <c r="N1318" s="8">
        <v>44934.0</v>
      </c>
    </row>
    <row r="1319">
      <c r="A1319" s="5">
        <v>1318.0</v>
      </c>
      <c r="B1319" s="5" t="s">
        <v>2394</v>
      </c>
      <c r="C1319" s="5" t="s">
        <v>20</v>
      </c>
      <c r="N1319" s="8">
        <v>44658.0</v>
      </c>
    </row>
    <row r="1320">
      <c r="A1320" s="5">
        <v>1319.0</v>
      </c>
      <c r="B1320" s="5" t="s">
        <v>2395</v>
      </c>
      <c r="C1320" s="5" t="s">
        <v>20</v>
      </c>
      <c r="K1320" s="5">
        <v>150.0</v>
      </c>
      <c r="N1320" s="8">
        <v>45716.0</v>
      </c>
    </row>
    <row r="1321">
      <c r="A1321" s="5">
        <v>1320.0</v>
      </c>
      <c r="B1321" s="5" t="s">
        <v>2396</v>
      </c>
      <c r="C1321" s="5" t="s">
        <v>20</v>
      </c>
      <c r="K1321" s="5">
        <v>100.0</v>
      </c>
      <c r="N1321" s="8">
        <v>44773.0</v>
      </c>
    </row>
    <row r="1322">
      <c r="A1322" s="5">
        <v>1321.0</v>
      </c>
      <c r="B1322" s="5" t="s">
        <v>2397</v>
      </c>
      <c r="C1322" s="5" t="s">
        <v>20</v>
      </c>
      <c r="N1322" s="8">
        <v>42487.0</v>
      </c>
    </row>
    <row r="1323">
      <c r="A1323" s="5">
        <v>1322.0</v>
      </c>
      <c r="B1323" s="5" t="s">
        <v>2398</v>
      </c>
      <c r="C1323" s="5" t="s">
        <v>20</v>
      </c>
      <c r="N1323" s="8">
        <v>42379.0</v>
      </c>
    </row>
    <row r="1324">
      <c r="A1324" s="5">
        <v>1323.0</v>
      </c>
      <c r="B1324" s="5" t="s">
        <v>2399</v>
      </c>
      <c r="C1324" s="5" t="s">
        <v>20</v>
      </c>
      <c r="N1324" s="8">
        <v>44899.0</v>
      </c>
    </row>
    <row r="1325">
      <c r="A1325" s="5">
        <v>1324.0</v>
      </c>
      <c r="B1325" s="5" t="s">
        <v>2400</v>
      </c>
      <c r="C1325" s="5" t="s">
        <v>20</v>
      </c>
      <c r="K1325" s="5">
        <v>1100.0</v>
      </c>
      <c r="N1325" s="8">
        <v>44275.0</v>
      </c>
    </row>
    <row r="1326">
      <c r="A1326" s="5">
        <v>1325.0</v>
      </c>
      <c r="B1326" s="5" t="s">
        <v>2401</v>
      </c>
      <c r="C1326" s="5" t="s">
        <v>20</v>
      </c>
      <c r="K1326" s="5">
        <v>20.0</v>
      </c>
      <c r="N1326" s="8">
        <v>45547.0</v>
      </c>
    </row>
    <row r="1327">
      <c r="A1327" s="5">
        <v>1326.0</v>
      </c>
      <c r="B1327" s="5" t="s">
        <v>2402</v>
      </c>
      <c r="C1327" s="5" t="s">
        <v>20</v>
      </c>
      <c r="K1327" s="5">
        <v>10.0</v>
      </c>
      <c r="N1327" s="8">
        <v>44687.0</v>
      </c>
    </row>
    <row r="1328">
      <c r="A1328" s="5">
        <v>1327.0</v>
      </c>
      <c r="B1328" s="5" t="s">
        <v>299</v>
      </c>
      <c r="C1328" s="5" t="s">
        <v>20</v>
      </c>
      <c r="K1328" s="5">
        <v>8300.0</v>
      </c>
      <c r="N1328" s="8">
        <v>43983.0</v>
      </c>
    </row>
    <row r="1329">
      <c r="A1329" s="5">
        <v>1328.0</v>
      </c>
      <c r="B1329" s="5" t="s">
        <v>2403</v>
      </c>
      <c r="C1329" s="5" t="s">
        <v>20</v>
      </c>
      <c r="K1329" s="5">
        <v>150.0</v>
      </c>
      <c r="N1329" s="8">
        <v>44322.0</v>
      </c>
    </row>
    <row r="1330">
      <c r="A1330" s="5">
        <v>1329.0</v>
      </c>
      <c r="B1330" s="5" t="s">
        <v>2404</v>
      </c>
      <c r="C1330" s="5" t="s">
        <v>20</v>
      </c>
      <c r="K1330" s="5">
        <v>250.0</v>
      </c>
      <c r="N1330" s="8">
        <v>44803.0</v>
      </c>
    </row>
    <row r="1331">
      <c r="A1331" s="5">
        <v>1330.0</v>
      </c>
      <c r="B1331" s="5" t="s">
        <v>2405</v>
      </c>
      <c r="C1331" s="5" t="s">
        <v>20</v>
      </c>
      <c r="K1331" s="5">
        <v>30.0</v>
      </c>
      <c r="N1331" s="8">
        <v>44952.0</v>
      </c>
    </row>
    <row r="1332">
      <c r="A1332" s="5">
        <v>1331.0</v>
      </c>
      <c r="B1332" s="5" t="s">
        <v>2406</v>
      </c>
      <c r="C1332" s="5" t="s">
        <v>20</v>
      </c>
      <c r="K1332" s="5">
        <v>100.0</v>
      </c>
      <c r="N1332" s="8">
        <v>43052.0</v>
      </c>
    </row>
    <row r="1333">
      <c r="A1333" s="5">
        <v>1332.0</v>
      </c>
      <c r="B1333" s="5" t="s">
        <v>2407</v>
      </c>
      <c r="C1333" s="5" t="s">
        <v>20</v>
      </c>
      <c r="N1333" s="8">
        <v>43976.0</v>
      </c>
    </row>
    <row r="1334">
      <c r="A1334" s="5">
        <v>1333.0</v>
      </c>
      <c r="B1334" s="5" t="s">
        <v>2408</v>
      </c>
      <c r="C1334" s="5" t="s">
        <v>20</v>
      </c>
      <c r="N1334" s="8">
        <v>45385.0</v>
      </c>
    </row>
    <row r="1335">
      <c r="A1335" s="5">
        <v>1334.0</v>
      </c>
      <c r="B1335" s="5" t="s">
        <v>582</v>
      </c>
      <c r="C1335" s="5" t="s">
        <v>20</v>
      </c>
      <c r="N1335" s="8">
        <v>45001.0</v>
      </c>
    </row>
    <row r="1336">
      <c r="A1336" s="5">
        <v>1335.0</v>
      </c>
      <c r="B1336" s="5" t="s">
        <v>2409</v>
      </c>
      <c r="C1336" s="5" t="s">
        <v>20</v>
      </c>
      <c r="K1336" s="5">
        <v>20.0</v>
      </c>
      <c r="N1336" s="8">
        <v>45342.0</v>
      </c>
    </row>
    <row r="1337">
      <c r="A1337" s="5">
        <v>1336.0</v>
      </c>
      <c r="B1337" s="5" t="s">
        <v>2410</v>
      </c>
      <c r="C1337" s="5" t="s">
        <v>20</v>
      </c>
      <c r="K1337" s="5">
        <v>200.0</v>
      </c>
      <c r="N1337" s="8">
        <v>44126.0</v>
      </c>
    </row>
    <row r="1338">
      <c r="A1338" s="5">
        <v>1337.0</v>
      </c>
      <c r="B1338" s="5" t="s">
        <v>2411</v>
      </c>
      <c r="C1338" s="5" t="s">
        <v>20</v>
      </c>
      <c r="N1338" s="8">
        <v>44982.0</v>
      </c>
    </row>
    <row r="1339">
      <c r="A1339" s="5">
        <v>1338.0</v>
      </c>
      <c r="B1339" s="5" t="s">
        <v>2412</v>
      </c>
      <c r="C1339" s="5" t="s">
        <v>20</v>
      </c>
      <c r="K1339" s="5">
        <v>20.0</v>
      </c>
      <c r="N1339" s="8">
        <v>44406.0</v>
      </c>
    </row>
    <row r="1340">
      <c r="A1340" s="5">
        <v>1339.0</v>
      </c>
      <c r="B1340" s="5" t="s">
        <v>2413</v>
      </c>
      <c r="C1340" s="5" t="s">
        <v>20</v>
      </c>
      <c r="K1340" s="5">
        <v>500.0</v>
      </c>
      <c r="N1340" s="8">
        <v>44574.0</v>
      </c>
    </row>
    <row r="1341">
      <c r="A1341" s="5">
        <v>1340.0</v>
      </c>
      <c r="B1341" s="5" t="s">
        <v>301</v>
      </c>
      <c r="C1341" s="5" t="s">
        <v>20</v>
      </c>
      <c r="K1341" s="5">
        <v>50.0</v>
      </c>
      <c r="N1341" s="8">
        <v>44353.0</v>
      </c>
    </row>
    <row r="1342">
      <c r="A1342" s="5">
        <v>1341.0</v>
      </c>
      <c r="B1342" s="5" t="s">
        <v>2414</v>
      </c>
      <c r="C1342" s="5" t="s">
        <v>20</v>
      </c>
      <c r="N1342" s="8">
        <v>42541.0</v>
      </c>
    </row>
    <row r="1343">
      <c r="A1343" s="5">
        <v>1342.0</v>
      </c>
      <c r="B1343" s="5" t="s">
        <v>2415</v>
      </c>
      <c r="C1343" s="5" t="s">
        <v>20</v>
      </c>
      <c r="N1343" s="8">
        <v>42387.0</v>
      </c>
      <c r="O1343" s="5" t="s">
        <v>432</v>
      </c>
      <c r="P1343" s="5" t="s">
        <v>25</v>
      </c>
      <c r="S1343" s="5" t="s">
        <v>118</v>
      </c>
    </row>
    <row r="1344">
      <c r="A1344" s="5">
        <v>1343.0</v>
      </c>
      <c r="B1344" s="5" t="s">
        <v>2416</v>
      </c>
      <c r="C1344" s="5" t="s">
        <v>20</v>
      </c>
      <c r="F1344" s="5">
        <v>0.25</v>
      </c>
      <c r="N1344" s="8">
        <v>43959.0</v>
      </c>
      <c r="O1344" s="5" t="s">
        <v>24</v>
      </c>
      <c r="P1344" s="5" t="s">
        <v>25</v>
      </c>
      <c r="S1344" s="5" t="s">
        <v>157</v>
      </c>
    </row>
    <row r="1345">
      <c r="A1345" s="5">
        <v>1344.0</v>
      </c>
      <c r="B1345" s="5" t="s">
        <v>2417</v>
      </c>
      <c r="C1345" s="5" t="s">
        <v>20</v>
      </c>
      <c r="N1345" s="8">
        <v>46007.0</v>
      </c>
    </row>
    <row r="1346">
      <c r="A1346" s="5">
        <v>1345.0</v>
      </c>
      <c r="B1346" s="5" t="s">
        <v>2418</v>
      </c>
      <c r="C1346" s="5" t="s">
        <v>20</v>
      </c>
      <c r="K1346" s="5">
        <v>200.0</v>
      </c>
      <c r="N1346" s="8">
        <v>44419.0</v>
      </c>
    </row>
    <row r="1347">
      <c r="A1347" s="5">
        <v>1346.0</v>
      </c>
      <c r="B1347" s="5" t="s">
        <v>2419</v>
      </c>
      <c r="C1347" s="5" t="s">
        <v>20</v>
      </c>
      <c r="K1347" s="5">
        <v>30.0</v>
      </c>
      <c r="N1347" s="8">
        <v>44673.0</v>
      </c>
    </row>
    <row r="1348">
      <c r="A1348" s="5">
        <v>1347.0</v>
      </c>
      <c r="B1348" s="5" t="s">
        <v>2420</v>
      </c>
      <c r="C1348" s="5" t="s">
        <v>20</v>
      </c>
      <c r="N1348" s="8">
        <v>43945.0</v>
      </c>
    </row>
    <row r="1349">
      <c r="A1349" s="5">
        <v>1348.0</v>
      </c>
      <c r="B1349" s="5" t="s">
        <v>2421</v>
      </c>
      <c r="C1349" s="5" t="s">
        <v>20</v>
      </c>
      <c r="N1349" s="8">
        <v>44151.0</v>
      </c>
    </row>
    <row r="1350">
      <c r="A1350" s="5">
        <v>1349.0</v>
      </c>
      <c r="B1350" s="5" t="s">
        <v>2422</v>
      </c>
      <c r="C1350" s="5" t="s">
        <v>20</v>
      </c>
      <c r="K1350" s="5">
        <v>10.0</v>
      </c>
      <c r="N1350" s="8">
        <v>42398.0</v>
      </c>
    </row>
    <row r="1351">
      <c r="A1351" s="5">
        <v>1350.0</v>
      </c>
      <c r="B1351" s="5" t="s">
        <v>2423</v>
      </c>
      <c r="C1351" s="5" t="s">
        <v>20</v>
      </c>
      <c r="K1351" s="5">
        <v>600.0</v>
      </c>
      <c r="N1351" s="8">
        <v>43963.0</v>
      </c>
    </row>
    <row r="1352">
      <c r="A1352" s="5">
        <v>1351.0</v>
      </c>
      <c r="B1352" s="5" t="s">
        <v>2175</v>
      </c>
      <c r="C1352" s="5" t="s">
        <v>20</v>
      </c>
      <c r="D1352" s="5">
        <v>0.0</v>
      </c>
      <c r="H1352" s="5" t="s">
        <v>19</v>
      </c>
      <c r="I1352" s="9">
        <v>46160.841782407406</v>
      </c>
      <c r="J1352" s="5" t="s">
        <v>197</v>
      </c>
      <c r="L1352" s="5">
        <v>131000.0</v>
      </c>
      <c r="M1352" s="5">
        <v>135000.0</v>
      </c>
      <c r="N1352" s="8">
        <v>44252.0</v>
      </c>
      <c r="O1352" s="5" t="s">
        <v>184</v>
      </c>
      <c r="P1352" s="5" t="s">
        <v>25</v>
      </c>
      <c r="S1352" s="5" t="s">
        <v>118</v>
      </c>
    </row>
    <row r="1353">
      <c r="A1353" s="5">
        <v>1352.0</v>
      </c>
      <c r="B1353" s="5" t="s">
        <v>2424</v>
      </c>
      <c r="C1353" s="5" t="s">
        <v>20</v>
      </c>
      <c r="K1353" s="5">
        <v>10.0</v>
      </c>
      <c r="N1353" s="8">
        <v>44253.0</v>
      </c>
    </row>
    <row r="1354">
      <c r="A1354" s="5">
        <v>1353.0</v>
      </c>
      <c r="B1354" s="5" t="s">
        <v>2425</v>
      </c>
      <c r="C1354" s="5" t="s">
        <v>20</v>
      </c>
      <c r="K1354" s="5">
        <v>900.0</v>
      </c>
      <c r="N1354" s="8">
        <v>45620.0</v>
      </c>
    </row>
    <row r="1355">
      <c r="A1355" s="5">
        <v>1354.0</v>
      </c>
      <c r="B1355" s="5" t="s">
        <v>2426</v>
      </c>
      <c r="C1355" s="5" t="s">
        <v>20</v>
      </c>
      <c r="K1355" s="5">
        <v>1300.0</v>
      </c>
      <c r="N1355" s="8">
        <v>43934.0</v>
      </c>
    </row>
    <row r="1356">
      <c r="A1356" s="5">
        <v>1355.0</v>
      </c>
      <c r="B1356" s="5" t="s">
        <v>2427</v>
      </c>
      <c r="C1356" s="5" t="s">
        <v>20</v>
      </c>
      <c r="N1356" s="8">
        <v>44416.0</v>
      </c>
    </row>
    <row r="1357">
      <c r="A1357" s="5">
        <v>1356.0</v>
      </c>
      <c r="B1357" s="5" t="s">
        <v>2428</v>
      </c>
      <c r="C1357" s="5" t="s">
        <v>20</v>
      </c>
      <c r="K1357" s="5">
        <v>50.0</v>
      </c>
      <c r="N1357" s="8">
        <v>44770.0</v>
      </c>
    </row>
    <row r="1358">
      <c r="A1358" s="5">
        <v>1357.0</v>
      </c>
      <c r="B1358" s="5" t="s">
        <v>302</v>
      </c>
      <c r="C1358" s="5" t="s">
        <v>20</v>
      </c>
      <c r="K1358" s="5">
        <v>300.0</v>
      </c>
      <c r="N1358" s="8">
        <v>44400.0</v>
      </c>
    </row>
    <row r="1359">
      <c r="A1359" s="5">
        <v>1358.0</v>
      </c>
      <c r="B1359" s="5" t="s">
        <v>2429</v>
      </c>
      <c r="C1359" s="5" t="s">
        <v>20</v>
      </c>
      <c r="K1359" s="5">
        <v>30.0</v>
      </c>
      <c r="N1359" s="8">
        <v>44674.0</v>
      </c>
    </row>
    <row r="1360">
      <c r="A1360" s="5">
        <v>1359.0</v>
      </c>
      <c r="B1360" s="5" t="s">
        <v>2430</v>
      </c>
      <c r="C1360" s="5" t="s">
        <v>20</v>
      </c>
      <c r="K1360" s="5">
        <v>20.0</v>
      </c>
      <c r="N1360" s="8">
        <v>43875.0</v>
      </c>
    </row>
    <row r="1361">
      <c r="A1361" s="5">
        <v>1360.0</v>
      </c>
      <c r="B1361" s="5" t="s">
        <v>2431</v>
      </c>
      <c r="C1361" s="5" t="s">
        <v>20</v>
      </c>
      <c r="N1361" s="8">
        <v>45050.0</v>
      </c>
    </row>
    <row r="1362">
      <c r="A1362" s="5">
        <v>1361.0</v>
      </c>
      <c r="B1362" s="5" t="s">
        <v>2432</v>
      </c>
      <c r="C1362" s="5" t="s">
        <v>20</v>
      </c>
      <c r="K1362" s="5">
        <v>10.0</v>
      </c>
      <c r="N1362" s="8">
        <v>44530.0</v>
      </c>
    </row>
    <row r="1363">
      <c r="A1363" s="5">
        <v>1362.0</v>
      </c>
      <c r="B1363" s="5" t="s">
        <v>584</v>
      </c>
      <c r="C1363" s="5" t="s">
        <v>20</v>
      </c>
      <c r="N1363" s="8">
        <v>43683.0</v>
      </c>
    </row>
    <row r="1364">
      <c r="A1364" s="5">
        <v>1363.0</v>
      </c>
      <c r="B1364" s="5" t="s">
        <v>2433</v>
      </c>
      <c r="C1364" s="5" t="s">
        <v>20</v>
      </c>
      <c r="K1364" s="5">
        <v>10.0</v>
      </c>
      <c r="N1364" s="8">
        <v>44249.0</v>
      </c>
    </row>
    <row r="1365">
      <c r="A1365" s="5">
        <v>1364.0</v>
      </c>
      <c r="B1365" s="5" t="s">
        <v>2434</v>
      </c>
      <c r="C1365" s="5" t="s">
        <v>20</v>
      </c>
      <c r="N1365" s="8">
        <v>45170.0</v>
      </c>
    </row>
    <row r="1366">
      <c r="A1366" s="5">
        <v>1365.0</v>
      </c>
      <c r="B1366" s="5" t="s">
        <v>304</v>
      </c>
      <c r="C1366" s="5" t="s">
        <v>20</v>
      </c>
      <c r="K1366" s="5">
        <v>100.0</v>
      </c>
      <c r="N1366" s="8">
        <v>44079.0</v>
      </c>
    </row>
    <row r="1367">
      <c r="A1367" s="5">
        <v>1366.0</v>
      </c>
      <c r="B1367" s="5" t="s">
        <v>2435</v>
      </c>
      <c r="C1367" s="5" t="s">
        <v>20</v>
      </c>
      <c r="N1367" s="8">
        <v>43088.0</v>
      </c>
    </row>
    <row r="1368">
      <c r="A1368" s="5">
        <v>1367.0</v>
      </c>
      <c r="B1368" s="5" t="s">
        <v>2436</v>
      </c>
      <c r="C1368" s="5" t="s">
        <v>20</v>
      </c>
      <c r="N1368" s="8">
        <v>44944.0</v>
      </c>
    </row>
    <row r="1369">
      <c r="A1369" s="5">
        <v>1368.0</v>
      </c>
      <c r="B1369" s="5" t="s">
        <v>2437</v>
      </c>
      <c r="C1369" s="5" t="s">
        <v>20</v>
      </c>
      <c r="K1369" s="5">
        <v>100.0</v>
      </c>
      <c r="N1369" s="8">
        <v>44440.0</v>
      </c>
    </row>
    <row r="1370">
      <c r="A1370" s="5">
        <v>1369.0</v>
      </c>
      <c r="B1370" s="5" t="s">
        <v>2438</v>
      </c>
      <c r="C1370" s="5" t="s">
        <v>20</v>
      </c>
      <c r="K1370" s="5">
        <v>40.0</v>
      </c>
      <c r="N1370" s="8">
        <v>44389.0</v>
      </c>
    </row>
    <row r="1371">
      <c r="A1371" s="5">
        <v>1370.0</v>
      </c>
      <c r="B1371" s="5" t="s">
        <v>2439</v>
      </c>
      <c r="C1371" s="5" t="s">
        <v>20</v>
      </c>
      <c r="K1371" s="5">
        <v>300.0</v>
      </c>
      <c r="N1371" s="8">
        <v>43865.0</v>
      </c>
    </row>
    <row r="1372">
      <c r="A1372" s="5">
        <v>1371.0</v>
      </c>
      <c r="B1372" s="5" t="s">
        <v>2440</v>
      </c>
      <c r="C1372" s="5" t="s">
        <v>20</v>
      </c>
      <c r="K1372" s="5">
        <v>150.0</v>
      </c>
      <c r="N1372" s="8">
        <v>44136.0</v>
      </c>
    </row>
    <row r="1373">
      <c r="A1373" s="5">
        <v>1372.0</v>
      </c>
      <c r="B1373" s="5" t="s">
        <v>2441</v>
      </c>
      <c r="C1373" s="5" t="s">
        <v>20</v>
      </c>
      <c r="K1373" s="5">
        <v>3000.0</v>
      </c>
      <c r="N1373" s="8">
        <v>44564.0</v>
      </c>
    </row>
    <row r="1374">
      <c r="A1374" s="5">
        <v>1373.0</v>
      </c>
      <c r="B1374" s="5" t="s">
        <v>2442</v>
      </c>
      <c r="C1374" s="5" t="s">
        <v>20</v>
      </c>
      <c r="N1374" s="8">
        <v>42543.0</v>
      </c>
    </row>
    <row r="1375">
      <c r="A1375" s="5">
        <v>1374.0</v>
      </c>
      <c r="B1375" s="5" t="s">
        <v>2443</v>
      </c>
      <c r="C1375" s="5" t="s">
        <v>20</v>
      </c>
      <c r="K1375" s="5">
        <v>7900.0</v>
      </c>
      <c r="N1375" s="8">
        <v>44538.0</v>
      </c>
    </row>
    <row r="1376">
      <c r="A1376" s="5">
        <v>1375.0</v>
      </c>
      <c r="B1376" s="5" t="s">
        <v>2444</v>
      </c>
      <c r="C1376" s="5" t="s">
        <v>20</v>
      </c>
      <c r="K1376" s="5">
        <v>150.0</v>
      </c>
      <c r="N1376" s="8">
        <v>44921.0</v>
      </c>
    </row>
    <row r="1377">
      <c r="A1377" s="5">
        <v>1376.0</v>
      </c>
      <c r="B1377" s="5" t="s">
        <v>2445</v>
      </c>
      <c r="C1377" s="5" t="s">
        <v>20</v>
      </c>
      <c r="K1377" s="5">
        <v>100.0</v>
      </c>
      <c r="N1377" s="8">
        <v>45130.0</v>
      </c>
    </row>
    <row r="1378">
      <c r="A1378" s="5">
        <v>1377.0</v>
      </c>
      <c r="B1378" s="5" t="s">
        <v>2446</v>
      </c>
      <c r="C1378" s="5" t="s">
        <v>20</v>
      </c>
      <c r="K1378" s="5">
        <v>80.0</v>
      </c>
      <c r="N1378" s="8">
        <v>44914.0</v>
      </c>
    </row>
    <row r="1379">
      <c r="A1379" s="5">
        <v>1378.0</v>
      </c>
      <c r="B1379" s="5" t="s">
        <v>2447</v>
      </c>
      <c r="C1379" s="5" t="s">
        <v>20</v>
      </c>
      <c r="N1379" s="8">
        <v>45277.0</v>
      </c>
    </row>
    <row r="1380">
      <c r="A1380" s="5">
        <v>1379.0</v>
      </c>
      <c r="B1380" s="5" t="s">
        <v>2448</v>
      </c>
      <c r="C1380" s="5" t="s">
        <v>20</v>
      </c>
      <c r="K1380" s="5">
        <v>100.0</v>
      </c>
      <c r="N1380" s="8">
        <v>43997.0</v>
      </c>
    </row>
    <row r="1381">
      <c r="A1381" s="5">
        <v>1380.0</v>
      </c>
      <c r="B1381" s="5" t="s">
        <v>2449</v>
      </c>
      <c r="C1381" s="5" t="s">
        <v>20</v>
      </c>
      <c r="K1381" s="5">
        <v>4100.0</v>
      </c>
      <c r="N1381" s="8">
        <v>44928.0</v>
      </c>
    </row>
    <row r="1382">
      <c r="A1382" s="5">
        <v>1381.0</v>
      </c>
      <c r="B1382" s="5" t="s">
        <v>2450</v>
      </c>
      <c r="C1382" s="5" t="s">
        <v>20</v>
      </c>
      <c r="K1382" s="5">
        <v>10.0</v>
      </c>
      <c r="N1382" s="8">
        <v>44598.0</v>
      </c>
    </row>
    <row r="1383">
      <c r="A1383" s="5">
        <v>1382.0</v>
      </c>
      <c r="B1383" s="5" t="s">
        <v>2451</v>
      </c>
      <c r="C1383" s="5" t="s">
        <v>20</v>
      </c>
      <c r="N1383" s="8">
        <v>42646.0</v>
      </c>
    </row>
    <row r="1384">
      <c r="A1384" s="5">
        <v>1383.0</v>
      </c>
      <c r="B1384" s="5" t="s">
        <v>306</v>
      </c>
      <c r="C1384" s="5" t="s">
        <v>20</v>
      </c>
      <c r="K1384" s="5">
        <v>10.0</v>
      </c>
      <c r="N1384" s="8">
        <v>45196.0</v>
      </c>
    </row>
    <row r="1385">
      <c r="A1385" s="5">
        <v>1384.0</v>
      </c>
      <c r="B1385" s="5" t="s">
        <v>309</v>
      </c>
      <c r="C1385" s="5" t="s">
        <v>20</v>
      </c>
      <c r="K1385" s="5">
        <v>60.0</v>
      </c>
      <c r="N1385" s="8">
        <v>44323.0</v>
      </c>
    </row>
    <row r="1386">
      <c r="A1386" s="5">
        <v>1385.0</v>
      </c>
      <c r="B1386" s="5" t="s">
        <v>2452</v>
      </c>
      <c r="C1386" s="5" t="s">
        <v>20</v>
      </c>
      <c r="K1386" s="5">
        <v>2100.0</v>
      </c>
      <c r="N1386" s="8">
        <v>45285.0</v>
      </c>
    </row>
    <row r="1387">
      <c r="A1387" s="5">
        <v>1386.0</v>
      </c>
      <c r="B1387" s="5" t="s">
        <v>2453</v>
      </c>
      <c r="C1387" s="5" t="s">
        <v>20</v>
      </c>
      <c r="N1387" s="8">
        <v>42268.0</v>
      </c>
    </row>
    <row r="1388">
      <c r="A1388" s="5">
        <v>1387.0</v>
      </c>
      <c r="B1388" s="5" t="s">
        <v>2454</v>
      </c>
      <c r="C1388" s="5" t="s">
        <v>20</v>
      </c>
      <c r="N1388" s="8">
        <v>45941.0</v>
      </c>
    </row>
    <row r="1389">
      <c r="A1389" s="5">
        <v>1388.0</v>
      </c>
      <c r="B1389" s="5" t="s">
        <v>2455</v>
      </c>
      <c r="C1389" s="5" t="s">
        <v>20</v>
      </c>
      <c r="K1389" s="5">
        <v>10.0</v>
      </c>
      <c r="N1389" s="8">
        <v>44892.0</v>
      </c>
    </row>
    <row r="1390">
      <c r="A1390" s="5">
        <v>1389.0</v>
      </c>
      <c r="B1390" s="5" t="s">
        <v>2456</v>
      </c>
      <c r="C1390" s="5" t="s">
        <v>20</v>
      </c>
      <c r="N1390" s="8">
        <v>44717.0</v>
      </c>
    </row>
    <row r="1391">
      <c r="A1391" s="5">
        <v>1390.0</v>
      </c>
      <c r="B1391" s="5" t="s">
        <v>2457</v>
      </c>
      <c r="C1391" s="5" t="s">
        <v>20</v>
      </c>
      <c r="K1391" s="5">
        <v>500.0</v>
      </c>
      <c r="N1391" s="8">
        <v>43081.0</v>
      </c>
    </row>
    <row r="1392">
      <c r="A1392" s="5">
        <v>1391.0</v>
      </c>
      <c r="B1392" s="5" t="s">
        <v>2458</v>
      </c>
      <c r="C1392" s="5" t="s">
        <v>20</v>
      </c>
      <c r="N1392" s="8">
        <v>45027.0</v>
      </c>
    </row>
    <row r="1393">
      <c r="A1393" s="5">
        <v>1392.0</v>
      </c>
      <c r="B1393" s="5" t="s">
        <v>2459</v>
      </c>
      <c r="C1393" s="5" t="s">
        <v>20</v>
      </c>
      <c r="K1393" s="5">
        <v>20.0</v>
      </c>
      <c r="N1393" s="8">
        <v>44937.0</v>
      </c>
    </row>
    <row r="1394">
      <c r="A1394" s="5">
        <v>1393.0</v>
      </c>
      <c r="B1394" s="5" t="s">
        <v>2460</v>
      </c>
      <c r="C1394" s="5" t="s">
        <v>20</v>
      </c>
      <c r="N1394" s="8">
        <v>42973.0</v>
      </c>
    </row>
    <row r="1395">
      <c r="A1395" s="5">
        <v>1394.0</v>
      </c>
      <c r="B1395" s="5" t="s">
        <v>2461</v>
      </c>
      <c r="C1395" s="5" t="s">
        <v>20</v>
      </c>
      <c r="N1395" s="8">
        <v>44808.0</v>
      </c>
    </row>
    <row r="1396">
      <c r="A1396" s="5">
        <v>1395.0</v>
      </c>
      <c r="B1396" s="5" t="s">
        <v>2462</v>
      </c>
      <c r="C1396" s="5" t="s">
        <v>20</v>
      </c>
      <c r="K1396" s="5">
        <v>350.0</v>
      </c>
      <c r="N1396" s="8">
        <v>42372.0</v>
      </c>
    </row>
    <row r="1397">
      <c r="A1397" s="5">
        <v>1396.0</v>
      </c>
      <c r="B1397" s="5" t="s">
        <v>2463</v>
      </c>
      <c r="C1397" s="5" t="s">
        <v>20</v>
      </c>
      <c r="K1397" s="5">
        <v>80.0</v>
      </c>
      <c r="N1397" s="8">
        <v>43897.0</v>
      </c>
    </row>
    <row r="1398">
      <c r="A1398" s="5">
        <v>1397.0</v>
      </c>
      <c r="B1398" s="5" t="s">
        <v>2464</v>
      </c>
      <c r="C1398" s="5" t="s">
        <v>20</v>
      </c>
      <c r="N1398" s="8">
        <v>43436.0</v>
      </c>
    </row>
    <row r="1399">
      <c r="A1399" s="5">
        <v>1398.0</v>
      </c>
      <c r="B1399" s="5" t="s">
        <v>2465</v>
      </c>
      <c r="C1399" s="5" t="s">
        <v>20</v>
      </c>
      <c r="K1399" s="5">
        <v>350.0</v>
      </c>
      <c r="N1399" s="8">
        <v>44844.0</v>
      </c>
    </row>
    <row r="1400">
      <c r="A1400" s="5">
        <v>1399.0</v>
      </c>
      <c r="B1400" s="5" t="s">
        <v>2466</v>
      </c>
      <c r="C1400" s="5" t="s">
        <v>20</v>
      </c>
      <c r="K1400" s="5">
        <v>200.0</v>
      </c>
      <c r="N1400" s="8">
        <v>45458.0</v>
      </c>
    </row>
    <row r="1401">
      <c r="A1401" s="5">
        <v>1400.0</v>
      </c>
      <c r="B1401" s="5" t="s">
        <v>2467</v>
      </c>
      <c r="C1401" s="5" t="s">
        <v>20</v>
      </c>
      <c r="K1401" s="5">
        <v>50.0</v>
      </c>
      <c r="N1401" s="8">
        <v>44914.0</v>
      </c>
    </row>
    <row r="1402">
      <c r="A1402" s="5">
        <v>1401.0</v>
      </c>
      <c r="B1402" s="5" t="s">
        <v>2468</v>
      </c>
      <c r="C1402" s="5" t="s">
        <v>20</v>
      </c>
      <c r="K1402" s="5">
        <v>10.0</v>
      </c>
      <c r="N1402" s="8">
        <v>44939.0</v>
      </c>
    </row>
    <row r="1403">
      <c r="A1403" s="5">
        <v>1402.0</v>
      </c>
      <c r="B1403" s="5" t="s">
        <v>2469</v>
      </c>
      <c r="C1403" s="5" t="s">
        <v>20</v>
      </c>
      <c r="K1403" s="5">
        <v>200.0</v>
      </c>
      <c r="N1403" s="8">
        <v>44653.0</v>
      </c>
    </row>
    <row r="1404">
      <c r="A1404" s="5">
        <v>1403.0</v>
      </c>
      <c r="B1404" s="5" t="s">
        <v>311</v>
      </c>
      <c r="C1404" s="5" t="s">
        <v>20</v>
      </c>
      <c r="K1404" s="5">
        <v>40.0</v>
      </c>
      <c r="N1404" s="8">
        <v>44172.0</v>
      </c>
    </row>
    <row r="1405">
      <c r="A1405" s="5">
        <v>1404.0</v>
      </c>
      <c r="B1405" s="5" t="s">
        <v>2470</v>
      </c>
      <c r="C1405" s="5" t="s">
        <v>20</v>
      </c>
      <c r="N1405" s="8">
        <v>42657.0</v>
      </c>
    </row>
    <row r="1406">
      <c r="A1406" s="5">
        <v>1405.0</v>
      </c>
      <c r="B1406" s="5" t="s">
        <v>2471</v>
      </c>
      <c r="C1406" s="5" t="s">
        <v>20</v>
      </c>
      <c r="K1406" s="5">
        <v>150.0</v>
      </c>
      <c r="N1406" s="8">
        <v>45203.0</v>
      </c>
    </row>
    <row r="1407">
      <c r="A1407" s="5">
        <v>1406.0</v>
      </c>
      <c r="B1407" s="5" t="s">
        <v>2472</v>
      </c>
      <c r="C1407" s="5" t="s">
        <v>20</v>
      </c>
      <c r="N1407" s="8">
        <v>43079.0</v>
      </c>
    </row>
    <row r="1408">
      <c r="A1408" s="5">
        <v>1407.0</v>
      </c>
      <c r="B1408" s="5" t="s">
        <v>2473</v>
      </c>
      <c r="C1408" s="5" t="s">
        <v>20</v>
      </c>
      <c r="K1408" s="5">
        <v>40.0</v>
      </c>
      <c r="N1408" s="8">
        <v>44135.0</v>
      </c>
    </row>
    <row r="1409">
      <c r="A1409" s="5">
        <v>1408.0</v>
      </c>
      <c r="B1409" s="5" t="s">
        <v>2474</v>
      </c>
      <c r="C1409" s="5" t="s">
        <v>20</v>
      </c>
      <c r="K1409" s="5">
        <v>40.0</v>
      </c>
      <c r="N1409" s="8">
        <v>44841.0</v>
      </c>
    </row>
    <row r="1410">
      <c r="A1410" s="5">
        <v>1409.0</v>
      </c>
      <c r="B1410" s="5" t="s">
        <v>2188</v>
      </c>
      <c r="C1410" s="5" t="s">
        <v>20</v>
      </c>
      <c r="D1410" s="5">
        <v>37.0</v>
      </c>
      <c r="H1410" s="5" t="s">
        <v>40</v>
      </c>
      <c r="I1410" s="9">
        <v>46162.454733796294</v>
      </c>
      <c r="J1410" s="5" t="s">
        <v>78</v>
      </c>
      <c r="L1410" s="5">
        <v>17000.0</v>
      </c>
      <c r="M1410" s="5">
        <v>19000.0</v>
      </c>
      <c r="N1410" s="8">
        <v>45194.0</v>
      </c>
      <c r="O1410" s="5" t="s">
        <v>80</v>
      </c>
      <c r="S1410" s="5" t="s">
        <v>29</v>
      </c>
    </row>
    <row r="1411">
      <c r="A1411" s="5">
        <v>1410.0</v>
      </c>
      <c r="B1411" s="5" t="s">
        <v>2475</v>
      </c>
      <c r="C1411" s="5" t="s">
        <v>20</v>
      </c>
      <c r="N1411" s="8">
        <v>43435.0</v>
      </c>
      <c r="O1411" s="5" t="s">
        <v>464</v>
      </c>
      <c r="P1411" s="5" t="s">
        <v>25</v>
      </c>
      <c r="S1411" s="5" t="s">
        <v>38</v>
      </c>
    </row>
    <row r="1412">
      <c r="A1412" s="5">
        <v>1411.0</v>
      </c>
      <c r="B1412" s="5" t="s">
        <v>2476</v>
      </c>
      <c r="C1412" s="5" t="s">
        <v>20</v>
      </c>
      <c r="K1412" s="5">
        <v>350.0</v>
      </c>
      <c r="N1412" s="8">
        <v>42451.0</v>
      </c>
    </row>
    <row r="1413">
      <c r="A1413" s="5">
        <v>1412.0</v>
      </c>
      <c r="B1413" s="5" t="s">
        <v>2477</v>
      </c>
      <c r="C1413" s="5" t="s">
        <v>20</v>
      </c>
      <c r="K1413" s="5">
        <v>10.0</v>
      </c>
      <c r="N1413" s="8">
        <v>44818.0</v>
      </c>
    </row>
    <row r="1414">
      <c r="A1414" s="5">
        <v>1413.0</v>
      </c>
      <c r="B1414" s="5" t="s">
        <v>2478</v>
      </c>
      <c r="C1414" s="5" t="s">
        <v>20</v>
      </c>
      <c r="K1414" s="5">
        <v>30.0</v>
      </c>
      <c r="N1414" s="8">
        <v>44569.0</v>
      </c>
    </row>
    <row r="1415">
      <c r="A1415" s="5">
        <v>1414.0</v>
      </c>
      <c r="B1415" s="5" t="s">
        <v>2479</v>
      </c>
      <c r="C1415" s="5" t="s">
        <v>20</v>
      </c>
      <c r="K1415" s="5">
        <v>20.0</v>
      </c>
      <c r="N1415" s="8">
        <v>44556.0</v>
      </c>
    </row>
    <row r="1416">
      <c r="A1416" s="5">
        <v>1415.0</v>
      </c>
      <c r="B1416" s="5" t="s">
        <v>2480</v>
      </c>
      <c r="C1416" s="5" t="s">
        <v>20</v>
      </c>
      <c r="K1416" s="5">
        <v>150.0</v>
      </c>
      <c r="N1416" s="8">
        <v>44493.0</v>
      </c>
    </row>
    <row r="1417">
      <c r="A1417" s="5">
        <v>1416.0</v>
      </c>
      <c r="B1417" s="5" t="s">
        <v>2481</v>
      </c>
      <c r="C1417" s="5" t="s">
        <v>20</v>
      </c>
      <c r="K1417" s="5">
        <v>200.0</v>
      </c>
      <c r="N1417" s="8">
        <v>43934.0</v>
      </c>
    </row>
    <row r="1418">
      <c r="A1418" s="5">
        <v>1417.0</v>
      </c>
      <c r="B1418" s="5" t="s">
        <v>312</v>
      </c>
      <c r="C1418" s="5" t="s">
        <v>20</v>
      </c>
      <c r="K1418" s="5">
        <v>300.0</v>
      </c>
      <c r="N1418" s="8">
        <v>44429.0</v>
      </c>
    </row>
    <row r="1419">
      <c r="A1419" s="5">
        <v>1418.0</v>
      </c>
      <c r="B1419" s="5" t="s">
        <v>2482</v>
      </c>
      <c r="C1419" s="5" t="s">
        <v>20</v>
      </c>
      <c r="K1419" s="5">
        <v>30.0</v>
      </c>
      <c r="N1419" s="8">
        <v>44515.0</v>
      </c>
    </row>
    <row r="1420">
      <c r="A1420" s="5">
        <v>1419.0</v>
      </c>
      <c r="B1420" s="5" t="s">
        <v>313</v>
      </c>
      <c r="C1420" s="5" t="s">
        <v>20</v>
      </c>
      <c r="K1420" s="5">
        <v>700.0</v>
      </c>
      <c r="N1420" s="8">
        <v>44031.0</v>
      </c>
    </row>
    <row r="1421">
      <c r="A1421" s="5">
        <v>1420.0</v>
      </c>
      <c r="B1421" s="5" t="s">
        <v>2483</v>
      </c>
      <c r="C1421" s="5" t="s">
        <v>20</v>
      </c>
      <c r="N1421" s="8">
        <v>44470.0</v>
      </c>
    </row>
    <row r="1422">
      <c r="A1422" s="5">
        <v>1421.0</v>
      </c>
      <c r="B1422" s="5" t="s">
        <v>2484</v>
      </c>
      <c r="C1422" s="5" t="s">
        <v>20</v>
      </c>
      <c r="K1422" s="5">
        <v>600.0</v>
      </c>
      <c r="N1422" s="8">
        <v>45096.0</v>
      </c>
    </row>
    <row r="1423">
      <c r="A1423" s="5">
        <v>1422.0</v>
      </c>
      <c r="B1423" s="5" t="s">
        <v>2485</v>
      </c>
      <c r="C1423" s="5" t="s">
        <v>20</v>
      </c>
      <c r="N1423" s="8">
        <v>44630.0</v>
      </c>
    </row>
    <row r="1424">
      <c r="A1424" s="5">
        <v>1423.0</v>
      </c>
      <c r="B1424" s="5" t="s">
        <v>317</v>
      </c>
      <c r="C1424" s="5" t="s">
        <v>20</v>
      </c>
      <c r="K1424" s="5">
        <v>150.0</v>
      </c>
      <c r="N1424" s="8">
        <v>43864.0</v>
      </c>
    </row>
    <row r="1425">
      <c r="A1425" s="5">
        <v>1424.0</v>
      </c>
      <c r="B1425" s="5" t="s">
        <v>2486</v>
      </c>
      <c r="C1425" s="5" t="s">
        <v>20</v>
      </c>
      <c r="N1425" s="8">
        <v>44178.0</v>
      </c>
    </row>
    <row r="1426">
      <c r="A1426" s="5">
        <v>1425.0</v>
      </c>
      <c r="B1426" s="5" t="s">
        <v>2487</v>
      </c>
      <c r="C1426" s="5" t="s">
        <v>20</v>
      </c>
      <c r="K1426" s="5">
        <v>3900.0</v>
      </c>
      <c r="N1426" s="8">
        <v>44141.0</v>
      </c>
    </row>
    <row r="1427">
      <c r="A1427" s="5">
        <v>1426.0</v>
      </c>
      <c r="B1427" s="5" t="s">
        <v>2488</v>
      </c>
      <c r="C1427" s="5" t="s">
        <v>20</v>
      </c>
      <c r="K1427" s="5">
        <v>250.0</v>
      </c>
      <c r="N1427" s="8">
        <v>43914.0</v>
      </c>
    </row>
    <row r="1428">
      <c r="A1428" s="5">
        <v>1427.0</v>
      </c>
      <c r="B1428" s="5" t="s">
        <v>318</v>
      </c>
      <c r="C1428" s="5" t="s">
        <v>20</v>
      </c>
      <c r="K1428" s="5">
        <v>50.0</v>
      </c>
      <c r="N1428" s="8">
        <v>44042.0</v>
      </c>
    </row>
    <row r="1429">
      <c r="A1429" s="5">
        <v>1428.0</v>
      </c>
      <c r="B1429" s="5" t="s">
        <v>2489</v>
      </c>
      <c r="C1429" s="5" t="s">
        <v>20</v>
      </c>
      <c r="N1429" s="8">
        <v>43471.0</v>
      </c>
    </row>
    <row r="1430">
      <c r="A1430" s="5">
        <v>1429.0</v>
      </c>
      <c r="B1430" s="5" t="s">
        <v>2490</v>
      </c>
      <c r="C1430" s="5" t="s">
        <v>20</v>
      </c>
      <c r="K1430" s="5">
        <v>90.0</v>
      </c>
      <c r="N1430" s="8">
        <v>43652.0</v>
      </c>
    </row>
    <row r="1431">
      <c r="A1431" s="5">
        <v>1430.0</v>
      </c>
      <c r="B1431" s="5" t="s">
        <v>2491</v>
      </c>
      <c r="C1431" s="5" t="s">
        <v>20</v>
      </c>
      <c r="N1431" s="8">
        <v>42269.0</v>
      </c>
      <c r="O1431" s="5" t="s">
        <v>24</v>
      </c>
      <c r="P1431" s="5" t="s">
        <v>25</v>
      </c>
      <c r="S1431" s="5" t="s">
        <v>38</v>
      </c>
    </row>
    <row r="1432">
      <c r="A1432" s="5">
        <v>1431.0</v>
      </c>
      <c r="B1432" s="5" t="s">
        <v>586</v>
      </c>
      <c r="C1432" s="5" t="s">
        <v>20</v>
      </c>
      <c r="N1432" s="8">
        <v>44222.0</v>
      </c>
    </row>
    <row r="1433">
      <c r="A1433" s="5">
        <v>1432.0</v>
      </c>
      <c r="B1433" s="5" t="s">
        <v>2492</v>
      </c>
      <c r="C1433" s="5" t="s">
        <v>20</v>
      </c>
      <c r="N1433" s="8">
        <v>44893.0</v>
      </c>
    </row>
    <row r="1434">
      <c r="A1434" s="5">
        <v>1433.0</v>
      </c>
      <c r="B1434" s="5" t="s">
        <v>2493</v>
      </c>
      <c r="C1434" s="5" t="s">
        <v>20</v>
      </c>
      <c r="N1434" s="8">
        <v>42883.0</v>
      </c>
    </row>
    <row r="1435">
      <c r="A1435" s="5">
        <v>1434.0</v>
      </c>
      <c r="B1435" s="5" t="s">
        <v>2494</v>
      </c>
      <c r="C1435" s="5" t="s">
        <v>20</v>
      </c>
      <c r="K1435" s="5">
        <v>1200.0</v>
      </c>
      <c r="N1435" s="8">
        <v>44167.0</v>
      </c>
    </row>
    <row r="1436">
      <c r="A1436" s="5">
        <v>1435.0</v>
      </c>
      <c r="B1436" s="5" t="s">
        <v>2495</v>
      </c>
      <c r="C1436" s="5" t="s">
        <v>20</v>
      </c>
      <c r="N1436" s="8">
        <v>44668.0</v>
      </c>
    </row>
    <row r="1437">
      <c r="A1437" s="5">
        <v>1436.0</v>
      </c>
      <c r="B1437" s="5" t="s">
        <v>2496</v>
      </c>
      <c r="C1437" s="5" t="s">
        <v>20</v>
      </c>
      <c r="N1437" s="8">
        <v>45098.0</v>
      </c>
    </row>
    <row r="1438">
      <c r="A1438" s="5">
        <v>1437.0</v>
      </c>
      <c r="B1438" s="5" t="s">
        <v>2497</v>
      </c>
      <c r="C1438" s="5" t="s">
        <v>20</v>
      </c>
      <c r="K1438" s="5">
        <v>1600.0</v>
      </c>
      <c r="N1438" s="8">
        <v>44845.0</v>
      </c>
    </row>
    <row r="1439">
      <c r="A1439" s="5">
        <v>1438.0</v>
      </c>
      <c r="B1439" s="5" t="s">
        <v>320</v>
      </c>
      <c r="C1439" s="5" t="s">
        <v>20</v>
      </c>
      <c r="K1439" s="5">
        <v>20.0</v>
      </c>
      <c r="N1439" s="8">
        <v>44556.0</v>
      </c>
    </row>
    <row r="1440">
      <c r="A1440" s="5">
        <v>1439.0</v>
      </c>
      <c r="B1440" s="5" t="s">
        <v>2498</v>
      </c>
      <c r="C1440" s="5" t="s">
        <v>20</v>
      </c>
      <c r="K1440" s="5">
        <v>200.0</v>
      </c>
      <c r="N1440" s="8">
        <v>45067.0</v>
      </c>
    </row>
    <row r="1441">
      <c r="A1441" s="5">
        <v>1440.0</v>
      </c>
      <c r="B1441" s="5" t="s">
        <v>2499</v>
      </c>
      <c r="C1441" s="5" t="s">
        <v>20</v>
      </c>
      <c r="K1441" s="5">
        <v>800.0</v>
      </c>
      <c r="N1441" s="8">
        <v>44920.0</v>
      </c>
    </row>
    <row r="1442">
      <c r="A1442" s="5">
        <v>1441.0</v>
      </c>
      <c r="B1442" s="5" t="s">
        <v>2500</v>
      </c>
      <c r="C1442" s="5" t="s">
        <v>20</v>
      </c>
      <c r="N1442" s="8">
        <v>42414.0</v>
      </c>
    </row>
    <row r="1443">
      <c r="A1443" s="5">
        <v>1442.0</v>
      </c>
      <c r="B1443" s="5" t="s">
        <v>2501</v>
      </c>
      <c r="C1443" s="5" t="s">
        <v>20</v>
      </c>
      <c r="K1443" s="5">
        <v>40.0</v>
      </c>
      <c r="N1443" s="8">
        <v>44418.0</v>
      </c>
    </row>
    <row r="1444">
      <c r="A1444" s="5">
        <v>1443.0</v>
      </c>
      <c r="B1444" s="5" t="s">
        <v>2502</v>
      </c>
      <c r="C1444" s="5" t="s">
        <v>20</v>
      </c>
      <c r="N1444" s="8">
        <v>44031.0</v>
      </c>
    </row>
    <row r="1445">
      <c r="A1445" s="5">
        <v>1444.0</v>
      </c>
      <c r="B1445" s="5" t="s">
        <v>2503</v>
      </c>
      <c r="C1445" s="5" t="s">
        <v>20</v>
      </c>
      <c r="F1445" s="5">
        <v>0.35</v>
      </c>
      <c r="N1445" s="8">
        <v>44358.0</v>
      </c>
      <c r="O1445" s="5" t="s">
        <v>80</v>
      </c>
      <c r="P1445" s="5" t="s">
        <v>25</v>
      </c>
      <c r="S1445" s="5" t="s">
        <v>157</v>
      </c>
    </row>
    <row r="1446">
      <c r="A1446" s="5">
        <v>1445.0</v>
      </c>
      <c r="B1446" s="5" t="s">
        <v>2504</v>
      </c>
      <c r="C1446" s="5" t="s">
        <v>20</v>
      </c>
      <c r="K1446" s="5">
        <v>20.0</v>
      </c>
      <c r="N1446" s="8">
        <v>44353.0</v>
      </c>
    </row>
    <row r="1447">
      <c r="A1447" s="5">
        <v>1446.0</v>
      </c>
      <c r="B1447" s="5" t="s">
        <v>2505</v>
      </c>
      <c r="C1447" s="5" t="s">
        <v>20</v>
      </c>
      <c r="N1447" s="8">
        <v>42770.0</v>
      </c>
    </row>
    <row r="1448">
      <c r="A1448" s="5">
        <v>1447.0</v>
      </c>
      <c r="B1448" s="5" t="s">
        <v>2506</v>
      </c>
      <c r="C1448" s="5" t="s">
        <v>20</v>
      </c>
      <c r="K1448" s="5">
        <v>60.0</v>
      </c>
      <c r="N1448" s="8">
        <v>43951.0</v>
      </c>
    </row>
    <row r="1449">
      <c r="A1449" s="5">
        <v>1448.0</v>
      </c>
      <c r="B1449" s="5" t="s">
        <v>2507</v>
      </c>
      <c r="C1449" s="5" t="s">
        <v>20</v>
      </c>
      <c r="K1449" s="5">
        <v>100.0</v>
      </c>
      <c r="N1449" s="8">
        <v>44193.0</v>
      </c>
    </row>
    <row r="1450">
      <c r="A1450" s="5">
        <v>1449.0</v>
      </c>
      <c r="B1450" s="5" t="s">
        <v>2508</v>
      </c>
      <c r="C1450" s="5" t="s">
        <v>20</v>
      </c>
      <c r="K1450" s="5">
        <v>30.0</v>
      </c>
      <c r="N1450" s="8">
        <v>44457.0</v>
      </c>
    </row>
    <row r="1451">
      <c r="A1451" s="5">
        <v>1450.0</v>
      </c>
      <c r="B1451" s="5" t="s">
        <v>2509</v>
      </c>
      <c r="C1451" s="5" t="s">
        <v>20</v>
      </c>
      <c r="N1451" s="8">
        <v>45212.0</v>
      </c>
    </row>
    <row r="1452">
      <c r="A1452" s="5">
        <v>1451.0</v>
      </c>
      <c r="B1452" s="5" t="s">
        <v>587</v>
      </c>
      <c r="C1452" s="5" t="s">
        <v>20</v>
      </c>
      <c r="N1452" s="8">
        <v>46077.0</v>
      </c>
    </row>
    <row r="1453">
      <c r="A1453" s="5">
        <v>1452.0</v>
      </c>
      <c r="B1453" s="5" t="s">
        <v>2510</v>
      </c>
      <c r="C1453" s="5" t="s">
        <v>20</v>
      </c>
      <c r="K1453" s="5">
        <v>20.0</v>
      </c>
      <c r="N1453" s="8">
        <v>44003.0</v>
      </c>
    </row>
    <row r="1454">
      <c r="A1454" s="5">
        <v>1453.0</v>
      </c>
      <c r="B1454" s="5" t="s">
        <v>2511</v>
      </c>
      <c r="C1454" s="5" t="s">
        <v>20</v>
      </c>
      <c r="N1454" s="8">
        <v>45076.0</v>
      </c>
    </row>
    <row r="1455">
      <c r="A1455" s="5">
        <v>1454.0</v>
      </c>
      <c r="B1455" s="5" t="s">
        <v>2512</v>
      </c>
      <c r="C1455" s="5" t="s">
        <v>20</v>
      </c>
      <c r="N1455" s="8">
        <v>45753.0</v>
      </c>
    </row>
    <row r="1456">
      <c r="A1456" s="5">
        <v>1455.0</v>
      </c>
      <c r="B1456" s="5" t="s">
        <v>2513</v>
      </c>
      <c r="C1456" s="5" t="s">
        <v>20</v>
      </c>
      <c r="N1456" s="8">
        <v>42719.0</v>
      </c>
    </row>
    <row r="1457">
      <c r="A1457" s="5">
        <v>1456.0</v>
      </c>
      <c r="B1457" s="5" t="s">
        <v>2514</v>
      </c>
      <c r="C1457" s="5" t="s">
        <v>20</v>
      </c>
      <c r="K1457" s="5">
        <v>150.0</v>
      </c>
      <c r="N1457" s="8">
        <v>44800.0</v>
      </c>
    </row>
    <row r="1458">
      <c r="A1458" s="5">
        <v>1457.0</v>
      </c>
      <c r="B1458" s="5" t="s">
        <v>2515</v>
      </c>
      <c r="C1458" s="5" t="s">
        <v>20</v>
      </c>
      <c r="K1458" s="5">
        <v>200.0</v>
      </c>
      <c r="N1458" s="8">
        <v>44488.0</v>
      </c>
    </row>
    <row r="1459">
      <c r="A1459" s="5">
        <v>1458.0</v>
      </c>
      <c r="B1459" s="5" t="s">
        <v>2516</v>
      </c>
      <c r="C1459" s="5" t="s">
        <v>20</v>
      </c>
      <c r="N1459" s="8">
        <v>42521.0</v>
      </c>
    </row>
    <row r="1460">
      <c r="A1460" s="5">
        <v>1459.0</v>
      </c>
      <c r="B1460" s="5" t="s">
        <v>2517</v>
      </c>
      <c r="C1460" s="5" t="s">
        <v>20</v>
      </c>
      <c r="K1460" s="5">
        <v>300.0</v>
      </c>
      <c r="N1460" s="8">
        <v>44127.0</v>
      </c>
    </row>
    <row r="1461">
      <c r="A1461" s="5">
        <v>1460.0</v>
      </c>
      <c r="B1461" s="5" t="s">
        <v>2518</v>
      </c>
      <c r="C1461" s="5" t="s">
        <v>20</v>
      </c>
      <c r="N1461" s="8">
        <v>45122.0</v>
      </c>
    </row>
    <row r="1462">
      <c r="A1462" s="5">
        <v>1461.0</v>
      </c>
      <c r="B1462" s="5" t="s">
        <v>2519</v>
      </c>
      <c r="C1462" s="5" t="s">
        <v>20</v>
      </c>
      <c r="K1462" s="5">
        <v>20.0</v>
      </c>
      <c r="N1462" s="8">
        <v>44617.0</v>
      </c>
    </row>
    <row r="1463">
      <c r="A1463" s="5">
        <v>1462.0</v>
      </c>
      <c r="B1463" s="5" t="s">
        <v>323</v>
      </c>
      <c r="C1463" s="5" t="s">
        <v>20</v>
      </c>
      <c r="K1463" s="5">
        <v>10.0</v>
      </c>
      <c r="N1463" s="8">
        <v>45520.0</v>
      </c>
    </row>
    <row r="1464">
      <c r="A1464" s="5">
        <v>1463.0</v>
      </c>
      <c r="B1464" s="5" t="s">
        <v>2520</v>
      </c>
      <c r="C1464" s="5" t="s">
        <v>20</v>
      </c>
      <c r="K1464" s="5">
        <v>300.0</v>
      </c>
      <c r="N1464" s="8">
        <v>45761.0</v>
      </c>
    </row>
    <row r="1465">
      <c r="A1465" s="5">
        <v>1464.0</v>
      </c>
      <c r="B1465" s="5" t="s">
        <v>589</v>
      </c>
      <c r="C1465" s="5" t="s">
        <v>20</v>
      </c>
      <c r="D1465" s="5">
        <v>41.0</v>
      </c>
      <c r="H1465" s="5" t="s">
        <v>504</v>
      </c>
      <c r="I1465" s="9">
        <v>46090.18850694445</v>
      </c>
      <c r="J1465" s="5" t="s">
        <v>591</v>
      </c>
      <c r="L1465" s="5">
        <v>20.0</v>
      </c>
      <c r="M1465" s="5">
        <v>20.0</v>
      </c>
      <c r="N1465" s="8">
        <v>44001.0</v>
      </c>
      <c r="O1465" s="5" t="s">
        <v>24</v>
      </c>
      <c r="P1465" s="5" t="s">
        <v>25</v>
      </c>
      <c r="S1465" s="5" t="s">
        <v>118</v>
      </c>
    </row>
    <row r="1466">
      <c r="A1466" s="5">
        <v>1465.0</v>
      </c>
      <c r="B1466" s="5" t="s">
        <v>2521</v>
      </c>
      <c r="C1466" s="5" t="s">
        <v>20</v>
      </c>
      <c r="N1466" s="8">
        <v>42258.0</v>
      </c>
      <c r="O1466" s="5" t="s">
        <v>24</v>
      </c>
      <c r="P1466" s="5" t="s">
        <v>25</v>
      </c>
      <c r="S1466" s="5" t="s">
        <v>38</v>
      </c>
    </row>
    <row r="1467">
      <c r="A1467" s="5">
        <v>1466.0</v>
      </c>
      <c r="B1467" s="5" t="s">
        <v>2522</v>
      </c>
      <c r="C1467" s="5" t="s">
        <v>20</v>
      </c>
      <c r="K1467" s="5">
        <v>100.0</v>
      </c>
      <c r="N1467" s="8">
        <v>44519.0</v>
      </c>
    </row>
    <row r="1468">
      <c r="A1468" s="5">
        <v>1467.0</v>
      </c>
      <c r="B1468" s="5" t="s">
        <v>2523</v>
      </c>
      <c r="C1468" s="5" t="s">
        <v>20</v>
      </c>
      <c r="K1468" s="5">
        <v>10.0</v>
      </c>
      <c r="N1468" s="8">
        <v>44363.0</v>
      </c>
    </row>
    <row r="1469">
      <c r="A1469" s="5">
        <v>1468.0</v>
      </c>
      <c r="B1469" s="5" t="s">
        <v>325</v>
      </c>
      <c r="C1469" s="5" t="s">
        <v>20</v>
      </c>
      <c r="K1469" s="5">
        <v>150.0</v>
      </c>
      <c r="N1469" s="8">
        <v>45213.0</v>
      </c>
    </row>
    <row r="1470">
      <c r="A1470" s="5">
        <v>1469.0</v>
      </c>
      <c r="B1470" s="5" t="s">
        <v>2524</v>
      </c>
      <c r="C1470" s="5" t="s">
        <v>20</v>
      </c>
      <c r="K1470" s="5">
        <v>300.0</v>
      </c>
      <c r="N1470" s="8">
        <v>44325.0</v>
      </c>
    </row>
    <row r="1471">
      <c r="A1471" s="5">
        <v>1470.0</v>
      </c>
      <c r="B1471" s="5" t="s">
        <v>2525</v>
      </c>
      <c r="C1471" s="5" t="s">
        <v>20</v>
      </c>
      <c r="N1471" s="8">
        <v>42986.0</v>
      </c>
    </row>
    <row r="1472">
      <c r="A1472" s="5">
        <v>1471.0</v>
      </c>
      <c r="B1472" s="5" t="s">
        <v>326</v>
      </c>
      <c r="C1472" s="5" t="s">
        <v>20</v>
      </c>
      <c r="K1472" s="5">
        <v>100.0</v>
      </c>
      <c r="N1472" s="8">
        <v>43942.0</v>
      </c>
    </row>
    <row r="1473">
      <c r="A1473" s="5">
        <v>1472.0</v>
      </c>
      <c r="B1473" s="5" t="s">
        <v>2526</v>
      </c>
      <c r="C1473" s="5" t="s">
        <v>20</v>
      </c>
      <c r="K1473" s="5">
        <v>200.0</v>
      </c>
      <c r="N1473" s="8">
        <v>44736.0</v>
      </c>
    </row>
    <row r="1474">
      <c r="A1474" s="5">
        <v>1473.0</v>
      </c>
      <c r="B1474" s="5" t="s">
        <v>2527</v>
      </c>
      <c r="C1474" s="5" t="s">
        <v>20</v>
      </c>
      <c r="K1474" s="5">
        <v>200.0</v>
      </c>
      <c r="N1474" s="8">
        <v>45574.0</v>
      </c>
    </row>
    <row r="1475">
      <c r="A1475" s="5">
        <v>1474.0</v>
      </c>
      <c r="B1475" s="5" t="s">
        <v>2528</v>
      </c>
      <c r="C1475" s="5" t="s">
        <v>20</v>
      </c>
      <c r="K1475" s="5">
        <v>150.0</v>
      </c>
      <c r="N1475" s="8">
        <v>44704.0</v>
      </c>
    </row>
    <row r="1476">
      <c r="A1476" s="5">
        <v>1475.0</v>
      </c>
      <c r="B1476" s="5" t="s">
        <v>2529</v>
      </c>
      <c r="C1476" s="5" t="s">
        <v>20</v>
      </c>
      <c r="N1476" s="8">
        <v>45230.0</v>
      </c>
    </row>
    <row r="1477">
      <c r="A1477" s="5">
        <v>1476.0</v>
      </c>
      <c r="B1477" s="5" t="s">
        <v>2530</v>
      </c>
      <c r="C1477" s="5" t="s">
        <v>20</v>
      </c>
      <c r="N1477" s="8">
        <v>45406.0</v>
      </c>
    </row>
    <row r="1478">
      <c r="A1478" s="5">
        <v>1477.0</v>
      </c>
      <c r="B1478" s="5" t="s">
        <v>2531</v>
      </c>
      <c r="C1478" s="5" t="s">
        <v>20</v>
      </c>
      <c r="K1478" s="5">
        <v>10.0</v>
      </c>
      <c r="N1478" s="8">
        <v>45081.0</v>
      </c>
    </row>
    <row r="1479">
      <c r="A1479" s="5">
        <v>1478.0</v>
      </c>
      <c r="B1479" s="5" t="s">
        <v>2532</v>
      </c>
      <c r="C1479" s="5" t="s">
        <v>20</v>
      </c>
      <c r="K1479" s="5">
        <v>10.0</v>
      </c>
      <c r="N1479" s="8">
        <v>44502.0</v>
      </c>
    </row>
    <row r="1480">
      <c r="A1480" s="5">
        <v>1479.0</v>
      </c>
      <c r="B1480" s="5" t="s">
        <v>2533</v>
      </c>
      <c r="C1480" s="5" t="s">
        <v>20</v>
      </c>
      <c r="N1480" s="8">
        <v>44728.0</v>
      </c>
      <c r="O1480" s="5" t="s">
        <v>24</v>
      </c>
      <c r="P1480" s="5" t="s">
        <v>25</v>
      </c>
      <c r="S1480" s="5" t="s">
        <v>118</v>
      </c>
    </row>
    <row r="1481">
      <c r="A1481" s="5">
        <v>1480.0</v>
      </c>
      <c r="B1481" s="5" t="s">
        <v>2534</v>
      </c>
      <c r="C1481" s="5" t="s">
        <v>20</v>
      </c>
      <c r="N1481" s="8">
        <v>43607.0</v>
      </c>
    </row>
    <row r="1482">
      <c r="A1482" s="5">
        <v>1481.0</v>
      </c>
      <c r="B1482" s="5" t="s">
        <v>2535</v>
      </c>
      <c r="C1482" s="5" t="s">
        <v>20</v>
      </c>
      <c r="K1482" s="5">
        <v>450.0</v>
      </c>
      <c r="N1482" s="8">
        <v>44597.0</v>
      </c>
    </row>
    <row r="1483">
      <c r="A1483" s="5">
        <v>1482.0</v>
      </c>
      <c r="B1483" s="5" t="s">
        <v>327</v>
      </c>
      <c r="C1483" s="5" t="s">
        <v>20</v>
      </c>
      <c r="K1483" s="5">
        <v>2400.0</v>
      </c>
      <c r="N1483" s="8">
        <v>44924.0</v>
      </c>
    </row>
    <row r="1484">
      <c r="A1484" s="5">
        <v>1483.0</v>
      </c>
      <c r="B1484" s="5" t="s">
        <v>2536</v>
      </c>
      <c r="C1484" s="5" t="s">
        <v>20</v>
      </c>
      <c r="N1484" s="8">
        <v>44540.0</v>
      </c>
    </row>
    <row r="1485">
      <c r="A1485" s="5">
        <v>1484.0</v>
      </c>
      <c r="B1485" s="5" t="s">
        <v>2537</v>
      </c>
      <c r="C1485" s="5" t="s">
        <v>20</v>
      </c>
      <c r="K1485" s="5">
        <v>250.0</v>
      </c>
      <c r="N1485" s="8">
        <v>45194.0</v>
      </c>
    </row>
    <row r="1486">
      <c r="A1486" s="5">
        <v>1485.0</v>
      </c>
      <c r="B1486" s="5" t="s">
        <v>2538</v>
      </c>
      <c r="C1486" s="5" t="s">
        <v>20</v>
      </c>
      <c r="K1486" s="5">
        <v>1900.0</v>
      </c>
      <c r="N1486" s="8">
        <v>44716.0</v>
      </c>
    </row>
    <row r="1487">
      <c r="A1487" s="5">
        <v>1486.0</v>
      </c>
      <c r="B1487" s="5" t="s">
        <v>2539</v>
      </c>
      <c r="C1487" s="5" t="s">
        <v>20</v>
      </c>
      <c r="K1487" s="5">
        <v>20.0</v>
      </c>
      <c r="N1487" s="8">
        <v>45386.0</v>
      </c>
    </row>
    <row r="1488">
      <c r="A1488" s="5">
        <v>1487.0</v>
      </c>
      <c r="B1488" s="5" t="s">
        <v>2540</v>
      </c>
      <c r="C1488" s="5" t="s">
        <v>20</v>
      </c>
      <c r="N1488" s="8">
        <v>44627.0</v>
      </c>
    </row>
    <row r="1489">
      <c r="A1489" s="5">
        <v>1488.0</v>
      </c>
      <c r="B1489" s="5" t="s">
        <v>2541</v>
      </c>
      <c r="C1489" s="5" t="s">
        <v>20</v>
      </c>
      <c r="K1489" s="5">
        <v>90.0</v>
      </c>
      <c r="N1489" s="8">
        <v>45015.0</v>
      </c>
    </row>
    <row r="1490">
      <c r="A1490" s="5">
        <v>1489.0</v>
      </c>
      <c r="B1490" s="5" t="s">
        <v>2542</v>
      </c>
      <c r="C1490" s="5" t="s">
        <v>20</v>
      </c>
      <c r="N1490" s="8">
        <v>42526.0</v>
      </c>
    </row>
    <row r="1491">
      <c r="A1491" s="5">
        <v>1490.0</v>
      </c>
      <c r="B1491" s="5" t="s">
        <v>2543</v>
      </c>
      <c r="C1491" s="5" t="s">
        <v>20</v>
      </c>
      <c r="K1491" s="5">
        <v>10.0</v>
      </c>
      <c r="N1491" s="8">
        <v>45616.0</v>
      </c>
    </row>
    <row r="1492">
      <c r="A1492" s="5">
        <v>1491.0</v>
      </c>
      <c r="B1492" s="5" t="s">
        <v>2200</v>
      </c>
      <c r="C1492" s="5" t="s">
        <v>20</v>
      </c>
      <c r="D1492" s="5">
        <v>67.0</v>
      </c>
      <c r="H1492" s="5" t="s">
        <v>504</v>
      </c>
      <c r="I1492" s="9">
        <v>46152.294756944444</v>
      </c>
      <c r="K1492" s="5">
        <v>30.0</v>
      </c>
      <c r="L1492" s="5">
        <v>150.0</v>
      </c>
      <c r="M1492" s="5">
        <v>350.0</v>
      </c>
      <c r="N1492" s="8">
        <v>44075.0</v>
      </c>
      <c r="O1492" s="5" t="s">
        <v>464</v>
      </c>
      <c r="P1492" s="5" t="s">
        <v>25</v>
      </c>
      <c r="S1492" s="5" t="s">
        <v>145</v>
      </c>
    </row>
    <row r="1493">
      <c r="A1493" s="5">
        <v>1492.0</v>
      </c>
      <c r="B1493" s="5" t="s">
        <v>2544</v>
      </c>
      <c r="C1493" s="5" t="s">
        <v>20</v>
      </c>
      <c r="K1493" s="5">
        <v>50.0</v>
      </c>
      <c r="N1493" s="8">
        <v>44121.0</v>
      </c>
    </row>
    <row r="1494">
      <c r="A1494" s="5">
        <v>1493.0</v>
      </c>
      <c r="B1494" s="5" t="s">
        <v>2545</v>
      </c>
      <c r="C1494" s="5" t="s">
        <v>20</v>
      </c>
      <c r="K1494" s="5">
        <v>1900.0</v>
      </c>
      <c r="N1494" s="8">
        <v>45277.0</v>
      </c>
    </row>
    <row r="1495">
      <c r="A1495" s="5">
        <v>1494.0</v>
      </c>
      <c r="B1495" s="5" t="s">
        <v>328</v>
      </c>
      <c r="C1495" s="5" t="s">
        <v>20</v>
      </c>
      <c r="K1495" s="5">
        <v>700.0</v>
      </c>
      <c r="N1495" s="8">
        <v>43542.0</v>
      </c>
    </row>
    <row r="1496">
      <c r="A1496" s="5">
        <v>1495.0</v>
      </c>
      <c r="B1496" s="5" t="s">
        <v>2546</v>
      </c>
      <c r="C1496" s="5" t="s">
        <v>20</v>
      </c>
      <c r="K1496" s="5">
        <v>800.0</v>
      </c>
      <c r="N1496" s="8">
        <v>44933.0</v>
      </c>
    </row>
    <row r="1497">
      <c r="A1497" s="5">
        <v>1496.0</v>
      </c>
      <c r="B1497" s="5" t="s">
        <v>2547</v>
      </c>
      <c r="C1497" s="5" t="s">
        <v>20</v>
      </c>
      <c r="N1497" s="8">
        <v>44321.0</v>
      </c>
    </row>
    <row r="1498">
      <c r="A1498" s="5">
        <v>1497.0</v>
      </c>
      <c r="B1498" s="5" t="s">
        <v>2548</v>
      </c>
      <c r="C1498" s="5" t="s">
        <v>20</v>
      </c>
      <c r="N1498" s="8">
        <v>44840.0</v>
      </c>
    </row>
    <row r="1499">
      <c r="A1499" s="5">
        <v>1498.0</v>
      </c>
      <c r="B1499" s="5" t="s">
        <v>2549</v>
      </c>
      <c r="C1499" s="5" t="s">
        <v>20</v>
      </c>
      <c r="K1499" s="5">
        <v>20.0</v>
      </c>
      <c r="N1499" s="8">
        <v>44380.0</v>
      </c>
    </row>
    <row r="1500">
      <c r="A1500" s="5">
        <v>1499.0</v>
      </c>
      <c r="B1500" s="5" t="s">
        <v>2550</v>
      </c>
      <c r="C1500" s="5" t="s">
        <v>20</v>
      </c>
      <c r="K1500" s="5">
        <v>100.0</v>
      </c>
      <c r="N1500" s="8">
        <v>44520.0</v>
      </c>
    </row>
    <row r="1501">
      <c r="A1501" s="5">
        <v>1500.0</v>
      </c>
      <c r="B1501" s="5" t="s">
        <v>2551</v>
      </c>
      <c r="C1501" s="5" t="s">
        <v>20</v>
      </c>
      <c r="K1501" s="5">
        <v>150.0</v>
      </c>
      <c r="N1501" s="8">
        <v>44470.0</v>
      </c>
    </row>
    <row r="1502">
      <c r="A1502" s="5">
        <v>1501.0</v>
      </c>
      <c r="B1502" s="5" t="s">
        <v>2552</v>
      </c>
      <c r="C1502" s="5" t="s">
        <v>20</v>
      </c>
      <c r="K1502" s="5">
        <v>10.0</v>
      </c>
      <c r="N1502" s="8">
        <v>45672.0</v>
      </c>
    </row>
    <row r="1503">
      <c r="A1503" s="5">
        <v>1502.0</v>
      </c>
      <c r="B1503" s="5" t="s">
        <v>2553</v>
      </c>
      <c r="C1503" s="5" t="s">
        <v>20</v>
      </c>
      <c r="N1503" s="8">
        <v>43257.0</v>
      </c>
    </row>
    <row r="1504">
      <c r="A1504" s="5">
        <v>1503.0</v>
      </c>
      <c r="B1504" s="5" t="s">
        <v>2554</v>
      </c>
      <c r="C1504" s="5" t="s">
        <v>20</v>
      </c>
      <c r="N1504" s="8">
        <v>45070.0</v>
      </c>
    </row>
    <row r="1505">
      <c r="A1505" s="5">
        <v>1504.0</v>
      </c>
      <c r="B1505" s="5" t="s">
        <v>2555</v>
      </c>
      <c r="C1505" s="5" t="s">
        <v>20</v>
      </c>
      <c r="N1505" s="8">
        <v>45291.0</v>
      </c>
    </row>
    <row r="1506">
      <c r="A1506" s="5">
        <v>1505.0</v>
      </c>
      <c r="B1506" s="5" t="s">
        <v>2556</v>
      </c>
      <c r="C1506" s="5" t="s">
        <v>20</v>
      </c>
      <c r="K1506" s="5">
        <v>100.0</v>
      </c>
      <c r="N1506" s="8">
        <v>45304.0</v>
      </c>
    </row>
    <row r="1507">
      <c r="A1507" s="5">
        <v>1506.0</v>
      </c>
      <c r="B1507" s="5" t="s">
        <v>2557</v>
      </c>
      <c r="C1507" s="5" t="s">
        <v>20</v>
      </c>
      <c r="N1507" s="8">
        <v>45868.0</v>
      </c>
    </row>
    <row r="1508">
      <c r="A1508" s="5">
        <v>1507.0</v>
      </c>
      <c r="B1508" s="5" t="s">
        <v>2558</v>
      </c>
      <c r="C1508" s="5" t="s">
        <v>20</v>
      </c>
      <c r="N1508" s="8">
        <v>44212.0</v>
      </c>
    </row>
    <row r="1509">
      <c r="A1509" s="5">
        <v>1508.0</v>
      </c>
      <c r="B1509" s="5" t="s">
        <v>2559</v>
      </c>
      <c r="C1509" s="5" t="s">
        <v>20</v>
      </c>
      <c r="N1509" s="8">
        <v>44927.0</v>
      </c>
    </row>
    <row r="1510">
      <c r="A1510" s="5">
        <v>1509.0</v>
      </c>
      <c r="B1510" s="5" t="s">
        <v>2560</v>
      </c>
      <c r="C1510" s="5" t="s">
        <v>20</v>
      </c>
      <c r="K1510" s="5">
        <v>200.0</v>
      </c>
      <c r="N1510" s="8">
        <v>45318.0</v>
      </c>
    </row>
    <row r="1511">
      <c r="A1511" s="5">
        <v>1510.0</v>
      </c>
      <c r="B1511" s="5" t="s">
        <v>2561</v>
      </c>
      <c r="C1511" s="5" t="s">
        <v>20</v>
      </c>
      <c r="N1511" s="8">
        <v>43953.0</v>
      </c>
    </row>
    <row r="1512">
      <c r="A1512" s="5">
        <v>1511.0</v>
      </c>
      <c r="B1512" s="5" t="s">
        <v>329</v>
      </c>
      <c r="C1512" s="5" t="s">
        <v>20</v>
      </c>
      <c r="K1512" s="5">
        <v>200.0</v>
      </c>
      <c r="N1512" s="8">
        <v>45475.0</v>
      </c>
    </row>
    <row r="1513">
      <c r="A1513" s="5">
        <v>1512.0</v>
      </c>
      <c r="B1513" s="5" t="s">
        <v>2562</v>
      </c>
      <c r="C1513" s="5" t="s">
        <v>20</v>
      </c>
      <c r="K1513" s="5">
        <v>1000.0</v>
      </c>
      <c r="N1513" s="8">
        <v>44399.0</v>
      </c>
    </row>
    <row r="1514">
      <c r="A1514" s="5">
        <v>1513.0</v>
      </c>
      <c r="B1514" s="5" t="s">
        <v>2563</v>
      </c>
      <c r="C1514" s="5" t="s">
        <v>20</v>
      </c>
      <c r="N1514" s="8">
        <v>42809.0</v>
      </c>
    </row>
    <row r="1515">
      <c r="A1515" s="5">
        <v>1514.0</v>
      </c>
      <c r="B1515" s="5" t="s">
        <v>2564</v>
      </c>
      <c r="C1515" s="5" t="s">
        <v>20</v>
      </c>
      <c r="N1515" s="8">
        <v>44487.0</v>
      </c>
    </row>
    <row r="1516">
      <c r="A1516" s="5">
        <v>1515.0</v>
      </c>
      <c r="B1516" s="5" t="s">
        <v>2565</v>
      </c>
      <c r="C1516" s="5" t="s">
        <v>20</v>
      </c>
      <c r="K1516" s="5">
        <v>150.0</v>
      </c>
      <c r="N1516" s="8">
        <v>44934.0</v>
      </c>
    </row>
    <row r="1517">
      <c r="A1517" s="5">
        <v>1516.0</v>
      </c>
      <c r="B1517" s="5" t="s">
        <v>2566</v>
      </c>
      <c r="C1517" s="5" t="s">
        <v>20</v>
      </c>
      <c r="N1517" s="8">
        <v>44549.0</v>
      </c>
    </row>
    <row r="1518">
      <c r="A1518" s="5">
        <v>1517.0</v>
      </c>
      <c r="B1518" s="5" t="s">
        <v>2567</v>
      </c>
      <c r="C1518" s="5" t="s">
        <v>20</v>
      </c>
      <c r="K1518" s="5">
        <v>40.0</v>
      </c>
      <c r="N1518" s="8">
        <v>45428.0</v>
      </c>
    </row>
    <row r="1519">
      <c r="A1519" s="5">
        <v>1518.0</v>
      </c>
      <c r="B1519" s="5" t="s">
        <v>2568</v>
      </c>
      <c r="C1519" s="5" t="s">
        <v>20</v>
      </c>
      <c r="K1519" s="5">
        <v>700.0</v>
      </c>
      <c r="N1519" s="8">
        <v>44793.0</v>
      </c>
    </row>
    <row r="1520">
      <c r="A1520" s="5">
        <v>1519.0</v>
      </c>
      <c r="B1520" s="5" t="s">
        <v>2569</v>
      </c>
      <c r="C1520" s="5" t="s">
        <v>20</v>
      </c>
      <c r="K1520" s="5">
        <v>1400.0</v>
      </c>
      <c r="N1520" s="8">
        <v>44516.0</v>
      </c>
    </row>
    <row r="1521">
      <c r="A1521" s="5">
        <v>1520.0</v>
      </c>
      <c r="B1521" s="5" t="s">
        <v>2570</v>
      </c>
      <c r="C1521" s="5" t="s">
        <v>20</v>
      </c>
      <c r="K1521" s="5">
        <v>800.0</v>
      </c>
      <c r="N1521" s="8">
        <v>45397.0</v>
      </c>
    </row>
    <row r="1522">
      <c r="A1522" s="5">
        <v>1521.0</v>
      </c>
      <c r="B1522" s="5" t="s">
        <v>2571</v>
      </c>
      <c r="C1522" s="5" t="s">
        <v>20</v>
      </c>
      <c r="K1522" s="5">
        <v>60.0</v>
      </c>
      <c r="N1522" s="8">
        <v>44534.0</v>
      </c>
    </row>
    <row r="1523">
      <c r="A1523" s="5">
        <v>1522.0</v>
      </c>
      <c r="B1523" s="5" t="s">
        <v>331</v>
      </c>
      <c r="C1523" s="5" t="s">
        <v>20</v>
      </c>
      <c r="K1523" s="5">
        <v>150.0</v>
      </c>
      <c r="N1523" s="8">
        <v>44712.0</v>
      </c>
    </row>
    <row r="1524">
      <c r="A1524" s="5">
        <v>1523.0</v>
      </c>
      <c r="B1524" s="5" t="s">
        <v>2572</v>
      </c>
      <c r="C1524" s="5" t="s">
        <v>20</v>
      </c>
      <c r="K1524" s="5">
        <v>30.0</v>
      </c>
      <c r="N1524" s="8">
        <v>45482.0</v>
      </c>
    </row>
    <row r="1525">
      <c r="A1525" s="5">
        <v>1524.0</v>
      </c>
      <c r="B1525" s="5" t="s">
        <v>332</v>
      </c>
      <c r="C1525" s="5" t="s">
        <v>20</v>
      </c>
      <c r="K1525" s="5">
        <v>300.0</v>
      </c>
      <c r="N1525" s="8">
        <v>45099.0</v>
      </c>
    </row>
    <row r="1526">
      <c r="A1526" s="5">
        <v>1525.0</v>
      </c>
      <c r="B1526" s="5" t="s">
        <v>2573</v>
      </c>
      <c r="C1526" s="5" t="s">
        <v>20</v>
      </c>
      <c r="N1526" s="8">
        <v>45345.0</v>
      </c>
    </row>
    <row r="1527">
      <c r="A1527" s="5">
        <v>1526.0</v>
      </c>
      <c r="B1527" s="5" t="s">
        <v>2574</v>
      </c>
      <c r="C1527" s="5" t="s">
        <v>20</v>
      </c>
      <c r="N1527" s="8">
        <v>44409.0</v>
      </c>
    </row>
    <row r="1528">
      <c r="A1528" s="5">
        <v>1527.0</v>
      </c>
      <c r="B1528" s="5" t="s">
        <v>2575</v>
      </c>
      <c r="C1528" s="5" t="s">
        <v>20</v>
      </c>
      <c r="K1528" s="5">
        <v>100.0</v>
      </c>
      <c r="N1528" s="8">
        <v>44397.0</v>
      </c>
    </row>
    <row r="1529">
      <c r="A1529" s="5">
        <v>1528.0</v>
      </c>
      <c r="B1529" s="5" t="s">
        <v>2576</v>
      </c>
      <c r="C1529" s="5" t="s">
        <v>20</v>
      </c>
      <c r="N1529" s="8">
        <v>42878.0</v>
      </c>
    </row>
    <row r="1530">
      <c r="A1530" s="5">
        <v>1529.0</v>
      </c>
      <c r="B1530" s="5" t="s">
        <v>335</v>
      </c>
      <c r="C1530" s="5" t="s">
        <v>20</v>
      </c>
      <c r="K1530" s="5">
        <v>200.0</v>
      </c>
      <c r="N1530" s="8">
        <v>45498.0</v>
      </c>
    </row>
    <row r="1531">
      <c r="A1531" s="5">
        <v>1530.0</v>
      </c>
      <c r="B1531" s="5" t="s">
        <v>2577</v>
      </c>
      <c r="C1531" s="5" t="s">
        <v>20</v>
      </c>
      <c r="K1531" s="5">
        <v>150.0</v>
      </c>
      <c r="N1531" s="8">
        <v>44445.0</v>
      </c>
    </row>
    <row r="1532">
      <c r="A1532" s="5">
        <v>1531.0</v>
      </c>
      <c r="B1532" s="5" t="s">
        <v>2578</v>
      </c>
      <c r="C1532" s="5" t="s">
        <v>20</v>
      </c>
      <c r="N1532" s="8">
        <v>44392.0</v>
      </c>
    </row>
    <row r="1533">
      <c r="A1533" s="5">
        <v>1532.0</v>
      </c>
      <c r="B1533" s="5" t="s">
        <v>2579</v>
      </c>
      <c r="C1533" s="5" t="s">
        <v>20</v>
      </c>
      <c r="K1533" s="5">
        <v>250.0</v>
      </c>
      <c r="N1533" s="8">
        <v>44282.0</v>
      </c>
    </row>
    <row r="1534">
      <c r="A1534" s="5">
        <v>1533.0</v>
      </c>
      <c r="B1534" s="5" t="s">
        <v>2580</v>
      </c>
      <c r="C1534" s="5" t="s">
        <v>20</v>
      </c>
      <c r="K1534" s="5">
        <v>90.0</v>
      </c>
      <c r="N1534" s="8">
        <v>44999.0</v>
      </c>
    </row>
    <row r="1535">
      <c r="A1535" s="5">
        <v>1534.0</v>
      </c>
      <c r="B1535" s="5" t="s">
        <v>2581</v>
      </c>
      <c r="C1535" s="5" t="s">
        <v>20</v>
      </c>
      <c r="N1535" s="8">
        <v>44661.0</v>
      </c>
    </row>
    <row r="1536">
      <c r="A1536" s="5">
        <v>1535.0</v>
      </c>
      <c r="B1536" s="5" t="s">
        <v>2582</v>
      </c>
      <c r="C1536" s="5" t="s">
        <v>20</v>
      </c>
      <c r="K1536" s="5">
        <v>20.0</v>
      </c>
      <c r="N1536" s="8">
        <v>44932.0</v>
      </c>
    </row>
    <row r="1537">
      <c r="A1537" s="5">
        <v>1536.0</v>
      </c>
      <c r="B1537" s="5" t="s">
        <v>337</v>
      </c>
      <c r="C1537" s="5" t="s">
        <v>20</v>
      </c>
      <c r="K1537" s="5">
        <v>50.0</v>
      </c>
      <c r="N1537" s="8">
        <v>43993.0</v>
      </c>
    </row>
    <row r="1538">
      <c r="A1538" s="5">
        <v>1537.0</v>
      </c>
      <c r="B1538" s="5" t="s">
        <v>2583</v>
      </c>
      <c r="C1538" s="5" t="s">
        <v>20</v>
      </c>
      <c r="K1538" s="5">
        <v>100.0</v>
      </c>
      <c r="N1538" s="8">
        <v>44035.0</v>
      </c>
    </row>
    <row r="1539">
      <c r="A1539" s="5">
        <v>1538.0</v>
      </c>
      <c r="B1539" s="5" t="s">
        <v>2584</v>
      </c>
      <c r="C1539" s="5" t="s">
        <v>20</v>
      </c>
      <c r="N1539" s="8">
        <v>42341.0</v>
      </c>
    </row>
    <row r="1540">
      <c r="A1540" s="5">
        <v>1539.0</v>
      </c>
      <c r="B1540" s="5" t="s">
        <v>2585</v>
      </c>
      <c r="C1540" s="5" t="s">
        <v>20</v>
      </c>
      <c r="K1540" s="5">
        <v>50.0</v>
      </c>
      <c r="N1540" s="8">
        <v>44247.0</v>
      </c>
    </row>
    <row r="1541">
      <c r="A1541" s="5">
        <v>1540.0</v>
      </c>
      <c r="B1541" s="5" t="s">
        <v>2586</v>
      </c>
      <c r="C1541" s="5" t="s">
        <v>20</v>
      </c>
      <c r="K1541" s="5">
        <v>200.0</v>
      </c>
      <c r="N1541" s="8">
        <v>44207.0</v>
      </c>
    </row>
    <row r="1542">
      <c r="A1542" s="5">
        <v>1541.0</v>
      </c>
      <c r="B1542" s="5" t="s">
        <v>2587</v>
      </c>
      <c r="C1542" s="5" t="s">
        <v>20</v>
      </c>
      <c r="N1542" s="8">
        <v>44039.0</v>
      </c>
    </row>
    <row r="1543">
      <c r="A1543" s="5">
        <v>1542.0</v>
      </c>
      <c r="B1543" s="5" t="s">
        <v>2588</v>
      </c>
      <c r="C1543" s="5" t="s">
        <v>20</v>
      </c>
      <c r="K1543" s="5">
        <v>200.0</v>
      </c>
      <c r="N1543" s="8">
        <v>44006.0</v>
      </c>
    </row>
    <row r="1544">
      <c r="A1544" s="5">
        <v>1543.0</v>
      </c>
      <c r="B1544" s="5" t="s">
        <v>2589</v>
      </c>
      <c r="C1544" s="5" t="s">
        <v>20</v>
      </c>
      <c r="K1544" s="5">
        <v>100.0</v>
      </c>
      <c r="N1544" s="8">
        <v>43974.0</v>
      </c>
    </row>
    <row r="1545">
      <c r="A1545" s="5">
        <v>1544.0</v>
      </c>
      <c r="B1545" s="5" t="s">
        <v>338</v>
      </c>
      <c r="C1545" s="5" t="s">
        <v>20</v>
      </c>
      <c r="K1545" s="5">
        <v>150.0</v>
      </c>
      <c r="N1545" s="8">
        <v>44539.0</v>
      </c>
    </row>
    <row r="1546">
      <c r="A1546" s="5">
        <v>1545.0</v>
      </c>
      <c r="B1546" s="5" t="s">
        <v>2590</v>
      </c>
      <c r="C1546" s="5" t="s">
        <v>20</v>
      </c>
      <c r="N1546" s="8">
        <v>44189.0</v>
      </c>
      <c r="O1546" s="5" t="s">
        <v>24</v>
      </c>
      <c r="P1546" s="5" t="s">
        <v>25</v>
      </c>
      <c r="S1546" s="5" t="s">
        <v>38</v>
      </c>
    </row>
    <row r="1547">
      <c r="A1547" s="5">
        <v>1546.0</v>
      </c>
      <c r="B1547" s="5" t="s">
        <v>2591</v>
      </c>
      <c r="C1547" s="5" t="s">
        <v>20</v>
      </c>
      <c r="N1547" s="8">
        <v>46093.0</v>
      </c>
    </row>
    <row r="1548">
      <c r="A1548" s="5">
        <v>1547.0</v>
      </c>
      <c r="B1548" s="5" t="s">
        <v>2207</v>
      </c>
      <c r="C1548" s="5" t="s">
        <v>20</v>
      </c>
      <c r="D1548" s="5">
        <v>69.0</v>
      </c>
      <c r="H1548" s="5" t="s">
        <v>41</v>
      </c>
      <c r="I1548" s="9">
        <v>46144.65122685185</v>
      </c>
      <c r="J1548" s="5" t="s">
        <v>151</v>
      </c>
      <c r="L1548" s="5">
        <v>100.0</v>
      </c>
      <c r="M1548" s="5">
        <v>1100.0</v>
      </c>
      <c r="N1548" s="8">
        <v>45292.0</v>
      </c>
      <c r="O1548" s="5" t="s">
        <v>71</v>
      </c>
      <c r="P1548" s="5" t="s">
        <v>25</v>
      </c>
      <c r="S1548" s="5" t="s">
        <v>38</v>
      </c>
    </row>
    <row r="1549">
      <c r="A1549" s="5">
        <v>1548.0</v>
      </c>
      <c r="B1549" s="5" t="s">
        <v>2592</v>
      </c>
      <c r="C1549" s="5" t="s">
        <v>20</v>
      </c>
      <c r="N1549" s="8">
        <v>45022.0</v>
      </c>
    </row>
    <row r="1550">
      <c r="A1550" s="5">
        <v>1549.0</v>
      </c>
      <c r="B1550" s="5" t="s">
        <v>2593</v>
      </c>
      <c r="C1550" s="5" t="s">
        <v>20</v>
      </c>
      <c r="N1550" s="8">
        <v>42473.0</v>
      </c>
      <c r="O1550" s="5" t="s">
        <v>184</v>
      </c>
      <c r="P1550" s="5" t="s">
        <v>25</v>
      </c>
      <c r="S1550" s="5" t="s">
        <v>38</v>
      </c>
    </row>
    <row r="1551">
      <c r="A1551" s="5">
        <v>1550.0</v>
      </c>
      <c r="B1551" s="5" t="s">
        <v>2594</v>
      </c>
      <c r="C1551" s="5" t="s">
        <v>20</v>
      </c>
      <c r="N1551" s="8">
        <v>42362.0</v>
      </c>
    </row>
    <row r="1552">
      <c r="A1552" s="5">
        <v>1551.0</v>
      </c>
      <c r="B1552" s="5" t="s">
        <v>2595</v>
      </c>
      <c r="C1552" s="5" t="s">
        <v>20</v>
      </c>
      <c r="K1552" s="5">
        <v>200.0</v>
      </c>
      <c r="N1552" s="8">
        <v>44921.0</v>
      </c>
    </row>
    <row r="1553">
      <c r="A1553" s="5">
        <v>1552.0</v>
      </c>
      <c r="B1553" s="5" t="s">
        <v>2210</v>
      </c>
      <c r="C1553" s="5" t="s">
        <v>20</v>
      </c>
      <c r="D1553" s="5">
        <v>14.0</v>
      </c>
      <c r="H1553" s="5" t="s">
        <v>2171</v>
      </c>
      <c r="I1553" s="9">
        <v>46085.643425925926</v>
      </c>
      <c r="J1553" s="5" t="s">
        <v>346</v>
      </c>
      <c r="L1553" s="5">
        <v>60.0</v>
      </c>
      <c r="M1553" s="5">
        <v>60.0</v>
      </c>
      <c r="N1553" s="8">
        <v>45219.0</v>
      </c>
      <c r="O1553" s="5" t="s">
        <v>24</v>
      </c>
      <c r="P1553" s="5" t="s">
        <v>25</v>
      </c>
      <c r="S1553" s="5" t="s">
        <v>38</v>
      </c>
    </row>
    <row r="1554">
      <c r="A1554" s="5">
        <v>1553.0</v>
      </c>
      <c r="B1554" s="5" t="s">
        <v>2596</v>
      </c>
      <c r="C1554" s="5" t="s">
        <v>20</v>
      </c>
      <c r="K1554" s="5">
        <v>30.0</v>
      </c>
      <c r="N1554" s="8">
        <v>44183.0</v>
      </c>
    </row>
    <row r="1555">
      <c r="A1555" s="5">
        <v>1554.0</v>
      </c>
      <c r="B1555" s="5" t="s">
        <v>2597</v>
      </c>
      <c r="C1555" s="5" t="s">
        <v>20</v>
      </c>
      <c r="N1555" s="8">
        <v>45428.0</v>
      </c>
    </row>
    <row r="1556">
      <c r="A1556" s="5">
        <v>1555.0</v>
      </c>
      <c r="B1556" s="5" t="s">
        <v>2598</v>
      </c>
      <c r="C1556" s="5" t="s">
        <v>20</v>
      </c>
      <c r="N1556" s="8">
        <v>44207.0</v>
      </c>
    </row>
    <row r="1557">
      <c r="A1557" s="5">
        <v>1556.0</v>
      </c>
      <c r="B1557" s="5" t="s">
        <v>2599</v>
      </c>
      <c r="C1557" s="5" t="s">
        <v>20</v>
      </c>
      <c r="K1557" s="5">
        <v>20.0</v>
      </c>
      <c r="N1557" s="8">
        <v>44361.0</v>
      </c>
    </row>
    <row r="1558">
      <c r="A1558" s="5">
        <v>1557.0</v>
      </c>
      <c r="B1558" s="5" t="s">
        <v>2600</v>
      </c>
      <c r="C1558" s="5" t="s">
        <v>20</v>
      </c>
      <c r="N1558" s="8">
        <v>44742.0</v>
      </c>
    </row>
    <row r="1559">
      <c r="A1559" s="5">
        <v>1558.0</v>
      </c>
      <c r="B1559" s="5" t="s">
        <v>2601</v>
      </c>
      <c r="C1559" s="5" t="s">
        <v>20</v>
      </c>
      <c r="K1559" s="5">
        <v>90.0</v>
      </c>
      <c r="N1559" s="8">
        <v>43945.0</v>
      </c>
    </row>
    <row r="1560">
      <c r="A1560" s="5">
        <v>1559.0</v>
      </c>
      <c r="B1560" s="5" t="s">
        <v>2602</v>
      </c>
      <c r="C1560" s="5" t="s">
        <v>20</v>
      </c>
      <c r="K1560" s="5">
        <v>2700.0</v>
      </c>
      <c r="N1560" s="8">
        <v>43962.0</v>
      </c>
    </row>
    <row r="1561">
      <c r="A1561" s="5">
        <v>1560.0</v>
      </c>
      <c r="B1561" s="5" t="s">
        <v>594</v>
      </c>
      <c r="C1561" s="5" t="s">
        <v>20</v>
      </c>
      <c r="N1561" s="8">
        <v>42334.0</v>
      </c>
    </row>
    <row r="1562">
      <c r="A1562" s="5">
        <v>1561.0</v>
      </c>
      <c r="B1562" s="5" t="s">
        <v>2603</v>
      </c>
      <c r="C1562" s="5" t="s">
        <v>20</v>
      </c>
      <c r="N1562" s="8">
        <v>45539.0</v>
      </c>
    </row>
    <row r="1563">
      <c r="A1563" s="5">
        <v>1562.0</v>
      </c>
      <c r="B1563" s="5" t="s">
        <v>2213</v>
      </c>
      <c r="C1563" s="5" t="s">
        <v>20</v>
      </c>
      <c r="D1563" s="5">
        <v>37.0</v>
      </c>
      <c r="H1563" s="5" t="s">
        <v>30</v>
      </c>
      <c r="I1563" s="9">
        <v>46099.918032407404</v>
      </c>
      <c r="J1563" s="5" t="s">
        <v>114</v>
      </c>
      <c r="L1563" s="5">
        <v>28000.0</v>
      </c>
      <c r="M1563" s="5">
        <v>29000.0</v>
      </c>
      <c r="N1563" s="8">
        <v>42607.0</v>
      </c>
      <c r="O1563" s="5" t="s">
        <v>24</v>
      </c>
      <c r="P1563" s="5" t="s">
        <v>25</v>
      </c>
      <c r="S1563" s="5" t="s">
        <v>38</v>
      </c>
    </row>
    <row r="1564">
      <c r="A1564" s="5">
        <v>1563.0</v>
      </c>
      <c r="B1564" s="5" t="s">
        <v>341</v>
      </c>
      <c r="C1564" s="5" t="s">
        <v>20</v>
      </c>
      <c r="N1564" s="8">
        <v>44815.0</v>
      </c>
    </row>
    <row r="1565">
      <c r="A1565" s="5">
        <v>1564.0</v>
      </c>
      <c r="B1565" s="5" t="s">
        <v>2604</v>
      </c>
      <c r="C1565" s="5" t="s">
        <v>20</v>
      </c>
      <c r="K1565" s="5">
        <v>20.0</v>
      </c>
      <c r="N1565" s="8">
        <v>44311.0</v>
      </c>
    </row>
    <row r="1566">
      <c r="A1566" s="5">
        <v>1565.0</v>
      </c>
      <c r="B1566" s="5" t="s">
        <v>2605</v>
      </c>
      <c r="C1566" s="5" t="s">
        <v>20</v>
      </c>
      <c r="K1566" s="5">
        <v>1200.0</v>
      </c>
      <c r="N1566" s="8">
        <v>44480.0</v>
      </c>
    </row>
    <row r="1567">
      <c r="A1567" s="5">
        <v>1566.0</v>
      </c>
      <c r="B1567" s="5" t="s">
        <v>595</v>
      </c>
      <c r="C1567" s="5" t="s">
        <v>20</v>
      </c>
      <c r="D1567" s="5">
        <v>48.0</v>
      </c>
      <c r="H1567" s="5" t="s">
        <v>305</v>
      </c>
      <c r="I1567" s="9">
        <v>46149.05506944445</v>
      </c>
      <c r="J1567" s="5" t="s">
        <v>78</v>
      </c>
      <c r="L1567" s="5">
        <v>30.0</v>
      </c>
      <c r="M1567" s="5">
        <v>60.0</v>
      </c>
      <c r="N1567" s="8">
        <v>44562.0</v>
      </c>
      <c r="O1567" s="5" t="s">
        <v>464</v>
      </c>
      <c r="P1567" s="5" t="s">
        <v>25</v>
      </c>
      <c r="S1567" s="5" t="s">
        <v>75</v>
      </c>
    </row>
    <row r="1568">
      <c r="A1568" s="5">
        <v>1567.0</v>
      </c>
      <c r="B1568" s="5" t="s">
        <v>2606</v>
      </c>
      <c r="C1568" s="5" t="s">
        <v>20</v>
      </c>
      <c r="K1568" s="5">
        <v>450.0</v>
      </c>
      <c r="N1568" s="8">
        <v>44394.0</v>
      </c>
    </row>
    <row r="1569">
      <c r="A1569" s="5">
        <v>1568.0</v>
      </c>
      <c r="B1569" s="5" t="s">
        <v>2607</v>
      </c>
      <c r="C1569" s="5" t="s">
        <v>20</v>
      </c>
      <c r="K1569" s="5">
        <v>60.0</v>
      </c>
      <c r="N1569" s="8">
        <v>44919.0</v>
      </c>
    </row>
    <row r="1570">
      <c r="A1570" s="5">
        <v>1569.0</v>
      </c>
      <c r="B1570" s="5" t="s">
        <v>2608</v>
      </c>
      <c r="C1570" s="5" t="s">
        <v>20</v>
      </c>
      <c r="N1570" s="8">
        <v>44324.0</v>
      </c>
    </row>
    <row r="1571">
      <c r="A1571" s="5">
        <v>1570.0</v>
      </c>
      <c r="B1571" s="5" t="s">
        <v>2609</v>
      </c>
      <c r="C1571" s="5" t="s">
        <v>20</v>
      </c>
      <c r="K1571" s="5">
        <v>150.0</v>
      </c>
      <c r="N1571" s="8">
        <v>44236.0</v>
      </c>
    </row>
    <row r="1572">
      <c r="A1572" s="5">
        <v>1571.0</v>
      </c>
      <c r="B1572" s="5" t="s">
        <v>342</v>
      </c>
      <c r="C1572" s="5" t="s">
        <v>20</v>
      </c>
      <c r="K1572" s="5">
        <v>450.0</v>
      </c>
      <c r="N1572" s="8">
        <v>44596.0</v>
      </c>
    </row>
    <row r="1573">
      <c r="A1573" s="5">
        <v>1572.0</v>
      </c>
      <c r="B1573" s="5" t="s">
        <v>2610</v>
      </c>
      <c r="C1573" s="5" t="s">
        <v>20</v>
      </c>
      <c r="N1573" s="8">
        <v>44115.0</v>
      </c>
    </row>
    <row r="1574">
      <c r="A1574" s="5">
        <v>1573.0</v>
      </c>
      <c r="B1574" s="5" t="s">
        <v>2611</v>
      </c>
      <c r="C1574" s="5" t="s">
        <v>20</v>
      </c>
      <c r="N1574" s="8">
        <v>44564.0</v>
      </c>
    </row>
    <row r="1575">
      <c r="A1575" s="5">
        <v>1574.0</v>
      </c>
      <c r="B1575" s="5" t="s">
        <v>2612</v>
      </c>
      <c r="C1575" s="5" t="s">
        <v>20</v>
      </c>
      <c r="K1575" s="5">
        <v>7900.0</v>
      </c>
      <c r="N1575" s="8">
        <v>44196.0</v>
      </c>
    </row>
    <row r="1576">
      <c r="A1576" s="5">
        <v>1575.0</v>
      </c>
      <c r="B1576" s="5" t="s">
        <v>2613</v>
      </c>
      <c r="C1576" s="5" t="s">
        <v>20</v>
      </c>
      <c r="N1576" s="8">
        <v>44376.0</v>
      </c>
    </row>
    <row r="1577">
      <c r="A1577" s="5">
        <v>1576.0</v>
      </c>
      <c r="B1577" s="5" t="s">
        <v>2614</v>
      </c>
      <c r="C1577" s="5" t="s">
        <v>20</v>
      </c>
      <c r="K1577" s="5">
        <v>20.0</v>
      </c>
      <c r="N1577" s="8">
        <v>44024.0</v>
      </c>
    </row>
    <row r="1578">
      <c r="A1578" s="5">
        <v>1577.0</v>
      </c>
      <c r="B1578" s="5" t="s">
        <v>2615</v>
      </c>
      <c r="C1578" s="5" t="s">
        <v>20</v>
      </c>
      <c r="N1578" s="8">
        <v>44397.0</v>
      </c>
    </row>
    <row r="1579">
      <c r="A1579" s="5">
        <v>1578.0</v>
      </c>
      <c r="B1579" s="5" t="s">
        <v>2616</v>
      </c>
      <c r="C1579" s="5" t="s">
        <v>20</v>
      </c>
      <c r="N1579" s="8">
        <v>44707.0</v>
      </c>
    </row>
    <row r="1580">
      <c r="A1580" s="5">
        <v>1579.0</v>
      </c>
      <c r="B1580" s="5" t="s">
        <v>2617</v>
      </c>
      <c r="C1580" s="5" t="s">
        <v>20</v>
      </c>
      <c r="N1580" s="8">
        <v>42844.0</v>
      </c>
    </row>
    <row r="1581">
      <c r="A1581" s="5">
        <v>1580.0</v>
      </c>
      <c r="B1581" s="5" t="s">
        <v>2618</v>
      </c>
      <c r="C1581" s="5" t="s">
        <v>20</v>
      </c>
      <c r="N1581" s="8">
        <v>44178.0</v>
      </c>
    </row>
    <row r="1582">
      <c r="A1582" s="5">
        <v>1581.0</v>
      </c>
      <c r="B1582" s="5" t="s">
        <v>2619</v>
      </c>
      <c r="C1582" s="5" t="s">
        <v>20</v>
      </c>
      <c r="K1582" s="5">
        <v>50.0</v>
      </c>
      <c r="N1582" s="8">
        <v>45351.0</v>
      </c>
    </row>
    <row r="1583">
      <c r="A1583" s="5">
        <v>1582.0</v>
      </c>
      <c r="B1583" s="5" t="s">
        <v>2620</v>
      </c>
      <c r="C1583" s="5" t="s">
        <v>20</v>
      </c>
      <c r="N1583" s="8">
        <v>42362.0</v>
      </c>
    </row>
    <row r="1584">
      <c r="A1584" s="5">
        <v>1583.0</v>
      </c>
      <c r="B1584" s="5" t="s">
        <v>343</v>
      </c>
      <c r="C1584" s="5" t="s">
        <v>20</v>
      </c>
      <c r="K1584" s="5">
        <v>250.0</v>
      </c>
      <c r="N1584" s="8">
        <v>44805.0</v>
      </c>
    </row>
    <row r="1585">
      <c r="A1585" s="5">
        <v>1584.0</v>
      </c>
      <c r="B1585" s="5" t="s">
        <v>2621</v>
      </c>
      <c r="C1585" s="5" t="s">
        <v>20</v>
      </c>
      <c r="N1585" s="8">
        <v>45948.0</v>
      </c>
    </row>
    <row r="1586">
      <c r="A1586" s="5">
        <v>1585.0</v>
      </c>
      <c r="B1586" s="5" t="s">
        <v>345</v>
      </c>
      <c r="C1586" s="5" t="s">
        <v>20</v>
      </c>
      <c r="K1586" s="5">
        <v>40.0</v>
      </c>
      <c r="N1586" s="8">
        <v>44810.0</v>
      </c>
    </row>
    <row r="1587">
      <c r="A1587" s="5">
        <v>1586.0</v>
      </c>
      <c r="B1587" s="5" t="s">
        <v>2622</v>
      </c>
      <c r="C1587" s="5" t="s">
        <v>20</v>
      </c>
      <c r="N1587" s="8">
        <v>43307.0</v>
      </c>
    </row>
    <row r="1588">
      <c r="A1588" s="5">
        <v>1587.0</v>
      </c>
      <c r="B1588" s="5" t="s">
        <v>2623</v>
      </c>
      <c r="C1588" s="5" t="s">
        <v>20</v>
      </c>
      <c r="N1588" s="8">
        <v>44107.0</v>
      </c>
    </row>
    <row r="1589">
      <c r="A1589" s="5">
        <v>1588.0</v>
      </c>
      <c r="B1589" s="5" t="s">
        <v>347</v>
      </c>
      <c r="C1589" s="5" t="s">
        <v>20</v>
      </c>
      <c r="N1589" s="8">
        <v>44671.0</v>
      </c>
    </row>
    <row r="1590">
      <c r="A1590" s="5">
        <v>1589.0</v>
      </c>
      <c r="B1590" s="5" t="s">
        <v>2624</v>
      </c>
      <c r="C1590" s="5" t="s">
        <v>20</v>
      </c>
      <c r="K1590" s="5">
        <v>30.0</v>
      </c>
      <c r="N1590" s="8">
        <v>44114.0</v>
      </c>
    </row>
    <row r="1591">
      <c r="A1591" s="5">
        <v>1590.0</v>
      </c>
      <c r="B1591" s="5" t="s">
        <v>2625</v>
      </c>
      <c r="C1591" s="5" t="s">
        <v>20</v>
      </c>
      <c r="K1591" s="5">
        <v>60.0</v>
      </c>
      <c r="N1591" s="8">
        <v>45075.0</v>
      </c>
    </row>
    <row r="1592">
      <c r="A1592" s="5">
        <v>1591.0</v>
      </c>
      <c r="B1592" s="5" t="s">
        <v>2626</v>
      </c>
      <c r="C1592" s="5" t="s">
        <v>20</v>
      </c>
      <c r="K1592" s="5">
        <v>150.0</v>
      </c>
      <c r="N1592" s="8">
        <v>44185.0</v>
      </c>
    </row>
    <row r="1593">
      <c r="A1593" s="5">
        <v>1592.0</v>
      </c>
      <c r="B1593" s="5" t="s">
        <v>2627</v>
      </c>
      <c r="C1593" s="5" t="s">
        <v>20</v>
      </c>
      <c r="K1593" s="5">
        <v>200.0</v>
      </c>
      <c r="N1593" s="8">
        <v>42614.0</v>
      </c>
    </row>
    <row r="1594">
      <c r="A1594" s="5">
        <v>1593.0</v>
      </c>
      <c r="B1594" s="5" t="s">
        <v>2628</v>
      </c>
      <c r="C1594" s="5" t="s">
        <v>20</v>
      </c>
      <c r="N1594" s="8">
        <v>43319.0</v>
      </c>
    </row>
    <row r="1595">
      <c r="A1595" s="5">
        <v>1594.0</v>
      </c>
      <c r="B1595" s="5" t="s">
        <v>2629</v>
      </c>
      <c r="C1595" s="5" t="s">
        <v>20</v>
      </c>
      <c r="N1595" s="8">
        <v>45487.0</v>
      </c>
    </row>
    <row r="1596">
      <c r="A1596" s="5">
        <v>1595.0</v>
      </c>
      <c r="B1596" s="5" t="s">
        <v>2630</v>
      </c>
      <c r="C1596" s="5" t="s">
        <v>20</v>
      </c>
      <c r="N1596" s="8">
        <v>44652.0</v>
      </c>
    </row>
    <row r="1597">
      <c r="A1597" s="5">
        <v>1596.0</v>
      </c>
      <c r="B1597" s="5" t="s">
        <v>2631</v>
      </c>
      <c r="C1597" s="5" t="s">
        <v>20</v>
      </c>
      <c r="N1597" s="8">
        <v>42605.0</v>
      </c>
    </row>
    <row r="1598">
      <c r="A1598" s="5">
        <v>1597.0</v>
      </c>
      <c r="B1598" s="5" t="s">
        <v>2632</v>
      </c>
      <c r="C1598" s="5" t="s">
        <v>20</v>
      </c>
      <c r="K1598" s="5">
        <v>300.0</v>
      </c>
      <c r="N1598" s="8">
        <v>44297.0</v>
      </c>
    </row>
    <row r="1599">
      <c r="A1599" s="5">
        <v>1598.0</v>
      </c>
      <c r="B1599" s="5" t="s">
        <v>2633</v>
      </c>
      <c r="C1599" s="5" t="s">
        <v>20</v>
      </c>
      <c r="N1599" s="8">
        <v>44545.0</v>
      </c>
    </row>
    <row r="1600">
      <c r="A1600" s="5">
        <v>1599.0</v>
      </c>
      <c r="B1600" s="5" t="s">
        <v>2634</v>
      </c>
      <c r="C1600" s="5" t="s">
        <v>20</v>
      </c>
      <c r="K1600" s="5">
        <v>10.0</v>
      </c>
      <c r="N1600" s="8">
        <v>44019.0</v>
      </c>
    </row>
    <row r="1601">
      <c r="A1601" s="5">
        <v>1600.0</v>
      </c>
      <c r="B1601" s="5" t="s">
        <v>2635</v>
      </c>
      <c r="C1601" s="5" t="s">
        <v>20</v>
      </c>
      <c r="K1601" s="5">
        <v>10.0</v>
      </c>
      <c r="N1601" s="8">
        <v>45579.0</v>
      </c>
    </row>
    <row r="1602">
      <c r="A1602" s="5">
        <v>1601.0</v>
      </c>
      <c r="B1602" s="5" t="s">
        <v>2636</v>
      </c>
      <c r="C1602" s="5" t="s">
        <v>20</v>
      </c>
      <c r="N1602" s="8">
        <v>44056.0</v>
      </c>
    </row>
    <row r="1603">
      <c r="A1603" s="5">
        <v>1602.0</v>
      </c>
      <c r="B1603" s="5" t="s">
        <v>2637</v>
      </c>
      <c r="C1603" s="5" t="s">
        <v>20</v>
      </c>
      <c r="K1603" s="5">
        <v>100.0</v>
      </c>
      <c r="N1603" s="8">
        <v>45265.0</v>
      </c>
    </row>
    <row r="1604">
      <c r="A1604" s="5">
        <v>1603.0</v>
      </c>
      <c r="B1604" s="5" t="s">
        <v>2638</v>
      </c>
      <c r="C1604" s="5" t="s">
        <v>20</v>
      </c>
      <c r="K1604" s="5">
        <v>40.0</v>
      </c>
      <c r="N1604" s="8">
        <v>44328.0</v>
      </c>
    </row>
    <row r="1605">
      <c r="A1605" s="5">
        <v>1604.0</v>
      </c>
      <c r="B1605" s="5" t="s">
        <v>2639</v>
      </c>
      <c r="C1605" s="5" t="s">
        <v>20</v>
      </c>
      <c r="K1605" s="5">
        <v>100.0</v>
      </c>
      <c r="N1605" s="8">
        <v>44299.0</v>
      </c>
    </row>
    <row r="1606">
      <c r="A1606" s="5">
        <v>1605.0</v>
      </c>
      <c r="B1606" s="5" t="s">
        <v>2640</v>
      </c>
      <c r="C1606" s="5" t="s">
        <v>20</v>
      </c>
      <c r="N1606" s="8">
        <v>43603.0</v>
      </c>
    </row>
    <row r="1607">
      <c r="A1607" s="5">
        <v>1606.0</v>
      </c>
      <c r="B1607" s="5" t="s">
        <v>2641</v>
      </c>
      <c r="C1607" s="5" t="s">
        <v>20</v>
      </c>
      <c r="N1607" s="8">
        <v>45649.0</v>
      </c>
    </row>
    <row r="1608">
      <c r="A1608" s="5">
        <v>1607.0</v>
      </c>
      <c r="B1608" s="5" t="s">
        <v>2642</v>
      </c>
      <c r="C1608" s="5" t="s">
        <v>20</v>
      </c>
      <c r="K1608" s="5">
        <v>15000.0</v>
      </c>
      <c r="N1608" s="8">
        <v>44174.0</v>
      </c>
    </row>
    <row r="1609">
      <c r="A1609" s="5">
        <v>1608.0</v>
      </c>
      <c r="B1609" s="5" t="s">
        <v>2643</v>
      </c>
      <c r="C1609" s="5" t="s">
        <v>20</v>
      </c>
      <c r="N1609" s="8">
        <v>44998.0</v>
      </c>
    </row>
    <row r="1610">
      <c r="A1610" s="5">
        <v>1609.0</v>
      </c>
      <c r="B1610" s="5" t="s">
        <v>2644</v>
      </c>
      <c r="C1610" s="5" t="s">
        <v>20</v>
      </c>
      <c r="K1610" s="5">
        <v>100.0</v>
      </c>
      <c r="N1610" s="8">
        <v>44806.0</v>
      </c>
    </row>
    <row r="1611">
      <c r="A1611" s="5">
        <v>1610.0</v>
      </c>
      <c r="B1611" s="5" t="s">
        <v>2645</v>
      </c>
      <c r="C1611" s="5" t="s">
        <v>20</v>
      </c>
      <c r="K1611" s="5">
        <v>70.0</v>
      </c>
      <c r="N1611" s="8">
        <v>44553.0</v>
      </c>
    </row>
    <row r="1612">
      <c r="A1612" s="5">
        <v>1611.0</v>
      </c>
      <c r="B1612" s="5" t="s">
        <v>2646</v>
      </c>
      <c r="C1612" s="5" t="s">
        <v>20</v>
      </c>
      <c r="K1612" s="5">
        <v>250.0</v>
      </c>
      <c r="N1612" s="8">
        <v>45026.0</v>
      </c>
    </row>
    <row r="1613">
      <c r="A1613" s="5">
        <v>1612.0</v>
      </c>
      <c r="B1613" s="5" t="s">
        <v>2647</v>
      </c>
      <c r="C1613" s="5" t="s">
        <v>20</v>
      </c>
      <c r="K1613" s="5">
        <v>10.0</v>
      </c>
      <c r="N1613" s="8">
        <v>44060.0</v>
      </c>
    </row>
    <row r="1614">
      <c r="A1614" s="5">
        <v>1613.0</v>
      </c>
      <c r="B1614" s="5" t="s">
        <v>349</v>
      </c>
      <c r="C1614" s="5" t="s">
        <v>20</v>
      </c>
      <c r="K1614" s="5">
        <v>30.0</v>
      </c>
      <c r="N1614" s="8">
        <v>44369.0</v>
      </c>
    </row>
    <row r="1615">
      <c r="A1615" s="5">
        <v>1614.0</v>
      </c>
      <c r="B1615" s="5" t="s">
        <v>2648</v>
      </c>
      <c r="C1615" s="5" t="s">
        <v>20</v>
      </c>
      <c r="N1615" s="8">
        <v>45518.0</v>
      </c>
    </row>
    <row r="1616">
      <c r="A1616" s="5">
        <v>1615.0</v>
      </c>
      <c r="B1616" s="5" t="s">
        <v>2649</v>
      </c>
      <c r="C1616" s="5" t="s">
        <v>20</v>
      </c>
      <c r="N1616" s="8">
        <v>42499.0</v>
      </c>
    </row>
    <row r="1617">
      <c r="A1617" s="5">
        <v>1616.0</v>
      </c>
      <c r="B1617" s="5" t="s">
        <v>2650</v>
      </c>
      <c r="C1617" s="5" t="s">
        <v>20</v>
      </c>
      <c r="N1617" s="8">
        <v>42327.0</v>
      </c>
    </row>
    <row r="1618">
      <c r="A1618" s="5">
        <v>1617.0</v>
      </c>
      <c r="B1618" s="5" t="s">
        <v>350</v>
      </c>
      <c r="C1618" s="5" t="s">
        <v>20</v>
      </c>
      <c r="K1618" s="5">
        <v>300.0</v>
      </c>
      <c r="N1618" s="8">
        <v>44619.0</v>
      </c>
    </row>
    <row r="1619">
      <c r="A1619" s="5">
        <v>1618.0</v>
      </c>
      <c r="B1619" s="5" t="s">
        <v>2651</v>
      </c>
      <c r="C1619" s="5" t="s">
        <v>20</v>
      </c>
      <c r="K1619" s="5">
        <v>20.0</v>
      </c>
      <c r="N1619" s="8">
        <v>44587.0</v>
      </c>
    </row>
    <row r="1620">
      <c r="A1620" s="5">
        <v>1619.0</v>
      </c>
      <c r="B1620" s="5" t="s">
        <v>351</v>
      </c>
      <c r="C1620" s="5" t="s">
        <v>20</v>
      </c>
      <c r="K1620" s="5">
        <v>250.0</v>
      </c>
      <c r="N1620" s="8">
        <v>45214.0</v>
      </c>
    </row>
    <row r="1621">
      <c r="A1621" s="5">
        <v>1620.0</v>
      </c>
      <c r="B1621" s="5" t="s">
        <v>2652</v>
      </c>
      <c r="C1621" s="5" t="s">
        <v>20</v>
      </c>
      <c r="K1621" s="5">
        <v>150.0</v>
      </c>
      <c r="N1621" s="8">
        <v>44353.0</v>
      </c>
    </row>
    <row r="1622">
      <c r="A1622" s="5">
        <v>1621.0</v>
      </c>
      <c r="B1622" s="5" t="s">
        <v>2653</v>
      </c>
      <c r="C1622" s="5" t="s">
        <v>20</v>
      </c>
      <c r="K1622" s="5">
        <v>10.0</v>
      </c>
      <c r="N1622" s="8">
        <v>43912.0</v>
      </c>
    </row>
    <row r="1623">
      <c r="A1623" s="5">
        <v>1622.0</v>
      </c>
      <c r="B1623" s="5" t="s">
        <v>2654</v>
      </c>
      <c r="C1623" s="5" t="s">
        <v>20</v>
      </c>
      <c r="N1623" s="8">
        <v>45891.0</v>
      </c>
    </row>
    <row r="1624">
      <c r="A1624" s="5">
        <v>1623.0</v>
      </c>
      <c r="B1624" s="5" t="s">
        <v>2655</v>
      </c>
      <c r="C1624" s="5" t="s">
        <v>20</v>
      </c>
      <c r="N1624" s="8">
        <v>45134.0</v>
      </c>
    </row>
    <row r="1625">
      <c r="A1625" s="5">
        <v>1624.0</v>
      </c>
      <c r="B1625" s="5" t="s">
        <v>2656</v>
      </c>
      <c r="C1625" s="5" t="s">
        <v>20</v>
      </c>
      <c r="K1625" s="5">
        <v>1600.0</v>
      </c>
      <c r="N1625" s="8">
        <v>44445.0</v>
      </c>
    </row>
    <row r="1626">
      <c r="A1626" s="5">
        <v>1625.0</v>
      </c>
      <c r="B1626" s="5" t="s">
        <v>352</v>
      </c>
      <c r="C1626" s="5" t="s">
        <v>20</v>
      </c>
      <c r="K1626" s="5">
        <v>500.0</v>
      </c>
      <c r="N1626" s="8">
        <v>44988.0</v>
      </c>
    </row>
    <row r="1627">
      <c r="A1627" s="5">
        <v>1626.0</v>
      </c>
      <c r="B1627" s="5" t="s">
        <v>354</v>
      </c>
      <c r="C1627" s="5" t="s">
        <v>20</v>
      </c>
      <c r="K1627" s="5">
        <v>10.0</v>
      </c>
      <c r="N1627" s="8">
        <v>45320.0</v>
      </c>
    </row>
    <row r="1628">
      <c r="A1628" s="5">
        <v>1627.0</v>
      </c>
      <c r="B1628" s="5" t="s">
        <v>2657</v>
      </c>
      <c r="C1628" s="5" t="s">
        <v>20</v>
      </c>
      <c r="K1628" s="5">
        <v>100.0</v>
      </c>
      <c r="N1628" s="8">
        <v>44837.0</v>
      </c>
    </row>
    <row r="1629">
      <c r="A1629" s="5">
        <v>1628.0</v>
      </c>
      <c r="B1629" s="5" t="s">
        <v>2658</v>
      </c>
      <c r="C1629" s="5" t="s">
        <v>20</v>
      </c>
      <c r="N1629" s="8">
        <v>44976.0</v>
      </c>
    </row>
    <row r="1630">
      <c r="A1630" s="5">
        <v>1629.0</v>
      </c>
      <c r="B1630" s="5" t="s">
        <v>2659</v>
      </c>
      <c r="C1630" s="5" t="s">
        <v>20</v>
      </c>
      <c r="N1630" s="8">
        <v>45298.0</v>
      </c>
    </row>
    <row r="1631">
      <c r="A1631" s="5">
        <v>1630.0</v>
      </c>
      <c r="B1631" s="5" t="s">
        <v>2660</v>
      </c>
      <c r="C1631" s="5" t="s">
        <v>20</v>
      </c>
      <c r="K1631" s="5">
        <v>250.0</v>
      </c>
      <c r="N1631" s="8">
        <v>43867.0</v>
      </c>
    </row>
    <row r="1632">
      <c r="A1632" s="5">
        <v>1631.0</v>
      </c>
      <c r="B1632" s="5" t="s">
        <v>2661</v>
      </c>
      <c r="C1632" s="5" t="s">
        <v>20</v>
      </c>
      <c r="K1632" s="5">
        <v>300.0</v>
      </c>
      <c r="N1632" s="8">
        <v>44703.0</v>
      </c>
    </row>
    <row r="1633">
      <c r="A1633" s="5">
        <v>1632.0</v>
      </c>
      <c r="B1633" s="5" t="s">
        <v>2662</v>
      </c>
      <c r="C1633" s="5" t="s">
        <v>20</v>
      </c>
      <c r="K1633" s="5">
        <v>20.0</v>
      </c>
      <c r="N1633" s="8">
        <v>44306.0</v>
      </c>
    </row>
    <row r="1634">
      <c r="A1634" s="5">
        <v>1633.0</v>
      </c>
      <c r="B1634" s="5" t="s">
        <v>598</v>
      </c>
      <c r="C1634" s="5" t="s">
        <v>20</v>
      </c>
      <c r="N1634" s="8">
        <v>42708.0</v>
      </c>
    </row>
    <row r="1635">
      <c r="A1635" s="5">
        <v>1634.0</v>
      </c>
      <c r="B1635" s="5" t="s">
        <v>2663</v>
      </c>
      <c r="C1635" s="5" t="s">
        <v>20</v>
      </c>
      <c r="K1635" s="5">
        <v>70.0</v>
      </c>
      <c r="N1635" s="8">
        <v>44604.0</v>
      </c>
    </row>
    <row r="1636">
      <c r="A1636" s="5">
        <v>1635.0</v>
      </c>
      <c r="B1636" s="5" t="s">
        <v>2664</v>
      </c>
      <c r="C1636" s="5" t="s">
        <v>20</v>
      </c>
      <c r="K1636" s="5">
        <v>300.0</v>
      </c>
      <c r="N1636" s="8">
        <v>42860.0</v>
      </c>
    </row>
    <row r="1637">
      <c r="A1637" s="5">
        <v>1636.0</v>
      </c>
      <c r="B1637" s="5" t="s">
        <v>356</v>
      </c>
      <c r="C1637" s="5" t="s">
        <v>20</v>
      </c>
      <c r="K1637" s="5">
        <v>300.0</v>
      </c>
      <c r="N1637" s="8">
        <v>44810.0</v>
      </c>
    </row>
    <row r="1638">
      <c r="A1638" s="5">
        <v>1637.0</v>
      </c>
      <c r="B1638" s="5" t="s">
        <v>599</v>
      </c>
      <c r="C1638" s="5" t="s">
        <v>20</v>
      </c>
      <c r="D1638" s="5">
        <v>46.0</v>
      </c>
      <c r="H1638" s="5" t="s">
        <v>47</v>
      </c>
      <c r="I1638" s="9">
        <v>46083.3575462963</v>
      </c>
      <c r="J1638" s="5" t="s">
        <v>600</v>
      </c>
      <c r="L1638" s="5">
        <v>17000.0</v>
      </c>
      <c r="M1638" s="5">
        <v>17000.0</v>
      </c>
      <c r="N1638" s="8">
        <v>42406.0</v>
      </c>
      <c r="O1638" s="5" t="s">
        <v>24</v>
      </c>
      <c r="P1638" s="5" t="s">
        <v>25</v>
      </c>
      <c r="S1638" s="5" t="s">
        <v>118</v>
      </c>
    </row>
    <row r="1639">
      <c r="A1639" s="5">
        <v>1638.0</v>
      </c>
      <c r="B1639" s="5" t="s">
        <v>2665</v>
      </c>
      <c r="C1639" s="5" t="s">
        <v>20</v>
      </c>
      <c r="K1639" s="5">
        <v>2000.0</v>
      </c>
      <c r="N1639" s="8">
        <v>45129.0</v>
      </c>
    </row>
    <row r="1640">
      <c r="A1640" s="5">
        <v>1639.0</v>
      </c>
      <c r="B1640" s="5" t="s">
        <v>2666</v>
      </c>
      <c r="C1640" s="5" t="s">
        <v>20</v>
      </c>
      <c r="K1640" s="5">
        <v>300.0</v>
      </c>
      <c r="N1640" s="8">
        <v>44663.0</v>
      </c>
    </row>
    <row r="1641">
      <c r="A1641" s="5">
        <v>1640.0</v>
      </c>
      <c r="B1641" s="5" t="s">
        <v>2667</v>
      </c>
      <c r="C1641" s="5" t="s">
        <v>20</v>
      </c>
      <c r="K1641" s="5">
        <v>800.0</v>
      </c>
      <c r="N1641" s="8">
        <v>44073.0</v>
      </c>
    </row>
    <row r="1642">
      <c r="A1642" s="5">
        <v>1641.0</v>
      </c>
      <c r="B1642" s="5" t="s">
        <v>2668</v>
      </c>
      <c r="C1642" s="5" t="s">
        <v>20</v>
      </c>
      <c r="N1642" s="8">
        <v>45395.0</v>
      </c>
    </row>
    <row r="1643">
      <c r="A1643" s="5">
        <v>1642.0</v>
      </c>
      <c r="B1643" s="5" t="s">
        <v>2669</v>
      </c>
      <c r="C1643" s="5" t="s">
        <v>20</v>
      </c>
      <c r="N1643" s="8">
        <v>45518.0</v>
      </c>
    </row>
    <row r="1644">
      <c r="A1644" s="5">
        <v>1643.0</v>
      </c>
      <c r="B1644" s="5" t="s">
        <v>2670</v>
      </c>
      <c r="C1644" s="5" t="s">
        <v>20</v>
      </c>
      <c r="K1644" s="5">
        <v>600.0</v>
      </c>
      <c r="N1644" s="8">
        <v>44466.0</v>
      </c>
    </row>
    <row r="1645">
      <c r="A1645" s="5">
        <v>1644.0</v>
      </c>
      <c r="B1645" s="5" t="s">
        <v>2671</v>
      </c>
      <c r="C1645" s="5" t="s">
        <v>20</v>
      </c>
      <c r="K1645" s="5">
        <v>20.0</v>
      </c>
      <c r="N1645" s="8">
        <v>44795.0</v>
      </c>
    </row>
    <row r="1646">
      <c r="A1646" s="5">
        <v>1645.0</v>
      </c>
      <c r="B1646" s="5" t="s">
        <v>2672</v>
      </c>
      <c r="C1646" s="5" t="s">
        <v>20</v>
      </c>
      <c r="K1646" s="5">
        <v>80.0</v>
      </c>
      <c r="N1646" s="8">
        <v>44458.0</v>
      </c>
    </row>
    <row r="1647">
      <c r="A1647" s="5">
        <v>1646.0</v>
      </c>
      <c r="B1647" s="5" t="s">
        <v>2673</v>
      </c>
      <c r="C1647" s="5" t="s">
        <v>20</v>
      </c>
      <c r="K1647" s="5">
        <v>10.0</v>
      </c>
      <c r="N1647" s="8">
        <v>44605.0</v>
      </c>
    </row>
    <row r="1648">
      <c r="A1648" s="5">
        <v>1647.0</v>
      </c>
      <c r="B1648" s="5" t="s">
        <v>357</v>
      </c>
      <c r="C1648" s="5" t="s">
        <v>20</v>
      </c>
      <c r="K1648" s="5">
        <v>20.0</v>
      </c>
      <c r="N1648" s="8">
        <v>45479.0</v>
      </c>
    </row>
    <row r="1649">
      <c r="A1649" s="5">
        <v>1648.0</v>
      </c>
      <c r="B1649" s="5" t="s">
        <v>2674</v>
      </c>
      <c r="C1649" s="5" t="s">
        <v>20</v>
      </c>
      <c r="K1649" s="5">
        <v>450.0</v>
      </c>
      <c r="N1649" s="8">
        <v>45305.0</v>
      </c>
    </row>
    <row r="1650">
      <c r="A1650" s="5">
        <v>1649.0</v>
      </c>
      <c r="B1650" s="5" t="s">
        <v>2675</v>
      </c>
      <c r="C1650" s="5" t="s">
        <v>20</v>
      </c>
      <c r="K1650" s="5">
        <v>10.0</v>
      </c>
      <c r="N1650" s="8">
        <v>43890.0</v>
      </c>
    </row>
    <row r="1651">
      <c r="A1651" s="5">
        <v>1650.0</v>
      </c>
      <c r="B1651" s="5" t="s">
        <v>2676</v>
      </c>
      <c r="C1651" s="5" t="s">
        <v>20</v>
      </c>
      <c r="N1651" s="8">
        <v>43840.0</v>
      </c>
    </row>
    <row r="1652">
      <c r="A1652" s="5">
        <v>1651.0</v>
      </c>
      <c r="B1652" s="5" t="s">
        <v>2677</v>
      </c>
      <c r="C1652" s="5" t="s">
        <v>20</v>
      </c>
      <c r="K1652" s="5">
        <v>60.0</v>
      </c>
      <c r="N1652" s="8">
        <v>44874.0</v>
      </c>
    </row>
    <row r="1653">
      <c r="A1653" s="5">
        <v>1652.0</v>
      </c>
      <c r="B1653" s="5" t="s">
        <v>2678</v>
      </c>
      <c r="C1653" s="5" t="s">
        <v>20</v>
      </c>
      <c r="K1653" s="5">
        <v>40.0</v>
      </c>
      <c r="N1653" s="8">
        <v>44892.0</v>
      </c>
    </row>
    <row r="1654">
      <c r="A1654" s="5">
        <v>1653.0</v>
      </c>
      <c r="B1654" s="5" t="s">
        <v>2679</v>
      </c>
      <c r="C1654" s="5" t="s">
        <v>20</v>
      </c>
      <c r="K1654" s="5">
        <v>250.0</v>
      </c>
      <c r="N1654" s="8">
        <v>45325.0</v>
      </c>
    </row>
    <row r="1655">
      <c r="A1655" s="5">
        <v>1654.0</v>
      </c>
      <c r="B1655" s="5" t="s">
        <v>2680</v>
      </c>
      <c r="C1655" s="5" t="s">
        <v>20</v>
      </c>
      <c r="K1655" s="5">
        <v>800.0</v>
      </c>
      <c r="N1655" s="8">
        <v>45630.0</v>
      </c>
    </row>
    <row r="1656">
      <c r="A1656" s="5">
        <v>1655.0</v>
      </c>
      <c r="B1656" s="5" t="s">
        <v>2681</v>
      </c>
      <c r="C1656" s="5" t="s">
        <v>20</v>
      </c>
      <c r="K1656" s="5">
        <v>7900.0</v>
      </c>
      <c r="N1656" s="8">
        <v>43260.0</v>
      </c>
    </row>
    <row r="1657">
      <c r="A1657" s="5">
        <v>1656.0</v>
      </c>
      <c r="B1657" s="5" t="s">
        <v>361</v>
      </c>
      <c r="C1657" s="5" t="s">
        <v>20</v>
      </c>
      <c r="K1657" s="5">
        <v>1000.0</v>
      </c>
      <c r="N1657" s="8">
        <v>44099.0</v>
      </c>
    </row>
    <row r="1658">
      <c r="A1658" s="5">
        <v>1657.0</v>
      </c>
      <c r="B1658" s="5" t="s">
        <v>2682</v>
      </c>
      <c r="C1658" s="5" t="s">
        <v>20</v>
      </c>
      <c r="N1658" s="8">
        <v>45125.0</v>
      </c>
    </row>
    <row r="1659">
      <c r="A1659" s="5">
        <v>1658.0</v>
      </c>
      <c r="B1659" s="5" t="s">
        <v>2683</v>
      </c>
      <c r="C1659" s="5" t="s">
        <v>20</v>
      </c>
      <c r="K1659" s="5">
        <v>300.0</v>
      </c>
      <c r="N1659" s="8">
        <v>44426.0</v>
      </c>
    </row>
    <row r="1660">
      <c r="A1660" s="5">
        <v>1659.0</v>
      </c>
      <c r="B1660" s="5" t="s">
        <v>2684</v>
      </c>
      <c r="C1660" s="5" t="s">
        <v>20</v>
      </c>
      <c r="N1660" s="8">
        <v>45386.0</v>
      </c>
    </row>
    <row r="1661">
      <c r="A1661" s="5">
        <v>1660.0</v>
      </c>
      <c r="B1661" s="5" t="s">
        <v>2685</v>
      </c>
      <c r="C1661" s="5" t="s">
        <v>20</v>
      </c>
      <c r="N1661" s="8">
        <v>43074.0</v>
      </c>
    </row>
    <row r="1662">
      <c r="A1662" s="5">
        <v>1661.0</v>
      </c>
      <c r="B1662" s="5" t="s">
        <v>2686</v>
      </c>
      <c r="C1662" s="5" t="s">
        <v>20</v>
      </c>
      <c r="K1662" s="5">
        <v>2500.0</v>
      </c>
      <c r="N1662" s="8">
        <v>44557.0</v>
      </c>
    </row>
    <row r="1663">
      <c r="A1663" s="5">
        <v>1662.0</v>
      </c>
      <c r="B1663" s="5" t="s">
        <v>2687</v>
      </c>
      <c r="C1663" s="5" t="s">
        <v>20</v>
      </c>
      <c r="K1663" s="5">
        <v>100.0</v>
      </c>
      <c r="N1663" s="8">
        <v>45072.0</v>
      </c>
    </row>
    <row r="1664">
      <c r="A1664" s="5">
        <v>1663.0</v>
      </c>
      <c r="B1664" s="5" t="s">
        <v>363</v>
      </c>
      <c r="C1664" s="5" t="s">
        <v>20</v>
      </c>
      <c r="K1664" s="5">
        <v>10.0</v>
      </c>
      <c r="N1664" s="8">
        <v>45089.0</v>
      </c>
    </row>
    <row r="1665">
      <c r="A1665" s="5">
        <v>1664.0</v>
      </c>
      <c r="B1665" s="5" t="s">
        <v>2688</v>
      </c>
      <c r="C1665" s="5" t="s">
        <v>20</v>
      </c>
      <c r="N1665" s="8">
        <v>44588.0</v>
      </c>
    </row>
    <row r="1666">
      <c r="A1666" s="5">
        <v>1665.0</v>
      </c>
      <c r="B1666" s="5" t="s">
        <v>2689</v>
      </c>
      <c r="C1666" s="5" t="s">
        <v>20</v>
      </c>
      <c r="K1666" s="5">
        <v>80.0</v>
      </c>
      <c r="N1666" s="8">
        <v>44814.0</v>
      </c>
    </row>
    <row r="1667">
      <c r="A1667" s="5">
        <v>1666.0</v>
      </c>
      <c r="B1667" s="5" t="s">
        <v>2690</v>
      </c>
      <c r="C1667" s="5" t="s">
        <v>20</v>
      </c>
      <c r="K1667" s="5">
        <v>150.0</v>
      </c>
      <c r="N1667" s="8">
        <v>42714.0</v>
      </c>
    </row>
    <row r="1668">
      <c r="A1668" s="5">
        <v>1667.0</v>
      </c>
      <c r="B1668" s="5" t="s">
        <v>2691</v>
      </c>
      <c r="C1668" s="5" t="s">
        <v>20</v>
      </c>
      <c r="K1668" s="5">
        <v>600.0</v>
      </c>
      <c r="N1668" s="8">
        <v>44329.0</v>
      </c>
    </row>
    <row r="1669">
      <c r="A1669" s="5">
        <v>1668.0</v>
      </c>
      <c r="B1669" s="5" t="s">
        <v>2692</v>
      </c>
      <c r="C1669" s="5" t="s">
        <v>20</v>
      </c>
      <c r="K1669" s="5">
        <v>10.0</v>
      </c>
      <c r="N1669" s="8">
        <v>44337.0</v>
      </c>
    </row>
    <row r="1670">
      <c r="A1670" s="5">
        <v>1669.0</v>
      </c>
      <c r="B1670" s="5" t="s">
        <v>2693</v>
      </c>
      <c r="C1670" s="5" t="s">
        <v>20</v>
      </c>
      <c r="K1670" s="5">
        <v>350.0</v>
      </c>
      <c r="N1670" s="8">
        <v>45362.0</v>
      </c>
    </row>
    <row r="1671">
      <c r="A1671" s="5">
        <v>1670.0</v>
      </c>
      <c r="B1671" s="5" t="s">
        <v>2694</v>
      </c>
      <c r="C1671" s="5" t="s">
        <v>20</v>
      </c>
      <c r="N1671" s="8">
        <v>43213.0</v>
      </c>
    </row>
    <row r="1672">
      <c r="A1672" s="5">
        <v>1671.0</v>
      </c>
      <c r="B1672" s="5" t="s">
        <v>364</v>
      </c>
      <c r="C1672" s="5" t="s">
        <v>20</v>
      </c>
      <c r="K1672" s="5">
        <v>250.0</v>
      </c>
      <c r="N1672" s="8">
        <v>44254.0</v>
      </c>
    </row>
    <row r="1673">
      <c r="A1673" s="5">
        <v>1672.0</v>
      </c>
      <c r="B1673" s="5" t="s">
        <v>2695</v>
      </c>
      <c r="C1673" s="5" t="s">
        <v>20</v>
      </c>
      <c r="K1673" s="5">
        <v>20.0</v>
      </c>
      <c r="N1673" s="8">
        <v>44632.0</v>
      </c>
    </row>
    <row r="1674">
      <c r="A1674" s="5">
        <v>1673.0</v>
      </c>
      <c r="B1674" s="5" t="s">
        <v>2696</v>
      </c>
      <c r="C1674" s="5" t="s">
        <v>20</v>
      </c>
      <c r="N1674" s="8">
        <v>44702.0</v>
      </c>
    </row>
    <row r="1675">
      <c r="A1675" s="5">
        <v>1674.0</v>
      </c>
      <c r="B1675" s="5" t="s">
        <v>2697</v>
      </c>
      <c r="C1675" s="5" t="s">
        <v>20</v>
      </c>
      <c r="K1675" s="5">
        <v>700.0</v>
      </c>
      <c r="N1675" s="8">
        <v>44179.0</v>
      </c>
    </row>
    <row r="1676">
      <c r="A1676" s="5">
        <v>1675.0</v>
      </c>
      <c r="B1676" s="5" t="s">
        <v>2698</v>
      </c>
      <c r="C1676" s="5" t="s">
        <v>20</v>
      </c>
      <c r="K1676" s="5">
        <v>50.0</v>
      </c>
      <c r="N1676" s="8">
        <v>44582.0</v>
      </c>
    </row>
    <row r="1677">
      <c r="A1677" s="5">
        <v>1676.0</v>
      </c>
      <c r="B1677" s="5" t="s">
        <v>2699</v>
      </c>
      <c r="C1677" s="5" t="s">
        <v>20</v>
      </c>
      <c r="N1677" s="8">
        <v>44593.0</v>
      </c>
    </row>
    <row r="1678">
      <c r="A1678" s="5">
        <v>1677.0</v>
      </c>
      <c r="B1678" s="5" t="s">
        <v>2700</v>
      </c>
      <c r="C1678" s="5" t="s">
        <v>20</v>
      </c>
      <c r="K1678" s="5">
        <v>800.0</v>
      </c>
      <c r="N1678" s="8">
        <v>44406.0</v>
      </c>
    </row>
    <row r="1679">
      <c r="A1679" s="5">
        <v>1678.0</v>
      </c>
      <c r="B1679" s="5" t="s">
        <v>366</v>
      </c>
      <c r="C1679" s="5" t="s">
        <v>20</v>
      </c>
      <c r="N1679" s="8">
        <v>44983.0</v>
      </c>
    </row>
    <row r="1680">
      <c r="A1680" s="5">
        <v>1679.0</v>
      </c>
      <c r="B1680" s="5" t="s">
        <v>2701</v>
      </c>
      <c r="C1680" s="5" t="s">
        <v>20</v>
      </c>
      <c r="K1680" s="5">
        <v>100.0</v>
      </c>
      <c r="N1680" s="8">
        <v>44371.0</v>
      </c>
    </row>
    <row r="1681">
      <c r="A1681" s="5">
        <v>1680.0</v>
      </c>
      <c r="B1681" s="5" t="s">
        <v>2702</v>
      </c>
      <c r="C1681" s="5" t="s">
        <v>20</v>
      </c>
      <c r="K1681" s="5">
        <v>20.0</v>
      </c>
      <c r="N1681" s="8">
        <v>44205.0</v>
      </c>
    </row>
    <row r="1682">
      <c r="A1682" s="5">
        <v>1681.0</v>
      </c>
      <c r="B1682" s="5" t="s">
        <v>2703</v>
      </c>
      <c r="C1682" s="5" t="s">
        <v>20</v>
      </c>
      <c r="K1682" s="5">
        <v>40.0</v>
      </c>
      <c r="N1682" s="8">
        <v>44966.0</v>
      </c>
    </row>
    <row r="1683">
      <c r="A1683" s="5">
        <v>1682.0</v>
      </c>
      <c r="B1683" s="5" t="s">
        <v>2704</v>
      </c>
      <c r="C1683" s="5" t="s">
        <v>20</v>
      </c>
      <c r="K1683" s="5">
        <v>30.0</v>
      </c>
      <c r="N1683" s="8">
        <v>44971.0</v>
      </c>
    </row>
    <row r="1684">
      <c r="A1684" s="5">
        <v>1683.0</v>
      </c>
      <c r="B1684" s="5" t="s">
        <v>2705</v>
      </c>
      <c r="C1684" s="5" t="s">
        <v>20</v>
      </c>
      <c r="K1684" s="5">
        <v>80.0</v>
      </c>
      <c r="N1684" s="8">
        <v>44527.0</v>
      </c>
    </row>
    <row r="1685">
      <c r="A1685" s="5">
        <v>1684.0</v>
      </c>
      <c r="B1685" s="5" t="s">
        <v>2706</v>
      </c>
      <c r="C1685" s="5" t="s">
        <v>20</v>
      </c>
      <c r="N1685" s="8">
        <v>45585.0</v>
      </c>
    </row>
    <row r="1686">
      <c r="A1686" s="5">
        <v>1685.0</v>
      </c>
      <c r="B1686" s="5" t="s">
        <v>2707</v>
      </c>
      <c r="C1686" s="5" t="s">
        <v>20</v>
      </c>
      <c r="N1686" s="8">
        <v>45811.0</v>
      </c>
    </row>
    <row r="1687">
      <c r="A1687" s="5">
        <v>1686.0</v>
      </c>
      <c r="B1687" s="5" t="s">
        <v>2708</v>
      </c>
      <c r="C1687" s="5" t="s">
        <v>20</v>
      </c>
      <c r="N1687" s="8">
        <v>44639.0</v>
      </c>
      <c r="O1687" s="5" t="s">
        <v>24</v>
      </c>
      <c r="P1687" s="5" t="s">
        <v>25</v>
      </c>
      <c r="S1687" s="5" t="s">
        <v>118</v>
      </c>
    </row>
    <row r="1688">
      <c r="A1688" s="5">
        <v>1687.0</v>
      </c>
      <c r="B1688" s="5" t="s">
        <v>2709</v>
      </c>
      <c r="C1688" s="5" t="s">
        <v>20</v>
      </c>
      <c r="K1688" s="5">
        <v>30.0</v>
      </c>
      <c r="N1688" s="8">
        <v>45008.0</v>
      </c>
    </row>
    <row r="1689">
      <c r="A1689" s="5">
        <v>1688.0</v>
      </c>
      <c r="B1689" s="5" t="s">
        <v>2710</v>
      </c>
      <c r="C1689" s="5" t="s">
        <v>20</v>
      </c>
      <c r="N1689" s="8">
        <v>44306.0</v>
      </c>
    </row>
    <row r="1690">
      <c r="A1690" s="5">
        <v>1689.0</v>
      </c>
      <c r="B1690" s="5" t="s">
        <v>2711</v>
      </c>
      <c r="C1690" s="5" t="s">
        <v>20</v>
      </c>
      <c r="K1690" s="5">
        <v>10.0</v>
      </c>
      <c r="N1690" s="8">
        <v>44093.0</v>
      </c>
    </row>
    <row r="1691">
      <c r="A1691" s="5">
        <v>1690.0</v>
      </c>
      <c r="B1691" s="5" t="s">
        <v>2712</v>
      </c>
      <c r="C1691" s="5" t="s">
        <v>20</v>
      </c>
      <c r="K1691" s="5">
        <v>50.0</v>
      </c>
      <c r="N1691" s="8">
        <v>43878.0</v>
      </c>
    </row>
    <row r="1692">
      <c r="A1692" s="5">
        <v>1691.0</v>
      </c>
      <c r="B1692" s="5" t="s">
        <v>2237</v>
      </c>
      <c r="C1692" s="5" t="s">
        <v>20</v>
      </c>
      <c r="D1692" s="5">
        <v>9.0</v>
      </c>
      <c r="H1692" s="5" t="s">
        <v>19</v>
      </c>
      <c r="I1692" s="9">
        <v>46126.578310185185</v>
      </c>
      <c r="J1692" s="5" t="s">
        <v>78</v>
      </c>
      <c r="L1692" s="5">
        <v>136000.0</v>
      </c>
      <c r="M1692" s="5">
        <v>140000.0</v>
      </c>
      <c r="N1692" s="8">
        <v>42393.0</v>
      </c>
      <c r="O1692" s="5" t="s">
        <v>80</v>
      </c>
      <c r="P1692" s="5" t="s">
        <v>25</v>
      </c>
      <c r="S1692" s="5" t="s">
        <v>29</v>
      </c>
    </row>
    <row r="1693">
      <c r="A1693" s="5">
        <v>1692.0</v>
      </c>
      <c r="B1693" s="5" t="s">
        <v>2713</v>
      </c>
      <c r="C1693" s="5" t="s">
        <v>20</v>
      </c>
      <c r="K1693" s="5">
        <v>10.0</v>
      </c>
      <c r="N1693" s="8">
        <v>44287.0</v>
      </c>
    </row>
    <row r="1694">
      <c r="A1694" s="5">
        <v>1693.0</v>
      </c>
      <c r="B1694" s="5" t="s">
        <v>2714</v>
      </c>
      <c r="C1694" s="5" t="s">
        <v>20</v>
      </c>
      <c r="N1694" s="8">
        <v>42499.0</v>
      </c>
    </row>
    <row r="1695">
      <c r="A1695" s="5">
        <v>1694.0</v>
      </c>
      <c r="B1695" s="5" t="s">
        <v>2715</v>
      </c>
      <c r="C1695" s="5" t="s">
        <v>20</v>
      </c>
      <c r="K1695" s="5">
        <v>500.0</v>
      </c>
      <c r="N1695" s="8">
        <v>44601.0</v>
      </c>
    </row>
    <row r="1696">
      <c r="A1696" s="5">
        <v>1695.0</v>
      </c>
      <c r="B1696" s="5" t="s">
        <v>2716</v>
      </c>
      <c r="C1696" s="5" t="s">
        <v>20</v>
      </c>
      <c r="K1696" s="5">
        <v>70.0</v>
      </c>
      <c r="N1696" s="8">
        <v>45654.0</v>
      </c>
    </row>
    <row r="1697">
      <c r="A1697" s="5">
        <v>1696.0</v>
      </c>
      <c r="B1697" s="5" t="s">
        <v>2717</v>
      </c>
      <c r="C1697" s="5" t="s">
        <v>20</v>
      </c>
      <c r="N1697" s="8">
        <v>44503.0</v>
      </c>
    </row>
    <row r="1698">
      <c r="A1698" s="5">
        <v>1697.0</v>
      </c>
      <c r="B1698" s="5" t="s">
        <v>2240</v>
      </c>
      <c r="C1698" s="5" t="s">
        <v>20</v>
      </c>
      <c r="D1698" s="5">
        <v>0.0</v>
      </c>
      <c r="H1698" s="5" t="s">
        <v>19</v>
      </c>
      <c r="I1698" s="9">
        <v>46144.622245370374</v>
      </c>
      <c r="J1698" s="5" t="s">
        <v>78</v>
      </c>
      <c r="L1698" s="5">
        <v>137000.0</v>
      </c>
      <c r="M1698" s="5">
        <v>140000.0</v>
      </c>
      <c r="N1698" s="8">
        <v>42744.0</v>
      </c>
      <c r="O1698" s="5" t="s">
        <v>80</v>
      </c>
      <c r="P1698" s="5" t="s">
        <v>25</v>
      </c>
      <c r="S1698" s="5" t="s">
        <v>29</v>
      </c>
    </row>
    <row r="1699">
      <c r="A1699" s="5">
        <v>1698.0</v>
      </c>
      <c r="B1699" s="5" t="s">
        <v>2718</v>
      </c>
      <c r="C1699" s="5" t="s">
        <v>20</v>
      </c>
      <c r="N1699" s="8">
        <v>45100.0</v>
      </c>
    </row>
    <row r="1700">
      <c r="A1700" s="5">
        <v>1699.0</v>
      </c>
      <c r="B1700" s="5" t="s">
        <v>2719</v>
      </c>
      <c r="C1700" s="5" t="s">
        <v>20</v>
      </c>
      <c r="N1700" s="8">
        <v>44653.0</v>
      </c>
    </row>
    <row r="1701">
      <c r="A1701" s="5">
        <v>1700.0</v>
      </c>
      <c r="B1701" s="5" t="s">
        <v>2720</v>
      </c>
      <c r="C1701" s="5" t="s">
        <v>20</v>
      </c>
      <c r="N1701" s="8">
        <v>44894.0</v>
      </c>
    </row>
    <row r="1702">
      <c r="A1702" s="5">
        <v>1701.0</v>
      </c>
      <c r="B1702" s="5" t="s">
        <v>2721</v>
      </c>
      <c r="C1702" s="5" t="s">
        <v>20</v>
      </c>
      <c r="N1702" s="8">
        <v>45351.0</v>
      </c>
    </row>
    <row r="1703">
      <c r="A1703" s="5">
        <v>1702.0</v>
      </c>
      <c r="B1703" s="5" t="s">
        <v>2722</v>
      </c>
      <c r="C1703" s="5" t="s">
        <v>20</v>
      </c>
      <c r="K1703" s="5">
        <v>700.0</v>
      </c>
      <c r="N1703" s="8">
        <v>44265.0</v>
      </c>
    </row>
    <row r="1704">
      <c r="A1704" s="5">
        <v>1703.0</v>
      </c>
      <c r="B1704" s="5" t="s">
        <v>2723</v>
      </c>
      <c r="C1704" s="5" t="s">
        <v>20</v>
      </c>
      <c r="K1704" s="5">
        <v>50.0</v>
      </c>
      <c r="N1704" s="8">
        <v>44589.0</v>
      </c>
    </row>
    <row r="1705">
      <c r="A1705" s="5">
        <v>1704.0</v>
      </c>
      <c r="B1705" s="5" t="s">
        <v>2724</v>
      </c>
      <c r="C1705" s="5" t="s">
        <v>20</v>
      </c>
      <c r="N1705" s="8">
        <v>43792.0</v>
      </c>
    </row>
    <row r="1706">
      <c r="A1706" s="5">
        <v>1705.0</v>
      </c>
      <c r="B1706" s="5" t="s">
        <v>2725</v>
      </c>
      <c r="C1706" s="5" t="s">
        <v>20</v>
      </c>
      <c r="K1706" s="5">
        <v>30.0</v>
      </c>
      <c r="N1706" s="8">
        <v>44639.0</v>
      </c>
    </row>
    <row r="1707">
      <c r="A1707" s="5">
        <v>1706.0</v>
      </c>
      <c r="B1707" s="5" t="s">
        <v>2726</v>
      </c>
      <c r="C1707" s="5" t="s">
        <v>20</v>
      </c>
      <c r="N1707" s="8">
        <v>42388.0</v>
      </c>
    </row>
    <row r="1708">
      <c r="A1708" s="5">
        <v>1707.0</v>
      </c>
      <c r="B1708" s="5" t="s">
        <v>2243</v>
      </c>
      <c r="C1708" s="5" t="s">
        <v>20</v>
      </c>
      <c r="D1708" s="5">
        <v>47.0</v>
      </c>
      <c r="H1708" s="5" t="s">
        <v>19</v>
      </c>
      <c r="I1708" s="9">
        <v>46098.18724537037</v>
      </c>
      <c r="J1708" s="5" t="s">
        <v>151</v>
      </c>
      <c r="L1708" s="5">
        <v>141000.0</v>
      </c>
      <c r="M1708" s="5">
        <v>145000.0</v>
      </c>
      <c r="N1708" s="8">
        <v>42508.0</v>
      </c>
      <c r="O1708" s="5" t="s">
        <v>24</v>
      </c>
      <c r="P1708" s="5" t="s">
        <v>25</v>
      </c>
      <c r="S1708" s="5" t="s">
        <v>38</v>
      </c>
    </row>
    <row r="1709">
      <c r="A1709" s="5">
        <v>1708.0</v>
      </c>
      <c r="B1709" s="5" t="s">
        <v>2727</v>
      </c>
      <c r="C1709" s="5" t="s">
        <v>20</v>
      </c>
      <c r="K1709" s="5">
        <v>40.0</v>
      </c>
      <c r="N1709" s="8">
        <v>45029.0</v>
      </c>
    </row>
    <row r="1710">
      <c r="A1710" s="5">
        <v>1709.0</v>
      </c>
      <c r="B1710" s="5" t="s">
        <v>2728</v>
      </c>
      <c r="C1710" s="5" t="s">
        <v>20</v>
      </c>
      <c r="K1710" s="5">
        <v>10.0</v>
      </c>
      <c r="N1710" s="8">
        <v>45022.0</v>
      </c>
    </row>
    <row r="1711">
      <c r="A1711" s="5">
        <v>1710.0</v>
      </c>
      <c r="B1711" s="5" t="s">
        <v>2729</v>
      </c>
      <c r="C1711" s="5" t="s">
        <v>20</v>
      </c>
      <c r="K1711" s="5">
        <v>10.0</v>
      </c>
      <c r="N1711" s="8">
        <v>44196.0</v>
      </c>
    </row>
    <row r="1712">
      <c r="A1712" s="5">
        <v>1711.0</v>
      </c>
      <c r="B1712" s="5" t="s">
        <v>2730</v>
      </c>
      <c r="C1712" s="5" t="s">
        <v>20</v>
      </c>
      <c r="K1712" s="5">
        <v>10.0</v>
      </c>
      <c r="N1712" s="8">
        <v>44311.0</v>
      </c>
    </row>
    <row r="1713">
      <c r="A1713" s="5">
        <v>1712.0</v>
      </c>
      <c r="B1713" s="5" t="s">
        <v>2731</v>
      </c>
      <c r="C1713" s="5" t="s">
        <v>20</v>
      </c>
      <c r="N1713" s="8">
        <v>44308.0</v>
      </c>
      <c r="O1713" s="5" t="s">
        <v>71</v>
      </c>
      <c r="P1713" s="5" t="s">
        <v>25</v>
      </c>
      <c r="S1713" s="5" t="s">
        <v>29</v>
      </c>
    </row>
    <row r="1714">
      <c r="A1714" s="5">
        <v>1713.0</v>
      </c>
      <c r="B1714" s="5" t="s">
        <v>367</v>
      </c>
      <c r="C1714" s="5" t="s">
        <v>20</v>
      </c>
      <c r="K1714" s="5">
        <v>20.0</v>
      </c>
      <c r="N1714" s="8">
        <v>45594.0</v>
      </c>
    </row>
    <row r="1715">
      <c r="A1715" s="5">
        <v>1714.0</v>
      </c>
      <c r="B1715" s="5" t="s">
        <v>369</v>
      </c>
      <c r="C1715" s="5" t="s">
        <v>20</v>
      </c>
      <c r="K1715" s="5">
        <v>50.0</v>
      </c>
      <c r="N1715" s="8">
        <v>44416.0</v>
      </c>
    </row>
    <row r="1716">
      <c r="A1716" s="5">
        <v>1715.0</v>
      </c>
      <c r="B1716" s="5" t="s">
        <v>2732</v>
      </c>
      <c r="C1716" s="5" t="s">
        <v>20</v>
      </c>
      <c r="K1716" s="5">
        <v>400.0</v>
      </c>
      <c r="N1716" s="8">
        <v>44764.0</v>
      </c>
    </row>
    <row r="1717">
      <c r="A1717" s="5">
        <v>1716.0</v>
      </c>
      <c r="B1717" s="5" t="s">
        <v>2733</v>
      </c>
      <c r="C1717" s="5" t="s">
        <v>20</v>
      </c>
      <c r="K1717" s="5">
        <v>60.0</v>
      </c>
      <c r="N1717" s="8">
        <v>45350.0</v>
      </c>
    </row>
    <row r="1718">
      <c r="A1718" s="5">
        <v>1717.0</v>
      </c>
      <c r="B1718" s="5" t="s">
        <v>2734</v>
      </c>
      <c r="C1718" s="5" t="s">
        <v>20</v>
      </c>
      <c r="N1718" s="8">
        <v>43045.0</v>
      </c>
    </row>
    <row r="1719">
      <c r="A1719" s="5">
        <v>1718.0</v>
      </c>
      <c r="B1719" s="5" t="s">
        <v>2735</v>
      </c>
      <c r="C1719" s="5" t="s">
        <v>20</v>
      </c>
      <c r="K1719" s="5">
        <v>300.0</v>
      </c>
      <c r="N1719" s="8">
        <v>44114.0</v>
      </c>
    </row>
    <row r="1720">
      <c r="A1720" s="5">
        <v>1719.0</v>
      </c>
      <c r="B1720" s="5" t="s">
        <v>2736</v>
      </c>
      <c r="C1720" s="5" t="s">
        <v>20</v>
      </c>
      <c r="K1720" s="5">
        <v>70.0</v>
      </c>
      <c r="N1720" s="8">
        <v>44122.0</v>
      </c>
    </row>
    <row r="1721">
      <c r="A1721" s="5">
        <v>1720.0</v>
      </c>
      <c r="B1721" s="5" t="s">
        <v>2737</v>
      </c>
      <c r="C1721" s="5" t="s">
        <v>20</v>
      </c>
      <c r="K1721" s="5">
        <v>250.0</v>
      </c>
      <c r="N1721" s="8">
        <v>45284.0</v>
      </c>
    </row>
    <row r="1722">
      <c r="A1722" s="5">
        <v>1721.0</v>
      </c>
      <c r="B1722" s="5" t="s">
        <v>2738</v>
      </c>
      <c r="C1722" s="5" t="s">
        <v>20</v>
      </c>
      <c r="K1722" s="5">
        <v>2900.0</v>
      </c>
      <c r="N1722" s="8">
        <v>44550.0</v>
      </c>
    </row>
    <row r="1723">
      <c r="A1723" s="5">
        <v>1722.0</v>
      </c>
      <c r="B1723" s="5" t="s">
        <v>2739</v>
      </c>
      <c r="C1723" s="5" t="s">
        <v>20</v>
      </c>
      <c r="K1723" s="5">
        <v>10.0</v>
      </c>
      <c r="N1723" s="8">
        <v>44770.0</v>
      </c>
    </row>
    <row r="1724">
      <c r="A1724" s="5">
        <v>1723.0</v>
      </c>
      <c r="B1724" s="5" t="s">
        <v>2740</v>
      </c>
      <c r="C1724" s="5" t="s">
        <v>20</v>
      </c>
      <c r="N1724" s="8">
        <v>42956.0</v>
      </c>
    </row>
    <row r="1725">
      <c r="A1725" s="5">
        <v>1724.0</v>
      </c>
      <c r="B1725" s="5" t="s">
        <v>2741</v>
      </c>
      <c r="C1725" s="5" t="s">
        <v>20</v>
      </c>
      <c r="N1725" s="8">
        <v>44896.0</v>
      </c>
    </row>
    <row r="1726">
      <c r="A1726" s="5">
        <v>1725.0</v>
      </c>
      <c r="B1726" s="5" t="s">
        <v>2742</v>
      </c>
      <c r="C1726" s="5" t="s">
        <v>20</v>
      </c>
      <c r="K1726" s="5">
        <v>30.0</v>
      </c>
      <c r="N1726" s="8">
        <v>43917.0</v>
      </c>
    </row>
    <row r="1727">
      <c r="A1727" s="5">
        <v>1726.0</v>
      </c>
      <c r="B1727" s="5" t="s">
        <v>2743</v>
      </c>
      <c r="C1727" s="5" t="s">
        <v>20</v>
      </c>
      <c r="K1727" s="5">
        <v>20.0</v>
      </c>
      <c r="N1727" s="8">
        <v>45101.0</v>
      </c>
    </row>
    <row r="1728">
      <c r="A1728" s="5">
        <v>1727.0</v>
      </c>
      <c r="B1728" s="5" t="s">
        <v>2744</v>
      </c>
      <c r="C1728" s="5" t="s">
        <v>20</v>
      </c>
      <c r="N1728" s="8">
        <v>44585.0</v>
      </c>
    </row>
    <row r="1729">
      <c r="A1729" s="5">
        <v>1728.0</v>
      </c>
      <c r="B1729" s="5" t="s">
        <v>2745</v>
      </c>
      <c r="C1729" s="5" t="s">
        <v>20</v>
      </c>
      <c r="K1729" s="5">
        <v>250.0</v>
      </c>
      <c r="N1729" s="8">
        <v>44339.0</v>
      </c>
    </row>
    <row r="1730">
      <c r="A1730" s="5">
        <v>1729.0</v>
      </c>
      <c r="B1730" s="5" t="s">
        <v>2746</v>
      </c>
      <c r="C1730" s="5" t="s">
        <v>20</v>
      </c>
      <c r="K1730" s="5">
        <v>60.0</v>
      </c>
      <c r="N1730" s="8">
        <v>44664.0</v>
      </c>
    </row>
    <row r="1731">
      <c r="A1731" s="5">
        <v>1730.0</v>
      </c>
      <c r="B1731" s="5" t="s">
        <v>2747</v>
      </c>
      <c r="C1731" s="5" t="s">
        <v>20</v>
      </c>
      <c r="N1731" s="8">
        <v>44633.0</v>
      </c>
    </row>
    <row r="1732">
      <c r="A1732" s="5">
        <v>1731.0</v>
      </c>
      <c r="B1732" s="5" t="s">
        <v>2748</v>
      </c>
      <c r="C1732" s="5" t="s">
        <v>20</v>
      </c>
      <c r="N1732" s="8">
        <v>45489.0</v>
      </c>
    </row>
    <row r="1733">
      <c r="A1733" s="5">
        <v>1732.0</v>
      </c>
      <c r="B1733" s="5" t="s">
        <v>371</v>
      </c>
      <c r="C1733" s="5" t="s">
        <v>20</v>
      </c>
      <c r="K1733" s="5">
        <v>80.0</v>
      </c>
      <c r="N1733" s="8">
        <v>44434.0</v>
      </c>
    </row>
    <row r="1734">
      <c r="A1734" s="5">
        <v>1733.0</v>
      </c>
      <c r="B1734" s="5" t="s">
        <v>2749</v>
      </c>
      <c r="C1734" s="5" t="s">
        <v>20</v>
      </c>
      <c r="N1734" s="8">
        <v>43570.0</v>
      </c>
    </row>
    <row r="1735">
      <c r="A1735" s="5">
        <v>1734.0</v>
      </c>
      <c r="B1735" s="5" t="s">
        <v>2750</v>
      </c>
      <c r="C1735" s="5" t="s">
        <v>20</v>
      </c>
      <c r="N1735" s="8">
        <v>44843.0</v>
      </c>
    </row>
    <row r="1736">
      <c r="A1736" s="5">
        <v>1735.0</v>
      </c>
      <c r="B1736" s="5" t="s">
        <v>2751</v>
      </c>
      <c r="C1736" s="5" t="s">
        <v>20</v>
      </c>
      <c r="N1736" s="8">
        <v>44031.0</v>
      </c>
      <c r="O1736" s="5" t="s">
        <v>24</v>
      </c>
      <c r="P1736" s="5" t="s">
        <v>25</v>
      </c>
      <c r="S1736" s="5" t="s">
        <v>38</v>
      </c>
    </row>
    <row r="1737">
      <c r="A1737" s="5">
        <v>1736.0</v>
      </c>
      <c r="B1737" s="5" t="s">
        <v>2752</v>
      </c>
      <c r="C1737" s="5" t="s">
        <v>20</v>
      </c>
      <c r="K1737" s="5">
        <v>30.0</v>
      </c>
      <c r="N1737" s="8">
        <v>44458.0</v>
      </c>
    </row>
    <row r="1738">
      <c r="A1738" s="5">
        <v>1737.0</v>
      </c>
      <c r="B1738" s="5" t="s">
        <v>2753</v>
      </c>
      <c r="C1738" s="5" t="s">
        <v>20</v>
      </c>
      <c r="K1738" s="5">
        <v>150.0</v>
      </c>
      <c r="N1738" s="8">
        <v>44572.0</v>
      </c>
    </row>
    <row r="1739">
      <c r="A1739" s="5">
        <v>1738.0</v>
      </c>
      <c r="B1739" s="5" t="s">
        <v>2754</v>
      </c>
      <c r="C1739" s="5" t="s">
        <v>20</v>
      </c>
      <c r="K1739" s="5">
        <v>100.0</v>
      </c>
      <c r="N1739" s="8">
        <v>45470.0</v>
      </c>
    </row>
    <row r="1740">
      <c r="A1740" s="5">
        <v>1739.0</v>
      </c>
      <c r="B1740" s="5" t="s">
        <v>2755</v>
      </c>
      <c r="C1740" s="5" t="s">
        <v>20</v>
      </c>
      <c r="K1740" s="5">
        <v>700.0</v>
      </c>
      <c r="N1740" s="8">
        <v>43892.0</v>
      </c>
    </row>
    <row r="1741">
      <c r="A1741" s="5">
        <v>1740.0</v>
      </c>
      <c r="B1741" s="5" t="s">
        <v>2756</v>
      </c>
      <c r="C1741" s="5" t="s">
        <v>20</v>
      </c>
      <c r="N1741" s="8">
        <v>43861.0</v>
      </c>
      <c r="O1741" s="5" t="s">
        <v>24</v>
      </c>
      <c r="P1741" s="5" t="s">
        <v>25</v>
      </c>
      <c r="S1741" s="5" t="s">
        <v>38</v>
      </c>
    </row>
    <row r="1742">
      <c r="A1742" s="5">
        <v>1741.0</v>
      </c>
      <c r="B1742" s="5" t="s">
        <v>2757</v>
      </c>
      <c r="C1742" s="5" t="s">
        <v>20</v>
      </c>
      <c r="K1742" s="5">
        <v>3400.0</v>
      </c>
      <c r="N1742" s="8">
        <v>44913.0</v>
      </c>
    </row>
    <row r="1743">
      <c r="A1743" s="5">
        <v>1742.0</v>
      </c>
      <c r="B1743" s="5" t="s">
        <v>2758</v>
      </c>
      <c r="C1743" s="5" t="s">
        <v>20</v>
      </c>
      <c r="N1743" s="8">
        <v>42303.0</v>
      </c>
      <c r="O1743" s="5" t="s">
        <v>24</v>
      </c>
      <c r="P1743" s="5" t="s">
        <v>25</v>
      </c>
      <c r="S1743" s="5" t="s">
        <v>38</v>
      </c>
    </row>
    <row r="1744">
      <c r="A1744" s="5">
        <v>1743.0</v>
      </c>
      <c r="B1744" s="5" t="s">
        <v>2759</v>
      </c>
      <c r="C1744" s="5" t="s">
        <v>20</v>
      </c>
      <c r="N1744" s="8">
        <v>45198.0</v>
      </c>
    </row>
    <row r="1745">
      <c r="A1745" s="5">
        <v>1744.0</v>
      </c>
      <c r="B1745" s="5" t="s">
        <v>2760</v>
      </c>
      <c r="C1745" s="5" t="s">
        <v>20</v>
      </c>
      <c r="K1745" s="5">
        <v>60.0</v>
      </c>
      <c r="N1745" s="8">
        <v>44443.0</v>
      </c>
    </row>
    <row r="1746">
      <c r="A1746" s="5">
        <v>1745.0</v>
      </c>
      <c r="B1746" s="5" t="s">
        <v>2761</v>
      </c>
      <c r="C1746" s="5" t="s">
        <v>20</v>
      </c>
      <c r="K1746" s="5">
        <v>30.0</v>
      </c>
      <c r="N1746" s="8">
        <v>44134.0</v>
      </c>
    </row>
    <row r="1747">
      <c r="A1747" s="5">
        <v>1746.0</v>
      </c>
      <c r="B1747" s="5" t="s">
        <v>2762</v>
      </c>
      <c r="C1747" s="5" t="s">
        <v>20</v>
      </c>
      <c r="N1747" s="8">
        <v>42685.0</v>
      </c>
    </row>
    <row r="1748">
      <c r="A1748" s="5">
        <v>1747.0</v>
      </c>
      <c r="B1748" s="5" t="s">
        <v>2763</v>
      </c>
      <c r="C1748" s="5" t="s">
        <v>20</v>
      </c>
      <c r="K1748" s="5">
        <v>500.0</v>
      </c>
      <c r="N1748" s="8">
        <v>44239.0</v>
      </c>
    </row>
    <row r="1749">
      <c r="A1749" s="5">
        <v>1748.0</v>
      </c>
      <c r="B1749" s="5" t="s">
        <v>2764</v>
      </c>
      <c r="C1749" s="5" t="s">
        <v>20</v>
      </c>
      <c r="K1749" s="5">
        <v>700.0</v>
      </c>
      <c r="N1749" s="8">
        <v>44622.0</v>
      </c>
    </row>
    <row r="1750">
      <c r="A1750" s="5">
        <v>1749.0</v>
      </c>
      <c r="B1750" s="5" t="s">
        <v>2765</v>
      </c>
      <c r="C1750" s="5" t="s">
        <v>20</v>
      </c>
      <c r="K1750" s="5">
        <v>20.0</v>
      </c>
      <c r="N1750" s="8">
        <v>44046.0</v>
      </c>
    </row>
    <row r="1751">
      <c r="A1751" s="5">
        <v>1750.0</v>
      </c>
      <c r="B1751" s="5" t="s">
        <v>373</v>
      </c>
      <c r="C1751" s="5" t="s">
        <v>20</v>
      </c>
      <c r="K1751" s="5">
        <v>300.0</v>
      </c>
      <c r="N1751" s="8">
        <v>44396.0</v>
      </c>
    </row>
    <row r="1752">
      <c r="A1752" s="5">
        <v>1751.0</v>
      </c>
      <c r="B1752" s="5" t="s">
        <v>375</v>
      </c>
      <c r="C1752" s="5" t="s">
        <v>20</v>
      </c>
      <c r="K1752" s="5">
        <v>200.0</v>
      </c>
      <c r="N1752" s="8">
        <v>44732.0</v>
      </c>
    </row>
    <row r="1753">
      <c r="A1753" s="5">
        <v>1752.0</v>
      </c>
      <c r="B1753" s="5" t="s">
        <v>2766</v>
      </c>
      <c r="C1753" s="5" t="s">
        <v>20</v>
      </c>
      <c r="N1753" s="8">
        <v>42352.0</v>
      </c>
    </row>
    <row r="1754">
      <c r="A1754" s="5">
        <v>1753.0</v>
      </c>
      <c r="B1754" s="5" t="s">
        <v>2767</v>
      </c>
      <c r="C1754" s="5" t="s">
        <v>20</v>
      </c>
      <c r="K1754" s="5">
        <v>30.0</v>
      </c>
      <c r="N1754" s="8">
        <v>45811.0</v>
      </c>
    </row>
    <row r="1755">
      <c r="A1755" s="5">
        <v>1754.0</v>
      </c>
      <c r="B1755" s="5" t="s">
        <v>2768</v>
      </c>
      <c r="C1755" s="5" t="s">
        <v>20</v>
      </c>
      <c r="N1755" s="8">
        <v>44036.0</v>
      </c>
    </row>
    <row r="1756">
      <c r="A1756" s="5">
        <v>1755.0</v>
      </c>
      <c r="B1756" s="5" t="s">
        <v>2769</v>
      </c>
      <c r="C1756" s="5" t="s">
        <v>20</v>
      </c>
      <c r="N1756" s="8">
        <v>44269.0</v>
      </c>
    </row>
    <row r="1757">
      <c r="A1757" s="5">
        <v>1756.0</v>
      </c>
      <c r="B1757" s="5" t="s">
        <v>2770</v>
      </c>
      <c r="C1757" s="5" t="s">
        <v>20</v>
      </c>
      <c r="N1757" s="8">
        <v>46080.0</v>
      </c>
    </row>
    <row r="1758">
      <c r="A1758" s="5">
        <v>1757.0</v>
      </c>
      <c r="B1758" s="5" t="s">
        <v>2771</v>
      </c>
      <c r="C1758" s="5" t="s">
        <v>20</v>
      </c>
      <c r="N1758" s="8">
        <v>44246.0</v>
      </c>
    </row>
    <row r="1759">
      <c r="A1759" s="5">
        <v>1758.0</v>
      </c>
      <c r="B1759" s="5" t="s">
        <v>2772</v>
      </c>
      <c r="C1759" s="5" t="s">
        <v>20</v>
      </c>
      <c r="K1759" s="5">
        <v>60.0</v>
      </c>
      <c r="N1759" s="8">
        <v>44967.0</v>
      </c>
    </row>
    <row r="1760">
      <c r="A1760" s="5">
        <v>1759.0</v>
      </c>
      <c r="B1760" s="5" t="s">
        <v>2773</v>
      </c>
      <c r="C1760" s="5" t="s">
        <v>20</v>
      </c>
      <c r="K1760" s="5">
        <v>150.0</v>
      </c>
      <c r="N1760" s="8">
        <v>44211.0</v>
      </c>
    </row>
    <row r="1761">
      <c r="A1761" s="5">
        <v>1760.0</v>
      </c>
      <c r="B1761" s="5" t="s">
        <v>2774</v>
      </c>
      <c r="C1761" s="5" t="s">
        <v>20</v>
      </c>
      <c r="K1761" s="5">
        <v>10.0</v>
      </c>
      <c r="N1761" s="8">
        <v>45108.0</v>
      </c>
    </row>
    <row r="1762">
      <c r="A1762" s="5">
        <v>1761.0</v>
      </c>
      <c r="B1762" s="5" t="s">
        <v>2775</v>
      </c>
      <c r="C1762" s="5" t="s">
        <v>20</v>
      </c>
      <c r="K1762" s="5">
        <v>1200.0</v>
      </c>
      <c r="N1762" s="8">
        <v>43962.0</v>
      </c>
    </row>
    <row r="1763">
      <c r="A1763" s="5">
        <v>1762.0</v>
      </c>
      <c r="B1763" s="5" t="s">
        <v>609</v>
      </c>
      <c r="C1763" s="5" t="s">
        <v>20</v>
      </c>
      <c r="D1763" s="5">
        <v>0.0</v>
      </c>
      <c r="H1763" s="5" t="s">
        <v>449</v>
      </c>
      <c r="I1763" s="9">
        <v>46076.27679398148</v>
      </c>
      <c r="J1763" s="5" t="s">
        <v>33</v>
      </c>
      <c r="L1763" s="5">
        <v>200.0</v>
      </c>
      <c r="M1763" s="5">
        <v>200.0</v>
      </c>
      <c r="N1763" s="8">
        <v>45112.0</v>
      </c>
      <c r="O1763" s="5" t="s">
        <v>24</v>
      </c>
      <c r="P1763" s="5" t="s">
        <v>25</v>
      </c>
      <c r="S1763" s="5" t="s">
        <v>38</v>
      </c>
    </row>
    <row r="1764">
      <c r="A1764" s="5">
        <v>1763.0</v>
      </c>
      <c r="B1764" s="5" t="s">
        <v>2776</v>
      </c>
      <c r="C1764" s="5" t="s">
        <v>20</v>
      </c>
      <c r="K1764" s="5">
        <v>800.0</v>
      </c>
      <c r="N1764" s="8">
        <v>44031.0</v>
      </c>
    </row>
    <row r="1765">
      <c r="A1765" s="5">
        <v>1764.0</v>
      </c>
      <c r="B1765" s="5" t="s">
        <v>2777</v>
      </c>
      <c r="C1765" s="5" t="s">
        <v>20</v>
      </c>
      <c r="K1765" s="5">
        <v>20.0</v>
      </c>
      <c r="N1765" s="8">
        <v>45011.0</v>
      </c>
    </row>
    <row r="1766">
      <c r="A1766" s="5">
        <v>1765.0</v>
      </c>
      <c r="B1766" s="5" t="s">
        <v>2778</v>
      </c>
      <c r="C1766" s="5" t="s">
        <v>20</v>
      </c>
      <c r="K1766" s="5">
        <v>10.0</v>
      </c>
      <c r="N1766" s="8">
        <v>44777.0</v>
      </c>
    </row>
    <row r="1767">
      <c r="A1767" s="5">
        <v>1766.0</v>
      </c>
      <c r="B1767" s="5" t="s">
        <v>2779</v>
      </c>
      <c r="C1767" s="5" t="s">
        <v>20</v>
      </c>
      <c r="K1767" s="5">
        <v>600.0</v>
      </c>
      <c r="N1767" s="8">
        <v>44097.0</v>
      </c>
    </row>
    <row r="1768">
      <c r="A1768" s="5">
        <v>1767.0</v>
      </c>
      <c r="B1768" s="5" t="s">
        <v>2780</v>
      </c>
      <c r="C1768" s="5" t="s">
        <v>20</v>
      </c>
      <c r="N1768" s="8">
        <v>44445.0</v>
      </c>
    </row>
    <row r="1769">
      <c r="A1769" s="5">
        <v>1768.0</v>
      </c>
      <c r="B1769" s="5" t="s">
        <v>2781</v>
      </c>
      <c r="C1769" s="5" t="s">
        <v>20</v>
      </c>
      <c r="K1769" s="5">
        <v>250.0</v>
      </c>
      <c r="N1769" s="8">
        <v>44716.0</v>
      </c>
    </row>
    <row r="1770">
      <c r="A1770" s="5">
        <v>1769.0</v>
      </c>
      <c r="B1770" s="5" t="s">
        <v>2782</v>
      </c>
      <c r="C1770" s="5" t="s">
        <v>20</v>
      </c>
      <c r="K1770" s="5">
        <v>100.0</v>
      </c>
      <c r="N1770" s="8">
        <v>45486.0</v>
      </c>
    </row>
    <row r="1771">
      <c r="A1771" s="5">
        <v>1770.0</v>
      </c>
      <c r="B1771" s="5" t="s">
        <v>2783</v>
      </c>
      <c r="C1771" s="5" t="s">
        <v>20</v>
      </c>
      <c r="N1771" s="8">
        <v>43012.0</v>
      </c>
    </row>
    <row r="1772">
      <c r="A1772" s="5">
        <v>1771.0</v>
      </c>
      <c r="B1772" s="5" t="s">
        <v>2784</v>
      </c>
      <c r="C1772" s="5" t="s">
        <v>20</v>
      </c>
      <c r="N1772" s="8">
        <v>44621.0</v>
      </c>
    </row>
    <row r="1773">
      <c r="A1773" s="5">
        <v>1772.0</v>
      </c>
      <c r="B1773" s="5" t="s">
        <v>2785</v>
      </c>
      <c r="C1773" s="5" t="s">
        <v>20</v>
      </c>
      <c r="N1773" s="8">
        <v>44609.0</v>
      </c>
    </row>
    <row r="1774">
      <c r="A1774" s="5">
        <v>1773.0</v>
      </c>
      <c r="B1774" s="5" t="s">
        <v>376</v>
      </c>
      <c r="C1774" s="5" t="s">
        <v>20</v>
      </c>
      <c r="K1774" s="5">
        <v>30.0</v>
      </c>
      <c r="N1774" s="8">
        <v>44367.0</v>
      </c>
    </row>
    <row r="1775">
      <c r="A1775" s="5">
        <v>1774.0</v>
      </c>
      <c r="B1775" s="5" t="s">
        <v>378</v>
      </c>
      <c r="C1775" s="5" t="s">
        <v>20</v>
      </c>
      <c r="K1775" s="5">
        <v>80.0</v>
      </c>
      <c r="N1775" s="8">
        <v>45187.0</v>
      </c>
    </row>
    <row r="1776">
      <c r="A1776" s="5">
        <v>1775.0</v>
      </c>
      <c r="B1776" s="5" t="s">
        <v>2786</v>
      </c>
      <c r="C1776" s="5" t="s">
        <v>20</v>
      </c>
      <c r="N1776" s="8">
        <v>44298.0</v>
      </c>
    </row>
    <row r="1777">
      <c r="A1777" s="5">
        <v>1776.0</v>
      </c>
      <c r="B1777" s="5" t="s">
        <v>2787</v>
      </c>
      <c r="C1777" s="5" t="s">
        <v>20</v>
      </c>
      <c r="K1777" s="5">
        <v>300.0</v>
      </c>
      <c r="N1777" s="8">
        <v>43877.0</v>
      </c>
    </row>
    <row r="1778">
      <c r="A1778" s="5">
        <v>1777.0</v>
      </c>
      <c r="B1778" s="5" t="s">
        <v>2788</v>
      </c>
      <c r="C1778" s="5" t="s">
        <v>20</v>
      </c>
      <c r="K1778" s="5">
        <v>350.0</v>
      </c>
      <c r="N1778" s="8">
        <v>44223.0</v>
      </c>
    </row>
    <row r="1779">
      <c r="A1779" s="5">
        <v>1778.0</v>
      </c>
      <c r="B1779" s="5" t="s">
        <v>2789</v>
      </c>
      <c r="C1779" s="5" t="s">
        <v>20</v>
      </c>
      <c r="K1779" s="5">
        <v>10.0</v>
      </c>
      <c r="N1779" s="8">
        <v>44187.0</v>
      </c>
    </row>
    <row r="1780">
      <c r="A1780" s="5">
        <v>1779.0</v>
      </c>
      <c r="B1780" s="5" t="s">
        <v>2790</v>
      </c>
      <c r="C1780" s="5" t="s">
        <v>20</v>
      </c>
      <c r="K1780" s="5">
        <v>90.0</v>
      </c>
      <c r="N1780" s="8">
        <v>44728.0</v>
      </c>
    </row>
    <row r="1781">
      <c r="A1781" s="5">
        <v>1780.0</v>
      </c>
      <c r="B1781" s="5" t="s">
        <v>2791</v>
      </c>
      <c r="C1781" s="5" t="s">
        <v>20</v>
      </c>
      <c r="K1781" s="5">
        <v>1900.0</v>
      </c>
      <c r="N1781" s="8">
        <v>45284.0</v>
      </c>
    </row>
    <row r="1782">
      <c r="A1782" s="5">
        <v>1781.0</v>
      </c>
      <c r="B1782" s="5" t="s">
        <v>2792</v>
      </c>
      <c r="C1782" s="5" t="s">
        <v>20</v>
      </c>
      <c r="K1782" s="5">
        <v>60.0</v>
      </c>
      <c r="N1782" s="8">
        <v>44660.0</v>
      </c>
    </row>
    <row r="1783">
      <c r="A1783" s="5">
        <v>1782.0</v>
      </c>
      <c r="B1783" s="5" t="s">
        <v>2793</v>
      </c>
      <c r="C1783" s="5" t="s">
        <v>20</v>
      </c>
      <c r="K1783" s="5">
        <v>150.0</v>
      </c>
      <c r="N1783" s="8">
        <v>43038.0</v>
      </c>
    </row>
    <row r="1784">
      <c r="A1784" s="5">
        <v>1783.0</v>
      </c>
      <c r="B1784" s="5" t="s">
        <v>2794</v>
      </c>
      <c r="C1784" s="5" t="s">
        <v>20</v>
      </c>
      <c r="N1784" s="8">
        <v>44432.0</v>
      </c>
    </row>
    <row r="1785">
      <c r="A1785" s="5">
        <v>1784.0</v>
      </c>
      <c r="B1785" s="5" t="s">
        <v>2795</v>
      </c>
      <c r="C1785" s="5" t="s">
        <v>20</v>
      </c>
      <c r="K1785" s="5">
        <v>600.0</v>
      </c>
      <c r="N1785" s="8">
        <v>45117.0</v>
      </c>
    </row>
    <row r="1786">
      <c r="A1786" s="5">
        <v>1785.0</v>
      </c>
      <c r="B1786" s="5" t="s">
        <v>2796</v>
      </c>
      <c r="C1786" s="5" t="s">
        <v>20</v>
      </c>
      <c r="K1786" s="5">
        <v>400.0</v>
      </c>
      <c r="N1786" s="8">
        <v>44804.0</v>
      </c>
    </row>
    <row r="1787">
      <c r="A1787" s="5">
        <v>1786.0</v>
      </c>
      <c r="B1787" s="5" t="s">
        <v>2797</v>
      </c>
      <c r="C1787" s="5" t="s">
        <v>20</v>
      </c>
      <c r="N1787" s="8">
        <v>45843.0</v>
      </c>
    </row>
    <row r="1788">
      <c r="A1788" s="5">
        <v>1787.0</v>
      </c>
      <c r="B1788" s="5" t="s">
        <v>2798</v>
      </c>
      <c r="C1788" s="5" t="s">
        <v>20</v>
      </c>
      <c r="K1788" s="5">
        <v>10.0</v>
      </c>
      <c r="N1788" s="8">
        <v>43887.0</v>
      </c>
    </row>
    <row r="1789">
      <c r="A1789" s="5">
        <v>1788.0</v>
      </c>
      <c r="B1789" s="5" t="s">
        <v>380</v>
      </c>
      <c r="C1789" s="5" t="s">
        <v>20</v>
      </c>
      <c r="K1789" s="5">
        <v>30.0</v>
      </c>
      <c r="N1789" s="8">
        <v>44915.0</v>
      </c>
    </row>
    <row r="1790">
      <c r="A1790" s="5">
        <v>1789.0</v>
      </c>
      <c r="B1790" s="5" t="s">
        <v>2799</v>
      </c>
      <c r="C1790" s="5" t="s">
        <v>20</v>
      </c>
      <c r="K1790" s="5">
        <v>10.0</v>
      </c>
      <c r="N1790" s="8">
        <v>45640.0</v>
      </c>
    </row>
    <row r="1791">
      <c r="A1791" s="5">
        <v>1790.0</v>
      </c>
      <c r="B1791" s="5" t="s">
        <v>2800</v>
      </c>
      <c r="C1791" s="5" t="s">
        <v>20</v>
      </c>
      <c r="K1791" s="5">
        <v>7800.0</v>
      </c>
      <c r="N1791" s="8">
        <v>44116.0</v>
      </c>
    </row>
    <row r="1792">
      <c r="A1792" s="5">
        <v>1791.0</v>
      </c>
      <c r="B1792" s="5" t="s">
        <v>2801</v>
      </c>
      <c r="C1792" s="5" t="s">
        <v>20</v>
      </c>
      <c r="K1792" s="5">
        <v>150.0</v>
      </c>
      <c r="N1792" s="8">
        <v>45273.0</v>
      </c>
    </row>
    <row r="1793">
      <c r="A1793" s="5">
        <v>1792.0</v>
      </c>
      <c r="B1793" s="5" t="s">
        <v>2802</v>
      </c>
      <c r="C1793" s="5" t="s">
        <v>20</v>
      </c>
      <c r="K1793" s="5">
        <v>1600.0</v>
      </c>
      <c r="N1793" s="8">
        <v>44542.0</v>
      </c>
    </row>
    <row r="1794">
      <c r="A1794" s="5">
        <v>1793.0</v>
      </c>
      <c r="B1794" s="5" t="s">
        <v>2803</v>
      </c>
      <c r="C1794" s="5" t="s">
        <v>20</v>
      </c>
      <c r="N1794" s="8">
        <v>44769.0</v>
      </c>
    </row>
    <row r="1795">
      <c r="A1795" s="5">
        <v>1794.0</v>
      </c>
      <c r="B1795" s="5" t="s">
        <v>2804</v>
      </c>
      <c r="C1795" s="5" t="s">
        <v>20</v>
      </c>
      <c r="K1795" s="5">
        <v>150.0</v>
      </c>
      <c r="N1795" s="8">
        <v>45137.0</v>
      </c>
    </row>
    <row r="1796">
      <c r="A1796" s="5">
        <v>1795.0</v>
      </c>
      <c r="B1796" s="5" t="s">
        <v>2805</v>
      </c>
      <c r="C1796" s="5" t="s">
        <v>20</v>
      </c>
      <c r="N1796" s="8">
        <v>44313.0</v>
      </c>
    </row>
    <row r="1797">
      <c r="A1797" s="5">
        <v>1796.0</v>
      </c>
      <c r="B1797" s="5" t="s">
        <v>2806</v>
      </c>
      <c r="C1797" s="5" t="s">
        <v>20</v>
      </c>
      <c r="K1797" s="5">
        <v>350.0</v>
      </c>
      <c r="N1797" s="8">
        <v>44901.0</v>
      </c>
    </row>
    <row r="1798">
      <c r="A1798" s="5">
        <v>1797.0</v>
      </c>
      <c r="B1798" s="5" t="s">
        <v>2807</v>
      </c>
      <c r="C1798" s="5" t="s">
        <v>20</v>
      </c>
      <c r="N1798" s="8">
        <v>44171.0</v>
      </c>
      <c r="O1798" s="5" t="s">
        <v>24</v>
      </c>
      <c r="P1798" s="5" t="s">
        <v>25</v>
      </c>
      <c r="S1798" s="5" t="s">
        <v>38</v>
      </c>
    </row>
    <row r="1799">
      <c r="A1799" s="5">
        <v>1798.0</v>
      </c>
      <c r="B1799" s="5" t="s">
        <v>2808</v>
      </c>
      <c r="C1799" s="5" t="s">
        <v>20</v>
      </c>
      <c r="K1799" s="5">
        <v>400.0</v>
      </c>
      <c r="N1799" s="8">
        <v>44743.0</v>
      </c>
    </row>
    <row r="1800">
      <c r="A1800" s="5">
        <v>1799.0</v>
      </c>
      <c r="B1800" s="5" t="s">
        <v>2809</v>
      </c>
      <c r="C1800" s="5" t="s">
        <v>20</v>
      </c>
      <c r="K1800" s="5">
        <v>300.0</v>
      </c>
      <c r="N1800" s="8">
        <v>44123.0</v>
      </c>
    </row>
    <row r="1801">
      <c r="A1801" s="5">
        <v>1800.0</v>
      </c>
      <c r="B1801" s="5" t="s">
        <v>2810</v>
      </c>
      <c r="C1801" s="5" t="s">
        <v>20</v>
      </c>
      <c r="K1801" s="5">
        <v>400.0</v>
      </c>
      <c r="N1801" s="8">
        <v>44050.0</v>
      </c>
    </row>
    <row r="1802">
      <c r="A1802" s="5">
        <v>1801.0</v>
      </c>
      <c r="B1802" s="5" t="s">
        <v>2811</v>
      </c>
      <c r="C1802" s="5" t="s">
        <v>20</v>
      </c>
      <c r="N1802" s="8">
        <v>42540.0</v>
      </c>
      <c r="O1802" s="5" t="s">
        <v>71</v>
      </c>
      <c r="P1802" s="5" t="s">
        <v>25</v>
      </c>
      <c r="S1802" s="5" t="s">
        <v>118</v>
      </c>
    </row>
    <row r="1803">
      <c r="A1803" s="5">
        <v>1802.0</v>
      </c>
      <c r="B1803" s="5" t="s">
        <v>2812</v>
      </c>
      <c r="C1803" s="5" t="s">
        <v>20</v>
      </c>
      <c r="K1803" s="5">
        <v>600.0</v>
      </c>
      <c r="N1803" s="8">
        <v>44561.0</v>
      </c>
    </row>
    <row r="1804">
      <c r="A1804" s="5">
        <v>1803.0</v>
      </c>
      <c r="B1804" s="5" t="s">
        <v>2813</v>
      </c>
      <c r="C1804" s="5" t="s">
        <v>20</v>
      </c>
      <c r="N1804" s="8">
        <v>44506.0</v>
      </c>
    </row>
    <row r="1805">
      <c r="A1805" s="5">
        <v>1804.0</v>
      </c>
      <c r="B1805" s="5" t="s">
        <v>2814</v>
      </c>
      <c r="C1805" s="5" t="s">
        <v>20</v>
      </c>
      <c r="N1805" s="8">
        <v>42318.0</v>
      </c>
    </row>
    <row r="1806">
      <c r="A1806" s="5">
        <v>1805.0</v>
      </c>
      <c r="B1806" s="5" t="s">
        <v>2815</v>
      </c>
      <c r="C1806" s="5" t="s">
        <v>20</v>
      </c>
      <c r="N1806" s="8">
        <v>42248.0</v>
      </c>
      <c r="O1806" s="5" t="s">
        <v>100</v>
      </c>
      <c r="P1806" s="5" t="s">
        <v>25</v>
      </c>
      <c r="S1806" s="5" t="s">
        <v>29</v>
      </c>
    </row>
    <row r="1807">
      <c r="A1807" s="5">
        <v>1806.0</v>
      </c>
      <c r="B1807" s="5" t="s">
        <v>2816</v>
      </c>
      <c r="C1807" s="5" t="s">
        <v>20</v>
      </c>
      <c r="N1807" s="8">
        <v>44227.0</v>
      </c>
    </row>
    <row r="1808">
      <c r="A1808" s="5">
        <v>1807.0</v>
      </c>
      <c r="B1808" s="5" t="s">
        <v>382</v>
      </c>
      <c r="C1808" s="5" t="s">
        <v>20</v>
      </c>
      <c r="K1808" s="5">
        <v>400.0</v>
      </c>
      <c r="N1808" s="8">
        <v>44698.0</v>
      </c>
    </row>
    <row r="1809">
      <c r="A1809" s="5">
        <v>1808.0</v>
      </c>
      <c r="B1809" s="5" t="s">
        <v>2817</v>
      </c>
      <c r="C1809" s="5" t="s">
        <v>20</v>
      </c>
      <c r="K1809" s="5">
        <v>10.0</v>
      </c>
      <c r="N1809" s="8">
        <v>44461.0</v>
      </c>
    </row>
    <row r="1810">
      <c r="A1810" s="5">
        <v>1809.0</v>
      </c>
      <c r="B1810" s="5" t="s">
        <v>2818</v>
      </c>
      <c r="C1810" s="5" t="s">
        <v>20</v>
      </c>
      <c r="N1810" s="8">
        <v>44919.0</v>
      </c>
    </row>
    <row r="1811">
      <c r="A1811" s="5">
        <v>1810.0</v>
      </c>
      <c r="B1811" s="5" t="s">
        <v>2819</v>
      </c>
      <c r="C1811" s="5" t="s">
        <v>20</v>
      </c>
      <c r="K1811" s="5">
        <v>350.0</v>
      </c>
      <c r="N1811" s="8">
        <v>44747.0</v>
      </c>
    </row>
    <row r="1812">
      <c r="A1812" s="5">
        <v>1811.0</v>
      </c>
      <c r="B1812" s="5" t="s">
        <v>2820</v>
      </c>
      <c r="C1812" s="5" t="s">
        <v>20</v>
      </c>
      <c r="K1812" s="5">
        <v>20.0</v>
      </c>
      <c r="N1812" s="8">
        <v>44652.0</v>
      </c>
    </row>
    <row r="1813">
      <c r="A1813" s="5">
        <v>1812.0</v>
      </c>
      <c r="B1813" s="5" t="s">
        <v>2821</v>
      </c>
      <c r="C1813" s="5" t="s">
        <v>20</v>
      </c>
      <c r="K1813" s="5">
        <v>90.0</v>
      </c>
      <c r="N1813" s="8">
        <v>44324.0</v>
      </c>
    </row>
    <row r="1814">
      <c r="A1814" s="5">
        <v>1813.0</v>
      </c>
      <c r="B1814" s="5" t="s">
        <v>2822</v>
      </c>
      <c r="C1814" s="5" t="s">
        <v>20</v>
      </c>
      <c r="N1814" s="8">
        <v>42828.0</v>
      </c>
    </row>
    <row r="1815">
      <c r="A1815" s="5">
        <v>1814.0</v>
      </c>
      <c r="B1815" s="5" t="s">
        <v>2823</v>
      </c>
      <c r="C1815" s="5" t="s">
        <v>20</v>
      </c>
      <c r="K1815" s="5">
        <v>10.0</v>
      </c>
      <c r="N1815" s="8">
        <v>44927.0</v>
      </c>
    </row>
    <row r="1816">
      <c r="A1816" s="5">
        <v>1815.0</v>
      </c>
      <c r="B1816" s="5" t="s">
        <v>2824</v>
      </c>
      <c r="C1816" s="5" t="s">
        <v>20</v>
      </c>
      <c r="N1816" s="8">
        <v>42459.0</v>
      </c>
    </row>
    <row r="1817">
      <c r="A1817" s="5">
        <v>1816.0</v>
      </c>
      <c r="B1817" s="5" t="s">
        <v>2825</v>
      </c>
      <c r="C1817" s="5" t="s">
        <v>20</v>
      </c>
      <c r="K1817" s="5">
        <v>150.0</v>
      </c>
      <c r="N1817" s="8">
        <v>44366.0</v>
      </c>
    </row>
    <row r="1818">
      <c r="A1818" s="5">
        <v>1817.0</v>
      </c>
      <c r="B1818" s="5" t="s">
        <v>2826</v>
      </c>
      <c r="C1818" s="5" t="s">
        <v>20</v>
      </c>
      <c r="K1818" s="5">
        <v>200.0</v>
      </c>
      <c r="N1818" s="8">
        <v>45024.0</v>
      </c>
    </row>
    <row r="1819">
      <c r="A1819" s="5">
        <v>1818.0</v>
      </c>
      <c r="B1819" s="5" t="s">
        <v>2827</v>
      </c>
      <c r="C1819" s="5" t="s">
        <v>20</v>
      </c>
      <c r="K1819" s="5">
        <v>300.0</v>
      </c>
      <c r="N1819" s="8">
        <v>45132.0</v>
      </c>
    </row>
    <row r="1820">
      <c r="A1820" s="5">
        <v>1819.0</v>
      </c>
      <c r="B1820" s="5" t="s">
        <v>2828</v>
      </c>
      <c r="C1820" s="5" t="s">
        <v>20</v>
      </c>
      <c r="K1820" s="5">
        <v>10.0</v>
      </c>
      <c r="N1820" s="8">
        <v>44944.0</v>
      </c>
    </row>
    <row r="1821">
      <c r="A1821" s="5">
        <v>1820.0</v>
      </c>
      <c r="B1821" s="5" t="s">
        <v>2829</v>
      </c>
      <c r="C1821" s="5" t="s">
        <v>20</v>
      </c>
      <c r="K1821" s="5">
        <v>60.0</v>
      </c>
      <c r="N1821" s="8">
        <v>44046.0</v>
      </c>
    </row>
    <row r="1822">
      <c r="A1822" s="5">
        <v>1821.0</v>
      </c>
      <c r="B1822" s="5" t="s">
        <v>2830</v>
      </c>
      <c r="C1822" s="5" t="s">
        <v>20</v>
      </c>
      <c r="K1822" s="5">
        <v>30.0</v>
      </c>
      <c r="N1822" s="8">
        <v>45192.0</v>
      </c>
    </row>
    <row r="1823">
      <c r="A1823" s="5">
        <v>1822.0</v>
      </c>
      <c r="B1823" s="5" t="s">
        <v>2831</v>
      </c>
      <c r="C1823" s="5" t="s">
        <v>20</v>
      </c>
      <c r="N1823" s="8">
        <v>42560.0</v>
      </c>
    </row>
    <row r="1824">
      <c r="A1824" s="5">
        <v>1823.0</v>
      </c>
      <c r="B1824" s="5" t="s">
        <v>2832</v>
      </c>
      <c r="C1824" s="5" t="s">
        <v>20</v>
      </c>
      <c r="N1824" s="8">
        <v>45552.0</v>
      </c>
    </row>
    <row r="1825">
      <c r="A1825" s="5">
        <v>1824.0</v>
      </c>
      <c r="B1825" s="5" t="s">
        <v>2833</v>
      </c>
      <c r="C1825" s="5" t="s">
        <v>20</v>
      </c>
      <c r="K1825" s="5">
        <v>6100.0</v>
      </c>
      <c r="N1825" s="8">
        <v>44402.0</v>
      </c>
    </row>
    <row r="1826">
      <c r="A1826" s="5">
        <v>1825.0</v>
      </c>
      <c r="B1826" s="5" t="s">
        <v>2834</v>
      </c>
      <c r="C1826" s="5" t="s">
        <v>20</v>
      </c>
      <c r="K1826" s="5">
        <v>70.0</v>
      </c>
      <c r="N1826" s="8">
        <v>45648.0</v>
      </c>
    </row>
    <row r="1827">
      <c r="A1827" s="5">
        <v>1826.0</v>
      </c>
      <c r="B1827" s="5" t="s">
        <v>2835</v>
      </c>
      <c r="C1827" s="5" t="s">
        <v>20</v>
      </c>
      <c r="N1827" s="8">
        <v>42375.0</v>
      </c>
    </row>
    <row r="1828">
      <c r="A1828" s="5">
        <v>1827.0</v>
      </c>
      <c r="B1828" s="5" t="s">
        <v>2836</v>
      </c>
      <c r="C1828" s="5" t="s">
        <v>20</v>
      </c>
      <c r="K1828" s="5">
        <v>900.0</v>
      </c>
      <c r="N1828" s="8">
        <v>44934.0</v>
      </c>
    </row>
    <row r="1829">
      <c r="A1829" s="5">
        <v>1828.0</v>
      </c>
      <c r="B1829" s="5" t="s">
        <v>2837</v>
      </c>
      <c r="C1829" s="5" t="s">
        <v>20</v>
      </c>
      <c r="K1829" s="5">
        <v>350.0</v>
      </c>
      <c r="N1829" s="8">
        <v>44934.0</v>
      </c>
    </row>
    <row r="1830">
      <c r="A1830" s="5">
        <v>1829.0</v>
      </c>
      <c r="B1830" s="5" t="s">
        <v>2838</v>
      </c>
      <c r="C1830" s="5" t="s">
        <v>20</v>
      </c>
      <c r="K1830" s="5">
        <v>200.0</v>
      </c>
      <c r="N1830" s="8">
        <v>45741.0</v>
      </c>
    </row>
    <row r="1831">
      <c r="A1831" s="5">
        <v>1830.0</v>
      </c>
      <c r="B1831" s="5" t="s">
        <v>2839</v>
      </c>
      <c r="C1831" s="5" t="s">
        <v>20</v>
      </c>
      <c r="K1831" s="5">
        <v>450.0</v>
      </c>
      <c r="N1831" s="8">
        <v>43963.0</v>
      </c>
    </row>
    <row r="1832">
      <c r="A1832" s="5">
        <v>1831.0</v>
      </c>
      <c r="B1832" s="5" t="s">
        <v>2840</v>
      </c>
      <c r="C1832" s="5" t="s">
        <v>20</v>
      </c>
      <c r="K1832" s="5">
        <v>10.0</v>
      </c>
      <c r="N1832" s="8">
        <v>44101.0</v>
      </c>
    </row>
    <row r="1833">
      <c r="A1833" s="5">
        <v>1832.0</v>
      </c>
      <c r="B1833" s="5" t="s">
        <v>2841</v>
      </c>
      <c r="C1833" s="5" t="s">
        <v>20</v>
      </c>
      <c r="N1833" s="8">
        <v>44459.0</v>
      </c>
      <c r="O1833" s="5" t="s">
        <v>50</v>
      </c>
      <c r="P1833" s="5" t="s">
        <v>25</v>
      </c>
      <c r="S1833" s="5" t="s">
        <v>38</v>
      </c>
    </row>
    <row r="1834">
      <c r="A1834" s="5">
        <v>1833.0</v>
      </c>
      <c r="B1834" s="5" t="s">
        <v>2842</v>
      </c>
      <c r="C1834" s="5" t="s">
        <v>20</v>
      </c>
      <c r="K1834" s="5">
        <v>450.0</v>
      </c>
      <c r="N1834" s="8">
        <v>45498.0</v>
      </c>
    </row>
    <row r="1835">
      <c r="A1835" s="5">
        <v>1834.0</v>
      </c>
      <c r="B1835" s="5" t="s">
        <v>2843</v>
      </c>
      <c r="C1835" s="5" t="s">
        <v>20</v>
      </c>
      <c r="N1835" s="8">
        <v>45287.0</v>
      </c>
    </row>
    <row r="1836">
      <c r="A1836" s="5">
        <v>1835.0</v>
      </c>
      <c r="B1836" s="5" t="s">
        <v>2844</v>
      </c>
      <c r="C1836" s="5" t="s">
        <v>20</v>
      </c>
      <c r="N1836" s="8">
        <v>43870.0</v>
      </c>
    </row>
    <row r="1837">
      <c r="A1837" s="5">
        <v>1836.0</v>
      </c>
      <c r="B1837" s="5" t="s">
        <v>2845</v>
      </c>
      <c r="C1837" s="5" t="s">
        <v>20</v>
      </c>
      <c r="N1837" s="8">
        <v>43883.0</v>
      </c>
    </row>
    <row r="1838">
      <c r="A1838" s="5">
        <v>1837.0</v>
      </c>
      <c r="B1838" s="5" t="s">
        <v>386</v>
      </c>
      <c r="C1838" s="5" t="s">
        <v>20</v>
      </c>
      <c r="K1838" s="5">
        <v>80.0</v>
      </c>
      <c r="N1838" s="8">
        <v>44964.0</v>
      </c>
    </row>
    <row r="1839">
      <c r="A1839" s="5">
        <v>1838.0</v>
      </c>
      <c r="B1839" s="5" t="s">
        <v>384</v>
      </c>
      <c r="C1839" s="5" t="s">
        <v>20</v>
      </c>
      <c r="K1839" s="5">
        <v>20.0</v>
      </c>
      <c r="N1839" s="8">
        <v>45094.0</v>
      </c>
    </row>
    <row r="1840">
      <c r="A1840" s="5">
        <v>1839.0</v>
      </c>
      <c r="B1840" s="5" t="s">
        <v>2846</v>
      </c>
      <c r="C1840" s="5" t="s">
        <v>20</v>
      </c>
      <c r="K1840" s="5">
        <v>30.0</v>
      </c>
      <c r="N1840" s="8">
        <v>43856.0</v>
      </c>
    </row>
    <row r="1841">
      <c r="A1841" s="5">
        <v>1840.0</v>
      </c>
      <c r="B1841" s="5" t="s">
        <v>2847</v>
      </c>
      <c r="C1841" s="5" t="s">
        <v>20</v>
      </c>
      <c r="N1841" s="8">
        <v>43088.0</v>
      </c>
    </row>
    <row r="1842">
      <c r="A1842" s="5">
        <v>1841.0</v>
      </c>
      <c r="B1842" s="5" t="s">
        <v>388</v>
      </c>
      <c r="C1842" s="5" t="s">
        <v>20</v>
      </c>
      <c r="K1842" s="5">
        <v>90.0</v>
      </c>
      <c r="N1842" s="8">
        <v>45026.0</v>
      </c>
    </row>
    <row r="1843">
      <c r="A1843" s="5">
        <v>1842.0</v>
      </c>
      <c r="B1843" s="5" t="s">
        <v>2848</v>
      </c>
      <c r="C1843" s="5" t="s">
        <v>20</v>
      </c>
      <c r="K1843" s="5">
        <v>90.0</v>
      </c>
      <c r="N1843" s="8">
        <v>45377.0</v>
      </c>
    </row>
    <row r="1844">
      <c r="A1844" s="5">
        <v>1843.0</v>
      </c>
      <c r="B1844" s="5" t="s">
        <v>2849</v>
      </c>
      <c r="C1844" s="5" t="s">
        <v>20</v>
      </c>
      <c r="K1844" s="5">
        <v>200.0</v>
      </c>
      <c r="N1844" s="8">
        <v>44950.0</v>
      </c>
    </row>
    <row r="1845">
      <c r="A1845" s="5">
        <v>1844.0</v>
      </c>
      <c r="B1845" s="5" t="s">
        <v>2850</v>
      </c>
      <c r="C1845" s="5" t="s">
        <v>20</v>
      </c>
      <c r="K1845" s="5">
        <v>50.0</v>
      </c>
      <c r="N1845" s="8">
        <v>44690.0</v>
      </c>
    </row>
    <row r="1846">
      <c r="A1846" s="5">
        <v>1845.0</v>
      </c>
      <c r="B1846" s="5" t="s">
        <v>2851</v>
      </c>
      <c r="C1846" s="5" t="s">
        <v>20</v>
      </c>
      <c r="K1846" s="5">
        <v>300.0</v>
      </c>
      <c r="N1846" s="8">
        <v>44431.0</v>
      </c>
    </row>
    <row r="1847">
      <c r="A1847" s="5">
        <v>1846.0</v>
      </c>
      <c r="B1847" s="5" t="s">
        <v>2852</v>
      </c>
      <c r="C1847" s="5" t="s">
        <v>20</v>
      </c>
      <c r="K1847" s="5">
        <v>100.0</v>
      </c>
      <c r="N1847" s="8">
        <v>45077.0</v>
      </c>
    </row>
    <row r="1848">
      <c r="A1848" s="5">
        <v>1847.0</v>
      </c>
      <c r="B1848" s="5" t="s">
        <v>2853</v>
      </c>
      <c r="C1848" s="5" t="s">
        <v>20</v>
      </c>
      <c r="N1848" s="8">
        <v>43753.0</v>
      </c>
    </row>
    <row r="1849">
      <c r="A1849" s="5">
        <v>1848.0</v>
      </c>
      <c r="B1849" s="5" t="s">
        <v>2854</v>
      </c>
      <c r="C1849" s="5" t="s">
        <v>20</v>
      </c>
      <c r="K1849" s="5">
        <v>30.0</v>
      </c>
      <c r="N1849" s="8">
        <v>42368.0</v>
      </c>
      <c r="O1849" s="5" t="s">
        <v>24</v>
      </c>
      <c r="P1849" s="5" t="s">
        <v>25</v>
      </c>
      <c r="S1849" s="5" t="s">
        <v>29</v>
      </c>
    </row>
    <row r="1850">
      <c r="A1850" s="5">
        <v>1849.0</v>
      </c>
      <c r="B1850" s="5" t="s">
        <v>2855</v>
      </c>
      <c r="C1850" s="5" t="s">
        <v>20</v>
      </c>
      <c r="K1850" s="5">
        <v>250.0</v>
      </c>
      <c r="N1850" s="8">
        <v>45169.0</v>
      </c>
    </row>
    <row r="1851">
      <c r="A1851" s="5">
        <v>1850.0</v>
      </c>
      <c r="B1851" s="5" t="s">
        <v>2856</v>
      </c>
      <c r="C1851" s="5" t="s">
        <v>20</v>
      </c>
      <c r="K1851" s="5">
        <v>20.0</v>
      </c>
      <c r="N1851" s="8">
        <v>45021.0</v>
      </c>
    </row>
    <row r="1852">
      <c r="A1852" s="5">
        <v>1851.0</v>
      </c>
      <c r="B1852" s="5" t="s">
        <v>2857</v>
      </c>
      <c r="C1852" s="5" t="s">
        <v>20</v>
      </c>
      <c r="N1852" s="8">
        <v>43980.0</v>
      </c>
      <c r="O1852" s="5" t="s">
        <v>24</v>
      </c>
      <c r="P1852" s="5" t="s">
        <v>25</v>
      </c>
      <c r="S1852" s="5" t="s">
        <v>38</v>
      </c>
    </row>
    <row r="1853">
      <c r="A1853" s="5">
        <v>1852.0</v>
      </c>
      <c r="B1853" s="5" t="s">
        <v>2262</v>
      </c>
      <c r="C1853" s="5" t="s">
        <v>20</v>
      </c>
      <c r="D1853" s="5">
        <v>45.0</v>
      </c>
      <c r="H1853" s="5" t="s">
        <v>47</v>
      </c>
      <c r="I1853" s="9">
        <v>46088.56255787037</v>
      </c>
      <c r="J1853" s="5" t="s">
        <v>151</v>
      </c>
      <c r="K1853" s="5">
        <v>10.0</v>
      </c>
      <c r="L1853" s="5">
        <v>17000.0</v>
      </c>
      <c r="M1853" s="5">
        <v>17000.0</v>
      </c>
      <c r="N1853" s="8">
        <v>44248.0</v>
      </c>
      <c r="O1853" s="5" t="s">
        <v>24</v>
      </c>
      <c r="P1853" s="5" t="s">
        <v>25</v>
      </c>
      <c r="S1853" s="5" t="s">
        <v>29</v>
      </c>
    </row>
    <row r="1854">
      <c r="A1854" s="5">
        <v>1853.0</v>
      </c>
      <c r="B1854" s="5" t="s">
        <v>2858</v>
      </c>
      <c r="C1854" s="5" t="s">
        <v>20</v>
      </c>
      <c r="N1854" s="8">
        <v>42606.0</v>
      </c>
      <c r="O1854" s="5" t="s">
        <v>583</v>
      </c>
      <c r="P1854" s="5" t="s">
        <v>25</v>
      </c>
      <c r="S1854" s="5" t="s">
        <v>2859</v>
      </c>
    </row>
    <row r="1855">
      <c r="A1855" s="5">
        <v>1854.0</v>
      </c>
      <c r="B1855" s="5" t="s">
        <v>2860</v>
      </c>
      <c r="C1855" s="5" t="s">
        <v>20</v>
      </c>
      <c r="N1855" s="8">
        <v>42666.0</v>
      </c>
    </row>
    <row r="1856">
      <c r="A1856" s="5">
        <v>1855.0</v>
      </c>
      <c r="B1856" s="5" t="s">
        <v>2861</v>
      </c>
      <c r="C1856" s="5" t="s">
        <v>20</v>
      </c>
      <c r="K1856" s="5">
        <v>40.0</v>
      </c>
      <c r="N1856" s="8">
        <v>45311.0</v>
      </c>
    </row>
    <row r="1857">
      <c r="A1857" s="5">
        <v>1856.0</v>
      </c>
      <c r="B1857" s="5" t="s">
        <v>390</v>
      </c>
      <c r="C1857" s="5" t="s">
        <v>20</v>
      </c>
      <c r="N1857" s="8">
        <v>44745.0</v>
      </c>
    </row>
    <row r="1858">
      <c r="A1858" s="5">
        <v>1857.0</v>
      </c>
      <c r="B1858" s="5" t="s">
        <v>2862</v>
      </c>
      <c r="C1858" s="5" t="s">
        <v>20</v>
      </c>
      <c r="K1858" s="5">
        <v>20.0</v>
      </c>
      <c r="N1858" s="8">
        <v>44907.0</v>
      </c>
    </row>
    <row r="1859">
      <c r="A1859" s="5">
        <v>1858.0</v>
      </c>
      <c r="B1859" s="5" t="s">
        <v>2863</v>
      </c>
      <c r="C1859" s="5" t="s">
        <v>20</v>
      </c>
      <c r="K1859" s="5">
        <v>50.0</v>
      </c>
      <c r="N1859" s="8">
        <v>44094.0</v>
      </c>
    </row>
    <row r="1860">
      <c r="A1860" s="5">
        <v>1859.0</v>
      </c>
      <c r="B1860" s="5" t="s">
        <v>2864</v>
      </c>
      <c r="C1860" s="5" t="s">
        <v>20</v>
      </c>
      <c r="K1860" s="5">
        <v>300.0</v>
      </c>
      <c r="N1860" s="8">
        <v>44307.0</v>
      </c>
    </row>
    <row r="1861">
      <c r="A1861" s="5">
        <v>1860.0</v>
      </c>
      <c r="B1861" s="5" t="s">
        <v>2865</v>
      </c>
      <c r="C1861" s="5" t="s">
        <v>20</v>
      </c>
      <c r="K1861" s="5">
        <v>600.0</v>
      </c>
      <c r="N1861" s="8">
        <v>44258.0</v>
      </c>
    </row>
    <row r="1862">
      <c r="A1862" s="5">
        <v>1861.0</v>
      </c>
      <c r="B1862" s="5" t="s">
        <v>2866</v>
      </c>
      <c r="C1862" s="5" t="s">
        <v>20</v>
      </c>
      <c r="N1862" s="8">
        <v>43227.0</v>
      </c>
    </row>
    <row r="1863">
      <c r="A1863" s="5">
        <v>1862.0</v>
      </c>
      <c r="B1863" s="5" t="s">
        <v>2867</v>
      </c>
      <c r="C1863" s="5" t="s">
        <v>20</v>
      </c>
      <c r="K1863" s="5">
        <v>80.0</v>
      </c>
      <c r="N1863" s="8">
        <v>44419.0</v>
      </c>
    </row>
    <row r="1864">
      <c r="A1864" s="5">
        <v>1863.0</v>
      </c>
      <c r="B1864" s="5" t="s">
        <v>2868</v>
      </c>
      <c r="C1864" s="5" t="s">
        <v>20</v>
      </c>
      <c r="K1864" s="5">
        <v>600.0</v>
      </c>
      <c r="N1864" s="8">
        <v>44020.0</v>
      </c>
      <c r="O1864" s="5" t="s">
        <v>50</v>
      </c>
      <c r="P1864" s="5" t="s">
        <v>25</v>
      </c>
      <c r="S1864" s="5" t="s">
        <v>38</v>
      </c>
    </row>
    <row r="1865">
      <c r="A1865" s="5">
        <v>1864.0</v>
      </c>
      <c r="B1865" s="5" t="s">
        <v>2869</v>
      </c>
      <c r="C1865" s="5" t="s">
        <v>20</v>
      </c>
      <c r="N1865" s="8">
        <v>44892.0</v>
      </c>
    </row>
    <row r="1866">
      <c r="A1866" s="5">
        <v>1865.0</v>
      </c>
      <c r="B1866" s="5" t="s">
        <v>2870</v>
      </c>
      <c r="C1866" s="5" t="s">
        <v>20</v>
      </c>
      <c r="K1866" s="5">
        <v>50.0</v>
      </c>
      <c r="N1866" s="8">
        <v>44497.0</v>
      </c>
    </row>
    <row r="1867">
      <c r="A1867" s="5">
        <v>1866.0</v>
      </c>
      <c r="B1867" s="5" t="s">
        <v>2270</v>
      </c>
      <c r="C1867" s="5" t="s">
        <v>20</v>
      </c>
      <c r="D1867" s="5">
        <v>22.0</v>
      </c>
      <c r="H1867" s="5" t="s">
        <v>19</v>
      </c>
      <c r="I1867" s="9">
        <v>46150.13019675926</v>
      </c>
      <c r="J1867" s="5" t="s">
        <v>114</v>
      </c>
      <c r="L1867" s="5">
        <v>137000.0</v>
      </c>
      <c r="M1867" s="5">
        <v>141000.0</v>
      </c>
      <c r="N1867" s="8">
        <v>44144.0</v>
      </c>
      <c r="O1867" s="5" t="s">
        <v>100</v>
      </c>
      <c r="P1867" s="5" t="s">
        <v>25</v>
      </c>
      <c r="S1867" s="5" t="s">
        <v>29</v>
      </c>
    </row>
    <row r="1868">
      <c r="A1868" s="5">
        <v>1867.0</v>
      </c>
      <c r="B1868" s="5" t="s">
        <v>2871</v>
      </c>
      <c r="C1868" s="5" t="s">
        <v>20</v>
      </c>
      <c r="K1868" s="5">
        <v>350.0</v>
      </c>
      <c r="N1868" s="8">
        <v>45862.0</v>
      </c>
    </row>
    <row r="1869">
      <c r="A1869" s="5">
        <v>1868.0</v>
      </c>
      <c r="B1869" s="5" t="s">
        <v>2872</v>
      </c>
      <c r="C1869" s="5" t="s">
        <v>20</v>
      </c>
      <c r="N1869" s="8">
        <v>43987.0</v>
      </c>
    </row>
    <row r="1870">
      <c r="A1870" s="5">
        <v>1869.0</v>
      </c>
      <c r="B1870" s="5" t="s">
        <v>2873</v>
      </c>
      <c r="C1870" s="5" t="s">
        <v>20</v>
      </c>
      <c r="K1870" s="5">
        <v>60.0</v>
      </c>
      <c r="N1870" s="8">
        <v>44445.0</v>
      </c>
    </row>
    <row r="1871">
      <c r="A1871" s="5">
        <v>1870.0</v>
      </c>
      <c r="B1871" s="5" t="s">
        <v>391</v>
      </c>
      <c r="C1871" s="5" t="s">
        <v>20</v>
      </c>
      <c r="K1871" s="5">
        <v>150.0</v>
      </c>
      <c r="N1871" s="8">
        <v>44085.0</v>
      </c>
    </row>
    <row r="1872">
      <c r="A1872" s="5">
        <v>1871.0</v>
      </c>
      <c r="B1872" s="5" t="s">
        <v>2874</v>
      </c>
      <c r="C1872" s="5" t="s">
        <v>20</v>
      </c>
      <c r="N1872" s="8">
        <v>43306.0</v>
      </c>
    </row>
    <row r="1873">
      <c r="A1873" s="5">
        <v>1872.0</v>
      </c>
      <c r="B1873" s="5" t="s">
        <v>393</v>
      </c>
      <c r="C1873" s="5" t="s">
        <v>20</v>
      </c>
      <c r="K1873" s="5">
        <v>200.0</v>
      </c>
      <c r="N1873" s="8">
        <v>44268.0</v>
      </c>
    </row>
    <row r="1874">
      <c r="A1874" s="5">
        <v>1873.0</v>
      </c>
      <c r="B1874" s="5" t="s">
        <v>2875</v>
      </c>
      <c r="C1874" s="5" t="s">
        <v>20</v>
      </c>
      <c r="N1874" s="8">
        <v>42626.0</v>
      </c>
      <c r="O1874" s="5" t="s">
        <v>24</v>
      </c>
      <c r="P1874" s="5" t="s">
        <v>25</v>
      </c>
      <c r="S1874" s="5" t="s">
        <v>38</v>
      </c>
    </row>
    <row r="1875">
      <c r="A1875" s="5">
        <v>1874.0</v>
      </c>
      <c r="B1875" s="5" t="s">
        <v>2876</v>
      </c>
      <c r="C1875" s="5" t="s">
        <v>20</v>
      </c>
      <c r="K1875" s="5">
        <v>600.0</v>
      </c>
      <c r="N1875" s="8">
        <v>44114.0</v>
      </c>
    </row>
    <row r="1876">
      <c r="A1876" s="5">
        <v>1875.0</v>
      </c>
      <c r="B1876" s="5" t="s">
        <v>2877</v>
      </c>
      <c r="C1876" s="5" t="s">
        <v>20</v>
      </c>
      <c r="N1876" s="8">
        <v>44018.0</v>
      </c>
    </row>
    <row r="1877">
      <c r="A1877" s="5">
        <v>1876.0</v>
      </c>
      <c r="B1877" s="5" t="s">
        <v>394</v>
      </c>
      <c r="C1877" s="5" t="s">
        <v>20</v>
      </c>
      <c r="K1877" s="5">
        <v>10.0</v>
      </c>
      <c r="N1877" s="8">
        <v>45101.0</v>
      </c>
    </row>
    <row r="1878">
      <c r="A1878" s="5">
        <v>1877.0</v>
      </c>
      <c r="B1878" s="5" t="s">
        <v>2878</v>
      </c>
      <c r="C1878" s="5" t="s">
        <v>20</v>
      </c>
      <c r="N1878" s="8">
        <v>42679.0</v>
      </c>
    </row>
    <row r="1879">
      <c r="A1879" s="5">
        <v>1878.0</v>
      </c>
      <c r="B1879" s="5" t="s">
        <v>396</v>
      </c>
      <c r="C1879" s="5" t="s">
        <v>20</v>
      </c>
      <c r="K1879" s="5">
        <v>40.0</v>
      </c>
      <c r="N1879" s="8">
        <v>45140.0</v>
      </c>
    </row>
    <row r="1880">
      <c r="A1880" s="5">
        <v>1879.0</v>
      </c>
      <c r="B1880" s="5" t="s">
        <v>2879</v>
      </c>
      <c r="C1880" s="5" t="s">
        <v>20</v>
      </c>
      <c r="N1880" s="8">
        <v>44264.0</v>
      </c>
    </row>
    <row r="1881">
      <c r="A1881" s="5">
        <v>1880.0</v>
      </c>
      <c r="B1881" s="5" t="s">
        <v>2880</v>
      </c>
      <c r="C1881" s="5" t="s">
        <v>20</v>
      </c>
      <c r="K1881" s="5">
        <v>10.0</v>
      </c>
      <c r="N1881" s="8">
        <v>44514.0</v>
      </c>
    </row>
    <row r="1882">
      <c r="A1882" s="5">
        <v>1881.0</v>
      </c>
      <c r="B1882" s="5" t="s">
        <v>2881</v>
      </c>
      <c r="C1882" s="5" t="s">
        <v>20</v>
      </c>
      <c r="K1882" s="5">
        <v>100.0</v>
      </c>
      <c r="N1882" s="8">
        <v>43931.0</v>
      </c>
    </row>
    <row r="1883">
      <c r="A1883" s="5">
        <v>1882.0</v>
      </c>
      <c r="B1883" s="5" t="s">
        <v>2882</v>
      </c>
      <c r="C1883" s="5" t="s">
        <v>20</v>
      </c>
      <c r="N1883" s="8">
        <v>43671.0</v>
      </c>
    </row>
    <row r="1884">
      <c r="A1884" s="5">
        <v>1883.0</v>
      </c>
      <c r="B1884" s="5" t="s">
        <v>2273</v>
      </c>
      <c r="C1884" s="5" t="s">
        <v>20</v>
      </c>
      <c r="D1884" s="5">
        <v>0.0</v>
      </c>
      <c r="H1884" s="5" t="s">
        <v>457</v>
      </c>
      <c r="I1884" s="9">
        <v>46160.718877314815</v>
      </c>
      <c r="J1884" s="5" t="s">
        <v>473</v>
      </c>
      <c r="L1884" s="5">
        <v>40.0</v>
      </c>
      <c r="M1884" s="5">
        <v>40.0</v>
      </c>
      <c r="N1884" s="8">
        <v>43012.0</v>
      </c>
      <c r="O1884" s="5" t="s">
        <v>24</v>
      </c>
      <c r="P1884" s="5" t="s">
        <v>25</v>
      </c>
      <c r="S1884" s="5" t="s">
        <v>118</v>
      </c>
    </row>
    <row r="1885">
      <c r="A1885" s="5">
        <v>1884.0</v>
      </c>
      <c r="B1885" s="5" t="s">
        <v>2883</v>
      </c>
      <c r="C1885" s="5" t="s">
        <v>20</v>
      </c>
      <c r="K1885" s="5">
        <v>200.0</v>
      </c>
      <c r="N1885" s="8">
        <v>44801.0</v>
      </c>
    </row>
    <row r="1886">
      <c r="A1886" s="5">
        <v>1885.0</v>
      </c>
      <c r="B1886" s="5" t="s">
        <v>2884</v>
      </c>
      <c r="C1886" s="5" t="s">
        <v>20</v>
      </c>
      <c r="K1886" s="5">
        <v>350.0</v>
      </c>
      <c r="N1886" s="8">
        <v>42465.0</v>
      </c>
    </row>
    <row r="1887">
      <c r="A1887" s="5">
        <v>1886.0</v>
      </c>
      <c r="B1887" s="5" t="s">
        <v>2885</v>
      </c>
      <c r="C1887" s="5" t="s">
        <v>20</v>
      </c>
      <c r="K1887" s="5">
        <v>10.0</v>
      </c>
      <c r="N1887" s="8">
        <v>45206.0</v>
      </c>
    </row>
    <row r="1888">
      <c r="A1888" s="5">
        <v>1887.0</v>
      </c>
      <c r="B1888" s="5" t="s">
        <v>2886</v>
      </c>
      <c r="C1888" s="5" t="s">
        <v>20</v>
      </c>
      <c r="K1888" s="5">
        <v>20.0</v>
      </c>
      <c r="N1888" s="8">
        <v>44144.0</v>
      </c>
    </row>
    <row r="1889">
      <c r="A1889" s="5">
        <v>1888.0</v>
      </c>
      <c r="B1889" s="5" t="s">
        <v>2887</v>
      </c>
      <c r="C1889" s="5" t="s">
        <v>20</v>
      </c>
      <c r="N1889" s="8">
        <v>43812.0</v>
      </c>
    </row>
    <row r="1890">
      <c r="A1890" s="5">
        <v>1889.0</v>
      </c>
      <c r="B1890" s="5" t="s">
        <v>2888</v>
      </c>
      <c r="C1890" s="5" t="s">
        <v>20</v>
      </c>
      <c r="N1890" s="8">
        <v>42789.0</v>
      </c>
    </row>
    <row r="1891">
      <c r="A1891" s="5">
        <v>1890.0</v>
      </c>
      <c r="B1891" s="5" t="s">
        <v>2889</v>
      </c>
      <c r="C1891" s="5" t="s">
        <v>20</v>
      </c>
      <c r="K1891" s="5">
        <v>250.0</v>
      </c>
      <c r="N1891" s="8">
        <v>44518.0</v>
      </c>
    </row>
    <row r="1892">
      <c r="A1892" s="5">
        <v>1891.0</v>
      </c>
      <c r="B1892" s="5" t="s">
        <v>2890</v>
      </c>
      <c r="C1892" s="5" t="s">
        <v>20</v>
      </c>
      <c r="K1892" s="5">
        <v>5500.0</v>
      </c>
      <c r="N1892" s="8">
        <v>43984.0</v>
      </c>
    </row>
    <row r="1893">
      <c r="A1893" s="5">
        <v>1892.0</v>
      </c>
      <c r="B1893" s="5" t="s">
        <v>2891</v>
      </c>
      <c r="C1893" s="5" t="s">
        <v>20</v>
      </c>
      <c r="K1893" s="5">
        <v>20.0</v>
      </c>
      <c r="N1893" s="8">
        <v>44965.0</v>
      </c>
    </row>
    <row r="1894">
      <c r="A1894" s="5">
        <v>1893.0</v>
      </c>
      <c r="B1894" s="5" t="s">
        <v>2892</v>
      </c>
      <c r="C1894" s="5" t="s">
        <v>20</v>
      </c>
      <c r="N1894" s="8">
        <v>44367.0</v>
      </c>
    </row>
    <row r="1895">
      <c r="A1895" s="5">
        <v>1894.0</v>
      </c>
      <c r="B1895" s="5" t="s">
        <v>2893</v>
      </c>
      <c r="C1895" s="5" t="s">
        <v>20</v>
      </c>
      <c r="K1895" s="5">
        <v>150.0</v>
      </c>
      <c r="N1895" s="8">
        <v>44698.0</v>
      </c>
    </row>
    <row r="1896">
      <c r="A1896" s="5">
        <v>1895.0</v>
      </c>
      <c r="B1896" s="5" t="s">
        <v>2894</v>
      </c>
      <c r="C1896" s="5" t="s">
        <v>20</v>
      </c>
      <c r="N1896" s="8">
        <v>44253.0</v>
      </c>
    </row>
    <row r="1897">
      <c r="A1897" s="5">
        <v>1896.0</v>
      </c>
      <c r="B1897" s="5" t="s">
        <v>2895</v>
      </c>
      <c r="C1897" s="5" t="s">
        <v>20</v>
      </c>
      <c r="N1897" s="8">
        <v>44285.0</v>
      </c>
    </row>
    <row r="1898">
      <c r="A1898" s="5">
        <v>1897.0</v>
      </c>
      <c r="B1898" s="5" t="s">
        <v>2896</v>
      </c>
      <c r="C1898" s="5" t="s">
        <v>20</v>
      </c>
      <c r="K1898" s="5">
        <v>450.0</v>
      </c>
      <c r="N1898" s="8">
        <v>44507.0</v>
      </c>
    </row>
    <row r="1899">
      <c r="A1899" s="5">
        <v>1898.0</v>
      </c>
      <c r="B1899" s="5" t="s">
        <v>2897</v>
      </c>
      <c r="C1899" s="5" t="s">
        <v>20</v>
      </c>
      <c r="K1899" s="5">
        <v>200.0</v>
      </c>
      <c r="N1899" s="8">
        <v>44198.0</v>
      </c>
    </row>
    <row r="1900">
      <c r="A1900" s="5">
        <v>1899.0</v>
      </c>
      <c r="B1900" s="5" t="s">
        <v>2898</v>
      </c>
      <c r="C1900" s="5" t="s">
        <v>20</v>
      </c>
      <c r="N1900" s="8">
        <v>45499.0</v>
      </c>
    </row>
    <row r="1901">
      <c r="A1901" s="5">
        <v>1900.0</v>
      </c>
      <c r="B1901" s="5" t="s">
        <v>2899</v>
      </c>
      <c r="C1901" s="5" t="s">
        <v>20</v>
      </c>
      <c r="N1901" s="8">
        <v>42807.0</v>
      </c>
    </row>
    <row r="1902">
      <c r="A1902" s="5">
        <v>1901.0</v>
      </c>
      <c r="B1902" s="5" t="s">
        <v>2900</v>
      </c>
      <c r="C1902" s="5" t="s">
        <v>20</v>
      </c>
      <c r="K1902" s="5">
        <v>40.0</v>
      </c>
      <c r="N1902" s="8">
        <v>45489.0</v>
      </c>
    </row>
    <row r="1903">
      <c r="A1903" s="5">
        <v>1902.0</v>
      </c>
      <c r="B1903" s="5" t="s">
        <v>2901</v>
      </c>
      <c r="C1903" s="5" t="s">
        <v>20</v>
      </c>
      <c r="K1903" s="5">
        <v>20.0</v>
      </c>
      <c r="N1903" s="8">
        <v>44751.0</v>
      </c>
    </row>
    <row r="1904">
      <c r="A1904" s="5">
        <v>1903.0</v>
      </c>
      <c r="B1904" s="5" t="s">
        <v>2902</v>
      </c>
      <c r="C1904" s="5" t="s">
        <v>20</v>
      </c>
      <c r="K1904" s="5">
        <v>20.0</v>
      </c>
      <c r="N1904" s="8">
        <v>44587.0</v>
      </c>
    </row>
    <row r="1905">
      <c r="A1905" s="5">
        <v>1904.0</v>
      </c>
      <c r="B1905" s="5" t="s">
        <v>2903</v>
      </c>
      <c r="C1905" s="5" t="s">
        <v>20</v>
      </c>
      <c r="K1905" s="5">
        <v>151000.0</v>
      </c>
      <c r="N1905" s="8">
        <v>45823.0</v>
      </c>
    </row>
    <row r="1906">
      <c r="A1906" s="5">
        <v>1905.0</v>
      </c>
      <c r="B1906" s="5" t="s">
        <v>398</v>
      </c>
      <c r="C1906" s="5" t="s">
        <v>20</v>
      </c>
      <c r="K1906" s="5">
        <v>100.0</v>
      </c>
      <c r="N1906" s="8">
        <v>44569.0</v>
      </c>
    </row>
    <row r="1907">
      <c r="A1907" s="5">
        <v>1906.0</v>
      </c>
      <c r="B1907" s="5" t="s">
        <v>2904</v>
      </c>
      <c r="C1907" s="5" t="s">
        <v>20</v>
      </c>
      <c r="K1907" s="5">
        <v>10.0</v>
      </c>
      <c r="N1907" s="8">
        <v>42860.0</v>
      </c>
    </row>
    <row r="1908">
      <c r="A1908" s="5">
        <v>1907.0</v>
      </c>
      <c r="B1908" s="5" t="s">
        <v>2905</v>
      </c>
      <c r="C1908" s="5" t="s">
        <v>20</v>
      </c>
      <c r="N1908" s="8">
        <v>44095.0</v>
      </c>
    </row>
    <row r="1909">
      <c r="A1909" s="5">
        <v>1908.0</v>
      </c>
      <c r="B1909" s="5" t="s">
        <v>2906</v>
      </c>
      <c r="C1909" s="5" t="s">
        <v>20</v>
      </c>
      <c r="K1909" s="5">
        <v>150.0</v>
      </c>
      <c r="N1909" s="8">
        <v>45040.0</v>
      </c>
    </row>
    <row r="1910">
      <c r="A1910" s="5">
        <v>1909.0</v>
      </c>
      <c r="B1910" s="5" t="s">
        <v>2907</v>
      </c>
      <c r="C1910" s="5" t="s">
        <v>20</v>
      </c>
      <c r="K1910" s="5">
        <v>30.0</v>
      </c>
      <c r="N1910" s="8">
        <v>44670.0</v>
      </c>
    </row>
    <row r="1911">
      <c r="A1911" s="5">
        <v>1910.0</v>
      </c>
      <c r="B1911" s="5" t="s">
        <v>2908</v>
      </c>
      <c r="C1911" s="5" t="s">
        <v>20</v>
      </c>
      <c r="K1911" s="5">
        <v>10.0</v>
      </c>
      <c r="N1911" s="8">
        <v>44422.0</v>
      </c>
    </row>
    <row r="1912">
      <c r="A1912" s="5">
        <v>1911.0</v>
      </c>
      <c r="B1912" s="5" t="s">
        <v>2909</v>
      </c>
      <c r="C1912" s="5" t="s">
        <v>20</v>
      </c>
      <c r="K1912" s="5">
        <v>10.0</v>
      </c>
      <c r="N1912" s="8">
        <v>44322.0</v>
      </c>
      <c r="O1912" s="5" t="s">
        <v>50</v>
      </c>
      <c r="P1912" s="5" t="s">
        <v>25</v>
      </c>
      <c r="S1912" s="5" t="s">
        <v>38</v>
      </c>
    </row>
    <row r="1913">
      <c r="A1913" s="5">
        <v>1912.0</v>
      </c>
      <c r="B1913" s="5" t="s">
        <v>2910</v>
      </c>
      <c r="C1913" s="5" t="s">
        <v>20</v>
      </c>
      <c r="K1913" s="5">
        <v>500.0</v>
      </c>
      <c r="N1913" s="8">
        <v>44067.0</v>
      </c>
    </row>
    <row r="1914">
      <c r="A1914" s="5">
        <v>1913.0</v>
      </c>
      <c r="B1914" s="5" t="s">
        <v>2911</v>
      </c>
      <c r="C1914" s="5" t="s">
        <v>20</v>
      </c>
      <c r="K1914" s="5">
        <v>50.0</v>
      </c>
      <c r="N1914" s="8">
        <v>44543.0</v>
      </c>
    </row>
    <row r="1915">
      <c r="A1915" s="5">
        <v>1914.0</v>
      </c>
      <c r="B1915" s="5" t="s">
        <v>2912</v>
      </c>
      <c r="C1915" s="5" t="s">
        <v>20</v>
      </c>
      <c r="N1915" s="8">
        <v>44118.0</v>
      </c>
    </row>
    <row r="1916">
      <c r="A1916" s="5">
        <v>1915.0</v>
      </c>
      <c r="B1916" s="5" t="s">
        <v>2913</v>
      </c>
      <c r="C1916" s="5" t="s">
        <v>20</v>
      </c>
      <c r="D1916" s="5">
        <v>0.0</v>
      </c>
      <c r="H1916" s="5" t="s">
        <v>202</v>
      </c>
      <c r="I1916" s="9">
        <v>46097.797418981485</v>
      </c>
      <c r="J1916" s="5" t="s">
        <v>2914</v>
      </c>
      <c r="K1916" s="5">
        <v>500.0</v>
      </c>
      <c r="L1916" s="5">
        <v>30.0</v>
      </c>
      <c r="M1916" s="5">
        <v>9000.0</v>
      </c>
      <c r="N1916" s="8">
        <v>43900.0</v>
      </c>
      <c r="O1916" s="5" t="s">
        <v>50</v>
      </c>
      <c r="P1916" s="5" t="s">
        <v>25</v>
      </c>
      <c r="S1916" s="5" t="s">
        <v>2915</v>
      </c>
    </row>
    <row r="1917">
      <c r="A1917" s="5">
        <v>1916.0</v>
      </c>
      <c r="B1917" s="5" t="s">
        <v>400</v>
      </c>
      <c r="C1917" s="5" t="s">
        <v>20</v>
      </c>
      <c r="K1917" s="5">
        <v>10.0</v>
      </c>
      <c r="N1917" s="8">
        <v>44862.0</v>
      </c>
    </row>
    <row r="1918">
      <c r="A1918" s="5">
        <v>1917.0</v>
      </c>
      <c r="B1918" s="5" t="s">
        <v>2916</v>
      </c>
      <c r="C1918" s="5" t="s">
        <v>20</v>
      </c>
      <c r="K1918" s="5">
        <v>500.0</v>
      </c>
      <c r="N1918" s="8">
        <v>43984.0</v>
      </c>
    </row>
    <row r="1919">
      <c r="A1919" s="5">
        <v>1918.0</v>
      </c>
      <c r="B1919" s="5" t="s">
        <v>2917</v>
      </c>
      <c r="C1919" s="5" t="s">
        <v>20</v>
      </c>
      <c r="K1919" s="5">
        <v>2800.0</v>
      </c>
      <c r="N1919" s="8">
        <v>44053.0</v>
      </c>
    </row>
    <row r="1920">
      <c r="A1920" s="5">
        <v>1919.0</v>
      </c>
      <c r="B1920" s="5" t="s">
        <v>2918</v>
      </c>
      <c r="C1920" s="5" t="s">
        <v>20</v>
      </c>
      <c r="K1920" s="5">
        <v>9500.0</v>
      </c>
      <c r="N1920" s="8">
        <v>43594.0</v>
      </c>
    </row>
    <row r="1921">
      <c r="A1921" s="5">
        <v>1920.0</v>
      </c>
      <c r="B1921" s="5" t="s">
        <v>2919</v>
      </c>
      <c r="C1921" s="5" t="s">
        <v>20</v>
      </c>
      <c r="K1921" s="5">
        <v>10.0</v>
      </c>
      <c r="N1921" s="8">
        <v>44957.0</v>
      </c>
    </row>
    <row r="1922">
      <c r="A1922" s="5">
        <v>1921.0</v>
      </c>
      <c r="B1922" s="5" t="s">
        <v>2920</v>
      </c>
      <c r="C1922" s="5" t="s">
        <v>20</v>
      </c>
      <c r="K1922" s="5">
        <v>90.0</v>
      </c>
      <c r="N1922" s="8">
        <v>45643.0</v>
      </c>
    </row>
    <row r="1923">
      <c r="A1923" s="5">
        <v>1922.0</v>
      </c>
      <c r="B1923" s="5" t="s">
        <v>2921</v>
      </c>
      <c r="C1923" s="5" t="s">
        <v>20</v>
      </c>
      <c r="K1923" s="5">
        <v>30.0</v>
      </c>
      <c r="N1923" s="8">
        <v>44570.0</v>
      </c>
    </row>
    <row r="1924">
      <c r="A1924" s="5">
        <v>1923.0</v>
      </c>
      <c r="B1924" s="5" t="s">
        <v>2922</v>
      </c>
      <c r="C1924" s="5" t="s">
        <v>20</v>
      </c>
      <c r="N1924" s="8">
        <v>45839.0</v>
      </c>
    </row>
    <row r="1925">
      <c r="A1925" s="5">
        <v>1924.0</v>
      </c>
      <c r="B1925" s="5" t="s">
        <v>401</v>
      </c>
      <c r="C1925" s="5" t="s">
        <v>20</v>
      </c>
      <c r="K1925" s="5">
        <v>150.0</v>
      </c>
      <c r="N1925" s="8">
        <v>44698.0</v>
      </c>
    </row>
    <row r="1926">
      <c r="A1926" s="5">
        <v>1925.0</v>
      </c>
      <c r="B1926" s="5" t="s">
        <v>403</v>
      </c>
      <c r="C1926" s="5" t="s">
        <v>20</v>
      </c>
      <c r="N1926" s="8">
        <v>45425.0</v>
      </c>
    </row>
    <row r="1927">
      <c r="A1927" s="5">
        <v>1926.0</v>
      </c>
      <c r="B1927" s="5" t="s">
        <v>2923</v>
      </c>
      <c r="C1927" s="5" t="s">
        <v>20</v>
      </c>
      <c r="N1927" s="8">
        <v>45194.0</v>
      </c>
    </row>
    <row r="1928">
      <c r="A1928" s="5">
        <v>1927.0</v>
      </c>
      <c r="B1928" s="5" t="s">
        <v>2924</v>
      </c>
      <c r="C1928" s="5" t="s">
        <v>20</v>
      </c>
      <c r="K1928" s="5">
        <v>200.0</v>
      </c>
      <c r="N1928" s="8">
        <v>43943.0</v>
      </c>
    </row>
    <row r="1929">
      <c r="A1929" s="5">
        <v>1928.0</v>
      </c>
      <c r="B1929" s="5" t="s">
        <v>2925</v>
      </c>
      <c r="C1929" s="5" t="s">
        <v>20</v>
      </c>
      <c r="K1929" s="5">
        <v>40.0</v>
      </c>
      <c r="N1929" s="8">
        <v>44743.0</v>
      </c>
    </row>
    <row r="1930">
      <c r="A1930" s="5">
        <v>1929.0</v>
      </c>
      <c r="B1930" s="5" t="s">
        <v>2926</v>
      </c>
      <c r="C1930" s="5" t="s">
        <v>20</v>
      </c>
      <c r="K1930" s="5">
        <v>900.0</v>
      </c>
      <c r="N1930" s="8">
        <v>45634.0</v>
      </c>
    </row>
    <row r="1931">
      <c r="A1931" s="5">
        <v>1930.0</v>
      </c>
      <c r="B1931" s="5" t="s">
        <v>2927</v>
      </c>
      <c r="C1931" s="5" t="s">
        <v>20</v>
      </c>
      <c r="K1931" s="5">
        <v>150.0</v>
      </c>
      <c r="N1931" s="8">
        <v>44528.0</v>
      </c>
    </row>
    <row r="1932">
      <c r="A1932" s="5">
        <v>1931.0</v>
      </c>
      <c r="B1932" s="5" t="s">
        <v>2928</v>
      </c>
      <c r="C1932" s="5" t="s">
        <v>20</v>
      </c>
      <c r="K1932" s="5">
        <v>20.0</v>
      </c>
      <c r="N1932" s="8">
        <v>44514.0</v>
      </c>
    </row>
    <row r="1933">
      <c r="A1933" s="5">
        <v>1932.0</v>
      </c>
      <c r="B1933" s="5" t="s">
        <v>2929</v>
      </c>
      <c r="C1933" s="5" t="s">
        <v>20</v>
      </c>
      <c r="K1933" s="5">
        <v>10.0</v>
      </c>
      <c r="N1933" s="8">
        <v>44563.0</v>
      </c>
    </row>
    <row r="1934">
      <c r="A1934" s="5">
        <v>1933.0</v>
      </c>
      <c r="B1934" s="5" t="s">
        <v>2930</v>
      </c>
      <c r="C1934" s="5" t="s">
        <v>20</v>
      </c>
      <c r="N1934" s="8">
        <v>42326.0</v>
      </c>
    </row>
    <row r="1935">
      <c r="A1935" s="5">
        <v>1934.0</v>
      </c>
      <c r="B1935" s="5" t="s">
        <v>2931</v>
      </c>
      <c r="C1935" s="5" t="s">
        <v>20</v>
      </c>
      <c r="K1935" s="5">
        <v>50.0</v>
      </c>
      <c r="N1935" s="8">
        <v>44133.0</v>
      </c>
    </row>
    <row r="1936">
      <c r="A1936" s="5">
        <v>1935.0</v>
      </c>
      <c r="B1936" s="5" t="s">
        <v>2932</v>
      </c>
      <c r="C1936" s="5" t="s">
        <v>20</v>
      </c>
      <c r="K1936" s="5">
        <v>2800.0</v>
      </c>
      <c r="N1936" s="8">
        <v>44055.0</v>
      </c>
    </row>
    <row r="1937">
      <c r="A1937" s="5">
        <v>1936.0</v>
      </c>
      <c r="B1937" s="5" t="s">
        <v>2933</v>
      </c>
      <c r="C1937" s="5" t="s">
        <v>20</v>
      </c>
      <c r="K1937" s="5">
        <v>10.0</v>
      </c>
      <c r="N1937" s="8">
        <v>44080.0</v>
      </c>
    </row>
    <row r="1938">
      <c r="A1938" s="5">
        <v>1937.0</v>
      </c>
      <c r="B1938" s="5" t="s">
        <v>2934</v>
      </c>
      <c r="C1938" s="5" t="s">
        <v>20</v>
      </c>
      <c r="K1938" s="5">
        <v>50.0</v>
      </c>
      <c r="N1938" s="8">
        <v>45455.0</v>
      </c>
    </row>
    <row r="1939">
      <c r="A1939" s="5">
        <v>1938.0</v>
      </c>
      <c r="B1939" s="5" t="s">
        <v>2935</v>
      </c>
      <c r="C1939" s="5" t="s">
        <v>20</v>
      </c>
      <c r="N1939" s="8">
        <v>43892.0</v>
      </c>
    </row>
    <row r="1940">
      <c r="A1940" s="5">
        <v>1939.0</v>
      </c>
      <c r="B1940" s="5" t="s">
        <v>2936</v>
      </c>
      <c r="C1940" s="5" t="s">
        <v>20</v>
      </c>
      <c r="N1940" s="8">
        <v>44063.0</v>
      </c>
    </row>
    <row r="1941">
      <c r="A1941" s="5">
        <v>1940.0</v>
      </c>
      <c r="B1941" s="5" t="s">
        <v>2937</v>
      </c>
      <c r="C1941" s="5" t="s">
        <v>20</v>
      </c>
      <c r="K1941" s="5">
        <v>600.0</v>
      </c>
      <c r="N1941" s="8">
        <v>45989.0</v>
      </c>
    </row>
    <row r="1942">
      <c r="A1942" s="5">
        <v>1941.0</v>
      </c>
      <c r="B1942" s="5" t="s">
        <v>619</v>
      </c>
      <c r="C1942" s="5" t="s">
        <v>20</v>
      </c>
      <c r="N1942" s="8">
        <v>44594.0</v>
      </c>
    </row>
    <row r="1943">
      <c r="A1943" s="5">
        <v>1942.0</v>
      </c>
      <c r="B1943" s="5" t="s">
        <v>2938</v>
      </c>
      <c r="C1943" s="5" t="s">
        <v>20</v>
      </c>
      <c r="K1943" s="5">
        <v>80.0</v>
      </c>
      <c r="N1943" s="8">
        <v>43989.0</v>
      </c>
    </row>
    <row r="1944">
      <c r="A1944" s="5">
        <v>1943.0</v>
      </c>
      <c r="B1944" s="5" t="s">
        <v>2939</v>
      </c>
      <c r="C1944" s="5" t="s">
        <v>20</v>
      </c>
      <c r="N1944" s="8">
        <v>43842.0</v>
      </c>
    </row>
    <row r="1945">
      <c r="A1945" s="5">
        <v>1944.0</v>
      </c>
      <c r="B1945" s="5" t="s">
        <v>2940</v>
      </c>
      <c r="C1945" s="5" t="s">
        <v>20</v>
      </c>
      <c r="K1945" s="5">
        <v>250.0</v>
      </c>
      <c r="N1945" s="8">
        <v>44582.0</v>
      </c>
    </row>
    <row r="1946">
      <c r="A1946" s="5">
        <v>1945.0</v>
      </c>
      <c r="B1946" s="5" t="s">
        <v>2941</v>
      </c>
      <c r="C1946" s="5" t="s">
        <v>20</v>
      </c>
      <c r="N1946" s="8">
        <v>43134.0</v>
      </c>
    </row>
    <row r="1947">
      <c r="A1947" s="5">
        <v>1946.0</v>
      </c>
      <c r="B1947" s="5" t="s">
        <v>2942</v>
      </c>
      <c r="C1947" s="5" t="s">
        <v>20</v>
      </c>
      <c r="K1947" s="5">
        <v>500.0</v>
      </c>
      <c r="N1947" s="8">
        <v>45884.0</v>
      </c>
    </row>
    <row r="1948">
      <c r="A1948" s="5">
        <v>1947.0</v>
      </c>
      <c r="B1948" s="5" t="s">
        <v>2943</v>
      </c>
      <c r="C1948" s="5" t="s">
        <v>20</v>
      </c>
      <c r="N1948" s="8">
        <v>42865.0</v>
      </c>
    </row>
    <row r="1949">
      <c r="A1949" s="5">
        <v>1948.0</v>
      </c>
      <c r="B1949" s="5" t="s">
        <v>2944</v>
      </c>
      <c r="C1949" s="5" t="s">
        <v>20</v>
      </c>
      <c r="N1949" s="8">
        <v>43477.0</v>
      </c>
    </row>
    <row r="1950">
      <c r="A1950" s="5">
        <v>1949.0</v>
      </c>
      <c r="B1950" s="5" t="s">
        <v>2945</v>
      </c>
      <c r="C1950" s="5" t="s">
        <v>20</v>
      </c>
      <c r="K1950" s="5">
        <v>1100.0</v>
      </c>
      <c r="N1950" s="8">
        <v>45077.0</v>
      </c>
    </row>
    <row r="1951">
      <c r="A1951" s="5">
        <v>1950.0</v>
      </c>
      <c r="B1951" s="5" t="s">
        <v>2946</v>
      </c>
      <c r="C1951" s="5" t="s">
        <v>20</v>
      </c>
      <c r="K1951" s="5">
        <v>1400.0</v>
      </c>
      <c r="N1951" s="8">
        <v>44800.0</v>
      </c>
    </row>
    <row r="1952">
      <c r="A1952" s="5">
        <v>1951.0</v>
      </c>
      <c r="B1952" s="5" t="s">
        <v>2947</v>
      </c>
      <c r="C1952" s="5" t="s">
        <v>20</v>
      </c>
      <c r="N1952" s="8">
        <v>45868.0</v>
      </c>
    </row>
    <row r="1953">
      <c r="A1953" s="5">
        <v>1952.0</v>
      </c>
      <c r="B1953" s="5" t="s">
        <v>2948</v>
      </c>
      <c r="C1953" s="5" t="s">
        <v>20</v>
      </c>
      <c r="N1953" s="8">
        <v>45505.0</v>
      </c>
    </row>
    <row r="1954">
      <c r="A1954" s="5">
        <v>1953.0</v>
      </c>
      <c r="B1954" s="5" t="s">
        <v>2949</v>
      </c>
      <c r="C1954" s="5" t="s">
        <v>20</v>
      </c>
      <c r="N1954" s="8">
        <v>44095.0</v>
      </c>
    </row>
    <row r="1955">
      <c r="A1955" s="5">
        <v>1954.0</v>
      </c>
      <c r="B1955" s="5" t="s">
        <v>405</v>
      </c>
      <c r="C1955" s="5" t="s">
        <v>20</v>
      </c>
      <c r="N1955" s="8">
        <v>45292.0</v>
      </c>
    </row>
    <row r="1956">
      <c r="A1956" s="5">
        <v>1955.0</v>
      </c>
      <c r="B1956" s="5" t="s">
        <v>2950</v>
      </c>
      <c r="C1956" s="5" t="s">
        <v>20</v>
      </c>
      <c r="K1956" s="5">
        <v>700.0</v>
      </c>
      <c r="N1956" s="8">
        <v>44036.0</v>
      </c>
    </row>
    <row r="1957">
      <c r="A1957" s="5">
        <v>1956.0</v>
      </c>
      <c r="B1957" s="5" t="s">
        <v>2951</v>
      </c>
      <c r="C1957" s="5" t="s">
        <v>20</v>
      </c>
      <c r="N1957" s="8">
        <v>43268.0</v>
      </c>
    </row>
    <row r="1958">
      <c r="A1958" s="5">
        <v>1957.0</v>
      </c>
      <c r="B1958" s="5" t="s">
        <v>2278</v>
      </c>
      <c r="C1958" s="5" t="s">
        <v>20</v>
      </c>
      <c r="D1958" s="5">
        <v>2.0</v>
      </c>
      <c r="H1958" s="5" t="s">
        <v>19</v>
      </c>
      <c r="I1958" s="9">
        <v>46141.47987268519</v>
      </c>
      <c r="J1958" s="5" t="s">
        <v>22</v>
      </c>
      <c r="L1958" s="5">
        <v>136000.0</v>
      </c>
      <c r="M1958" s="5">
        <v>140000.0</v>
      </c>
      <c r="N1958" s="8">
        <v>42290.0</v>
      </c>
      <c r="O1958" s="5" t="s">
        <v>24</v>
      </c>
      <c r="P1958" s="5" t="s">
        <v>25</v>
      </c>
      <c r="S1958" s="5" t="s">
        <v>38</v>
      </c>
    </row>
    <row r="1959">
      <c r="A1959" s="5">
        <v>1958.0</v>
      </c>
      <c r="B1959" s="5" t="s">
        <v>2952</v>
      </c>
      <c r="C1959" s="5" t="s">
        <v>20</v>
      </c>
      <c r="K1959" s="5">
        <v>10.0</v>
      </c>
      <c r="N1959" s="8">
        <v>44068.0</v>
      </c>
    </row>
    <row r="1960">
      <c r="A1960" s="5">
        <v>1959.0</v>
      </c>
      <c r="B1960" s="5" t="s">
        <v>2953</v>
      </c>
      <c r="C1960" s="5" t="s">
        <v>20</v>
      </c>
      <c r="K1960" s="5">
        <v>60.0</v>
      </c>
      <c r="N1960" s="8">
        <v>45500.0</v>
      </c>
    </row>
    <row r="1961">
      <c r="A1961" s="5">
        <v>1960.0</v>
      </c>
      <c r="B1961" s="5" t="s">
        <v>2954</v>
      </c>
      <c r="C1961" s="5" t="s">
        <v>20</v>
      </c>
      <c r="N1961" s="8">
        <v>43034.0</v>
      </c>
    </row>
    <row r="1962">
      <c r="A1962" s="5">
        <v>1961.0</v>
      </c>
      <c r="B1962" s="5" t="s">
        <v>2955</v>
      </c>
      <c r="C1962" s="5" t="s">
        <v>20</v>
      </c>
      <c r="K1962" s="5">
        <v>150.0</v>
      </c>
      <c r="N1962" s="8">
        <v>44298.0</v>
      </c>
    </row>
    <row r="1963">
      <c r="A1963" s="5">
        <v>1962.0</v>
      </c>
      <c r="B1963" s="5" t="s">
        <v>2956</v>
      </c>
      <c r="C1963" s="5" t="s">
        <v>20</v>
      </c>
      <c r="K1963" s="5">
        <v>80.0</v>
      </c>
      <c r="N1963" s="8">
        <v>43882.0</v>
      </c>
    </row>
    <row r="1964">
      <c r="A1964" s="5">
        <v>1963.0</v>
      </c>
      <c r="B1964" s="5" t="s">
        <v>2957</v>
      </c>
      <c r="C1964" s="5" t="s">
        <v>20</v>
      </c>
      <c r="N1964" s="8">
        <v>45212.0</v>
      </c>
    </row>
    <row r="1965">
      <c r="A1965" s="5">
        <v>1964.0</v>
      </c>
      <c r="B1965" s="5" t="s">
        <v>2958</v>
      </c>
      <c r="C1965" s="5" t="s">
        <v>20</v>
      </c>
      <c r="N1965" s="8">
        <v>45141.0</v>
      </c>
    </row>
    <row r="1966">
      <c r="A1966" s="5">
        <v>1965.0</v>
      </c>
      <c r="B1966" s="5" t="s">
        <v>2959</v>
      </c>
      <c r="C1966" s="5" t="s">
        <v>20</v>
      </c>
      <c r="K1966" s="5">
        <v>200.0</v>
      </c>
      <c r="N1966" s="8">
        <v>44010.0</v>
      </c>
    </row>
    <row r="1967">
      <c r="A1967" s="5">
        <v>1966.0</v>
      </c>
      <c r="B1967" s="5" t="s">
        <v>2281</v>
      </c>
      <c r="C1967" s="5" t="s">
        <v>20</v>
      </c>
      <c r="D1967" s="5">
        <v>40.0</v>
      </c>
      <c r="F1967" s="5">
        <v>4.5</v>
      </c>
      <c r="H1967" s="5" t="s">
        <v>47</v>
      </c>
      <c r="I1967" s="9">
        <v>46131.60037037037</v>
      </c>
      <c r="J1967" s="5" t="s">
        <v>22</v>
      </c>
      <c r="L1967" s="5">
        <v>16000.0</v>
      </c>
      <c r="M1967" s="5">
        <v>17000.0</v>
      </c>
      <c r="N1967" s="8">
        <v>42475.0</v>
      </c>
      <c r="O1967" s="5" t="s">
        <v>100</v>
      </c>
      <c r="P1967" s="5" t="s">
        <v>25</v>
      </c>
      <c r="S1967" s="5" t="s">
        <v>29</v>
      </c>
    </row>
    <row r="1968">
      <c r="A1968" s="5">
        <v>1967.0</v>
      </c>
      <c r="B1968" s="5" t="s">
        <v>406</v>
      </c>
      <c r="C1968" s="5" t="s">
        <v>20</v>
      </c>
      <c r="K1968" s="5">
        <v>500.0</v>
      </c>
      <c r="N1968" s="8">
        <v>44745.0</v>
      </c>
    </row>
    <row r="1969">
      <c r="A1969" s="5">
        <v>1968.0</v>
      </c>
      <c r="B1969" s="5" t="s">
        <v>407</v>
      </c>
      <c r="C1969" s="5" t="s">
        <v>20</v>
      </c>
      <c r="N1969" s="8">
        <v>44417.0</v>
      </c>
    </row>
    <row r="1970">
      <c r="A1970" s="5">
        <v>1969.0</v>
      </c>
      <c r="B1970" s="5" t="s">
        <v>409</v>
      </c>
      <c r="C1970" s="5" t="s">
        <v>20</v>
      </c>
      <c r="K1970" s="5">
        <v>100.0</v>
      </c>
      <c r="N1970" s="8">
        <v>44167.0</v>
      </c>
    </row>
    <row r="1971">
      <c r="A1971" s="5">
        <v>1970.0</v>
      </c>
      <c r="B1971" s="5" t="s">
        <v>2960</v>
      </c>
      <c r="C1971" s="5" t="s">
        <v>20</v>
      </c>
      <c r="K1971" s="5">
        <v>60.0</v>
      </c>
      <c r="N1971" s="8">
        <v>45623.0</v>
      </c>
    </row>
    <row r="1972">
      <c r="A1972" s="5">
        <v>1971.0</v>
      </c>
      <c r="B1972" s="5" t="s">
        <v>624</v>
      </c>
      <c r="C1972" s="5" t="s">
        <v>20</v>
      </c>
      <c r="N1972" s="8">
        <v>43958.0</v>
      </c>
    </row>
    <row r="1973">
      <c r="A1973" s="5">
        <v>1972.0</v>
      </c>
      <c r="B1973" s="5" t="s">
        <v>2284</v>
      </c>
      <c r="C1973" s="5" t="s">
        <v>20</v>
      </c>
      <c r="D1973" s="5">
        <v>38.0</v>
      </c>
      <c r="H1973" s="5" t="s">
        <v>454</v>
      </c>
      <c r="I1973" s="9">
        <v>46046.38690972222</v>
      </c>
      <c r="J1973" s="5" t="s">
        <v>2286</v>
      </c>
      <c r="L1973" s="5">
        <v>30.0</v>
      </c>
      <c r="M1973" s="5">
        <v>30.0</v>
      </c>
      <c r="N1973" s="8">
        <v>44500.0</v>
      </c>
      <c r="O1973" s="5" t="s">
        <v>184</v>
      </c>
      <c r="P1973" s="5" t="s">
        <v>25</v>
      </c>
      <c r="S1973" s="5" t="s">
        <v>2288</v>
      </c>
    </row>
    <row r="1974">
      <c r="A1974" s="5">
        <v>1973.0</v>
      </c>
      <c r="B1974" s="5" t="s">
        <v>2961</v>
      </c>
      <c r="C1974" s="5" t="s">
        <v>20</v>
      </c>
      <c r="N1974" s="8">
        <v>45531.0</v>
      </c>
    </row>
    <row r="1975">
      <c r="A1975" s="5">
        <v>1974.0</v>
      </c>
      <c r="B1975" s="5" t="s">
        <v>412</v>
      </c>
      <c r="C1975" s="5" t="s">
        <v>20</v>
      </c>
      <c r="K1975" s="5">
        <v>350.0</v>
      </c>
      <c r="N1975" s="8">
        <v>45045.0</v>
      </c>
    </row>
    <row r="1976">
      <c r="A1976" s="5">
        <v>1975.0</v>
      </c>
      <c r="B1976" s="5" t="s">
        <v>2962</v>
      </c>
      <c r="C1976" s="5" t="s">
        <v>20</v>
      </c>
      <c r="K1976" s="5">
        <v>50.0</v>
      </c>
      <c r="N1976" s="8">
        <v>44355.0</v>
      </c>
    </row>
    <row r="1977">
      <c r="A1977" s="5">
        <v>1976.0</v>
      </c>
      <c r="B1977" s="5" t="s">
        <v>413</v>
      </c>
      <c r="C1977" s="5" t="s">
        <v>20</v>
      </c>
      <c r="K1977" s="5">
        <v>100.0</v>
      </c>
      <c r="N1977" s="8">
        <v>44712.0</v>
      </c>
    </row>
    <row r="1978">
      <c r="A1978" s="5">
        <v>1977.0</v>
      </c>
      <c r="B1978" s="5" t="s">
        <v>2963</v>
      </c>
      <c r="C1978" s="5" t="s">
        <v>20</v>
      </c>
      <c r="K1978" s="5">
        <v>100.0</v>
      </c>
      <c r="N1978" s="8">
        <v>45457.0</v>
      </c>
    </row>
    <row r="1979">
      <c r="A1979" s="5">
        <v>1978.0</v>
      </c>
      <c r="B1979" s="5" t="s">
        <v>2964</v>
      </c>
      <c r="C1979" s="5" t="s">
        <v>20</v>
      </c>
      <c r="N1979" s="8">
        <v>43589.0</v>
      </c>
    </row>
    <row r="1980">
      <c r="A1980" s="5">
        <v>1979.0</v>
      </c>
      <c r="B1980" s="5" t="s">
        <v>2965</v>
      </c>
      <c r="C1980" s="5" t="s">
        <v>20</v>
      </c>
      <c r="K1980" s="5">
        <v>200.0</v>
      </c>
      <c r="N1980" s="8">
        <v>44956.0</v>
      </c>
    </row>
    <row r="1981">
      <c r="A1981" s="5">
        <v>1980.0</v>
      </c>
      <c r="B1981" s="5" t="s">
        <v>2966</v>
      </c>
      <c r="C1981" s="5" t="s">
        <v>20</v>
      </c>
      <c r="K1981" s="5">
        <v>90.0</v>
      </c>
      <c r="N1981" s="8">
        <v>44622.0</v>
      </c>
    </row>
    <row r="1982">
      <c r="A1982" s="5">
        <v>1981.0</v>
      </c>
      <c r="B1982" s="5" t="s">
        <v>2967</v>
      </c>
      <c r="C1982" s="5" t="s">
        <v>20</v>
      </c>
      <c r="N1982" s="8">
        <v>42432.0</v>
      </c>
    </row>
    <row r="1983">
      <c r="A1983" s="5">
        <v>1982.0</v>
      </c>
      <c r="B1983" s="5" t="s">
        <v>2968</v>
      </c>
      <c r="C1983" s="5" t="s">
        <v>20</v>
      </c>
      <c r="N1983" s="8">
        <v>44169.0</v>
      </c>
      <c r="O1983" s="5" t="s">
        <v>24</v>
      </c>
      <c r="P1983" s="5" t="s">
        <v>25</v>
      </c>
      <c r="S1983" s="5" t="s">
        <v>38</v>
      </c>
    </row>
    <row r="1984">
      <c r="A1984" s="5">
        <v>1983.0</v>
      </c>
      <c r="B1984" s="5" t="s">
        <v>2969</v>
      </c>
      <c r="C1984" s="5" t="s">
        <v>20</v>
      </c>
      <c r="N1984" s="8">
        <v>44241.0</v>
      </c>
      <c r="O1984" s="5" t="s">
        <v>80</v>
      </c>
      <c r="P1984" s="5" t="s">
        <v>25</v>
      </c>
      <c r="S1984" s="5" t="s">
        <v>29</v>
      </c>
    </row>
    <row r="1985">
      <c r="A1985" s="5">
        <v>1984.0</v>
      </c>
      <c r="B1985" s="5" t="s">
        <v>2970</v>
      </c>
      <c r="C1985" s="5" t="s">
        <v>20</v>
      </c>
      <c r="N1985" s="8">
        <v>45621.0</v>
      </c>
    </row>
    <row r="1986">
      <c r="A1986" s="5">
        <v>1985.0</v>
      </c>
      <c r="B1986" s="5" t="s">
        <v>2971</v>
      </c>
      <c r="C1986" s="5" t="s">
        <v>20</v>
      </c>
      <c r="K1986" s="5">
        <v>200.0</v>
      </c>
      <c r="N1986" s="8">
        <v>45374.0</v>
      </c>
    </row>
    <row r="1987">
      <c r="A1987" s="5">
        <v>1986.0</v>
      </c>
      <c r="B1987" s="5" t="s">
        <v>2972</v>
      </c>
      <c r="C1987" s="5" t="s">
        <v>20</v>
      </c>
      <c r="K1987" s="5">
        <v>10.0</v>
      </c>
      <c r="N1987" s="8">
        <v>45078.0</v>
      </c>
    </row>
    <row r="1988">
      <c r="A1988" s="5">
        <v>1987.0</v>
      </c>
      <c r="B1988" s="5" t="s">
        <v>2973</v>
      </c>
      <c r="C1988" s="5" t="s">
        <v>20</v>
      </c>
      <c r="N1988" s="8">
        <v>45759.0</v>
      </c>
    </row>
    <row r="1989">
      <c r="A1989" s="5">
        <v>1988.0</v>
      </c>
      <c r="B1989" s="5" t="s">
        <v>414</v>
      </c>
      <c r="C1989" s="5" t="s">
        <v>20</v>
      </c>
      <c r="K1989" s="5">
        <v>150.0</v>
      </c>
      <c r="N1989" s="8">
        <v>44328.0</v>
      </c>
    </row>
    <row r="1990">
      <c r="A1990" s="5">
        <v>1989.0</v>
      </c>
      <c r="B1990" s="5" t="s">
        <v>2974</v>
      </c>
      <c r="C1990" s="5" t="s">
        <v>20</v>
      </c>
      <c r="N1990" s="8">
        <v>42433.0</v>
      </c>
    </row>
    <row r="1991">
      <c r="A1991" s="5">
        <v>1990.0</v>
      </c>
      <c r="B1991" s="5" t="s">
        <v>2975</v>
      </c>
      <c r="C1991" s="5" t="s">
        <v>20</v>
      </c>
      <c r="N1991" s="8">
        <v>43842.0</v>
      </c>
    </row>
    <row r="1992">
      <c r="A1992" s="5">
        <v>1991.0</v>
      </c>
      <c r="B1992" s="5" t="s">
        <v>2976</v>
      </c>
      <c r="C1992" s="5" t="s">
        <v>20</v>
      </c>
      <c r="K1992" s="5">
        <v>300.0</v>
      </c>
      <c r="N1992" s="8">
        <v>44480.0</v>
      </c>
    </row>
    <row r="1993">
      <c r="A1993" s="5">
        <v>1992.0</v>
      </c>
      <c r="B1993" s="5" t="s">
        <v>2977</v>
      </c>
      <c r="C1993" s="5" t="s">
        <v>20</v>
      </c>
      <c r="K1993" s="5">
        <v>60.0</v>
      </c>
      <c r="N1993" s="8">
        <v>44520.0</v>
      </c>
    </row>
    <row r="1994">
      <c r="A1994" s="5">
        <v>1993.0</v>
      </c>
      <c r="B1994" s="5" t="s">
        <v>2978</v>
      </c>
      <c r="C1994" s="5" t="s">
        <v>20</v>
      </c>
      <c r="K1994" s="5">
        <v>10.0</v>
      </c>
      <c r="N1994" s="8">
        <v>43843.0</v>
      </c>
    </row>
    <row r="1995">
      <c r="A1995" s="5">
        <v>1994.0</v>
      </c>
      <c r="B1995" s="5" t="s">
        <v>416</v>
      </c>
      <c r="C1995" s="5" t="s">
        <v>20</v>
      </c>
      <c r="K1995" s="5">
        <v>2400.0</v>
      </c>
      <c r="N1995" s="8">
        <v>44241.0</v>
      </c>
    </row>
    <row r="1996">
      <c r="A1996" s="5">
        <v>1995.0</v>
      </c>
      <c r="B1996" s="5" t="s">
        <v>418</v>
      </c>
      <c r="C1996" s="5" t="s">
        <v>20</v>
      </c>
      <c r="K1996" s="5">
        <v>10.0</v>
      </c>
      <c r="N1996" s="8">
        <v>45169.0</v>
      </c>
    </row>
    <row r="1997">
      <c r="A1997" s="5">
        <v>1996.0</v>
      </c>
      <c r="B1997" s="5" t="s">
        <v>2979</v>
      </c>
      <c r="C1997" s="5" t="s">
        <v>20</v>
      </c>
      <c r="K1997" s="5">
        <v>40.0</v>
      </c>
      <c r="N1997" s="8">
        <v>44693.0</v>
      </c>
    </row>
    <row r="1998">
      <c r="A1998" s="5">
        <v>1997.0</v>
      </c>
      <c r="B1998" s="5" t="s">
        <v>2980</v>
      </c>
      <c r="C1998" s="5" t="s">
        <v>20</v>
      </c>
      <c r="K1998" s="5">
        <v>30.0</v>
      </c>
      <c r="N1998" s="8">
        <v>44406.0</v>
      </c>
    </row>
    <row r="1999">
      <c r="A1999" s="5">
        <v>1998.0</v>
      </c>
      <c r="B1999" s="5" t="s">
        <v>2981</v>
      </c>
      <c r="C1999" s="5" t="s">
        <v>20</v>
      </c>
      <c r="N1999" s="8">
        <v>42714.0</v>
      </c>
    </row>
    <row r="2000">
      <c r="A2000" s="5">
        <v>1999.0</v>
      </c>
      <c r="B2000" s="5" t="s">
        <v>2982</v>
      </c>
      <c r="C2000" s="5" t="s">
        <v>20</v>
      </c>
      <c r="K2000" s="5">
        <v>700.0</v>
      </c>
      <c r="N2000" s="8">
        <v>44033.0</v>
      </c>
    </row>
    <row r="2001">
      <c r="A2001" s="5">
        <v>2000.0</v>
      </c>
      <c r="B2001" s="5" t="s">
        <v>419</v>
      </c>
      <c r="C2001" s="5" t="s">
        <v>20</v>
      </c>
      <c r="K2001" s="5">
        <v>10.0</v>
      </c>
      <c r="N2001" s="8">
        <v>44137.0</v>
      </c>
    </row>
    <row r="2002">
      <c r="A2002" s="5">
        <v>2001.0</v>
      </c>
      <c r="B2002" s="5" t="s">
        <v>2983</v>
      </c>
      <c r="C2002" s="5" t="s">
        <v>20</v>
      </c>
      <c r="K2002" s="5">
        <v>600.0</v>
      </c>
      <c r="N2002" s="8">
        <v>44652.0</v>
      </c>
    </row>
    <row r="2003">
      <c r="A2003" s="5">
        <v>2002.0</v>
      </c>
      <c r="B2003" s="5" t="s">
        <v>2984</v>
      </c>
      <c r="C2003" s="5" t="s">
        <v>20</v>
      </c>
      <c r="N2003" s="8">
        <v>42264.0</v>
      </c>
    </row>
    <row r="2004">
      <c r="A2004" s="5">
        <v>2003.0</v>
      </c>
      <c r="B2004" s="5" t="s">
        <v>626</v>
      </c>
      <c r="C2004" s="5" t="s">
        <v>20</v>
      </c>
      <c r="N2004" s="8">
        <v>44307.0</v>
      </c>
    </row>
    <row r="2005">
      <c r="A2005" s="5">
        <v>2004.0</v>
      </c>
      <c r="B2005" s="5" t="s">
        <v>2985</v>
      </c>
      <c r="C2005" s="5" t="s">
        <v>20</v>
      </c>
      <c r="N2005" s="8">
        <v>44146.0</v>
      </c>
    </row>
    <row r="2006">
      <c r="A2006" s="5">
        <v>2005.0</v>
      </c>
      <c r="B2006" s="5" t="s">
        <v>2986</v>
      </c>
      <c r="C2006" s="5" t="s">
        <v>20</v>
      </c>
      <c r="K2006" s="5">
        <v>500.0</v>
      </c>
      <c r="N2006" s="8">
        <v>44927.0</v>
      </c>
    </row>
    <row r="2007">
      <c r="A2007" s="5">
        <v>2006.0</v>
      </c>
      <c r="B2007" s="5" t="s">
        <v>421</v>
      </c>
      <c r="C2007" s="5" t="s">
        <v>20</v>
      </c>
      <c r="K2007" s="5">
        <v>150.0</v>
      </c>
      <c r="N2007" s="8">
        <v>44852.0</v>
      </c>
    </row>
    <row r="2008">
      <c r="A2008" s="5">
        <v>2007.0</v>
      </c>
      <c r="B2008" s="5" t="s">
        <v>2987</v>
      </c>
      <c r="C2008" s="5" t="s">
        <v>20</v>
      </c>
      <c r="N2008" s="8">
        <v>45576.0</v>
      </c>
    </row>
    <row r="2009">
      <c r="A2009" s="5">
        <v>2008.0</v>
      </c>
      <c r="B2009" s="5" t="s">
        <v>2988</v>
      </c>
      <c r="C2009" s="5" t="s">
        <v>20</v>
      </c>
      <c r="N2009" s="8">
        <v>42708.0</v>
      </c>
    </row>
    <row r="2010">
      <c r="A2010" s="5">
        <v>2009.0</v>
      </c>
      <c r="B2010" s="5" t="s">
        <v>2989</v>
      </c>
      <c r="C2010" s="5" t="s">
        <v>20</v>
      </c>
      <c r="K2010" s="5">
        <v>100.0</v>
      </c>
      <c r="N2010" s="8">
        <v>45418.0</v>
      </c>
    </row>
    <row r="2011">
      <c r="A2011" s="5">
        <v>2010.0</v>
      </c>
      <c r="B2011" s="5" t="s">
        <v>2990</v>
      </c>
      <c r="C2011" s="5" t="s">
        <v>20</v>
      </c>
      <c r="K2011" s="5">
        <v>50.0</v>
      </c>
      <c r="N2011" s="8">
        <v>44502.0</v>
      </c>
    </row>
    <row r="2012">
      <c r="A2012" s="5">
        <v>2011.0</v>
      </c>
      <c r="B2012" s="5" t="s">
        <v>2991</v>
      </c>
      <c r="C2012" s="5" t="s">
        <v>20</v>
      </c>
      <c r="K2012" s="5">
        <v>30.0</v>
      </c>
      <c r="N2012" s="8">
        <v>44624.0</v>
      </c>
    </row>
    <row r="2013">
      <c r="A2013" s="5">
        <v>2012.0</v>
      </c>
      <c r="B2013" s="5" t="s">
        <v>2992</v>
      </c>
      <c r="C2013" s="5" t="s">
        <v>20</v>
      </c>
      <c r="K2013" s="5">
        <v>70.0</v>
      </c>
      <c r="N2013" s="8">
        <v>45203.0</v>
      </c>
    </row>
    <row r="2014">
      <c r="A2014" s="5">
        <v>2013.0</v>
      </c>
      <c r="B2014" s="5" t="s">
        <v>2993</v>
      </c>
      <c r="C2014" s="5" t="s">
        <v>20</v>
      </c>
      <c r="N2014" s="8">
        <v>43955.0</v>
      </c>
      <c r="O2014" s="5" t="s">
        <v>24</v>
      </c>
      <c r="P2014" s="5" t="s">
        <v>25</v>
      </c>
      <c r="S2014" s="5" t="s">
        <v>38</v>
      </c>
    </row>
    <row r="2015">
      <c r="A2015" s="5">
        <v>2014.0</v>
      </c>
      <c r="B2015" s="5" t="s">
        <v>2994</v>
      </c>
      <c r="C2015" s="5" t="s">
        <v>20</v>
      </c>
      <c r="N2015" s="8">
        <v>44319.0</v>
      </c>
    </row>
    <row r="2016">
      <c r="A2016" s="5">
        <v>2015.0</v>
      </c>
      <c r="B2016" s="5" t="s">
        <v>422</v>
      </c>
      <c r="C2016" s="5" t="s">
        <v>20</v>
      </c>
      <c r="K2016" s="5">
        <v>30.0</v>
      </c>
      <c r="N2016" s="8">
        <v>44926.0</v>
      </c>
    </row>
    <row r="2017">
      <c r="A2017" s="5">
        <v>2016.0</v>
      </c>
      <c r="B2017" s="5" t="s">
        <v>2995</v>
      </c>
      <c r="C2017" s="5" t="s">
        <v>20</v>
      </c>
      <c r="N2017" s="8">
        <v>45741.0</v>
      </c>
    </row>
    <row r="2018">
      <c r="A2018" s="5">
        <v>2017.0</v>
      </c>
      <c r="B2018" s="5" t="s">
        <v>2996</v>
      </c>
      <c r="C2018" s="5" t="s">
        <v>20</v>
      </c>
      <c r="K2018" s="5">
        <v>300.0</v>
      </c>
      <c r="N2018" s="8">
        <v>44542.0</v>
      </c>
    </row>
    <row r="2019">
      <c r="A2019" s="5">
        <v>2018.0</v>
      </c>
      <c r="B2019" s="5" t="s">
        <v>2997</v>
      </c>
      <c r="C2019" s="5" t="s">
        <v>20</v>
      </c>
      <c r="K2019" s="5">
        <v>30.0</v>
      </c>
      <c r="N2019" s="8">
        <v>43853.0</v>
      </c>
    </row>
    <row r="2020">
      <c r="A2020" s="5">
        <v>2019.0</v>
      </c>
      <c r="B2020" s="5" t="s">
        <v>2998</v>
      </c>
      <c r="C2020" s="5" t="s">
        <v>20</v>
      </c>
      <c r="N2020" s="8">
        <v>42352.0</v>
      </c>
      <c r="O2020" s="5" t="s">
        <v>50</v>
      </c>
      <c r="P2020" s="5" t="s">
        <v>25</v>
      </c>
      <c r="S2020" s="5" t="s">
        <v>2999</v>
      </c>
    </row>
    <row r="2021">
      <c r="A2021" s="5">
        <v>2020.0</v>
      </c>
      <c r="B2021" s="5" t="s">
        <v>3000</v>
      </c>
      <c r="C2021" s="5" t="s">
        <v>20</v>
      </c>
      <c r="K2021" s="5">
        <v>40.0</v>
      </c>
      <c r="N2021" s="8">
        <v>44281.0</v>
      </c>
    </row>
    <row r="2022">
      <c r="A2022" s="5">
        <v>2021.0</v>
      </c>
      <c r="B2022" s="5" t="s">
        <v>423</v>
      </c>
      <c r="C2022" s="5" t="s">
        <v>20</v>
      </c>
      <c r="K2022" s="5">
        <v>150.0</v>
      </c>
      <c r="N2022" s="8">
        <v>45279.0</v>
      </c>
    </row>
    <row r="2023">
      <c r="A2023" s="5">
        <v>2022.0</v>
      </c>
      <c r="B2023" s="5" t="s">
        <v>629</v>
      </c>
      <c r="C2023" s="5" t="s">
        <v>20</v>
      </c>
      <c r="D2023" s="5">
        <v>13.0</v>
      </c>
      <c r="H2023" s="5" t="s">
        <v>305</v>
      </c>
      <c r="I2023" s="9">
        <v>46123.63990740741</v>
      </c>
      <c r="J2023" s="5" t="s">
        <v>206</v>
      </c>
      <c r="L2023" s="5">
        <v>30.0</v>
      </c>
      <c r="M2023" s="5">
        <v>60.0</v>
      </c>
      <c r="N2023" s="8">
        <v>44487.0</v>
      </c>
      <c r="O2023" s="5" t="s">
        <v>464</v>
      </c>
      <c r="P2023" s="5" t="s">
        <v>25</v>
      </c>
      <c r="S2023" s="5" t="s">
        <v>75</v>
      </c>
    </row>
    <row r="2024">
      <c r="A2024" s="5">
        <v>2023.0</v>
      </c>
      <c r="B2024" s="5" t="s">
        <v>3001</v>
      </c>
      <c r="C2024" s="5" t="s">
        <v>20</v>
      </c>
      <c r="K2024" s="5">
        <v>200.0</v>
      </c>
      <c r="N2024" s="8">
        <v>44124.0</v>
      </c>
    </row>
    <row r="2025">
      <c r="A2025" s="5">
        <v>2024.0</v>
      </c>
      <c r="B2025" s="5" t="s">
        <v>3002</v>
      </c>
      <c r="C2025" s="5" t="s">
        <v>20</v>
      </c>
      <c r="K2025" s="5">
        <v>450.0</v>
      </c>
      <c r="N2025" s="8">
        <v>44412.0</v>
      </c>
    </row>
    <row r="2026">
      <c r="A2026" s="5">
        <v>2025.0</v>
      </c>
      <c r="B2026" s="5" t="s">
        <v>426</v>
      </c>
      <c r="C2026" s="5" t="s">
        <v>20</v>
      </c>
      <c r="K2026" s="5">
        <v>10.0</v>
      </c>
      <c r="N2026" s="8">
        <v>45219.0</v>
      </c>
    </row>
    <row r="2027">
      <c r="A2027" s="5">
        <v>2026.0</v>
      </c>
      <c r="B2027" s="5" t="s">
        <v>3003</v>
      </c>
      <c r="C2027" s="5" t="s">
        <v>20</v>
      </c>
      <c r="N2027" s="8">
        <v>42344.0</v>
      </c>
      <c r="O2027" s="5" t="s">
        <v>100</v>
      </c>
      <c r="P2027" s="5" t="s">
        <v>25</v>
      </c>
      <c r="S2027" s="5" t="s">
        <v>38</v>
      </c>
    </row>
    <row r="2028">
      <c r="A2028" s="5">
        <v>2027.0</v>
      </c>
      <c r="B2028" s="5" t="s">
        <v>3004</v>
      </c>
      <c r="C2028" s="5" t="s">
        <v>20</v>
      </c>
      <c r="N2028" s="8">
        <v>45301.0</v>
      </c>
    </row>
    <row r="2029">
      <c r="A2029" s="5">
        <v>2028.0</v>
      </c>
      <c r="B2029" s="5" t="s">
        <v>3005</v>
      </c>
      <c r="C2029" s="5" t="s">
        <v>20</v>
      </c>
      <c r="N2029" s="8">
        <v>45565.0</v>
      </c>
    </row>
    <row r="2030">
      <c r="A2030" s="5">
        <v>2029.0</v>
      </c>
      <c r="B2030" s="5" t="s">
        <v>3006</v>
      </c>
      <c r="C2030" s="5" t="s">
        <v>20</v>
      </c>
      <c r="N2030" s="8">
        <v>43655.0</v>
      </c>
      <c r="O2030" s="5" t="s">
        <v>184</v>
      </c>
      <c r="P2030" s="5" t="s">
        <v>25</v>
      </c>
      <c r="S2030" s="5" t="s">
        <v>3007</v>
      </c>
    </row>
    <row r="2031">
      <c r="A2031" s="5">
        <v>2030.0</v>
      </c>
      <c r="B2031" s="5" t="s">
        <v>3008</v>
      </c>
      <c r="C2031" s="5" t="s">
        <v>20</v>
      </c>
      <c r="N2031" s="8">
        <v>43341.0</v>
      </c>
    </row>
    <row r="2032">
      <c r="A2032" s="5">
        <v>2031.0</v>
      </c>
      <c r="B2032" s="5" t="s">
        <v>3009</v>
      </c>
      <c r="C2032" s="5" t="s">
        <v>20</v>
      </c>
      <c r="K2032" s="5">
        <v>700.0</v>
      </c>
      <c r="N2032" s="8">
        <v>44463.0</v>
      </c>
    </row>
    <row r="2033">
      <c r="A2033" s="5">
        <v>2032.0</v>
      </c>
      <c r="B2033" s="5" t="s">
        <v>633</v>
      </c>
      <c r="C2033" s="5" t="s">
        <v>20</v>
      </c>
      <c r="N2033" s="8">
        <v>44801.0</v>
      </c>
    </row>
    <row r="2034">
      <c r="A2034" s="5">
        <v>2033.0</v>
      </c>
      <c r="B2034" s="5" t="s">
        <v>428</v>
      </c>
      <c r="C2034" s="5" t="s">
        <v>20</v>
      </c>
      <c r="N2034" s="8">
        <v>44139.0</v>
      </c>
    </row>
    <row r="2035">
      <c r="A2035" s="5">
        <v>2034.0</v>
      </c>
      <c r="B2035" s="5" t="s">
        <v>3010</v>
      </c>
      <c r="C2035" s="5" t="s">
        <v>20</v>
      </c>
      <c r="N2035" s="8">
        <v>44508.0</v>
      </c>
    </row>
    <row r="2036">
      <c r="A2036" s="5">
        <v>2035.0</v>
      </c>
      <c r="B2036" s="5" t="s">
        <v>637</v>
      </c>
      <c r="C2036" s="5" t="s">
        <v>20</v>
      </c>
      <c r="N2036" s="8">
        <v>42410.0</v>
      </c>
    </row>
    <row r="2037">
      <c r="A2037" s="5">
        <v>2036.0</v>
      </c>
      <c r="B2037" s="5" t="s">
        <v>3011</v>
      </c>
      <c r="C2037" s="5" t="s">
        <v>20</v>
      </c>
      <c r="N2037" s="8">
        <v>44831.0</v>
      </c>
    </row>
    <row r="2038">
      <c r="A2038" s="5">
        <v>2037.0</v>
      </c>
      <c r="B2038" s="5" t="s">
        <v>2304</v>
      </c>
      <c r="C2038" s="5" t="s">
        <v>20</v>
      </c>
      <c r="D2038" s="5">
        <v>0.0</v>
      </c>
      <c r="H2038" s="5" t="s">
        <v>19</v>
      </c>
      <c r="I2038" s="9">
        <v>46122.52116898148</v>
      </c>
      <c r="J2038" s="5" t="s">
        <v>600</v>
      </c>
      <c r="L2038" s="5">
        <v>136000.0</v>
      </c>
      <c r="M2038" s="5">
        <v>140000.0</v>
      </c>
      <c r="N2038" s="8">
        <v>42979.0</v>
      </c>
      <c r="O2038" s="5" t="s">
        <v>184</v>
      </c>
      <c r="P2038" s="5" t="s">
        <v>25</v>
      </c>
      <c r="S2038" s="5" t="s">
        <v>118</v>
      </c>
    </row>
    <row r="2039">
      <c r="A2039" s="5">
        <v>2038.0</v>
      </c>
      <c r="B2039" s="5" t="s">
        <v>3012</v>
      </c>
      <c r="C2039" s="5" t="s">
        <v>20</v>
      </c>
      <c r="N2039" s="8">
        <v>43870.0</v>
      </c>
    </row>
    <row r="2040">
      <c r="A2040" s="5">
        <v>2039.0</v>
      </c>
      <c r="B2040" s="5" t="s">
        <v>3013</v>
      </c>
      <c r="C2040" s="5" t="s">
        <v>20</v>
      </c>
      <c r="N2040" s="8">
        <v>42425.0</v>
      </c>
    </row>
    <row r="2041">
      <c r="A2041" s="5">
        <v>2040.0</v>
      </c>
      <c r="B2041" s="5" t="s">
        <v>3014</v>
      </c>
      <c r="C2041" s="5" t="s">
        <v>20</v>
      </c>
      <c r="K2041" s="5">
        <v>80.0</v>
      </c>
      <c r="N2041" s="8">
        <v>44454.0</v>
      </c>
    </row>
    <row r="2042">
      <c r="A2042" s="5">
        <v>2041.0</v>
      </c>
      <c r="B2042" s="5" t="s">
        <v>3015</v>
      </c>
      <c r="C2042" s="5" t="s">
        <v>20</v>
      </c>
      <c r="K2042" s="5">
        <v>50.0</v>
      </c>
      <c r="N2042" s="8">
        <v>44723.0</v>
      </c>
    </row>
    <row r="2043">
      <c r="A2043" s="5">
        <v>2042.0</v>
      </c>
      <c r="B2043" s="5" t="s">
        <v>3016</v>
      </c>
      <c r="C2043" s="5" t="s">
        <v>20</v>
      </c>
      <c r="K2043" s="5">
        <v>60.0</v>
      </c>
      <c r="N2043" s="8">
        <v>44661.0</v>
      </c>
    </row>
    <row r="2044">
      <c r="A2044" s="5">
        <v>2043.0</v>
      </c>
      <c r="B2044" s="5" t="s">
        <v>430</v>
      </c>
      <c r="C2044" s="5" t="s">
        <v>20</v>
      </c>
      <c r="K2044" s="5">
        <v>300.0</v>
      </c>
      <c r="N2044" s="8">
        <v>44038.0</v>
      </c>
    </row>
    <row r="2045">
      <c r="A2045" s="5">
        <v>2044.0</v>
      </c>
      <c r="B2045" s="5" t="s">
        <v>3017</v>
      </c>
      <c r="C2045" s="5" t="s">
        <v>20</v>
      </c>
      <c r="N2045" s="8">
        <v>44179.0</v>
      </c>
    </row>
    <row r="2046">
      <c r="A2046" s="5">
        <v>2045.0</v>
      </c>
      <c r="B2046" s="5" t="s">
        <v>433</v>
      </c>
      <c r="C2046" s="5" t="s">
        <v>20</v>
      </c>
      <c r="K2046" s="5">
        <v>100.0</v>
      </c>
      <c r="N2046" s="8">
        <v>43895.0</v>
      </c>
    </row>
    <row r="2047">
      <c r="A2047" s="5">
        <v>2046.0</v>
      </c>
      <c r="B2047" s="5" t="s">
        <v>3018</v>
      </c>
      <c r="C2047" s="5" t="s">
        <v>20</v>
      </c>
      <c r="N2047" s="8">
        <v>42925.0</v>
      </c>
    </row>
    <row r="2048">
      <c r="A2048" s="5">
        <v>2047.0</v>
      </c>
      <c r="B2048" s="5" t="s">
        <v>3019</v>
      </c>
      <c r="C2048" s="5" t="s">
        <v>20</v>
      </c>
      <c r="N2048" s="8">
        <v>44574.0</v>
      </c>
    </row>
    <row r="2049">
      <c r="A2049" s="5">
        <v>2048.0</v>
      </c>
      <c r="B2049" s="5" t="s">
        <v>3020</v>
      </c>
      <c r="C2049" s="5" t="s">
        <v>20</v>
      </c>
      <c r="N2049" s="8">
        <v>42453.0</v>
      </c>
    </row>
    <row r="2050">
      <c r="A2050" s="5">
        <v>2049.0</v>
      </c>
      <c r="B2050" s="5" t="s">
        <v>3021</v>
      </c>
      <c r="C2050" s="5" t="s">
        <v>20</v>
      </c>
      <c r="K2050" s="5">
        <v>50.0</v>
      </c>
      <c r="N2050" s="8">
        <v>44688.0</v>
      </c>
    </row>
    <row r="2051">
      <c r="A2051" s="5">
        <v>2050.0</v>
      </c>
      <c r="B2051" s="5" t="s">
        <v>3022</v>
      </c>
      <c r="C2051" s="5" t="s">
        <v>20</v>
      </c>
      <c r="K2051" s="5">
        <v>150.0</v>
      </c>
      <c r="N2051" s="8">
        <v>42251.0</v>
      </c>
    </row>
    <row r="2052">
      <c r="A2052" s="5">
        <v>2051.0</v>
      </c>
      <c r="B2052" s="5" t="s">
        <v>435</v>
      </c>
      <c r="C2052" s="5" t="s">
        <v>20</v>
      </c>
      <c r="K2052" s="5">
        <v>80.0</v>
      </c>
      <c r="N2052" s="8">
        <v>45428.0</v>
      </c>
    </row>
    <row r="2053">
      <c r="A2053" s="5">
        <v>2052.0</v>
      </c>
      <c r="B2053" s="5" t="s">
        <v>3023</v>
      </c>
      <c r="C2053" s="5" t="s">
        <v>20</v>
      </c>
      <c r="K2053" s="5">
        <v>2200.0</v>
      </c>
      <c r="N2053" s="8">
        <v>44919.0</v>
      </c>
    </row>
    <row r="2054">
      <c r="A2054" s="5">
        <v>2053.0</v>
      </c>
      <c r="B2054" s="5" t="s">
        <v>3024</v>
      </c>
      <c r="C2054" s="5" t="s">
        <v>20</v>
      </c>
      <c r="K2054" s="5">
        <v>10.0</v>
      </c>
      <c r="N2054" s="8">
        <v>44297.0</v>
      </c>
    </row>
    <row r="2055">
      <c r="A2055" s="5">
        <v>2054.0</v>
      </c>
      <c r="B2055" s="5" t="s">
        <v>3025</v>
      </c>
      <c r="C2055" s="5" t="s">
        <v>20</v>
      </c>
      <c r="K2055" s="5">
        <v>400.0</v>
      </c>
      <c r="N2055" s="8">
        <v>45406.0</v>
      </c>
    </row>
    <row r="2056">
      <c r="A2056" s="5">
        <v>2055.0</v>
      </c>
      <c r="B2056" s="5" t="s">
        <v>3026</v>
      </c>
      <c r="C2056" s="5" t="s">
        <v>20</v>
      </c>
      <c r="K2056" s="5">
        <v>200.0</v>
      </c>
      <c r="N2056" s="8">
        <v>44500.0</v>
      </c>
    </row>
    <row r="2057">
      <c r="A2057" s="5">
        <v>2056.0</v>
      </c>
      <c r="B2057" s="5" t="s">
        <v>3027</v>
      </c>
      <c r="C2057" s="5" t="s">
        <v>20</v>
      </c>
      <c r="N2057" s="8">
        <v>42548.0</v>
      </c>
    </row>
    <row r="2058">
      <c r="A2058" s="5">
        <v>2057.0</v>
      </c>
      <c r="B2058" s="5" t="s">
        <v>3028</v>
      </c>
      <c r="C2058" s="5" t="s">
        <v>20</v>
      </c>
      <c r="K2058" s="5">
        <v>10.0</v>
      </c>
      <c r="N2058" s="8">
        <v>44103.0</v>
      </c>
    </row>
    <row r="2059">
      <c r="A2059" s="5">
        <v>2058.0</v>
      </c>
      <c r="B2059" s="5" t="s">
        <v>3029</v>
      </c>
      <c r="C2059" s="5" t="s">
        <v>20</v>
      </c>
      <c r="N2059" s="8">
        <v>42492.0</v>
      </c>
    </row>
    <row r="2060">
      <c r="A2060" s="5">
        <v>2059.0</v>
      </c>
      <c r="B2060" s="5" t="s">
        <v>3030</v>
      </c>
      <c r="C2060" s="5" t="s">
        <v>20</v>
      </c>
      <c r="N2060" s="8">
        <v>45301.0</v>
      </c>
    </row>
    <row r="2061">
      <c r="A2061" s="5">
        <v>2060.0</v>
      </c>
      <c r="B2061" s="5" t="s">
        <v>3031</v>
      </c>
      <c r="C2061" s="5" t="s">
        <v>20</v>
      </c>
      <c r="K2061" s="5">
        <v>60.0</v>
      </c>
      <c r="N2061" s="8">
        <v>44380.0</v>
      </c>
    </row>
    <row r="2062">
      <c r="A2062" s="5">
        <v>2061.0</v>
      </c>
      <c r="B2062" s="5" t="s">
        <v>3032</v>
      </c>
      <c r="C2062" s="5" t="s">
        <v>20</v>
      </c>
      <c r="N2062" s="8">
        <v>44379.0</v>
      </c>
    </row>
    <row r="2063">
      <c r="A2063" s="5">
        <v>2062.0</v>
      </c>
      <c r="B2063" s="5" t="s">
        <v>3033</v>
      </c>
      <c r="C2063" s="5" t="s">
        <v>20</v>
      </c>
      <c r="K2063" s="5">
        <v>10.0</v>
      </c>
      <c r="N2063" s="8">
        <v>45041.0</v>
      </c>
    </row>
    <row r="2064">
      <c r="A2064" s="5">
        <v>2063.0</v>
      </c>
      <c r="B2064" s="5" t="s">
        <v>3034</v>
      </c>
      <c r="C2064" s="5" t="s">
        <v>20</v>
      </c>
      <c r="N2064" s="8">
        <v>44606.0</v>
      </c>
    </row>
    <row r="2065">
      <c r="A2065" s="5">
        <v>2064.0</v>
      </c>
      <c r="B2065" s="5" t="s">
        <v>3035</v>
      </c>
      <c r="C2065" s="5" t="s">
        <v>20</v>
      </c>
      <c r="K2065" s="5">
        <v>10.0</v>
      </c>
      <c r="N2065" s="8">
        <v>44423.0</v>
      </c>
    </row>
    <row r="2066">
      <c r="A2066" s="5">
        <v>2065.0</v>
      </c>
      <c r="B2066" s="5" t="s">
        <v>3036</v>
      </c>
      <c r="C2066" s="5" t="s">
        <v>20</v>
      </c>
      <c r="N2066" s="8">
        <v>44745.0</v>
      </c>
    </row>
    <row r="2067">
      <c r="A2067" s="5">
        <v>2066.0</v>
      </c>
      <c r="B2067" s="5" t="s">
        <v>438</v>
      </c>
      <c r="C2067" s="5" t="s">
        <v>20</v>
      </c>
      <c r="K2067" s="5">
        <v>150.0</v>
      </c>
      <c r="N2067" s="8">
        <v>44395.0</v>
      </c>
    </row>
    <row r="2068">
      <c r="A2068" s="5">
        <v>2067.0</v>
      </c>
      <c r="B2068" s="5" t="s">
        <v>3037</v>
      </c>
      <c r="C2068" s="5" t="s">
        <v>20</v>
      </c>
      <c r="K2068" s="5">
        <v>40.0</v>
      </c>
      <c r="N2068" s="8">
        <v>44055.0</v>
      </c>
    </row>
    <row r="2069">
      <c r="A2069" s="5">
        <v>2068.0</v>
      </c>
      <c r="B2069" s="5" t="s">
        <v>3038</v>
      </c>
      <c r="C2069" s="5" t="s">
        <v>20</v>
      </c>
      <c r="N2069" s="8">
        <v>44020.0</v>
      </c>
    </row>
    <row r="2070">
      <c r="A2070" s="5">
        <v>2069.0</v>
      </c>
      <c r="B2070" s="5" t="s">
        <v>3039</v>
      </c>
      <c r="C2070" s="5" t="s">
        <v>20</v>
      </c>
      <c r="N2070" s="8">
        <v>42362.0</v>
      </c>
    </row>
    <row r="2071">
      <c r="A2071" s="5">
        <v>2070.0</v>
      </c>
      <c r="B2071" s="5" t="s">
        <v>3040</v>
      </c>
      <c r="C2071" s="5" t="s">
        <v>20</v>
      </c>
      <c r="N2071" s="8">
        <v>45513.0</v>
      </c>
    </row>
    <row r="2072">
      <c r="A2072" s="5">
        <v>2071.0</v>
      </c>
      <c r="B2072" s="5" t="s">
        <v>3041</v>
      </c>
      <c r="C2072" s="5" t="s">
        <v>20</v>
      </c>
      <c r="K2072" s="5">
        <v>300.0</v>
      </c>
      <c r="N2072" s="8">
        <v>44681.0</v>
      </c>
    </row>
    <row r="2073">
      <c r="A2073" s="5">
        <v>2072.0</v>
      </c>
      <c r="B2073" s="5" t="s">
        <v>3042</v>
      </c>
      <c r="C2073" s="5" t="s">
        <v>20</v>
      </c>
      <c r="K2073" s="5">
        <v>450.0</v>
      </c>
      <c r="N2073" s="8">
        <v>44138.0</v>
      </c>
    </row>
    <row r="2074">
      <c r="A2074" s="5">
        <v>2073.0</v>
      </c>
      <c r="B2074" s="5" t="s">
        <v>3043</v>
      </c>
      <c r="C2074" s="5" t="s">
        <v>20</v>
      </c>
      <c r="N2074" s="8">
        <v>44408.0</v>
      </c>
    </row>
    <row r="2075">
      <c r="A2075" s="5">
        <v>2074.0</v>
      </c>
      <c r="B2075" s="5" t="s">
        <v>3044</v>
      </c>
      <c r="C2075" s="5" t="s">
        <v>20</v>
      </c>
      <c r="K2075" s="5">
        <v>20.0</v>
      </c>
      <c r="N2075" s="8">
        <v>43347.0</v>
      </c>
    </row>
    <row r="2076">
      <c r="A2076" s="5">
        <v>2075.0</v>
      </c>
      <c r="B2076" s="5" t="s">
        <v>3045</v>
      </c>
      <c r="C2076" s="5" t="s">
        <v>20</v>
      </c>
      <c r="K2076" s="5">
        <v>350.0</v>
      </c>
      <c r="N2076" s="8">
        <v>45491.0</v>
      </c>
    </row>
    <row r="2077">
      <c r="A2077" s="5">
        <v>2076.0</v>
      </c>
      <c r="B2077" s="5" t="s">
        <v>3046</v>
      </c>
      <c r="C2077" s="5" t="s">
        <v>20</v>
      </c>
      <c r="N2077" s="8">
        <v>42809.0</v>
      </c>
    </row>
    <row r="2078">
      <c r="A2078" s="5">
        <v>2077.0</v>
      </c>
      <c r="B2078" s="5" t="s">
        <v>3047</v>
      </c>
      <c r="C2078" s="5" t="s">
        <v>20</v>
      </c>
      <c r="N2078" s="8">
        <v>42583.0</v>
      </c>
    </row>
    <row r="2079">
      <c r="A2079" s="5">
        <v>2078.0</v>
      </c>
      <c r="B2079" s="5" t="s">
        <v>3048</v>
      </c>
      <c r="C2079" s="5" t="s">
        <v>20</v>
      </c>
      <c r="N2079" s="8">
        <v>44863.0</v>
      </c>
    </row>
    <row r="2080">
      <c r="A2080" s="5">
        <v>2079.0</v>
      </c>
      <c r="B2080" s="5" t="s">
        <v>3049</v>
      </c>
      <c r="C2080" s="5" t="s">
        <v>20</v>
      </c>
      <c r="K2080" s="5">
        <v>40.0</v>
      </c>
      <c r="N2080" s="8">
        <v>44206.0</v>
      </c>
    </row>
    <row r="2081">
      <c r="A2081" s="5">
        <v>2080.0</v>
      </c>
      <c r="B2081" s="5" t="s">
        <v>3050</v>
      </c>
      <c r="C2081" s="5" t="s">
        <v>20</v>
      </c>
      <c r="K2081" s="5">
        <v>3400.0</v>
      </c>
      <c r="N2081" s="8">
        <v>44529.0</v>
      </c>
    </row>
    <row r="2082">
      <c r="A2082" s="5">
        <v>2081.0</v>
      </c>
      <c r="B2082" s="5" t="s">
        <v>3051</v>
      </c>
      <c r="C2082" s="5" t="s">
        <v>20</v>
      </c>
      <c r="N2082" s="8">
        <v>42683.0</v>
      </c>
    </row>
    <row r="2083">
      <c r="A2083" s="5">
        <v>2082.0</v>
      </c>
      <c r="B2083" s="5" t="s">
        <v>3052</v>
      </c>
      <c r="C2083" s="5" t="s">
        <v>20</v>
      </c>
      <c r="K2083" s="5">
        <v>450.0</v>
      </c>
      <c r="N2083" s="8">
        <v>45323.0</v>
      </c>
    </row>
    <row r="2084">
      <c r="A2084" s="5">
        <v>2083.0</v>
      </c>
      <c r="B2084" s="5" t="s">
        <v>439</v>
      </c>
      <c r="C2084" s="5" t="s">
        <v>20</v>
      </c>
      <c r="K2084" s="5">
        <v>10.0</v>
      </c>
      <c r="N2084" s="8">
        <v>44425.0</v>
      </c>
    </row>
    <row r="2085">
      <c r="A2085" s="5">
        <v>2084.0</v>
      </c>
      <c r="B2085" s="5" t="s">
        <v>3053</v>
      </c>
      <c r="C2085" s="5" t="s">
        <v>20</v>
      </c>
      <c r="K2085" s="5">
        <v>10.0</v>
      </c>
      <c r="N2085" s="8">
        <v>45253.0</v>
      </c>
    </row>
    <row r="2086">
      <c r="A2086" s="5">
        <v>2085.0</v>
      </c>
      <c r="B2086" s="5" t="s">
        <v>3054</v>
      </c>
      <c r="C2086" s="5" t="s">
        <v>20</v>
      </c>
      <c r="K2086" s="5">
        <v>40.0</v>
      </c>
      <c r="N2086" s="8">
        <v>45129.0</v>
      </c>
    </row>
    <row r="2087">
      <c r="A2087" s="5">
        <v>2086.0</v>
      </c>
      <c r="B2087" s="5" t="s">
        <v>3055</v>
      </c>
      <c r="C2087" s="5" t="s">
        <v>20</v>
      </c>
      <c r="N2087" s="8">
        <v>44929.0</v>
      </c>
    </row>
    <row r="2088">
      <c r="A2088" s="5">
        <v>2087.0</v>
      </c>
      <c r="B2088" s="5" t="s">
        <v>3056</v>
      </c>
      <c r="C2088" s="5" t="s">
        <v>20</v>
      </c>
      <c r="K2088" s="5">
        <v>40.0</v>
      </c>
      <c r="N2088" s="8">
        <v>44516.0</v>
      </c>
    </row>
    <row r="2089">
      <c r="A2089" s="5">
        <v>2088.0</v>
      </c>
      <c r="B2089" s="5" t="s">
        <v>639</v>
      </c>
      <c r="C2089" s="5" t="s">
        <v>20</v>
      </c>
      <c r="N2089" s="8">
        <v>42346.0</v>
      </c>
    </row>
    <row r="2090">
      <c r="A2090" s="5">
        <v>2089.0</v>
      </c>
      <c r="B2090" s="5" t="s">
        <v>3057</v>
      </c>
      <c r="C2090" s="5" t="s">
        <v>20</v>
      </c>
      <c r="N2090" s="8">
        <v>43532.0</v>
      </c>
      <c r="O2090" s="5" t="s">
        <v>184</v>
      </c>
      <c r="P2090" s="5" t="s">
        <v>25</v>
      </c>
      <c r="S2090" s="5" t="s">
        <v>38</v>
      </c>
    </row>
    <row r="2091">
      <c r="A2091" s="5">
        <v>2090.0</v>
      </c>
      <c r="B2091" s="5" t="s">
        <v>441</v>
      </c>
      <c r="C2091" s="5" t="s">
        <v>20</v>
      </c>
      <c r="K2091" s="5">
        <v>30.0</v>
      </c>
      <c r="N2091" s="8">
        <v>45317.0</v>
      </c>
    </row>
    <row r="2092">
      <c r="A2092" s="5">
        <v>2091.0</v>
      </c>
      <c r="B2092" s="5" t="s">
        <v>3058</v>
      </c>
      <c r="C2092" s="5" t="s">
        <v>20</v>
      </c>
      <c r="N2092" s="8">
        <v>44139.0</v>
      </c>
    </row>
    <row r="2093">
      <c r="A2093" s="5">
        <v>2092.0</v>
      </c>
      <c r="B2093" s="5" t="s">
        <v>3059</v>
      </c>
      <c r="C2093" s="5" t="s">
        <v>20</v>
      </c>
      <c r="N2093" s="8">
        <v>44110.0</v>
      </c>
      <c r="O2093" s="5" t="s">
        <v>184</v>
      </c>
      <c r="P2093" s="5" t="s">
        <v>25</v>
      </c>
      <c r="S2093" s="5" t="s">
        <v>38</v>
      </c>
    </row>
    <row r="2094">
      <c r="A2094" s="5">
        <v>2093.0</v>
      </c>
      <c r="B2094" s="5" t="s">
        <v>3060</v>
      </c>
      <c r="C2094" s="5" t="s">
        <v>20</v>
      </c>
      <c r="K2094" s="5">
        <v>2000.0</v>
      </c>
      <c r="N2094" s="8">
        <v>44486.0</v>
      </c>
    </row>
    <row r="2095">
      <c r="A2095" s="5">
        <v>2094.0</v>
      </c>
      <c r="B2095" s="5" t="s">
        <v>443</v>
      </c>
      <c r="C2095" s="5" t="s">
        <v>20</v>
      </c>
      <c r="K2095" s="5">
        <v>2200.0</v>
      </c>
      <c r="N2095" s="8">
        <v>44743.0</v>
      </c>
    </row>
    <row r="2096">
      <c r="A2096" s="5">
        <v>2095.0</v>
      </c>
      <c r="B2096" s="5" t="s">
        <v>3061</v>
      </c>
      <c r="C2096" s="5" t="s">
        <v>20</v>
      </c>
      <c r="N2096" s="8">
        <v>42613.0</v>
      </c>
    </row>
    <row r="2097">
      <c r="A2097" s="5">
        <v>2096.0</v>
      </c>
      <c r="B2097" s="5" t="s">
        <v>3062</v>
      </c>
      <c r="C2097" s="5" t="s">
        <v>20</v>
      </c>
      <c r="K2097" s="5">
        <v>40.0</v>
      </c>
      <c r="N2097" s="8">
        <v>44503.0</v>
      </c>
    </row>
    <row r="2098">
      <c r="A2098" s="5">
        <v>2097.0</v>
      </c>
      <c r="B2098" s="5" t="s">
        <v>3063</v>
      </c>
      <c r="C2098" s="5" t="s">
        <v>20</v>
      </c>
      <c r="K2098" s="5">
        <v>1000.0</v>
      </c>
      <c r="N2098" s="8">
        <v>44202.0</v>
      </c>
    </row>
    <row r="2099">
      <c r="A2099" s="5">
        <v>2098.0</v>
      </c>
      <c r="B2099" s="5" t="s">
        <v>3064</v>
      </c>
      <c r="C2099" s="5" t="s">
        <v>20</v>
      </c>
      <c r="N2099" s="8">
        <v>42758.0</v>
      </c>
    </row>
    <row r="2100">
      <c r="A2100" s="5">
        <v>2099.0</v>
      </c>
      <c r="B2100" s="5" t="s">
        <v>3065</v>
      </c>
      <c r="C2100" s="5" t="s">
        <v>20</v>
      </c>
      <c r="F2100" s="5">
        <v>1.4</v>
      </c>
      <c r="N2100" s="8">
        <v>42503.0</v>
      </c>
    </row>
    <row r="2101">
      <c r="A2101" s="5">
        <v>2100.0</v>
      </c>
      <c r="B2101" s="5" t="s">
        <v>3066</v>
      </c>
      <c r="C2101" s="5" t="s">
        <v>20</v>
      </c>
      <c r="K2101" s="5">
        <v>10.0</v>
      </c>
      <c r="N2101" s="8">
        <v>44759.0</v>
      </c>
    </row>
    <row r="2102">
      <c r="A2102" s="5">
        <v>2101.0</v>
      </c>
      <c r="B2102" s="5" t="s">
        <v>3067</v>
      </c>
      <c r="C2102" s="5" t="s">
        <v>20</v>
      </c>
      <c r="N2102" s="8">
        <v>43609.0</v>
      </c>
    </row>
    <row r="2103">
      <c r="A2103" s="5">
        <v>2102.0</v>
      </c>
      <c r="B2103" s="5" t="s">
        <v>445</v>
      </c>
      <c r="C2103" s="5" t="s">
        <v>20</v>
      </c>
      <c r="K2103" s="5">
        <v>200.0</v>
      </c>
      <c r="N2103" s="8">
        <v>45355.0</v>
      </c>
    </row>
    <row r="2104">
      <c r="A2104" s="5">
        <v>2103.0</v>
      </c>
      <c r="B2104" s="5" t="s">
        <v>3068</v>
      </c>
      <c r="C2104" s="5" t="s">
        <v>20</v>
      </c>
      <c r="K2104" s="5">
        <v>100.0</v>
      </c>
      <c r="N2104" s="8">
        <v>45935.0</v>
      </c>
    </row>
    <row r="2105">
      <c r="A2105" s="5">
        <v>2104.0</v>
      </c>
      <c r="B2105" s="5" t="s">
        <v>3069</v>
      </c>
      <c r="C2105" s="5" t="s">
        <v>20</v>
      </c>
      <c r="K2105" s="5">
        <v>80.0</v>
      </c>
      <c r="N2105" s="8">
        <v>44782.0</v>
      </c>
    </row>
    <row r="2106">
      <c r="A2106" s="5">
        <v>2105.0</v>
      </c>
      <c r="B2106" s="5" t="s">
        <v>3070</v>
      </c>
      <c r="C2106" s="5" t="s">
        <v>20</v>
      </c>
      <c r="K2106" s="5">
        <v>10.0</v>
      </c>
      <c r="N2106" s="8">
        <v>44449.0</v>
      </c>
    </row>
    <row r="2107">
      <c r="A2107" s="5">
        <v>2106.0</v>
      </c>
      <c r="B2107" s="5" t="s">
        <v>3071</v>
      </c>
      <c r="C2107" s="5" t="s">
        <v>20</v>
      </c>
      <c r="N2107" s="8">
        <v>44485.0</v>
      </c>
      <c r="O2107" s="5" t="s">
        <v>184</v>
      </c>
      <c r="P2107" s="5" t="s">
        <v>25</v>
      </c>
      <c r="S2107" s="5" t="s">
        <v>118</v>
      </c>
    </row>
    <row r="2108">
      <c r="A2108" s="5">
        <v>2107.0</v>
      </c>
      <c r="B2108" s="5" t="s">
        <v>3072</v>
      </c>
      <c r="C2108" s="5" t="s">
        <v>20</v>
      </c>
      <c r="N2108" s="8">
        <v>43217.0</v>
      </c>
      <c r="O2108" s="5" t="s">
        <v>24</v>
      </c>
      <c r="P2108" s="5" t="s">
        <v>25</v>
      </c>
      <c r="S2108" s="5" t="s">
        <v>38</v>
      </c>
    </row>
    <row r="2109">
      <c r="A2109" s="5">
        <v>2108.0</v>
      </c>
      <c r="B2109" s="5" t="s">
        <v>3073</v>
      </c>
      <c r="C2109" s="5" t="s">
        <v>20</v>
      </c>
      <c r="K2109" s="5">
        <v>6100.0</v>
      </c>
      <c r="N2109" s="8">
        <v>45625.0</v>
      </c>
    </row>
    <row r="2110">
      <c r="A2110" s="5">
        <v>2109.0</v>
      </c>
      <c r="B2110" s="5" t="s">
        <v>3074</v>
      </c>
      <c r="C2110" s="5" t="s">
        <v>20</v>
      </c>
      <c r="K2110" s="5">
        <v>500.0</v>
      </c>
      <c r="N2110" s="8">
        <v>44047.0</v>
      </c>
    </row>
    <row r="2111">
      <c r="A2111" s="5">
        <v>2110.0</v>
      </c>
      <c r="B2111" s="5" t="s">
        <v>3075</v>
      </c>
      <c r="C2111" s="5" t="s">
        <v>20</v>
      </c>
      <c r="K2111" s="5">
        <v>250.0</v>
      </c>
      <c r="N2111" s="8">
        <v>44034.0</v>
      </c>
    </row>
    <row r="2112">
      <c r="A2112" s="5">
        <v>2111.0</v>
      </c>
      <c r="B2112" s="5" t="s">
        <v>3076</v>
      </c>
      <c r="C2112" s="5" t="s">
        <v>20</v>
      </c>
      <c r="K2112" s="5">
        <v>250.0</v>
      </c>
      <c r="N2112" s="8">
        <v>44608.0</v>
      </c>
    </row>
    <row r="2113">
      <c r="A2113" s="5">
        <v>2112.0</v>
      </c>
      <c r="B2113" s="5" t="s">
        <v>3077</v>
      </c>
      <c r="C2113" s="5" t="s">
        <v>20</v>
      </c>
      <c r="K2113" s="5">
        <v>70.0</v>
      </c>
      <c r="N2113" s="8">
        <v>45296.0</v>
      </c>
    </row>
    <row r="2114">
      <c r="A2114" s="5">
        <v>2113.0</v>
      </c>
      <c r="B2114" s="5" t="s">
        <v>3078</v>
      </c>
      <c r="C2114" s="5" t="s">
        <v>20</v>
      </c>
      <c r="N2114" s="8">
        <v>45624.0</v>
      </c>
    </row>
    <row r="2115">
      <c r="A2115" s="5">
        <v>2114.0</v>
      </c>
      <c r="B2115" s="5" t="s">
        <v>3079</v>
      </c>
      <c r="C2115" s="5" t="s">
        <v>20</v>
      </c>
      <c r="K2115" s="5">
        <v>1600.0</v>
      </c>
      <c r="N2115" s="8">
        <v>44531.0</v>
      </c>
    </row>
    <row r="2116">
      <c r="A2116" s="5">
        <v>2115.0</v>
      </c>
      <c r="B2116" s="5" t="s">
        <v>448</v>
      </c>
      <c r="C2116" s="5" t="s">
        <v>20</v>
      </c>
      <c r="K2116" s="5">
        <v>10.0</v>
      </c>
      <c r="N2116" s="8">
        <v>44070.0</v>
      </c>
    </row>
    <row r="2117">
      <c r="A2117" s="5">
        <v>2116.0</v>
      </c>
      <c r="B2117" s="5" t="s">
        <v>3080</v>
      </c>
      <c r="C2117" s="5" t="s">
        <v>20</v>
      </c>
      <c r="N2117" s="8">
        <v>45345.0</v>
      </c>
    </row>
    <row r="2118">
      <c r="A2118" s="5">
        <v>2117.0</v>
      </c>
      <c r="B2118" s="5" t="s">
        <v>3081</v>
      </c>
      <c r="C2118" s="5" t="s">
        <v>20</v>
      </c>
      <c r="N2118" s="8">
        <v>42389.0</v>
      </c>
    </row>
    <row r="2119">
      <c r="A2119" s="5">
        <v>2118.0</v>
      </c>
      <c r="B2119" s="5" t="s">
        <v>3082</v>
      </c>
      <c r="C2119" s="5" t="s">
        <v>20</v>
      </c>
      <c r="K2119" s="5">
        <v>80.0</v>
      </c>
      <c r="N2119" s="8">
        <v>43862.0</v>
      </c>
    </row>
    <row r="2120">
      <c r="A2120" s="5">
        <v>2119.0</v>
      </c>
      <c r="B2120" s="5" t="s">
        <v>3083</v>
      </c>
      <c r="C2120" s="5" t="s">
        <v>20</v>
      </c>
      <c r="N2120" s="8">
        <v>44464.0</v>
      </c>
    </row>
    <row r="2121">
      <c r="A2121" s="5">
        <v>2120.0</v>
      </c>
      <c r="B2121" s="5" t="s">
        <v>3084</v>
      </c>
      <c r="C2121" s="5" t="s">
        <v>20</v>
      </c>
      <c r="K2121" s="5">
        <v>30.0</v>
      </c>
      <c r="N2121" s="8">
        <v>44307.0</v>
      </c>
    </row>
    <row r="2122">
      <c r="A2122" s="5">
        <v>2121.0</v>
      </c>
      <c r="B2122" s="5" t="s">
        <v>3085</v>
      </c>
      <c r="C2122" s="5" t="s">
        <v>20</v>
      </c>
      <c r="K2122" s="5">
        <v>150.0</v>
      </c>
      <c r="N2122" s="8">
        <v>44561.0</v>
      </c>
    </row>
  </sheetData>
  <autoFilter ref="$A$1:$O$1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46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21</v>
      </c>
      <c r="C2" s="5" t="s">
        <v>20</v>
      </c>
      <c r="E2" s="5">
        <v>10.0</v>
      </c>
      <c r="I2" s="9"/>
      <c r="K2" s="5">
        <v>10.0</v>
      </c>
      <c r="N2" s="8">
        <v>43584.0</v>
      </c>
    </row>
    <row r="3">
      <c r="A3" s="5">
        <v>2.0</v>
      </c>
      <c r="B3" s="5" t="s">
        <v>23</v>
      </c>
      <c r="C3" s="5" t="s">
        <v>20</v>
      </c>
      <c r="E3" s="5">
        <v>10.0</v>
      </c>
      <c r="I3" s="9"/>
      <c r="K3" s="5">
        <v>10.0</v>
      </c>
      <c r="N3" s="8">
        <v>43752.0</v>
      </c>
    </row>
    <row r="4">
      <c r="A4" s="5">
        <v>3.0</v>
      </c>
      <c r="B4" s="5" t="s">
        <v>27</v>
      </c>
      <c r="C4" s="5" t="s">
        <v>20</v>
      </c>
      <c r="E4" s="5">
        <v>10.0</v>
      </c>
      <c r="I4" s="9"/>
      <c r="K4" s="5">
        <v>10.0</v>
      </c>
      <c r="N4" s="8">
        <v>44888.0</v>
      </c>
    </row>
    <row r="5">
      <c r="A5" s="5">
        <v>4.0</v>
      </c>
      <c r="B5" s="5" t="s">
        <v>31</v>
      </c>
      <c r="C5" s="5" t="s">
        <v>20</v>
      </c>
      <c r="E5" s="5">
        <v>10.0</v>
      </c>
      <c r="I5" s="9"/>
      <c r="K5" s="5">
        <v>10.0</v>
      </c>
      <c r="N5" s="8">
        <v>42964.0</v>
      </c>
    </row>
    <row r="6">
      <c r="A6" s="5">
        <v>5.0</v>
      </c>
      <c r="B6" s="5" t="s">
        <v>32</v>
      </c>
      <c r="C6" s="5" t="s">
        <v>20</v>
      </c>
      <c r="K6" s="5">
        <v>30.0</v>
      </c>
      <c r="N6" s="8">
        <v>45149.0</v>
      </c>
    </row>
    <row r="7">
      <c r="A7" s="5">
        <v>6.0</v>
      </c>
      <c r="B7" s="5" t="s">
        <v>34</v>
      </c>
      <c r="C7" s="5" t="s">
        <v>20</v>
      </c>
      <c r="I7" s="9"/>
      <c r="K7" s="5">
        <v>350.0</v>
      </c>
      <c r="N7" s="8">
        <v>45352.0</v>
      </c>
    </row>
    <row r="8">
      <c r="A8" s="5">
        <v>7.0</v>
      </c>
      <c r="B8" s="5" t="s">
        <v>35</v>
      </c>
      <c r="C8" s="5" t="s">
        <v>20</v>
      </c>
      <c r="I8" s="9"/>
      <c r="K8" s="5">
        <v>20.0</v>
      </c>
      <c r="N8" s="8">
        <v>43961.0</v>
      </c>
    </row>
    <row r="9">
      <c r="A9" s="5">
        <v>8.0</v>
      </c>
      <c r="B9" s="5" t="s">
        <v>39</v>
      </c>
      <c r="C9" s="5" t="s">
        <v>20</v>
      </c>
      <c r="I9" s="9"/>
      <c r="K9" s="5">
        <v>50.0</v>
      </c>
      <c r="N9" s="8">
        <v>45591.0</v>
      </c>
    </row>
    <row r="10">
      <c r="A10" s="5">
        <v>9.0</v>
      </c>
      <c r="B10" s="5" t="s">
        <v>42</v>
      </c>
      <c r="C10" s="5" t="s">
        <v>20</v>
      </c>
      <c r="I10" s="9"/>
      <c r="K10" s="5">
        <v>30.0</v>
      </c>
      <c r="N10" s="8">
        <v>45081.0</v>
      </c>
    </row>
    <row r="11">
      <c r="A11" s="5">
        <v>10.0</v>
      </c>
      <c r="B11" s="5" t="s">
        <v>43</v>
      </c>
      <c r="C11" s="5" t="s">
        <v>20</v>
      </c>
      <c r="I11" s="9"/>
      <c r="K11" s="5">
        <v>10.0</v>
      </c>
      <c r="N11" s="8">
        <v>44445.0</v>
      </c>
    </row>
    <row r="12">
      <c r="A12" s="5">
        <v>11.0</v>
      </c>
      <c r="B12" s="5" t="s">
        <v>48</v>
      </c>
      <c r="C12" s="5" t="s">
        <v>20</v>
      </c>
      <c r="I12" s="9"/>
      <c r="K12" s="5">
        <v>10.0</v>
      </c>
      <c r="N12" s="8">
        <v>44392.0</v>
      </c>
    </row>
    <row r="13">
      <c r="A13" s="5">
        <v>12.0</v>
      </c>
      <c r="B13" s="5" t="s">
        <v>49</v>
      </c>
      <c r="C13" s="5" t="s">
        <v>20</v>
      </c>
      <c r="I13" s="9"/>
      <c r="K13" s="5">
        <v>80.0</v>
      </c>
      <c r="N13" s="8">
        <v>44533.0</v>
      </c>
    </row>
    <row r="14">
      <c r="A14" s="5">
        <v>13.0</v>
      </c>
      <c r="B14" s="5" t="s">
        <v>52</v>
      </c>
      <c r="C14" s="5" t="s">
        <v>20</v>
      </c>
      <c r="I14" s="9"/>
      <c r="K14" s="5">
        <v>30.0</v>
      </c>
      <c r="N14" s="8">
        <v>44377.0</v>
      </c>
    </row>
    <row r="15">
      <c r="A15" s="5">
        <v>14.0</v>
      </c>
      <c r="B15" s="5" t="s">
        <v>55</v>
      </c>
      <c r="C15" s="5" t="s">
        <v>20</v>
      </c>
      <c r="I15" s="9"/>
      <c r="K15" s="5">
        <v>70.0</v>
      </c>
      <c r="N15" s="8">
        <v>45327.0</v>
      </c>
    </row>
    <row r="16">
      <c r="A16" s="5">
        <v>15.0</v>
      </c>
      <c r="B16" s="5" t="s">
        <v>57</v>
      </c>
      <c r="C16" s="5" t="s">
        <v>20</v>
      </c>
      <c r="I16" s="9"/>
      <c r="K16" s="5">
        <v>50.0</v>
      </c>
      <c r="N16" s="8">
        <v>44672.0</v>
      </c>
    </row>
    <row r="17">
      <c r="A17" s="5">
        <v>16.0</v>
      </c>
      <c r="B17" s="5" t="s">
        <v>62</v>
      </c>
      <c r="C17" s="5" t="s">
        <v>20</v>
      </c>
      <c r="I17" s="9"/>
      <c r="K17" s="5">
        <v>7700.0</v>
      </c>
      <c r="N17" s="8">
        <v>43844.0</v>
      </c>
    </row>
    <row r="18">
      <c r="A18" s="5">
        <v>17.0</v>
      </c>
      <c r="B18" s="5" t="s">
        <v>64</v>
      </c>
      <c r="C18" s="5" t="s">
        <v>20</v>
      </c>
      <c r="I18" s="9"/>
      <c r="N18" s="8">
        <v>44556.0</v>
      </c>
    </row>
    <row r="19">
      <c r="A19" s="5">
        <v>18.0</v>
      </c>
      <c r="B19" s="5" t="s">
        <v>65</v>
      </c>
      <c r="C19" s="5" t="s">
        <v>20</v>
      </c>
      <c r="I19" s="9"/>
      <c r="K19" s="5">
        <v>200.0</v>
      </c>
      <c r="N19" s="8">
        <v>44656.0</v>
      </c>
    </row>
    <row r="20">
      <c r="A20" s="5">
        <v>19.0</v>
      </c>
      <c r="B20" s="5" t="s">
        <v>69</v>
      </c>
      <c r="C20" s="5" t="s">
        <v>20</v>
      </c>
      <c r="I20" s="9"/>
      <c r="K20" s="5">
        <v>20.0</v>
      </c>
      <c r="N20" s="8">
        <v>44777.0</v>
      </c>
    </row>
    <row r="21">
      <c r="A21" s="5">
        <v>20.0</v>
      </c>
      <c r="B21" s="5" t="s">
        <v>70</v>
      </c>
      <c r="C21" s="5" t="s">
        <v>20</v>
      </c>
      <c r="I21" s="9"/>
      <c r="K21" s="5">
        <v>20.0</v>
      </c>
      <c r="N21" s="8">
        <v>45369.0</v>
      </c>
    </row>
    <row r="22">
      <c r="A22" s="5">
        <v>21.0</v>
      </c>
      <c r="B22" s="5" t="s">
        <v>72</v>
      </c>
      <c r="C22" s="5" t="s">
        <v>20</v>
      </c>
      <c r="I22" s="9"/>
      <c r="K22" s="5">
        <v>250.0</v>
      </c>
      <c r="N22" s="8">
        <v>44986.0</v>
      </c>
    </row>
    <row r="23">
      <c r="A23" s="5">
        <v>22.0</v>
      </c>
      <c r="B23" s="5" t="s">
        <v>77</v>
      </c>
      <c r="C23" s="5" t="s">
        <v>20</v>
      </c>
      <c r="I23" s="9"/>
      <c r="K23" s="5">
        <v>40.0</v>
      </c>
      <c r="N23" s="8">
        <v>45620.0</v>
      </c>
    </row>
    <row r="24">
      <c r="A24" s="5">
        <v>23.0</v>
      </c>
      <c r="B24" s="5" t="s">
        <v>79</v>
      </c>
      <c r="C24" s="5" t="s">
        <v>20</v>
      </c>
      <c r="I24" s="9"/>
      <c r="N24" s="8">
        <v>42334.0</v>
      </c>
    </row>
    <row r="25">
      <c r="A25" s="5">
        <v>24.0</v>
      </c>
      <c r="B25" s="5" t="s">
        <v>81</v>
      </c>
      <c r="C25" s="5" t="s">
        <v>20</v>
      </c>
      <c r="K25" s="5">
        <v>30.0</v>
      </c>
      <c r="N25" s="8">
        <v>44068.0</v>
      </c>
    </row>
    <row r="26">
      <c r="A26" s="5">
        <v>25.0</v>
      </c>
      <c r="B26" s="5" t="s">
        <v>84</v>
      </c>
      <c r="C26" s="5" t="s">
        <v>20</v>
      </c>
      <c r="I26" s="9"/>
      <c r="K26" s="5">
        <v>50.0</v>
      </c>
      <c r="N26" s="8">
        <v>44369.0</v>
      </c>
    </row>
    <row r="27">
      <c r="A27" s="5">
        <v>26.0</v>
      </c>
      <c r="B27" s="5" t="s">
        <v>86</v>
      </c>
      <c r="C27" s="5" t="s">
        <v>20</v>
      </c>
      <c r="I27" s="9"/>
      <c r="K27" s="5">
        <v>30.0</v>
      </c>
      <c r="N27" s="8">
        <v>45363.0</v>
      </c>
    </row>
    <row r="28">
      <c r="A28" s="5">
        <v>27.0</v>
      </c>
      <c r="B28" s="5" t="s">
        <v>89</v>
      </c>
      <c r="C28" s="5" t="s">
        <v>20</v>
      </c>
      <c r="I28" s="9"/>
      <c r="K28" s="5">
        <v>300.0</v>
      </c>
      <c r="N28" s="8">
        <v>43862.0</v>
      </c>
    </row>
    <row r="29">
      <c r="A29" s="5">
        <v>28.0</v>
      </c>
      <c r="B29" s="5" t="s">
        <v>92</v>
      </c>
      <c r="C29" s="5" t="s">
        <v>20</v>
      </c>
      <c r="I29" s="9"/>
      <c r="K29" s="5">
        <v>80.0</v>
      </c>
      <c r="N29" s="8">
        <v>44977.0</v>
      </c>
    </row>
    <row r="30">
      <c r="A30" s="5">
        <v>29.0</v>
      </c>
      <c r="B30" s="5" t="s">
        <v>93</v>
      </c>
      <c r="C30" s="5" t="s">
        <v>20</v>
      </c>
      <c r="I30" s="9"/>
      <c r="K30" s="5">
        <v>1100.0</v>
      </c>
      <c r="N30" s="8">
        <v>44394.0</v>
      </c>
    </row>
    <row r="31">
      <c r="A31" s="5">
        <v>30.0</v>
      </c>
      <c r="B31" s="5" t="s">
        <v>95</v>
      </c>
      <c r="C31" s="5" t="s">
        <v>20</v>
      </c>
      <c r="I31" s="9"/>
      <c r="N31" s="8">
        <v>44768.0</v>
      </c>
    </row>
    <row r="32">
      <c r="A32" s="5">
        <v>31.0</v>
      </c>
      <c r="B32" s="5" t="s">
        <v>98</v>
      </c>
      <c r="C32" s="5" t="s">
        <v>20</v>
      </c>
      <c r="I32" s="9"/>
      <c r="K32" s="5">
        <v>150.0</v>
      </c>
      <c r="N32" s="8">
        <v>45712.0</v>
      </c>
    </row>
    <row r="33">
      <c r="A33" s="5">
        <v>32.0</v>
      </c>
      <c r="B33" s="5" t="s">
        <v>102</v>
      </c>
      <c r="C33" s="5" t="s">
        <v>20</v>
      </c>
      <c r="I33" s="9"/>
      <c r="N33" s="8">
        <v>45953.0</v>
      </c>
    </row>
    <row r="34">
      <c r="A34" s="5">
        <v>33.0</v>
      </c>
      <c r="B34" s="5" t="s">
        <v>106</v>
      </c>
      <c r="C34" s="5" t="s">
        <v>20</v>
      </c>
      <c r="K34" s="5">
        <v>30.0</v>
      </c>
      <c r="N34" s="8">
        <v>45424.0</v>
      </c>
    </row>
    <row r="35">
      <c r="A35" s="5">
        <v>34.0</v>
      </c>
      <c r="B35" s="5" t="s">
        <v>107</v>
      </c>
      <c r="C35" s="5" t="s">
        <v>20</v>
      </c>
      <c r="I35" s="9"/>
      <c r="K35" s="5">
        <v>60.0</v>
      </c>
      <c r="N35" s="8">
        <v>45385.0</v>
      </c>
    </row>
    <row r="36">
      <c r="A36" s="5">
        <v>35.0</v>
      </c>
      <c r="B36" s="5" t="s">
        <v>108</v>
      </c>
      <c r="C36" s="5" t="s">
        <v>20</v>
      </c>
      <c r="I36" s="9"/>
      <c r="K36" s="5">
        <v>30.0</v>
      </c>
      <c r="N36" s="8">
        <v>44552.0</v>
      </c>
    </row>
    <row r="37">
      <c r="A37" s="5">
        <v>36.0</v>
      </c>
      <c r="B37" s="5" t="s">
        <v>111</v>
      </c>
      <c r="C37" s="5" t="s">
        <v>20</v>
      </c>
      <c r="I37" s="9"/>
      <c r="K37" s="5">
        <v>10.0</v>
      </c>
      <c r="N37" s="8">
        <v>45308.0</v>
      </c>
    </row>
    <row r="38">
      <c r="A38" s="5">
        <v>37.0</v>
      </c>
      <c r="B38" s="5" t="s">
        <v>113</v>
      </c>
      <c r="C38" s="5" t="s">
        <v>20</v>
      </c>
      <c r="I38" s="9"/>
      <c r="K38" s="5">
        <v>10.0</v>
      </c>
      <c r="N38" s="8">
        <v>43935.0</v>
      </c>
    </row>
    <row r="39">
      <c r="A39" s="5">
        <v>38.0</v>
      </c>
      <c r="B39" s="5" t="s">
        <v>115</v>
      </c>
      <c r="C39" s="5" t="s">
        <v>20</v>
      </c>
      <c r="K39" s="5">
        <v>2100.0</v>
      </c>
      <c r="N39" s="8">
        <v>44405.0</v>
      </c>
    </row>
    <row r="40">
      <c r="A40" s="5">
        <v>39.0</v>
      </c>
      <c r="B40" s="5" t="s">
        <v>119</v>
      </c>
      <c r="C40" s="5" t="s">
        <v>20</v>
      </c>
      <c r="I40" s="9"/>
      <c r="K40" s="5">
        <v>20.0</v>
      </c>
      <c r="N40" s="8">
        <v>44556.0</v>
      </c>
    </row>
    <row r="41">
      <c r="A41" s="5">
        <v>40.0</v>
      </c>
      <c r="B41" s="5" t="s">
        <v>121</v>
      </c>
      <c r="C41" s="5" t="s">
        <v>20</v>
      </c>
      <c r="I41" s="9"/>
      <c r="K41" s="5">
        <v>200.0</v>
      </c>
      <c r="N41" s="8">
        <v>44799.0</v>
      </c>
    </row>
    <row r="42">
      <c r="A42" s="5">
        <v>41.0</v>
      </c>
      <c r="B42" s="5" t="s">
        <v>124</v>
      </c>
      <c r="C42" s="5" t="s">
        <v>20</v>
      </c>
      <c r="I42" s="9"/>
      <c r="K42" s="5">
        <v>3600.0</v>
      </c>
      <c r="N42" s="8">
        <v>44889.0</v>
      </c>
    </row>
    <row r="43">
      <c r="A43" s="5">
        <v>42.0</v>
      </c>
      <c r="B43" s="5" t="s">
        <v>126</v>
      </c>
      <c r="C43" s="5" t="s">
        <v>20</v>
      </c>
      <c r="K43" s="5">
        <v>300.0</v>
      </c>
      <c r="N43" s="8">
        <v>44933.0</v>
      </c>
    </row>
    <row r="44">
      <c r="A44" s="5">
        <v>43.0</v>
      </c>
      <c r="B44" s="5" t="s">
        <v>128</v>
      </c>
      <c r="C44" s="5" t="s">
        <v>20</v>
      </c>
      <c r="I44" s="9"/>
      <c r="K44" s="5">
        <v>70.0</v>
      </c>
      <c r="N44" s="8">
        <v>44317.0</v>
      </c>
    </row>
    <row r="45">
      <c r="A45" s="5">
        <v>44.0</v>
      </c>
      <c r="B45" s="5" t="s">
        <v>132</v>
      </c>
      <c r="C45" s="5" t="s">
        <v>20</v>
      </c>
      <c r="I45" s="9"/>
      <c r="K45" s="5">
        <v>50.0</v>
      </c>
      <c r="N45" s="8">
        <v>44700.0</v>
      </c>
    </row>
    <row r="46">
      <c r="A46" s="5">
        <v>45.0</v>
      </c>
      <c r="B46" s="5" t="s">
        <v>135</v>
      </c>
      <c r="C46" s="5" t="s">
        <v>20</v>
      </c>
      <c r="I46" s="9"/>
      <c r="K46" s="5">
        <v>300.0</v>
      </c>
      <c r="N46" s="8">
        <v>44035.0</v>
      </c>
    </row>
    <row r="47">
      <c r="A47" s="5">
        <v>46.0</v>
      </c>
      <c r="B47" s="5" t="s">
        <v>138</v>
      </c>
      <c r="C47" s="5" t="s">
        <v>20</v>
      </c>
      <c r="I47" s="9"/>
      <c r="K47" s="5">
        <v>10.0</v>
      </c>
      <c r="N47" s="8">
        <v>44750.0</v>
      </c>
    </row>
    <row r="48">
      <c r="A48" s="5">
        <v>47.0</v>
      </c>
      <c r="B48" s="5" t="s">
        <v>141</v>
      </c>
      <c r="C48" s="5" t="s">
        <v>20</v>
      </c>
      <c r="I48" s="9"/>
      <c r="K48" s="5">
        <v>20.0</v>
      </c>
      <c r="N48" s="8">
        <v>44063.0</v>
      </c>
    </row>
    <row r="49">
      <c r="A49" s="5">
        <v>48.0</v>
      </c>
      <c r="B49" s="5" t="s">
        <v>146</v>
      </c>
      <c r="C49" s="5" t="s">
        <v>20</v>
      </c>
      <c r="K49" s="5">
        <v>60.0</v>
      </c>
      <c r="N49" s="8">
        <v>45310.0</v>
      </c>
    </row>
    <row r="50">
      <c r="A50" s="5">
        <v>49.0</v>
      </c>
      <c r="B50" s="5" t="s">
        <v>149</v>
      </c>
      <c r="C50" s="5" t="s">
        <v>20</v>
      </c>
      <c r="I50" s="9"/>
      <c r="K50" s="5">
        <v>80.0</v>
      </c>
      <c r="N50" s="8">
        <v>44038.0</v>
      </c>
    </row>
    <row r="51">
      <c r="A51" s="5">
        <v>50.0</v>
      </c>
      <c r="B51" s="5" t="s">
        <v>150</v>
      </c>
      <c r="C51" s="5" t="s">
        <v>20</v>
      </c>
      <c r="I51" s="9"/>
      <c r="K51" s="5">
        <v>80.0</v>
      </c>
      <c r="N51" s="8">
        <v>44448.0</v>
      </c>
    </row>
    <row r="52">
      <c r="A52" s="5">
        <v>51.0</v>
      </c>
      <c r="B52" s="5" t="s">
        <v>153</v>
      </c>
      <c r="C52" s="5" t="s">
        <v>20</v>
      </c>
      <c r="I52" s="9"/>
      <c r="K52" s="5">
        <v>40.0</v>
      </c>
      <c r="N52" s="8">
        <v>44757.0</v>
      </c>
    </row>
    <row r="53">
      <c r="A53" s="5">
        <v>52.0</v>
      </c>
      <c r="B53" s="5" t="s">
        <v>154</v>
      </c>
      <c r="C53" s="5" t="s">
        <v>20</v>
      </c>
      <c r="K53" s="5">
        <v>40.0</v>
      </c>
      <c r="N53" s="8">
        <v>43991.0</v>
      </c>
    </row>
    <row r="54">
      <c r="A54" s="5">
        <v>53.0</v>
      </c>
      <c r="B54" s="5" t="s">
        <v>159</v>
      </c>
      <c r="C54" s="5" t="s">
        <v>20</v>
      </c>
      <c r="K54" s="5">
        <v>1200.0</v>
      </c>
      <c r="N54" s="8">
        <v>43932.0</v>
      </c>
    </row>
    <row r="55">
      <c r="A55" s="5">
        <v>54.0</v>
      </c>
      <c r="B55" s="5" t="s">
        <v>161</v>
      </c>
      <c r="C55" s="5" t="s">
        <v>20</v>
      </c>
      <c r="N55" s="8">
        <v>44855.0</v>
      </c>
    </row>
    <row r="56">
      <c r="A56" s="5">
        <v>55.0</v>
      </c>
      <c r="B56" s="5" t="s">
        <v>162</v>
      </c>
      <c r="C56" s="5" t="s">
        <v>20</v>
      </c>
      <c r="K56" s="5">
        <v>20.0</v>
      </c>
      <c r="N56" s="8">
        <v>45289.0</v>
      </c>
    </row>
    <row r="57">
      <c r="A57" s="5">
        <v>56.0</v>
      </c>
      <c r="B57" s="5" t="s">
        <v>163</v>
      </c>
      <c r="C57" s="5" t="s">
        <v>20</v>
      </c>
      <c r="K57" s="5">
        <v>60.0</v>
      </c>
      <c r="N57" s="8">
        <v>45035.0</v>
      </c>
    </row>
    <row r="58">
      <c r="A58" s="5">
        <v>57.0</v>
      </c>
      <c r="B58" s="5" t="s">
        <v>164</v>
      </c>
      <c r="C58" s="5" t="s">
        <v>20</v>
      </c>
      <c r="K58" s="5">
        <v>10.0</v>
      </c>
      <c r="N58" s="8">
        <v>44429.0</v>
      </c>
    </row>
    <row r="59">
      <c r="A59" s="5">
        <v>58.0</v>
      </c>
      <c r="B59" s="5" t="s">
        <v>165</v>
      </c>
      <c r="C59" s="5" t="s">
        <v>20</v>
      </c>
      <c r="I59" s="9"/>
      <c r="K59" s="5">
        <v>1200.0</v>
      </c>
      <c r="N59" s="8">
        <v>45691.0</v>
      </c>
    </row>
    <row r="60">
      <c r="A60" s="5">
        <v>59.0</v>
      </c>
      <c r="B60" s="5" t="s">
        <v>168</v>
      </c>
      <c r="C60" s="5" t="s">
        <v>20</v>
      </c>
      <c r="K60" s="5">
        <v>30.0</v>
      </c>
      <c r="N60" s="8">
        <v>44944.0</v>
      </c>
    </row>
    <row r="61">
      <c r="A61" s="5">
        <v>60.0</v>
      </c>
      <c r="B61" s="5" t="s">
        <v>170</v>
      </c>
      <c r="C61" s="5" t="s">
        <v>20</v>
      </c>
      <c r="I61" s="9"/>
      <c r="K61" s="5">
        <v>80.0</v>
      </c>
      <c r="N61" s="8">
        <v>44476.0</v>
      </c>
    </row>
    <row r="62">
      <c r="A62" s="5">
        <v>61.0</v>
      </c>
      <c r="B62" s="5" t="s">
        <v>171</v>
      </c>
      <c r="C62" s="5" t="s">
        <v>20</v>
      </c>
      <c r="I62" s="9"/>
      <c r="K62" s="5">
        <v>450.0</v>
      </c>
      <c r="N62" s="8">
        <v>44152.0</v>
      </c>
    </row>
    <row r="63">
      <c r="A63" s="5">
        <v>62.0</v>
      </c>
      <c r="B63" s="5" t="s">
        <v>172</v>
      </c>
      <c r="C63" s="5" t="s">
        <v>20</v>
      </c>
      <c r="K63" s="5">
        <v>10.0</v>
      </c>
      <c r="N63" s="8">
        <v>43996.0</v>
      </c>
    </row>
    <row r="64">
      <c r="A64" s="5">
        <v>63.0</v>
      </c>
      <c r="B64" s="5" t="s">
        <v>173</v>
      </c>
      <c r="C64" s="5" t="s">
        <v>20</v>
      </c>
      <c r="K64" s="5">
        <v>20.0</v>
      </c>
      <c r="N64" s="8">
        <v>45188.0</v>
      </c>
    </row>
    <row r="65">
      <c r="A65" s="5">
        <v>64.0</v>
      </c>
      <c r="B65" s="5" t="s">
        <v>176</v>
      </c>
      <c r="C65" s="5" t="s">
        <v>20</v>
      </c>
      <c r="I65" s="9"/>
      <c r="K65" s="5">
        <v>450.0</v>
      </c>
      <c r="N65" s="8">
        <v>43943.0</v>
      </c>
    </row>
    <row r="66">
      <c r="A66" s="5">
        <v>65.0</v>
      </c>
      <c r="B66" s="5" t="s">
        <v>179</v>
      </c>
      <c r="C66" s="5" t="s">
        <v>20</v>
      </c>
      <c r="I66" s="9"/>
      <c r="K66" s="5">
        <v>200.0</v>
      </c>
      <c r="N66" s="8">
        <v>43985.0</v>
      </c>
    </row>
    <row r="67">
      <c r="A67" s="5">
        <v>66.0</v>
      </c>
      <c r="B67" s="5" t="s">
        <v>180</v>
      </c>
      <c r="C67" s="5" t="s">
        <v>20</v>
      </c>
      <c r="K67" s="5">
        <v>1700.0</v>
      </c>
      <c r="N67" s="8">
        <v>43980.0</v>
      </c>
    </row>
    <row r="68">
      <c r="A68" s="5">
        <v>67.0</v>
      </c>
      <c r="B68" s="5" t="s">
        <v>181</v>
      </c>
      <c r="C68" s="5" t="s">
        <v>20</v>
      </c>
      <c r="K68" s="5">
        <v>200.0</v>
      </c>
      <c r="N68" s="8">
        <v>44561.0</v>
      </c>
    </row>
    <row r="69">
      <c r="A69" s="5">
        <v>68.0</v>
      </c>
      <c r="B69" s="5" t="s">
        <v>185</v>
      </c>
      <c r="C69" s="5" t="s">
        <v>20</v>
      </c>
      <c r="K69" s="5">
        <v>20.0</v>
      </c>
      <c r="N69" s="8">
        <v>45013.0</v>
      </c>
    </row>
    <row r="70">
      <c r="A70" s="5">
        <v>69.0</v>
      </c>
      <c r="B70" s="5" t="s">
        <v>189</v>
      </c>
      <c r="C70" s="5" t="s">
        <v>20</v>
      </c>
      <c r="K70" s="5">
        <v>1000.0</v>
      </c>
      <c r="N70" s="8">
        <v>44643.0</v>
      </c>
    </row>
    <row r="71">
      <c r="A71" s="5">
        <v>70.0</v>
      </c>
      <c r="B71" s="5" t="s">
        <v>191</v>
      </c>
      <c r="C71" s="5" t="s">
        <v>20</v>
      </c>
      <c r="K71" s="5">
        <v>250.0</v>
      </c>
      <c r="N71" s="8">
        <v>44194.0</v>
      </c>
    </row>
    <row r="72">
      <c r="A72" s="5">
        <v>71.0</v>
      </c>
      <c r="B72" s="5" t="s">
        <v>195</v>
      </c>
      <c r="C72" s="5" t="s">
        <v>20</v>
      </c>
      <c r="K72" s="5">
        <v>30.0</v>
      </c>
      <c r="N72" s="8">
        <v>45417.0</v>
      </c>
    </row>
    <row r="73">
      <c r="A73" s="5">
        <v>72.0</v>
      </c>
      <c r="B73" s="5" t="s">
        <v>198</v>
      </c>
      <c r="C73" s="5" t="s">
        <v>20</v>
      </c>
      <c r="I73" s="9"/>
      <c r="N73" s="8">
        <v>45195.0</v>
      </c>
    </row>
    <row r="74">
      <c r="A74" s="5">
        <v>73.0</v>
      </c>
      <c r="B74" s="5" t="s">
        <v>201</v>
      </c>
      <c r="C74" s="5" t="s">
        <v>20</v>
      </c>
      <c r="I74" s="9"/>
      <c r="K74" s="5">
        <v>60.0</v>
      </c>
      <c r="N74" s="8">
        <v>44207.0</v>
      </c>
    </row>
    <row r="75">
      <c r="A75" s="5">
        <v>74.0</v>
      </c>
      <c r="B75" s="5" t="s">
        <v>205</v>
      </c>
      <c r="C75" s="5" t="s">
        <v>20</v>
      </c>
      <c r="I75" s="9"/>
      <c r="K75" s="5">
        <v>150.0</v>
      </c>
      <c r="N75" s="8">
        <v>44939.0</v>
      </c>
    </row>
    <row r="76">
      <c r="A76" s="5">
        <v>75.0</v>
      </c>
      <c r="B76" s="5" t="s">
        <v>207</v>
      </c>
      <c r="C76" s="5" t="s">
        <v>20</v>
      </c>
      <c r="K76" s="5">
        <v>30.0</v>
      </c>
      <c r="N76" s="8">
        <v>44762.0</v>
      </c>
    </row>
    <row r="77">
      <c r="A77" s="5">
        <v>76.0</v>
      </c>
      <c r="B77" s="5" t="s">
        <v>211</v>
      </c>
      <c r="C77" s="5" t="s">
        <v>20</v>
      </c>
      <c r="K77" s="5">
        <v>30.0</v>
      </c>
      <c r="N77" s="8">
        <v>44539.0</v>
      </c>
    </row>
    <row r="78">
      <c r="A78" s="5">
        <v>77.0</v>
      </c>
      <c r="B78" s="5" t="s">
        <v>212</v>
      </c>
      <c r="C78" s="5" t="s">
        <v>20</v>
      </c>
      <c r="I78" s="9"/>
      <c r="K78" s="5">
        <v>80.0</v>
      </c>
      <c r="N78" s="8">
        <v>44520.0</v>
      </c>
    </row>
    <row r="79">
      <c r="A79" s="5">
        <v>78.0</v>
      </c>
      <c r="B79" s="5" t="s">
        <v>215</v>
      </c>
      <c r="C79" s="5" t="s">
        <v>20</v>
      </c>
      <c r="K79" s="5">
        <v>300.0</v>
      </c>
      <c r="N79" s="8">
        <v>44848.0</v>
      </c>
    </row>
    <row r="80">
      <c r="A80" s="5">
        <v>79.0</v>
      </c>
      <c r="B80" s="5" t="s">
        <v>217</v>
      </c>
      <c r="C80" s="5" t="s">
        <v>20</v>
      </c>
      <c r="I80" s="9"/>
      <c r="K80" s="5">
        <v>30.0</v>
      </c>
      <c r="N80" s="8">
        <v>45578.0</v>
      </c>
    </row>
    <row r="81">
      <c r="A81" s="5">
        <v>80.0</v>
      </c>
      <c r="B81" s="5" t="s">
        <v>218</v>
      </c>
      <c r="C81" s="5" t="s">
        <v>20</v>
      </c>
      <c r="I81" s="9"/>
      <c r="K81" s="5">
        <v>50.0</v>
      </c>
      <c r="N81" s="8">
        <v>45238.0</v>
      </c>
    </row>
    <row r="82">
      <c r="A82" s="5">
        <v>81.0</v>
      </c>
      <c r="B82" s="5" t="s">
        <v>219</v>
      </c>
      <c r="C82" s="5" t="s">
        <v>20</v>
      </c>
      <c r="K82" s="5">
        <v>200.0</v>
      </c>
      <c r="N82" s="8">
        <v>45273.0</v>
      </c>
    </row>
    <row r="83">
      <c r="A83" s="5">
        <v>82.0</v>
      </c>
      <c r="B83" s="5" t="s">
        <v>222</v>
      </c>
      <c r="C83" s="5" t="s">
        <v>20</v>
      </c>
      <c r="I83" s="9"/>
      <c r="K83" s="5">
        <v>200.0</v>
      </c>
      <c r="N83" s="8">
        <v>44697.0</v>
      </c>
    </row>
    <row r="84">
      <c r="A84" s="5">
        <v>83.0</v>
      </c>
      <c r="B84" s="5" t="s">
        <v>224</v>
      </c>
      <c r="C84" s="5" t="s">
        <v>20</v>
      </c>
      <c r="K84" s="5">
        <v>40.0</v>
      </c>
      <c r="N84" s="8">
        <v>45296.0</v>
      </c>
    </row>
    <row r="85">
      <c r="A85" s="5">
        <v>84.0</v>
      </c>
      <c r="B85" s="5" t="s">
        <v>225</v>
      </c>
      <c r="C85" s="5" t="s">
        <v>20</v>
      </c>
      <c r="K85" s="5">
        <v>20.0</v>
      </c>
      <c r="N85" s="8">
        <v>44817.0</v>
      </c>
    </row>
    <row r="86">
      <c r="A86" s="5">
        <v>85.0</v>
      </c>
      <c r="B86" s="5" t="s">
        <v>228</v>
      </c>
      <c r="C86" s="5" t="s">
        <v>20</v>
      </c>
      <c r="K86" s="5">
        <v>300.0</v>
      </c>
      <c r="N86" s="8">
        <v>44725.0</v>
      </c>
    </row>
    <row r="87">
      <c r="A87" s="5">
        <v>86.0</v>
      </c>
      <c r="B87" s="5" t="s">
        <v>230</v>
      </c>
      <c r="C87" s="5" t="s">
        <v>20</v>
      </c>
      <c r="K87" s="5">
        <v>10.0</v>
      </c>
      <c r="N87" s="8">
        <v>45219.0</v>
      </c>
    </row>
    <row r="88">
      <c r="A88" s="5">
        <v>87.0</v>
      </c>
      <c r="B88" s="5" t="s">
        <v>233</v>
      </c>
      <c r="C88" s="5" t="s">
        <v>20</v>
      </c>
      <c r="I88" s="9"/>
      <c r="K88" s="5">
        <v>5600.0</v>
      </c>
      <c r="N88" s="8">
        <v>45688.0</v>
      </c>
    </row>
    <row r="89">
      <c r="A89" s="5">
        <v>88.0</v>
      </c>
      <c r="B89" s="5" t="s">
        <v>235</v>
      </c>
      <c r="C89" s="5" t="s">
        <v>20</v>
      </c>
      <c r="K89" s="5">
        <v>300.0</v>
      </c>
      <c r="N89" s="8">
        <v>44966.0</v>
      </c>
    </row>
    <row r="90">
      <c r="A90" s="5">
        <v>89.0</v>
      </c>
      <c r="B90" s="5" t="s">
        <v>236</v>
      </c>
      <c r="C90" s="5" t="s">
        <v>20</v>
      </c>
      <c r="I90" s="9"/>
      <c r="K90" s="5">
        <v>200.0</v>
      </c>
      <c r="N90" s="8">
        <v>43956.0</v>
      </c>
    </row>
    <row r="91">
      <c r="A91" s="5">
        <v>90.0</v>
      </c>
      <c r="B91" s="5" t="s">
        <v>239</v>
      </c>
      <c r="C91" s="5" t="s">
        <v>20</v>
      </c>
      <c r="K91" s="5">
        <v>100.0</v>
      </c>
      <c r="N91" s="8">
        <v>44861.0</v>
      </c>
    </row>
    <row r="92">
      <c r="A92" s="5">
        <v>91.0</v>
      </c>
      <c r="B92" s="5" t="s">
        <v>241</v>
      </c>
      <c r="C92" s="5" t="s">
        <v>20</v>
      </c>
      <c r="N92" s="8">
        <v>45043.0</v>
      </c>
    </row>
    <row r="93">
      <c r="A93" s="5">
        <v>92.0</v>
      </c>
      <c r="B93" s="5" t="s">
        <v>242</v>
      </c>
      <c r="C93" s="5" t="s">
        <v>20</v>
      </c>
      <c r="I93" s="9"/>
      <c r="N93" s="8">
        <v>42932.0</v>
      </c>
    </row>
    <row r="94">
      <c r="A94" s="5">
        <v>93.0</v>
      </c>
      <c r="B94" s="5" t="s">
        <v>244</v>
      </c>
      <c r="C94" s="5" t="s">
        <v>20</v>
      </c>
      <c r="I94" s="9"/>
      <c r="K94" s="5">
        <v>30.0</v>
      </c>
      <c r="N94" s="8">
        <v>44619.0</v>
      </c>
    </row>
    <row r="95">
      <c r="A95" s="5">
        <v>94.0</v>
      </c>
      <c r="B95" s="5" t="s">
        <v>248</v>
      </c>
      <c r="C95" s="5" t="s">
        <v>20</v>
      </c>
      <c r="K95" s="5">
        <v>150.0</v>
      </c>
      <c r="N95" s="8">
        <v>44901.0</v>
      </c>
    </row>
    <row r="96">
      <c r="A96" s="5">
        <v>95.0</v>
      </c>
      <c r="B96" s="5" t="s">
        <v>249</v>
      </c>
      <c r="C96" s="5" t="s">
        <v>20</v>
      </c>
      <c r="I96" s="9"/>
      <c r="K96" s="5">
        <v>30.0</v>
      </c>
      <c r="N96" s="8">
        <v>43890.0</v>
      </c>
    </row>
    <row r="97">
      <c r="A97" s="5">
        <v>96.0</v>
      </c>
      <c r="B97" s="5" t="s">
        <v>251</v>
      </c>
      <c r="C97" s="5" t="s">
        <v>20</v>
      </c>
      <c r="K97" s="5">
        <v>7600.0</v>
      </c>
      <c r="N97" s="8">
        <v>44145.0</v>
      </c>
    </row>
    <row r="98">
      <c r="A98" s="5">
        <v>97.0</v>
      </c>
      <c r="B98" s="5" t="s">
        <v>253</v>
      </c>
      <c r="C98" s="5" t="s">
        <v>20</v>
      </c>
      <c r="I98" s="9"/>
      <c r="K98" s="5">
        <v>10.0</v>
      </c>
      <c r="N98" s="8">
        <v>44961.0</v>
      </c>
    </row>
    <row r="99">
      <c r="A99" s="5">
        <v>98.0</v>
      </c>
      <c r="B99" s="5" t="s">
        <v>255</v>
      </c>
      <c r="C99" s="5" t="s">
        <v>20</v>
      </c>
      <c r="K99" s="5">
        <v>150.0</v>
      </c>
      <c r="N99" s="8">
        <v>44091.0</v>
      </c>
    </row>
    <row r="100">
      <c r="A100" s="5">
        <v>99.0</v>
      </c>
      <c r="B100" s="5" t="s">
        <v>257</v>
      </c>
      <c r="C100" s="5" t="s">
        <v>20</v>
      </c>
      <c r="K100" s="5">
        <v>150.0</v>
      </c>
      <c r="N100" s="8">
        <v>44590.0</v>
      </c>
    </row>
    <row r="101">
      <c r="A101" s="5">
        <v>100.0</v>
      </c>
      <c r="B101" s="5" t="s">
        <v>259</v>
      </c>
      <c r="C101" s="5" t="s">
        <v>20</v>
      </c>
      <c r="K101" s="5">
        <v>400.0</v>
      </c>
      <c r="N101" s="8">
        <v>44961.0</v>
      </c>
    </row>
    <row r="102">
      <c r="A102" s="5">
        <v>101.0</v>
      </c>
      <c r="B102" s="5" t="s">
        <v>261</v>
      </c>
      <c r="C102" s="5" t="s">
        <v>20</v>
      </c>
      <c r="K102" s="5">
        <v>450.0</v>
      </c>
      <c r="N102" s="8">
        <v>44441.0</v>
      </c>
    </row>
    <row r="103">
      <c r="A103" s="5">
        <v>102.0</v>
      </c>
      <c r="B103" s="5" t="s">
        <v>267</v>
      </c>
      <c r="C103" s="5" t="s">
        <v>20</v>
      </c>
      <c r="I103" s="9"/>
      <c r="K103" s="5">
        <v>150.0</v>
      </c>
      <c r="N103" s="8">
        <v>44654.0</v>
      </c>
    </row>
    <row r="104">
      <c r="A104" s="5">
        <v>103.0</v>
      </c>
      <c r="B104" s="5" t="s">
        <v>268</v>
      </c>
      <c r="C104" s="5" t="s">
        <v>20</v>
      </c>
      <c r="K104" s="5">
        <v>10.0</v>
      </c>
      <c r="N104" s="8">
        <v>44911.0</v>
      </c>
    </row>
    <row r="105">
      <c r="A105" s="5">
        <v>104.0</v>
      </c>
      <c r="B105" s="5" t="s">
        <v>270</v>
      </c>
      <c r="C105" s="5" t="s">
        <v>20</v>
      </c>
      <c r="K105" s="5">
        <v>250.0</v>
      </c>
      <c r="N105" s="8">
        <v>44862.0</v>
      </c>
    </row>
    <row r="106">
      <c r="A106" s="5">
        <v>105.0</v>
      </c>
      <c r="B106" s="5" t="s">
        <v>271</v>
      </c>
      <c r="C106" s="5" t="s">
        <v>20</v>
      </c>
      <c r="K106" s="5">
        <v>600.0</v>
      </c>
      <c r="N106" s="8">
        <v>44100.0</v>
      </c>
    </row>
    <row r="107">
      <c r="A107" s="5">
        <v>106.0</v>
      </c>
      <c r="B107" s="5" t="s">
        <v>273</v>
      </c>
      <c r="C107" s="5" t="s">
        <v>20</v>
      </c>
      <c r="N107" s="8">
        <v>42631.0</v>
      </c>
    </row>
    <row r="108">
      <c r="A108" s="5">
        <v>107.0</v>
      </c>
      <c r="B108" s="5" t="s">
        <v>274</v>
      </c>
      <c r="C108" s="5" t="s">
        <v>20</v>
      </c>
      <c r="K108" s="5">
        <v>400.0</v>
      </c>
      <c r="N108" s="8">
        <v>44306.0</v>
      </c>
    </row>
    <row r="109">
      <c r="A109" s="5">
        <v>108.0</v>
      </c>
      <c r="B109" s="5" t="s">
        <v>275</v>
      </c>
      <c r="C109" s="5" t="s">
        <v>20</v>
      </c>
      <c r="K109" s="5">
        <v>200.0</v>
      </c>
      <c r="N109" s="8">
        <v>43841.0</v>
      </c>
    </row>
    <row r="110">
      <c r="A110" s="5">
        <v>109.0</v>
      </c>
      <c r="B110" s="5" t="s">
        <v>276</v>
      </c>
      <c r="C110" s="5" t="s">
        <v>20</v>
      </c>
      <c r="K110" s="5">
        <v>40.0</v>
      </c>
      <c r="N110" s="8">
        <v>44435.0</v>
      </c>
    </row>
    <row r="111">
      <c r="A111" s="5">
        <v>110.0</v>
      </c>
      <c r="B111" s="5" t="s">
        <v>278</v>
      </c>
      <c r="C111" s="5" t="s">
        <v>20</v>
      </c>
      <c r="I111" s="9"/>
      <c r="K111" s="5">
        <v>500.0</v>
      </c>
      <c r="N111" s="8">
        <v>44111.0</v>
      </c>
    </row>
    <row r="112">
      <c r="A112" s="5">
        <v>111.0</v>
      </c>
      <c r="B112" s="5" t="s">
        <v>279</v>
      </c>
      <c r="C112" s="5" t="s">
        <v>20</v>
      </c>
      <c r="K112" s="5">
        <v>60.0</v>
      </c>
      <c r="N112" s="8">
        <v>44451.0</v>
      </c>
    </row>
    <row r="113">
      <c r="A113" s="5">
        <v>112.0</v>
      </c>
      <c r="B113" s="5" t="s">
        <v>281</v>
      </c>
      <c r="C113" s="5" t="s">
        <v>20</v>
      </c>
      <c r="I113" s="9"/>
      <c r="K113" s="5">
        <v>20.0</v>
      </c>
      <c r="N113" s="8">
        <v>44314.0</v>
      </c>
    </row>
    <row r="114">
      <c r="A114" s="5">
        <v>113.0</v>
      </c>
      <c r="B114" s="5" t="s">
        <v>284</v>
      </c>
      <c r="C114" s="5" t="s">
        <v>20</v>
      </c>
      <c r="N114" s="8">
        <v>44268.0</v>
      </c>
    </row>
    <row r="115">
      <c r="A115" s="5">
        <v>114.0</v>
      </c>
      <c r="B115" s="5" t="s">
        <v>286</v>
      </c>
      <c r="C115" s="5" t="s">
        <v>20</v>
      </c>
      <c r="I115" s="9"/>
      <c r="N115" s="8">
        <v>42325.0</v>
      </c>
      <c r="O115" s="5" t="s">
        <v>24</v>
      </c>
      <c r="P115" s="5" t="s">
        <v>25</v>
      </c>
      <c r="S115" s="5" t="s">
        <v>38</v>
      </c>
    </row>
    <row r="116">
      <c r="A116" s="5">
        <v>115.0</v>
      </c>
      <c r="B116" s="5" t="s">
        <v>288</v>
      </c>
      <c r="C116" s="5" t="s">
        <v>20</v>
      </c>
      <c r="I116" s="9"/>
      <c r="K116" s="5">
        <v>700.0</v>
      </c>
      <c r="N116" s="8">
        <v>45101.0</v>
      </c>
    </row>
    <row r="117">
      <c r="A117" s="5">
        <v>116.0</v>
      </c>
      <c r="B117" s="5" t="s">
        <v>293</v>
      </c>
      <c r="C117" s="5" t="s">
        <v>20</v>
      </c>
      <c r="I117" s="9"/>
      <c r="K117" s="5">
        <v>20.0</v>
      </c>
      <c r="N117" s="8">
        <v>43994.0</v>
      </c>
    </row>
    <row r="118">
      <c r="A118" s="5">
        <v>117.0</v>
      </c>
      <c r="B118" s="5" t="s">
        <v>295</v>
      </c>
      <c r="C118" s="5" t="s">
        <v>20</v>
      </c>
      <c r="K118" s="5">
        <v>300.0</v>
      </c>
      <c r="N118" s="8">
        <v>42969.0</v>
      </c>
    </row>
    <row r="119">
      <c r="A119" s="5">
        <v>118.0</v>
      </c>
      <c r="B119" s="5" t="s">
        <v>296</v>
      </c>
      <c r="C119" s="5" t="s">
        <v>20</v>
      </c>
      <c r="K119" s="5">
        <v>10.0</v>
      </c>
      <c r="N119" s="8">
        <v>43946.0</v>
      </c>
    </row>
    <row r="120">
      <c r="A120" s="5">
        <v>119.0</v>
      </c>
      <c r="B120" s="5" t="s">
        <v>299</v>
      </c>
      <c r="C120" s="5" t="s">
        <v>20</v>
      </c>
      <c r="K120" s="5">
        <v>8300.0</v>
      </c>
      <c r="N120" s="8">
        <v>43983.0</v>
      </c>
    </row>
    <row r="121">
      <c r="A121" s="5">
        <v>120.0</v>
      </c>
      <c r="B121" s="5" t="s">
        <v>301</v>
      </c>
      <c r="C121" s="5" t="s">
        <v>20</v>
      </c>
      <c r="K121" s="5">
        <v>50.0</v>
      </c>
      <c r="N121" s="8">
        <v>44353.0</v>
      </c>
    </row>
    <row r="122">
      <c r="A122" s="5">
        <v>121.0</v>
      </c>
      <c r="B122" s="5" t="s">
        <v>302</v>
      </c>
      <c r="C122" s="5" t="s">
        <v>20</v>
      </c>
      <c r="K122" s="5">
        <v>300.0</v>
      </c>
      <c r="N122" s="8">
        <v>44400.0</v>
      </c>
    </row>
    <row r="123">
      <c r="A123" s="5">
        <v>122.0</v>
      </c>
      <c r="B123" s="5" t="s">
        <v>304</v>
      </c>
      <c r="C123" s="5" t="s">
        <v>20</v>
      </c>
      <c r="K123" s="5">
        <v>100.0</v>
      </c>
      <c r="N123" s="8">
        <v>44079.0</v>
      </c>
    </row>
    <row r="124">
      <c r="A124" s="5">
        <v>123.0</v>
      </c>
      <c r="B124" s="5" t="s">
        <v>306</v>
      </c>
      <c r="C124" s="5" t="s">
        <v>20</v>
      </c>
      <c r="K124" s="5">
        <v>10.0</v>
      </c>
      <c r="N124" s="8">
        <v>45196.0</v>
      </c>
    </row>
    <row r="125">
      <c r="A125" s="5">
        <v>124.0</v>
      </c>
      <c r="B125" s="5" t="s">
        <v>309</v>
      </c>
      <c r="C125" s="5" t="s">
        <v>20</v>
      </c>
      <c r="K125" s="5">
        <v>60.0</v>
      </c>
      <c r="N125" s="8">
        <v>44323.0</v>
      </c>
    </row>
    <row r="126">
      <c r="A126" s="5">
        <v>125.0</v>
      </c>
      <c r="B126" s="5" t="s">
        <v>311</v>
      </c>
      <c r="C126" s="5" t="s">
        <v>20</v>
      </c>
      <c r="K126" s="5">
        <v>40.0</v>
      </c>
      <c r="N126" s="8">
        <v>44172.0</v>
      </c>
    </row>
    <row r="127">
      <c r="A127" s="5">
        <v>126.0</v>
      </c>
      <c r="B127" s="5" t="s">
        <v>312</v>
      </c>
      <c r="C127" s="5" t="s">
        <v>20</v>
      </c>
      <c r="K127" s="5">
        <v>300.0</v>
      </c>
      <c r="N127" s="8">
        <v>44429.0</v>
      </c>
    </row>
    <row r="128">
      <c r="A128" s="5">
        <v>127.0</v>
      </c>
      <c r="B128" s="5" t="s">
        <v>313</v>
      </c>
      <c r="C128" s="5" t="s">
        <v>20</v>
      </c>
      <c r="K128" s="5">
        <v>700.0</v>
      </c>
      <c r="N128" s="8">
        <v>44031.0</v>
      </c>
    </row>
    <row r="129">
      <c r="A129" s="5">
        <v>128.0</v>
      </c>
      <c r="B129" s="5" t="s">
        <v>317</v>
      </c>
      <c r="C129" s="5" t="s">
        <v>20</v>
      </c>
      <c r="K129" s="5">
        <v>150.0</v>
      </c>
      <c r="N129" s="8">
        <v>43864.0</v>
      </c>
    </row>
    <row r="130">
      <c r="A130" s="5">
        <v>129.0</v>
      </c>
      <c r="B130" s="5" t="s">
        <v>318</v>
      </c>
      <c r="C130" s="5" t="s">
        <v>20</v>
      </c>
      <c r="K130" s="5">
        <v>50.0</v>
      </c>
      <c r="N130" s="8">
        <v>44042.0</v>
      </c>
    </row>
    <row r="131">
      <c r="A131" s="5">
        <v>130.0</v>
      </c>
      <c r="B131" s="5" t="s">
        <v>320</v>
      </c>
      <c r="C131" s="5" t="s">
        <v>20</v>
      </c>
      <c r="K131" s="5">
        <v>20.0</v>
      </c>
      <c r="N131" s="8">
        <v>44556.0</v>
      </c>
    </row>
    <row r="132">
      <c r="A132" s="5">
        <v>131.0</v>
      </c>
      <c r="B132" s="5" t="s">
        <v>323</v>
      </c>
      <c r="C132" s="5" t="s">
        <v>20</v>
      </c>
      <c r="K132" s="5">
        <v>10.0</v>
      </c>
      <c r="N132" s="8">
        <v>45520.0</v>
      </c>
    </row>
    <row r="133">
      <c r="A133" s="5">
        <v>132.0</v>
      </c>
      <c r="B133" s="5" t="s">
        <v>325</v>
      </c>
      <c r="C133" s="5" t="s">
        <v>20</v>
      </c>
      <c r="K133" s="5">
        <v>150.0</v>
      </c>
      <c r="N133" s="8">
        <v>45213.0</v>
      </c>
    </row>
    <row r="134">
      <c r="A134" s="5">
        <v>133.0</v>
      </c>
      <c r="B134" s="5" t="s">
        <v>326</v>
      </c>
      <c r="C134" s="5" t="s">
        <v>20</v>
      </c>
      <c r="K134" s="5">
        <v>100.0</v>
      </c>
      <c r="N134" s="8">
        <v>43942.0</v>
      </c>
    </row>
    <row r="135">
      <c r="A135" s="5">
        <v>134.0</v>
      </c>
      <c r="B135" s="5" t="s">
        <v>327</v>
      </c>
      <c r="C135" s="5" t="s">
        <v>20</v>
      </c>
      <c r="I135" s="9"/>
      <c r="K135" s="5">
        <v>2400.0</v>
      </c>
      <c r="N135" s="8">
        <v>44924.0</v>
      </c>
    </row>
    <row r="136">
      <c r="A136" s="5">
        <v>135.0</v>
      </c>
      <c r="B136" s="5" t="s">
        <v>328</v>
      </c>
      <c r="C136" s="5" t="s">
        <v>20</v>
      </c>
      <c r="K136" s="5">
        <v>700.0</v>
      </c>
      <c r="N136" s="8">
        <v>43542.0</v>
      </c>
    </row>
    <row r="137">
      <c r="A137" s="5">
        <v>136.0</v>
      </c>
      <c r="B137" s="5" t="s">
        <v>329</v>
      </c>
      <c r="C137" s="5" t="s">
        <v>20</v>
      </c>
      <c r="K137" s="5">
        <v>200.0</v>
      </c>
      <c r="N137" s="8">
        <v>45475.0</v>
      </c>
    </row>
    <row r="138">
      <c r="A138" s="5">
        <v>137.0</v>
      </c>
      <c r="B138" s="5" t="s">
        <v>331</v>
      </c>
      <c r="C138" s="5" t="s">
        <v>20</v>
      </c>
      <c r="K138" s="5">
        <v>150.0</v>
      </c>
      <c r="N138" s="8">
        <v>44712.0</v>
      </c>
    </row>
    <row r="139">
      <c r="A139" s="5">
        <v>138.0</v>
      </c>
      <c r="B139" s="5" t="s">
        <v>332</v>
      </c>
      <c r="C139" s="5" t="s">
        <v>20</v>
      </c>
      <c r="K139" s="5">
        <v>300.0</v>
      </c>
      <c r="N139" s="8">
        <v>45099.0</v>
      </c>
    </row>
    <row r="140">
      <c r="A140" s="5">
        <v>139.0</v>
      </c>
      <c r="B140" s="5" t="s">
        <v>335</v>
      </c>
      <c r="C140" s="5" t="s">
        <v>20</v>
      </c>
      <c r="K140" s="5">
        <v>200.0</v>
      </c>
      <c r="N140" s="8">
        <v>45498.0</v>
      </c>
    </row>
    <row r="141">
      <c r="A141" s="5">
        <v>140.0</v>
      </c>
      <c r="B141" s="5" t="s">
        <v>337</v>
      </c>
      <c r="C141" s="5" t="s">
        <v>20</v>
      </c>
      <c r="K141" s="5">
        <v>50.0</v>
      </c>
      <c r="N141" s="8">
        <v>43993.0</v>
      </c>
    </row>
    <row r="142">
      <c r="A142" s="5">
        <v>141.0</v>
      </c>
      <c r="B142" s="5" t="s">
        <v>338</v>
      </c>
      <c r="C142" s="5" t="s">
        <v>20</v>
      </c>
      <c r="K142" s="5">
        <v>150.0</v>
      </c>
      <c r="N142" s="8">
        <v>44539.0</v>
      </c>
    </row>
    <row r="143">
      <c r="A143" s="5">
        <v>142.0</v>
      </c>
      <c r="B143" s="5" t="s">
        <v>341</v>
      </c>
      <c r="C143" s="5" t="s">
        <v>20</v>
      </c>
      <c r="N143" s="8">
        <v>44815.0</v>
      </c>
    </row>
    <row r="144">
      <c r="A144" s="5">
        <v>143.0</v>
      </c>
      <c r="B144" s="5" t="s">
        <v>342</v>
      </c>
      <c r="C144" s="5" t="s">
        <v>20</v>
      </c>
      <c r="K144" s="5">
        <v>450.0</v>
      </c>
      <c r="N144" s="8">
        <v>44596.0</v>
      </c>
    </row>
    <row r="145">
      <c r="A145" s="5">
        <v>144.0</v>
      </c>
      <c r="B145" s="5" t="s">
        <v>343</v>
      </c>
      <c r="C145" s="5" t="s">
        <v>20</v>
      </c>
      <c r="K145" s="5">
        <v>250.0</v>
      </c>
      <c r="N145" s="8">
        <v>44805.0</v>
      </c>
    </row>
    <row r="146">
      <c r="A146" s="5">
        <v>145.0</v>
      </c>
      <c r="B146" s="5" t="s">
        <v>345</v>
      </c>
      <c r="C146" s="5" t="s">
        <v>20</v>
      </c>
      <c r="K146" s="5">
        <v>40.0</v>
      </c>
      <c r="N146" s="8">
        <v>44810.0</v>
      </c>
    </row>
    <row r="147">
      <c r="A147" s="5">
        <v>146.0</v>
      </c>
      <c r="B147" s="5" t="s">
        <v>347</v>
      </c>
      <c r="C147" s="5" t="s">
        <v>20</v>
      </c>
      <c r="N147" s="8">
        <v>44671.0</v>
      </c>
    </row>
    <row r="148">
      <c r="A148" s="5">
        <v>147.0</v>
      </c>
      <c r="B148" s="5" t="s">
        <v>349</v>
      </c>
      <c r="C148" s="5" t="s">
        <v>20</v>
      </c>
      <c r="K148" s="5">
        <v>30.0</v>
      </c>
      <c r="N148" s="8">
        <v>44369.0</v>
      </c>
    </row>
    <row r="149">
      <c r="A149" s="5">
        <v>148.0</v>
      </c>
      <c r="B149" s="5" t="s">
        <v>350</v>
      </c>
      <c r="C149" s="5" t="s">
        <v>20</v>
      </c>
      <c r="K149" s="5">
        <v>300.0</v>
      </c>
      <c r="N149" s="8">
        <v>44619.0</v>
      </c>
    </row>
    <row r="150">
      <c r="A150" s="5">
        <v>149.0</v>
      </c>
      <c r="B150" s="5" t="s">
        <v>351</v>
      </c>
      <c r="C150" s="5" t="s">
        <v>20</v>
      </c>
      <c r="K150" s="5">
        <v>250.0</v>
      </c>
      <c r="N150" s="8">
        <v>45214.0</v>
      </c>
    </row>
    <row r="151">
      <c r="A151" s="5">
        <v>150.0</v>
      </c>
      <c r="B151" s="5" t="s">
        <v>352</v>
      </c>
      <c r="C151" s="5" t="s">
        <v>20</v>
      </c>
      <c r="K151" s="5">
        <v>500.0</v>
      </c>
      <c r="N151" s="8">
        <v>44988.0</v>
      </c>
    </row>
    <row r="152">
      <c r="A152" s="5">
        <v>151.0</v>
      </c>
      <c r="B152" s="5" t="s">
        <v>354</v>
      </c>
      <c r="C152" s="5" t="s">
        <v>20</v>
      </c>
      <c r="K152" s="5">
        <v>10.0</v>
      </c>
      <c r="N152" s="8">
        <v>45320.0</v>
      </c>
    </row>
    <row r="153">
      <c r="A153" s="5">
        <v>152.0</v>
      </c>
      <c r="B153" s="5" t="s">
        <v>356</v>
      </c>
      <c r="C153" s="5" t="s">
        <v>20</v>
      </c>
      <c r="K153" s="5">
        <v>300.0</v>
      </c>
      <c r="N153" s="8">
        <v>44810.0</v>
      </c>
    </row>
    <row r="154">
      <c r="A154" s="5">
        <v>153.0</v>
      </c>
      <c r="B154" s="5" t="s">
        <v>357</v>
      </c>
      <c r="C154" s="5" t="s">
        <v>20</v>
      </c>
      <c r="K154" s="5">
        <v>20.0</v>
      </c>
      <c r="N154" s="8">
        <v>45479.0</v>
      </c>
    </row>
    <row r="155">
      <c r="A155" s="5">
        <v>154.0</v>
      </c>
      <c r="B155" s="5" t="s">
        <v>361</v>
      </c>
      <c r="C155" s="5" t="s">
        <v>20</v>
      </c>
      <c r="K155" s="5">
        <v>1000.0</v>
      </c>
      <c r="N155" s="8">
        <v>44099.0</v>
      </c>
    </row>
    <row r="156">
      <c r="A156" s="5">
        <v>155.0</v>
      </c>
      <c r="B156" s="5" t="s">
        <v>363</v>
      </c>
      <c r="C156" s="5" t="s">
        <v>20</v>
      </c>
      <c r="K156" s="5">
        <v>10.0</v>
      </c>
      <c r="N156" s="8">
        <v>45089.0</v>
      </c>
    </row>
    <row r="157">
      <c r="A157" s="5">
        <v>156.0</v>
      </c>
      <c r="B157" s="5" t="s">
        <v>364</v>
      </c>
      <c r="C157" s="5" t="s">
        <v>20</v>
      </c>
      <c r="K157" s="5">
        <v>250.0</v>
      </c>
      <c r="N157" s="8">
        <v>44254.0</v>
      </c>
    </row>
    <row r="158">
      <c r="A158" s="5">
        <v>157.0</v>
      </c>
      <c r="B158" s="5" t="s">
        <v>366</v>
      </c>
      <c r="C158" s="5" t="s">
        <v>20</v>
      </c>
      <c r="N158" s="8">
        <v>44983.0</v>
      </c>
    </row>
    <row r="159">
      <c r="A159" s="5">
        <v>158.0</v>
      </c>
      <c r="B159" s="5" t="s">
        <v>367</v>
      </c>
      <c r="C159" s="5" t="s">
        <v>20</v>
      </c>
      <c r="K159" s="5">
        <v>20.0</v>
      </c>
      <c r="N159" s="8">
        <v>45594.0</v>
      </c>
    </row>
    <row r="160">
      <c r="A160" s="5">
        <v>159.0</v>
      </c>
      <c r="B160" s="5" t="s">
        <v>369</v>
      </c>
      <c r="C160" s="5" t="s">
        <v>20</v>
      </c>
      <c r="K160" s="5">
        <v>50.0</v>
      </c>
      <c r="N160" s="8">
        <v>44416.0</v>
      </c>
    </row>
    <row r="161">
      <c r="A161" s="5">
        <v>160.0</v>
      </c>
      <c r="B161" s="5" t="s">
        <v>371</v>
      </c>
      <c r="C161" s="5" t="s">
        <v>20</v>
      </c>
      <c r="K161" s="5">
        <v>80.0</v>
      </c>
      <c r="N161" s="8">
        <v>44434.0</v>
      </c>
    </row>
    <row r="162">
      <c r="A162" s="5">
        <v>161.0</v>
      </c>
      <c r="B162" s="5" t="s">
        <v>373</v>
      </c>
      <c r="C162" s="5" t="s">
        <v>20</v>
      </c>
      <c r="K162" s="5">
        <v>300.0</v>
      </c>
      <c r="N162" s="8">
        <v>44396.0</v>
      </c>
    </row>
    <row r="163">
      <c r="A163" s="5">
        <v>162.0</v>
      </c>
      <c r="B163" s="5" t="s">
        <v>375</v>
      </c>
      <c r="C163" s="5" t="s">
        <v>20</v>
      </c>
      <c r="K163" s="5">
        <v>200.0</v>
      </c>
      <c r="N163" s="8">
        <v>44732.0</v>
      </c>
    </row>
    <row r="164">
      <c r="A164" s="5">
        <v>163.0</v>
      </c>
      <c r="B164" s="5" t="s">
        <v>376</v>
      </c>
      <c r="C164" s="5" t="s">
        <v>20</v>
      </c>
      <c r="K164" s="5">
        <v>30.0</v>
      </c>
      <c r="N164" s="8">
        <v>44367.0</v>
      </c>
    </row>
    <row r="165">
      <c r="A165" s="5">
        <v>164.0</v>
      </c>
      <c r="B165" s="5" t="s">
        <v>378</v>
      </c>
      <c r="C165" s="5" t="s">
        <v>20</v>
      </c>
      <c r="K165" s="5">
        <v>80.0</v>
      </c>
      <c r="N165" s="8">
        <v>45187.0</v>
      </c>
    </row>
    <row r="166">
      <c r="A166" s="5">
        <v>165.0</v>
      </c>
      <c r="B166" s="5" t="s">
        <v>380</v>
      </c>
      <c r="C166" s="5" t="s">
        <v>20</v>
      </c>
      <c r="K166" s="5">
        <v>30.0</v>
      </c>
      <c r="N166" s="8">
        <v>44915.0</v>
      </c>
    </row>
    <row r="167">
      <c r="A167" s="5">
        <v>166.0</v>
      </c>
      <c r="B167" s="5" t="s">
        <v>382</v>
      </c>
      <c r="C167" s="5" t="s">
        <v>20</v>
      </c>
      <c r="K167" s="5">
        <v>400.0</v>
      </c>
      <c r="N167" s="8">
        <v>44698.0</v>
      </c>
    </row>
    <row r="168">
      <c r="A168" s="5">
        <v>167.0</v>
      </c>
      <c r="B168" s="5" t="s">
        <v>384</v>
      </c>
      <c r="C168" s="5" t="s">
        <v>20</v>
      </c>
      <c r="K168" s="5">
        <v>20.0</v>
      </c>
      <c r="N168" s="8">
        <v>45094.0</v>
      </c>
    </row>
    <row r="169">
      <c r="A169" s="5">
        <v>168.0</v>
      </c>
      <c r="B169" s="5" t="s">
        <v>386</v>
      </c>
      <c r="C169" s="5" t="s">
        <v>20</v>
      </c>
      <c r="K169" s="5">
        <v>80.0</v>
      </c>
      <c r="N169" s="8">
        <v>44964.0</v>
      </c>
    </row>
    <row r="170">
      <c r="A170" s="5">
        <v>169.0</v>
      </c>
      <c r="B170" s="5" t="s">
        <v>388</v>
      </c>
      <c r="C170" s="5" t="s">
        <v>20</v>
      </c>
      <c r="K170" s="5">
        <v>90.0</v>
      </c>
      <c r="N170" s="8">
        <v>45026.0</v>
      </c>
    </row>
    <row r="171">
      <c r="A171" s="5">
        <v>170.0</v>
      </c>
      <c r="B171" s="5" t="s">
        <v>390</v>
      </c>
      <c r="C171" s="5" t="s">
        <v>20</v>
      </c>
      <c r="N171" s="8">
        <v>44745.0</v>
      </c>
    </row>
    <row r="172">
      <c r="A172" s="5">
        <v>171.0</v>
      </c>
      <c r="B172" s="5" t="s">
        <v>391</v>
      </c>
      <c r="C172" s="5" t="s">
        <v>20</v>
      </c>
      <c r="K172" s="5">
        <v>150.0</v>
      </c>
      <c r="N172" s="8">
        <v>44085.0</v>
      </c>
    </row>
    <row r="173">
      <c r="A173" s="5">
        <v>172.0</v>
      </c>
      <c r="B173" s="5" t="s">
        <v>393</v>
      </c>
      <c r="C173" s="5" t="s">
        <v>20</v>
      </c>
      <c r="K173" s="5">
        <v>200.0</v>
      </c>
      <c r="N173" s="8">
        <v>44268.0</v>
      </c>
    </row>
    <row r="174">
      <c r="A174" s="5">
        <v>173.0</v>
      </c>
      <c r="B174" s="5" t="s">
        <v>394</v>
      </c>
      <c r="C174" s="5" t="s">
        <v>20</v>
      </c>
      <c r="K174" s="5">
        <v>10.0</v>
      </c>
      <c r="N174" s="8">
        <v>45101.0</v>
      </c>
    </row>
    <row r="175">
      <c r="A175" s="5">
        <v>174.0</v>
      </c>
      <c r="B175" s="5" t="s">
        <v>396</v>
      </c>
      <c r="C175" s="5" t="s">
        <v>20</v>
      </c>
      <c r="K175" s="5">
        <v>40.0</v>
      </c>
      <c r="N175" s="8">
        <v>45140.0</v>
      </c>
    </row>
    <row r="176">
      <c r="A176" s="5">
        <v>175.0</v>
      </c>
      <c r="B176" s="5" t="s">
        <v>398</v>
      </c>
      <c r="C176" s="5" t="s">
        <v>20</v>
      </c>
      <c r="K176" s="5">
        <v>100.0</v>
      </c>
      <c r="N176" s="8">
        <v>44569.0</v>
      </c>
    </row>
    <row r="177">
      <c r="A177" s="5">
        <v>176.0</v>
      </c>
      <c r="B177" s="5" t="s">
        <v>400</v>
      </c>
      <c r="C177" s="5" t="s">
        <v>20</v>
      </c>
      <c r="K177" s="5">
        <v>10.0</v>
      </c>
      <c r="N177" s="8">
        <v>44862.0</v>
      </c>
    </row>
    <row r="178">
      <c r="A178" s="5">
        <v>177.0</v>
      </c>
      <c r="B178" s="5" t="s">
        <v>401</v>
      </c>
      <c r="C178" s="5" t="s">
        <v>20</v>
      </c>
      <c r="K178" s="5">
        <v>150.0</v>
      </c>
      <c r="N178" s="8">
        <v>44698.0</v>
      </c>
    </row>
    <row r="179">
      <c r="A179" s="5">
        <v>178.0</v>
      </c>
      <c r="B179" s="5" t="s">
        <v>403</v>
      </c>
      <c r="C179" s="5" t="s">
        <v>20</v>
      </c>
      <c r="N179" s="8">
        <v>45425.0</v>
      </c>
    </row>
    <row r="180">
      <c r="A180" s="5">
        <v>179.0</v>
      </c>
      <c r="B180" s="5" t="s">
        <v>405</v>
      </c>
      <c r="C180" s="5" t="s">
        <v>20</v>
      </c>
      <c r="N180" s="8">
        <v>45292.0</v>
      </c>
    </row>
    <row r="181">
      <c r="A181" s="5">
        <v>180.0</v>
      </c>
      <c r="B181" s="5" t="s">
        <v>406</v>
      </c>
      <c r="C181" s="5" t="s">
        <v>20</v>
      </c>
      <c r="K181" s="5">
        <v>500.0</v>
      </c>
      <c r="N181" s="8">
        <v>44745.0</v>
      </c>
    </row>
    <row r="182">
      <c r="A182" s="5">
        <v>181.0</v>
      </c>
      <c r="B182" s="5" t="s">
        <v>407</v>
      </c>
      <c r="C182" s="5" t="s">
        <v>20</v>
      </c>
      <c r="N182" s="8">
        <v>44417.0</v>
      </c>
    </row>
    <row r="183">
      <c r="A183" s="5">
        <v>182.0</v>
      </c>
      <c r="B183" s="5" t="s">
        <v>409</v>
      </c>
      <c r="C183" s="5" t="s">
        <v>20</v>
      </c>
      <c r="K183" s="5">
        <v>100.0</v>
      </c>
      <c r="N183" s="8">
        <v>44167.0</v>
      </c>
    </row>
    <row r="184">
      <c r="A184" s="5">
        <v>183.0</v>
      </c>
      <c r="B184" s="5" t="s">
        <v>412</v>
      </c>
      <c r="C184" s="5" t="s">
        <v>20</v>
      </c>
      <c r="K184" s="5">
        <v>350.0</v>
      </c>
      <c r="N184" s="8">
        <v>45045.0</v>
      </c>
    </row>
    <row r="185">
      <c r="A185" s="5">
        <v>184.0</v>
      </c>
      <c r="B185" s="5" t="s">
        <v>413</v>
      </c>
      <c r="C185" s="5" t="s">
        <v>20</v>
      </c>
      <c r="K185" s="5">
        <v>100.0</v>
      </c>
      <c r="N185" s="8">
        <v>44712.0</v>
      </c>
    </row>
    <row r="186">
      <c r="A186" s="5">
        <v>185.0</v>
      </c>
      <c r="B186" s="5" t="s">
        <v>414</v>
      </c>
      <c r="C186" s="5" t="s">
        <v>20</v>
      </c>
      <c r="K186" s="5">
        <v>150.0</v>
      </c>
      <c r="N186" s="8">
        <v>44328.0</v>
      </c>
    </row>
    <row r="187">
      <c r="A187" s="5">
        <v>186.0</v>
      </c>
      <c r="B187" s="5" t="s">
        <v>416</v>
      </c>
      <c r="C187" s="5" t="s">
        <v>20</v>
      </c>
      <c r="K187" s="5">
        <v>2400.0</v>
      </c>
      <c r="N187" s="8">
        <v>44241.0</v>
      </c>
    </row>
    <row r="188">
      <c r="A188" s="5">
        <v>187.0</v>
      </c>
      <c r="B188" s="5" t="s">
        <v>418</v>
      </c>
      <c r="C188" s="5" t="s">
        <v>20</v>
      </c>
      <c r="K188" s="5">
        <v>10.0</v>
      </c>
      <c r="N188" s="8">
        <v>45169.0</v>
      </c>
    </row>
    <row r="189">
      <c r="A189" s="5">
        <v>188.0</v>
      </c>
      <c r="B189" s="5" t="s">
        <v>419</v>
      </c>
      <c r="C189" s="5" t="s">
        <v>20</v>
      </c>
      <c r="K189" s="5">
        <v>10.0</v>
      </c>
      <c r="N189" s="8">
        <v>44137.0</v>
      </c>
    </row>
    <row r="190">
      <c r="A190" s="5">
        <v>189.0</v>
      </c>
      <c r="B190" s="5" t="s">
        <v>421</v>
      </c>
      <c r="C190" s="5" t="s">
        <v>20</v>
      </c>
      <c r="K190" s="5">
        <v>150.0</v>
      </c>
      <c r="N190" s="8">
        <v>44852.0</v>
      </c>
    </row>
    <row r="191">
      <c r="A191" s="5">
        <v>190.0</v>
      </c>
      <c r="B191" s="5" t="s">
        <v>422</v>
      </c>
      <c r="C191" s="5" t="s">
        <v>20</v>
      </c>
      <c r="K191" s="5">
        <v>30.0</v>
      </c>
      <c r="N191" s="8">
        <v>44926.0</v>
      </c>
    </row>
    <row r="192">
      <c r="A192" s="5">
        <v>191.0</v>
      </c>
      <c r="B192" s="5" t="s">
        <v>423</v>
      </c>
      <c r="C192" s="5" t="s">
        <v>20</v>
      </c>
      <c r="K192" s="5">
        <v>150.0</v>
      </c>
      <c r="N192" s="8">
        <v>45279.0</v>
      </c>
    </row>
    <row r="193">
      <c r="A193" s="5">
        <v>192.0</v>
      </c>
      <c r="B193" s="5" t="s">
        <v>426</v>
      </c>
      <c r="C193" s="5" t="s">
        <v>20</v>
      </c>
      <c r="K193" s="5">
        <v>10.0</v>
      </c>
      <c r="N193" s="8">
        <v>45219.0</v>
      </c>
    </row>
    <row r="194">
      <c r="A194" s="5">
        <v>193.0</v>
      </c>
      <c r="B194" s="5" t="s">
        <v>428</v>
      </c>
      <c r="C194" s="5" t="s">
        <v>20</v>
      </c>
      <c r="N194" s="8">
        <v>44139.0</v>
      </c>
    </row>
    <row r="195">
      <c r="A195" s="5">
        <v>194.0</v>
      </c>
      <c r="B195" s="5" t="s">
        <v>430</v>
      </c>
      <c r="C195" s="5" t="s">
        <v>20</v>
      </c>
      <c r="K195" s="5">
        <v>300.0</v>
      </c>
      <c r="N195" s="8">
        <v>44038.0</v>
      </c>
    </row>
    <row r="196">
      <c r="A196" s="5">
        <v>195.0</v>
      </c>
      <c r="B196" s="5" t="s">
        <v>433</v>
      </c>
      <c r="C196" s="5" t="s">
        <v>20</v>
      </c>
      <c r="K196" s="5">
        <v>100.0</v>
      </c>
      <c r="N196" s="8">
        <v>43895.0</v>
      </c>
    </row>
    <row r="197">
      <c r="A197" s="5">
        <v>196.0</v>
      </c>
      <c r="B197" s="5" t="s">
        <v>435</v>
      </c>
      <c r="C197" s="5" t="s">
        <v>20</v>
      </c>
      <c r="K197" s="5">
        <v>80.0</v>
      </c>
      <c r="N197" s="8">
        <v>45428.0</v>
      </c>
    </row>
    <row r="198">
      <c r="A198" s="5">
        <v>197.0</v>
      </c>
      <c r="B198" s="5" t="s">
        <v>438</v>
      </c>
      <c r="C198" s="5" t="s">
        <v>20</v>
      </c>
      <c r="K198" s="5">
        <v>150.0</v>
      </c>
      <c r="N198" s="8">
        <v>44395.0</v>
      </c>
    </row>
    <row r="199">
      <c r="A199" s="5">
        <v>198.0</v>
      </c>
      <c r="B199" s="5" t="s">
        <v>439</v>
      </c>
      <c r="C199" s="5" t="s">
        <v>20</v>
      </c>
      <c r="K199" s="5">
        <v>10.0</v>
      </c>
      <c r="N199" s="8">
        <v>44425.0</v>
      </c>
    </row>
    <row r="200">
      <c r="A200" s="5">
        <v>199.0</v>
      </c>
      <c r="B200" s="5" t="s">
        <v>441</v>
      </c>
      <c r="C200" s="5" t="s">
        <v>20</v>
      </c>
      <c r="K200" s="5">
        <v>30.0</v>
      </c>
      <c r="N200" s="8">
        <v>45317.0</v>
      </c>
    </row>
    <row r="201">
      <c r="A201" s="5">
        <v>200.0</v>
      </c>
      <c r="B201" s="5" t="s">
        <v>443</v>
      </c>
      <c r="C201" s="5" t="s">
        <v>20</v>
      </c>
      <c r="K201" s="5">
        <v>2200.0</v>
      </c>
      <c r="N201" s="8">
        <v>44743.0</v>
      </c>
    </row>
    <row r="202">
      <c r="A202" s="5">
        <v>201.0</v>
      </c>
      <c r="B202" s="5" t="s">
        <v>445</v>
      </c>
      <c r="C202" s="5" t="s">
        <v>20</v>
      </c>
      <c r="K202" s="5">
        <v>200.0</v>
      </c>
      <c r="N202" s="8">
        <v>45355.0</v>
      </c>
    </row>
    <row r="203">
      <c r="A203" s="5">
        <v>202.0</v>
      </c>
      <c r="B203" s="5" t="s">
        <v>448</v>
      </c>
      <c r="C203" s="5" t="s">
        <v>20</v>
      </c>
      <c r="K203" s="5">
        <v>10.0</v>
      </c>
      <c r="N203" s="8">
        <v>44070.0</v>
      </c>
    </row>
    <row r="204">
      <c r="N204" s="8"/>
    </row>
    <row r="205">
      <c r="N205" s="8"/>
    </row>
    <row r="206">
      <c r="N206" s="8"/>
    </row>
    <row r="207">
      <c r="N207" s="8"/>
    </row>
    <row r="208">
      <c r="N208" s="8"/>
    </row>
    <row r="209">
      <c r="N209" s="8"/>
    </row>
    <row r="210">
      <c r="N210" s="8"/>
    </row>
    <row r="211">
      <c r="N211" s="8"/>
    </row>
    <row r="212">
      <c r="N212" s="8"/>
    </row>
    <row r="213">
      <c r="N213" s="8"/>
    </row>
    <row r="214">
      <c r="N214" s="8"/>
    </row>
    <row r="215">
      <c r="N215" s="8"/>
    </row>
    <row r="216">
      <c r="N216" s="8"/>
    </row>
    <row r="217">
      <c r="N217" s="8"/>
    </row>
    <row r="218">
      <c r="N218" s="8"/>
    </row>
    <row r="219">
      <c r="N219" s="8"/>
    </row>
    <row r="220">
      <c r="N220" s="8"/>
    </row>
    <row r="221">
      <c r="N221" s="8"/>
    </row>
    <row r="222">
      <c r="N222" s="8"/>
    </row>
    <row r="223">
      <c r="N223" s="8"/>
    </row>
    <row r="224">
      <c r="N224" s="8"/>
    </row>
    <row r="225">
      <c r="N225" s="8"/>
    </row>
    <row r="226">
      <c r="N226" s="8"/>
    </row>
    <row r="227">
      <c r="N227" s="8"/>
    </row>
    <row r="228">
      <c r="N228" s="8"/>
    </row>
    <row r="229">
      <c r="N229" s="8"/>
    </row>
    <row r="230">
      <c r="N230" s="8"/>
    </row>
    <row r="231">
      <c r="N231" s="8"/>
    </row>
    <row r="232">
      <c r="N232" s="8"/>
    </row>
    <row r="233">
      <c r="N233" s="8"/>
    </row>
    <row r="234">
      <c r="N234" s="8"/>
    </row>
    <row r="235">
      <c r="N235" s="8"/>
    </row>
    <row r="236">
      <c r="N236" s="8"/>
    </row>
    <row r="237">
      <c r="N237" s="8"/>
    </row>
    <row r="238">
      <c r="N238" s="8"/>
    </row>
    <row r="239">
      <c r="N239" s="8"/>
    </row>
    <row r="240">
      <c r="N240" s="8"/>
    </row>
    <row r="241">
      <c r="N241" s="8"/>
    </row>
    <row r="242">
      <c r="N242" s="8"/>
    </row>
    <row r="243">
      <c r="N243" s="8"/>
    </row>
    <row r="244">
      <c r="N244" s="8"/>
    </row>
    <row r="245">
      <c r="N245" s="8"/>
    </row>
    <row r="246">
      <c r="N246" s="8"/>
    </row>
    <row r="247">
      <c r="N247" s="8"/>
    </row>
    <row r="248">
      <c r="N248" s="8"/>
    </row>
    <row r="249">
      <c r="N249" s="8"/>
    </row>
    <row r="250">
      <c r="N250" s="8"/>
    </row>
    <row r="251">
      <c r="N251" s="8"/>
    </row>
    <row r="252">
      <c r="N252" s="8"/>
    </row>
    <row r="253">
      <c r="N253" s="8"/>
    </row>
    <row r="254">
      <c r="N254" s="8"/>
    </row>
    <row r="255">
      <c r="I255" s="9"/>
      <c r="N255" s="8"/>
    </row>
    <row r="256">
      <c r="N256" s="8"/>
    </row>
    <row r="257">
      <c r="N257" s="8"/>
    </row>
    <row r="258">
      <c r="N258" s="8"/>
    </row>
    <row r="259">
      <c r="N259" s="8"/>
    </row>
    <row r="260">
      <c r="N260" s="8"/>
    </row>
    <row r="261">
      <c r="N261" s="8"/>
    </row>
    <row r="262">
      <c r="N262" s="8"/>
    </row>
    <row r="263">
      <c r="N263" s="8"/>
    </row>
    <row r="264">
      <c r="N264" s="8"/>
    </row>
    <row r="265">
      <c r="N265" s="8"/>
    </row>
    <row r="266">
      <c r="N266" s="8"/>
    </row>
    <row r="267">
      <c r="N267" s="8"/>
    </row>
    <row r="268">
      <c r="N268" s="8"/>
    </row>
    <row r="269">
      <c r="N269" s="8"/>
    </row>
    <row r="270">
      <c r="N270" s="8"/>
    </row>
    <row r="271">
      <c r="N271" s="8"/>
    </row>
    <row r="272">
      <c r="N272" s="8"/>
    </row>
    <row r="273">
      <c r="N273" s="8"/>
    </row>
    <row r="274">
      <c r="N274" s="8"/>
    </row>
    <row r="275">
      <c r="N275" s="8"/>
    </row>
    <row r="276">
      <c r="N276" s="8"/>
    </row>
    <row r="277">
      <c r="N277" s="8"/>
    </row>
    <row r="278">
      <c r="N278" s="8"/>
    </row>
    <row r="279">
      <c r="N279" s="8"/>
    </row>
    <row r="280">
      <c r="N280" s="8"/>
    </row>
    <row r="281">
      <c r="N281" s="8"/>
    </row>
    <row r="282">
      <c r="N282" s="8"/>
    </row>
    <row r="283">
      <c r="N283" s="8"/>
    </row>
    <row r="284">
      <c r="N284" s="8"/>
    </row>
    <row r="285">
      <c r="N285" s="8"/>
    </row>
    <row r="286">
      <c r="N286" s="8"/>
    </row>
    <row r="287">
      <c r="N287" s="8"/>
    </row>
    <row r="288">
      <c r="N288" s="8"/>
    </row>
    <row r="289">
      <c r="N289" s="8"/>
    </row>
    <row r="290">
      <c r="N290" s="8"/>
    </row>
    <row r="291">
      <c r="N291" s="8"/>
    </row>
    <row r="292">
      <c r="N292" s="8"/>
    </row>
    <row r="293">
      <c r="N293" s="8"/>
    </row>
    <row r="294">
      <c r="N294" s="8"/>
    </row>
    <row r="295">
      <c r="N295" s="8"/>
    </row>
    <row r="296">
      <c r="N296" s="8"/>
    </row>
    <row r="297">
      <c r="N297" s="8"/>
    </row>
    <row r="298">
      <c r="N298" s="8"/>
    </row>
    <row r="299">
      <c r="N299" s="8"/>
    </row>
    <row r="300">
      <c r="N300" s="8"/>
    </row>
    <row r="301">
      <c r="N301" s="8"/>
    </row>
    <row r="302">
      <c r="N302" s="8"/>
    </row>
    <row r="303">
      <c r="N303" s="8"/>
    </row>
    <row r="304">
      <c r="N304" s="8"/>
    </row>
    <row r="305">
      <c r="N305" s="8"/>
    </row>
    <row r="306">
      <c r="N306" s="8"/>
    </row>
    <row r="307">
      <c r="N307" s="8"/>
    </row>
    <row r="308">
      <c r="N308" s="8"/>
    </row>
    <row r="309">
      <c r="N309" s="8"/>
    </row>
    <row r="310">
      <c r="N310" s="8"/>
    </row>
    <row r="311">
      <c r="N311" s="8"/>
    </row>
    <row r="312">
      <c r="N312" s="8"/>
    </row>
    <row r="313">
      <c r="N313" s="8"/>
    </row>
    <row r="314">
      <c r="N314" s="8"/>
    </row>
    <row r="315">
      <c r="N315" s="8"/>
    </row>
    <row r="316">
      <c r="N316" s="8"/>
    </row>
    <row r="317">
      <c r="N317" s="8"/>
    </row>
    <row r="318">
      <c r="N318" s="8"/>
    </row>
    <row r="319">
      <c r="N319" s="8"/>
    </row>
    <row r="320">
      <c r="N320" s="8"/>
    </row>
    <row r="321">
      <c r="N321" s="8"/>
    </row>
    <row r="322">
      <c r="N322" s="8"/>
    </row>
    <row r="323">
      <c r="N323" s="8"/>
    </row>
    <row r="324">
      <c r="N324" s="8"/>
    </row>
    <row r="325">
      <c r="N325" s="8"/>
    </row>
    <row r="326">
      <c r="N326" s="8"/>
    </row>
    <row r="327">
      <c r="N327" s="8"/>
    </row>
    <row r="328">
      <c r="N328" s="8"/>
    </row>
    <row r="329">
      <c r="N329" s="8"/>
    </row>
    <row r="330">
      <c r="N330" s="8"/>
    </row>
    <row r="331">
      <c r="N331" s="8"/>
    </row>
    <row r="332">
      <c r="N332" s="8"/>
    </row>
    <row r="333">
      <c r="N333" s="8"/>
    </row>
    <row r="334">
      <c r="N334" s="8"/>
    </row>
    <row r="335">
      <c r="N335" s="8"/>
    </row>
    <row r="336">
      <c r="N336" s="8"/>
    </row>
    <row r="337">
      <c r="N337" s="8"/>
    </row>
    <row r="338">
      <c r="N338" s="8"/>
    </row>
    <row r="339">
      <c r="N339" s="8"/>
    </row>
    <row r="340">
      <c r="N340" s="8"/>
    </row>
    <row r="341">
      <c r="N341" s="8"/>
    </row>
    <row r="342">
      <c r="N342" s="8"/>
    </row>
    <row r="343">
      <c r="N343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33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19</v>
      </c>
      <c r="C2" s="5" t="s">
        <v>20</v>
      </c>
      <c r="D2" s="5">
        <v>0.0</v>
      </c>
      <c r="E2" s="5">
        <v>133000.0</v>
      </c>
      <c r="F2" s="5">
        <v>0.09</v>
      </c>
      <c r="G2" s="5">
        <v>1.16</v>
      </c>
      <c r="H2" s="5" t="s">
        <v>19</v>
      </c>
      <c r="I2" s="9">
        <v>46162.51018518519</v>
      </c>
      <c r="J2" s="5" t="s">
        <v>22</v>
      </c>
      <c r="K2" s="5">
        <v>137000.0</v>
      </c>
      <c r="L2" s="5">
        <v>131000.0</v>
      </c>
      <c r="M2" s="5">
        <v>135000.0</v>
      </c>
      <c r="N2" s="8">
        <v>42248.0</v>
      </c>
      <c r="O2" s="5" t="s">
        <v>24</v>
      </c>
      <c r="P2" s="5" t="s">
        <v>25</v>
      </c>
      <c r="Q2" s="5" t="s">
        <v>26</v>
      </c>
      <c r="R2" s="5" t="s">
        <v>28</v>
      </c>
      <c r="S2" s="5" t="s">
        <v>29</v>
      </c>
    </row>
    <row r="3">
      <c r="A3" s="5">
        <v>2.0</v>
      </c>
      <c r="B3" s="5" t="s">
        <v>30</v>
      </c>
      <c r="C3" s="5" t="s">
        <v>20</v>
      </c>
      <c r="D3" s="5">
        <v>9.0</v>
      </c>
      <c r="E3" s="5">
        <v>17000.0</v>
      </c>
      <c r="F3" s="5">
        <v>0.6</v>
      </c>
      <c r="G3" s="5">
        <v>1.09</v>
      </c>
      <c r="H3" s="5" t="s">
        <v>30</v>
      </c>
      <c r="I3" s="9">
        <v>46058.00326388889</v>
      </c>
      <c r="J3" s="5" t="s">
        <v>33</v>
      </c>
      <c r="K3" s="5">
        <v>18000.0</v>
      </c>
      <c r="L3" s="5">
        <v>15000.0</v>
      </c>
      <c r="M3" s="5">
        <v>16000.0</v>
      </c>
      <c r="N3" s="8">
        <v>42251.0</v>
      </c>
      <c r="O3" s="5" t="s">
        <v>24</v>
      </c>
      <c r="P3" s="5" t="s">
        <v>25</v>
      </c>
      <c r="Q3" s="5" t="s">
        <v>36</v>
      </c>
      <c r="R3" s="5" t="s">
        <v>37</v>
      </c>
      <c r="S3" s="5" t="s">
        <v>38</v>
      </c>
    </row>
    <row r="4">
      <c r="A4" s="5">
        <v>3.0</v>
      </c>
      <c r="B4" s="5" t="s">
        <v>40</v>
      </c>
      <c r="C4" s="5" t="s">
        <v>20</v>
      </c>
      <c r="D4" s="5">
        <v>5.0</v>
      </c>
      <c r="E4" s="5">
        <v>12000.0</v>
      </c>
      <c r="F4" s="5">
        <v>0.04</v>
      </c>
      <c r="G4" s="5">
        <v>1.04</v>
      </c>
      <c r="H4" s="5" t="s">
        <v>41</v>
      </c>
      <c r="I4" s="9">
        <v>46149.25739583333</v>
      </c>
      <c r="J4" s="5" t="s">
        <v>22</v>
      </c>
      <c r="K4" s="5">
        <v>13000.0</v>
      </c>
      <c r="L4" s="5">
        <v>150.0</v>
      </c>
      <c r="M4" s="5">
        <v>1300.0</v>
      </c>
      <c r="N4" s="8">
        <v>42249.0</v>
      </c>
      <c r="O4" s="5" t="s">
        <v>24</v>
      </c>
      <c r="P4" s="5" t="s">
        <v>25</v>
      </c>
      <c r="Q4" s="5" t="s">
        <v>44</v>
      </c>
      <c r="R4" s="5" t="s">
        <v>45</v>
      </c>
      <c r="S4" s="5" t="s">
        <v>46</v>
      </c>
    </row>
    <row r="5">
      <c r="A5" s="5">
        <v>4.0</v>
      </c>
      <c r="B5" s="5" t="s">
        <v>47</v>
      </c>
      <c r="C5" s="5" t="s">
        <v>20</v>
      </c>
      <c r="D5" s="5">
        <v>34.0</v>
      </c>
      <c r="E5" s="5">
        <v>9600.0</v>
      </c>
      <c r="F5" s="5">
        <v>0.6</v>
      </c>
      <c r="G5" s="5">
        <v>1.01</v>
      </c>
      <c r="H5" s="5" t="s">
        <v>47</v>
      </c>
      <c r="I5" s="9">
        <v>46149.23415509259</v>
      </c>
      <c r="J5" s="5" t="s">
        <v>22</v>
      </c>
      <c r="K5" s="5">
        <v>32000.0</v>
      </c>
      <c r="L5" s="5">
        <v>15000.0</v>
      </c>
      <c r="M5" s="5">
        <v>16000.0</v>
      </c>
      <c r="N5" s="8">
        <v>42248.0</v>
      </c>
      <c r="O5" s="5" t="s">
        <v>50</v>
      </c>
      <c r="P5" s="5" t="s">
        <v>25</v>
      </c>
      <c r="Q5" s="5" t="s">
        <v>51</v>
      </c>
      <c r="R5" s="5" t="s">
        <v>53</v>
      </c>
      <c r="S5" s="5" t="s">
        <v>29</v>
      </c>
    </row>
    <row r="6">
      <c r="A6" s="5">
        <v>5.0</v>
      </c>
      <c r="B6" s="5" t="s">
        <v>54</v>
      </c>
      <c r="C6" s="5" t="s">
        <v>20</v>
      </c>
      <c r="D6" s="5">
        <v>0.0</v>
      </c>
      <c r="E6" s="5">
        <v>9400.0</v>
      </c>
      <c r="F6" s="5">
        <v>0.25</v>
      </c>
      <c r="G6" s="5">
        <v>1.06</v>
      </c>
      <c r="H6" s="5" t="s">
        <v>56</v>
      </c>
      <c r="I6" s="9">
        <v>46149.2334837963</v>
      </c>
      <c r="J6" s="5" t="s">
        <v>22</v>
      </c>
      <c r="K6" s="5">
        <v>9400.0</v>
      </c>
      <c r="L6" s="5">
        <v>5900.0</v>
      </c>
      <c r="M6" s="5">
        <v>6000.0</v>
      </c>
      <c r="N6" s="8">
        <v>42248.0</v>
      </c>
      <c r="O6" s="5" t="s">
        <v>24</v>
      </c>
      <c r="Q6" s="5" t="s">
        <v>58</v>
      </c>
      <c r="R6" s="5" t="s">
        <v>59</v>
      </c>
      <c r="S6" s="5" t="s">
        <v>60</v>
      </c>
    </row>
    <row r="7">
      <c r="A7" s="5">
        <v>6.0</v>
      </c>
      <c r="B7" s="5" t="s">
        <v>607</v>
      </c>
      <c r="C7" s="5" t="s">
        <v>20</v>
      </c>
      <c r="D7" s="5">
        <v>72.0</v>
      </c>
      <c r="E7" s="5">
        <v>8300.0</v>
      </c>
      <c r="F7" s="5">
        <v>0.45</v>
      </c>
      <c r="G7" s="5">
        <v>0.58</v>
      </c>
      <c r="H7" s="5" t="s">
        <v>19</v>
      </c>
      <c r="I7" s="9">
        <v>46149.25880787037</v>
      </c>
      <c r="J7" s="5" t="s">
        <v>610</v>
      </c>
      <c r="K7" s="5">
        <v>541000.0</v>
      </c>
      <c r="L7" s="5">
        <v>137000.0</v>
      </c>
      <c r="M7" s="5">
        <v>140000.0</v>
      </c>
      <c r="N7" s="8">
        <v>42251.0</v>
      </c>
      <c r="O7" s="5" t="s">
        <v>50</v>
      </c>
      <c r="P7" s="5" t="s">
        <v>25</v>
      </c>
      <c r="Q7" s="5" t="s">
        <v>611</v>
      </c>
      <c r="R7" s="5" t="s">
        <v>612</v>
      </c>
      <c r="S7" s="5" t="s">
        <v>613</v>
      </c>
    </row>
    <row r="8">
      <c r="A8" s="5">
        <v>7.0</v>
      </c>
      <c r="B8" s="5" t="s">
        <v>61</v>
      </c>
      <c r="C8" s="5" t="s">
        <v>20</v>
      </c>
      <c r="D8" s="5">
        <v>70.0</v>
      </c>
      <c r="E8" s="5">
        <v>6700.0</v>
      </c>
      <c r="F8" s="5">
        <v>1.6</v>
      </c>
      <c r="G8" s="5">
        <v>1.08</v>
      </c>
      <c r="H8" s="5" t="s">
        <v>61</v>
      </c>
      <c r="I8" s="9">
        <v>46149.25696759259</v>
      </c>
      <c r="J8" s="5" t="s">
        <v>63</v>
      </c>
      <c r="K8" s="5">
        <v>7100.0</v>
      </c>
      <c r="L8" s="5">
        <v>11000.0</v>
      </c>
      <c r="M8" s="5">
        <v>11000.0</v>
      </c>
      <c r="N8" s="8">
        <v>42254.0</v>
      </c>
      <c r="O8" s="5" t="s">
        <v>50</v>
      </c>
      <c r="P8" s="5" t="s">
        <v>25</v>
      </c>
      <c r="Q8" s="5" t="s">
        <v>66</v>
      </c>
      <c r="R8" s="5" t="s">
        <v>67</v>
      </c>
      <c r="S8" s="5" t="s">
        <v>38</v>
      </c>
    </row>
    <row r="9">
      <c r="A9" s="5">
        <v>8.0</v>
      </c>
      <c r="B9" s="5" t="s">
        <v>623</v>
      </c>
      <c r="C9" s="5" t="s">
        <v>20</v>
      </c>
      <c r="D9" s="5">
        <v>51.0</v>
      </c>
      <c r="E9" s="5">
        <v>6200.0</v>
      </c>
      <c r="F9" s="5">
        <v>0.6</v>
      </c>
      <c r="G9" s="5">
        <v>0.94</v>
      </c>
      <c r="H9" s="5" t="s">
        <v>47</v>
      </c>
      <c r="I9" s="9">
        <v>46149.25173611111</v>
      </c>
      <c r="J9" s="5" t="s">
        <v>78</v>
      </c>
      <c r="K9" s="5">
        <v>7100.0</v>
      </c>
      <c r="L9" s="5">
        <v>15000.0</v>
      </c>
      <c r="M9" s="5">
        <v>16000.0</v>
      </c>
      <c r="N9" s="8">
        <v>42254.0</v>
      </c>
      <c r="O9" s="5" t="s">
        <v>50</v>
      </c>
      <c r="P9" s="5" t="s">
        <v>25</v>
      </c>
      <c r="Q9" s="5" t="s">
        <v>628</v>
      </c>
      <c r="R9" s="5" t="s">
        <v>630</v>
      </c>
      <c r="S9" s="5" t="s">
        <v>118</v>
      </c>
    </row>
    <row r="10">
      <c r="A10" s="5">
        <v>9.0</v>
      </c>
      <c r="B10" s="5" t="s">
        <v>340</v>
      </c>
      <c r="C10" s="5" t="s">
        <v>20</v>
      </c>
      <c r="D10" s="5">
        <v>16.0</v>
      </c>
      <c r="E10" s="5">
        <v>5300.0</v>
      </c>
      <c r="F10" s="5">
        <v>0.09</v>
      </c>
      <c r="G10" s="5">
        <v>1.13</v>
      </c>
      <c r="H10" s="5" t="s">
        <v>19</v>
      </c>
      <c r="I10" s="9">
        <v>46149.25784722222</v>
      </c>
      <c r="J10" s="5" t="s">
        <v>22</v>
      </c>
      <c r="K10" s="5">
        <v>5700.0</v>
      </c>
      <c r="L10" s="5">
        <v>137000.0</v>
      </c>
      <c r="M10" s="5">
        <v>140000.0</v>
      </c>
      <c r="N10" s="8">
        <v>42252.0</v>
      </c>
      <c r="O10" s="5" t="s">
        <v>24</v>
      </c>
      <c r="Q10" s="5" t="s">
        <v>635</v>
      </c>
      <c r="R10" s="5" t="s">
        <v>636</v>
      </c>
      <c r="S10" s="5" t="s">
        <v>38</v>
      </c>
    </row>
    <row r="11">
      <c r="A11" s="5">
        <v>10.0</v>
      </c>
      <c r="B11" s="5" t="s">
        <v>56</v>
      </c>
      <c r="C11" s="5" t="s">
        <v>20</v>
      </c>
      <c r="D11" s="5">
        <v>40.0</v>
      </c>
      <c r="E11" s="5">
        <v>5100.0</v>
      </c>
      <c r="F11" s="5">
        <v>0.7</v>
      </c>
      <c r="G11" s="5">
        <v>1.3</v>
      </c>
      <c r="H11" s="5" t="s">
        <v>56</v>
      </c>
      <c r="I11" s="9">
        <v>46149.24983796296</v>
      </c>
      <c r="J11" s="5" t="s">
        <v>243</v>
      </c>
      <c r="K11" s="5">
        <v>16000.0</v>
      </c>
      <c r="L11" s="5">
        <v>5900.0</v>
      </c>
      <c r="M11" s="5">
        <v>6000.0</v>
      </c>
      <c r="N11" s="8">
        <v>42287.0</v>
      </c>
      <c r="O11" s="5" t="s">
        <v>50</v>
      </c>
      <c r="P11" s="5" t="s">
        <v>25</v>
      </c>
      <c r="Q11" s="5" t="s">
        <v>640</v>
      </c>
      <c r="R11" s="5" t="s">
        <v>641</v>
      </c>
      <c r="S11" s="5" t="s">
        <v>643</v>
      </c>
    </row>
    <row r="12">
      <c r="A12" s="5">
        <v>11.0</v>
      </c>
      <c r="B12" s="5" t="s">
        <v>68</v>
      </c>
      <c r="C12" s="5" t="s">
        <v>20</v>
      </c>
      <c r="D12" s="5">
        <v>52.0</v>
      </c>
      <c r="E12" s="5">
        <v>4600.0</v>
      </c>
      <c r="F12" s="5">
        <v>5.0</v>
      </c>
      <c r="G12" s="5">
        <v>1.04</v>
      </c>
      <c r="H12" s="5" t="s">
        <v>19</v>
      </c>
      <c r="I12" s="9">
        <v>46149.2365162037</v>
      </c>
      <c r="J12" s="5" t="s">
        <v>22</v>
      </c>
      <c r="K12" s="5">
        <v>4600.0</v>
      </c>
      <c r="L12" s="5">
        <v>137000.0</v>
      </c>
      <c r="M12" s="5">
        <v>140000.0</v>
      </c>
      <c r="N12" s="8">
        <v>42305.0</v>
      </c>
      <c r="O12" s="5" t="s">
        <v>71</v>
      </c>
      <c r="P12" s="5" t="s">
        <v>25</v>
      </c>
      <c r="Q12" s="5" t="s">
        <v>73</v>
      </c>
      <c r="R12" s="5" t="s">
        <v>74</v>
      </c>
      <c r="S12" s="5" t="s">
        <v>75</v>
      </c>
    </row>
    <row r="13">
      <c r="A13" s="5">
        <v>12.0</v>
      </c>
      <c r="B13" s="5" t="s">
        <v>76</v>
      </c>
      <c r="C13" s="5" t="s">
        <v>20</v>
      </c>
      <c r="D13" s="5">
        <v>61.0</v>
      </c>
      <c r="E13" s="5">
        <v>4500.0</v>
      </c>
      <c r="F13" s="5">
        <v>7.0</v>
      </c>
      <c r="H13" s="5" t="s">
        <v>47</v>
      </c>
      <c r="I13" s="9">
        <v>46149.25616898148</v>
      </c>
      <c r="J13" s="5" t="s">
        <v>78</v>
      </c>
      <c r="K13" s="5">
        <v>4500.0</v>
      </c>
      <c r="L13" s="5">
        <v>15000.0</v>
      </c>
      <c r="M13" s="5">
        <v>16000.0</v>
      </c>
      <c r="N13" s="8">
        <v>42550.0</v>
      </c>
      <c r="O13" s="5" t="s">
        <v>80</v>
      </c>
      <c r="P13" s="5" t="s">
        <v>25</v>
      </c>
      <c r="Q13" s="5" t="s">
        <v>82</v>
      </c>
      <c r="R13" s="5" t="s">
        <v>83</v>
      </c>
      <c r="S13" s="5" t="s">
        <v>38</v>
      </c>
    </row>
    <row r="14">
      <c r="A14" s="5">
        <v>13.0</v>
      </c>
      <c r="B14" s="5" t="s">
        <v>654</v>
      </c>
      <c r="C14" s="5" t="s">
        <v>20</v>
      </c>
      <c r="D14" s="5">
        <v>72.0</v>
      </c>
      <c r="E14" s="5">
        <v>4200.0</v>
      </c>
      <c r="F14" s="5">
        <v>0.06</v>
      </c>
      <c r="G14" s="5">
        <v>1.12</v>
      </c>
      <c r="H14" s="5" t="s">
        <v>654</v>
      </c>
      <c r="I14" s="9">
        <v>46149.239907407406</v>
      </c>
      <c r="J14" s="5" t="s">
        <v>657</v>
      </c>
      <c r="K14" s="5">
        <v>591000.0</v>
      </c>
      <c r="L14" s="5">
        <v>900.0</v>
      </c>
      <c r="M14" s="5">
        <v>719000.0</v>
      </c>
      <c r="N14" s="8">
        <v>42251.0</v>
      </c>
      <c r="O14" s="5" t="s">
        <v>184</v>
      </c>
      <c r="P14" s="5" t="s">
        <v>25</v>
      </c>
      <c r="Q14" s="5" t="s">
        <v>660</v>
      </c>
      <c r="R14" s="5" t="s">
        <v>662</v>
      </c>
      <c r="S14" s="5" t="s">
        <v>38</v>
      </c>
    </row>
    <row r="15">
      <c r="A15" s="5">
        <v>14.0</v>
      </c>
      <c r="B15" s="5" t="s">
        <v>85</v>
      </c>
      <c r="C15" s="5" t="s">
        <v>20</v>
      </c>
      <c r="D15" s="5">
        <v>65.0</v>
      </c>
      <c r="E15" s="5">
        <v>4100.0</v>
      </c>
      <c r="F15" s="5">
        <v>0.3</v>
      </c>
      <c r="G15" s="5">
        <v>1.04</v>
      </c>
      <c r="H15" s="5" t="s">
        <v>61</v>
      </c>
      <c r="I15" s="9">
        <v>46149.247777777775</v>
      </c>
      <c r="J15" s="5" t="s">
        <v>87</v>
      </c>
      <c r="K15" s="5">
        <v>9900.0</v>
      </c>
      <c r="L15" s="5">
        <v>11000.0</v>
      </c>
      <c r="M15" s="5">
        <v>11000.0</v>
      </c>
      <c r="N15" s="8">
        <v>42250.0</v>
      </c>
      <c r="O15" s="5" t="s">
        <v>50</v>
      </c>
      <c r="P15" s="5" t="s">
        <v>25</v>
      </c>
      <c r="Q15" s="5" t="s">
        <v>88</v>
      </c>
      <c r="R15" s="5" t="s">
        <v>90</v>
      </c>
      <c r="S15" s="5" t="s">
        <v>38</v>
      </c>
    </row>
    <row r="16">
      <c r="A16" s="5">
        <v>15.0</v>
      </c>
      <c r="B16" s="5" t="s">
        <v>669</v>
      </c>
      <c r="C16" s="5" t="s">
        <v>20</v>
      </c>
      <c r="D16" s="5">
        <v>80.0</v>
      </c>
      <c r="E16" s="5">
        <v>3900.0</v>
      </c>
      <c r="H16" s="5" t="s">
        <v>669</v>
      </c>
      <c r="I16" s="9">
        <v>46149.24853009259</v>
      </c>
      <c r="J16" s="5" t="s">
        <v>22</v>
      </c>
      <c r="K16" s="5">
        <v>977000.0</v>
      </c>
      <c r="L16" s="5">
        <v>1500.0</v>
      </c>
      <c r="M16" s="5">
        <v>41000.0</v>
      </c>
      <c r="N16" s="8">
        <v>42255.0</v>
      </c>
      <c r="O16" s="5" t="s">
        <v>50</v>
      </c>
      <c r="P16" s="5" t="s">
        <v>25</v>
      </c>
      <c r="Q16" s="5" t="s">
        <v>673</v>
      </c>
      <c r="R16" s="5" t="s">
        <v>674</v>
      </c>
      <c r="S16" s="5" t="s">
        <v>38</v>
      </c>
    </row>
    <row r="17">
      <c r="A17" s="5">
        <v>16.0</v>
      </c>
      <c r="B17" s="5" t="s">
        <v>91</v>
      </c>
      <c r="C17" s="5" t="s">
        <v>20</v>
      </c>
      <c r="D17" s="5">
        <v>47.0</v>
      </c>
      <c r="E17" s="5">
        <v>3700.0</v>
      </c>
      <c r="F17" s="5">
        <v>0.6</v>
      </c>
      <c r="G17" s="5">
        <v>1.03</v>
      </c>
      <c r="H17" s="5" t="s">
        <v>30</v>
      </c>
      <c r="I17" s="9">
        <v>46149.23486111111</v>
      </c>
      <c r="J17" s="5" t="s">
        <v>22</v>
      </c>
      <c r="K17" s="5">
        <v>3900.0</v>
      </c>
      <c r="L17" s="5">
        <v>26000.0</v>
      </c>
      <c r="M17" s="5">
        <v>27000.0</v>
      </c>
      <c r="N17" s="8">
        <v>42248.0</v>
      </c>
      <c r="O17" s="5" t="s">
        <v>24</v>
      </c>
      <c r="P17" s="5" t="s">
        <v>25</v>
      </c>
      <c r="Q17" s="5" t="s">
        <v>94</v>
      </c>
      <c r="R17" s="5" t="s">
        <v>96</v>
      </c>
      <c r="S17" s="5" t="s">
        <v>38</v>
      </c>
    </row>
    <row r="18">
      <c r="A18" s="5">
        <v>17.0</v>
      </c>
      <c r="B18" s="5" t="s">
        <v>97</v>
      </c>
      <c r="C18" s="5" t="s">
        <v>20</v>
      </c>
      <c r="D18" s="5">
        <v>55.0</v>
      </c>
      <c r="E18" s="5">
        <v>3700.0</v>
      </c>
      <c r="F18" s="5">
        <v>0.7</v>
      </c>
      <c r="H18" s="5" t="s">
        <v>41</v>
      </c>
      <c r="I18" s="9">
        <v>46149.25771990741</v>
      </c>
      <c r="J18" s="5" t="s">
        <v>99</v>
      </c>
      <c r="K18" s="5">
        <v>4100.0</v>
      </c>
      <c r="L18" s="5">
        <v>150.0</v>
      </c>
      <c r="M18" s="5">
        <v>1300.0</v>
      </c>
      <c r="N18" s="8">
        <v>43207.0</v>
      </c>
      <c r="O18" s="5" t="s">
        <v>100</v>
      </c>
      <c r="Q18" s="5" t="s">
        <v>101</v>
      </c>
      <c r="R18" s="5" t="s">
        <v>103</v>
      </c>
      <c r="S18" s="5" t="s">
        <v>104</v>
      </c>
    </row>
    <row r="19">
      <c r="A19" s="5">
        <v>18.0</v>
      </c>
      <c r="B19" s="5" t="s">
        <v>105</v>
      </c>
      <c r="C19" s="5" t="s">
        <v>20</v>
      </c>
      <c r="D19" s="5">
        <v>48.0</v>
      </c>
      <c r="E19" s="5">
        <v>3200.0</v>
      </c>
      <c r="F19" s="5">
        <v>0.6</v>
      </c>
      <c r="G19" s="5">
        <v>0.95</v>
      </c>
      <c r="H19" s="5" t="s">
        <v>30</v>
      </c>
      <c r="I19" s="9">
        <v>46149.24775462963</v>
      </c>
      <c r="J19" s="5" t="s">
        <v>22</v>
      </c>
      <c r="K19" s="5">
        <v>3300.0</v>
      </c>
      <c r="L19" s="5">
        <v>26000.0</v>
      </c>
      <c r="M19" s="5">
        <v>27000.0</v>
      </c>
      <c r="N19" s="8">
        <v>42283.0</v>
      </c>
      <c r="O19" s="5" t="s">
        <v>24</v>
      </c>
      <c r="P19" s="5" t="s">
        <v>25</v>
      </c>
      <c r="Q19" s="5" t="s">
        <v>109</v>
      </c>
      <c r="R19" s="5" t="s">
        <v>110</v>
      </c>
      <c r="S19" s="5" t="s">
        <v>38</v>
      </c>
    </row>
    <row r="20">
      <c r="A20" s="5">
        <v>19.0</v>
      </c>
      <c r="B20" s="5" t="s">
        <v>130</v>
      </c>
      <c r="C20" s="5" t="s">
        <v>20</v>
      </c>
      <c r="D20" s="5">
        <v>20.0</v>
      </c>
      <c r="E20" s="5">
        <v>2900.0</v>
      </c>
      <c r="F20" s="5">
        <v>0.03</v>
      </c>
      <c r="G20" s="5">
        <v>1.01</v>
      </c>
      <c r="H20" s="5" t="s">
        <v>130</v>
      </c>
      <c r="I20" s="9">
        <v>46149.23436342592</v>
      </c>
      <c r="J20" s="5" t="s">
        <v>136</v>
      </c>
      <c r="K20" s="5">
        <v>4200.0</v>
      </c>
      <c r="L20" s="5">
        <v>3700.0</v>
      </c>
      <c r="M20" s="5">
        <v>3800.0</v>
      </c>
      <c r="N20" s="8">
        <v>42771.0</v>
      </c>
      <c r="O20" s="5" t="s">
        <v>100</v>
      </c>
      <c r="P20" s="5" t="s">
        <v>25</v>
      </c>
      <c r="Q20" s="5" t="s">
        <v>142</v>
      </c>
      <c r="R20" s="5" t="s">
        <v>144</v>
      </c>
      <c r="S20" s="5" t="s">
        <v>145</v>
      </c>
    </row>
    <row r="21">
      <c r="A21" s="5">
        <v>20.0</v>
      </c>
      <c r="B21" s="5" t="s">
        <v>193</v>
      </c>
      <c r="C21" s="5" t="s">
        <v>20</v>
      </c>
      <c r="D21" s="5">
        <v>55.0</v>
      </c>
      <c r="E21" s="5">
        <v>2800.0</v>
      </c>
      <c r="F21" s="5">
        <v>0.01</v>
      </c>
      <c r="G21" s="5">
        <v>1.02</v>
      </c>
      <c r="H21" s="5" t="s">
        <v>193</v>
      </c>
      <c r="I21" s="9">
        <v>46149.25894675926</v>
      </c>
      <c r="J21" s="5" t="s">
        <v>22</v>
      </c>
      <c r="K21" s="5">
        <v>4200.0</v>
      </c>
      <c r="L21" s="5">
        <v>2100.0</v>
      </c>
      <c r="M21" s="5">
        <v>2200.0</v>
      </c>
      <c r="N21" s="8">
        <v>42248.0</v>
      </c>
      <c r="O21" s="5" t="s">
        <v>24</v>
      </c>
      <c r="P21" s="5" t="s">
        <v>25</v>
      </c>
      <c r="Q21" s="5" t="s">
        <v>701</v>
      </c>
      <c r="R21" s="5" t="s">
        <v>703</v>
      </c>
      <c r="S21" s="5" t="s">
        <v>704</v>
      </c>
    </row>
    <row r="22">
      <c r="A22" s="5">
        <v>21.0</v>
      </c>
      <c r="B22" s="5" t="s">
        <v>705</v>
      </c>
      <c r="C22" s="5" t="s">
        <v>20</v>
      </c>
      <c r="D22" s="5">
        <v>39.0</v>
      </c>
      <c r="E22" s="5">
        <v>2200.0</v>
      </c>
      <c r="F22" s="5">
        <v>0.04</v>
      </c>
      <c r="G22" s="5">
        <v>1.11</v>
      </c>
      <c r="H22" s="5" t="s">
        <v>41</v>
      </c>
      <c r="I22" s="9">
        <v>46149.259201388886</v>
      </c>
      <c r="J22" s="5" t="s">
        <v>708</v>
      </c>
      <c r="K22" s="5">
        <v>4700.0</v>
      </c>
      <c r="L22" s="5">
        <v>150.0</v>
      </c>
      <c r="M22" s="5">
        <v>1300.0</v>
      </c>
      <c r="N22" s="8">
        <v>42256.0</v>
      </c>
      <c r="O22" s="5" t="s">
        <v>24</v>
      </c>
      <c r="P22" s="5" t="s">
        <v>25</v>
      </c>
      <c r="Q22" s="5" t="s">
        <v>711</v>
      </c>
      <c r="R22" s="5" t="s">
        <v>713</v>
      </c>
      <c r="S22" s="5" t="s">
        <v>715</v>
      </c>
    </row>
    <row r="23">
      <c r="A23" s="5">
        <v>22.0</v>
      </c>
      <c r="B23" s="5" t="s">
        <v>716</v>
      </c>
      <c r="C23" s="5" t="s">
        <v>20</v>
      </c>
      <c r="D23" s="5">
        <v>16.0</v>
      </c>
      <c r="E23" s="5">
        <v>2100.0</v>
      </c>
      <c r="F23" s="5">
        <v>0.03</v>
      </c>
      <c r="G23" s="5">
        <v>0.91</v>
      </c>
      <c r="H23" s="5" t="s">
        <v>130</v>
      </c>
      <c r="I23" s="9">
        <v>45956.917650462965</v>
      </c>
      <c r="J23" s="5" t="s">
        <v>78</v>
      </c>
      <c r="K23" s="5">
        <v>2300.0</v>
      </c>
      <c r="L23" s="5">
        <v>5100.0</v>
      </c>
      <c r="M23" s="5">
        <v>5400.0</v>
      </c>
      <c r="N23" s="8">
        <v>42791.0</v>
      </c>
      <c r="O23" s="5" t="s">
        <v>129</v>
      </c>
      <c r="P23" s="5" t="s">
        <v>25</v>
      </c>
      <c r="Q23" s="5" t="s">
        <v>721</v>
      </c>
      <c r="R23" s="5" t="s">
        <v>722</v>
      </c>
      <c r="S23" s="5" t="s">
        <v>75</v>
      </c>
    </row>
    <row r="24">
      <c r="A24" s="5">
        <v>23.0</v>
      </c>
      <c r="B24" s="5" t="s">
        <v>148</v>
      </c>
      <c r="C24" s="5" t="s">
        <v>20</v>
      </c>
      <c r="D24" s="5">
        <v>35.0</v>
      </c>
      <c r="E24" s="5">
        <v>2100.0</v>
      </c>
      <c r="H24" s="5" t="s">
        <v>148</v>
      </c>
      <c r="I24" s="9">
        <v>46058.00179398148</v>
      </c>
      <c r="J24" s="5" t="s">
        <v>151</v>
      </c>
      <c r="K24" s="5">
        <v>2400.0</v>
      </c>
      <c r="L24" s="5">
        <v>1500.0</v>
      </c>
      <c r="M24" s="5">
        <v>1800.0</v>
      </c>
      <c r="N24" s="8">
        <v>42792.0</v>
      </c>
      <c r="O24" s="5" t="s">
        <v>24</v>
      </c>
      <c r="P24" s="5" t="s">
        <v>25</v>
      </c>
      <c r="Q24" s="5" t="s">
        <v>156</v>
      </c>
      <c r="R24" s="5" t="s">
        <v>158</v>
      </c>
      <c r="S24" s="5" t="s">
        <v>38</v>
      </c>
    </row>
    <row r="25">
      <c r="A25" s="5">
        <v>24.0</v>
      </c>
      <c r="B25" s="5" t="s">
        <v>729</v>
      </c>
      <c r="C25" s="5" t="s">
        <v>20</v>
      </c>
      <c r="D25" s="5">
        <v>80.0</v>
      </c>
      <c r="E25" s="5">
        <v>1900.0</v>
      </c>
      <c r="F25" s="5">
        <v>0.6</v>
      </c>
      <c r="G25" s="5">
        <v>0.95</v>
      </c>
      <c r="H25" s="5" t="s">
        <v>30</v>
      </c>
      <c r="I25" s="9">
        <v>45897.646875</v>
      </c>
      <c r="J25" s="5" t="s">
        <v>733</v>
      </c>
      <c r="K25" s="5">
        <v>48000.0</v>
      </c>
      <c r="L25" s="5">
        <v>26000.0</v>
      </c>
      <c r="M25" s="5">
        <v>27000.0</v>
      </c>
      <c r="N25" s="8">
        <v>42248.0</v>
      </c>
      <c r="O25" s="5" t="s">
        <v>50</v>
      </c>
      <c r="P25" s="5" t="s">
        <v>25</v>
      </c>
      <c r="Q25" s="5" t="s">
        <v>735</v>
      </c>
      <c r="R25" s="5" t="s">
        <v>736</v>
      </c>
      <c r="S25" s="5" t="s">
        <v>38</v>
      </c>
    </row>
    <row r="26">
      <c r="A26" s="5">
        <v>25.0</v>
      </c>
      <c r="B26" s="5" t="s">
        <v>738</v>
      </c>
      <c r="C26" s="5" t="s">
        <v>20</v>
      </c>
      <c r="D26" s="5">
        <v>81.0</v>
      </c>
      <c r="E26" s="5">
        <v>1900.0</v>
      </c>
      <c r="F26" s="5">
        <v>2.5</v>
      </c>
      <c r="H26" s="5" t="s">
        <v>30</v>
      </c>
      <c r="I26" s="9">
        <v>45893.25895833333</v>
      </c>
      <c r="J26" s="5" t="s">
        <v>740</v>
      </c>
      <c r="K26" s="5">
        <v>2300.0</v>
      </c>
      <c r="L26" s="5">
        <v>28000.0</v>
      </c>
      <c r="M26" s="5">
        <v>29000.0</v>
      </c>
      <c r="N26" s="8">
        <v>44401.0</v>
      </c>
      <c r="O26" s="5" t="s">
        <v>50</v>
      </c>
      <c r="P26" s="5" t="s">
        <v>25</v>
      </c>
      <c r="Q26" s="5" t="s">
        <v>742</v>
      </c>
      <c r="R26" s="5" t="s">
        <v>743</v>
      </c>
      <c r="S26" s="5" t="s">
        <v>38</v>
      </c>
    </row>
    <row r="27">
      <c r="A27" s="5">
        <v>26.0</v>
      </c>
      <c r="B27" s="5" t="s">
        <v>744</v>
      </c>
      <c r="C27" s="5" t="s">
        <v>20</v>
      </c>
      <c r="D27" s="5">
        <v>83.0</v>
      </c>
      <c r="E27" s="5">
        <v>1700.0</v>
      </c>
      <c r="F27" s="5">
        <v>0.3</v>
      </c>
      <c r="G27" s="5">
        <v>1.02</v>
      </c>
      <c r="H27" s="5" t="s">
        <v>744</v>
      </c>
      <c r="I27" s="9">
        <v>45978.88162037037</v>
      </c>
      <c r="J27" s="5" t="s">
        <v>750</v>
      </c>
      <c r="K27" s="5">
        <v>4680000.0</v>
      </c>
      <c r="L27" s="5">
        <v>1600.0</v>
      </c>
      <c r="M27" s="5">
        <v>1980000.0</v>
      </c>
      <c r="N27" s="8">
        <v>42256.0</v>
      </c>
      <c r="O27" s="5" t="s">
        <v>24</v>
      </c>
      <c r="P27" s="5" t="s">
        <v>25</v>
      </c>
      <c r="Q27" s="5" t="s">
        <v>753</v>
      </c>
      <c r="R27" s="5" t="s">
        <v>754</v>
      </c>
      <c r="S27" s="5" t="s">
        <v>38</v>
      </c>
    </row>
    <row r="28">
      <c r="A28" s="5">
        <v>27.0</v>
      </c>
      <c r="B28" s="5" t="s">
        <v>112</v>
      </c>
      <c r="C28" s="5" t="s">
        <v>20</v>
      </c>
      <c r="D28" s="5">
        <v>74.0</v>
      </c>
      <c r="E28" s="5">
        <v>1600.0</v>
      </c>
      <c r="F28" s="5">
        <v>0.5</v>
      </c>
      <c r="G28" s="5">
        <v>1.04</v>
      </c>
      <c r="H28" s="5" t="s">
        <v>47</v>
      </c>
      <c r="I28" s="9">
        <v>45978.91601851852</v>
      </c>
      <c r="J28" s="5" t="s">
        <v>114</v>
      </c>
      <c r="K28" s="5">
        <v>3100.0</v>
      </c>
      <c r="L28" s="5">
        <v>11000.0</v>
      </c>
      <c r="M28" s="5">
        <v>11000.0</v>
      </c>
      <c r="N28" s="8">
        <v>42252.0</v>
      </c>
      <c r="O28" s="5" t="s">
        <v>24</v>
      </c>
      <c r="P28" s="5" t="s">
        <v>25</v>
      </c>
      <c r="Q28" s="5" t="s">
        <v>116</v>
      </c>
      <c r="R28" s="5" t="s">
        <v>117</v>
      </c>
      <c r="S28" s="5" t="s">
        <v>118</v>
      </c>
    </row>
    <row r="29">
      <c r="A29" s="5">
        <v>28.0</v>
      </c>
      <c r="B29" s="5" t="s">
        <v>761</v>
      </c>
      <c r="C29" s="5" t="s">
        <v>20</v>
      </c>
      <c r="D29" s="5">
        <v>0.0</v>
      </c>
      <c r="E29" s="5">
        <v>1600.0</v>
      </c>
      <c r="F29" s="5">
        <v>0.6</v>
      </c>
      <c r="G29" s="5">
        <v>1.09</v>
      </c>
      <c r="H29" s="5" t="s">
        <v>54</v>
      </c>
      <c r="I29" s="9">
        <v>45895.29540509259</v>
      </c>
      <c r="J29" s="5" t="s">
        <v>127</v>
      </c>
      <c r="K29" s="5">
        <v>1600.0</v>
      </c>
      <c r="L29" s="5">
        <v>17000.0</v>
      </c>
      <c r="M29" s="5">
        <v>17000.0</v>
      </c>
      <c r="N29" s="8">
        <v>42311.0</v>
      </c>
      <c r="O29" s="5" t="s">
        <v>129</v>
      </c>
      <c r="P29" s="5" t="s">
        <v>25</v>
      </c>
      <c r="Q29" s="5" t="s">
        <v>766</v>
      </c>
      <c r="R29" s="5" t="s">
        <v>767</v>
      </c>
      <c r="S29" s="5" t="s">
        <v>29</v>
      </c>
    </row>
    <row r="30">
      <c r="A30" s="5">
        <v>29.0</v>
      </c>
      <c r="B30" s="5" t="s">
        <v>120</v>
      </c>
      <c r="C30" s="5" t="s">
        <v>20</v>
      </c>
      <c r="D30" s="5">
        <v>0.0</v>
      </c>
      <c r="E30" s="5">
        <v>1600.0</v>
      </c>
      <c r="F30" s="5">
        <v>1.8</v>
      </c>
      <c r="H30" s="5" t="s">
        <v>40</v>
      </c>
      <c r="I30" s="9">
        <v>45892.6421412037</v>
      </c>
      <c r="J30" s="5" t="s">
        <v>33</v>
      </c>
      <c r="K30" s="5">
        <v>1600.0</v>
      </c>
      <c r="L30" s="5">
        <v>36000.0</v>
      </c>
      <c r="M30" s="5">
        <v>38000.0</v>
      </c>
      <c r="N30" s="8">
        <v>45191.0</v>
      </c>
      <c r="O30" s="5" t="s">
        <v>100</v>
      </c>
      <c r="Q30" s="5" t="s">
        <v>122</v>
      </c>
      <c r="R30" s="5" t="s">
        <v>123</v>
      </c>
      <c r="S30" s="5" t="s">
        <v>29</v>
      </c>
    </row>
    <row r="31">
      <c r="A31" s="5">
        <v>30.0</v>
      </c>
      <c r="B31" s="5" t="s">
        <v>125</v>
      </c>
      <c r="C31" s="5" t="s">
        <v>20</v>
      </c>
      <c r="D31" s="5">
        <v>43.0</v>
      </c>
      <c r="E31" s="5">
        <v>1500.0</v>
      </c>
      <c r="F31" s="5">
        <v>0.6</v>
      </c>
      <c r="G31" s="5">
        <v>1.03</v>
      </c>
      <c r="H31" s="5" t="s">
        <v>47</v>
      </c>
      <c r="I31" s="9">
        <v>45989.0046875</v>
      </c>
      <c r="J31" s="5" t="s">
        <v>127</v>
      </c>
      <c r="K31" s="5">
        <v>1500.0</v>
      </c>
      <c r="L31" s="5">
        <v>21000.0</v>
      </c>
      <c r="M31" s="5">
        <v>21000.0</v>
      </c>
      <c r="N31" s="8">
        <v>42253.0</v>
      </c>
      <c r="O31" s="5" t="s">
        <v>129</v>
      </c>
      <c r="P31" s="5" t="s">
        <v>25</v>
      </c>
      <c r="Q31" s="5" t="s">
        <v>131</v>
      </c>
      <c r="R31" s="5" t="s">
        <v>133</v>
      </c>
      <c r="S31" s="5" t="s">
        <v>29</v>
      </c>
    </row>
    <row r="32">
      <c r="A32" s="5">
        <v>31.0</v>
      </c>
      <c r="B32" s="5" t="s">
        <v>134</v>
      </c>
      <c r="C32" s="5" t="s">
        <v>20</v>
      </c>
      <c r="D32" s="5">
        <v>75.0</v>
      </c>
      <c r="E32" s="5">
        <v>1400.0</v>
      </c>
      <c r="G32" s="5">
        <v>1.06</v>
      </c>
      <c r="H32" s="5" t="s">
        <v>61</v>
      </c>
      <c r="I32" s="9">
        <v>45896.80138888889</v>
      </c>
      <c r="J32" s="5" t="s">
        <v>137</v>
      </c>
      <c r="K32" s="5">
        <v>1400.0</v>
      </c>
      <c r="L32" s="5">
        <v>16000.0</v>
      </c>
      <c r="M32" s="5">
        <v>16000.0</v>
      </c>
      <c r="N32" s="8">
        <v>42310.0</v>
      </c>
      <c r="O32" s="5" t="s">
        <v>50</v>
      </c>
      <c r="P32" s="5" t="s">
        <v>25</v>
      </c>
      <c r="Q32" s="5" t="s">
        <v>139</v>
      </c>
      <c r="R32" s="5" t="s">
        <v>140</v>
      </c>
      <c r="S32" s="5" t="s">
        <v>38</v>
      </c>
    </row>
    <row r="33">
      <c r="A33" s="5">
        <v>32.0</v>
      </c>
      <c r="B33" s="10" t="s">
        <v>780</v>
      </c>
      <c r="C33" s="5" t="s">
        <v>20</v>
      </c>
      <c r="D33" s="5">
        <v>0.0</v>
      </c>
      <c r="E33" s="5">
        <v>1400.0</v>
      </c>
      <c r="F33" s="5">
        <v>0.07</v>
      </c>
      <c r="G33" s="5">
        <v>0.99</v>
      </c>
      <c r="H33" s="5" t="s">
        <v>19</v>
      </c>
      <c r="I33" s="9">
        <v>46149.25202546296</v>
      </c>
      <c r="J33" s="5" t="s">
        <v>78</v>
      </c>
      <c r="K33" s="5">
        <v>1400.0</v>
      </c>
      <c r="L33" s="5">
        <v>137000.0</v>
      </c>
      <c r="M33" s="5">
        <v>140000.0</v>
      </c>
      <c r="N33" s="8">
        <v>42248.0</v>
      </c>
      <c r="O33" s="5" t="s">
        <v>530</v>
      </c>
      <c r="Q33" s="5" t="s">
        <v>791</v>
      </c>
      <c r="R33" s="5" t="s">
        <v>792</v>
      </c>
      <c r="S33" s="5" t="s">
        <v>29</v>
      </c>
    </row>
    <row r="34">
      <c r="A34" s="5">
        <v>33.0</v>
      </c>
      <c r="B34" s="5" t="s">
        <v>178</v>
      </c>
      <c r="C34" s="5" t="s">
        <v>20</v>
      </c>
      <c r="D34" s="5">
        <v>24.0</v>
      </c>
      <c r="E34" s="5">
        <v>1300.0</v>
      </c>
      <c r="H34" s="5" t="s">
        <v>130</v>
      </c>
      <c r="I34" s="9">
        <v>45893.83008101852</v>
      </c>
      <c r="J34" s="5" t="s">
        <v>127</v>
      </c>
      <c r="K34" s="5">
        <v>1300.0</v>
      </c>
      <c r="L34" s="5">
        <v>6300.0</v>
      </c>
      <c r="M34" s="5">
        <v>6700.0</v>
      </c>
      <c r="N34" s="8">
        <v>43616.0</v>
      </c>
      <c r="O34" s="5" t="s">
        <v>184</v>
      </c>
      <c r="P34" s="5" t="s">
        <v>25</v>
      </c>
      <c r="Q34" s="5" t="s">
        <v>187</v>
      </c>
      <c r="R34" s="5" t="s">
        <v>188</v>
      </c>
      <c r="S34" s="5" t="s">
        <v>118</v>
      </c>
    </row>
    <row r="35">
      <c r="A35" s="5">
        <v>34.0</v>
      </c>
      <c r="B35" s="5" t="s">
        <v>800</v>
      </c>
      <c r="C35" s="5" t="s">
        <v>20</v>
      </c>
      <c r="D35" s="5">
        <v>15.0</v>
      </c>
      <c r="E35" s="5">
        <v>1200.0</v>
      </c>
      <c r="G35" s="5">
        <v>1.12</v>
      </c>
      <c r="H35" s="5" t="s">
        <v>19</v>
      </c>
      <c r="I35" s="9">
        <v>45895.292662037034</v>
      </c>
      <c r="J35" s="5" t="s">
        <v>151</v>
      </c>
      <c r="K35" s="5">
        <v>1200.0</v>
      </c>
      <c r="L35" s="5">
        <v>207000.0</v>
      </c>
      <c r="M35" s="5">
        <v>212000.0</v>
      </c>
      <c r="N35" s="8">
        <v>42315.0</v>
      </c>
      <c r="O35" s="5" t="s">
        <v>100</v>
      </c>
      <c r="Q35" s="5" t="s">
        <v>802</v>
      </c>
      <c r="R35" s="5" t="s">
        <v>804</v>
      </c>
      <c r="S35" s="5" t="s">
        <v>38</v>
      </c>
    </row>
    <row r="36">
      <c r="A36" s="5">
        <v>35.0</v>
      </c>
      <c r="B36" s="5" t="s">
        <v>806</v>
      </c>
      <c r="C36" s="5" t="s">
        <v>20</v>
      </c>
      <c r="D36" s="5">
        <v>61.0</v>
      </c>
      <c r="E36" s="5">
        <v>1200.0</v>
      </c>
      <c r="F36" s="5">
        <v>0.5</v>
      </c>
      <c r="H36" s="5" t="s">
        <v>40</v>
      </c>
      <c r="I36" s="9">
        <v>45987.791863425926</v>
      </c>
      <c r="J36" s="5" t="s">
        <v>151</v>
      </c>
      <c r="K36" s="5">
        <v>5200.0</v>
      </c>
      <c r="L36" s="5">
        <v>24000.0</v>
      </c>
      <c r="M36" s="5">
        <v>26000.0</v>
      </c>
      <c r="N36" s="8">
        <v>42388.0</v>
      </c>
      <c r="O36" s="5" t="s">
        <v>24</v>
      </c>
      <c r="P36" s="5" t="s">
        <v>25</v>
      </c>
      <c r="Q36" s="5" t="s">
        <v>810</v>
      </c>
      <c r="R36" s="5" t="s">
        <v>811</v>
      </c>
      <c r="S36" s="5" t="s">
        <v>812</v>
      </c>
    </row>
    <row r="37">
      <c r="A37" s="5">
        <v>36.0</v>
      </c>
      <c r="B37" s="5" t="s">
        <v>190</v>
      </c>
      <c r="C37" s="5" t="s">
        <v>20</v>
      </c>
      <c r="D37" s="5">
        <v>64.0</v>
      </c>
      <c r="E37" s="5">
        <v>1200.0</v>
      </c>
      <c r="G37" s="5">
        <v>0.96</v>
      </c>
      <c r="H37" s="5" t="s">
        <v>193</v>
      </c>
      <c r="I37" s="9">
        <v>45950.4350462963</v>
      </c>
      <c r="J37" s="5" t="s">
        <v>197</v>
      </c>
      <c r="K37" s="5">
        <v>1700.0</v>
      </c>
      <c r="L37" s="5">
        <v>6500.0</v>
      </c>
      <c r="M37" s="5">
        <v>6700.0</v>
      </c>
      <c r="N37" s="8">
        <v>42249.0</v>
      </c>
      <c r="O37" s="5" t="s">
        <v>24</v>
      </c>
      <c r="P37" s="5" t="s">
        <v>25</v>
      </c>
      <c r="Q37" s="5" t="s">
        <v>203</v>
      </c>
      <c r="R37" s="5" t="s">
        <v>204</v>
      </c>
      <c r="S37" s="5" t="s">
        <v>38</v>
      </c>
    </row>
    <row r="38">
      <c r="A38" s="5">
        <v>37.0</v>
      </c>
      <c r="B38" s="5" t="s">
        <v>817</v>
      </c>
      <c r="C38" s="5" t="s">
        <v>20</v>
      </c>
      <c r="D38" s="5">
        <v>44.0</v>
      </c>
      <c r="E38" s="5">
        <v>1100.0</v>
      </c>
      <c r="F38" s="5">
        <v>0.6</v>
      </c>
      <c r="G38" s="5">
        <v>1.03</v>
      </c>
      <c r="H38" s="5" t="s">
        <v>817</v>
      </c>
      <c r="I38" s="9">
        <v>45908.65111111111</v>
      </c>
      <c r="J38" s="5" t="s">
        <v>819</v>
      </c>
      <c r="K38" s="5">
        <v>1200.0</v>
      </c>
      <c r="L38" s="5">
        <v>4500.0</v>
      </c>
      <c r="M38" s="5">
        <v>4600.0</v>
      </c>
      <c r="N38" s="8">
        <v>42351.0</v>
      </c>
      <c r="O38" s="5" t="s">
        <v>129</v>
      </c>
      <c r="P38" s="5" t="s">
        <v>25</v>
      </c>
      <c r="Q38" s="5" t="s">
        <v>822</v>
      </c>
      <c r="R38" s="5" t="s">
        <v>824</v>
      </c>
      <c r="S38" s="5" t="s">
        <v>29</v>
      </c>
    </row>
    <row r="39">
      <c r="A39" s="5">
        <v>38.0</v>
      </c>
      <c r="B39" s="5" t="s">
        <v>825</v>
      </c>
      <c r="C39" s="5" t="s">
        <v>20</v>
      </c>
      <c r="D39" s="5">
        <v>53.0</v>
      </c>
      <c r="E39" s="5">
        <v>1100.0</v>
      </c>
      <c r="F39" s="5">
        <v>0.7</v>
      </c>
      <c r="G39" s="5">
        <v>1.27</v>
      </c>
      <c r="H39" s="5" t="s">
        <v>54</v>
      </c>
      <c r="I39" s="9">
        <v>45901.203125</v>
      </c>
      <c r="J39" s="5" t="s">
        <v>22</v>
      </c>
      <c r="K39" s="5">
        <v>54000.0</v>
      </c>
      <c r="L39" s="5">
        <v>17000.0</v>
      </c>
      <c r="M39" s="5">
        <v>17000.0</v>
      </c>
      <c r="N39" s="8">
        <v>42256.0</v>
      </c>
      <c r="O39" s="5" t="s">
        <v>464</v>
      </c>
      <c r="Q39" s="5" t="s">
        <v>832</v>
      </c>
      <c r="R39" s="5" t="s">
        <v>833</v>
      </c>
      <c r="S39" s="5" t="s">
        <v>29</v>
      </c>
    </row>
    <row r="40">
      <c r="A40" s="5">
        <v>39.0</v>
      </c>
      <c r="B40" s="5" t="s">
        <v>143</v>
      </c>
      <c r="C40" s="5" t="s">
        <v>20</v>
      </c>
      <c r="D40" s="5">
        <v>57.0</v>
      </c>
      <c r="E40" s="5">
        <v>1000.0</v>
      </c>
      <c r="F40" s="5">
        <v>0.6</v>
      </c>
      <c r="G40" s="5">
        <v>1.28</v>
      </c>
      <c r="H40" s="5" t="s">
        <v>147</v>
      </c>
      <c r="I40" s="9">
        <v>45896.67324074074</v>
      </c>
      <c r="J40" s="5" t="s">
        <v>63</v>
      </c>
      <c r="K40" s="5">
        <v>1200.0</v>
      </c>
      <c r="L40" s="5">
        <v>5400.0</v>
      </c>
      <c r="M40" s="5">
        <v>6500.0</v>
      </c>
      <c r="N40" s="8">
        <v>42252.0</v>
      </c>
      <c r="O40" s="5" t="s">
        <v>24</v>
      </c>
      <c r="P40" s="5" t="s">
        <v>25</v>
      </c>
      <c r="Q40" s="5" t="s">
        <v>152</v>
      </c>
      <c r="R40" s="5" t="s">
        <v>155</v>
      </c>
      <c r="S40" s="5" t="s">
        <v>157</v>
      </c>
    </row>
    <row r="41">
      <c r="A41" s="5">
        <v>40.0</v>
      </c>
      <c r="B41" s="5" t="s">
        <v>848</v>
      </c>
      <c r="C41" s="5" t="s">
        <v>20</v>
      </c>
      <c r="D41" s="5">
        <v>92.0</v>
      </c>
      <c r="E41" s="5">
        <v>1000.0</v>
      </c>
      <c r="G41" s="5">
        <v>0.49</v>
      </c>
      <c r="H41" s="5" t="s">
        <v>852</v>
      </c>
      <c r="I41" s="9">
        <v>45898.187060185184</v>
      </c>
      <c r="J41" s="5" t="s">
        <v>151</v>
      </c>
      <c r="K41" s="5">
        <v>1900000.0</v>
      </c>
      <c r="L41" s="5">
        <v>14000.0</v>
      </c>
      <c r="M41" s="5">
        <v>69000.0</v>
      </c>
      <c r="N41" s="8">
        <v>42278.0</v>
      </c>
      <c r="O41" s="5" t="s">
        <v>50</v>
      </c>
      <c r="P41" s="5" t="s">
        <v>25</v>
      </c>
      <c r="Q41" s="5" t="s">
        <v>858</v>
      </c>
      <c r="R41" s="5" t="s">
        <v>860</v>
      </c>
      <c r="S41" s="5" t="s">
        <v>38</v>
      </c>
    </row>
    <row r="42">
      <c r="A42" s="5">
        <v>41.0</v>
      </c>
      <c r="B42" s="5" t="s">
        <v>160</v>
      </c>
      <c r="C42" s="5" t="s">
        <v>20</v>
      </c>
      <c r="D42" s="5">
        <v>27.0</v>
      </c>
      <c r="E42" s="5">
        <v>1000.0</v>
      </c>
      <c r="F42" s="5">
        <v>0.7</v>
      </c>
      <c r="H42" s="5" t="s">
        <v>30</v>
      </c>
      <c r="I42" s="9">
        <v>45905.90665509259</v>
      </c>
      <c r="J42" s="5" t="s">
        <v>127</v>
      </c>
      <c r="K42" s="5">
        <v>1500.0</v>
      </c>
      <c r="L42" s="5">
        <v>28000.0</v>
      </c>
      <c r="M42" s="5">
        <v>29000.0</v>
      </c>
      <c r="N42" s="8">
        <v>42671.0</v>
      </c>
      <c r="O42" s="5" t="s">
        <v>24</v>
      </c>
      <c r="P42" s="5" t="s">
        <v>25</v>
      </c>
      <c r="Q42" s="5" t="s">
        <v>166</v>
      </c>
      <c r="R42" s="5" t="s">
        <v>167</v>
      </c>
      <c r="S42" s="5" t="s">
        <v>38</v>
      </c>
    </row>
    <row r="43">
      <c r="A43" s="5">
        <v>42.0</v>
      </c>
      <c r="B43" s="5" t="s">
        <v>169</v>
      </c>
      <c r="C43" s="5" t="s">
        <v>20</v>
      </c>
      <c r="D43" s="5">
        <v>59.0</v>
      </c>
      <c r="E43" s="5">
        <v>1000.0</v>
      </c>
      <c r="F43" s="5">
        <v>0.6</v>
      </c>
      <c r="H43" s="5" t="s">
        <v>147</v>
      </c>
      <c r="I43" s="9">
        <v>45896.608460648145</v>
      </c>
      <c r="J43" s="5" t="s">
        <v>114</v>
      </c>
      <c r="K43" s="5">
        <v>1100.0</v>
      </c>
      <c r="L43" s="5">
        <v>5400.0</v>
      </c>
      <c r="M43" s="5">
        <v>6500.0</v>
      </c>
      <c r="N43" s="8">
        <v>42337.0</v>
      </c>
      <c r="O43" s="5" t="s">
        <v>50</v>
      </c>
      <c r="P43" s="5" t="s">
        <v>25</v>
      </c>
      <c r="Q43" s="5" t="s">
        <v>174</v>
      </c>
      <c r="R43" s="5" t="s">
        <v>175</v>
      </c>
      <c r="S43" s="5" t="s">
        <v>118</v>
      </c>
    </row>
    <row r="44">
      <c r="A44" s="5">
        <v>43.0</v>
      </c>
      <c r="B44" s="5" t="s">
        <v>873</v>
      </c>
      <c r="C44" s="5" t="s">
        <v>20</v>
      </c>
      <c r="D44" s="5">
        <v>70.0</v>
      </c>
      <c r="E44" s="5">
        <v>1000.0</v>
      </c>
      <c r="H44" s="5" t="s">
        <v>873</v>
      </c>
      <c r="I44" s="9">
        <v>45895.22857638889</v>
      </c>
      <c r="J44" s="5" t="s">
        <v>429</v>
      </c>
      <c r="K44" s="5">
        <v>4200.0</v>
      </c>
      <c r="L44" s="5">
        <v>3100.0</v>
      </c>
      <c r="M44" s="5">
        <v>274000.0</v>
      </c>
      <c r="N44" s="8">
        <v>42248.0</v>
      </c>
      <c r="O44" s="5" t="s">
        <v>879</v>
      </c>
      <c r="P44" s="5" t="s">
        <v>25</v>
      </c>
      <c r="Q44" s="5" t="s">
        <v>880</v>
      </c>
      <c r="R44" s="5" t="s">
        <v>881</v>
      </c>
      <c r="S44" s="5" t="s">
        <v>38</v>
      </c>
    </row>
    <row r="45">
      <c r="A45" s="5">
        <v>44.0</v>
      </c>
      <c r="B45" s="5" t="s">
        <v>177</v>
      </c>
      <c r="C45" s="5" t="s">
        <v>20</v>
      </c>
      <c r="D45" s="5">
        <v>73.0</v>
      </c>
      <c r="E45" s="5">
        <v>900.0</v>
      </c>
      <c r="F45" s="5">
        <v>3.0</v>
      </c>
      <c r="G45" s="5">
        <v>0.97</v>
      </c>
      <c r="H45" s="5" t="s">
        <v>19</v>
      </c>
      <c r="I45" s="9">
        <v>45897.236122685186</v>
      </c>
      <c r="J45" s="5" t="s">
        <v>22</v>
      </c>
      <c r="K45" s="5">
        <v>900.0</v>
      </c>
      <c r="L45" s="5">
        <v>210000.0</v>
      </c>
      <c r="M45" s="5">
        <v>214000.0</v>
      </c>
      <c r="N45" s="8">
        <v>42253.0</v>
      </c>
      <c r="O45" s="5" t="s">
        <v>100</v>
      </c>
      <c r="P45" s="5" t="s">
        <v>25</v>
      </c>
      <c r="Q45" s="5" t="s">
        <v>182</v>
      </c>
      <c r="R45" s="5" t="s">
        <v>183</v>
      </c>
      <c r="S45" s="5" t="s">
        <v>29</v>
      </c>
    </row>
    <row r="46">
      <c r="A46" s="5">
        <v>45.0</v>
      </c>
      <c r="B46" s="5" t="s">
        <v>186</v>
      </c>
      <c r="C46" s="5" t="s">
        <v>20</v>
      </c>
      <c r="D46" s="5">
        <v>40.0</v>
      </c>
      <c r="E46" s="5">
        <v>800.0</v>
      </c>
      <c r="F46" s="5">
        <v>1.1</v>
      </c>
      <c r="H46" s="5" t="s">
        <v>30</v>
      </c>
      <c r="I46" s="9">
        <v>45950.43460648148</v>
      </c>
      <c r="J46" s="5" t="s">
        <v>78</v>
      </c>
      <c r="K46" s="5">
        <v>800.0</v>
      </c>
      <c r="L46" s="5">
        <v>27000.0</v>
      </c>
      <c r="M46" s="5">
        <v>28000.0</v>
      </c>
      <c r="N46" s="8">
        <v>43406.0</v>
      </c>
      <c r="O46" s="5" t="s">
        <v>24</v>
      </c>
      <c r="P46" s="5" t="s">
        <v>25</v>
      </c>
      <c r="Q46" s="5" t="s">
        <v>192</v>
      </c>
      <c r="R46" s="5" t="s">
        <v>194</v>
      </c>
      <c r="S46" s="5" t="s">
        <v>38</v>
      </c>
    </row>
    <row r="47">
      <c r="A47" s="5">
        <v>46.0</v>
      </c>
      <c r="B47" s="5" t="s">
        <v>892</v>
      </c>
      <c r="C47" s="5" t="s">
        <v>20</v>
      </c>
      <c r="D47" s="5">
        <v>74.0</v>
      </c>
      <c r="E47" s="5">
        <v>800.0</v>
      </c>
      <c r="F47" s="5">
        <v>0.5</v>
      </c>
      <c r="G47" s="5">
        <v>1.44</v>
      </c>
      <c r="H47" s="5" t="s">
        <v>147</v>
      </c>
      <c r="I47" s="9">
        <v>45896.83689814815</v>
      </c>
      <c r="J47" s="5" t="s">
        <v>78</v>
      </c>
      <c r="K47" s="5">
        <v>900.0</v>
      </c>
      <c r="L47" s="5">
        <v>5400.0</v>
      </c>
      <c r="M47" s="5">
        <v>6500.0</v>
      </c>
      <c r="N47" s="8">
        <v>42251.0</v>
      </c>
      <c r="O47" s="5" t="s">
        <v>50</v>
      </c>
      <c r="P47" s="5" t="s">
        <v>25</v>
      </c>
      <c r="Q47" s="5" t="s">
        <v>899</v>
      </c>
      <c r="R47" s="5" t="s">
        <v>900</v>
      </c>
      <c r="S47" s="5" t="s">
        <v>157</v>
      </c>
    </row>
    <row r="48">
      <c r="A48" s="5">
        <v>47.0</v>
      </c>
      <c r="B48" s="5" t="s">
        <v>202</v>
      </c>
      <c r="C48" s="5" t="s">
        <v>20</v>
      </c>
      <c r="D48" s="5">
        <v>69.0</v>
      </c>
      <c r="E48" s="5">
        <v>800.0</v>
      </c>
      <c r="H48" s="5" t="s">
        <v>61</v>
      </c>
      <c r="I48" s="9">
        <v>45979.51422453704</v>
      </c>
      <c r="J48" s="5" t="s">
        <v>206</v>
      </c>
      <c r="K48" s="5">
        <v>900.0</v>
      </c>
      <c r="L48" s="5">
        <v>14000.0</v>
      </c>
      <c r="M48" s="5">
        <v>14000.0</v>
      </c>
      <c r="N48" s="8">
        <v>42839.0</v>
      </c>
      <c r="O48" s="5" t="s">
        <v>50</v>
      </c>
      <c r="P48" s="5" t="s">
        <v>25</v>
      </c>
      <c r="Q48" s="5" t="s">
        <v>208</v>
      </c>
      <c r="R48" s="5" t="s">
        <v>209</v>
      </c>
      <c r="S48" s="5" t="s">
        <v>38</v>
      </c>
    </row>
    <row r="49">
      <c r="A49" s="5">
        <v>48.0</v>
      </c>
      <c r="B49" s="5" t="s">
        <v>906</v>
      </c>
      <c r="C49" s="5" t="s">
        <v>20</v>
      </c>
      <c r="D49" s="5">
        <v>71.0</v>
      </c>
      <c r="E49" s="5">
        <v>700.0</v>
      </c>
      <c r="G49" s="5">
        <v>1.1</v>
      </c>
      <c r="H49" s="5" t="s">
        <v>817</v>
      </c>
      <c r="I49" s="9">
        <v>45895.15033564815</v>
      </c>
      <c r="J49" s="5" t="s">
        <v>22</v>
      </c>
      <c r="K49" s="5">
        <v>1300.0</v>
      </c>
      <c r="L49" s="5">
        <v>4600.0</v>
      </c>
      <c r="M49" s="5">
        <v>4700.0</v>
      </c>
      <c r="N49" s="8">
        <v>42248.0</v>
      </c>
      <c r="O49" s="5" t="s">
        <v>879</v>
      </c>
      <c r="P49" s="5" t="s">
        <v>25</v>
      </c>
      <c r="Q49" s="5" t="s">
        <v>911</v>
      </c>
      <c r="R49" s="5" t="s">
        <v>913</v>
      </c>
      <c r="S49" s="5" t="s">
        <v>914</v>
      </c>
    </row>
    <row r="50">
      <c r="A50" s="5">
        <v>49.0</v>
      </c>
      <c r="B50" s="5" t="s">
        <v>915</v>
      </c>
      <c r="C50" s="5" t="s">
        <v>20</v>
      </c>
      <c r="D50" s="5">
        <v>50.0</v>
      </c>
      <c r="E50" s="5">
        <v>600.0</v>
      </c>
      <c r="H50" s="5" t="s">
        <v>56</v>
      </c>
      <c r="I50" s="9">
        <v>46079.16142361111</v>
      </c>
      <c r="J50" s="5" t="s">
        <v>78</v>
      </c>
      <c r="K50" s="5">
        <v>1200.0</v>
      </c>
      <c r="L50" s="5">
        <v>5900.0</v>
      </c>
      <c r="M50" s="5">
        <v>6100.0</v>
      </c>
      <c r="N50" s="8">
        <v>43352.0</v>
      </c>
      <c r="O50" s="5" t="s">
        <v>80</v>
      </c>
      <c r="P50" s="5" t="s">
        <v>25</v>
      </c>
      <c r="Q50" s="5" t="s">
        <v>920</v>
      </c>
      <c r="R50" s="5" t="s">
        <v>921</v>
      </c>
      <c r="S50" s="5" t="s">
        <v>923</v>
      </c>
    </row>
    <row r="51">
      <c r="A51" s="5">
        <v>50.0</v>
      </c>
      <c r="B51" s="5" t="s">
        <v>924</v>
      </c>
      <c r="C51" s="5" t="s">
        <v>20</v>
      </c>
      <c r="D51" s="5">
        <v>81.0</v>
      </c>
      <c r="E51" s="5">
        <v>600.0</v>
      </c>
      <c r="H51" s="5" t="s">
        <v>30</v>
      </c>
      <c r="I51" s="9">
        <v>45896.622615740744</v>
      </c>
      <c r="J51" s="5" t="s">
        <v>733</v>
      </c>
      <c r="K51" s="5">
        <v>700.0</v>
      </c>
      <c r="L51" s="5">
        <v>26000.0</v>
      </c>
      <c r="M51" s="5">
        <v>27000.0</v>
      </c>
      <c r="N51" s="8">
        <v>45132.0</v>
      </c>
      <c r="O51" s="5" t="s">
        <v>50</v>
      </c>
      <c r="P51" s="5" t="s">
        <v>25</v>
      </c>
      <c r="Q51" s="5" t="s">
        <v>928</v>
      </c>
      <c r="R51" s="5">
        <v>489.0</v>
      </c>
      <c r="S51" s="5" t="s">
        <v>38</v>
      </c>
    </row>
    <row r="52">
      <c r="A52" s="5">
        <v>51.0</v>
      </c>
      <c r="B52" s="5" t="s">
        <v>931</v>
      </c>
      <c r="C52" s="5" t="s">
        <v>20</v>
      </c>
      <c r="D52" s="5">
        <v>0.0</v>
      </c>
      <c r="E52" s="5">
        <v>500.0</v>
      </c>
      <c r="F52" s="5">
        <v>0.6</v>
      </c>
      <c r="G52" s="5">
        <v>0.96</v>
      </c>
      <c r="H52" s="5" t="s">
        <v>817</v>
      </c>
      <c r="I52" s="9">
        <v>45898.0137962963</v>
      </c>
      <c r="J52" s="5" t="s">
        <v>22</v>
      </c>
      <c r="K52" s="5">
        <v>500.0</v>
      </c>
      <c r="L52" s="5">
        <v>4600.0</v>
      </c>
      <c r="M52" s="5">
        <v>4600.0</v>
      </c>
      <c r="N52" s="8">
        <v>42315.0</v>
      </c>
      <c r="O52" s="5" t="s">
        <v>100</v>
      </c>
      <c r="Q52" s="5" t="s">
        <v>934</v>
      </c>
      <c r="R52" s="5" t="s">
        <v>935</v>
      </c>
      <c r="S52" s="5" t="s">
        <v>29</v>
      </c>
    </row>
    <row r="53">
      <c r="A53" s="5">
        <v>52.0</v>
      </c>
      <c r="B53" s="5" t="s">
        <v>936</v>
      </c>
      <c r="C53" s="5" t="s">
        <v>20</v>
      </c>
      <c r="D53" s="5">
        <v>73.0</v>
      </c>
      <c r="E53" s="5">
        <v>500.0</v>
      </c>
      <c r="G53" s="5">
        <v>1.51</v>
      </c>
      <c r="H53" s="5" t="s">
        <v>936</v>
      </c>
      <c r="I53" s="9">
        <v>45895.18194444444</v>
      </c>
      <c r="J53" s="5" t="s">
        <v>939</v>
      </c>
      <c r="K53" s="5">
        <v>62000.0</v>
      </c>
      <c r="L53" s="5">
        <v>2900.0</v>
      </c>
      <c r="M53" s="5">
        <v>737000.0</v>
      </c>
      <c r="N53" s="8">
        <v>42271.0</v>
      </c>
      <c r="O53" s="5" t="s">
        <v>184</v>
      </c>
      <c r="P53" s="5" t="s">
        <v>25</v>
      </c>
      <c r="Q53" s="5" t="s">
        <v>940</v>
      </c>
      <c r="R53" s="5" t="s">
        <v>941</v>
      </c>
      <c r="S53" s="5" t="s">
        <v>38</v>
      </c>
    </row>
    <row r="54">
      <c r="A54" s="5">
        <v>53.0</v>
      </c>
      <c r="B54" s="5" t="s">
        <v>942</v>
      </c>
      <c r="C54" s="5" t="s">
        <v>20</v>
      </c>
      <c r="D54" s="5">
        <v>54.0</v>
      </c>
      <c r="E54" s="5">
        <v>500.0</v>
      </c>
      <c r="F54" s="5">
        <v>1.0</v>
      </c>
      <c r="H54" s="5" t="s">
        <v>654</v>
      </c>
      <c r="I54" s="9">
        <v>45897.23931712963</v>
      </c>
      <c r="J54" s="5" t="s">
        <v>657</v>
      </c>
      <c r="K54" s="5">
        <v>63000.0</v>
      </c>
      <c r="L54" s="5">
        <v>4500.0</v>
      </c>
      <c r="M54" s="5">
        <v>867000.0</v>
      </c>
      <c r="N54" s="8">
        <v>42248.0</v>
      </c>
      <c r="O54" s="5" t="s">
        <v>184</v>
      </c>
      <c r="P54" s="5" t="s">
        <v>25</v>
      </c>
      <c r="Q54" s="5" t="s">
        <v>947</v>
      </c>
      <c r="R54" s="5" t="s">
        <v>949</v>
      </c>
      <c r="S54" s="5" t="s">
        <v>38</v>
      </c>
    </row>
    <row r="55">
      <c r="A55" s="5">
        <v>54.0</v>
      </c>
      <c r="B55" s="5" t="s">
        <v>950</v>
      </c>
      <c r="C55" s="5" t="s">
        <v>20</v>
      </c>
      <c r="D55" s="5">
        <v>8.0</v>
      </c>
      <c r="E55" s="5">
        <v>500.0</v>
      </c>
      <c r="F55" s="5">
        <v>65.0</v>
      </c>
      <c r="H55" s="5" t="s">
        <v>54</v>
      </c>
      <c r="I55" s="9">
        <v>45889.79822916666</v>
      </c>
      <c r="J55" s="5" t="s">
        <v>22</v>
      </c>
      <c r="K55" s="5">
        <v>500.0</v>
      </c>
      <c r="L55" s="5">
        <v>17000.0</v>
      </c>
      <c r="M55" s="5">
        <v>17000.0</v>
      </c>
      <c r="N55" s="8">
        <v>42264.0</v>
      </c>
      <c r="O55" s="5" t="s">
        <v>100</v>
      </c>
      <c r="P55" s="5" t="s">
        <v>25</v>
      </c>
      <c r="Q55" s="5" t="s">
        <v>955</v>
      </c>
      <c r="R55" s="5" t="s">
        <v>956</v>
      </c>
      <c r="S55" s="5" t="s">
        <v>29</v>
      </c>
    </row>
    <row r="56">
      <c r="A56" s="5">
        <v>55.0</v>
      </c>
      <c r="B56" s="5" t="s">
        <v>959</v>
      </c>
      <c r="C56" s="5" t="s">
        <v>20</v>
      </c>
      <c r="D56" s="5">
        <v>68.0</v>
      </c>
      <c r="E56" s="5">
        <v>500.0</v>
      </c>
      <c r="F56" s="5">
        <v>3.0</v>
      </c>
      <c r="G56" s="5">
        <v>1.06</v>
      </c>
      <c r="H56" s="5" t="s">
        <v>19</v>
      </c>
      <c r="I56" s="9">
        <v>45898.461493055554</v>
      </c>
      <c r="J56" s="5" t="s">
        <v>22</v>
      </c>
      <c r="K56" s="5">
        <v>500.0</v>
      </c>
      <c r="L56" s="5">
        <v>207000.0</v>
      </c>
      <c r="M56" s="5">
        <v>212000.0</v>
      </c>
      <c r="N56" s="8">
        <v>42265.0</v>
      </c>
      <c r="O56" s="5" t="s">
        <v>432</v>
      </c>
      <c r="P56" s="5" t="s">
        <v>25</v>
      </c>
      <c r="Q56" s="5" t="s">
        <v>964</v>
      </c>
      <c r="R56" s="5" t="s">
        <v>966</v>
      </c>
      <c r="S56" s="5" t="s">
        <v>29</v>
      </c>
    </row>
    <row r="57">
      <c r="A57" s="5">
        <v>56.0</v>
      </c>
      <c r="B57" s="5" t="s">
        <v>968</v>
      </c>
      <c r="C57" s="5" t="s">
        <v>20</v>
      </c>
      <c r="D57" s="5">
        <v>81.0</v>
      </c>
      <c r="E57" s="5">
        <v>450.0</v>
      </c>
      <c r="F57" s="5">
        <v>0.9</v>
      </c>
      <c r="H57" s="5" t="s">
        <v>54</v>
      </c>
      <c r="I57" s="9">
        <v>45979.911261574074</v>
      </c>
      <c r="J57" s="5" t="s">
        <v>22</v>
      </c>
      <c r="K57" s="5">
        <v>500.0</v>
      </c>
      <c r="L57" s="5">
        <v>15000.0</v>
      </c>
      <c r="M57" s="5">
        <v>16000.0</v>
      </c>
      <c r="N57" s="8">
        <v>42407.0</v>
      </c>
      <c r="O57" s="5" t="s">
        <v>583</v>
      </c>
      <c r="P57" s="5" t="s">
        <v>25</v>
      </c>
      <c r="Q57" s="5" t="s">
        <v>972</v>
      </c>
      <c r="R57" s="5" t="s">
        <v>974</v>
      </c>
      <c r="S57" s="5" t="s">
        <v>29</v>
      </c>
    </row>
    <row r="58">
      <c r="A58" s="5">
        <v>57.0</v>
      </c>
      <c r="B58" s="5" t="s">
        <v>976</v>
      </c>
      <c r="C58" s="5" t="s">
        <v>20</v>
      </c>
      <c r="D58" s="5">
        <v>88.0</v>
      </c>
      <c r="E58" s="5">
        <v>400.0</v>
      </c>
      <c r="F58" s="5">
        <v>0.6</v>
      </c>
      <c r="H58" s="5" t="s">
        <v>147</v>
      </c>
      <c r="I58" s="9">
        <v>45891.39775462963</v>
      </c>
      <c r="J58" s="5" t="s">
        <v>980</v>
      </c>
      <c r="K58" s="5">
        <v>2000.0</v>
      </c>
      <c r="L58" s="5">
        <v>5300.0</v>
      </c>
      <c r="M58" s="5">
        <v>6500.0</v>
      </c>
      <c r="N58" s="8">
        <v>42248.0</v>
      </c>
      <c r="O58" s="5" t="s">
        <v>983</v>
      </c>
      <c r="P58" s="5" t="s">
        <v>25</v>
      </c>
      <c r="Q58" s="5" t="s">
        <v>984</v>
      </c>
      <c r="R58" s="5" t="s">
        <v>985</v>
      </c>
      <c r="S58" s="5" t="s">
        <v>157</v>
      </c>
    </row>
    <row r="59">
      <c r="A59" s="5">
        <v>58.0</v>
      </c>
      <c r="B59" s="5" t="s">
        <v>987</v>
      </c>
      <c r="C59" s="5" t="s">
        <v>20</v>
      </c>
      <c r="D59" s="5">
        <v>77.0</v>
      </c>
      <c r="E59" s="5">
        <v>400.0</v>
      </c>
      <c r="F59" s="5">
        <v>0.7</v>
      </c>
      <c r="H59" s="5" t="s">
        <v>54</v>
      </c>
      <c r="I59" s="9">
        <v>45893.32365740741</v>
      </c>
      <c r="J59" s="5" t="s">
        <v>22</v>
      </c>
      <c r="K59" s="5">
        <v>9300.0</v>
      </c>
      <c r="L59" s="5">
        <v>17000.0</v>
      </c>
      <c r="M59" s="5">
        <v>18000.0</v>
      </c>
      <c r="N59" s="8">
        <v>43908.0</v>
      </c>
      <c r="O59" s="5" t="s">
        <v>583</v>
      </c>
      <c r="P59" s="5" t="s">
        <v>25</v>
      </c>
      <c r="Q59" s="5" t="s">
        <v>991</v>
      </c>
      <c r="R59" s="5" t="s">
        <v>992</v>
      </c>
      <c r="S59" s="5" t="s">
        <v>29</v>
      </c>
    </row>
    <row r="60">
      <c r="A60" s="5">
        <v>59.0</v>
      </c>
      <c r="B60" s="5" t="s">
        <v>216</v>
      </c>
      <c r="C60" s="5" t="s">
        <v>20</v>
      </c>
      <c r="D60" s="5">
        <v>39.0</v>
      </c>
      <c r="E60" s="5">
        <v>400.0</v>
      </c>
      <c r="F60" s="5">
        <v>0.6</v>
      </c>
      <c r="G60" s="5">
        <v>0.93</v>
      </c>
      <c r="H60" s="5" t="s">
        <v>19</v>
      </c>
      <c r="I60" s="9">
        <v>45897.38543981482</v>
      </c>
      <c r="J60" s="5" t="s">
        <v>78</v>
      </c>
      <c r="K60" s="5">
        <v>400.0</v>
      </c>
      <c r="L60" s="5">
        <v>210000.0</v>
      </c>
      <c r="M60" s="5">
        <v>214000.0</v>
      </c>
      <c r="N60" s="8">
        <v>42283.0</v>
      </c>
      <c r="O60" s="5" t="s">
        <v>24</v>
      </c>
      <c r="P60" s="5" t="s">
        <v>25</v>
      </c>
      <c r="Q60" s="5" t="s">
        <v>220</v>
      </c>
      <c r="R60" s="5" t="s">
        <v>221</v>
      </c>
      <c r="S60" s="5" t="s">
        <v>38</v>
      </c>
    </row>
    <row r="61">
      <c r="A61" s="5">
        <v>60.0</v>
      </c>
      <c r="B61" s="5" t="s">
        <v>1003</v>
      </c>
      <c r="C61" s="5" t="s">
        <v>20</v>
      </c>
      <c r="D61" s="5">
        <v>0.0</v>
      </c>
      <c r="E61" s="5">
        <v>400.0</v>
      </c>
      <c r="G61" s="5">
        <v>1.19</v>
      </c>
      <c r="H61" s="5" t="s">
        <v>19</v>
      </c>
      <c r="I61" s="9">
        <v>45977.24193287037</v>
      </c>
      <c r="J61" s="5" t="s">
        <v>243</v>
      </c>
      <c r="K61" s="5">
        <v>400.0</v>
      </c>
      <c r="L61" s="5">
        <v>147000.0</v>
      </c>
      <c r="M61" s="5">
        <v>151000.0</v>
      </c>
      <c r="N61" s="8">
        <v>42253.0</v>
      </c>
      <c r="O61" s="5" t="s">
        <v>100</v>
      </c>
      <c r="P61" s="5" t="s">
        <v>25</v>
      </c>
      <c r="Q61" s="5" t="s">
        <v>1009</v>
      </c>
      <c r="R61" s="5" t="s">
        <v>1010</v>
      </c>
      <c r="S61" s="5" t="s">
        <v>29</v>
      </c>
    </row>
    <row r="62">
      <c r="A62" s="5">
        <v>61.0</v>
      </c>
      <c r="B62" s="5" t="s">
        <v>223</v>
      </c>
      <c r="C62" s="5" t="s">
        <v>20</v>
      </c>
      <c r="D62" s="5">
        <v>75.0</v>
      </c>
      <c r="E62" s="5">
        <v>400.0</v>
      </c>
      <c r="F62" s="5">
        <v>0.6</v>
      </c>
      <c r="H62" s="5" t="s">
        <v>147</v>
      </c>
      <c r="I62" s="9">
        <v>45887.41909722222</v>
      </c>
      <c r="J62" s="5" t="s">
        <v>151</v>
      </c>
      <c r="K62" s="5">
        <v>400.0</v>
      </c>
      <c r="L62" s="5">
        <v>5100.0</v>
      </c>
      <c r="M62" s="5">
        <v>6300.0</v>
      </c>
      <c r="N62" s="8">
        <v>42256.0</v>
      </c>
      <c r="O62" s="5" t="s">
        <v>24</v>
      </c>
      <c r="P62" s="5" t="s">
        <v>25</v>
      </c>
      <c r="Q62" s="5" t="s">
        <v>226</v>
      </c>
      <c r="R62" s="5" t="s">
        <v>227</v>
      </c>
      <c r="S62" s="5" t="s">
        <v>118</v>
      </c>
    </row>
    <row r="63">
      <c r="A63" s="5">
        <v>62.0</v>
      </c>
      <c r="B63" s="5" t="s">
        <v>1019</v>
      </c>
      <c r="C63" s="5" t="s">
        <v>20</v>
      </c>
      <c r="D63" s="5">
        <v>75.0</v>
      </c>
      <c r="E63" s="5">
        <v>350.0</v>
      </c>
      <c r="F63" s="5">
        <v>0.03</v>
      </c>
      <c r="G63" s="5">
        <v>1.24</v>
      </c>
      <c r="H63" s="5" t="s">
        <v>1019</v>
      </c>
      <c r="I63" s="9">
        <v>45908.674722222226</v>
      </c>
      <c r="J63" s="5" t="s">
        <v>1023</v>
      </c>
      <c r="K63" s="5">
        <v>390000.0</v>
      </c>
      <c r="L63" s="5">
        <v>30.0</v>
      </c>
      <c r="M63" s="5">
        <v>61000.0</v>
      </c>
      <c r="N63" s="8">
        <v>42377.0</v>
      </c>
      <c r="O63" s="5" t="s">
        <v>24</v>
      </c>
      <c r="P63" s="5" t="s">
        <v>25</v>
      </c>
      <c r="Q63" s="5" t="s">
        <v>1025</v>
      </c>
      <c r="R63" s="5" t="s">
        <v>1026</v>
      </c>
      <c r="S63" s="5" t="s">
        <v>38</v>
      </c>
    </row>
    <row r="64">
      <c r="A64" s="5">
        <v>63.0</v>
      </c>
      <c r="B64" s="5" t="s">
        <v>1029</v>
      </c>
      <c r="C64" s="5" t="s">
        <v>20</v>
      </c>
      <c r="D64" s="5">
        <v>59.0</v>
      </c>
      <c r="E64" s="5">
        <v>350.0</v>
      </c>
      <c r="F64" s="5">
        <v>5.0</v>
      </c>
      <c r="H64" s="5" t="s">
        <v>19</v>
      </c>
      <c r="I64" s="9">
        <v>45900.77884259259</v>
      </c>
      <c r="J64" s="5" t="s">
        <v>78</v>
      </c>
      <c r="K64" s="5">
        <v>350.0</v>
      </c>
      <c r="L64" s="5">
        <v>208000.0</v>
      </c>
      <c r="M64" s="5">
        <v>213000.0</v>
      </c>
      <c r="N64" s="8">
        <v>42430.0</v>
      </c>
      <c r="O64" s="5" t="s">
        <v>80</v>
      </c>
      <c r="P64" s="5" t="s">
        <v>25</v>
      </c>
      <c r="Q64" s="5" t="s">
        <v>1036</v>
      </c>
      <c r="R64" s="5" t="s">
        <v>1037</v>
      </c>
      <c r="S64" s="5" t="s">
        <v>38</v>
      </c>
    </row>
    <row r="65">
      <c r="A65" s="5">
        <v>64.0</v>
      </c>
      <c r="B65" s="5" t="s">
        <v>1040</v>
      </c>
      <c r="C65" s="5" t="s">
        <v>20</v>
      </c>
      <c r="D65" s="5">
        <v>80.0</v>
      </c>
      <c r="E65" s="5">
        <v>350.0</v>
      </c>
      <c r="F65" s="5">
        <v>0.15</v>
      </c>
      <c r="H65" s="5" t="s">
        <v>744</v>
      </c>
      <c r="I65" s="9">
        <v>46065.580625</v>
      </c>
      <c r="J65" s="5" t="s">
        <v>1043</v>
      </c>
      <c r="K65" s="5">
        <v>175000.0</v>
      </c>
      <c r="L65" s="5">
        <v>1400.0</v>
      </c>
      <c r="M65" s="5">
        <v>4270000.0</v>
      </c>
      <c r="N65" s="8">
        <v>42379.0</v>
      </c>
      <c r="O65" s="5" t="s">
        <v>24</v>
      </c>
      <c r="P65" s="5" t="s">
        <v>25</v>
      </c>
      <c r="Q65" s="5" t="s">
        <v>1045</v>
      </c>
      <c r="R65" s="5" t="s">
        <v>1046</v>
      </c>
      <c r="S65" s="5" t="s">
        <v>38</v>
      </c>
    </row>
    <row r="66">
      <c r="A66" s="5">
        <v>65.0</v>
      </c>
      <c r="B66" s="10" t="s">
        <v>1048</v>
      </c>
      <c r="C66" s="5" t="s">
        <v>20</v>
      </c>
      <c r="D66" s="5">
        <v>1.0</v>
      </c>
      <c r="E66" s="5">
        <v>350.0</v>
      </c>
      <c r="F66" s="5">
        <v>1.0</v>
      </c>
      <c r="G66" s="5">
        <v>0.9</v>
      </c>
      <c r="H66" s="5" t="s">
        <v>19</v>
      </c>
      <c r="I66" s="9">
        <v>45893.259664351855</v>
      </c>
      <c r="J66" s="5" t="s">
        <v>243</v>
      </c>
      <c r="K66" s="5">
        <v>350.0</v>
      </c>
      <c r="L66" s="5">
        <v>207000.0</v>
      </c>
      <c r="M66" s="5">
        <v>211000.0</v>
      </c>
      <c r="N66" s="8">
        <v>42248.0</v>
      </c>
      <c r="O66" s="5" t="s">
        <v>100</v>
      </c>
      <c r="Q66" s="5" t="s">
        <v>1060</v>
      </c>
      <c r="R66" s="5" t="s">
        <v>1061</v>
      </c>
      <c r="S66" s="5" t="s">
        <v>29</v>
      </c>
    </row>
    <row r="67">
      <c r="A67" s="5">
        <v>66.0</v>
      </c>
      <c r="B67" s="5" t="s">
        <v>234</v>
      </c>
      <c r="C67" s="5" t="s">
        <v>20</v>
      </c>
      <c r="D67" s="5">
        <v>61.0</v>
      </c>
      <c r="E67" s="5">
        <v>350.0</v>
      </c>
      <c r="F67" s="5">
        <v>0.8</v>
      </c>
      <c r="H67" s="5" t="s">
        <v>30</v>
      </c>
      <c r="I67" s="9">
        <v>45892.85282407407</v>
      </c>
      <c r="J67" s="5" t="s">
        <v>127</v>
      </c>
      <c r="K67" s="5">
        <v>350.0</v>
      </c>
      <c r="L67" s="5">
        <v>28000.0</v>
      </c>
      <c r="M67" s="5">
        <v>29000.0</v>
      </c>
      <c r="N67" s="8">
        <v>44966.0</v>
      </c>
      <c r="O67" s="5" t="s">
        <v>184</v>
      </c>
      <c r="P67" s="5" t="s">
        <v>25</v>
      </c>
      <c r="Q67" s="5" t="s">
        <v>237</v>
      </c>
      <c r="R67" s="5" t="s">
        <v>238</v>
      </c>
      <c r="S67" s="5" t="s">
        <v>38</v>
      </c>
    </row>
    <row r="68">
      <c r="A68" s="5">
        <v>67.0</v>
      </c>
      <c r="B68" s="5" t="s">
        <v>282</v>
      </c>
      <c r="C68" s="5" t="s">
        <v>20</v>
      </c>
      <c r="D68" s="5">
        <v>18.0</v>
      </c>
      <c r="E68" s="5">
        <v>350.0</v>
      </c>
      <c r="H68" s="5" t="s">
        <v>148</v>
      </c>
      <c r="I68" s="9">
        <v>46082.88240740741</v>
      </c>
      <c r="J68" s="5" t="s">
        <v>151</v>
      </c>
      <c r="K68" s="5">
        <v>350.0</v>
      </c>
      <c r="L68" s="5">
        <v>150.0</v>
      </c>
      <c r="M68" s="5">
        <v>200.0</v>
      </c>
      <c r="N68" s="8">
        <v>42790.0</v>
      </c>
      <c r="O68" s="5" t="s">
        <v>100</v>
      </c>
      <c r="P68" s="5" t="s">
        <v>25</v>
      </c>
      <c r="Q68" s="5" t="s">
        <v>290</v>
      </c>
      <c r="R68" s="5">
        <v>709.0</v>
      </c>
      <c r="S68" s="5" t="s">
        <v>292</v>
      </c>
    </row>
    <row r="69">
      <c r="A69" s="5">
        <v>68.0</v>
      </c>
      <c r="B69" s="5" t="s">
        <v>1076</v>
      </c>
      <c r="C69" s="5" t="s">
        <v>20</v>
      </c>
      <c r="D69" s="5">
        <v>63.0</v>
      </c>
      <c r="E69" s="5">
        <v>300.0</v>
      </c>
      <c r="G69" s="5">
        <v>1.23</v>
      </c>
      <c r="H69" s="5" t="s">
        <v>906</v>
      </c>
      <c r="I69" s="9">
        <v>45898.36010416667</v>
      </c>
      <c r="J69" s="5" t="s">
        <v>22</v>
      </c>
      <c r="K69" s="5">
        <v>350.0</v>
      </c>
      <c r="L69" s="5">
        <v>4000.0</v>
      </c>
      <c r="M69" s="5">
        <v>4600.0</v>
      </c>
      <c r="N69" s="8">
        <v>42248.0</v>
      </c>
      <c r="O69" s="5" t="s">
        <v>879</v>
      </c>
      <c r="P69" s="5" t="s">
        <v>25</v>
      </c>
      <c r="Q69" s="5" t="s">
        <v>1079</v>
      </c>
      <c r="R69" s="5" t="s">
        <v>1080</v>
      </c>
      <c r="S69" s="5" t="s">
        <v>29</v>
      </c>
    </row>
    <row r="70">
      <c r="A70" s="5">
        <v>69.0</v>
      </c>
      <c r="B70" s="5" t="s">
        <v>240</v>
      </c>
      <c r="C70" s="5" t="s">
        <v>20</v>
      </c>
      <c r="D70" s="5">
        <v>58.0</v>
      </c>
      <c r="E70" s="5">
        <v>300.0</v>
      </c>
      <c r="F70" s="5">
        <v>1.7</v>
      </c>
      <c r="H70" s="5" t="s">
        <v>19</v>
      </c>
      <c r="I70" s="9">
        <v>45896.89263888889</v>
      </c>
      <c r="J70" s="5" t="s">
        <v>243</v>
      </c>
      <c r="K70" s="5">
        <v>300.0</v>
      </c>
      <c r="L70" s="5">
        <v>210000.0</v>
      </c>
      <c r="M70" s="5">
        <v>214000.0</v>
      </c>
      <c r="N70" s="8">
        <v>42884.0</v>
      </c>
      <c r="O70" s="5" t="s">
        <v>100</v>
      </c>
      <c r="P70" s="5" t="s">
        <v>25</v>
      </c>
      <c r="Q70" s="5" t="s">
        <v>245</v>
      </c>
      <c r="R70" s="5" t="s">
        <v>246</v>
      </c>
      <c r="S70" s="5" t="s">
        <v>38</v>
      </c>
    </row>
    <row r="71">
      <c r="A71" s="5">
        <v>70.0</v>
      </c>
      <c r="B71" s="5" t="s">
        <v>1089</v>
      </c>
      <c r="C71" s="5" t="s">
        <v>20</v>
      </c>
      <c r="D71" s="5">
        <v>53.0</v>
      </c>
      <c r="E71" s="5">
        <v>300.0</v>
      </c>
      <c r="F71" s="5">
        <v>1.0</v>
      </c>
      <c r="G71" s="5">
        <v>0.92</v>
      </c>
      <c r="H71" s="5" t="s">
        <v>186</v>
      </c>
      <c r="I71" s="9">
        <v>45928.37082175926</v>
      </c>
      <c r="J71" s="5" t="s">
        <v>151</v>
      </c>
      <c r="K71" s="5">
        <v>350.0</v>
      </c>
      <c r="L71" s="5">
        <v>1500.0</v>
      </c>
      <c r="M71" s="5">
        <v>1800.0</v>
      </c>
      <c r="N71" s="8">
        <v>42255.0</v>
      </c>
      <c r="O71" s="5" t="s">
        <v>24</v>
      </c>
      <c r="P71" s="5" t="s">
        <v>25</v>
      </c>
      <c r="Q71" s="5" t="s">
        <v>1096</v>
      </c>
      <c r="R71" s="5" t="s">
        <v>1097</v>
      </c>
      <c r="S71" s="5" t="s">
        <v>38</v>
      </c>
    </row>
    <row r="72">
      <c r="A72" s="5">
        <v>71.0</v>
      </c>
      <c r="B72" s="5" t="s">
        <v>1100</v>
      </c>
      <c r="C72" s="5" t="s">
        <v>20</v>
      </c>
      <c r="D72" s="5">
        <v>34.0</v>
      </c>
      <c r="E72" s="5">
        <v>300.0</v>
      </c>
      <c r="F72" s="5">
        <v>0.25</v>
      </c>
      <c r="G72" s="5">
        <v>1.11</v>
      </c>
      <c r="H72" s="5" t="s">
        <v>817</v>
      </c>
      <c r="I72" s="9">
        <v>45896.324421296296</v>
      </c>
      <c r="J72" s="5" t="s">
        <v>22</v>
      </c>
      <c r="K72" s="5">
        <v>400.0</v>
      </c>
      <c r="L72" s="5">
        <v>4600.0</v>
      </c>
      <c r="M72" s="5">
        <v>4700.0</v>
      </c>
      <c r="N72" s="8">
        <v>42310.0</v>
      </c>
      <c r="O72" s="5" t="s">
        <v>50</v>
      </c>
      <c r="P72" s="5" t="s">
        <v>25</v>
      </c>
      <c r="Q72" s="5" t="s">
        <v>1105</v>
      </c>
      <c r="R72" s="5" t="s">
        <v>1106</v>
      </c>
      <c r="S72" s="5" t="s">
        <v>1107</v>
      </c>
    </row>
    <row r="73">
      <c r="A73" s="5">
        <v>72.0</v>
      </c>
      <c r="B73" s="10" t="s">
        <v>1110</v>
      </c>
      <c r="C73" s="5" t="s">
        <v>20</v>
      </c>
      <c r="D73" s="5">
        <v>0.0</v>
      </c>
      <c r="E73" s="5">
        <v>300.0</v>
      </c>
      <c r="G73" s="5">
        <v>1.03</v>
      </c>
      <c r="H73" s="5" t="s">
        <v>623</v>
      </c>
      <c r="I73" s="9">
        <v>45974.884988425925</v>
      </c>
      <c r="J73" s="5" t="s">
        <v>243</v>
      </c>
      <c r="K73" s="5">
        <v>300.0</v>
      </c>
      <c r="L73" s="5">
        <v>13000.0</v>
      </c>
      <c r="M73" s="5">
        <v>14000.0</v>
      </c>
      <c r="N73" s="8">
        <v>42349.0</v>
      </c>
      <c r="O73" s="5" t="s">
        <v>100</v>
      </c>
      <c r="Q73" s="5" t="s">
        <v>1118</v>
      </c>
      <c r="R73" s="5" t="s">
        <v>1119</v>
      </c>
      <c r="S73" s="5" t="s">
        <v>29</v>
      </c>
    </row>
    <row r="74">
      <c r="A74" s="5">
        <v>73.0</v>
      </c>
      <c r="B74" s="5" t="s">
        <v>294</v>
      </c>
      <c r="C74" s="5" t="s">
        <v>20</v>
      </c>
      <c r="D74" s="5">
        <v>55.0</v>
      </c>
      <c r="E74" s="5">
        <v>250.0</v>
      </c>
      <c r="H74" s="5" t="s">
        <v>130</v>
      </c>
      <c r="I74" s="9">
        <v>45911.18475694444</v>
      </c>
      <c r="J74" s="5" t="s">
        <v>297</v>
      </c>
      <c r="K74" s="5">
        <v>250.0</v>
      </c>
      <c r="L74" s="5">
        <v>6200.0</v>
      </c>
      <c r="M74" s="5">
        <v>6600.0</v>
      </c>
      <c r="N74" s="8">
        <v>43362.0</v>
      </c>
      <c r="O74" s="5" t="s">
        <v>80</v>
      </c>
      <c r="P74" s="5" t="s">
        <v>25</v>
      </c>
      <c r="Q74" s="5" t="s">
        <v>307</v>
      </c>
      <c r="R74" s="5" t="s">
        <v>308</v>
      </c>
      <c r="S74" s="5" t="s">
        <v>38</v>
      </c>
    </row>
    <row r="75">
      <c r="A75" s="5">
        <v>74.0</v>
      </c>
      <c r="B75" s="5" t="s">
        <v>247</v>
      </c>
      <c r="C75" s="5" t="s">
        <v>20</v>
      </c>
      <c r="D75" s="5">
        <v>43.0</v>
      </c>
      <c r="E75" s="5">
        <v>250.0</v>
      </c>
      <c r="H75" s="5" t="s">
        <v>19</v>
      </c>
      <c r="I75" s="9">
        <v>45940.97998842593</v>
      </c>
      <c r="J75" s="5" t="s">
        <v>243</v>
      </c>
      <c r="K75" s="5">
        <v>250.0</v>
      </c>
      <c r="L75" s="5">
        <v>181000.0</v>
      </c>
      <c r="M75" s="5">
        <v>185000.0</v>
      </c>
      <c r="N75" s="8">
        <v>42665.0</v>
      </c>
      <c r="O75" s="5" t="s">
        <v>80</v>
      </c>
      <c r="P75" s="5" t="s">
        <v>25</v>
      </c>
      <c r="Q75" s="5" t="s">
        <v>250</v>
      </c>
      <c r="R75" s="5">
        <v>73.0</v>
      </c>
      <c r="S75" s="5" t="s">
        <v>29</v>
      </c>
    </row>
    <row r="76">
      <c r="A76" s="5">
        <v>75.0</v>
      </c>
      <c r="B76" s="5" t="s">
        <v>1132</v>
      </c>
      <c r="C76" s="5" t="s">
        <v>20</v>
      </c>
      <c r="D76" s="5">
        <v>51.0</v>
      </c>
      <c r="E76" s="5">
        <v>250.0</v>
      </c>
      <c r="F76" s="5">
        <v>1.6</v>
      </c>
      <c r="G76" s="5">
        <v>0.42</v>
      </c>
      <c r="H76" s="5" t="s">
        <v>915</v>
      </c>
      <c r="I76" s="9">
        <v>45976.04282407407</v>
      </c>
      <c r="J76" s="5" t="s">
        <v>151</v>
      </c>
      <c r="K76" s="5">
        <v>19000.0</v>
      </c>
      <c r="L76" s="5">
        <v>0.0</v>
      </c>
      <c r="M76" s="5">
        <v>3200.0</v>
      </c>
      <c r="N76" s="8">
        <v>42254.0</v>
      </c>
      <c r="O76" s="5" t="s">
        <v>50</v>
      </c>
      <c r="P76" s="5" t="s">
        <v>25</v>
      </c>
      <c r="Q76" s="5" t="s">
        <v>1136</v>
      </c>
      <c r="R76" s="5" t="s">
        <v>1137</v>
      </c>
      <c r="S76" s="5" t="s">
        <v>1138</v>
      </c>
    </row>
    <row r="77">
      <c r="A77" s="5">
        <v>76.0</v>
      </c>
      <c r="B77" s="5" t="s">
        <v>1139</v>
      </c>
      <c r="C77" s="5" t="s">
        <v>20</v>
      </c>
      <c r="D77" s="5">
        <v>81.0</v>
      </c>
      <c r="E77" s="5">
        <v>200.0</v>
      </c>
      <c r="F77" s="5">
        <v>1.8</v>
      </c>
      <c r="H77" s="5" t="s">
        <v>41</v>
      </c>
      <c r="I77" s="9">
        <v>46149.248773148145</v>
      </c>
      <c r="J77" s="5" t="s">
        <v>151</v>
      </c>
      <c r="K77" s="5">
        <v>300.0</v>
      </c>
      <c r="L77" s="5">
        <v>150.0</v>
      </c>
      <c r="M77" s="5">
        <v>1300.0</v>
      </c>
      <c r="N77" s="8">
        <v>45004.0</v>
      </c>
      <c r="O77" s="5" t="s">
        <v>100</v>
      </c>
      <c r="P77" s="5" t="s">
        <v>25</v>
      </c>
      <c r="Q77" s="5" t="s">
        <v>1143</v>
      </c>
      <c r="R77" s="5" t="s">
        <v>1145</v>
      </c>
      <c r="S77" s="5" t="s">
        <v>104</v>
      </c>
    </row>
    <row r="78">
      <c r="A78" s="5">
        <v>77.0</v>
      </c>
      <c r="B78" s="5" t="s">
        <v>1147</v>
      </c>
      <c r="C78" s="5" t="s">
        <v>20</v>
      </c>
      <c r="D78" s="5">
        <v>49.0</v>
      </c>
      <c r="E78" s="5">
        <v>200.0</v>
      </c>
      <c r="F78" s="5">
        <v>0.35</v>
      </c>
      <c r="H78" s="5" t="s">
        <v>47</v>
      </c>
      <c r="I78" s="9">
        <v>46117.84556712963</v>
      </c>
      <c r="J78" s="5" t="s">
        <v>151</v>
      </c>
      <c r="K78" s="5">
        <v>200.0</v>
      </c>
      <c r="L78" s="5">
        <v>16000.0</v>
      </c>
      <c r="M78" s="5">
        <v>16000.0</v>
      </c>
      <c r="N78" s="8">
        <v>42982.0</v>
      </c>
      <c r="O78" s="5" t="s">
        <v>50</v>
      </c>
      <c r="P78" s="5" t="s">
        <v>25</v>
      </c>
      <c r="S78" s="5" t="s">
        <v>118</v>
      </c>
    </row>
    <row r="79">
      <c r="A79" s="5">
        <v>78.0</v>
      </c>
      <c r="B79" s="5" t="s">
        <v>1152</v>
      </c>
      <c r="C79" s="5" t="s">
        <v>20</v>
      </c>
      <c r="D79" s="5">
        <v>25.0</v>
      </c>
      <c r="E79" s="5">
        <v>200.0</v>
      </c>
      <c r="G79" s="5">
        <v>1.0</v>
      </c>
      <c r="H79" s="5" t="s">
        <v>193</v>
      </c>
      <c r="I79" s="9">
        <v>45898.46129629629</v>
      </c>
      <c r="J79" s="5" t="s">
        <v>1156</v>
      </c>
      <c r="K79" s="5">
        <v>200.0</v>
      </c>
      <c r="L79" s="5">
        <v>6400.0</v>
      </c>
      <c r="M79" s="5">
        <v>6700.0</v>
      </c>
      <c r="N79" s="8">
        <v>42248.0</v>
      </c>
      <c r="O79" s="5" t="s">
        <v>24</v>
      </c>
      <c r="Q79" s="5" t="s">
        <v>1159</v>
      </c>
      <c r="R79" s="5" t="s">
        <v>1160</v>
      </c>
      <c r="S79" s="5" t="s">
        <v>118</v>
      </c>
    </row>
    <row r="80">
      <c r="A80" s="5">
        <v>79.0</v>
      </c>
      <c r="B80" s="5" t="s">
        <v>252</v>
      </c>
      <c r="C80" s="5" t="s">
        <v>20</v>
      </c>
      <c r="D80" s="5">
        <v>2.0</v>
      </c>
      <c r="E80" s="5">
        <v>200.0</v>
      </c>
      <c r="H80" s="5" t="s">
        <v>19</v>
      </c>
      <c r="I80" s="9">
        <v>45938.00324074074</v>
      </c>
      <c r="J80" s="5" t="s">
        <v>254</v>
      </c>
      <c r="K80" s="5">
        <v>250.0</v>
      </c>
      <c r="L80" s="5">
        <v>179000.0</v>
      </c>
      <c r="M80" s="5">
        <v>183000.0</v>
      </c>
      <c r="N80" s="8">
        <v>42938.0</v>
      </c>
      <c r="O80" s="5" t="s">
        <v>184</v>
      </c>
      <c r="P80" s="5" t="s">
        <v>25</v>
      </c>
      <c r="Q80" s="5" t="s">
        <v>256</v>
      </c>
      <c r="R80" s="5" t="s">
        <v>258</v>
      </c>
      <c r="S80" s="5" t="s">
        <v>29</v>
      </c>
    </row>
    <row r="81">
      <c r="A81" s="5">
        <v>80.0</v>
      </c>
      <c r="B81" s="5" t="s">
        <v>1167</v>
      </c>
      <c r="C81" s="5" t="s">
        <v>20</v>
      </c>
      <c r="D81" s="5">
        <v>73.0</v>
      </c>
      <c r="E81" s="5">
        <v>200.0</v>
      </c>
      <c r="F81" s="5">
        <v>0.6</v>
      </c>
      <c r="H81" s="5" t="s">
        <v>147</v>
      </c>
      <c r="I81" s="9">
        <v>45941.18817129629</v>
      </c>
      <c r="K81" s="5">
        <v>800.0</v>
      </c>
      <c r="L81" s="5">
        <v>5300.0</v>
      </c>
      <c r="M81" s="5">
        <v>5700.0</v>
      </c>
      <c r="N81" s="8">
        <v>42253.0</v>
      </c>
      <c r="O81" s="5" t="s">
        <v>583</v>
      </c>
      <c r="P81" s="5" t="s">
        <v>25</v>
      </c>
      <c r="Q81" s="5" t="s">
        <v>1173</v>
      </c>
      <c r="R81" s="5" t="s">
        <v>1175</v>
      </c>
      <c r="S81" s="5" t="s">
        <v>157</v>
      </c>
    </row>
    <row r="82">
      <c r="A82" s="5">
        <v>81.0</v>
      </c>
      <c r="B82" s="5" t="s">
        <v>260</v>
      </c>
      <c r="C82" s="5" t="s">
        <v>20</v>
      </c>
      <c r="D82" s="5">
        <v>14.0</v>
      </c>
      <c r="E82" s="5">
        <v>200.0</v>
      </c>
      <c r="F82" s="5">
        <v>0.09</v>
      </c>
      <c r="G82" s="5">
        <v>0.81</v>
      </c>
      <c r="H82" s="5" t="s">
        <v>19</v>
      </c>
      <c r="I82" s="9">
        <v>46157.10802083334</v>
      </c>
      <c r="J82" s="5" t="s">
        <v>22</v>
      </c>
      <c r="K82" s="5">
        <v>200.0</v>
      </c>
      <c r="L82" s="5">
        <v>131000.0</v>
      </c>
      <c r="M82" s="5">
        <v>135000.0</v>
      </c>
      <c r="N82" s="8">
        <v>42537.0</v>
      </c>
      <c r="O82" s="5" t="s">
        <v>24</v>
      </c>
      <c r="P82" s="5" t="s">
        <v>25</v>
      </c>
      <c r="Q82" s="5" t="s">
        <v>263</v>
      </c>
      <c r="R82" s="5" t="s">
        <v>264</v>
      </c>
      <c r="S82" s="5" t="s">
        <v>38</v>
      </c>
    </row>
    <row r="83">
      <c r="A83" s="5">
        <v>82.0</v>
      </c>
      <c r="B83" s="5" t="s">
        <v>266</v>
      </c>
      <c r="C83" s="5" t="s">
        <v>20</v>
      </c>
      <c r="D83" s="5">
        <v>29.0</v>
      </c>
      <c r="E83" s="5">
        <v>200.0</v>
      </c>
      <c r="F83" s="5">
        <v>4.0</v>
      </c>
      <c r="H83" s="5" t="s">
        <v>30</v>
      </c>
      <c r="I83" s="9">
        <v>45974.01957175926</v>
      </c>
      <c r="J83" s="5" t="s">
        <v>22</v>
      </c>
      <c r="K83" s="5">
        <v>200.0</v>
      </c>
      <c r="L83" s="5">
        <v>37000.0</v>
      </c>
      <c r="M83" s="5">
        <v>38000.0</v>
      </c>
      <c r="N83" s="8">
        <v>44025.0</v>
      </c>
      <c r="O83" s="5" t="s">
        <v>100</v>
      </c>
      <c r="P83" s="5" t="s">
        <v>25</v>
      </c>
      <c r="S83" s="5" t="s">
        <v>38</v>
      </c>
    </row>
    <row r="84">
      <c r="A84" s="5">
        <v>83.0</v>
      </c>
      <c r="B84" s="5" t="s">
        <v>1184</v>
      </c>
      <c r="C84" s="5" t="s">
        <v>20</v>
      </c>
      <c r="D84" s="5">
        <v>28.0</v>
      </c>
      <c r="E84" s="5">
        <v>200.0</v>
      </c>
      <c r="F84" s="5">
        <v>0.7</v>
      </c>
      <c r="H84" s="5" t="s">
        <v>285</v>
      </c>
      <c r="I84" s="9">
        <v>45985.5021412037</v>
      </c>
      <c r="J84" s="5" t="s">
        <v>78</v>
      </c>
      <c r="K84" s="5">
        <v>200.0</v>
      </c>
      <c r="L84" s="5">
        <v>6300.0</v>
      </c>
      <c r="M84" s="5">
        <v>6700.0</v>
      </c>
      <c r="N84" s="8">
        <v>42346.0</v>
      </c>
      <c r="O84" s="5" t="s">
        <v>1187</v>
      </c>
      <c r="P84" s="5" t="s">
        <v>25</v>
      </c>
      <c r="Q84" s="5" t="s">
        <v>1190</v>
      </c>
      <c r="R84" s="5" t="s">
        <v>1192</v>
      </c>
      <c r="S84" s="5" t="s">
        <v>118</v>
      </c>
    </row>
    <row r="85">
      <c r="A85" s="5">
        <v>84.0</v>
      </c>
      <c r="B85" s="5" t="s">
        <v>1194</v>
      </c>
      <c r="C85" s="5" t="s">
        <v>20</v>
      </c>
      <c r="D85" s="5">
        <v>11.0</v>
      </c>
      <c r="E85" s="5">
        <v>200.0</v>
      </c>
      <c r="G85" s="5">
        <v>0.99</v>
      </c>
      <c r="H85" s="5" t="s">
        <v>40</v>
      </c>
      <c r="I85" s="9">
        <v>46155.4021875</v>
      </c>
      <c r="J85" s="5" t="s">
        <v>78</v>
      </c>
      <c r="K85" s="5">
        <v>1500.0</v>
      </c>
      <c r="L85" s="5">
        <v>17000.0</v>
      </c>
      <c r="M85" s="5">
        <v>18000.0</v>
      </c>
      <c r="N85" s="8">
        <v>42249.0</v>
      </c>
      <c r="O85" s="5" t="s">
        <v>24</v>
      </c>
      <c r="S85" s="5" t="s">
        <v>1198</v>
      </c>
    </row>
    <row r="86">
      <c r="A86" s="5">
        <v>85.0</v>
      </c>
      <c r="B86" s="5" t="s">
        <v>272</v>
      </c>
      <c r="C86" s="5" t="s">
        <v>20</v>
      </c>
      <c r="D86" s="5">
        <v>77.0</v>
      </c>
      <c r="E86" s="5">
        <v>150.0</v>
      </c>
      <c r="H86" s="5" t="s">
        <v>19</v>
      </c>
      <c r="I86" s="9">
        <v>46123.39202546296</v>
      </c>
      <c r="J86" s="5" t="s">
        <v>206</v>
      </c>
      <c r="K86" s="5">
        <v>150.0</v>
      </c>
      <c r="L86" s="5">
        <v>136000.0</v>
      </c>
      <c r="M86" s="5">
        <v>140000.0</v>
      </c>
      <c r="N86" s="8">
        <v>43091.0</v>
      </c>
      <c r="O86" s="5" t="s">
        <v>24</v>
      </c>
      <c r="P86" s="5" t="s">
        <v>25</v>
      </c>
      <c r="S86" s="5" t="s">
        <v>157</v>
      </c>
    </row>
    <row r="87">
      <c r="A87" s="5">
        <v>86.0</v>
      </c>
      <c r="B87" s="5" t="s">
        <v>1203</v>
      </c>
      <c r="C87" s="5" t="s">
        <v>20</v>
      </c>
      <c r="D87" s="5">
        <v>67.0</v>
      </c>
      <c r="E87" s="5">
        <v>150.0</v>
      </c>
      <c r="H87" s="5" t="s">
        <v>47</v>
      </c>
      <c r="I87" s="9">
        <v>46149.513969907406</v>
      </c>
      <c r="K87" s="5">
        <v>700.0</v>
      </c>
      <c r="L87" s="5">
        <v>15000.0</v>
      </c>
      <c r="M87" s="5">
        <v>16000.0</v>
      </c>
      <c r="N87" s="8">
        <v>44887.0</v>
      </c>
      <c r="O87" s="5" t="s">
        <v>80</v>
      </c>
      <c r="P87" s="5" t="s">
        <v>25</v>
      </c>
      <c r="S87" s="5" t="s">
        <v>145</v>
      </c>
    </row>
    <row r="88">
      <c r="A88" s="5">
        <v>87.0</v>
      </c>
      <c r="B88" s="5" t="s">
        <v>1208</v>
      </c>
      <c r="C88" s="5" t="s">
        <v>20</v>
      </c>
      <c r="D88" s="5">
        <v>79.0</v>
      </c>
      <c r="E88" s="5">
        <v>150.0</v>
      </c>
      <c r="H88" s="5" t="s">
        <v>669</v>
      </c>
      <c r="I88" s="9">
        <v>46152.56929398148</v>
      </c>
      <c r="J88" s="5" t="s">
        <v>78</v>
      </c>
      <c r="K88" s="5">
        <v>2700.0</v>
      </c>
      <c r="L88" s="5">
        <v>1500.0</v>
      </c>
      <c r="M88" s="5">
        <v>42000.0</v>
      </c>
      <c r="N88" s="8">
        <v>42820.0</v>
      </c>
      <c r="O88" s="5" t="s">
        <v>50</v>
      </c>
      <c r="P88" s="5" t="s">
        <v>25</v>
      </c>
      <c r="S88" s="5" t="s">
        <v>38</v>
      </c>
    </row>
    <row r="89">
      <c r="A89" s="5">
        <v>88.0</v>
      </c>
      <c r="B89" s="5" t="s">
        <v>1214</v>
      </c>
      <c r="C89" s="5" t="s">
        <v>20</v>
      </c>
      <c r="D89" s="5">
        <v>75.0</v>
      </c>
      <c r="E89" s="5">
        <v>150.0</v>
      </c>
      <c r="H89" s="5" t="s">
        <v>654</v>
      </c>
      <c r="I89" s="9">
        <v>46082.52782407407</v>
      </c>
      <c r="K89" s="5">
        <v>150.0</v>
      </c>
      <c r="L89" s="5">
        <v>5100.0</v>
      </c>
      <c r="M89" s="5">
        <v>596000.0</v>
      </c>
      <c r="N89" s="8">
        <v>45173.0</v>
      </c>
      <c r="O89" s="5" t="s">
        <v>879</v>
      </c>
      <c r="P89" s="5" t="s">
        <v>25</v>
      </c>
      <c r="S89" s="5" t="s">
        <v>38</v>
      </c>
    </row>
    <row r="90">
      <c r="A90" s="5">
        <v>89.0</v>
      </c>
      <c r="B90" s="5" t="s">
        <v>1220</v>
      </c>
      <c r="C90" s="5" t="s">
        <v>20</v>
      </c>
      <c r="D90" s="5">
        <v>45.0</v>
      </c>
      <c r="E90" s="5">
        <v>150.0</v>
      </c>
      <c r="H90" s="5" t="s">
        <v>130</v>
      </c>
      <c r="I90" s="9">
        <v>46146.58459490741</v>
      </c>
      <c r="J90" s="5" t="s">
        <v>151</v>
      </c>
      <c r="K90" s="5">
        <v>150.0</v>
      </c>
      <c r="L90" s="5">
        <v>3700.0</v>
      </c>
      <c r="M90" s="5">
        <v>3800.0</v>
      </c>
      <c r="N90" s="8">
        <v>43322.0</v>
      </c>
      <c r="O90" s="5" t="s">
        <v>100</v>
      </c>
      <c r="P90" s="5" t="s">
        <v>25</v>
      </c>
      <c r="S90" s="5" t="s">
        <v>118</v>
      </c>
    </row>
    <row r="91">
      <c r="A91" s="5">
        <v>90.0</v>
      </c>
      <c r="B91" s="5" t="s">
        <v>1226</v>
      </c>
      <c r="C91" s="5" t="s">
        <v>20</v>
      </c>
      <c r="D91" s="5">
        <v>0.0</v>
      </c>
      <c r="E91" s="5">
        <v>150.0</v>
      </c>
      <c r="F91" s="5">
        <v>7.0</v>
      </c>
      <c r="H91" s="5" t="s">
        <v>19</v>
      </c>
      <c r="I91" s="9">
        <v>46149.46789351852</v>
      </c>
      <c r="J91" s="5" t="s">
        <v>22</v>
      </c>
      <c r="K91" s="5">
        <v>200.0</v>
      </c>
      <c r="L91" s="5">
        <v>137000.0</v>
      </c>
      <c r="M91" s="5">
        <v>140000.0</v>
      </c>
      <c r="N91" s="8">
        <v>42309.0</v>
      </c>
      <c r="O91" s="5" t="s">
        <v>24</v>
      </c>
      <c r="P91" s="5" t="s">
        <v>25</v>
      </c>
      <c r="Q91" s="5" t="s">
        <v>1233</v>
      </c>
      <c r="R91" s="5" t="s">
        <v>1234</v>
      </c>
      <c r="S91" s="5" t="s">
        <v>1236</v>
      </c>
    </row>
    <row r="92">
      <c r="A92" s="5">
        <v>91.0</v>
      </c>
      <c r="B92" s="5" t="s">
        <v>283</v>
      </c>
      <c r="C92" s="5" t="s">
        <v>20</v>
      </c>
      <c r="D92" s="5">
        <v>75.0</v>
      </c>
      <c r="E92" s="5">
        <v>150.0</v>
      </c>
      <c r="F92" s="5">
        <v>0.25</v>
      </c>
      <c r="H92" s="5" t="s">
        <v>285</v>
      </c>
      <c r="I92" s="9">
        <v>46072.293078703704</v>
      </c>
      <c r="J92" s="5" t="s">
        <v>206</v>
      </c>
      <c r="K92" s="5">
        <v>200.0</v>
      </c>
      <c r="L92" s="5">
        <v>3500.0</v>
      </c>
      <c r="M92" s="5">
        <v>3900.0</v>
      </c>
      <c r="N92" s="8">
        <v>42763.0</v>
      </c>
      <c r="O92" s="5" t="s">
        <v>50</v>
      </c>
      <c r="P92" s="5" t="s">
        <v>25</v>
      </c>
      <c r="Q92" s="5" t="s">
        <v>287</v>
      </c>
      <c r="R92" s="5" t="s">
        <v>289</v>
      </c>
      <c r="S92" s="5" t="s">
        <v>118</v>
      </c>
    </row>
    <row r="93">
      <c r="A93" s="5">
        <v>92.0</v>
      </c>
      <c r="B93" s="5" t="s">
        <v>291</v>
      </c>
      <c r="C93" s="5" t="s">
        <v>20</v>
      </c>
      <c r="D93" s="5">
        <v>41.0</v>
      </c>
      <c r="E93" s="5">
        <v>150.0</v>
      </c>
      <c r="G93" s="5">
        <v>0.95</v>
      </c>
      <c r="H93" s="5" t="s">
        <v>47</v>
      </c>
      <c r="I93" s="9">
        <v>46123.82780092592</v>
      </c>
      <c r="J93" s="5" t="s">
        <v>22</v>
      </c>
      <c r="K93" s="5">
        <v>150.0</v>
      </c>
      <c r="L93" s="5">
        <v>16000.0</v>
      </c>
      <c r="M93" s="5">
        <v>16000.0</v>
      </c>
      <c r="N93" s="8">
        <v>42256.0</v>
      </c>
      <c r="O93" s="5" t="s">
        <v>80</v>
      </c>
      <c r="P93" s="5" t="s">
        <v>25</v>
      </c>
      <c r="S93" s="5" t="s">
        <v>29</v>
      </c>
    </row>
    <row r="94">
      <c r="A94" s="5">
        <v>93.0</v>
      </c>
      <c r="B94" s="5" t="s">
        <v>1253</v>
      </c>
      <c r="C94" s="5" t="s">
        <v>20</v>
      </c>
      <c r="D94" s="5">
        <v>80.0</v>
      </c>
      <c r="E94" s="5">
        <v>150.0</v>
      </c>
      <c r="G94" s="5">
        <v>1.0</v>
      </c>
      <c r="H94" s="5" t="s">
        <v>669</v>
      </c>
      <c r="I94" s="9">
        <v>46099.88267361111</v>
      </c>
      <c r="J94" s="5" t="s">
        <v>1255</v>
      </c>
      <c r="K94" s="5">
        <v>1330000.0</v>
      </c>
      <c r="L94" s="5">
        <v>400.0</v>
      </c>
      <c r="M94" s="5">
        <v>1910000.0</v>
      </c>
      <c r="N94" s="8">
        <v>42288.0</v>
      </c>
      <c r="O94" s="5" t="s">
        <v>24</v>
      </c>
      <c r="P94" s="5" t="s">
        <v>25</v>
      </c>
      <c r="S94" s="5" t="s">
        <v>38</v>
      </c>
    </row>
    <row r="95">
      <c r="A95" s="5">
        <v>94.0</v>
      </c>
      <c r="B95" s="5" t="s">
        <v>1259</v>
      </c>
      <c r="C95" s="5" t="s">
        <v>20</v>
      </c>
      <c r="D95" s="5">
        <v>29.0</v>
      </c>
      <c r="E95" s="5">
        <v>150.0</v>
      </c>
      <c r="F95" s="5">
        <v>0.01</v>
      </c>
      <c r="G95" s="5">
        <v>1.0</v>
      </c>
      <c r="H95" s="5" t="s">
        <v>193</v>
      </c>
      <c r="I95" s="9">
        <v>46156.73391203704</v>
      </c>
      <c r="J95" s="5" t="s">
        <v>243</v>
      </c>
      <c r="K95" s="5">
        <v>1200.0</v>
      </c>
      <c r="L95" s="5">
        <v>2000.0</v>
      </c>
      <c r="M95" s="5">
        <v>2100.0</v>
      </c>
      <c r="N95" s="8">
        <v>42283.0</v>
      </c>
      <c r="O95" s="5" t="s">
        <v>50</v>
      </c>
      <c r="P95" s="5" t="s">
        <v>25</v>
      </c>
      <c r="Q95" s="5" t="s">
        <v>1264</v>
      </c>
      <c r="R95" s="5">
        <v>86.0</v>
      </c>
      <c r="S95" s="5" t="s">
        <v>1266</v>
      </c>
    </row>
    <row r="96">
      <c r="A96" s="5">
        <v>95.0</v>
      </c>
      <c r="B96" s="5" t="s">
        <v>298</v>
      </c>
      <c r="C96" s="5" t="s">
        <v>20</v>
      </c>
      <c r="D96" s="5">
        <v>65.0</v>
      </c>
      <c r="E96" s="5">
        <v>150.0</v>
      </c>
      <c r="F96" s="5">
        <v>1.4</v>
      </c>
      <c r="H96" s="5" t="s">
        <v>300</v>
      </c>
      <c r="I96" s="9">
        <v>46163.15738425926</v>
      </c>
      <c r="J96" s="5" t="s">
        <v>206</v>
      </c>
      <c r="K96" s="5">
        <v>150.0</v>
      </c>
      <c r="L96" s="5">
        <v>1100.0</v>
      </c>
      <c r="M96" s="5">
        <v>1200.0</v>
      </c>
      <c r="N96" s="8">
        <v>42280.0</v>
      </c>
      <c r="O96" s="5" t="s">
        <v>24</v>
      </c>
      <c r="P96" s="5" t="s">
        <v>25</v>
      </c>
      <c r="S96" s="5" t="s">
        <v>157</v>
      </c>
    </row>
    <row r="97">
      <c r="A97" s="5">
        <v>96.0</v>
      </c>
      <c r="B97" s="5" t="s">
        <v>1274</v>
      </c>
      <c r="C97" s="5" t="s">
        <v>20</v>
      </c>
      <c r="D97" s="5">
        <v>5.0</v>
      </c>
      <c r="E97" s="5">
        <v>150.0</v>
      </c>
      <c r="H97" s="5" t="s">
        <v>130</v>
      </c>
      <c r="I97" s="9">
        <v>46122.51421296296</v>
      </c>
      <c r="J97" s="5" t="s">
        <v>151</v>
      </c>
      <c r="K97" s="5">
        <v>150.0</v>
      </c>
      <c r="L97" s="5">
        <v>3500.0</v>
      </c>
      <c r="M97" s="5">
        <v>3600.0</v>
      </c>
      <c r="N97" s="8">
        <v>42803.0</v>
      </c>
      <c r="O97" s="5" t="s">
        <v>100</v>
      </c>
      <c r="S97" s="5" t="s">
        <v>292</v>
      </c>
    </row>
    <row r="98">
      <c r="A98" s="5">
        <v>97.0</v>
      </c>
      <c r="B98" s="5" t="s">
        <v>1279</v>
      </c>
      <c r="C98" s="5" t="s">
        <v>20</v>
      </c>
      <c r="D98" s="5">
        <v>82.0</v>
      </c>
      <c r="E98" s="5">
        <v>150.0</v>
      </c>
      <c r="H98" s="5" t="s">
        <v>285</v>
      </c>
      <c r="I98" s="9">
        <v>46090.17050925926</v>
      </c>
      <c r="J98" s="5" t="s">
        <v>206</v>
      </c>
      <c r="K98" s="5">
        <v>150.0</v>
      </c>
      <c r="L98" s="5">
        <v>3400.0</v>
      </c>
      <c r="M98" s="5">
        <v>3800.0</v>
      </c>
      <c r="N98" s="8">
        <v>44504.0</v>
      </c>
      <c r="O98" s="5" t="s">
        <v>50</v>
      </c>
      <c r="P98" s="5" t="s">
        <v>25</v>
      </c>
      <c r="S98" s="5" t="s">
        <v>157</v>
      </c>
    </row>
    <row r="99">
      <c r="A99" s="5">
        <v>98.0</v>
      </c>
      <c r="B99" s="5" t="s">
        <v>1285</v>
      </c>
      <c r="C99" s="5" t="s">
        <v>20</v>
      </c>
      <c r="D99" s="5">
        <v>70.0</v>
      </c>
      <c r="E99" s="5">
        <v>150.0</v>
      </c>
      <c r="F99" s="5">
        <v>0.7</v>
      </c>
      <c r="H99" s="5" t="s">
        <v>47</v>
      </c>
      <c r="I99" s="9">
        <v>46100.589212962965</v>
      </c>
      <c r="J99" s="5" t="s">
        <v>850</v>
      </c>
      <c r="K99" s="5">
        <v>5900.0</v>
      </c>
      <c r="L99" s="5">
        <v>17000.0</v>
      </c>
      <c r="M99" s="5">
        <v>17000.0</v>
      </c>
      <c r="N99" s="8">
        <v>43507.0</v>
      </c>
      <c r="O99" s="5" t="s">
        <v>464</v>
      </c>
      <c r="P99" s="5" t="s">
        <v>25</v>
      </c>
      <c r="S99" s="5" t="s">
        <v>145</v>
      </c>
    </row>
    <row r="100">
      <c r="A100" s="5">
        <v>99.0</v>
      </c>
      <c r="B100" s="5" t="s">
        <v>1290</v>
      </c>
      <c r="C100" s="5" t="s">
        <v>20</v>
      </c>
      <c r="D100" s="5">
        <v>78.0</v>
      </c>
      <c r="E100" s="5">
        <v>150.0</v>
      </c>
      <c r="G100" s="5">
        <v>1.02</v>
      </c>
      <c r="H100" s="5" t="s">
        <v>654</v>
      </c>
      <c r="I100" s="9">
        <v>46124.58810185185</v>
      </c>
      <c r="J100" s="5" t="s">
        <v>740</v>
      </c>
      <c r="K100" s="5">
        <v>39000.0</v>
      </c>
      <c r="L100" s="5">
        <v>5100.0</v>
      </c>
      <c r="M100" s="5">
        <v>607000.0</v>
      </c>
      <c r="N100" s="8">
        <v>42248.0</v>
      </c>
      <c r="O100" s="5" t="s">
        <v>184</v>
      </c>
      <c r="P100" s="5" t="s">
        <v>25</v>
      </c>
      <c r="Q100" s="5" t="s">
        <v>1293</v>
      </c>
      <c r="R100" s="5" t="s">
        <v>1294</v>
      </c>
      <c r="S100" s="5" t="s">
        <v>38</v>
      </c>
    </row>
    <row r="101">
      <c r="A101" s="5">
        <v>100.0</v>
      </c>
      <c r="B101" s="5" t="s">
        <v>1296</v>
      </c>
      <c r="C101" s="5" t="s">
        <v>20</v>
      </c>
      <c r="D101" s="5">
        <v>75.0</v>
      </c>
      <c r="E101" s="5">
        <v>150.0</v>
      </c>
      <c r="H101" s="5" t="s">
        <v>30</v>
      </c>
      <c r="I101" s="9">
        <v>46125.94479166667</v>
      </c>
      <c r="J101" s="5" t="s">
        <v>206</v>
      </c>
      <c r="K101" s="5">
        <v>150.0</v>
      </c>
      <c r="L101" s="5">
        <v>26000.0</v>
      </c>
      <c r="M101" s="5">
        <v>27000.0</v>
      </c>
      <c r="N101" s="8">
        <v>45134.0</v>
      </c>
      <c r="O101" s="5" t="s">
        <v>50</v>
      </c>
      <c r="P101" s="5" t="s">
        <v>25</v>
      </c>
      <c r="S101" s="5" t="s">
        <v>38</v>
      </c>
    </row>
    <row r="102">
      <c r="A102" s="5">
        <v>101.0</v>
      </c>
      <c r="B102" s="5" t="s">
        <v>1300</v>
      </c>
      <c r="C102" s="5" t="s">
        <v>20</v>
      </c>
      <c r="D102" s="5">
        <v>76.0</v>
      </c>
      <c r="E102" s="5">
        <v>150.0</v>
      </c>
      <c r="G102" s="5">
        <v>1.1</v>
      </c>
      <c r="H102" s="5" t="s">
        <v>1300</v>
      </c>
      <c r="I102" s="9">
        <v>46160.36732638889</v>
      </c>
      <c r="J102" s="5" t="s">
        <v>1303</v>
      </c>
      <c r="K102" s="5">
        <v>23000.0</v>
      </c>
      <c r="L102" s="5">
        <v>250.0</v>
      </c>
      <c r="M102" s="5">
        <v>228000.0</v>
      </c>
      <c r="N102" s="8">
        <v>42372.0</v>
      </c>
      <c r="O102" s="5" t="s">
        <v>184</v>
      </c>
      <c r="P102" s="5" t="s">
        <v>25</v>
      </c>
      <c r="S102" s="5" t="s">
        <v>38</v>
      </c>
    </row>
    <row r="103">
      <c r="A103" s="5">
        <v>102.0</v>
      </c>
      <c r="B103" s="5" t="s">
        <v>305</v>
      </c>
      <c r="C103" s="5" t="s">
        <v>20</v>
      </c>
      <c r="D103" s="5">
        <v>19.0</v>
      </c>
      <c r="E103" s="5">
        <v>150.0</v>
      </c>
      <c r="H103" s="5" t="s">
        <v>30</v>
      </c>
      <c r="I103" s="9">
        <v>46156.209710648145</v>
      </c>
      <c r="J103" s="5" t="s">
        <v>22</v>
      </c>
      <c r="K103" s="5">
        <v>150.0</v>
      </c>
      <c r="L103" s="5">
        <v>26000.0</v>
      </c>
      <c r="M103" s="5">
        <v>27000.0</v>
      </c>
      <c r="N103" s="8">
        <v>42269.0</v>
      </c>
      <c r="O103" s="5" t="s">
        <v>24</v>
      </c>
      <c r="P103" s="5" t="s">
        <v>25</v>
      </c>
      <c r="S103" s="5" t="s">
        <v>38</v>
      </c>
    </row>
    <row r="104">
      <c r="A104" s="5">
        <v>103.0</v>
      </c>
      <c r="B104" s="5" t="s">
        <v>1311</v>
      </c>
      <c r="C104" s="5" t="s">
        <v>20</v>
      </c>
      <c r="D104" s="5">
        <v>42.0</v>
      </c>
      <c r="E104" s="5">
        <v>100.0</v>
      </c>
      <c r="F104" s="5">
        <v>0.6</v>
      </c>
      <c r="H104" s="5" t="s">
        <v>193</v>
      </c>
      <c r="I104" s="9">
        <v>46161.25515046297</v>
      </c>
      <c r="J104" s="5" t="s">
        <v>78</v>
      </c>
      <c r="K104" s="5">
        <v>300.0</v>
      </c>
      <c r="L104" s="5">
        <v>1900.0</v>
      </c>
      <c r="M104" s="5">
        <v>2100.0</v>
      </c>
      <c r="N104" s="8">
        <v>44148.0</v>
      </c>
      <c r="O104" s="5" t="s">
        <v>50</v>
      </c>
      <c r="P104" s="5" t="s">
        <v>25</v>
      </c>
      <c r="Q104" s="5" t="s">
        <v>1316</v>
      </c>
      <c r="R104" s="5" t="s">
        <v>1317</v>
      </c>
      <c r="S104" s="5" t="s">
        <v>1319</v>
      </c>
    </row>
    <row r="105">
      <c r="A105" s="5">
        <v>104.0</v>
      </c>
      <c r="B105" s="5" t="s">
        <v>310</v>
      </c>
      <c r="C105" s="5" t="s">
        <v>20</v>
      </c>
      <c r="D105" s="5">
        <v>22.0</v>
      </c>
      <c r="E105" s="5">
        <v>100.0</v>
      </c>
      <c r="H105" s="5" t="s">
        <v>19</v>
      </c>
      <c r="I105" s="9">
        <v>46163.15893518519</v>
      </c>
      <c r="J105" s="5" t="s">
        <v>78</v>
      </c>
      <c r="K105" s="5">
        <v>100.0</v>
      </c>
      <c r="L105" s="5">
        <v>131000.0</v>
      </c>
      <c r="M105" s="5">
        <v>135000.0</v>
      </c>
      <c r="N105" s="8">
        <v>42469.0</v>
      </c>
      <c r="O105" s="5" t="s">
        <v>184</v>
      </c>
      <c r="P105" s="5" t="s">
        <v>25</v>
      </c>
      <c r="Q105" s="5" t="s">
        <v>314</v>
      </c>
      <c r="R105" s="5" t="s">
        <v>315</v>
      </c>
      <c r="S105" s="5" t="s">
        <v>38</v>
      </c>
    </row>
    <row r="106">
      <c r="A106" s="5">
        <v>105.0</v>
      </c>
      <c r="B106" s="5" t="s">
        <v>316</v>
      </c>
      <c r="C106" s="5" t="s">
        <v>20</v>
      </c>
      <c r="D106" s="5">
        <v>24.0</v>
      </c>
      <c r="E106" s="5">
        <v>100.0</v>
      </c>
      <c r="G106" s="5">
        <v>1.02</v>
      </c>
      <c r="H106" s="5" t="s">
        <v>19</v>
      </c>
      <c r="I106" s="9">
        <v>46090.056967592594</v>
      </c>
      <c r="J106" s="5" t="s">
        <v>319</v>
      </c>
      <c r="K106" s="5">
        <v>250.0</v>
      </c>
      <c r="L106" s="5">
        <v>145000.0</v>
      </c>
      <c r="M106" s="5">
        <v>149000.0</v>
      </c>
      <c r="N106" s="8">
        <v>42284.0</v>
      </c>
      <c r="O106" s="5" t="s">
        <v>184</v>
      </c>
      <c r="P106" s="5" t="s">
        <v>25</v>
      </c>
      <c r="Q106" s="5" t="s">
        <v>321</v>
      </c>
      <c r="R106" s="5" t="s">
        <v>322</v>
      </c>
      <c r="S106" s="5" t="s">
        <v>29</v>
      </c>
    </row>
    <row r="107">
      <c r="A107" s="5">
        <v>106.0</v>
      </c>
      <c r="B107" s="5" t="s">
        <v>1333</v>
      </c>
      <c r="C107" s="5" t="s">
        <v>20</v>
      </c>
      <c r="D107" s="5">
        <v>72.0</v>
      </c>
      <c r="E107" s="5">
        <v>100.0</v>
      </c>
      <c r="F107" s="5">
        <v>0.6</v>
      </c>
      <c r="H107" s="5" t="s">
        <v>300</v>
      </c>
      <c r="I107" s="9">
        <v>46162.12048611111</v>
      </c>
      <c r="K107" s="5">
        <v>150.0</v>
      </c>
      <c r="L107" s="5">
        <v>1100.0</v>
      </c>
      <c r="M107" s="5">
        <v>1200.0</v>
      </c>
      <c r="N107" s="8">
        <v>42307.0</v>
      </c>
      <c r="O107" s="5" t="s">
        <v>24</v>
      </c>
      <c r="P107" s="5" t="s">
        <v>25</v>
      </c>
      <c r="Q107" s="5" t="s">
        <v>1336</v>
      </c>
      <c r="R107" s="5" t="s">
        <v>1337</v>
      </c>
      <c r="S107" s="5" t="s">
        <v>118</v>
      </c>
    </row>
    <row r="108">
      <c r="A108" s="5">
        <v>107.0</v>
      </c>
      <c r="B108" s="5" t="s">
        <v>1338</v>
      </c>
      <c r="C108" s="5" t="s">
        <v>20</v>
      </c>
      <c r="D108" s="5">
        <v>75.0</v>
      </c>
      <c r="E108" s="5">
        <v>100.0</v>
      </c>
      <c r="H108" s="5" t="s">
        <v>300</v>
      </c>
      <c r="I108" s="9">
        <v>46159.5093287037</v>
      </c>
      <c r="J108" s="5" t="s">
        <v>206</v>
      </c>
      <c r="K108" s="5">
        <v>150.0</v>
      </c>
      <c r="L108" s="5">
        <v>1000.0</v>
      </c>
      <c r="M108" s="5">
        <v>1100.0</v>
      </c>
      <c r="N108" s="8">
        <v>42451.0</v>
      </c>
      <c r="O108" s="5" t="s">
        <v>50</v>
      </c>
      <c r="P108" s="5" t="s">
        <v>25</v>
      </c>
      <c r="S108" s="5" t="s">
        <v>157</v>
      </c>
    </row>
    <row r="109">
      <c r="A109" s="5">
        <v>108.0</v>
      </c>
      <c r="B109" s="5" t="s">
        <v>1342</v>
      </c>
      <c r="C109" s="5" t="s">
        <v>20</v>
      </c>
      <c r="D109" s="5">
        <v>14.0</v>
      </c>
      <c r="E109" s="5">
        <v>100.0</v>
      </c>
      <c r="H109" s="5" t="s">
        <v>40</v>
      </c>
      <c r="I109" s="9">
        <v>46099.11513888889</v>
      </c>
      <c r="J109" s="5" t="s">
        <v>78</v>
      </c>
      <c r="K109" s="5">
        <v>150.0</v>
      </c>
      <c r="L109" s="5">
        <v>20000.0</v>
      </c>
      <c r="M109" s="5">
        <v>20000.0</v>
      </c>
      <c r="N109" s="8">
        <v>42784.0</v>
      </c>
      <c r="O109" s="5" t="s">
        <v>1344</v>
      </c>
      <c r="P109" s="5" t="s">
        <v>25</v>
      </c>
      <c r="S109" s="5" t="s">
        <v>118</v>
      </c>
    </row>
    <row r="110">
      <c r="A110" s="5">
        <v>109.0</v>
      </c>
      <c r="B110" s="5" t="s">
        <v>1346</v>
      </c>
      <c r="C110" s="5" t="s">
        <v>20</v>
      </c>
      <c r="D110" s="5">
        <v>21.0</v>
      </c>
      <c r="E110" s="5">
        <v>100.0</v>
      </c>
      <c r="H110" s="5" t="s">
        <v>193</v>
      </c>
      <c r="I110" s="9">
        <v>46122.70233796296</v>
      </c>
      <c r="J110" s="5" t="s">
        <v>243</v>
      </c>
      <c r="K110" s="5">
        <v>100.0</v>
      </c>
      <c r="L110" s="5">
        <v>2100.0</v>
      </c>
      <c r="M110" s="5">
        <v>2200.0</v>
      </c>
      <c r="N110" s="8">
        <v>42631.0</v>
      </c>
      <c r="O110" s="5" t="s">
        <v>1347</v>
      </c>
      <c r="P110" s="5" t="s">
        <v>25</v>
      </c>
      <c r="S110" s="5" t="s">
        <v>38</v>
      </c>
    </row>
    <row r="111">
      <c r="A111" s="5">
        <v>110.0</v>
      </c>
      <c r="B111" s="5" t="s">
        <v>1349</v>
      </c>
      <c r="C111" s="5" t="s">
        <v>20</v>
      </c>
      <c r="D111" s="5">
        <v>74.0</v>
      </c>
      <c r="E111" s="5">
        <v>100.0</v>
      </c>
      <c r="G111" s="5">
        <v>1.03</v>
      </c>
      <c r="H111" s="5" t="s">
        <v>30</v>
      </c>
      <c r="I111" s="9">
        <v>46146.18368055556</v>
      </c>
      <c r="K111" s="5">
        <v>150.0</v>
      </c>
      <c r="L111" s="5">
        <v>26000.0</v>
      </c>
      <c r="M111" s="5">
        <v>27000.0</v>
      </c>
      <c r="N111" s="8">
        <v>42268.0</v>
      </c>
      <c r="O111" s="5" t="s">
        <v>24</v>
      </c>
      <c r="P111" s="5" t="s">
        <v>25</v>
      </c>
      <c r="Q111" s="5" t="s">
        <v>1351</v>
      </c>
      <c r="R111" s="5" t="s">
        <v>1353</v>
      </c>
      <c r="S111" s="5" t="s">
        <v>38</v>
      </c>
    </row>
    <row r="112">
      <c r="A112" s="5">
        <v>111.0</v>
      </c>
      <c r="B112" s="5" t="s">
        <v>1354</v>
      </c>
      <c r="C112" s="5" t="s">
        <v>20</v>
      </c>
      <c r="D112" s="5">
        <v>4.0</v>
      </c>
      <c r="E112" s="5">
        <v>100.0</v>
      </c>
      <c r="F112" s="5">
        <v>1.5</v>
      </c>
      <c r="H112" s="5" t="s">
        <v>340</v>
      </c>
      <c r="I112" s="9">
        <v>46077.42224537037</v>
      </c>
      <c r="J112" s="5" t="s">
        <v>127</v>
      </c>
      <c r="K112" s="5">
        <v>150.0</v>
      </c>
      <c r="L112" s="5">
        <v>13000.0</v>
      </c>
      <c r="M112" s="5">
        <v>18000.0</v>
      </c>
      <c r="N112" s="8">
        <v>43300.0</v>
      </c>
      <c r="O112" s="5" t="s">
        <v>24</v>
      </c>
      <c r="P112" s="5" t="s">
        <v>25</v>
      </c>
      <c r="S112" s="5" t="s">
        <v>29</v>
      </c>
    </row>
    <row r="113">
      <c r="A113" s="5">
        <v>112.0</v>
      </c>
      <c r="B113" s="5" t="s">
        <v>1358</v>
      </c>
      <c r="C113" s="5" t="s">
        <v>20</v>
      </c>
      <c r="D113" s="5">
        <v>81.0</v>
      </c>
      <c r="E113" s="5">
        <v>100.0</v>
      </c>
      <c r="H113" s="5" t="s">
        <v>852</v>
      </c>
      <c r="I113" s="9">
        <v>46100.86599537037</v>
      </c>
      <c r="J113" s="5" t="s">
        <v>740</v>
      </c>
      <c r="K113" s="5">
        <v>2100000.0</v>
      </c>
      <c r="L113" s="5">
        <v>15000.0</v>
      </c>
      <c r="M113" s="5">
        <v>67000.0</v>
      </c>
      <c r="N113" s="8">
        <v>42405.0</v>
      </c>
      <c r="O113" s="5" t="s">
        <v>50</v>
      </c>
      <c r="P113" s="5" t="s">
        <v>25</v>
      </c>
      <c r="S113" s="5" t="s">
        <v>38</v>
      </c>
    </row>
    <row r="114">
      <c r="A114" s="5">
        <v>113.0</v>
      </c>
      <c r="B114" s="5" t="s">
        <v>1362</v>
      </c>
      <c r="C114" s="5" t="s">
        <v>20</v>
      </c>
      <c r="D114" s="5">
        <v>69.0</v>
      </c>
      <c r="E114" s="5">
        <v>100.0</v>
      </c>
      <c r="H114" s="5" t="s">
        <v>19</v>
      </c>
      <c r="I114" s="9">
        <v>46070.885717592595</v>
      </c>
      <c r="J114" s="5" t="s">
        <v>243</v>
      </c>
      <c r="K114" s="5">
        <v>100.0</v>
      </c>
      <c r="L114" s="5">
        <v>145000.0</v>
      </c>
      <c r="M114" s="5">
        <v>149000.0</v>
      </c>
      <c r="N114" s="8">
        <v>42890.0</v>
      </c>
      <c r="O114" s="5" t="s">
        <v>100</v>
      </c>
      <c r="P114" s="5" t="s">
        <v>25</v>
      </c>
      <c r="S114" s="5" t="s">
        <v>38</v>
      </c>
    </row>
    <row r="115">
      <c r="A115" s="5">
        <v>114.0</v>
      </c>
      <c r="B115" s="5" t="s">
        <v>504</v>
      </c>
      <c r="C115" s="5" t="s">
        <v>20</v>
      </c>
      <c r="D115" s="5">
        <v>48.0</v>
      </c>
      <c r="E115" s="5">
        <v>100.0</v>
      </c>
      <c r="F115" s="5">
        <v>0.6</v>
      </c>
      <c r="H115" s="5" t="s">
        <v>112</v>
      </c>
      <c r="I115" s="9">
        <v>46047.28605324074</v>
      </c>
      <c r="J115" s="5" t="s">
        <v>206</v>
      </c>
      <c r="K115" s="5">
        <v>100.0</v>
      </c>
      <c r="L115" s="5">
        <v>1500.0</v>
      </c>
      <c r="M115" s="5">
        <v>1700.0</v>
      </c>
      <c r="N115" s="8">
        <v>44075.0</v>
      </c>
      <c r="O115" s="5" t="s">
        <v>129</v>
      </c>
      <c r="P115" s="5" t="s">
        <v>25</v>
      </c>
      <c r="Q115" s="5" t="s">
        <v>1368</v>
      </c>
      <c r="R115" s="5" t="s">
        <v>1370</v>
      </c>
      <c r="S115" s="5" t="s">
        <v>157</v>
      </c>
    </row>
    <row r="116">
      <c r="A116" s="5">
        <v>115.0</v>
      </c>
      <c r="B116" s="5" t="s">
        <v>1372</v>
      </c>
      <c r="C116" s="5" t="s">
        <v>20</v>
      </c>
      <c r="D116" s="5">
        <v>78.0</v>
      </c>
      <c r="E116" s="5">
        <v>100.0</v>
      </c>
      <c r="H116" s="5" t="s">
        <v>30</v>
      </c>
      <c r="I116" s="9">
        <v>46156.33909722222</v>
      </c>
      <c r="K116" s="5">
        <v>150.0</v>
      </c>
      <c r="L116" s="5">
        <v>26000.0</v>
      </c>
      <c r="M116" s="5">
        <v>27000.0</v>
      </c>
      <c r="N116" s="8">
        <v>43975.0</v>
      </c>
      <c r="O116" s="5" t="s">
        <v>50</v>
      </c>
      <c r="P116" s="5" t="s">
        <v>25</v>
      </c>
      <c r="S116" s="5" t="s">
        <v>38</v>
      </c>
    </row>
    <row r="117">
      <c r="A117" s="5">
        <v>116.0</v>
      </c>
      <c r="B117" s="5" t="s">
        <v>1376</v>
      </c>
      <c r="C117" s="5" t="s">
        <v>20</v>
      </c>
      <c r="D117" s="5">
        <v>11.0</v>
      </c>
      <c r="E117" s="5">
        <v>100.0</v>
      </c>
      <c r="H117" s="5" t="s">
        <v>617</v>
      </c>
      <c r="I117" s="9">
        <v>46083.3683912037</v>
      </c>
      <c r="J117" s="5" t="s">
        <v>243</v>
      </c>
      <c r="K117" s="5">
        <v>100.0</v>
      </c>
      <c r="L117" s="5">
        <v>10.0</v>
      </c>
      <c r="M117" s="5">
        <v>10.0</v>
      </c>
      <c r="N117" s="8">
        <v>42530.0</v>
      </c>
      <c r="O117" s="5" t="s">
        <v>80</v>
      </c>
      <c r="P117" s="5" t="s">
        <v>25</v>
      </c>
      <c r="S117" s="5" t="s">
        <v>29</v>
      </c>
    </row>
    <row r="118">
      <c r="A118" s="5">
        <v>117.0</v>
      </c>
      <c r="B118" s="5" t="s">
        <v>324</v>
      </c>
      <c r="C118" s="5" t="s">
        <v>20</v>
      </c>
      <c r="D118" s="5">
        <v>76.0</v>
      </c>
      <c r="E118" s="5">
        <v>100.0</v>
      </c>
      <c r="H118" s="5" t="s">
        <v>147</v>
      </c>
      <c r="I118" s="9">
        <v>46149.00409722222</v>
      </c>
      <c r="K118" s="5">
        <v>150.0</v>
      </c>
      <c r="L118" s="5">
        <v>2100.0</v>
      </c>
      <c r="M118" s="5">
        <v>2700.0</v>
      </c>
      <c r="N118" s="8">
        <v>42277.0</v>
      </c>
      <c r="O118" s="5" t="s">
        <v>24</v>
      </c>
      <c r="P118" s="5" t="s">
        <v>25</v>
      </c>
      <c r="S118" s="5" t="s">
        <v>157</v>
      </c>
    </row>
    <row r="119">
      <c r="A119" s="5">
        <v>118.0</v>
      </c>
      <c r="B119" s="5" t="s">
        <v>1381</v>
      </c>
      <c r="C119" s="5" t="s">
        <v>20</v>
      </c>
      <c r="D119" s="5">
        <v>78.0</v>
      </c>
      <c r="E119" s="5">
        <v>100.0</v>
      </c>
      <c r="H119" s="5" t="s">
        <v>30</v>
      </c>
      <c r="I119" s="9">
        <v>46088.12480324074</v>
      </c>
      <c r="K119" s="5">
        <v>300.0</v>
      </c>
      <c r="L119" s="5">
        <v>33000.0</v>
      </c>
      <c r="M119" s="5">
        <v>34000.0</v>
      </c>
      <c r="N119" s="8">
        <v>44012.0</v>
      </c>
      <c r="O119" s="5" t="s">
        <v>50</v>
      </c>
      <c r="P119" s="5" t="s">
        <v>25</v>
      </c>
      <c r="S119" s="5" t="s">
        <v>38</v>
      </c>
    </row>
    <row r="120">
      <c r="A120" s="5">
        <v>119.0</v>
      </c>
      <c r="B120" s="5" t="s">
        <v>1382</v>
      </c>
      <c r="C120" s="5" t="s">
        <v>20</v>
      </c>
      <c r="D120" s="5">
        <v>2.0</v>
      </c>
      <c r="E120" s="5">
        <v>100.0</v>
      </c>
      <c r="F120" s="5">
        <v>0.09</v>
      </c>
      <c r="H120" s="5" t="s">
        <v>19</v>
      </c>
      <c r="I120" s="9">
        <v>46146.27621527778</v>
      </c>
      <c r="J120" s="5" t="s">
        <v>22</v>
      </c>
      <c r="K120" s="5">
        <v>100.0</v>
      </c>
      <c r="L120" s="5">
        <v>137000.0</v>
      </c>
      <c r="M120" s="5">
        <v>140000.0</v>
      </c>
      <c r="N120" s="8">
        <v>42265.0</v>
      </c>
      <c r="O120" s="5" t="s">
        <v>24</v>
      </c>
      <c r="Q120" s="5" t="s">
        <v>1383</v>
      </c>
      <c r="R120" s="5" t="s">
        <v>1384</v>
      </c>
      <c r="S120" s="5" t="s">
        <v>29</v>
      </c>
    </row>
    <row r="121">
      <c r="A121" s="5">
        <v>120.0</v>
      </c>
      <c r="B121" s="5" t="s">
        <v>1385</v>
      </c>
      <c r="C121" s="5" t="s">
        <v>20</v>
      </c>
      <c r="D121" s="5">
        <v>76.0</v>
      </c>
      <c r="E121" s="5">
        <v>100.0</v>
      </c>
      <c r="H121" s="5" t="s">
        <v>40</v>
      </c>
      <c r="I121" s="9">
        <v>46099.56940972222</v>
      </c>
      <c r="J121" s="5" t="s">
        <v>151</v>
      </c>
      <c r="K121" s="5">
        <v>600.0</v>
      </c>
      <c r="L121" s="5">
        <v>20000.0</v>
      </c>
      <c r="M121" s="5">
        <v>21000.0</v>
      </c>
      <c r="N121" s="8">
        <v>44675.0</v>
      </c>
      <c r="O121" s="5" t="s">
        <v>50</v>
      </c>
      <c r="P121" s="5" t="s">
        <v>25</v>
      </c>
      <c r="S121" s="5" t="s">
        <v>1387</v>
      </c>
    </row>
    <row r="122">
      <c r="A122" s="5">
        <v>121.0</v>
      </c>
      <c r="B122" s="5" t="s">
        <v>1388</v>
      </c>
      <c r="C122" s="5" t="s">
        <v>20</v>
      </c>
      <c r="D122" s="5">
        <v>0.0</v>
      </c>
      <c r="E122" s="5">
        <v>100.0</v>
      </c>
      <c r="H122" s="5" t="s">
        <v>41</v>
      </c>
      <c r="I122" s="9">
        <v>46145.67979166667</v>
      </c>
      <c r="J122" s="5" t="s">
        <v>22</v>
      </c>
      <c r="K122" s="5">
        <v>100.0</v>
      </c>
      <c r="L122" s="5">
        <v>100.0</v>
      </c>
      <c r="M122" s="5">
        <v>1100.0</v>
      </c>
      <c r="N122" s="8">
        <v>43651.0</v>
      </c>
      <c r="O122" s="5" t="s">
        <v>80</v>
      </c>
      <c r="P122" s="5" t="s">
        <v>25</v>
      </c>
      <c r="S122" s="5" t="s">
        <v>1198</v>
      </c>
    </row>
    <row r="123">
      <c r="A123" s="5">
        <v>122.0</v>
      </c>
      <c r="B123" s="5" t="s">
        <v>41</v>
      </c>
      <c r="C123" s="5" t="s">
        <v>20</v>
      </c>
      <c r="D123" s="5">
        <v>64.0</v>
      </c>
      <c r="E123" s="5">
        <v>100.0</v>
      </c>
      <c r="F123" s="5">
        <v>1.4</v>
      </c>
      <c r="H123" s="5" t="s">
        <v>40</v>
      </c>
      <c r="I123" s="9">
        <v>46162.07782407408</v>
      </c>
      <c r="J123" s="5" t="s">
        <v>78</v>
      </c>
      <c r="K123" s="5">
        <v>100.0</v>
      </c>
      <c r="L123" s="5">
        <v>17000.0</v>
      </c>
      <c r="M123" s="5">
        <v>19000.0</v>
      </c>
      <c r="N123" s="8">
        <v>42504.0</v>
      </c>
      <c r="O123" s="5" t="s">
        <v>24</v>
      </c>
      <c r="P123" s="5" t="s">
        <v>25</v>
      </c>
      <c r="S123" s="5" t="s">
        <v>118</v>
      </c>
    </row>
    <row r="124">
      <c r="A124" s="5">
        <v>123.0</v>
      </c>
      <c r="B124" s="5" t="s">
        <v>1394</v>
      </c>
      <c r="C124" s="5" t="s">
        <v>20</v>
      </c>
      <c r="D124" s="5">
        <v>78.0</v>
      </c>
      <c r="E124" s="5">
        <v>100.0</v>
      </c>
      <c r="F124" s="5">
        <v>0.6</v>
      </c>
      <c r="H124" s="5" t="s">
        <v>30</v>
      </c>
      <c r="I124" s="9">
        <v>46089.097291666665</v>
      </c>
      <c r="J124" s="5" t="s">
        <v>206</v>
      </c>
      <c r="K124" s="5">
        <v>5200.0</v>
      </c>
      <c r="L124" s="5">
        <v>33000.0</v>
      </c>
      <c r="M124" s="5">
        <v>34000.0</v>
      </c>
      <c r="N124" s="8">
        <v>42279.0</v>
      </c>
      <c r="O124" s="5" t="s">
        <v>50</v>
      </c>
      <c r="P124" s="5" t="s">
        <v>25</v>
      </c>
      <c r="S124" s="5" t="s">
        <v>38</v>
      </c>
    </row>
    <row r="125">
      <c r="A125" s="5">
        <v>124.0</v>
      </c>
      <c r="B125" s="5" t="s">
        <v>330</v>
      </c>
      <c r="C125" s="5" t="s">
        <v>20</v>
      </c>
      <c r="D125" s="5">
        <v>2.0</v>
      </c>
      <c r="E125" s="5">
        <v>100.0</v>
      </c>
      <c r="F125" s="5">
        <v>1.6</v>
      </c>
      <c r="H125" s="5" t="s">
        <v>19</v>
      </c>
      <c r="I125" s="9">
        <v>46107.385092592594</v>
      </c>
      <c r="J125" s="5" t="s">
        <v>78</v>
      </c>
      <c r="K125" s="5">
        <v>100.0</v>
      </c>
      <c r="L125" s="5">
        <v>137000.0</v>
      </c>
      <c r="M125" s="5">
        <v>141000.0</v>
      </c>
      <c r="N125" s="8">
        <v>42518.0</v>
      </c>
      <c r="O125" s="5" t="s">
        <v>100</v>
      </c>
      <c r="P125" s="5" t="s">
        <v>25</v>
      </c>
      <c r="Q125" s="5" t="s">
        <v>333</v>
      </c>
      <c r="R125" s="5" t="s">
        <v>334</v>
      </c>
      <c r="S125" s="5" t="s">
        <v>38</v>
      </c>
    </row>
    <row r="126">
      <c r="A126" s="5">
        <v>125.0</v>
      </c>
      <c r="B126" s="5" t="s">
        <v>1401</v>
      </c>
      <c r="C126" s="5" t="s">
        <v>20</v>
      </c>
      <c r="D126" s="5">
        <v>0.0</v>
      </c>
      <c r="E126" s="5">
        <v>90.0</v>
      </c>
      <c r="H126" s="5" t="s">
        <v>130</v>
      </c>
      <c r="I126" s="9">
        <v>46147.25730324074</v>
      </c>
      <c r="J126" s="5" t="s">
        <v>151</v>
      </c>
      <c r="K126" s="5">
        <v>90.0</v>
      </c>
      <c r="L126" s="5">
        <v>3700.0</v>
      </c>
      <c r="M126" s="5">
        <v>3800.0</v>
      </c>
      <c r="N126" s="8">
        <v>44507.0</v>
      </c>
      <c r="O126" s="5" t="s">
        <v>1404</v>
      </c>
      <c r="P126" s="5" t="s">
        <v>25</v>
      </c>
      <c r="Q126" s="5" t="s">
        <v>1405</v>
      </c>
      <c r="R126" s="5" t="s">
        <v>1407</v>
      </c>
      <c r="S126" s="5" t="s">
        <v>1408</v>
      </c>
    </row>
    <row r="127">
      <c r="A127" s="5">
        <v>126.0</v>
      </c>
      <c r="B127" s="5" t="s">
        <v>1409</v>
      </c>
      <c r="C127" s="5" t="s">
        <v>20</v>
      </c>
      <c r="D127" s="5">
        <v>65.0</v>
      </c>
      <c r="E127" s="5">
        <v>90.0</v>
      </c>
      <c r="G127" s="5">
        <v>1.13</v>
      </c>
      <c r="H127" s="5" t="s">
        <v>654</v>
      </c>
      <c r="I127" s="9">
        <v>46125.24488425926</v>
      </c>
      <c r="J127" s="5" t="s">
        <v>78</v>
      </c>
      <c r="K127" s="5">
        <v>20000.0</v>
      </c>
      <c r="L127" s="5">
        <v>800.0</v>
      </c>
      <c r="M127" s="5">
        <v>776000.0</v>
      </c>
      <c r="N127" s="8">
        <v>42254.0</v>
      </c>
      <c r="O127" s="5" t="s">
        <v>24</v>
      </c>
      <c r="P127" s="5" t="s">
        <v>25</v>
      </c>
      <c r="Q127" s="5" t="s">
        <v>1412</v>
      </c>
      <c r="R127" s="5" t="s">
        <v>1414</v>
      </c>
      <c r="S127" s="5" t="s">
        <v>38</v>
      </c>
    </row>
    <row r="128">
      <c r="A128" s="5">
        <v>127.0</v>
      </c>
      <c r="B128" s="5" t="s">
        <v>1415</v>
      </c>
      <c r="C128" s="5" t="s">
        <v>20</v>
      </c>
      <c r="D128" s="5">
        <v>0.0</v>
      </c>
      <c r="E128" s="5">
        <v>90.0</v>
      </c>
      <c r="H128" s="5" t="s">
        <v>130</v>
      </c>
      <c r="I128" s="9">
        <v>46147.7221412037</v>
      </c>
      <c r="J128" s="5" t="s">
        <v>33</v>
      </c>
      <c r="K128" s="5">
        <v>90.0</v>
      </c>
      <c r="L128" s="5">
        <v>3700.0</v>
      </c>
      <c r="M128" s="5">
        <v>3800.0</v>
      </c>
      <c r="N128" s="8">
        <v>43216.0</v>
      </c>
      <c r="O128" s="5" t="s">
        <v>530</v>
      </c>
      <c r="S128" s="5" t="s">
        <v>29</v>
      </c>
    </row>
    <row r="129">
      <c r="A129" s="5">
        <v>128.0</v>
      </c>
      <c r="B129" s="5" t="s">
        <v>1419</v>
      </c>
      <c r="C129" s="5" t="s">
        <v>20</v>
      </c>
      <c r="D129" s="5">
        <v>13.0</v>
      </c>
      <c r="E129" s="5">
        <v>90.0</v>
      </c>
      <c r="H129" s="5" t="s">
        <v>130</v>
      </c>
      <c r="I129" s="9">
        <v>46125.687581018516</v>
      </c>
      <c r="J129" s="5" t="s">
        <v>1421</v>
      </c>
      <c r="K129" s="5">
        <v>90.0</v>
      </c>
      <c r="L129" s="5">
        <v>3600.0</v>
      </c>
      <c r="M129" s="5">
        <v>3700.0</v>
      </c>
      <c r="N129" s="8">
        <v>44204.0</v>
      </c>
      <c r="O129" s="5" t="s">
        <v>24</v>
      </c>
      <c r="P129" s="5" t="s">
        <v>25</v>
      </c>
      <c r="S129" s="5" t="s">
        <v>292</v>
      </c>
    </row>
    <row r="130">
      <c r="A130" s="5">
        <v>129.0</v>
      </c>
      <c r="B130" s="5" t="s">
        <v>365</v>
      </c>
      <c r="C130" s="5" t="s">
        <v>20</v>
      </c>
      <c r="D130" s="5">
        <v>16.0</v>
      </c>
      <c r="E130" s="5">
        <v>90.0</v>
      </c>
      <c r="H130" s="5" t="s">
        <v>148</v>
      </c>
      <c r="I130" s="9">
        <v>46142.77353009259</v>
      </c>
      <c r="J130" s="5" t="s">
        <v>78</v>
      </c>
      <c r="K130" s="5">
        <v>300.0</v>
      </c>
      <c r="L130" s="5">
        <v>900.0</v>
      </c>
      <c r="M130" s="5">
        <v>1200.0</v>
      </c>
      <c r="N130" s="8">
        <v>43289.0</v>
      </c>
      <c r="O130" s="5" t="s">
        <v>24</v>
      </c>
      <c r="P130" s="5" t="s">
        <v>25</v>
      </c>
      <c r="S130" s="5" t="s">
        <v>38</v>
      </c>
    </row>
    <row r="131">
      <c r="A131" s="5">
        <v>130.0</v>
      </c>
      <c r="B131" s="5" t="s">
        <v>1426</v>
      </c>
      <c r="C131" s="5" t="s">
        <v>20</v>
      </c>
      <c r="D131" s="5">
        <v>58.0</v>
      </c>
      <c r="E131" s="5">
        <v>80.0</v>
      </c>
      <c r="H131" s="5" t="s">
        <v>285</v>
      </c>
      <c r="I131" s="9">
        <v>46077.05436342592</v>
      </c>
      <c r="J131" s="5" t="s">
        <v>206</v>
      </c>
      <c r="K131" s="5">
        <v>80.0</v>
      </c>
      <c r="L131" s="5">
        <v>3500.0</v>
      </c>
      <c r="M131" s="5">
        <v>3700.0</v>
      </c>
      <c r="N131" s="8">
        <v>42261.0</v>
      </c>
      <c r="O131" s="5" t="s">
        <v>1187</v>
      </c>
      <c r="P131" s="5" t="s">
        <v>25</v>
      </c>
      <c r="S131" s="5" t="s">
        <v>157</v>
      </c>
    </row>
    <row r="132">
      <c r="A132" s="5">
        <v>131.0</v>
      </c>
      <c r="B132" s="5" t="s">
        <v>377</v>
      </c>
      <c r="C132" s="5" t="s">
        <v>20</v>
      </c>
      <c r="D132" s="5">
        <v>0.0</v>
      </c>
      <c r="E132" s="5">
        <v>80.0</v>
      </c>
      <c r="H132" s="5" t="s">
        <v>130</v>
      </c>
      <c r="I132" s="9">
        <v>46146.607141203705</v>
      </c>
      <c r="J132" s="5" t="s">
        <v>151</v>
      </c>
      <c r="K132" s="5">
        <v>80.0</v>
      </c>
      <c r="L132" s="5">
        <v>3700.0</v>
      </c>
      <c r="M132" s="5">
        <v>3800.0</v>
      </c>
      <c r="N132" s="8">
        <v>42911.0</v>
      </c>
      <c r="O132" s="5" t="s">
        <v>184</v>
      </c>
      <c r="P132" s="5" t="s">
        <v>25</v>
      </c>
      <c r="S132" s="5" t="s">
        <v>383</v>
      </c>
    </row>
    <row r="133">
      <c r="A133" s="5">
        <v>132.0</v>
      </c>
      <c r="B133" s="5" t="s">
        <v>339</v>
      </c>
      <c r="C133" s="5" t="s">
        <v>20</v>
      </c>
      <c r="D133" s="5">
        <v>3.0</v>
      </c>
      <c r="E133" s="5">
        <v>80.0</v>
      </c>
      <c r="F133" s="5">
        <v>0.9</v>
      </c>
      <c r="H133" s="5" t="s">
        <v>340</v>
      </c>
      <c r="I133" s="9">
        <v>46082.695381944446</v>
      </c>
      <c r="J133" s="5" t="s">
        <v>254</v>
      </c>
      <c r="K133" s="5">
        <v>80.0</v>
      </c>
      <c r="L133" s="5">
        <v>13000.0</v>
      </c>
      <c r="M133" s="5">
        <v>18000.0</v>
      </c>
      <c r="N133" s="8">
        <v>45121.0</v>
      </c>
      <c r="O133" s="5" t="s">
        <v>184</v>
      </c>
      <c r="P133" s="5" t="s">
        <v>25</v>
      </c>
      <c r="S133" s="5" t="s">
        <v>29</v>
      </c>
    </row>
    <row r="134">
      <c r="A134" s="5">
        <v>133.0</v>
      </c>
      <c r="B134" s="5" t="s">
        <v>344</v>
      </c>
      <c r="C134" s="5" t="s">
        <v>20</v>
      </c>
      <c r="D134" s="5">
        <v>63.0</v>
      </c>
      <c r="E134" s="5">
        <v>80.0</v>
      </c>
      <c r="F134" s="5">
        <v>1.4</v>
      </c>
      <c r="G134" s="5">
        <v>0.87</v>
      </c>
      <c r="H134" s="5" t="s">
        <v>19</v>
      </c>
      <c r="I134" s="9">
        <v>46147.80615740741</v>
      </c>
      <c r="J134" s="5" t="s">
        <v>346</v>
      </c>
      <c r="K134" s="5">
        <v>90.0</v>
      </c>
      <c r="L134" s="5">
        <v>137000.0</v>
      </c>
      <c r="M134" s="5">
        <v>140000.0</v>
      </c>
      <c r="N134" s="8">
        <v>42250.0</v>
      </c>
      <c r="O134" s="5" t="s">
        <v>24</v>
      </c>
      <c r="P134" s="5" t="s">
        <v>25</v>
      </c>
      <c r="S134" s="5" t="s">
        <v>157</v>
      </c>
    </row>
    <row r="135">
      <c r="A135" s="5">
        <v>134.0</v>
      </c>
      <c r="B135" s="5" t="s">
        <v>348</v>
      </c>
      <c r="C135" s="5" t="s">
        <v>20</v>
      </c>
      <c r="D135" s="5">
        <v>54.0</v>
      </c>
      <c r="E135" s="5">
        <v>80.0</v>
      </c>
      <c r="H135" s="5" t="s">
        <v>30</v>
      </c>
      <c r="I135" s="9">
        <v>46161.75342592593</v>
      </c>
      <c r="J135" s="5" t="s">
        <v>22</v>
      </c>
      <c r="K135" s="5">
        <v>90.0</v>
      </c>
      <c r="L135" s="5">
        <v>26000.0</v>
      </c>
      <c r="M135" s="5">
        <v>27000.0</v>
      </c>
      <c r="N135" s="8">
        <v>42309.0</v>
      </c>
      <c r="O135" s="5" t="s">
        <v>24</v>
      </c>
      <c r="P135" s="5" t="s">
        <v>25</v>
      </c>
      <c r="S135" s="5" t="s">
        <v>38</v>
      </c>
    </row>
    <row r="136">
      <c r="A136" s="5">
        <v>135.0</v>
      </c>
      <c r="B136" s="5" t="s">
        <v>353</v>
      </c>
      <c r="C136" s="5" t="s">
        <v>20</v>
      </c>
      <c r="D136" s="5">
        <v>3.0</v>
      </c>
      <c r="E136" s="5">
        <v>80.0</v>
      </c>
      <c r="G136" s="5">
        <v>0.57</v>
      </c>
      <c r="H136" s="5" t="s">
        <v>19</v>
      </c>
      <c r="I136" s="9">
        <v>46100.62700231482</v>
      </c>
      <c r="J136" s="5" t="s">
        <v>355</v>
      </c>
      <c r="K136" s="5">
        <v>80.0</v>
      </c>
      <c r="L136" s="5">
        <v>141000.0</v>
      </c>
      <c r="M136" s="5">
        <v>145000.0</v>
      </c>
      <c r="N136" s="8">
        <v>42845.0</v>
      </c>
      <c r="O136" s="5" t="s">
        <v>184</v>
      </c>
      <c r="P136" s="5" t="s">
        <v>25</v>
      </c>
      <c r="Q136" s="5" t="s">
        <v>358</v>
      </c>
      <c r="R136" s="5" t="s">
        <v>359</v>
      </c>
      <c r="S136" s="5" t="s">
        <v>360</v>
      </c>
    </row>
    <row r="137">
      <c r="A137" s="5">
        <v>136.0</v>
      </c>
      <c r="B137" s="5" t="s">
        <v>362</v>
      </c>
      <c r="C137" s="5" t="s">
        <v>20</v>
      </c>
      <c r="D137" s="5">
        <v>31.0</v>
      </c>
      <c r="E137" s="5">
        <v>70.0</v>
      </c>
      <c r="F137" s="5">
        <v>0.7</v>
      </c>
      <c r="H137" s="5" t="s">
        <v>19</v>
      </c>
      <c r="I137" s="9">
        <v>46144.207291666666</v>
      </c>
      <c r="J137" s="5" t="s">
        <v>243</v>
      </c>
      <c r="K137" s="5">
        <v>100.0</v>
      </c>
      <c r="L137" s="5">
        <v>137000.0</v>
      </c>
      <c r="M137" s="5">
        <v>140000.0</v>
      </c>
      <c r="N137" s="8">
        <v>42259.0</v>
      </c>
      <c r="O137" s="5" t="s">
        <v>24</v>
      </c>
      <c r="P137" s="5" t="s">
        <v>25</v>
      </c>
      <c r="S137" s="5" t="s">
        <v>38</v>
      </c>
    </row>
    <row r="138">
      <c r="A138" s="5">
        <v>137.0</v>
      </c>
      <c r="B138" s="5" t="s">
        <v>1439</v>
      </c>
      <c r="C138" s="5" t="s">
        <v>20</v>
      </c>
      <c r="D138" s="5">
        <v>0.0</v>
      </c>
      <c r="E138" s="5">
        <v>70.0</v>
      </c>
      <c r="H138" s="5" t="s">
        <v>19</v>
      </c>
      <c r="I138" s="9">
        <v>46142.55396990741</v>
      </c>
      <c r="J138" s="5" t="s">
        <v>78</v>
      </c>
      <c r="K138" s="5">
        <v>70.0</v>
      </c>
      <c r="L138" s="5">
        <v>136000.0</v>
      </c>
      <c r="M138" s="5">
        <v>140000.0</v>
      </c>
      <c r="N138" s="8">
        <v>42285.0</v>
      </c>
      <c r="O138" s="5" t="s">
        <v>71</v>
      </c>
      <c r="P138" s="5" t="s">
        <v>25</v>
      </c>
      <c r="Q138" s="5" t="s">
        <v>1443</v>
      </c>
      <c r="R138" s="5">
        <v>31.0</v>
      </c>
      <c r="S138" s="5" t="s">
        <v>38</v>
      </c>
    </row>
    <row r="139">
      <c r="A139" s="5">
        <v>138.0</v>
      </c>
      <c r="B139" s="5" t="s">
        <v>1444</v>
      </c>
      <c r="C139" s="5" t="s">
        <v>20</v>
      </c>
      <c r="D139" s="5">
        <v>2.0</v>
      </c>
      <c r="E139" s="5">
        <v>70.0</v>
      </c>
      <c r="H139" s="5" t="s">
        <v>19</v>
      </c>
      <c r="I139" s="9">
        <v>46124.04162037037</v>
      </c>
      <c r="J139" s="5" t="s">
        <v>78</v>
      </c>
      <c r="K139" s="5">
        <v>70.0</v>
      </c>
      <c r="L139" s="5">
        <v>136000.0</v>
      </c>
      <c r="M139" s="5">
        <v>140000.0</v>
      </c>
      <c r="N139" s="8">
        <v>44703.0</v>
      </c>
      <c r="O139" s="5" t="s">
        <v>24</v>
      </c>
      <c r="P139" s="5" t="s">
        <v>25</v>
      </c>
      <c r="S139" s="5" t="s">
        <v>38</v>
      </c>
    </row>
    <row r="140">
      <c r="A140" s="5">
        <v>139.0</v>
      </c>
      <c r="B140" s="5" t="s">
        <v>368</v>
      </c>
      <c r="C140" s="5" t="s">
        <v>20</v>
      </c>
      <c r="D140" s="5">
        <v>59.0</v>
      </c>
      <c r="E140" s="5">
        <v>70.0</v>
      </c>
      <c r="H140" s="5" t="s">
        <v>47</v>
      </c>
      <c r="I140" s="9">
        <v>46087.89585648148</v>
      </c>
      <c r="J140" s="5" t="s">
        <v>151</v>
      </c>
      <c r="K140" s="5">
        <v>70.0</v>
      </c>
      <c r="L140" s="5">
        <v>17000.0</v>
      </c>
      <c r="M140" s="5">
        <v>17000.0</v>
      </c>
      <c r="N140" s="8">
        <v>42257.0</v>
      </c>
      <c r="O140" s="5" t="s">
        <v>100</v>
      </c>
      <c r="P140" s="5" t="s">
        <v>25</v>
      </c>
      <c r="S140" s="5" t="s">
        <v>29</v>
      </c>
    </row>
    <row r="141">
      <c r="A141" s="5">
        <v>140.0</v>
      </c>
      <c r="B141" s="5" t="s">
        <v>1452</v>
      </c>
      <c r="C141" s="5" t="s">
        <v>20</v>
      </c>
      <c r="D141" s="5">
        <v>26.0</v>
      </c>
      <c r="E141" s="5">
        <v>70.0</v>
      </c>
      <c r="H141" s="5" t="s">
        <v>285</v>
      </c>
      <c r="I141" s="9">
        <v>46099.90355324074</v>
      </c>
      <c r="K141" s="5">
        <v>150.0</v>
      </c>
      <c r="L141" s="5">
        <v>3300.0</v>
      </c>
      <c r="M141" s="5">
        <v>3600.0</v>
      </c>
      <c r="N141" s="8">
        <v>42378.0</v>
      </c>
      <c r="O141" s="5" t="s">
        <v>50</v>
      </c>
      <c r="P141" s="5" t="s">
        <v>25</v>
      </c>
      <c r="S141" s="5" t="s">
        <v>1455</v>
      </c>
    </row>
    <row r="142">
      <c r="A142" s="5">
        <v>141.0</v>
      </c>
      <c r="B142" s="5" t="s">
        <v>374</v>
      </c>
      <c r="C142" s="5" t="s">
        <v>20</v>
      </c>
      <c r="D142" s="5">
        <v>55.0</v>
      </c>
      <c r="E142" s="5">
        <v>70.0</v>
      </c>
      <c r="H142" s="5" t="s">
        <v>61</v>
      </c>
      <c r="I142" s="9">
        <v>46145.49365740741</v>
      </c>
      <c r="J142" s="5" t="s">
        <v>206</v>
      </c>
      <c r="K142" s="5">
        <v>90.0</v>
      </c>
      <c r="L142" s="5">
        <v>11000.0</v>
      </c>
      <c r="M142" s="5">
        <v>11000.0</v>
      </c>
      <c r="N142" s="8">
        <v>42305.0</v>
      </c>
      <c r="O142" s="5" t="s">
        <v>50</v>
      </c>
      <c r="P142" s="5" t="s">
        <v>25</v>
      </c>
      <c r="S142" s="5" t="s">
        <v>38</v>
      </c>
    </row>
    <row r="143">
      <c r="A143" s="5">
        <v>142.0</v>
      </c>
      <c r="B143" s="5" t="s">
        <v>381</v>
      </c>
      <c r="C143" s="5" t="s">
        <v>20</v>
      </c>
      <c r="D143" s="5">
        <v>66.0</v>
      </c>
      <c r="E143" s="5">
        <v>70.0</v>
      </c>
      <c r="F143" s="5">
        <v>0.1</v>
      </c>
      <c r="H143" s="5" t="s">
        <v>147</v>
      </c>
      <c r="I143" s="9">
        <v>46147.08127314815</v>
      </c>
      <c r="K143" s="5">
        <v>70.0</v>
      </c>
      <c r="L143" s="5">
        <v>600.0</v>
      </c>
      <c r="M143" s="5">
        <v>600.0</v>
      </c>
      <c r="N143" s="8">
        <v>42514.0</v>
      </c>
      <c r="O143" s="5" t="s">
        <v>24</v>
      </c>
      <c r="P143" s="5" t="s">
        <v>25</v>
      </c>
      <c r="Q143" s="5" t="s">
        <v>385</v>
      </c>
      <c r="R143" s="5" t="s">
        <v>387</v>
      </c>
      <c r="S143" s="5" t="s">
        <v>118</v>
      </c>
    </row>
    <row r="144">
      <c r="A144" s="5">
        <v>143.0</v>
      </c>
      <c r="B144" s="5" t="s">
        <v>461</v>
      </c>
      <c r="C144" s="5" t="s">
        <v>20</v>
      </c>
      <c r="D144" s="5">
        <v>1.0</v>
      </c>
      <c r="E144" s="5">
        <v>70.0</v>
      </c>
      <c r="F144" s="5">
        <v>0.04</v>
      </c>
      <c r="G144" s="5">
        <v>0.98</v>
      </c>
      <c r="H144" s="5" t="s">
        <v>40</v>
      </c>
      <c r="I144" s="9">
        <v>46157.18446759259</v>
      </c>
      <c r="J144" s="5" t="s">
        <v>22</v>
      </c>
      <c r="K144" s="5">
        <v>70.0</v>
      </c>
      <c r="L144" s="5">
        <v>17000.0</v>
      </c>
      <c r="M144" s="5">
        <v>19000.0</v>
      </c>
      <c r="N144" s="8">
        <v>42303.0</v>
      </c>
      <c r="O144" s="5" t="s">
        <v>24</v>
      </c>
      <c r="Q144" s="5" t="s">
        <v>1463</v>
      </c>
      <c r="R144" s="5" t="s">
        <v>1465</v>
      </c>
      <c r="S144" s="5" t="s">
        <v>29</v>
      </c>
    </row>
    <row r="145">
      <c r="A145" s="5">
        <v>144.0</v>
      </c>
      <c r="B145" s="5" t="s">
        <v>1466</v>
      </c>
      <c r="C145" s="5" t="s">
        <v>20</v>
      </c>
      <c r="D145" s="5">
        <v>3.0</v>
      </c>
      <c r="E145" s="5">
        <v>70.0</v>
      </c>
      <c r="H145" s="5" t="s">
        <v>56</v>
      </c>
      <c r="I145" s="9">
        <v>46123.887824074074</v>
      </c>
      <c r="J145" s="5" t="s">
        <v>151</v>
      </c>
      <c r="K145" s="5">
        <v>2700.0</v>
      </c>
      <c r="L145" s="5">
        <v>5800.0</v>
      </c>
      <c r="M145" s="5">
        <v>5800.0</v>
      </c>
      <c r="N145" s="8">
        <v>44134.0</v>
      </c>
      <c r="O145" s="5" t="s">
        <v>464</v>
      </c>
      <c r="P145" s="5" t="s">
        <v>25</v>
      </c>
      <c r="S145" s="5" t="s">
        <v>29</v>
      </c>
    </row>
    <row r="146">
      <c r="A146" s="5">
        <v>145.0</v>
      </c>
      <c r="B146" s="5" t="s">
        <v>395</v>
      </c>
      <c r="C146" s="5" t="s">
        <v>20</v>
      </c>
      <c r="D146" s="5">
        <v>2.0</v>
      </c>
      <c r="E146" s="5">
        <v>70.0</v>
      </c>
      <c r="H146" s="5" t="s">
        <v>19</v>
      </c>
      <c r="I146" s="9">
        <v>46122.44495370371</v>
      </c>
      <c r="J146" s="5" t="s">
        <v>197</v>
      </c>
      <c r="K146" s="5">
        <v>70.0</v>
      </c>
      <c r="L146" s="5">
        <v>136000.0</v>
      </c>
      <c r="M146" s="5">
        <v>140000.0</v>
      </c>
      <c r="N146" s="8">
        <v>42959.0</v>
      </c>
      <c r="O146" s="5" t="s">
        <v>397</v>
      </c>
      <c r="P146" s="5" t="s">
        <v>25</v>
      </c>
      <c r="S146" s="5" t="s">
        <v>29</v>
      </c>
    </row>
    <row r="147">
      <c r="A147" s="5">
        <v>146.0</v>
      </c>
      <c r="B147" s="5" t="s">
        <v>1472</v>
      </c>
      <c r="C147" s="5" t="s">
        <v>20</v>
      </c>
      <c r="D147" s="5">
        <v>79.0</v>
      </c>
      <c r="E147" s="5">
        <v>70.0</v>
      </c>
      <c r="H147" s="5" t="s">
        <v>654</v>
      </c>
      <c r="I147" s="9">
        <v>46141.236030092594</v>
      </c>
      <c r="J147" s="5" t="s">
        <v>78</v>
      </c>
      <c r="K147" s="5">
        <v>5600.0</v>
      </c>
      <c r="L147" s="5">
        <v>5400.0</v>
      </c>
      <c r="M147" s="5">
        <v>531000.0</v>
      </c>
      <c r="N147" s="8">
        <v>43870.0</v>
      </c>
      <c r="O147" s="5" t="s">
        <v>24</v>
      </c>
      <c r="P147" s="5" t="s">
        <v>25</v>
      </c>
      <c r="S147" s="5" t="s">
        <v>38</v>
      </c>
    </row>
    <row r="148">
      <c r="A148" s="5">
        <v>147.0</v>
      </c>
      <c r="B148" s="5" t="s">
        <v>399</v>
      </c>
      <c r="C148" s="5" t="s">
        <v>20</v>
      </c>
      <c r="D148" s="5">
        <v>46.0</v>
      </c>
      <c r="E148" s="5">
        <v>70.0</v>
      </c>
      <c r="F148" s="5">
        <v>11.0</v>
      </c>
      <c r="H148" s="5" t="s">
        <v>19</v>
      </c>
      <c r="I148" s="9">
        <v>46144.419641203705</v>
      </c>
      <c r="J148" s="5" t="s">
        <v>151</v>
      </c>
      <c r="K148" s="5">
        <v>70.0</v>
      </c>
      <c r="L148" s="5">
        <v>137000.0</v>
      </c>
      <c r="M148" s="5">
        <v>140000.0</v>
      </c>
      <c r="N148" s="8">
        <v>42314.0</v>
      </c>
      <c r="O148" s="5" t="s">
        <v>24</v>
      </c>
      <c r="P148" s="5" t="s">
        <v>25</v>
      </c>
      <c r="S148" s="5" t="s">
        <v>38</v>
      </c>
    </row>
    <row r="149">
      <c r="A149" s="5">
        <v>148.0</v>
      </c>
      <c r="B149" s="5" t="s">
        <v>1479</v>
      </c>
      <c r="C149" s="5" t="s">
        <v>20</v>
      </c>
      <c r="D149" s="5">
        <v>77.0</v>
      </c>
      <c r="E149" s="5">
        <v>70.0</v>
      </c>
      <c r="H149" s="5" t="s">
        <v>852</v>
      </c>
      <c r="I149" s="9">
        <v>46144.19924768519</v>
      </c>
      <c r="J149" s="5" t="s">
        <v>740</v>
      </c>
      <c r="K149" s="5">
        <v>1460000.0</v>
      </c>
      <c r="L149" s="5">
        <v>15000.0</v>
      </c>
      <c r="M149" s="5">
        <v>72000.0</v>
      </c>
      <c r="N149" s="8">
        <v>42782.0</v>
      </c>
      <c r="O149" s="5" t="s">
        <v>50</v>
      </c>
      <c r="P149" s="5" t="s">
        <v>25</v>
      </c>
      <c r="S149" s="5" t="s">
        <v>38</v>
      </c>
    </row>
    <row r="150">
      <c r="A150" s="5">
        <v>149.0</v>
      </c>
      <c r="B150" s="5" t="s">
        <v>1482</v>
      </c>
      <c r="C150" s="5" t="s">
        <v>20</v>
      </c>
      <c r="D150" s="5">
        <v>79.0</v>
      </c>
      <c r="E150" s="5">
        <v>60.0</v>
      </c>
      <c r="H150" s="5" t="s">
        <v>852</v>
      </c>
      <c r="I150" s="9">
        <v>46142.388344907406</v>
      </c>
      <c r="J150" s="5" t="s">
        <v>740</v>
      </c>
      <c r="K150" s="5">
        <v>172000.0</v>
      </c>
      <c r="L150" s="5">
        <v>15000.0</v>
      </c>
      <c r="M150" s="5">
        <v>70000.0</v>
      </c>
      <c r="N150" s="8">
        <v>42249.0</v>
      </c>
      <c r="O150" s="5" t="s">
        <v>50</v>
      </c>
      <c r="P150" s="5" t="s">
        <v>25</v>
      </c>
      <c r="S150" s="5" t="s">
        <v>1484</v>
      </c>
    </row>
    <row r="151">
      <c r="A151" s="5">
        <v>150.0</v>
      </c>
      <c r="B151" s="5" t="s">
        <v>1485</v>
      </c>
      <c r="C151" s="5" t="s">
        <v>20</v>
      </c>
      <c r="D151" s="5">
        <v>65.0</v>
      </c>
      <c r="E151" s="5">
        <v>60.0</v>
      </c>
      <c r="F151" s="5">
        <v>1.0</v>
      </c>
      <c r="H151" s="5" t="s">
        <v>47</v>
      </c>
      <c r="I151" s="9">
        <v>46141.88193287037</v>
      </c>
      <c r="J151" s="5" t="s">
        <v>206</v>
      </c>
      <c r="K151" s="5">
        <v>450.0</v>
      </c>
      <c r="L151" s="5">
        <v>15000.0</v>
      </c>
      <c r="M151" s="5">
        <v>16000.0</v>
      </c>
      <c r="N151" s="8">
        <v>42295.0</v>
      </c>
      <c r="O151" s="5" t="s">
        <v>50</v>
      </c>
      <c r="P151" s="5" t="s">
        <v>25</v>
      </c>
      <c r="S151" s="5" t="s">
        <v>118</v>
      </c>
    </row>
    <row r="152">
      <c r="A152" s="5">
        <v>151.0</v>
      </c>
      <c r="B152" s="5" t="s">
        <v>1489</v>
      </c>
      <c r="C152" s="5" t="s">
        <v>20</v>
      </c>
      <c r="D152" s="5">
        <v>0.0</v>
      </c>
      <c r="E152" s="5">
        <v>60.0</v>
      </c>
      <c r="H152" s="5" t="s">
        <v>19</v>
      </c>
      <c r="I152" s="9">
        <v>46145.15825231482</v>
      </c>
      <c r="J152" s="5" t="s">
        <v>151</v>
      </c>
      <c r="K152" s="5">
        <v>60.0</v>
      </c>
      <c r="L152" s="5">
        <v>137000.0</v>
      </c>
      <c r="M152" s="5">
        <v>140000.0</v>
      </c>
      <c r="N152" s="8">
        <v>45088.0</v>
      </c>
      <c r="O152" s="5" t="s">
        <v>24</v>
      </c>
      <c r="P152" s="5" t="s">
        <v>25</v>
      </c>
      <c r="Q152" s="5" t="s">
        <v>1492</v>
      </c>
      <c r="R152" s="5">
        <v>71.0</v>
      </c>
      <c r="S152" s="5" t="s">
        <v>29</v>
      </c>
    </row>
    <row r="153">
      <c r="A153" s="5">
        <v>152.0</v>
      </c>
      <c r="B153" s="5" t="s">
        <v>404</v>
      </c>
      <c r="C153" s="5" t="s">
        <v>20</v>
      </c>
      <c r="D153" s="5">
        <v>0.0</v>
      </c>
      <c r="E153" s="5">
        <v>60.0</v>
      </c>
      <c r="G153" s="5">
        <v>1.02</v>
      </c>
      <c r="H153" s="5" t="s">
        <v>19</v>
      </c>
      <c r="I153" s="9">
        <v>46155.48082175926</v>
      </c>
      <c r="J153" s="5" t="s">
        <v>78</v>
      </c>
      <c r="K153" s="5">
        <v>70.0</v>
      </c>
      <c r="L153" s="5">
        <v>131000.0</v>
      </c>
      <c r="M153" s="5">
        <v>135000.0</v>
      </c>
      <c r="N153" s="8">
        <v>42279.0</v>
      </c>
      <c r="O153" s="5" t="s">
        <v>24</v>
      </c>
      <c r="P153" s="5" t="s">
        <v>25</v>
      </c>
      <c r="Q153" s="5" t="s">
        <v>408</v>
      </c>
      <c r="R153" s="5">
        <v>94.0</v>
      </c>
      <c r="S153" s="5" t="s">
        <v>29</v>
      </c>
    </row>
    <row r="154">
      <c r="A154" s="5">
        <v>153.0</v>
      </c>
      <c r="B154" s="5" t="s">
        <v>1498</v>
      </c>
      <c r="C154" s="5" t="s">
        <v>20</v>
      </c>
      <c r="D154" s="5">
        <v>43.0</v>
      </c>
      <c r="E154" s="5">
        <v>60.0</v>
      </c>
      <c r="G154" s="5">
        <v>0.89</v>
      </c>
      <c r="H154" s="5" t="s">
        <v>30</v>
      </c>
      <c r="I154" s="9">
        <v>46126.21601851852</v>
      </c>
      <c r="J154" s="5" t="s">
        <v>22</v>
      </c>
      <c r="K154" s="5">
        <v>70.0</v>
      </c>
      <c r="L154" s="5">
        <v>26000.0</v>
      </c>
      <c r="M154" s="5">
        <v>27000.0</v>
      </c>
      <c r="N154" s="8">
        <v>42279.0</v>
      </c>
      <c r="O154" s="5" t="s">
        <v>100</v>
      </c>
      <c r="P154" s="5" t="s">
        <v>25</v>
      </c>
      <c r="S154" s="5" t="s">
        <v>38</v>
      </c>
    </row>
    <row r="155">
      <c r="A155" s="5">
        <v>154.0</v>
      </c>
      <c r="B155" s="5" t="s">
        <v>410</v>
      </c>
      <c r="C155" s="5" t="s">
        <v>20</v>
      </c>
      <c r="D155" s="5">
        <v>42.0</v>
      </c>
      <c r="E155" s="5">
        <v>60.0</v>
      </c>
      <c r="H155" s="5" t="s">
        <v>47</v>
      </c>
      <c r="I155" s="9">
        <v>46131.636342592596</v>
      </c>
      <c r="J155" s="5" t="s">
        <v>22</v>
      </c>
      <c r="K155" s="5">
        <v>60.0</v>
      </c>
      <c r="L155" s="5">
        <v>16000.0</v>
      </c>
      <c r="M155" s="5">
        <v>17000.0</v>
      </c>
      <c r="N155" s="8">
        <v>42912.0</v>
      </c>
      <c r="O155" s="5" t="s">
        <v>80</v>
      </c>
      <c r="P155" s="5" t="s">
        <v>25</v>
      </c>
      <c r="S155" s="5" t="s">
        <v>118</v>
      </c>
    </row>
    <row r="156">
      <c r="A156" s="5">
        <v>155.0</v>
      </c>
      <c r="B156" s="5" t="s">
        <v>420</v>
      </c>
      <c r="C156" s="5" t="s">
        <v>20</v>
      </c>
      <c r="D156" s="5">
        <v>0.0</v>
      </c>
      <c r="E156" s="5">
        <v>60.0</v>
      </c>
      <c r="F156" s="5">
        <v>1.0</v>
      </c>
      <c r="H156" s="5" t="s">
        <v>40</v>
      </c>
      <c r="I156" s="9">
        <v>46125.579039351855</v>
      </c>
      <c r="J156" s="5" t="s">
        <v>355</v>
      </c>
      <c r="K156" s="5">
        <v>100.0</v>
      </c>
      <c r="L156" s="5">
        <v>20000.0</v>
      </c>
      <c r="M156" s="5">
        <v>22000.0</v>
      </c>
      <c r="N156" s="8">
        <v>44647.0</v>
      </c>
      <c r="O156" s="5" t="s">
        <v>24</v>
      </c>
      <c r="P156" s="5" t="s">
        <v>25</v>
      </c>
      <c r="S156" s="5" t="s">
        <v>29</v>
      </c>
    </row>
    <row r="157">
      <c r="A157" s="5">
        <v>156.0</v>
      </c>
      <c r="B157" s="5" t="s">
        <v>425</v>
      </c>
      <c r="C157" s="5" t="s">
        <v>20</v>
      </c>
      <c r="D157" s="5">
        <v>0.0</v>
      </c>
      <c r="E157" s="5">
        <v>60.0</v>
      </c>
      <c r="G157" s="5">
        <v>0.73</v>
      </c>
      <c r="H157" s="5" t="s">
        <v>56</v>
      </c>
      <c r="I157" s="9">
        <v>46143.54240740741</v>
      </c>
      <c r="J157" s="5" t="s">
        <v>429</v>
      </c>
      <c r="K157" s="5">
        <v>80.0</v>
      </c>
      <c r="L157" s="5">
        <v>5800.0</v>
      </c>
      <c r="M157" s="5">
        <v>6000.0</v>
      </c>
      <c r="N157" s="8">
        <v>42248.0</v>
      </c>
      <c r="O157" s="5" t="s">
        <v>432</v>
      </c>
      <c r="P157" s="5" t="s">
        <v>25</v>
      </c>
      <c r="S157" s="5" t="s">
        <v>434</v>
      </c>
    </row>
    <row r="158">
      <c r="A158" s="5">
        <v>157.0</v>
      </c>
      <c r="B158" s="5" t="s">
        <v>427</v>
      </c>
      <c r="C158" s="5" t="s">
        <v>20</v>
      </c>
      <c r="D158" s="5">
        <v>82.0</v>
      </c>
      <c r="E158" s="5">
        <v>60.0</v>
      </c>
      <c r="H158" s="5" t="s">
        <v>147</v>
      </c>
      <c r="I158" s="9">
        <v>46144.66819444444</v>
      </c>
      <c r="J158" s="5" t="s">
        <v>206</v>
      </c>
      <c r="K158" s="5">
        <v>60.0</v>
      </c>
      <c r="L158" s="5">
        <v>2100.0</v>
      </c>
      <c r="M158" s="5">
        <v>2700.0</v>
      </c>
      <c r="N158" s="8">
        <v>42676.0</v>
      </c>
      <c r="O158" s="5" t="s">
        <v>50</v>
      </c>
      <c r="P158" s="5" t="s">
        <v>25</v>
      </c>
      <c r="S158" s="5" t="s">
        <v>145</v>
      </c>
    </row>
    <row r="159">
      <c r="A159" s="5">
        <v>158.0</v>
      </c>
      <c r="B159" s="5" t="s">
        <v>440</v>
      </c>
      <c r="C159" s="5" t="s">
        <v>20</v>
      </c>
      <c r="D159" s="5">
        <v>65.0</v>
      </c>
      <c r="E159" s="5">
        <v>60.0</v>
      </c>
      <c r="H159" s="5" t="s">
        <v>285</v>
      </c>
      <c r="I159" s="9">
        <v>46161.422268518516</v>
      </c>
      <c r="J159" s="5" t="s">
        <v>442</v>
      </c>
      <c r="K159" s="5">
        <v>60.0</v>
      </c>
      <c r="L159" s="5">
        <v>3200.0</v>
      </c>
      <c r="M159" s="5">
        <v>81000.0</v>
      </c>
      <c r="N159" s="8">
        <v>42465.0</v>
      </c>
      <c r="O159" s="5" t="s">
        <v>24</v>
      </c>
      <c r="P159" s="5" t="s">
        <v>25</v>
      </c>
      <c r="S159" s="5" t="s">
        <v>118</v>
      </c>
    </row>
    <row r="160">
      <c r="A160" s="5">
        <v>159.0</v>
      </c>
      <c r="B160" s="5" t="s">
        <v>436</v>
      </c>
      <c r="C160" s="5" t="s">
        <v>20</v>
      </c>
      <c r="D160" s="5">
        <v>1.0</v>
      </c>
      <c r="E160" s="5">
        <v>50.0</v>
      </c>
      <c r="G160" s="5">
        <v>0.66</v>
      </c>
      <c r="H160" s="5" t="s">
        <v>105</v>
      </c>
      <c r="I160" s="9">
        <v>46161.0391087963</v>
      </c>
      <c r="J160" s="5" t="s">
        <v>206</v>
      </c>
      <c r="K160" s="5">
        <v>50.0</v>
      </c>
      <c r="L160" s="5">
        <v>10.0</v>
      </c>
      <c r="M160" s="5">
        <v>10.0</v>
      </c>
      <c r="N160" s="8">
        <v>42278.0</v>
      </c>
      <c r="O160" s="5" t="s">
        <v>184</v>
      </c>
      <c r="P160" s="5" t="s">
        <v>25</v>
      </c>
      <c r="Q160" s="5" t="s">
        <v>444</v>
      </c>
      <c r="R160" s="5">
        <v>62.0</v>
      </c>
      <c r="S160" s="5" t="s">
        <v>38</v>
      </c>
    </row>
    <row r="161">
      <c r="A161" s="5">
        <v>160.0</v>
      </c>
      <c r="B161" s="5" t="s">
        <v>1514</v>
      </c>
      <c r="C161" s="5" t="s">
        <v>20</v>
      </c>
      <c r="D161" s="5">
        <v>0.0</v>
      </c>
      <c r="E161" s="5">
        <v>50.0</v>
      </c>
      <c r="H161" s="5" t="s">
        <v>56</v>
      </c>
      <c r="I161" s="9">
        <v>46124.573530092595</v>
      </c>
      <c r="J161" s="5" t="s">
        <v>78</v>
      </c>
      <c r="K161" s="5">
        <v>50.0</v>
      </c>
      <c r="L161" s="5">
        <v>5800.0</v>
      </c>
      <c r="M161" s="5">
        <v>5800.0</v>
      </c>
      <c r="N161" s="8">
        <v>43352.0</v>
      </c>
      <c r="O161" s="5" t="s">
        <v>1515</v>
      </c>
      <c r="P161" s="5" t="s">
        <v>25</v>
      </c>
      <c r="Q161" s="5" t="s">
        <v>1516</v>
      </c>
      <c r="R161" s="5">
        <v>121.0</v>
      </c>
      <c r="S161" s="5" t="s">
        <v>75</v>
      </c>
    </row>
    <row r="162">
      <c r="A162" s="5">
        <v>161.0</v>
      </c>
      <c r="B162" s="5" t="s">
        <v>451</v>
      </c>
      <c r="C162" s="5" t="s">
        <v>20</v>
      </c>
      <c r="D162" s="5">
        <v>1.0</v>
      </c>
      <c r="E162" s="5">
        <v>50.0</v>
      </c>
      <c r="G162" s="5">
        <v>0.94</v>
      </c>
      <c r="H162" s="5" t="s">
        <v>19</v>
      </c>
      <c r="I162" s="9">
        <v>46145.85638888889</v>
      </c>
      <c r="J162" s="5" t="s">
        <v>78</v>
      </c>
      <c r="K162" s="5">
        <v>50.0</v>
      </c>
      <c r="L162" s="5">
        <v>137000.0</v>
      </c>
      <c r="M162" s="5">
        <v>140000.0</v>
      </c>
      <c r="N162" s="8">
        <v>42310.0</v>
      </c>
      <c r="O162" s="5" t="s">
        <v>100</v>
      </c>
      <c r="P162" s="5" t="s">
        <v>25</v>
      </c>
      <c r="Q162" s="5" t="s">
        <v>452</v>
      </c>
      <c r="R162" s="5" t="s">
        <v>453</v>
      </c>
      <c r="S162" s="5" t="s">
        <v>29</v>
      </c>
    </row>
    <row r="163">
      <c r="A163" s="5">
        <v>162.0</v>
      </c>
      <c r="B163" s="5" t="s">
        <v>455</v>
      </c>
      <c r="C163" s="5" t="s">
        <v>20</v>
      </c>
      <c r="D163" s="5">
        <v>24.0</v>
      </c>
      <c r="E163" s="5">
        <v>50.0</v>
      </c>
      <c r="H163" s="5" t="s">
        <v>19</v>
      </c>
      <c r="I163" s="9">
        <v>46088.90591435185</v>
      </c>
      <c r="J163" s="5" t="s">
        <v>456</v>
      </c>
      <c r="K163" s="5">
        <v>50.0</v>
      </c>
      <c r="L163" s="5">
        <v>145000.0</v>
      </c>
      <c r="M163" s="5">
        <v>149000.0</v>
      </c>
      <c r="N163" s="8">
        <v>42868.0</v>
      </c>
      <c r="O163" s="5" t="s">
        <v>184</v>
      </c>
      <c r="P163" s="5" t="s">
        <v>25</v>
      </c>
      <c r="S163" s="5" t="s">
        <v>38</v>
      </c>
    </row>
    <row r="164">
      <c r="A164" s="5">
        <v>163.0</v>
      </c>
      <c r="B164" s="5" t="s">
        <v>457</v>
      </c>
      <c r="C164" s="5" t="s">
        <v>20</v>
      </c>
      <c r="D164" s="5">
        <v>0.0</v>
      </c>
      <c r="E164" s="5">
        <v>50.0</v>
      </c>
      <c r="H164" s="5" t="s">
        <v>457</v>
      </c>
      <c r="I164" s="9">
        <v>46143.34614583333</v>
      </c>
      <c r="J164" s="5" t="s">
        <v>206</v>
      </c>
      <c r="K164" s="5">
        <v>60.0</v>
      </c>
      <c r="L164" s="5">
        <v>30.0</v>
      </c>
      <c r="M164" s="5">
        <v>30.0</v>
      </c>
      <c r="N164" s="8">
        <v>42302.0</v>
      </c>
      <c r="O164" s="5" t="s">
        <v>184</v>
      </c>
      <c r="P164" s="5" t="s">
        <v>25</v>
      </c>
      <c r="S164" s="5" t="s">
        <v>459</v>
      </c>
    </row>
    <row r="165">
      <c r="A165" s="5">
        <v>164.0</v>
      </c>
      <c r="B165" s="5" t="s">
        <v>1524</v>
      </c>
      <c r="C165" s="5" t="s">
        <v>20</v>
      </c>
      <c r="D165" s="5">
        <v>78.0</v>
      </c>
      <c r="E165" s="5">
        <v>50.0</v>
      </c>
      <c r="H165" s="5" t="s">
        <v>654</v>
      </c>
      <c r="I165" s="9">
        <v>46149.0034375</v>
      </c>
      <c r="K165" s="5">
        <v>60000.0</v>
      </c>
      <c r="L165" s="5">
        <v>900.0</v>
      </c>
      <c r="M165" s="5">
        <v>717000.0</v>
      </c>
      <c r="N165" s="8">
        <v>42248.0</v>
      </c>
      <c r="O165" s="5" t="s">
        <v>184</v>
      </c>
      <c r="P165" s="5" t="s">
        <v>25</v>
      </c>
      <c r="S165" s="5" t="s">
        <v>38</v>
      </c>
    </row>
    <row r="166">
      <c r="A166" s="5">
        <v>165.0</v>
      </c>
      <c r="B166" s="5" t="s">
        <v>1527</v>
      </c>
      <c r="C166" s="5" t="s">
        <v>20</v>
      </c>
      <c r="D166" s="5">
        <v>62.0</v>
      </c>
      <c r="E166" s="5">
        <v>50.0</v>
      </c>
      <c r="H166" s="5" t="s">
        <v>285</v>
      </c>
      <c r="I166" s="9">
        <v>46085.47074074074</v>
      </c>
      <c r="J166" s="5" t="s">
        <v>206</v>
      </c>
      <c r="K166" s="5">
        <v>60.0</v>
      </c>
      <c r="L166" s="5">
        <v>3500.0</v>
      </c>
      <c r="M166" s="5">
        <v>3700.0</v>
      </c>
      <c r="N166" s="8">
        <v>42463.0</v>
      </c>
      <c r="O166" s="5" t="s">
        <v>50</v>
      </c>
      <c r="P166" s="5" t="s">
        <v>25</v>
      </c>
      <c r="S166" s="5" t="s">
        <v>157</v>
      </c>
    </row>
    <row r="167">
      <c r="A167" s="5">
        <v>166.0</v>
      </c>
      <c r="B167" s="5" t="s">
        <v>446</v>
      </c>
      <c r="C167" s="5" t="s">
        <v>20</v>
      </c>
      <c r="D167" s="5">
        <v>3.0</v>
      </c>
      <c r="E167" s="5">
        <v>50.0</v>
      </c>
      <c r="G167" s="5">
        <v>1.04</v>
      </c>
      <c r="H167" s="5" t="s">
        <v>449</v>
      </c>
      <c r="I167" s="9">
        <v>46122.60337962963</v>
      </c>
      <c r="J167" s="5" t="s">
        <v>346</v>
      </c>
      <c r="K167" s="5">
        <v>60.0</v>
      </c>
      <c r="L167" s="5">
        <v>10.0</v>
      </c>
      <c r="M167" s="5">
        <v>20.0</v>
      </c>
      <c r="N167" s="8">
        <v>42289.0</v>
      </c>
      <c r="O167" s="5" t="s">
        <v>24</v>
      </c>
      <c r="P167" s="5" t="s">
        <v>25</v>
      </c>
      <c r="S167" s="5" t="s">
        <v>38</v>
      </c>
    </row>
    <row r="168">
      <c r="A168" s="5">
        <v>167.0</v>
      </c>
      <c r="B168" s="5" t="s">
        <v>1532</v>
      </c>
      <c r="C168" s="5" t="s">
        <v>20</v>
      </c>
      <c r="D168" s="5">
        <v>77.0</v>
      </c>
      <c r="E168" s="5">
        <v>50.0</v>
      </c>
      <c r="H168" s="5" t="s">
        <v>654</v>
      </c>
      <c r="I168" s="9">
        <v>46143.65200231481</v>
      </c>
      <c r="J168" s="5" t="s">
        <v>78</v>
      </c>
      <c r="K168" s="5">
        <v>6900.0</v>
      </c>
      <c r="L168" s="5">
        <v>5400.0</v>
      </c>
      <c r="M168" s="5">
        <v>508000.0</v>
      </c>
      <c r="N168" s="8">
        <v>42516.0</v>
      </c>
      <c r="O168" s="5" t="s">
        <v>184</v>
      </c>
      <c r="P168" s="5" t="s">
        <v>25</v>
      </c>
      <c r="S168" s="5" t="s">
        <v>38</v>
      </c>
    </row>
    <row r="169">
      <c r="A169" s="5">
        <v>168.0</v>
      </c>
      <c r="B169" s="5" t="s">
        <v>462</v>
      </c>
      <c r="C169" s="5" t="s">
        <v>20</v>
      </c>
      <c r="D169" s="5">
        <v>0.0</v>
      </c>
      <c r="E169" s="5">
        <v>50.0</v>
      </c>
      <c r="H169" s="5" t="s">
        <v>277</v>
      </c>
      <c r="I169" s="9">
        <v>46143.167974537035</v>
      </c>
      <c r="J169" s="5" t="s">
        <v>206</v>
      </c>
      <c r="K169" s="5">
        <v>50.0</v>
      </c>
      <c r="L169" s="5">
        <v>90.0</v>
      </c>
      <c r="M169" s="5">
        <v>90.0</v>
      </c>
      <c r="N169" s="8">
        <v>42819.0</v>
      </c>
      <c r="O169" s="5" t="s">
        <v>184</v>
      </c>
      <c r="P169" s="5" t="s">
        <v>25</v>
      </c>
      <c r="S169" s="5" t="s">
        <v>38</v>
      </c>
    </row>
    <row r="170">
      <c r="A170" s="5">
        <v>169.0</v>
      </c>
      <c r="B170" s="5" t="s">
        <v>450</v>
      </c>
      <c r="C170" s="5" t="s">
        <v>20</v>
      </c>
      <c r="D170" s="5">
        <v>0.0</v>
      </c>
      <c r="E170" s="5">
        <v>50.0</v>
      </c>
      <c r="F170" s="5">
        <v>5.0</v>
      </c>
      <c r="H170" s="5" t="s">
        <v>40</v>
      </c>
      <c r="I170" s="9">
        <v>46126.87116898148</v>
      </c>
      <c r="J170" s="5" t="s">
        <v>243</v>
      </c>
      <c r="K170" s="5">
        <v>50.0</v>
      </c>
      <c r="L170" s="5">
        <v>20000.0</v>
      </c>
      <c r="M170" s="5">
        <v>22000.0</v>
      </c>
      <c r="N170" s="8">
        <v>42352.0</v>
      </c>
      <c r="O170" s="5" t="s">
        <v>184</v>
      </c>
      <c r="P170" s="5" t="s">
        <v>25</v>
      </c>
      <c r="S170" s="5" t="s">
        <v>29</v>
      </c>
    </row>
    <row r="171">
      <c r="A171" s="5">
        <v>170.0</v>
      </c>
      <c r="B171" s="5" t="s">
        <v>1540</v>
      </c>
      <c r="C171" s="5" t="s">
        <v>20</v>
      </c>
      <c r="D171" s="5">
        <v>17.0</v>
      </c>
      <c r="E171" s="5">
        <v>50.0</v>
      </c>
      <c r="H171" s="5" t="s">
        <v>148</v>
      </c>
      <c r="I171" s="9">
        <v>46126.708136574074</v>
      </c>
      <c r="J171" s="5" t="s">
        <v>151</v>
      </c>
      <c r="K171" s="5">
        <v>300.0</v>
      </c>
      <c r="L171" s="5">
        <v>900.0</v>
      </c>
      <c r="M171" s="5">
        <v>1100.0</v>
      </c>
      <c r="N171" s="8">
        <v>43045.0</v>
      </c>
      <c r="O171" s="5" t="s">
        <v>24</v>
      </c>
      <c r="P171" s="5" t="s">
        <v>25</v>
      </c>
      <c r="S171" s="5" t="s">
        <v>38</v>
      </c>
    </row>
    <row r="172">
      <c r="A172" s="5">
        <v>171.0</v>
      </c>
      <c r="B172" s="5" t="s">
        <v>470</v>
      </c>
      <c r="C172" s="5" t="s">
        <v>20</v>
      </c>
      <c r="D172" s="5">
        <v>34.0</v>
      </c>
      <c r="E172" s="5">
        <v>50.0</v>
      </c>
      <c r="H172" s="5" t="s">
        <v>47</v>
      </c>
      <c r="I172" s="9">
        <v>46155.67854166667</v>
      </c>
      <c r="J172" s="5" t="s">
        <v>151</v>
      </c>
      <c r="K172" s="5">
        <v>50.0</v>
      </c>
      <c r="L172" s="5">
        <v>16000.0</v>
      </c>
      <c r="M172" s="5">
        <v>16000.0</v>
      </c>
      <c r="N172" s="8">
        <v>43468.0</v>
      </c>
      <c r="O172" s="5" t="s">
        <v>464</v>
      </c>
      <c r="P172" s="5" t="s">
        <v>25</v>
      </c>
      <c r="S172" s="5" t="s">
        <v>75</v>
      </c>
    </row>
    <row r="173">
      <c r="A173" s="5">
        <v>172.0</v>
      </c>
      <c r="B173" s="5" t="s">
        <v>454</v>
      </c>
      <c r="C173" s="5" t="s">
        <v>20</v>
      </c>
      <c r="D173" s="5">
        <v>0.0</v>
      </c>
      <c r="E173" s="5">
        <v>50.0</v>
      </c>
      <c r="H173" s="5" t="s">
        <v>47</v>
      </c>
      <c r="I173" s="9">
        <v>46141.674259259256</v>
      </c>
      <c r="J173" s="5" t="s">
        <v>151</v>
      </c>
      <c r="K173" s="5">
        <v>50.0</v>
      </c>
      <c r="L173" s="5">
        <v>15000.0</v>
      </c>
      <c r="M173" s="5">
        <v>16000.0</v>
      </c>
      <c r="N173" s="8">
        <v>42336.0</v>
      </c>
      <c r="O173" s="5" t="s">
        <v>184</v>
      </c>
      <c r="P173" s="5" t="s">
        <v>25</v>
      </c>
      <c r="S173" s="5" t="s">
        <v>38</v>
      </c>
    </row>
    <row r="174">
      <c r="A174" s="5">
        <v>173.0</v>
      </c>
      <c r="B174" s="5" t="s">
        <v>458</v>
      </c>
      <c r="C174" s="5" t="s">
        <v>20</v>
      </c>
      <c r="D174" s="5">
        <v>11.0</v>
      </c>
      <c r="E174" s="5">
        <v>50.0</v>
      </c>
      <c r="F174" s="5">
        <v>8.0</v>
      </c>
      <c r="G174" s="5">
        <v>1.15</v>
      </c>
      <c r="H174" s="5" t="s">
        <v>40</v>
      </c>
      <c r="I174" s="9">
        <v>46118.25922453704</v>
      </c>
      <c r="J174" s="5" t="s">
        <v>151</v>
      </c>
      <c r="K174" s="5">
        <v>50.0</v>
      </c>
      <c r="L174" s="5">
        <v>20000.0</v>
      </c>
      <c r="M174" s="5">
        <v>21000.0</v>
      </c>
      <c r="N174" s="8">
        <v>42346.0</v>
      </c>
      <c r="O174" s="5" t="s">
        <v>80</v>
      </c>
      <c r="P174" s="5" t="s">
        <v>25</v>
      </c>
      <c r="S174" s="5" t="s">
        <v>29</v>
      </c>
    </row>
    <row r="175">
      <c r="A175" s="5">
        <v>174.0</v>
      </c>
      <c r="B175" s="5" t="s">
        <v>1550</v>
      </c>
      <c r="C175" s="5" t="s">
        <v>20</v>
      </c>
      <c r="D175" s="5">
        <v>24.0</v>
      </c>
      <c r="E175" s="5">
        <v>40.0</v>
      </c>
      <c r="H175" s="5" t="s">
        <v>19</v>
      </c>
      <c r="I175" s="9">
        <v>46154.9422337963</v>
      </c>
      <c r="J175" s="5" t="s">
        <v>78</v>
      </c>
      <c r="K175" s="5">
        <v>200.0</v>
      </c>
      <c r="L175" s="5">
        <v>131000.0</v>
      </c>
      <c r="M175" s="5">
        <v>135000.0</v>
      </c>
      <c r="N175" s="8">
        <v>43889.0</v>
      </c>
      <c r="O175" s="5" t="s">
        <v>1344</v>
      </c>
      <c r="P175" s="5" t="s">
        <v>25</v>
      </c>
      <c r="S175" s="5" t="s">
        <v>118</v>
      </c>
    </row>
    <row r="176">
      <c r="A176" s="5">
        <v>175.0</v>
      </c>
      <c r="B176" s="5" t="s">
        <v>1553</v>
      </c>
      <c r="C176" s="5" t="s">
        <v>20</v>
      </c>
      <c r="D176" s="5">
        <v>72.0</v>
      </c>
      <c r="E176" s="5">
        <v>40.0</v>
      </c>
      <c r="H176" s="5" t="s">
        <v>19</v>
      </c>
      <c r="I176" s="9">
        <v>46160.66605324074</v>
      </c>
      <c r="J176" s="5" t="s">
        <v>22</v>
      </c>
      <c r="K176" s="5">
        <v>60.0</v>
      </c>
      <c r="L176" s="5">
        <v>131000.0</v>
      </c>
      <c r="M176" s="5">
        <v>135000.0</v>
      </c>
      <c r="N176" s="8">
        <v>43843.0</v>
      </c>
      <c r="O176" s="5" t="s">
        <v>1555</v>
      </c>
      <c r="P176" s="5" t="s">
        <v>25</v>
      </c>
      <c r="S176" s="5" t="s">
        <v>1557</v>
      </c>
    </row>
    <row r="177">
      <c r="A177" s="5">
        <v>176.0</v>
      </c>
      <c r="B177" s="5" t="s">
        <v>478</v>
      </c>
      <c r="C177" s="5" t="s">
        <v>20</v>
      </c>
      <c r="D177" s="5">
        <v>0.0</v>
      </c>
      <c r="E177" s="5">
        <v>40.0</v>
      </c>
      <c r="H177" s="5" t="s">
        <v>19</v>
      </c>
      <c r="I177" s="9">
        <v>46123.02170138889</v>
      </c>
      <c r="J177" s="5" t="s">
        <v>151</v>
      </c>
      <c r="K177" s="5">
        <v>40.0</v>
      </c>
      <c r="L177" s="5">
        <v>136000.0</v>
      </c>
      <c r="M177" s="5">
        <v>140000.0</v>
      </c>
      <c r="N177" s="8">
        <v>43895.0</v>
      </c>
      <c r="O177" s="5" t="s">
        <v>184</v>
      </c>
      <c r="P177" s="5" t="s">
        <v>25</v>
      </c>
      <c r="S177" s="5" t="s">
        <v>38</v>
      </c>
    </row>
    <row r="178">
      <c r="A178" s="5">
        <v>177.0</v>
      </c>
      <c r="B178" s="5" t="s">
        <v>1560</v>
      </c>
      <c r="C178" s="5" t="s">
        <v>20</v>
      </c>
      <c r="D178" s="5">
        <v>65.0</v>
      </c>
      <c r="E178" s="5">
        <v>40.0</v>
      </c>
      <c r="H178" s="5" t="s">
        <v>30</v>
      </c>
      <c r="I178" s="9">
        <v>46163.15423611111</v>
      </c>
      <c r="J178" s="5" t="s">
        <v>206</v>
      </c>
      <c r="K178" s="5">
        <v>350.0</v>
      </c>
      <c r="L178" s="5">
        <v>26000.0</v>
      </c>
      <c r="M178" s="5">
        <v>27000.0</v>
      </c>
      <c r="N178" s="8">
        <v>42919.0</v>
      </c>
      <c r="O178" s="5" t="s">
        <v>24</v>
      </c>
      <c r="P178" s="5" t="s">
        <v>25</v>
      </c>
      <c r="S178" s="5" t="s">
        <v>38</v>
      </c>
    </row>
    <row r="179">
      <c r="A179" s="5">
        <v>178.0</v>
      </c>
      <c r="B179" s="5" t="s">
        <v>1564</v>
      </c>
      <c r="C179" s="5" t="s">
        <v>20</v>
      </c>
      <c r="D179" s="5">
        <v>77.0</v>
      </c>
      <c r="E179" s="5">
        <v>40.0</v>
      </c>
      <c r="H179" s="5" t="s">
        <v>654</v>
      </c>
      <c r="I179" s="9">
        <v>46088.24863425926</v>
      </c>
      <c r="J179" s="5" t="s">
        <v>740</v>
      </c>
      <c r="K179" s="5">
        <v>27000.0</v>
      </c>
      <c r="L179" s="5">
        <v>5100.0</v>
      </c>
      <c r="M179" s="5">
        <v>584000.0</v>
      </c>
      <c r="N179" s="8">
        <v>42253.0</v>
      </c>
      <c r="O179" s="5" t="s">
        <v>50</v>
      </c>
      <c r="P179" s="5" t="s">
        <v>25</v>
      </c>
      <c r="S179" s="5" t="s">
        <v>38</v>
      </c>
    </row>
    <row r="180">
      <c r="A180" s="5">
        <v>179.0</v>
      </c>
      <c r="B180" s="5" t="s">
        <v>483</v>
      </c>
      <c r="C180" s="5" t="s">
        <v>20</v>
      </c>
      <c r="D180" s="5">
        <v>34.0</v>
      </c>
      <c r="E180" s="5">
        <v>40.0</v>
      </c>
      <c r="H180" s="5" t="s">
        <v>40</v>
      </c>
      <c r="I180" s="9">
        <v>46124.26974537037</v>
      </c>
      <c r="J180" s="5" t="s">
        <v>78</v>
      </c>
      <c r="K180" s="5">
        <v>60.0</v>
      </c>
      <c r="L180" s="5">
        <v>20000.0</v>
      </c>
      <c r="M180" s="5">
        <v>22000.0</v>
      </c>
      <c r="N180" s="8">
        <v>44662.0</v>
      </c>
      <c r="O180" s="5" t="s">
        <v>80</v>
      </c>
      <c r="P180" s="5" t="s">
        <v>25</v>
      </c>
      <c r="S180" s="5" t="s">
        <v>29</v>
      </c>
    </row>
    <row r="181">
      <c r="A181" s="5">
        <v>180.0</v>
      </c>
      <c r="B181" s="5" t="s">
        <v>484</v>
      </c>
      <c r="C181" s="5" t="s">
        <v>20</v>
      </c>
      <c r="D181" s="5">
        <v>0.0</v>
      </c>
      <c r="E181" s="5">
        <v>40.0</v>
      </c>
      <c r="H181" s="5" t="s">
        <v>19</v>
      </c>
      <c r="I181" s="9">
        <v>46125.923472222225</v>
      </c>
      <c r="J181" s="5" t="s">
        <v>151</v>
      </c>
      <c r="K181" s="5">
        <v>40.0</v>
      </c>
      <c r="L181" s="5">
        <v>136000.0</v>
      </c>
      <c r="M181" s="5">
        <v>140000.0</v>
      </c>
      <c r="N181" s="8">
        <v>43032.0</v>
      </c>
      <c r="O181" s="5" t="s">
        <v>24</v>
      </c>
      <c r="P181" s="5" t="s">
        <v>25</v>
      </c>
      <c r="S181" s="5" t="s">
        <v>118</v>
      </c>
    </row>
    <row r="182">
      <c r="A182" s="5">
        <v>181.0</v>
      </c>
      <c r="B182" s="5" t="s">
        <v>1569</v>
      </c>
      <c r="C182" s="5" t="s">
        <v>20</v>
      </c>
      <c r="D182" s="5">
        <v>78.0</v>
      </c>
      <c r="E182" s="5">
        <v>40.0</v>
      </c>
      <c r="H182" s="5" t="s">
        <v>147</v>
      </c>
      <c r="I182" s="9">
        <v>46125.9825462963</v>
      </c>
      <c r="K182" s="5">
        <v>40.0</v>
      </c>
      <c r="L182" s="5">
        <v>1500.0</v>
      </c>
      <c r="M182" s="5">
        <v>2000.0</v>
      </c>
      <c r="N182" s="8">
        <v>45261.0</v>
      </c>
      <c r="O182" s="5" t="s">
        <v>50</v>
      </c>
      <c r="P182" s="5" t="s">
        <v>25</v>
      </c>
      <c r="S182" s="5" t="s">
        <v>157</v>
      </c>
    </row>
    <row r="183">
      <c r="A183" s="5">
        <v>182.0</v>
      </c>
      <c r="B183" s="5" t="s">
        <v>1572</v>
      </c>
      <c r="C183" s="5" t="s">
        <v>20</v>
      </c>
      <c r="D183" s="5">
        <v>79.0</v>
      </c>
      <c r="E183" s="5">
        <v>40.0</v>
      </c>
      <c r="H183" s="5" t="s">
        <v>654</v>
      </c>
      <c r="I183" s="9">
        <v>46142.47016203704</v>
      </c>
      <c r="J183" s="5" t="s">
        <v>78</v>
      </c>
      <c r="K183" s="5">
        <v>11000.0</v>
      </c>
      <c r="L183" s="5">
        <v>5400.0</v>
      </c>
      <c r="M183" s="5">
        <v>529000.0</v>
      </c>
      <c r="N183" s="8">
        <v>42384.0</v>
      </c>
      <c r="O183" s="5" t="s">
        <v>879</v>
      </c>
      <c r="P183" s="5" t="s">
        <v>25</v>
      </c>
      <c r="S183" s="5" t="s">
        <v>38</v>
      </c>
    </row>
    <row r="184">
      <c r="A184" s="5">
        <v>183.0</v>
      </c>
      <c r="B184" s="5" t="s">
        <v>487</v>
      </c>
      <c r="C184" s="5" t="s">
        <v>20</v>
      </c>
      <c r="D184" s="5">
        <v>51.0</v>
      </c>
      <c r="E184" s="5">
        <v>40.0</v>
      </c>
      <c r="H184" s="5" t="s">
        <v>47</v>
      </c>
      <c r="I184" s="9">
        <v>46123.50219907407</v>
      </c>
      <c r="J184" s="5" t="s">
        <v>243</v>
      </c>
      <c r="K184" s="5">
        <v>40.0</v>
      </c>
      <c r="L184" s="5">
        <v>16000.0</v>
      </c>
      <c r="M184" s="5">
        <v>16000.0</v>
      </c>
      <c r="N184" s="8">
        <v>42683.0</v>
      </c>
      <c r="O184" s="5" t="s">
        <v>129</v>
      </c>
      <c r="P184" s="5" t="s">
        <v>25</v>
      </c>
      <c r="S184" s="5" t="s">
        <v>29</v>
      </c>
    </row>
    <row r="185">
      <c r="A185" s="5">
        <v>184.0</v>
      </c>
      <c r="B185" s="5" t="s">
        <v>489</v>
      </c>
      <c r="C185" s="5" t="s">
        <v>20</v>
      </c>
      <c r="D185" s="5">
        <v>63.0</v>
      </c>
      <c r="E185" s="5">
        <v>40.0</v>
      </c>
      <c r="H185" s="5" t="s">
        <v>61</v>
      </c>
      <c r="I185" s="9">
        <v>46127.30511574074</v>
      </c>
      <c r="J185" s="5" t="s">
        <v>114</v>
      </c>
      <c r="K185" s="5">
        <v>60.0</v>
      </c>
      <c r="L185" s="5">
        <v>11000.0</v>
      </c>
      <c r="M185" s="5">
        <v>11000.0</v>
      </c>
      <c r="N185" s="8">
        <v>43276.0</v>
      </c>
      <c r="O185" s="5" t="s">
        <v>50</v>
      </c>
      <c r="P185" s="5" t="s">
        <v>25</v>
      </c>
      <c r="S185" s="5" t="s">
        <v>38</v>
      </c>
    </row>
    <row r="186">
      <c r="A186" s="5">
        <v>185.0</v>
      </c>
      <c r="B186" s="5" t="s">
        <v>491</v>
      </c>
      <c r="C186" s="5" t="s">
        <v>20</v>
      </c>
      <c r="D186" s="5">
        <v>68.0</v>
      </c>
      <c r="E186" s="5">
        <v>40.0</v>
      </c>
      <c r="H186" s="5" t="s">
        <v>61</v>
      </c>
      <c r="I186" s="9">
        <v>46106.682291666664</v>
      </c>
      <c r="J186" s="5" t="s">
        <v>87</v>
      </c>
      <c r="K186" s="5">
        <v>50.0</v>
      </c>
      <c r="L186" s="5">
        <v>11000.0</v>
      </c>
      <c r="M186" s="5">
        <v>11000.0</v>
      </c>
      <c r="N186" s="8">
        <v>42398.0</v>
      </c>
      <c r="O186" s="5" t="s">
        <v>50</v>
      </c>
      <c r="P186" s="5" t="s">
        <v>25</v>
      </c>
      <c r="S186" s="5" t="s">
        <v>38</v>
      </c>
    </row>
    <row r="187">
      <c r="A187" s="5">
        <v>186.0</v>
      </c>
      <c r="B187" s="5" t="s">
        <v>492</v>
      </c>
      <c r="C187" s="5" t="s">
        <v>20</v>
      </c>
      <c r="D187" s="5">
        <v>0.0</v>
      </c>
      <c r="E187" s="5">
        <v>40.0</v>
      </c>
      <c r="H187" s="5" t="s">
        <v>19</v>
      </c>
      <c r="I187" s="9">
        <v>46126.70122685185</v>
      </c>
      <c r="J187" s="5" t="s">
        <v>494</v>
      </c>
      <c r="K187" s="5">
        <v>40.0</v>
      </c>
      <c r="L187" s="5">
        <v>136000.0</v>
      </c>
      <c r="M187" s="5">
        <v>140000.0</v>
      </c>
      <c r="N187" s="8">
        <v>42468.0</v>
      </c>
      <c r="O187" s="5" t="s">
        <v>24</v>
      </c>
      <c r="P187" s="5" t="s">
        <v>25</v>
      </c>
      <c r="S187" s="5" t="s">
        <v>29</v>
      </c>
    </row>
    <row r="188">
      <c r="A188" s="5">
        <v>187.0</v>
      </c>
      <c r="B188" s="5" t="s">
        <v>496</v>
      </c>
      <c r="C188" s="5" t="s">
        <v>20</v>
      </c>
      <c r="D188" s="5">
        <v>9.0</v>
      </c>
      <c r="E188" s="5">
        <v>40.0</v>
      </c>
      <c r="H188" s="5" t="s">
        <v>47</v>
      </c>
      <c r="I188" s="9">
        <v>46125.771469907406</v>
      </c>
      <c r="J188" s="5" t="s">
        <v>243</v>
      </c>
      <c r="K188" s="5">
        <v>40.0</v>
      </c>
      <c r="L188" s="5">
        <v>16000.0</v>
      </c>
      <c r="M188" s="5">
        <v>17000.0</v>
      </c>
      <c r="N188" s="8">
        <v>42359.0</v>
      </c>
      <c r="O188" s="5" t="s">
        <v>50</v>
      </c>
      <c r="P188" s="5" t="s">
        <v>25</v>
      </c>
      <c r="S188" s="5" t="s">
        <v>38</v>
      </c>
    </row>
    <row r="189">
      <c r="A189" s="5">
        <v>188.0</v>
      </c>
      <c r="B189" s="5" t="s">
        <v>1579</v>
      </c>
      <c r="C189" s="5" t="s">
        <v>20</v>
      </c>
      <c r="D189" s="5">
        <v>62.0</v>
      </c>
      <c r="E189" s="5">
        <v>40.0</v>
      </c>
      <c r="H189" s="5" t="s">
        <v>1579</v>
      </c>
      <c r="I189" s="9">
        <v>46083.664456018516</v>
      </c>
      <c r="K189" s="5">
        <v>70.0</v>
      </c>
      <c r="L189" s="5">
        <v>10.0</v>
      </c>
      <c r="M189" s="5">
        <v>1100.0</v>
      </c>
      <c r="N189" s="8">
        <v>45092.0</v>
      </c>
      <c r="O189" s="5" t="s">
        <v>879</v>
      </c>
      <c r="P189" s="5" t="s">
        <v>25</v>
      </c>
      <c r="S189" s="5" t="s">
        <v>38</v>
      </c>
    </row>
    <row r="190">
      <c r="A190" s="5">
        <v>189.0</v>
      </c>
      <c r="B190" s="5" t="s">
        <v>1581</v>
      </c>
      <c r="C190" s="5" t="s">
        <v>20</v>
      </c>
      <c r="D190" s="5">
        <v>1.0</v>
      </c>
      <c r="E190" s="5">
        <v>30.0</v>
      </c>
      <c r="F190" s="5">
        <v>1.4</v>
      </c>
      <c r="G190" s="5">
        <v>1.12</v>
      </c>
      <c r="H190" s="5" t="s">
        <v>40</v>
      </c>
      <c r="I190" s="9">
        <v>46156.023148148146</v>
      </c>
      <c r="J190" s="5" t="s">
        <v>22</v>
      </c>
      <c r="K190" s="5">
        <v>30.0</v>
      </c>
      <c r="L190" s="5">
        <v>17000.0</v>
      </c>
      <c r="M190" s="5">
        <v>18000.0</v>
      </c>
      <c r="N190" s="8">
        <v>42279.0</v>
      </c>
      <c r="O190" s="5" t="s">
        <v>100</v>
      </c>
      <c r="S190" s="5" t="s">
        <v>29</v>
      </c>
    </row>
    <row r="191">
      <c r="A191" s="5">
        <v>190.0</v>
      </c>
      <c r="B191" s="5" t="s">
        <v>1584</v>
      </c>
      <c r="C191" s="5" t="s">
        <v>20</v>
      </c>
      <c r="D191" s="5">
        <v>77.0</v>
      </c>
      <c r="E191" s="5">
        <v>30.0</v>
      </c>
      <c r="F191" s="5">
        <v>0.6</v>
      </c>
      <c r="H191" s="5" t="s">
        <v>30</v>
      </c>
      <c r="I191" s="9">
        <v>46155.123125</v>
      </c>
      <c r="K191" s="5">
        <v>80.0</v>
      </c>
      <c r="L191" s="5">
        <v>26000.0</v>
      </c>
      <c r="M191" s="5">
        <v>27000.0</v>
      </c>
      <c r="N191" s="8">
        <v>44012.0</v>
      </c>
      <c r="O191" s="5" t="s">
        <v>50</v>
      </c>
      <c r="P191" s="5" t="s">
        <v>25</v>
      </c>
      <c r="S191" s="5" t="s">
        <v>38</v>
      </c>
    </row>
    <row r="192">
      <c r="A192" s="5">
        <v>191.0</v>
      </c>
      <c r="B192" s="5" t="s">
        <v>502</v>
      </c>
      <c r="C192" s="5" t="s">
        <v>20</v>
      </c>
      <c r="D192" s="5">
        <v>65.0</v>
      </c>
      <c r="E192" s="5">
        <v>30.0</v>
      </c>
      <c r="F192" s="5">
        <v>0.7</v>
      </c>
      <c r="H192" s="5" t="s">
        <v>504</v>
      </c>
      <c r="I192" s="9">
        <v>46143.76708333333</v>
      </c>
      <c r="J192" s="5" t="s">
        <v>206</v>
      </c>
      <c r="K192" s="5">
        <v>80.0</v>
      </c>
      <c r="L192" s="5">
        <v>150.0</v>
      </c>
      <c r="M192" s="5">
        <v>350.0</v>
      </c>
      <c r="N192" s="8">
        <v>43509.0</v>
      </c>
      <c r="O192" s="5" t="s">
        <v>24</v>
      </c>
      <c r="P192" s="5" t="s">
        <v>25</v>
      </c>
      <c r="S192" s="5" t="s">
        <v>118</v>
      </c>
    </row>
    <row r="193">
      <c r="A193" s="5">
        <v>192.0</v>
      </c>
      <c r="B193" s="5" t="s">
        <v>1591</v>
      </c>
      <c r="C193" s="5" t="s">
        <v>20</v>
      </c>
      <c r="D193" s="5">
        <v>80.0</v>
      </c>
      <c r="E193" s="5">
        <v>30.0</v>
      </c>
      <c r="H193" s="5" t="s">
        <v>654</v>
      </c>
      <c r="I193" s="9">
        <v>46150.234976851854</v>
      </c>
      <c r="J193" s="5" t="s">
        <v>78</v>
      </c>
      <c r="K193" s="5">
        <v>4000.0</v>
      </c>
      <c r="L193" s="5">
        <v>5400.0</v>
      </c>
      <c r="M193" s="5">
        <v>504000.0</v>
      </c>
      <c r="N193" s="8">
        <v>42271.0</v>
      </c>
      <c r="O193" s="5" t="s">
        <v>184</v>
      </c>
      <c r="P193" s="5" t="s">
        <v>25</v>
      </c>
      <c r="S193" s="5" t="s">
        <v>38</v>
      </c>
    </row>
    <row r="194">
      <c r="A194" s="5">
        <v>193.0</v>
      </c>
      <c r="B194" s="5" t="s">
        <v>505</v>
      </c>
      <c r="C194" s="5" t="s">
        <v>20</v>
      </c>
      <c r="D194" s="5">
        <v>38.0</v>
      </c>
      <c r="E194" s="5">
        <v>30.0</v>
      </c>
      <c r="F194" s="5">
        <v>1.0</v>
      </c>
      <c r="H194" s="5" t="s">
        <v>19</v>
      </c>
      <c r="I194" s="9">
        <v>46147.089155092595</v>
      </c>
      <c r="J194" s="5" t="s">
        <v>78</v>
      </c>
      <c r="K194" s="5">
        <v>90.0</v>
      </c>
      <c r="L194" s="5">
        <v>137000.0</v>
      </c>
      <c r="M194" s="5">
        <v>140000.0</v>
      </c>
      <c r="N194" s="8">
        <v>42249.0</v>
      </c>
      <c r="O194" s="5" t="s">
        <v>24</v>
      </c>
      <c r="P194" s="5" t="s">
        <v>25</v>
      </c>
      <c r="Q194" s="5" t="s">
        <v>507</v>
      </c>
      <c r="R194" s="5" t="s">
        <v>509</v>
      </c>
      <c r="S194" s="5" t="s">
        <v>118</v>
      </c>
    </row>
    <row r="195">
      <c r="A195" s="5">
        <v>194.0</v>
      </c>
      <c r="B195" s="5" t="s">
        <v>1598</v>
      </c>
      <c r="C195" s="5" t="s">
        <v>20</v>
      </c>
      <c r="D195" s="5">
        <v>81.0</v>
      </c>
      <c r="E195" s="5">
        <v>30.0</v>
      </c>
      <c r="H195" s="5" t="s">
        <v>669</v>
      </c>
      <c r="I195" s="9">
        <v>46156.72243055556</v>
      </c>
      <c r="J195" s="5" t="s">
        <v>78</v>
      </c>
      <c r="K195" s="5">
        <v>1500.0</v>
      </c>
      <c r="L195" s="5">
        <v>1300.0</v>
      </c>
      <c r="M195" s="5">
        <v>502000.0</v>
      </c>
      <c r="N195" s="8">
        <v>42445.0</v>
      </c>
      <c r="O195" s="5" t="s">
        <v>100</v>
      </c>
      <c r="P195" s="5" t="s">
        <v>25</v>
      </c>
      <c r="S195" s="5" t="s">
        <v>38</v>
      </c>
    </row>
    <row r="196">
      <c r="A196" s="5">
        <v>195.0</v>
      </c>
      <c r="B196" s="5" t="s">
        <v>460</v>
      </c>
      <c r="C196" s="5" t="s">
        <v>20</v>
      </c>
      <c r="D196" s="5">
        <v>0.0</v>
      </c>
      <c r="E196" s="5">
        <v>30.0</v>
      </c>
      <c r="H196" s="5" t="s">
        <v>461</v>
      </c>
      <c r="I196" s="9">
        <v>46132.077418981484</v>
      </c>
      <c r="J196" s="5" t="s">
        <v>78</v>
      </c>
      <c r="K196" s="5">
        <v>30.0</v>
      </c>
      <c r="L196" s="5">
        <v>100.0</v>
      </c>
      <c r="M196" s="5">
        <v>250.0</v>
      </c>
      <c r="N196" s="8">
        <v>44648.0</v>
      </c>
      <c r="O196" s="5" t="s">
        <v>184</v>
      </c>
      <c r="P196" s="5" t="s">
        <v>25</v>
      </c>
      <c r="S196" s="5" t="s">
        <v>29</v>
      </c>
    </row>
    <row r="197">
      <c r="A197" s="5">
        <v>196.0</v>
      </c>
      <c r="B197" s="5" t="s">
        <v>1606</v>
      </c>
      <c r="C197" s="5" t="s">
        <v>20</v>
      </c>
      <c r="D197" s="5">
        <v>14.0</v>
      </c>
      <c r="E197" s="5">
        <v>30.0</v>
      </c>
      <c r="H197" s="5" t="s">
        <v>1606</v>
      </c>
      <c r="I197" s="9">
        <v>46083.55400462963</v>
      </c>
      <c r="J197" s="5" t="s">
        <v>1609</v>
      </c>
      <c r="K197" s="5">
        <v>131000.0</v>
      </c>
      <c r="L197" s="5">
        <v>0.0</v>
      </c>
      <c r="M197" s="5">
        <v>1300.0</v>
      </c>
      <c r="N197" s="8">
        <v>42377.0</v>
      </c>
      <c r="O197" s="5" t="s">
        <v>50</v>
      </c>
      <c r="P197" s="5" t="s">
        <v>25</v>
      </c>
      <c r="S197" s="5" t="s">
        <v>1610</v>
      </c>
    </row>
    <row r="198">
      <c r="A198" s="5">
        <v>197.0</v>
      </c>
      <c r="B198" s="5" t="s">
        <v>516</v>
      </c>
      <c r="C198" s="5" t="s">
        <v>20</v>
      </c>
      <c r="D198" s="5">
        <v>0.0</v>
      </c>
      <c r="E198" s="5">
        <v>30.0</v>
      </c>
      <c r="H198" s="5" t="s">
        <v>19</v>
      </c>
      <c r="I198" s="9">
        <v>46145.17811342593</v>
      </c>
      <c r="J198" s="5" t="s">
        <v>197</v>
      </c>
      <c r="K198" s="5">
        <v>30.0</v>
      </c>
      <c r="L198" s="5">
        <v>137000.0</v>
      </c>
      <c r="M198" s="5">
        <v>140000.0</v>
      </c>
      <c r="N198" s="8">
        <v>42324.0</v>
      </c>
      <c r="O198" s="5" t="s">
        <v>184</v>
      </c>
      <c r="P198" s="5" t="s">
        <v>25</v>
      </c>
      <c r="S198" s="5" t="s">
        <v>38</v>
      </c>
    </row>
    <row r="199">
      <c r="A199" s="5">
        <v>198.0</v>
      </c>
      <c r="B199" s="5" t="s">
        <v>519</v>
      </c>
      <c r="C199" s="5" t="s">
        <v>20</v>
      </c>
      <c r="D199" s="5">
        <v>8.0</v>
      </c>
      <c r="E199" s="5">
        <v>30.0</v>
      </c>
      <c r="H199" s="5" t="s">
        <v>457</v>
      </c>
      <c r="I199" s="9">
        <v>46089.42491898148</v>
      </c>
      <c r="J199" s="5" t="s">
        <v>206</v>
      </c>
      <c r="K199" s="5">
        <v>30.0</v>
      </c>
      <c r="L199" s="5">
        <v>30.0</v>
      </c>
      <c r="M199" s="5">
        <v>30.0</v>
      </c>
      <c r="N199" s="8">
        <v>43999.0</v>
      </c>
      <c r="O199" s="5" t="s">
        <v>24</v>
      </c>
      <c r="P199" s="5" t="s">
        <v>25</v>
      </c>
      <c r="S199" s="5" t="s">
        <v>118</v>
      </c>
    </row>
    <row r="200">
      <c r="A200" s="5">
        <v>199.0</v>
      </c>
      <c r="B200" s="5" t="s">
        <v>463</v>
      </c>
      <c r="C200" s="5" t="s">
        <v>20</v>
      </c>
      <c r="D200" s="5">
        <v>2.0</v>
      </c>
      <c r="E200" s="5">
        <v>30.0</v>
      </c>
      <c r="F200" s="5">
        <v>1.0</v>
      </c>
      <c r="H200" s="5" t="s">
        <v>19</v>
      </c>
      <c r="I200" s="9">
        <v>46149.05769675926</v>
      </c>
      <c r="J200" s="5" t="s">
        <v>151</v>
      </c>
      <c r="K200" s="5">
        <v>30.0</v>
      </c>
      <c r="L200" s="5">
        <v>137000.0</v>
      </c>
      <c r="M200" s="5">
        <v>140000.0</v>
      </c>
      <c r="N200" s="8">
        <v>42276.0</v>
      </c>
      <c r="O200" s="5" t="s">
        <v>464</v>
      </c>
      <c r="P200" s="5" t="s">
        <v>25</v>
      </c>
      <c r="S200" s="5" t="s">
        <v>29</v>
      </c>
    </row>
    <row r="201">
      <c r="A201" s="5">
        <v>200.0</v>
      </c>
      <c r="B201" s="5" t="s">
        <v>1617</v>
      </c>
      <c r="C201" s="5" t="s">
        <v>20</v>
      </c>
      <c r="D201" s="5">
        <v>74.0</v>
      </c>
      <c r="E201" s="5">
        <v>30.0</v>
      </c>
      <c r="H201" s="5" t="s">
        <v>148</v>
      </c>
      <c r="I201" s="9">
        <v>46147.80061342593</v>
      </c>
      <c r="K201" s="5">
        <v>30.0</v>
      </c>
      <c r="L201" s="5">
        <v>150.0</v>
      </c>
      <c r="M201" s="5">
        <v>500.0</v>
      </c>
      <c r="N201" s="8">
        <v>42412.0</v>
      </c>
      <c r="O201" s="5" t="s">
        <v>24</v>
      </c>
      <c r="P201" s="5" t="s">
        <v>25</v>
      </c>
      <c r="S201" s="5" t="s">
        <v>38</v>
      </c>
    </row>
    <row r="202">
      <c r="A202" s="5">
        <v>201.0</v>
      </c>
      <c r="B202" s="5" t="s">
        <v>1621</v>
      </c>
      <c r="C202" s="5" t="s">
        <v>20</v>
      </c>
      <c r="D202" s="5">
        <v>75.0</v>
      </c>
      <c r="E202" s="5">
        <v>30.0</v>
      </c>
      <c r="F202" s="5">
        <v>0.3</v>
      </c>
      <c r="H202" s="5" t="s">
        <v>30</v>
      </c>
      <c r="I202" s="9">
        <v>46143.560902777775</v>
      </c>
      <c r="J202" s="5" t="s">
        <v>206</v>
      </c>
      <c r="K202" s="5">
        <v>40.0</v>
      </c>
      <c r="L202" s="5">
        <v>26000.0</v>
      </c>
      <c r="M202" s="5">
        <v>27000.0</v>
      </c>
      <c r="N202" s="8">
        <v>44000.0</v>
      </c>
      <c r="O202" s="5" t="s">
        <v>50</v>
      </c>
      <c r="P202" s="5" t="s">
        <v>25</v>
      </c>
      <c r="S202" s="5" t="s">
        <v>38</v>
      </c>
    </row>
    <row r="203">
      <c r="A203" s="5">
        <v>202.0</v>
      </c>
      <c r="B203" s="5" t="s">
        <v>1625</v>
      </c>
      <c r="C203" s="5" t="s">
        <v>20</v>
      </c>
      <c r="D203" s="5">
        <v>82.0</v>
      </c>
      <c r="E203" s="5">
        <v>30.0</v>
      </c>
      <c r="H203" s="5" t="s">
        <v>654</v>
      </c>
      <c r="I203" s="9">
        <v>46082.69509259259</v>
      </c>
      <c r="K203" s="5">
        <v>34000.0</v>
      </c>
      <c r="L203" s="5">
        <v>5100.0</v>
      </c>
      <c r="M203" s="5">
        <v>596000.0</v>
      </c>
      <c r="N203" s="8">
        <v>42373.0</v>
      </c>
      <c r="O203" s="5" t="s">
        <v>50</v>
      </c>
      <c r="P203" s="5" t="s">
        <v>25</v>
      </c>
      <c r="S203" s="5" t="s">
        <v>38</v>
      </c>
    </row>
    <row r="204">
      <c r="A204" s="5">
        <v>203.0</v>
      </c>
      <c r="B204" s="5" t="s">
        <v>524</v>
      </c>
      <c r="C204" s="5" t="s">
        <v>20</v>
      </c>
      <c r="D204" s="5">
        <v>12.0</v>
      </c>
      <c r="E204" s="5">
        <v>30.0</v>
      </c>
      <c r="H204" s="5" t="s">
        <v>19</v>
      </c>
      <c r="I204" s="9">
        <v>46089.892280092594</v>
      </c>
      <c r="J204" s="5" t="s">
        <v>151</v>
      </c>
      <c r="K204" s="5">
        <v>30.0</v>
      </c>
      <c r="L204" s="5">
        <v>145000.0</v>
      </c>
      <c r="M204" s="5">
        <v>149000.0</v>
      </c>
      <c r="N204" s="8">
        <v>45022.0</v>
      </c>
      <c r="O204" s="5" t="s">
        <v>100</v>
      </c>
      <c r="P204" s="5" t="s">
        <v>25</v>
      </c>
      <c r="S204" s="5" t="s">
        <v>118</v>
      </c>
    </row>
    <row r="205">
      <c r="A205" s="5">
        <v>204.0</v>
      </c>
      <c r="B205" s="5" t="s">
        <v>1630</v>
      </c>
      <c r="C205" s="5" t="s">
        <v>20</v>
      </c>
      <c r="D205" s="5">
        <v>58.0</v>
      </c>
      <c r="E205" s="5">
        <v>30.0</v>
      </c>
      <c r="H205" s="5" t="s">
        <v>148</v>
      </c>
      <c r="I205" s="9">
        <v>46144.80913194444</v>
      </c>
      <c r="J205" s="5" t="s">
        <v>206</v>
      </c>
      <c r="K205" s="5">
        <v>30.0</v>
      </c>
      <c r="L205" s="5">
        <v>80.0</v>
      </c>
      <c r="M205" s="5">
        <v>100.0</v>
      </c>
      <c r="N205" s="8">
        <v>43028.0</v>
      </c>
      <c r="O205" s="5" t="s">
        <v>24</v>
      </c>
      <c r="P205" s="5" t="s">
        <v>25</v>
      </c>
      <c r="S205" s="5" t="s">
        <v>38</v>
      </c>
    </row>
    <row r="206">
      <c r="A206" s="5">
        <v>205.0</v>
      </c>
      <c r="B206" s="5" t="s">
        <v>1633</v>
      </c>
      <c r="C206" s="5" t="s">
        <v>20</v>
      </c>
      <c r="D206" s="5">
        <v>62.0</v>
      </c>
      <c r="E206" s="5">
        <v>30.0</v>
      </c>
      <c r="G206" s="5">
        <v>1.01</v>
      </c>
      <c r="H206" s="5" t="s">
        <v>1635</v>
      </c>
      <c r="I206" s="9">
        <v>46077.41422453704</v>
      </c>
      <c r="J206" s="5" t="s">
        <v>206</v>
      </c>
      <c r="K206" s="5">
        <v>50.0</v>
      </c>
      <c r="L206" s="5">
        <v>150.0</v>
      </c>
      <c r="M206" s="5">
        <v>350.0</v>
      </c>
      <c r="N206" s="8">
        <v>42250.0</v>
      </c>
      <c r="O206" s="5" t="s">
        <v>24</v>
      </c>
      <c r="P206" s="5" t="s">
        <v>25</v>
      </c>
      <c r="Q206" s="5" t="s">
        <v>1639</v>
      </c>
      <c r="R206" s="5" t="s">
        <v>1640</v>
      </c>
      <c r="S206" s="5" t="s">
        <v>38</v>
      </c>
    </row>
    <row r="207">
      <c r="A207" s="5">
        <v>206.0</v>
      </c>
      <c r="B207" s="5" t="s">
        <v>1642</v>
      </c>
      <c r="C207" s="5" t="s">
        <v>20</v>
      </c>
      <c r="D207" s="5">
        <v>2.0</v>
      </c>
      <c r="E207" s="5">
        <v>30.0</v>
      </c>
      <c r="H207" s="5" t="s">
        <v>148</v>
      </c>
      <c r="I207" s="9">
        <v>46123.03989583333</v>
      </c>
      <c r="J207" s="5" t="s">
        <v>78</v>
      </c>
      <c r="K207" s="5">
        <v>30.0</v>
      </c>
      <c r="L207" s="5">
        <v>150.0</v>
      </c>
      <c r="M207" s="5">
        <v>500.0</v>
      </c>
      <c r="N207" s="8">
        <v>42386.0</v>
      </c>
      <c r="O207" s="5" t="s">
        <v>24</v>
      </c>
      <c r="P207" s="5" t="s">
        <v>25</v>
      </c>
      <c r="S207" s="5" t="s">
        <v>38</v>
      </c>
    </row>
    <row r="208">
      <c r="A208" s="5">
        <v>207.0</v>
      </c>
      <c r="B208" s="5" t="s">
        <v>528</v>
      </c>
      <c r="C208" s="5" t="s">
        <v>20</v>
      </c>
      <c r="D208" s="5">
        <v>47.0</v>
      </c>
      <c r="E208" s="5">
        <v>30.0</v>
      </c>
      <c r="H208" s="5" t="s">
        <v>504</v>
      </c>
      <c r="I208" s="9">
        <v>46149.004282407404</v>
      </c>
      <c r="J208" s="5" t="s">
        <v>206</v>
      </c>
      <c r="K208" s="5">
        <v>60.0</v>
      </c>
      <c r="L208" s="5">
        <v>150.0</v>
      </c>
      <c r="M208" s="5">
        <v>400.0</v>
      </c>
      <c r="N208" s="8">
        <v>43035.0</v>
      </c>
      <c r="O208" s="5" t="s">
        <v>530</v>
      </c>
      <c r="P208" s="5" t="s">
        <v>25</v>
      </c>
      <c r="Q208" s="5" t="s">
        <v>531</v>
      </c>
      <c r="R208" s="5" t="s">
        <v>532</v>
      </c>
      <c r="S208" s="5" t="s">
        <v>29</v>
      </c>
    </row>
    <row r="209">
      <c r="A209" s="5">
        <v>208.0</v>
      </c>
      <c r="B209" s="5" t="s">
        <v>1650</v>
      </c>
      <c r="C209" s="5" t="s">
        <v>20</v>
      </c>
      <c r="D209" s="5">
        <v>1.0</v>
      </c>
      <c r="E209" s="5">
        <v>30.0</v>
      </c>
      <c r="F209" s="5">
        <v>1.4</v>
      </c>
      <c r="H209" s="5" t="s">
        <v>19</v>
      </c>
      <c r="I209" s="9">
        <v>46160.50855324074</v>
      </c>
      <c r="J209" s="5" t="s">
        <v>33</v>
      </c>
      <c r="K209" s="5">
        <v>30.0</v>
      </c>
      <c r="L209" s="5">
        <v>131000.0</v>
      </c>
      <c r="M209" s="5">
        <v>135000.0</v>
      </c>
      <c r="N209" s="8">
        <v>43447.0</v>
      </c>
      <c r="O209" s="5" t="s">
        <v>24</v>
      </c>
      <c r="P209" s="5" t="s">
        <v>25</v>
      </c>
      <c r="S209" s="5" t="s">
        <v>29</v>
      </c>
    </row>
    <row r="210">
      <c r="A210" s="5">
        <v>209.0</v>
      </c>
      <c r="B210" s="5" t="s">
        <v>1655</v>
      </c>
      <c r="C210" s="5" t="s">
        <v>20</v>
      </c>
      <c r="D210" s="5">
        <v>12.0</v>
      </c>
      <c r="E210" s="5">
        <v>30.0</v>
      </c>
      <c r="H210" s="5" t="s">
        <v>148</v>
      </c>
      <c r="I210" s="9">
        <v>46082.38416666666</v>
      </c>
      <c r="J210" s="5" t="s">
        <v>1657</v>
      </c>
      <c r="K210" s="5">
        <v>30.0</v>
      </c>
      <c r="L210" s="5">
        <v>150.0</v>
      </c>
      <c r="M210" s="5">
        <v>200.0</v>
      </c>
      <c r="N210" s="8">
        <v>44626.0</v>
      </c>
      <c r="O210" s="5" t="s">
        <v>100</v>
      </c>
      <c r="P210" s="5" t="s">
        <v>25</v>
      </c>
      <c r="S210" s="5" t="s">
        <v>38</v>
      </c>
    </row>
    <row r="211">
      <c r="A211" s="5">
        <v>210.0</v>
      </c>
      <c r="B211" s="5" t="s">
        <v>1660</v>
      </c>
      <c r="C211" s="5" t="s">
        <v>20</v>
      </c>
      <c r="D211" s="5">
        <v>73.0</v>
      </c>
      <c r="E211" s="5">
        <v>30.0</v>
      </c>
      <c r="H211" s="5" t="s">
        <v>1300</v>
      </c>
      <c r="I211" s="9">
        <v>46162.72712962963</v>
      </c>
      <c r="K211" s="5">
        <v>24000.0</v>
      </c>
      <c r="L211" s="5">
        <v>250.0</v>
      </c>
      <c r="M211" s="5">
        <v>423000.0</v>
      </c>
      <c r="N211" s="8">
        <v>42273.0</v>
      </c>
      <c r="O211" s="5" t="s">
        <v>184</v>
      </c>
      <c r="P211" s="5" t="s">
        <v>25</v>
      </c>
      <c r="S211" s="5" t="s">
        <v>38</v>
      </c>
    </row>
    <row r="212">
      <c r="A212" s="5">
        <v>211.0</v>
      </c>
      <c r="B212" s="10" t="s">
        <v>1665</v>
      </c>
      <c r="C212" s="5" t="s">
        <v>20</v>
      </c>
      <c r="D212" s="5">
        <v>0.0</v>
      </c>
      <c r="E212" s="5">
        <v>30.0</v>
      </c>
      <c r="H212" s="5" t="s">
        <v>40</v>
      </c>
      <c r="I212" s="9">
        <v>46055.53925925926</v>
      </c>
      <c r="J212" s="5" t="s">
        <v>243</v>
      </c>
      <c r="K212" s="5">
        <v>30.0</v>
      </c>
      <c r="L212" s="5">
        <v>21000.0</v>
      </c>
      <c r="M212" s="5">
        <v>23000.0</v>
      </c>
      <c r="N212" s="8">
        <v>42388.0</v>
      </c>
      <c r="O212" s="5" t="s">
        <v>100</v>
      </c>
      <c r="S212" s="5" t="s">
        <v>38</v>
      </c>
    </row>
    <row r="213">
      <c r="A213" s="5">
        <v>212.0</v>
      </c>
      <c r="B213" s="5" t="s">
        <v>534</v>
      </c>
      <c r="C213" s="5" t="s">
        <v>20</v>
      </c>
      <c r="D213" s="5">
        <v>0.0</v>
      </c>
      <c r="E213" s="5">
        <v>20.0</v>
      </c>
      <c r="H213" s="5" t="s">
        <v>19</v>
      </c>
      <c r="I213" s="9">
        <v>46101.0403125</v>
      </c>
      <c r="J213" s="5" t="s">
        <v>78</v>
      </c>
      <c r="K213" s="5">
        <v>20.0</v>
      </c>
      <c r="L213" s="5">
        <v>141000.0</v>
      </c>
      <c r="M213" s="5">
        <v>145000.0</v>
      </c>
      <c r="N213" s="8">
        <v>44155.0</v>
      </c>
      <c r="O213" s="5" t="s">
        <v>80</v>
      </c>
      <c r="P213" s="5" t="s">
        <v>25</v>
      </c>
      <c r="S213" s="5" t="s">
        <v>29</v>
      </c>
    </row>
    <row r="214">
      <c r="A214" s="5">
        <v>213.0</v>
      </c>
      <c r="B214" s="5" t="s">
        <v>468</v>
      </c>
      <c r="C214" s="5" t="s">
        <v>20</v>
      </c>
      <c r="D214" s="5">
        <v>14.0</v>
      </c>
      <c r="E214" s="5">
        <v>20.0</v>
      </c>
      <c r="H214" s="5" t="s">
        <v>19</v>
      </c>
      <c r="I214" s="9">
        <v>46125.69761574074</v>
      </c>
      <c r="J214" s="5" t="s">
        <v>471</v>
      </c>
      <c r="K214" s="5">
        <v>20.0</v>
      </c>
      <c r="L214" s="5">
        <v>136000.0</v>
      </c>
      <c r="M214" s="5">
        <v>140000.0</v>
      </c>
      <c r="N214" s="8">
        <v>43014.0</v>
      </c>
      <c r="O214" s="5" t="s">
        <v>184</v>
      </c>
      <c r="P214" s="5" t="s">
        <v>25</v>
      </c>
      <c r="S214" s="5" t="s">
        <v>29</v>
      </c>
    </row>
    <row r="215">
      <c r="A215" s="5">
        <v>214.0</v>
      </c>
      <c r="B215" s="5" t="s">
        <v>472</v>
      </c>
      <c r="C215" s="5" t="s">
        <v>20</v>
      </c>
      <c r="D215" s="5">
        <v>0.0</v>
      </c>
      <c r="E215" s="5">
        <v>20.0</v>
      </c>
      <c r="H215" s="5" t="s">
        <v>457</v>
      </c>
      <c r="I215" s="9">
        <v>46161.257835648146</v>
      </c>
      <c r="J215" s="5" t="s">
        <v>473</v>
      </c>
      <c r="K215" s="5">
        <v>20.0</v>
      </c>
      <c r="L215" s="5">
        <v>40.0</v>
      </c>
      <c r="M215" s="5">
        <v>40.0</v>
      </c>
      <c r="N215" s="8">
        <v>42314.0</v>
      </c>
      <c r="O215" s="5" t="s">
        <v>24</v>
      </c>
      <c r="P215" s="5" t="s">
        <v>25</v>
      </c>
      <c r="S215" s="5" t="s">
        <v>118</v>
      </c>
    </row>
    <row r="216">
      <c r="A216" s="5">
        <v>215.0</v>
      </c>
      <c r="B216" s="5" t="s">
        <v>1681</v>
      </c>
      <c r="C216" s="5" t="s">
        <v>20</v>
      </c>
      <c r="D216" s="5">
        <v>73.0</v>
      </c>
      <c r="E216" s="5">
        <v>20.0</v>
      </c>
      <c r="H216" s="5" t="s">
        <v>61</v>
      </c>
      <c r="I216" s="9">
        <v>46085.18225694444</v>
      </c>
      <c r="J216" s="5" t="s">
        <v>206</v>
      </c>
      <c r="K216" s="5">
        <v>40.0</v>
      </c>
      <c r="L216" s="5">
        <v>11000.0</v>
      </c>
      <c r="M216" s="5">
        <v>11000.0</v>
      </c>
      <c r="N216" s="8">
        <v>42570.0</v>
      </c>
      <c r="O216" s="5" t="s">
        <v>50</v>
      </c>
      <c r="P216" s="5" t="s">
        <v>25</v>
      </c>
      <c r="S216" s="5" t="s">
        <v>38</v>
      </c>
    </row>
    <row r="217">
      <c r="A217" s="5">
        <v>216.0</v>
      </c>
      <c r="B217" s="5" t="s">
        <v>539</v>
      </c>
      <c r="C217" s="5" t="s">
        <v>20</v>
      </c>
      <c r="D217" s="5">
        <v>73.0</v>
      </c>
      <c r="E217" s="5">
        <v>20.0</v>
      </c>
      <c r="F217" s="5">
        <v>0.25</v>
      </c>
      <c r="H217" s="5" t="s">
        <v>300</v>
      </c>
      <c r="I217" s="9">
        <v>46160.83896990741</v>
      </c>
      <c r="K217" s="5">
        <v>20.0</v>
      </c>
      <c r="L217" s="5">
        <v>1000.0</v>
      </c>
      <c r="M217" s="5">
        <v>1100.0</v>
      </c>
      <c r="N217" s="8">
        <v>42536.0</v>
      </c>
      <c r="O217" s="5" t="s">
        <v>24</v>
      </c>
      <c r="P217" s="5" t="s">
        <v>25</v>
      </c>
      <c r="S217" s="5" t="s">
        <v>118</v>
      </c>
    </row>
    <row r="218">
      <c r="A218" s="5">
        <v>217.0</v>
      </c>
      <c r="B218" s="5" t="s">
        <v>1687</v>
      </c>
      <c r="C218" s="5" t="s">
        <v>20</v>
      </c>
      <c r="D218" s="5">
        <v>31.0</v>
      </c>
      <c r="E218" s="5">
        <v>20.0</v>
      </c>
      <c r="H218" s="5" t="s">
        <v>19</v>
      </c>
      <c r="I218" s="9">
        <v>46149.00011574074</v>
      </c>
      <c r="J218" s="5" t="s">
        <v>78</v>
      </c>
      <c r="K218" s="5">
        <v>150.0</v>
      </c>
      <c r="L218" s="5">
        <v>137000.0</v>
      </c>
      <c r="M218" s="5">
        <v>140000.0</v>
      </c>
      <c r="N218" s="8">
        <v>42522.0</v>
      </c>
      <c r="O218" s="5" t="s">
        <v>583</v>
      </c>
      <c r="P218" s="5" t="s">
        <v>25</v>
      </c>
      <c r="S218" s="5" t="s">
        <v>1690</v>
      </c>
    </row>
    <row r="219">
      <c r="A219" s="5">
        <v>218.0</v>
      </c>
      <c r="B219" s="5" t="s">
        <v>475</v>
      </c>
      <c r="C219" s="5" t="s">
        <v>20</v>
      </c>
      <c r="D219" s="5">
        <v>24.0</v>
      </c>
      <c r="E219" s="5">
        <v>20.0</v>
      </c>
      <c r="H219" s="5" t="s">
        <v>148</v>
      </c>
      <c r="I219" s="9">
        <v>46157.35157407408</v>
      </c>
      <c r="J219" s="5" t="s">
        <v>78</v>
      </c>
      <c r="K219" s="5">
        <v>20.0</v>
      </c>
      <c r="L219" s="5">
        <v>70.0</v>
      </c>
      <c r="M219" s="5">
        <v>90.0</v>
      </c>
      <c r="N219" s="8">
        <v>42458.0</v>
      </c>
      <c r="O219" s="5" t="s">
        <v>24</v>
      </c>
      <c r="P219" s="5" t="s">
        <v>25</v>
      </c>
      <c r="S219" s="5" t="s">
        <v>38</v>
      </c>
    </row>
    <row r="220">
      <c r="A220" s="5">
        <v>219.0</v>
      </c>
      <c r="B220" s="5" t="s">
        <v>544</v>
      </c>
      <c r="C220" s="5" t="s">
        <v>20</v>
      </c>
      <c r="D220" s="5">
        <v>74.0</v>
      </c>
      <c r="E220" s="5">
        <v>20.0</v>
      </c>
      <c r="H220" s="5" t="s">
        <v>61</v>
      </c>
      <c r="I220" s="9">
        <v>46161.261145833334</v>
      </c>
      <c r="J220" s="5" t="s">
        <v>206</v>
      </c>
      <c r="K220" s="5">
        <v>900.0</v>
      </c>
      <c r="L220" s="5">
        <v>11000.0</v>
      </c>
      <c r="M220" s="5">
        <v>12000.0</v>
      </c>
      <c r="N220" s="8">
        <v>42767.0</v>
      </c>
      <c r="O220" s="5" t="s">
        <v>50</v>
      </c>
      <c r="P220" s="5" t="s">
        <v>25</v>
      </c>
      <c r="S220" s="5" t="s">
        <v>38</v>
      </c>
    </row>
    <row r="221">
      <c r="A221" s="5">
        <v>220.0</v>
      </c>
      <c r="B221" s="5" t="s">
        <v>1697</v>
      </c>
      <c r="C221" s="5" t="s">
        <v>20</v>
      </c>
      <c r="D221" s="5">
        <v>10.0</v>
      </c>
      <c r="E221" s="5">
        <v>20.0</v>
      </c>
      <c r="H221" s="5" t="s">
        <v>19</v>
      </c>
      <c r="I221" s="9">
        <v>46160.36787037037</v>
      </c>
      <c r="J221" s="5" t="s">
        <v>1700</v>
      </c>
      <c r="K221" s="5">
        <v>3800.0</v>
      </c>
      <c r="L221" s="5">
        <v>131000.0</v>
      </c>
      <c r="M221" s="5">
        <v>135000.0</v>
      </c>
      <c r="N221" s="8">
        <v>42727.0</v>
      </c>
      <c r="O221" s="5" t="s">
        <v>50</v>
      </c>
      <c r="S221" s="5" t="s">
        <v>1702</v>
      </c>
    </row>
    <row r="222">
      <c r="A222" s="5">
        <v>221.0</v>
      </c>
      <c r="B222" s="5" t="s">
        <v>1704</v>
      </c>
      <c r="C222" s="5" t="s">
        <v>20</v>
      </c>
      <c r="D222" s="5">
        <v>76.0</v>
      </c>
      <c r="E222" s="5">
        <v>20.0</v>
      </c>
      <c r="H222" s="5" t="s">
        <v>1706</v>
      </c>
      <c r="I222" s="9">
        <v>46107.10548611111</v>
      </c>
      <c r="J222" s="5" t="s">
        <v>151</v>
      </c>
      <c r="K222" s="5">
        <v>20.0</v>
      </c>
      <c r="L222" s="5">
        <v>200.0</v>
      </c>
      <c r="M222" s="5">
        <v>220000.0</v>
      </c>
      <c r="N222" s="8">
        <v>42419.0</v>
      </c>
      <c r="O222" s="5" t="s">
        <v>184</v>
      </c>
      <c r="P222" s="5" t="s">
        <v>25</v>
      </c>
      <c r="S222" s="5" t="s">
        <v>38</v>
      </c>
    </row>
    <row r="223">
      <c r="A223" s="5">
        <v>222.0</v>
      </c>
      <c r="B223" s="5" t="s">
        <v>550</v>
      </c>
      <c r="C223" s="5" t="s">
        <v>20</v>
      </c>
      <c r="D223" s="5">
        <v>3.0</v>
      </c>
      <c r="E223" s="5">
        <v>20.0</v>
      </c>
      <c r="H223" s="5" t="s">
        <v>277</v>
      </c>
      <c r="I223" s="9">
        <v>46144.156805555554</v>
      </c>
      <c r="J223" s="5" t="s">
        <v>206</v>
      </c>
      <c r="K223" s="5">
        <v>20.0</v>
      </c>
      <c r="L223" s="5">
        <v>90.0</v>
      </c>
      <c r="M223" s="5">
        <v>90.0</v>
      </c>
      <c r="N223" s="8">
        <v>44360.0</v>
      </c>
      <c r="O223" s="5" t="s">
        <v>24</v>
      </c>
      <c r="P223" s="5" t="s">
        <v>25</v>
      </c>
      <c r="S223" s="5" t="s">
        <v>118</v>
      </c>
    </row>
    <row r="224">
      <c r="A224" s="5">
        <v>223.0</v>
      </c>
      <c r="B224" s="5" t="s">
        <v>1713</v>
      </c>
      <c r="C224" s="5" t="s">
        <v>20</v>
      </c>
      <c r="D224" s="5">
        <v>54.0</v>
      </c>
      <c r="E224" s="5">
        <v>20.0</v>
      </c>
      <c r="H224" s="5" t="s">
        <v>47</v>
      </c>
      <c r="I224" s="9">
        <v>46160.84307870371</v>
      </c>
      <c r="J224" s="5" t="s">
        <v>78</v>
      </c>
      <c r="K224" s="5">
        <v>30.0</v>
      </c>
      <c r="L224" s="5">
        <v>16000.0</v>
      </c>
      <c r="M224" s="5">
        <v>16000.0</v>
      </c>
      <c r="N224" s="8">
        <v>42407.0</v>
      </c>
      <c r="O224" s="5" t="s">
        <v>80</v>
      </c>
      <c r="S224" s="5" t="s">
        <v>29</v>
      </c>
    </row>
    <row r="225">
      <c r="A225" s="5">
        <v>224.0</v>
      </c>
      <c r="B225" s="5" t="s">
        <v>552</v>
      </c>
      <c r="C225" s="5" t="s">
        <v>20</v>
      </c>
      <c r="D225" s="5">
        <v>63.0</v>
      </c>
      <c r="E225" s="5">
        <v>20.0</v>
      </c>
      <c r="H225" s="5" t="s">
        <v>285</v>
      </c>
      <c r="I225" s="9">
        <v>46082.531180555554</v>
      </c>
      <c r="J225" s="5" t="s">
        <v>206</v>
      </c>
      <c r="K225" s="5">
        <v>20.0</v>
      </c>
      <c r="L225" s="5">
        <v>3500.0</v>
      </c>
      <c r="M225" s="5">
        <v>3700.0</v>
      </c>
      <c r="N225" s="8">
        <v>44872.0</v>
      </c>
      <c r="O225" s="5" t="s">
        <v>24</v>
      </c>
      <c r="P225" s="5" t="s">
        <v>25</v>
      </c>
      <c r="S225" s="5" t="s">
        <v>157</v>
      </c>
    </row>
    <row r="226">
      <c r="A226" s="5">
        <v>225.0</v>
      </c>
      <c r="B226" s="5" t="s">
        <v>555</v>
      </c>
      <c r="C226" s="5" t="s">
        <v>20</v>
      </c>
      <c r="D226" s="5">
        <v>0.0</v>
      </c>
      <c r="E226" s="5">
        <v>20.0</v>
      </c>
      <c r="H226" s="5" t="s">
        <v>19</v>
      </c>
      <c r="I226" s="9">
        <v>46162.50802083333</v>
      </c>
      <c r="J226" s="5" t="s">
        <v>151</v>
      </c>
      <c r="K226" s="5">
        <v>90.0</v>
      </c>
      <c r="L226" s="5">
        <v>131000.0</v>
      </c>
      <c r="M226" s="5">
        <v>135000.0</v>
      </c>
      <c r="N226" s="8">
        <v>42319.0</v>
      </c>
      <c r="O226" s="5" t="s">
        <v>100</v>
      </c>
      <c r="P226" s="5" t="s">
        <v>25</v>
      </c>
      <c r="S226" s="5" t="s">
        <v>38</v>
      </c>
    </row>
    <row r="227">
      <c r="A227" s="5">
        <v>226.0</v>
      </c>
      <c r="B227" s="5" t="s">
        <v>559</v>
      </c>
      <c r="C227" s="5" t="s">
        <v>20</v>
      </c>
      <c r="D227" s="5">
        <v>4.0</v>
      </c>
      <c r="E227" s="5">
        <v>20.0</v>
      </c>
      <c r="H227" s="5" t="s">
        <v>30</v>
      </c>
      <c r="I227" s="9">
        <v>46148.34883101852</v>
      </c>
      <c r="J227" s="5" t="s">
        <v>78</v>
      </c>
      <c r="K227" s="5">
        <v>20.0</v>
      </c>
      <c r="L227" s="5">
        <v>26000.0</v>
      </c>
      <c r="M227" s="5">
        <v>27000.0</v>
      </c>
      <c r="N227" s="8">
        <v>43456.0</v>
      </c>
      <c r="O227" s="5" t="s">
        <v>184</v>
      </c>
      <c r="P227" s="5" t="s">
        <v>25</v>
      </c>
      <c r="S227" s="5" t="s">
        <v>38</v>
      </c>
    </row>
    <row r="228">
      <c r="A228" s="5">
        <v>227.0</v>
      </c>
      <c r="B228" s="5" t="s">
        <v>1724</v>
      </c>
      <c r="C228" s="5" t="s">
        <v>20</v>
      </c>
      <c r="D228" s="5">
        <v>73.0</v>
      </c>
      <c r="E228" s="5">
        <v>20.0</v>
      </c>
      <c r="H228" s="5" t="s">
        <v>1300</v>
      </c>
      <c r="I228" s="9">
        <v>46148.49435185185</v>
      </c>
      <c r="J228" s="5" t="s">
        <v>206</v>
      </c>
      <c r="K228" s="5">
        <v>2200.0</v>
      </c>
      <c r="L228" s="5">
        <v>250.0</v>
      </c>
      <c r="M228" s="5">
        <v>212000.0</v>
      </c>
      <c r="N228" s="8">
        <v>43195.0</v>
      </c>
      <c r="O228" s="5" t="s">
        <v>184</v>
      </c>
      <c r="P228" s="5" t="s">
        <v>25</v>
      </c>
      <c r="S228" s="5" t="s">
        <v>38</v>
      </c>
    </row>
    <row r="229">
      <c r="A229" s="5">
        <v>228.0</v>
      </c>
      <c r="B229" s="5" t="s">
        <v>564</v>
      </c>
      <c r="C229" s="5" t="s">
        <v>20</v>
      </c>
      <c r="D229" s="5">
        <v>0.0</v>
      </c>
      <c r="E229" s="5">
        <v>20.0</v>
      </c>
      <c r="H229" s="5" t="s">
        <v>19</v>
      </c>
      <c r="I229" s="9">
        <v>46088.398935185185</v>
      </c>
      <c r="J229" s="5" t="s">
        <v>78</v>
      </c>
      <c r="K229" s="5">
        <v>20.0</v>
      </c>
      <c r="L229" s="5">
        <v>145000.0</v>
      </c>
      <c r="M229" s="5">
        <v>149000.0</v>
      </c>
      <c r="N229" s="8">
        <v>42542.0</v>
      </c>
      <c r="O229" s="5" t="s">
        <v>80</v>
      </c>
      <c r="P229" s="5" t="s">
        <v>25</v>
      </c>
      <c r="S229" s="5" t="s">
        <v>118</v>
      </c>
    </row>
    <row r="230">
      <c r="A230" s="5">
        <v>229.0</v>
      </c>
      <c r="B230" s="5" t="s">
        <v>566</v>
      </c>
      <c r="C230" s="5" t="s">
        <v>20</v>
      </c>
      <c r="D230" s="5">
        <v>36.0</v>
      </c>
      <c r="E230" s="5">
        <v>20.0</v>
      </c>
      <c r="H230" s="5" t="s">
        <v>30</v>
      </c>
      <c r="I230" s="9">
        <v>46123.770625</v>
      </c>
      <c r="J230" s="5" t="s">
        <v>22</v>
      </c>
      <c r="K230" s="5">
        <v>20.0</v>
      </c>
      <c r="L230" s="5">
        <v>26000.0</v>
      </c>
      <c r="M230" s="5">
        <v>27000.0</v>
      </c>
      <c r="N230" s="8">
        <v>43855.0</v>
      </c>
      <c r="O230" s="5" t="s">
        <v>24</v>
      </c>
      <c r="P230" s="5" t="s">
        <v>25</v>
      </c>
      <c r="S230" s="5" t="s">
        <v>38</v>
      </c>
    </row>
    <row r="231">
      <c r="A231" s="5">
        <v>230.0</v>
      </c>
      <c r="B231" s="5" t="s">
        <v>1732</v>
      </c>
      <c r="C231" s="5" t="s">
        <v>20</v>
      </c>
      <c r="D231" s="5">
        <v>71.0</v>
      </c>
      <c r="E231" s="5">
        <v>20.0</v>
      </c>
      <c r="H231" s="5" t="s">
        <v>147</v>
      </c>
      <c r="I231" s="9">
        <v>46142.56380787037</v>
      </c>
      <c r="J231" s="5" t="s">
        <v>206</v>
      </c>
      <c r="K231" s="5">
        <v>20.0</v>
      </c>
      <c r="L231" s="5">
        <v>2100.0</v>
      </c>
      <c r="M231" s="5">
        <v>3200.0</v>
      </c>
      <c r="N231" s="8">
        <v>44521.0</v>
      </c>
      <c r="O231" s="5" t="s">
        <v>24</v>
      </c>
      <c r="P231" s="5" t="s">
        <v>25</v>
      </c>
      <c r="S231" s="5" t="s">
        <v>38</v>
      </c>
    </row>
    <row r="232">
      <c r="A232" s="5">
        <v>231.0</v>
      </c>
      <c r="B232" s="5" t="s">
        <v>573</v>
      </c>
      <c r="C232" s="5" t="s">
        <v>20</v>
      </c>
      <c r="D232" s="5">
        <v>0.0</v>
      </c>
      <c r="E232" s="5">
        <v>20.0</v>
      </c>
      <c r="H232" s="5" t="s">
        <v>340</v>
      </c>
      <c r="I232" s="9">
        <v>46083.36078703704</v>
      </c>
      <c r="J232" s="5" t="s">
        <v>197</v>
      </c>
      <c r="K232" s="5">
        <v>20.0</v>
      </c>
      <c r="L232" s="5">
        <v>13000.0</v>
      </c>
      <c r="M232" s="5">
        <v>18000.0</v>
      </c>
      <c r="N232" s="8">
        <v>42298.0</v>
      </c>
      <c r="O232" s="5" t="s">
        <v>24</v>
      </c>
      <c r="P232" s="5" t="s">
        <v>25</v>
      </c>
      <c r="S232" s="5" t="s">
        <v>574</v>
      </c>
    </row>
    <row r="233">
      <c r="A233" s="5">
        <v>232.0</v>
      </c>
      <c r="B233" s="5" t="s">
        <v>481</v>
      </c>
      <c r="C233" s="5" t="s">
        <v>20</v>
      </c>
      <c r="D233" s="5">
        <v>49.0</v>
      </c>
      <c r="E233" s="5">
        <v>20.0</v>
      </c>
      <c r="G233" s="5">
        <v>1.16</v>
      </c>
      <c r="H233" s="5" t="s">
        <v>61</v>
      </c>
      <c r="I233" s="9">
        <v>46106.59496527778</v>
      </c>
      <c r="J233" s="5" t="s">
        <v>137</v>
      </c>
      <c r="K233" s="5">
        <v>50.0</v>
      </c>
      <c r="L233" s="5">
        <v>11000.0</v>
      </c>
      <c r="M233" s="5">
        <v>11000.0</v>
      </c>
      <c r="N233" s="8">
        <v>42276.0</v>
      </c>
      <c r="O233" s="5" t="s">
        <v>24</v>
      </c>
      <c r="P233" s="5" t="s">
        <v>25</v>
      </c>
      <c r="S233" s="5" t="s">
        <v>38</v>
      </c>
    </row>
    <row r="234">
      <c r="A234" s="5">
        <v>233.0</v>
      </c>
      <c r="B234" s="5" t="s">
        <v>1741</v>
      </c>
      <c r="C234" s="5" t="s">
        <v>20</v>
      </c>
      <c r="D234" s="5">
        <v>45.0</v>
      </c>
      <c r="E234" s="5">
        <v>20.0</v>
      </c>
      <c r="H234" s="5" t="s">
        <v>19</v>
      </c>
      <c r="I234" s="9">
        <v>46141.7559375</v>
      </c>
      <c r="J234" s="5" t="s">
        <v>243</v>
      </c>
      <c r="K234" s="5">
        <v>40.0</v>
      </c>
      <c r="L234" s="5">
        <v>136000.0</v>
      </c>
      <c r="M234" s="5">
        <v>140000.0</v>
      </c>
      <c r="N234" s="8">
        <v>43411.0</v>
      </c>
      <c r="O234" s="5" t="s">
        <v>50</v>
      </c>
      <c r="P234" s="5" t="s">
        <v>25</v>
      </c>
      <c r="S234" s="5" t="s">
        <v>1742</v>
      </c>
    </row>
    <row r="235">
      <c r="A235" s="5">
        <v>234.0</v>
      </c>
      <c r="B235" s="5" t="s">
        <v>592</v>
      </c>
      <c r="C235" s="5" t="s">
        <v>20</v>
      </c>
      <c r="D235" s="5">
        <v>0.0</v>
      </c>
      <c r="E235" s="5">
        <v>20.0</v>
      </c>
      <c r="H235" s="5" t="s">
        <v>19</v>
      </c>
      <c r="I235" s="9">
        <v>46145.40211805556</v>
      </c>
      <c r="J235" s="5" t="s">
        <v>78</v>
      </c>
      <c r="K235" s="5">
        <v>20.0</v>
      </c>
      <c r="L235" s="5">
        <v>137000.0</v>
      </c>
      <c r="M235" s="5">
        <v>140000.0</v>
      </c>
      <c r="N235" s="8">
        <v>42278.0</v>
      </c>
      <c r="O235" s="5" t="s">
        <v>184</v>
      </c>
      <c r="P235" s="5" t="s">
        <v>25</v>
      </c>
      <c r="S235" s="5" t="s">
        <v>29</v>
      </c>
    </row>
    <row r="236">
      <c r="A236" s="5">
        <v>235.0</v>
      </c>
      <c r="B236" s="5" t="s">
        <v>1746</v>
      </c>
      <c r="C236" s="5" t="s">
        <v>20</v>
      </c>
      <c r="D236" s="5">
        <v>66.0</v>
      </c>
      <c r="E236" s="5">
        <v>20.0</v>
      </c>
      <c r="H236" s="5" t="s">
        <v>148</v>
      </c>
      <c r="I236" s="9">
        <v>46147.56422453704</v>
      </c>
      <c r="K236" s="5">
        <v>20.0</v>
      </c>
      <c r="L236" s="5">
        <v>150.0</v>
      </c>
      <c r="M236" s="5">
        <v>500.0</v>
      </c>
      <c r="N236" s="8">
        <v>42576.0</v>
      </c>
      <c r="O236" s="5" t="s">
        <v>24</v>
      </c>
      <c r="P236" s="5" t="s">
        <v>25</v>
      </c>
      <c r="S236" s="5" t="s">
        <v>38</v>
      </c>
    </row>
    <row r="237">
      <c r="A237" s="5">
        <v>236.0</v>
      </c>
      <c r="B237" s="5" t="s">
        <v>1748</v>
      </c>
      <c r="C237" s="5" t="s">
        <v>20</v>
      </c>
      <c r="D237" s="5">
        <v>16.0</v>
      </c>
      <c r="E237" s="5">
        <v>20.0</v>
      </c>
      <c r="H237" s="5" t="s">
        <v>148</v>
      </c>
      <c r="I237" s="9">
        <v>46147.2680787037</v>
      </c>
      <c r="J237" s="5" t="s">
        <v>206</v>
      </c>
      <c r="K237" s="5">
        <v>200.0</v>
      </c>
      <c r="L237" s="5">
        <v>1000.0</v>
      </c>
      <c r="M237" s="5">
        <v>1200.0</v>
      </c>
      <c r="N237" s="8">
        <v>44638.0</v>
      </c>
      <c r="O237" s="5" t="s">
        <v>24</v>
      </c>
      <c r="P237" s="5" t="s">
        <v>25</v>
      </c>
      <c r="S237" s="5" t="s">
        <v>38</v>
      </c>
    </row>
    <row r="238">
      <c r="A238" s="5">
        <v>237.0</v>
      </c>
      <c r="B238" s="5" t="s">
        <v>597</v>
      </c>
      <c r="C238" s="5" t="s">
        <v>20</v>
      </c>
      <c r="D238" s="5">
        <v>4.0</v>
      </c>
      <c r="E238" s="5">
        <v>20.0</v>
      </c>
      <c r="H238" s="5" t="s">
        <v>19</v>
      </c>
      <c r="I238" s="9">
        <v>46122.602800925924</v>
      </c>
      <c r="J238" s="5" t="s">
        <v>494</v>
      </c>
      <c r="K238" s="5">
        <v>20.0</v>
      </c>
      <c r="L238" s="5">
        <v>136000.0</v>
      </c>
      <c r="M238" s="5">
        <v>140000.0</v>
      </c>
      <c r="N238" s="8">
        <v>44193.0</v>
      </c>
      <c r="O238" s="5" t="s">
        <v>184</v>
      </c>
      <c r="P238" s="5" t="s">
        <v>25</v>
      </c>
      <c r="S238" s="5" t="s">
        <v>38</v>
      </c>
    </row>
    <row r="239">
      <c r="A239" s="5">
        <v>238.0</v>
      </c>
      <c r="B239" s="10" t="s">
        <v>1754</v>
      </c>
      <c r="C239" s="5" t="s">
        <v>20</v>
      </c>
      <c r="D239" s="5">
        <v>4.0</v>
      </c>
      <c r="E239" s="5">
        <v>20.0</v>
      </c>
      <c r="F239" s="5">
        <v>2.0</v>
      </c>
      <c r="H239" s="5" t="s">
        <v>47</v>
      </c>
      <c r="I239" s="9">
        <v>46122.691516203704</v>
      </c>
      <c r="J239" s="5" t="s">
        <v>78</v>
      </c>
      <c r="K239" s="5">
        <v>20.0</v>
      </c>
      <c r="L239" s="5">
        <v>16000.0</v>
      </c>
      <c r="M239" s="5">
        <v>16000.0</v>
      </c>
      <c r="N239" s="8">
        <v>42322.0</v>
      </c>
      <c r="O239" s="5" t="s">
        <v>100</v>
      </c>
      <c r="Q239" s="5" t="s">
        <v>1762</v>
      </c>
      <c r="R239" s="5" t="s">
        <v>1763</v>
      </c>
      <c r="S239" s="5" t="s">
        <v>29</v>
      </c>
    </row>
    <row r="240">
      <c r="A240" s="5">
        <v>239.0</v>
      </c>
      <c r="B240" s="10" t="s">
        <v>1765</v>
      </c>
      <c r="C240" s="5" t="s">
        <v>20</v>
      </c>
      <c r="D240" s="5">
        <v>34.0</v>
      </c>
      <c r="E240" s="5">
        <v>20.0</v>
      </c>
      <c r="H240" s="10" t="s">
        <v>1765</v>
      </c>
      <c r="I240" s="9">
        <v>46152.65480324074</v>
      </c>
      <c r="J240" s="5" t="s">
        <v>114</v>
      </c>
      <c r="K240" s="5">
        <v>20.0</v>
      </c>
      <c r="L240" s="5">
        <v>70.0</v>
      </c>
      <c r="M240" s="5">
        <v>70.0</v>
      </c>
      <c r="N240" s="8">
        <v>42389.0</v>
      </c>
      <c r="O240" s="5" t="s">
        <v>100</v>
      </c>
      <c r="S240" s="5" t="s">
        <v>29</v>
      </c>
    </row>
    <row r="241">
      <c r="A241" s="5">
        <v>240.0</v>
      </c>
      <c r="B241" s="5" t="s">
        <v>1770</v>
      </c>
      <c r="C241" s="5" t="s">
        <v>20</v>
      </c>
      <c r="D241" s="5">
        <v>76.0</v>
      </c>
      <c r="E241" s="5">
        <v>20.0</v>
      </c>
      <c r="H241" s="5" t="s">
        <v>654</v>
      </c>
      <c r="I241" s="9">
        <v>46099.89270833333</v>
      </c>
      <c r="J241" s="5" t="s">
        <v>1771</v>
      </c>
      <c r="K241" s="5">
        <v>37000.0</v>
      </c>
      <c r="L241" s="5">
        <v>5100.0</v>
      </c>
      <c r="M241" s="5">
        <v>587000.0</v>
      </c>
      <c r="N241" s="8">
        <v>42404.0</v>
      </c>
      <c r="O241" s="5" t="s">
        <v>50</v>
      </c>
      <c r="P241" s="5" t="s">
        <v>25</v>
      </c>
      <c r="S241" s="5" t="s">
        <v>38</v>
      </c>
    </row>
    <row r="242">
      <c r="A242" s="5">
        <v>241.0</v>
      </c>
      <c r="B242" s="5" t="s">
        <v>608</v>
      </c>
      <c r="C242" s="5" t="s">
        <v>20</v>
      </c>
      <c r="D242" s="5">
        <v>54.0</v>
      </c>
      <c r="E242" s="5">
        <v>20.0</v>
      </c>
      <c r="H242" s="5" t="s">
        <v>47</v>
      </c>
      <c r="I242" s="9">
        <v>46155.6808912037</v>
      </c>
      <c r="J242" s="5" t="s">
        <v>78</v>
      </c>
      <c r="K242" s="5">
        <v>50.0</v>
      </c>
      <c r="L242" s="5">
        <v>16000.0</v>
      </c>
      <c r="M242" s="5">
        <v>16000.0</v>
      </c>
      <c r="N242" s="8">
        <v>42971.0</v>
      </c>
      <c r="O242" s="5" t="s">
        <v>71</v>
      </c>
      <c r="P242" s="5" t="s">
        <v>25</v>
      </c>
      <c r="S242" s="5" t="s">
        <v>29</v>
      </c>
    </row>
    <row r="243">
      <c r="A243" s="5">
        <v>242.0</v>
      </c>
      <c r="B243" s="5" t="s">
        <v>615</v>
      </c>
      <c r="C243" s="5" t="s">
        <v>20</v>
      </c>
      <c r="D243" s="5">
        <v>66.0</v>
      </c>
      <c r="E243" s="5">
        <v>20.0</v>
      </c>
      <c r="H243" s="5" t="s">
        <v>617</v>
      </c>
      <c r="I243" s="9">
        <v>46083.55385416667</v>
      </c>
      <c r="J243" s="5" t="s">
        <v>151</v>
      </c>
      <c r="K243" s="5">
        <v>30.0</v>
      </c>
      <c r="L243" s="5">
        <v>10.0</v>
      </c>
      <c r="M243" s="5">
        <v>10.0</v>
      </c>
      <c r="N243" s="8">
        <v>44109.0</v>
      </c>
      <c r="O243" s="5" t="s">
        <v>24</v>
      </c>
      <c r="P243" s="5" t="s">
        <v>25</v>
      </c>
      <c r="S243" s="5" t="s">
        <v>157</v>
      </c>
    </row>
    <row r="244">
      <c r="A244" s="5">
        <v>243.0</v>
      </c>
      <c r="B244" s="5" t="s">
        <v>618</v>
      </c>
      <c r="C244" s="5" t="s">
        <v>20</v>
      </c>
      <c r="D244" s="5">
        <v>69.0</v>
      </c>
      <c r="E244" s="5">
        <v>20.0</v>
      </c>
      <c r="H244" s="5" t="s">
        <v>61</v>
      </c>
      <c r="I244" s="9">
        <v>46071.851064814815</v>
      </c>
      <c r="J244" s="5" t="s">
        <v>620</v>
      </c>
      <c r="K244" s="5">
        <v>20.0</v>
      </c>
      <c r="L244" s="5">
        <v>11000.0</v>
      </c>
      <c r="M244" s="5">
        <v>11000.0</v>
      </c>
      <c r="N244" s="8">
        <v>44323.0</v>
      </c>
      <c r="O244" s="5" t="s">
        <v>50</v>
      </c>
      <c r="P244" s="5" t="s">
        <v>25</v>
      </c>
      <c r="S244" s="5" t="s">
        <v>38</v>
      </c>
    </row>
    <row r="245">
      <c r="A245" s="5">
        <v>244.0</v>
      </c>
      <c r="B245" s="5" t="s">
        <v>1782</v>
      </c>
      <c r="C245" s="5" t="s">
        <v>20</v>
      </c>
      <c r="D245" s="5">
        <v>42.0</v>
      </c>
      <c r="E245" s="5">
        <v>20.0</v>
      </c>
      <c r="H245" s="5" t="s">
        <v>41</v>
      </c>
      <c r="I245" s="9">
        <v>46145.85619212963</v>
      </c>
      <c r="K245" s="5">
        <v>72000.0</v>
      </c>
      <c r="L245" s="5">
        <v>100.0</v>
      </c>
      <c r="M245" s="5">
        <v>1100.0</v>
      </c>
      <c r="N245" s="8">
        <v>43972.0</v>
      </c>
      <c r="O245" s="5" t="s">
        <v>24</v>
      </c>
      <c r="S245" s="5" t="s">
        <v>1784</v>
      </c>
    </row>
    <row r="246">
      <c r="A246" s="5">
        <v>245.0</v>
      </c>
      <c r="B246" s="5" t="s">
        <v>1785</v>
      </c>
      <c r="C246" s="5" t="s">
        <v>20</v>
      </c>
      <c r="D246" s="5">
        <v>22.0</v>
      </c>
      <c r="E246" s="5">
        <v>20.0</v>
      </c>
      <c r="H246" s="5" t="s">
        <v>56</v>
      </c>
      <c r="I246" s="9">
        <v>46149.86881944445</v>
      </c>
      <c r="K246" s="5">
        <v>20.0</v>
      </c>
      <c r="L246" s="5">
        <v>5900.0</v>
      </c>
      <c r="M246" s="5">
        <v>6000.0</v>
      </c>
      <c r="N246" s="8">
        <v>44040.0</v>
      </c>
      <c r="O246" s="5" t="s">
        <v>1404</v>
      </c>
      <c r="P246" s="5" t="s">
        <v>25</v>
      </c>
      <c r="S246" s="5" t="s">
        <v>29</v>
      </c>
    </row>
    <row r="247">
      <c r="A247" s="5">
        <v>246.0</v>
      </c>
      <c r="B247" s="5" t="s">
        <v>1788</v>
      </c>
      <c r="C247" s="5" t="s">
        <v>20</v>
      </c>
      <c r="D247" s="5">
        <v>39.0</v>
      </c>
      <c r="E247" s="5">
        <v>20.0</v>
      </c>
      <c r="H247" s="5" t="s">
        <v>1790</v>
      </c>
      <c r="I247" s="9">
        <v>46122.06354166667</v>
      </c>
      <c r="J247" s="5" t="s">
        <v>346</v>
      </c>
      <c r="K247" s="5">
        <v>70.0</v>
      </c>
      <c r="L247" s="5">
        <v>0.0</v>
      </c>
      <c r="M247" s="5">
        <v>10.0</v>
      </c>
      <c r="N247" s="8">
        <v>42531.0</v>
      </c>
      <c r="O247" s="5" t="s">
        <v>24</v>
      </c>
      <c r="P247" s="5" t="s">
        <v>25</v>
      </c>
      <c r="S247" s="5" t="s">
        <v>38</v>
      </c>
    </row>
    <row r="248">
      <c r="A248" s="5">
        <v>247.0</v>
      </c>
      <c r="B248" s="5" t="s">
        <v>627</v>
      </c>
      <c r="C248" s="5" t="s">
        <v>20</v>
      </c>
      <c r="D248" s="5">
        <v>77.0</v>
      </c>
      <c r="E248" s="5">
        <v>10.0</v>
      </c>
      <c r="H248" s="5" t="s">
        <v>631</v>
      </c>
      <c r="I248" s="9">
        <v>46126.948275462964</v>
      </c>
      <c r="K248" s="5">
        <v>10.0</v>
      </c>
      <c r="L248" s="5">
        <v>10.0</v>
      </c>
      <c r="M248" s="5">
        <v>10.0</v>
      </c>
      <c r="N248" s="8">
        <v>43993.0</v>
      </c>
      <c r="O248" s="5" t="s">
        <v>50</v>
      </c>
      <c r="P248" s="5" t="s">
        <v>25</v>
      </c>
      <c r="S248" s="5" t="s">
        <v>75</v>
      </c>
    </row>
    <row r="249">
      <c r="A249" s="5">
        <v>248.0</v>
      </c>
      <c r="B249" s="5" t="s">
        <v>634</v>
      </c>
      <c r="C249" s="5" t="s">
        <v>20</v>
      </c>
      <c r="D249" s="5">
        <v>45.0</v>
      </c>
      <c r="E249" s="5">
        <v>10.0</v>
      </c>
      <c r="H249" s="5" t="s">
        <v>40</v>
      </c>
      <c r="I249" s="9">
        <v>46162.51025462963</v>
      </c>
      <c r="J249" s="5" t="s">
        <v>78</v>
      </c>
      <c r="K249" s="5">
        <v>10.0</v>
      </c>
      <c r="L249" s="5">
        <v>17000.0</v>
      </c>
      <c r="M249" s="5">
        <v>19000.0</v>
      </c>
      <c r="N249" s="8">
        <v>45290.0</v>
      </c>
      <c r="O249" s="5" t="s">
        <v>71</v>
      </c>
      <c r="P249" s="5" t="s">
        <v>25</v>
      </c>
      <c r="S249" s="5" t="s">
        <v>75</v>
      </c>
    </row>
    <row r="250">
      <c r="A250" s="5">
        <v>249.0</v>
      </c>
      <c r="B250" s="5" t="s">
        <v>647</v>
      </c>
      <c r="C250" s="5" t="s">
        <v>20</v>
      </c>
      <c r="D250" s="5">
        <v>27.0</v>
      </c>
      <c r="E250" s="5">
        <v>10.0</v>
      </c>
      <c r="H250" s="5" t="s">
        <v>30</v>
      </c>
      <c r="I250" s="9">
        <v>46089.66003472222</v>
      </c>
      <c r="J250" s="5" t="s">
        <v>114</v>
      </c>
      <c r="K250" s="5">
        <v>10.0</v>
      </c>
      <c r="L250" s="5">
        <v>33000.0</v>
      </c>
      <c r="M250" s="5">
        <v>34000.0</v>
      </c>
      <c r="N250" s="8">
        <v>45066.0</v>
      </c>
      <c r="O250" s="5" t="s">
        <v>24</v>
      </c>
      <c r="P250" s="5" t="s">
        <v>25</v>
      </c>
      <c r="S250" s="5" t="s">
        <v>38</v>
      </c>
    </row>
    <row r="251">
      <c r="A251" s="5">
        <v>250.0</v>
      </c>
      <c r="B251" s="5" t="s">
        <v>1799</v>
      </c>
      <c r="C251" s="5" t="s">
        <v>20</v>
      </c>
      <c r="D251" s="5">
        <v>55.0</v>
      </c>
      <c r="E251" s="5">
        <v>10.0</v>
      </c>
      <c r="H251" s="5" t="s">
        <v>61</v>
      </c>
      <c r="I251" s="9">
        <v>46104.145370370374</v>
      </c>
      <c r="J251" s="5" t="s">
        <v>137</v>
      </c>
      <c r="K251" s="5">
        <v>30.0</v>
      </c>
      <c r="L251" s="5">
        <v>11000.0</v>
      </c>
      <c r="M251" s="5">
        <v>11000.0</v>
      </c>
      <c r="N251" s="8">
        <v>42696.0</v>
      </c>
      <c r="O251" s="5" t="s">
        <v>50</v>
      </c>
      <c r="P251" s="5" t="s">
        <v>25</v>
      </c>
      <c r="S251" s="5" t="s">
        <v>38</v>
      </c>
    </row>
    <row r="252">
      <c r="A252" s="5">
        <v>251.0</v>
      </c>
      <c r="B252" s="5" t="s">
        <v>1802</v>
      </c>
      <c r="C252" s="5" t="s">
        <v>20</v>
      </c>
      <c r="D252" s="5">
        <v>68.0</v>
      </c>
      <c r="E252" s="5">
        <v>10.0</v>
      </c>
      <c r="H252" s="5" t="s">
        <v>19</v>
      </c>
      <c r="I252" s="9">
        <v>46155.962534722225</v>
      </c>
      <c r="J252" s="5" t="s">
        <v>78</v>
      </c>
      <c r="K252" s="5">
        <v>80.0</v>
      </c>
      <c r="L252" s="5">
        <v>131000.0</v>
      </c>
      <c r="M252" s="5">
        <v>135000.0</v>
      </c>
      <c r="N252" s="8">
        <v>42497.0</v>
      </c>
      <c r="O252" s="5" t="s">
        <v>1555</v>
      </c>
      <c r="S252" s="5" t="s">
        <v>29</v>
      </c>
    </row>
    <row r="253">
      <c r="A253" s="5">
        <v>252.0</v>
      </c>
      <c r="B253" s="5" t="s">
        <v>1806</v>
      </c>
      <c r="C253" s="5" t="s">
        <v>20</v>
      </c>
      <c r="D253" s="5">
        <v>1.0</v>
      </c>
      <c r="E253" s="5">
        <v>10.0</v>
      </c>
      <c r="F253" s="5">
        <v>2.5</v>
      </c>
      <c r="H253" s="5" t="s">
        <v>41</v>
      </c>
      <c r="I253" s="9">
        <v>46144.77936342593</v>
      </c>
      <c r="J253" s="5" t="s">
        <v>243</v>
      </c>
      <c r="K253" s="5">
        <v>10.0</v>
      </c>
      <c r="L253" s="5">
        <v>100.0</v>
      </c>
      <c r="M253" s="5">
        <v>1100.0</v>
      </c>
      <c r="N253" s="8">
        <v>44446.0</v>
      </c>
      <c r="O253" s="5" t="s">
        <v>100</v>
      </c>
      <c r="S253" s="5" t="s">
        <v>29</v>
      </c>
    </row>
    <row r="254">
      <c r="A254" s="5">
        <v>253.0</v>
      </c>
      <c r="B254" s="5" t="s">
        <v>1809</v>
      </c>
      <c r="C254" s="5" t="s">
        <v>20</v>
      </c>
      <c r="D254" s="5">
        <v>79.0</v>
      </c>
      <c r="E254" s="5">
        <v>10.0</v>
      </c>
      <c r="H254" s="5" t="s">
        <v>654</v>
      </c>
      <c r="I254" s="9">
        <v>46085.46601851852</v>
      </c>
      <c r="J254" s="5" t="s">
        <v>78</v>
      </c>
      <c r="K254" s="5">
        <v>3200.0</v>
      </c>
      <c r="L254" s="5">
        <v>5100.0</v>
      </c>
      <c r="M254" s="5">
        <v>596000.0</v>
      </c>
      <c r="N254" s="8">
        <v>43871.0</v>
      </c>
      <c r="O254" s="5" t="s">
        <v>184</v>
      </c>
      <c r="P254" s="5" t="s">
        <v>25</v>
      </c>
      <c r="S254" s="5" t="s">
        <v>38</v>
      </c>
    </row>
    <row r="255">
      <c r="A255" s="5">
        <v>254.0</v>
      </c>
      <c r="B255" s="5" t="s">
        <v>667</v>
      </c>
      <c r="C255" s="5" t="s">
        <v>20</v>
      </c>
      <c r="D255" s="5">
        <v>2.0</v>
      </c>
      <c r="E255" s="5">
        <v>10.0</v>
      </c>
      <c r="H255" s="5" t="s">
        <v>19</v>
      </c>
      <c r="I255" s="9">
        <v>46155.52400462963</v>
      </c>
      <c r="J255" s="5" t="s">
        <v>33</v>
      </c>
      <c r="K255" s="5">
        <v>10.0</v>
      </c>
      <c r="L255" s="5">
        <v>131000.0</v>
      </c>
      <c r="M255" s="5">
        <v>135000.0</v>
      </c>
      <c r="N255" s="8">
        <v>42408.0</v>
      </c>
      <c r="O255" s="5" t="s">
        <v>24</v>
      </c>
      <c r="P255" s="5" t="s">
        <v>25</v>
      </c>
      <c r="S255" s="5" t="s">
        <v>38</v>
      </c>
    </row>
    <row r="256">
      <c r="A256" s="5">
        <v>255.0</v>
      </c>
      <c r="B256" s="5" t="s">
        <v>681</v>
      </c>
      <c r="C256" s="5" t="s">
        <v>20</v>
      </c>
      <c r="D256" s="5">
        <v>49.0</v>
      </c>
      <c r="E256" s="5">
        <v>10.0</v>
      </c>
      <c r="H256" s="5" t="s">
        <v>47</v>
      </c>
      <c r="I256" s="9">
        <v>46107.386828703704</v>
      </c>
      <c r="J256" s="5" t="s">
        <v>114</v>
      </c>
      <c r="K256" s="5">
        <v>20.0</v>
      </c>
      <c r="L256" s="5">
        <v>17000.0</v>
      </c>
      <c r="M256" s="5">
        <v>18000.0</v>
      </c>
      <c r="N256" s="8">
        <v>43873.0</v>
      </c>
      <c r="O256" s="5" t="s">
        <v>100</v>
      </c>
      <c r="P256" s="5" t="s">
        <v>25</v>
      </c>
      <c r="S256" s="5" t="s">
        <v>38</v>
      </c>
    </row>
    <row r="257">
      <c r="A257" s="5">
        <v>256.0</v>
      </c>
      <c r="B257" s="5" t="s">
        <v>691</v>
      </c>
      <c r="C257" s="5" t="s">
        <v>20</v>
      </c>
      <c r="D257" s="5">
        <v>5.0</v>
      </c>
      <c r="E257" s="5">
        <v>10.0</v>
      </c>
      <c r="H257" s="5" t="s">
        <v>19</v>
      </c>
      <c r="I257" s="9">
        <v>46144.252118055556</v>
      </c>
      <c r="J257" s="5" t="s">
        <v>151</v>
      </c>
      <c r="K257" s="5">
        <v>10.0</v>
      </c>
      <c r="L257" s="5">
        <v>137000.0</v>
      </c>
      <c r="M257" s="5">
        <v>140000.0</v>
      </c>
      <c r="N257" s="8">
        <v>42881.0</v>
      </c>
      <c r="O257" s="5" t="s">
        <v>184</v>
      </c>
      <c r="P257" s="5" t="s">
        <v>25</v>
      </c>
      <c r="S257" s="5" t="s">
        <v>29</v>
      </c>
    </row>
    <row r="258">
      <c r="A258" s="5">
        <v>257.0</v>
      </c>
      <c r="B258" s="5" t="s">
        <v>490</v>
      </c>
      <c r="C258" s="5" t="s">
        <v>20</v>
      </c>
      <c r="D258" s="5">
        <v>0.0</v>
      </c>
      <c r="E258" s="5">
        <v>10.0</v>
      </c>
      <c r="H258" s="5" t="s">
        <v>277</v>
      </c>
      <c r="I258" s="9">
        <v>46084.49159722222</v>
      </c>
      <c r="J258" s="5" t="s">
        <v>206</v>
      </c>
      <c r="K258" s="5">
        <v>10.0</v>
      </c>
      <c r="L258" s="5">
        <v>50.0</v>
      </c>
      <c r="M258" s="5">
        <v>50.0</v>
      </c>
      <c r="N258" s="8">
        <v>42853.0</v>
      </c>
      <c r="O258" s="5" t="s">
        <v>24</v>
      </c>
      <c r="P258" s="5" t="s">
        <v>25</v>
      </c>
      <c r="S258" s="5" t="s">
        <v>118</v>
      </c>
    </row>
    <row r="259">
      <c r="A259" s="5">
        <v>258.0</v>
      </c>
      <c r="B259" s="5" t="s">
        <v>1821</v>
      </c>
      <c r="C259" s="5" t="s">
        <v>20</v>
      </c>
      <c r="D259" s="5">
        <v>9.0</v>
      </c>
      <c r="E259" s="5">
        <v>10.0</v>
      </c>
      <c r="H259" s="5" t="s">
        <v>54</v>
      </c>
      <c r="I259" s="9">
        <v>46155.32078703704</v>
      </c>
      <c r="J259" s="5" t="s">
        <v>1823</v>
      </c>
      <c r="K259" s="5">
        <v>300.0</v>
      </c>
      <c r="L259" s="5">
        <v>9200.0</v>
      </c>
      <c r="M259" s="5">
        <v>9300.0</v>
      </c>
      <c r="N259" s="8">
        <v>43866.0</v>
      </c>
      <c r="O259" s="5" t="s">
        <v>464</v>
      </c>
      <c r="P259" s="5" t="s">
        <v>25</v>
      </c>
      <c r="S259" s="5" t="s">
        <v>38</v>
      </c>
    </row>
    <row r="260">
      <c r="A260" s="5">
        <v>259.0</v>
      </c>
      <c r="B260" s="5" t="s">
        <v>1825</v>
      </c>
      <c r="C260" s="5" t="s">
        <v>20</v>
      </c>
      <c r="D260" s="5">
        <v>62.0</v>
      </c>
      <c r="E260" s="5">
        <v>10.0</v>
      </c>
      <c r="H260" s="5" t="s">
        <v>30</v>
      </c>
      <c r="I260" s="9">
        <v>46161.25476851852</v>
      </c>
      <c r="J260" s="5" t="s">
        <v>22</v>
      </c>
      <c r="K260" s="5">
        <v>10.0</v>
      </c>
      <c r="L260" s="5">
        <v>26000.0</v>
      </c>
      <c r="M260" s="5">
        <v>27000.0</v>
      </c>
      <c r="N260" s="8">
        <v>44629.0</v>
      </c>
      <c r="O260" s="5" t="s">
        <v>50</v>
      </c>
      <c r="P260" s="5" t="s">
        <v>25</v>
      </c>
      <c r="S260" s="5" t="s">
        <v>38</v>
      </c>
    </row>
    <row r="261">
      <c r="A261" s="5">
        <v>260.0</v>
      </c>
      <c r="B261" s="5" t="s">
        <v>731</v>
      </c>
      <c r="C261" s="5" t="s">
        <v>20</v>
      </c>
      <c r="D261" s="5">
        <v>48.0</v>
      </c>
      <c r="E261" s="5">
        <v>10.0</v>
      </c>
      <c r="H261" s="5" t="s">
        <v>19</v>
      </c>
      <c r="I261" s="9">
        <v>46150.0790162037</v>
      </c>
      <c r="J261" s="5" t="s">
        <v>78</v>
      </c>
      <c r="K261" s="5">
        <v>10.0</v>
      </c>
      <c r="L261" s="5">
        <v>137000.0</v>
      </c>
      <c r="M261" s="5">
        <v>141000.0</v>
      </c>
      <c r="N261" s="8">
        <v>44267.0</v>
      </c>
      <c r="O261" s="5" t="s">
        <v>80</v>
      </c>
      <c r="P261" s="5" t="s">
        <v>25</v>
      </c>
      <c r="S261" s="5" t="s">
        <v>38</v>
      </c>
    </row>
    <row r="262">
      <c r="A262" s="5">
        <v>261.0</v>
      </c>
      <c r="B262" s="5" t="s">
        <v>1830</v>
      </c>
      <c r="C262" s="5" t="s">
        <v>20</v>
      </c>
      <c r="D262" s="5">
        <v>77.0</v>
      </c>
      <c r="E262" s="5">
        <v>10.0</v>
      </c>
      <c r="H262" s="5" t="s">
        <v>654</v>
      </c>
      <c r="I262" s="9">
        <v>46083.361712962964</v>
      </c>
      <c r="K262" s="5">
        <v>900.0</v>
      </c>
      <c r="L262" s="5">
        <v>600.0</v>
      </c>
      <c r="M262" s="5">
        <v>212000.0</v>
      </c>
      <c r="N262" s="8">
        <v>44021.0</v>
      </c>
      <c r="O262" s="5" t="s">
        <v>879</v>
      </c>
      <c r="P262" s="5" t="s">
        <v>25</v>
      </c>
      <c r="S262" s="5" t="s">
        <v>38</v>
      </c>
    </row>
    <row r="263">
      <c r="A263" s="5">
        <v>262.0</v>
      </c>
      <c r="B263" s="5" t="s">
        <v>741</v>
      </c>
      <c r="C263" s="5" t="s">
        <v>20</v>
      </c>
      <c r="D263" s="5">
        <v>58.0</v>
      </c>
      <c r="E263" s="5">
        <v>10.0</v>
      </c>
      <c r="G263" s="5">
        <v>1.02</v>
      </c>
      <c r="H263" s="5" t="s">
        <v>61</v>
      </c>
      <c r="I263" s="9">
        <v>46083.777974537035</v>
      </c>
      <c r="J263" s="5" t="s">
        <v>746</v>
      </c>
      <c r="K263" s="5">
        <v>20.0</v>
      </c>
      <c r="L263" s="5">
        <v>11000.0</v>
      </c>
      <c r="M263" s="5">
        <v>11000.0</v>
      </c>
      <c r="N263" s="8">
        <v>42398.0</v>
      </c>
      <c r="O263" s="5" t="s">
        <v>50</v>
      </c>
      <c r="P263" s="5" t="s">
        <v>25</v>
      </c>
      <c r="Q263" s="5" t="s">
        <v>748</v>
      </c>
      <c r="R263" s="5" t="s">
        <v>749</v>
      </c>
      <c r="S263" s="5" t="s">
        <v>38</v>
      </c>
    </row>
    <row r="264">
      <c r="A264" s="5">
        <v>263.0</v>
      </c>
      <c r="B264" s="5" t="s">
        <v>751</v>
      </c>
      <c r="C264" s="5" t="s">
        <v>20</v>
      </c>
      <c r="D264" s="5">
        <v>0.0</v>
      </c>
      <c r="E264" s="5">
        <v>10.0</v>
      </c>
      <c r="H264" s="5" t="s">
        <v>457</v>
      </c>
      <c r="I264" s="9">
        <v>46125.94458333333</v>
      </c>
      <c r="J264" s="5" t="s">
        <v>572</v>
      </c>
      <c r="K264" s="5">
        <v>10.0</v>
      </c>
      <c r="L264" s="5">
        <v>30.0</v>
      </c>
      <c r="M264" s="5">
        <v>30.0</v>
      </c>
      <c r="N264" s="8">
        <v>42858.0</v>
      </c>
      <c r="O264" s="5" t="s">
        <v>184</v>
      </c>
      <c r="P264" s="5" t="s">
        <v>25</v>
      </c>
      <c r="S264" s="5" t="s">
        <v>118</v>
      </c>
    </row>
    <row r="265">
      <c r="A265" s="5">
        <v>264.0</v>
      </c>
      <c r="B265" s="5" t="s">
        <v>769</v>
      </c>
      <c r="C265" s="5" t="s">
        <v>20</v>
      </c>
      <c r="D265" s="5">
        <v>55.0</v>
      </c>
      <c r="E265" s="5">
        <v>10.0</v>
      </c>
      <c r="H265" s="5" t="s">
        <v>61</v>
      </c>
      <c r="I265" s="9">
        <v>46144.26351851852</v>
      </c>
      <c r="J265" s="5" t="s">
        <v>346</v>
      </c>
      <c r="K265" s="5">
        <v>10.0</v>
      </c>
      <c r="L265" s="5">
        <v>11000.0</v>
      </c>
      <c r="M265" s="5">
        <v>11000.0</v>
      </c>
      <c r="N265" s="8">
        <v>44312.0</v>
      </c>
      <c r="O265" s="5" t="s">
        <v>24</v>
      </c>
      <c r="P265" s="5" t="s">
        <v>25</v>
      </c>
      <c r="S265" s="5" t="s">
        <v>38</v>
      </c>
    </row>
    <row r="266">
      <c r="A266" s="5">
        <v>265.0</v>
      </c>
      <c r="B266" s="5" t="s">
        <v>1841</v>
      </c>
      <c r="C266" s="5" t="s">
        <v>20</v>
      </c>
      <c r="D266" s="5">
        <v>3.0</v>
      </c>
      <c r="E266" s="5">
        <v>10.0</v>
      </c>
      <c r="F266" s="5">
        <v>0.8</v>
      </c>
      <c r="H266" s="5" t="s">
        <v>1841</v>
      </c>
      <c r="I266" s="9">
        <v>46072.81434027778</v>
      </c>
      <c r="J266" s="5" t="s">
        <v>1844</v>
      </c>
      <c r="K266" s="5">
        <v>5300.0</v>
      </c>
      <c r="L266" s="5">
        <v>0.0</v>
      </c>
      <c r="M266" s="5">
        <v>500.0</v>
      </c>
      <c r="N266" s="8">
        <v>42569.0</v>
      </c>
      <c r="O266" s="5" t="s">
        <v>583</v>
      </c>
      <c r="P266" s="5" t="s">
        <v>25</v>
      </c>
      <c r="S266" s="5" t="s">
        <v>1845</v>
      </c>
    </row>
    <row r="267">
      <c r="A267" s="5">
        <v>266.0</v>
      </c>
      <c r="B267" s="5" t="s">
        <v>774</v>
      </c>
      <c r="C267" s="5" t="s">
        <v>20</v>
      </c>
      <c r="D267" s="5">
        <v>32.0</v>
      </c>
      <c r="E267" s="5">
        <v>10.0</v>
      </c>
      <c r="H267" s="5" t="s">
        <v>461</v>
      </c>
      <c r="I267" s="9">
        <v>46088.40246527778</v>
      </c>
      <c r="J267" s="5" t="s">
        <v>151</v>
      </c>
      <c r="K267" s="5">
        <v>10.0</v>
      </c>
      <c r="L267" s="5">
        <v>150.0</v>
      </c>
      <c r="M267" s="5">
        <v>1700.0</v>
      </c>
      <c r="N267" s="8">
        <v>44685.0</v>
      </c>
      <c r="O267" s="5" t="s">
        <v>71</v>
      </c>
      <c r="P267" s="5" t="s">
        <v>25</v>
      </c>
      <c r="S267" s="5" t="s">
        <v>29</v>
      </c>
    </row>
    <row r="268">
      <c r="A268" s="5">
        <v>267.0</v>
      </c>
      <c r="B268" s="5" t="s">
        <v>1849</v>
      </c>
      <c r="C268" s="5" t="s">
        <v>20</v>
      </c>
      <c r="D268" s="5">
        <v>64.0</v>
      </c>
      <c r="E268" s="5">
        <v>10.0</v>
      </c>
      <c r="H268" s="5" t="s">
        <v>1372</v>
      </c>
      <c r="I268" s="9">
        <v>46124.20810185185</v>
      </c>
      <c r="J268" s="5" t="s">
        <v>114</v>
      </c>
      <c r="K268" s="5">
        <v>2800.0</v>
      </c>
      <c r="L268" s="5">
        <v>90.0</v>
      </c>
      <c r="M268" s="5">
        <v>100.0</v>
      </c>
      <c r="N268" s="8">
        <v>44833.0</v>
      </c>
      <c r="O268" s="5" t="s">
        <v>464</v>
      </c>
      <c r="P268" s="5" t="s">
        <v>25</v>
      </c>
      <c r="S268" s="5" t="s">
        <v>29</v>
      </c>
    </row>
    <row r="269">
      <c r="A269" s="5">
        <v>268.0</v>
      </c>
      <c r="B269" s="5" t="s">
        <v>497</v>
      </c>
      <c r="C269" s="5" t="s">
        <v>20</v>
      </c>
      <c r="D269" s="5">
        <v>1.0</v>
      </c>
      <c r="E269" s="5">
        <v>10.0</v>
      </c>
      <c r="H269" s="5" t="s">
        <v>148</v>
      </c>
      <c r="I269" s="9">
        <v>46071.37432870371</v>
      </c>
      <c r="K269" s="5">
        <v>10.0</v>
      </c>
      <c r="L269" s="5">
        <v>200.0</v>
      </c>
      <c r="M269" s="5">
        <v>600.0</v>
      </c>
      <c r="N269" s="8">
        <v>42446.0</v>
      </c>
      <c r="O269" s="5" t="s">
        <v>24</v>
      </c>
      <c r="P269" s="5" t="s">
        <v>25</v>
      </c>
      <c r="S269" s="5" t="s">
        <v>38</v>
      </c>
    </row>
    <row r="270">
      <c r="A270" s="5">
        <v>269.0</v>
      </c>
      <c r="B270" s="5" t="s">
        <v>1854</v>
      </c>
      <c r="C270" s="5" t="s">
        <v>20</v>
      </c>
      <c r="D270" s="5">
        <v>59.0</v>
      </c>
      <c r="E270" s="5">
        <v>10.0</v>
      </c>
      <c r="F270" s="5">
        <v>0.45</v>
      </c>
      <c r="H270" s="5" t="s">
        <v>1854</v>
      </c>
      <c r="I270" s="9">
        <v>46029.51976851852</v>
      </c>
      <c r="J270" s="5" t="s">
        <v>206</v>
      </c>
      <c r="K270" s="5">
        <v>20.0</v>
      </c>
      <c r="L270" s="5">
        <v>0.0</v>
      </c>
      <c r="M270" s="5">
        <v>0.0</v>
      </c>
      <c r="N270" s="8">
        <v>42297.0</v>
      </c>
      <c r="O270" s="5" t="s">
        <v>879</v>
      </c>
      <c r="P270" s="5" t="s">
        <v>25</v>
      </c>
      <c r="S270" s="5" t="s">
        <v>1857</v>
      </c>
    </row>
    <row r="271">
      <c r="A271" s="5">
        <v>270.0</v>
      </c>
      <c r="B271" s="5" t="s">
        <v>501</v>
      </c>
      <c r="C271" s="5" t="s">
        <v>20</v>
      </c>
      <c r="D271" s="5">
        <v>12.0</v>
      </c>
      <c r="E271" s="5">
        <v>10.0</v>
      </c>
      <c r="H271" s="5" t="s">
        <v>40</v>
      </c>
      <c r="I271" s="9">
        <v>46124.87163194444</v>
      </c>
      <c r="J271" s="5" t="s">
        <v>503</v>
      </c>
      <c r="K271" s="5">
        <v>10.0</v>
      </c>
      <c r="L271" s="5">
        <v>20000.0</v>
      </c>
      <c r="M271" s="5">
        <v>22000.0</v>
      </c>
      <c r="N271" s="8">
        <v>42334.0</v>
      </c>
      <c r="O271" s="5" t="s">
        <v>24</v>
      </c>
      <c r="P271" s="5" t="s">
        <v>25</v>
      </c>
      <c r="S271" s="5" t="s">
        <v>118</v>
      </c>
    </row>
    <row r="272">
      <c r="A272" s="5">
        <v>271.0</v>
      </c>
      <c r="B272" s="5" t="s">
        <v>779</v>
      </c>
      <c r="C272" s="5" t="s">
        <v>20</v>
      </c>
      <c r="D272" s="5">
        <v>72.0</v>
      </c>
      <c r="E272" s="5">
        <v>10.0</v>
      </c>
      <c r="H272" s="5" t="s">
        <v>61</v>
      </c>
      <c r="I272" s="9">
        <v>46156.73423611111</v>
      </c>
      <c r="J272" s="5" t="s">
        <v>206</v>
      </c>
      <c r="K272" s="5">
        <v>10.0</v>
      </c>
      <c r="L272" s="5">
        <v>11000.0</v>
      </c>
      <c r="M272" s="5">
        <v>12000.0</v>
      </c>
      <c r="N272" s="8">
        <v>43144.0</v>
      </c>
      <c r="O272" s="5" t="s">
        <v>24</v>
      </c>
      <c r="P272" s="5" t="s">
        <v>25</v>
      </c>
      <c r="S272" s="5" t="s">
        <v>38</v>
      </c>
    </row>
    <row r="273">
      <c r="A273" s="5">
        <v>272.0</v>
      </c>
      <c r="B273" s="5" t="s">
        <v>786</v>
      </c>
      <c r="C273" s="5" t="s">
        <v>20</v>
      </c>
      <c r="D273" s="5">
        <v>21.0</v>
      </c>
      <c r="E273" s="5">
        <v>10.0</v>
      </c>
      <c r="H273" s="5" t="s">
        <v>19</v>
      </c>
      <c r="I273" s="9">
        <v>46125.05217592593</v>
      </c>
      <c r="J273" s="5" t="s">
        <v>471</v>
      </c>
      <c r="K273" s="5">
        <v>10.0</v>
      </c>
      <c r="L273" s="5">
        <v>136000.0</v>
      </c>
      <c r="M273" s="5">
        <v>140000.0</v>
      </c>
      <c r="N273" s="8">
        <v>43979.0</v>
      </c>
      <c r="O273" s="5" t="s">
        <v>184</v>
      </c>
      <c r="P273" s="5" t="s">
        <v>25</v>
      </c>
      <c r="S273" s="5" t="s">
        <v>38</v>
      </c>
    </row>
    <row r="274">
      <c r="A274" s="5">
        <v>273.0</v>
      </c>
      <c r="B274" s="5" t="s">
        <v>794</v>
      </c>
      <c r="C274" s="5" t="s">
        <v>20</v>
      </c>
      <c r="D274" s="5">
        <v>0.0</v>
      </c>
      <c r="E274" s="5">
        <v>10.0</v>
      </c>
      <c r="H274" s="5" t="s">
        <v>340</v>
      </c>
      <c r="I274" s="9">
        <v>46083.97623842592</v>
      </c>
      <c r="J274" s="5" t="s">
        <v>796</v>
      </c>
      <c r="K274" s="5">
        <v>10.0</v>
      </c>
      <c r="L274" s="5">
        <v>13000.0</v>
      </c>
      <c r="M274" s="5">
        <v>18000.0</v>
      </c>
      <c r="N274" s="8">
        <v>44060.0</v>
      </c>
      <c r="O274" s="5" t="s">
        <v>24</v>
      </c>
      <c r="P274" s="5" t="s">
        <v>25</v>
      </c>
      <c r="S274" s="5" t="s">
        <v>38</v>
      </c>
    </row>
    <row r="275">
      <c r="A275" s="5">
        <v>274.0</v>
      </c>
      <c r="B275" s="5" t="s">
        <v>798</v>
      </c>
      <c r="C275" s="5" t="s">
        <v>20</v>
      </c>
      <c r="D275" s="5">
        <v>0.0</v>
      </c>
      <c r="E275" s="5">
        <v>10.0</v>
      </c>
      <c r="H275" s="5" t="s">
        <v>19</v>
      </c>
      <c r="I275" s="9">
        <v>46141.73811342593</v>
      </c>
      <c r="J275" s="5" t="s">
        <v>494</v>
      </c>
      <c r="K275" s="5">
        <v>10.0</v>
      </c>
      <c r="L275" s="5">
        <v>136000.0</v>
      </c>
      <c r="M275" s="5">
        <v>140000.0</v>
      </c>
      <c r="N275" s="8">
        <v>42627.0</v>
      </c>
      <c r="O275" s="5" t="s">
        <v>184</v>
      </c>
      <c r="P275" s="5" t="s">
        <v>25</v>
      </c>
      <c r="S275" s="5" t="s">
        <v>118</v>
      </c>
    </row>
    <row r="276">
      <c r="A276" s="5">
        <v>275.0</v>
      </c>
      <c r="B276" s="5" t="s">
        <v>508</v>
      </c>
      <c r="C276" s="5" t="s">
        <v>20</v>
      </c>
      <c r="D276" s="5">
        <v>19.0</v>
      </c>
      <c r="E276" s="5">
        <v>10.0</v>
      </c>
      <c r="H276" s="5" t="s">
        <v>47</v>
      </c>
      <c r="I276" s="9">
        <v>46088.132268518515</v>
      </c>
      <c r="J276" s="5" t="s">
        <v>151</v>
      </c>
      <c r="K276" s="5">
        <v>20.0</v>
      </c>
      <c r="L276" s="5">
        <v>17000.0</v>
      </c>
      <c r="M276" s="5">
        <v>17000.0</v>
      </c>
      <c r="N276" s="8">
        <v>43080.0</v>
      </c>
      <c r="O276" s="5" t="s">
        <v>24</v>
      </c>
      <c r="P276" s="5" t="s">
        <v>25</v>
      </c>
      <c r="S276" s="5" t="s">
        <v>512</v>
      </c>
    </row>
    <row r="277">
      <c r="A277" s="5">
        <v>276.0</v>
      </c>
      <c r="B277" s="5" t="s">
        <v>816</v>
      </c>
      <c r="C277" s="5" t="s">
        <v>20</v>
      </c>
      <c r="D277" s="5">
        <v>53.0</v>
      </c>
      <c r="E277" s="5">
        <v>10.0</v>
      </c>
      <c r="H277" s="5" t="s">
        <v>30</v>
      </c>
      <c r="I277" s="9">
        <v>46148.04377314815</v>
      </c>
      <c r="J277" s="5" t="s">
        <v>78</v>
      </c>
      <c r="K277" s="5">
        <v>10.0</v>
      </c>
      <c r="L277" s="5">
        <v>26000.0</v>
      </c>
      <c r="M277" s="5">
        <v>27000.0</v>
      </c>
      <c r="N277" s="8">
        <v>44034.0</v>
      </c>
      <c r="O277" s="5" t="s">
        <v>24</v>
      </c>
      <c r="P277" s="5" t="s">
        <v>25</v>
      </c>
      <c r="S277" s="5" t="s">
        <v>38</v>
      </c>
    </row>
    <row r="278">
      <c r="A278" s="5">
        <v>277.0</v>
      </c>
      <c r="B278" s="5" t="s">
        <v>631</v>
      </c>
      <c r="C278" s="5" t="s">
        <v>20</v>
      </c>
      <c r="D278" s="5">
        <v>61.0</v>
      </c>
      <c r="E278" s="5">
        <v>10.0</v>
      </c>
      <c r="H278" s="5" t="s">
        <v>631</v>
      </c>
      <c r="I278" s="9">
        <v>46149.54761574074</v>
      </c>
      <c r="J278" s="5" t="s">
        <v>206</v>
      </c>
      <c r="K278" s="5">
        <v>10.0</v>
      </c>
      <c r="L278" s="5">
        <v>10.0</v>
      </c>
      <c r="M278" s="5">
        <v>10.0</v>
      </c>
      <c r="N278" s="8">
        <v>44287.0</v>
      </c>
      <c r="O278" s="5" t="s">
        <v>100</v>
      </c>
      <c r="P278" s="5" t="s">
        <v>25</v>
      </c>
      <c r="S278" s="5" t="s">
        <v>827</v>
      </c>
    </row>
    <row r="279">
      <c r="A279" s="5">
        <v>278.0</v>
      </c>
      <c r="B279" s="5" t="s">
        <v>1872</v>
      </c>
      <c r="C279" s="5" t="s">
        <v>20</v>
      </c>
      <c r="D279" s="5">
        <v>54.0</v>
      </c>
      <c r="E279" s="5">
        <v>10.0</v>
      </c>
      <c r="H279" s="5" t="s">
        <v>1873</v>
      </c>
      <c r="I279" s="9">
        <v>46143.75628472222</v>
      </c>
      <c r="J279" s="5" t="s">
        <v>206</v>
      </c>
      <c r="K279" s="5">
        <v>20.0</v>
      </c>
      <c r="L279" s="5">
        <v>40.0</v>
      </c>
      <c r="M279" s="5">
        <v>250.0</v>
      </c>
      <c r="N279" s="8">
        <v>42710.0</v>
      </c>
      <c r="O279" s="5" t="s">
        <v>464</v>
      </c>
      <c r="P279" s="5" t="s">
        <v>25</v>
      </c>
      <c r="S279" s="5" t="s">
        <v>38</v>
      </c>
    </row>
    <row r="280">
      <c r="A280" s="5">
        <v>279.0</v>
      </c>
      <c r="B280" s="5" t="s">
        <v>1877</v>
      </c>
      <c r="C280" s="5" t="s">
        <v>20</v>
      </c>
      <c r="D280" s="5">
        <v>74.0</v>
      </c>
      <c r="E280" s="5">
        <v>10.0</v>
      </c>
      <c r="H280" s="5" t="s">
        <v>148</v>
      </c>
      <c r="I280" s="9">
        <v>46122.60019675926</v>
      </c>
      <c r="J280" s="5" t="s">
        <v>78</v>
      </c>
      <c r="K280" s="5">
        <v>30.0</v>
      </c>
      <c r="L280" s="5">
        <v>150.0</v>
      </c>
      <c r="M280" s="5">
        <v>500.0</v>
      </c>
      <c r="N280" s="8">
        <v>44086.0</v>
      </c>
      <c r="O280" s="5" t="s">
        <v>50</v>
      </c>
      <c r="P280" s="5" t="s">
        <v>25</v>
      </c>
      <c r="S280" s="5" t="s">
        <v>38</v>
      </c>
    </row>
    <row r="281">
      <c r="A281" s="5">
        <v>280.0</v>
      </c>
      <c r="B281" s="5" t="s">
        <v>1879</v>
      </c>
      <c r="C281" s="5" t="s">
        <v>20</v>
      </c>
      <c r="D281" s="5">
        <v>56.0</v>
      </c>
      <c r="E281" s="5">
        <v>10.0</v>
      </c>
      <c r="H281" s="5" t="s">
        <v>148</v>
      </c>
      <c r="I281" s="9">
        <v>46142.385347222225</v>
      </c>
      <c r="K281" s="5">
        <v>30.0</v>
      </c>
      <c r="L281" s="5">
        <v>150.0</v>
      </c>
      <c r="M281" s="5">
        <v>450.0</v>
      </c>
      <c r="N281" s="8">
        <v>42742.0</v>
      </c>
      <c r="O281" s="5" t="s">
        <v>24</v>
      </c>
      <c r="P281" s="5" t="s">
        <v>25</v>
      </c>
      <c r="S281" s="5" t="s">
        <v>38</v>
      </c>
    </row>
    <row r="282">
      <c r="A282" s="5">
        <v>281.0</v>
      </c>
      <c r="B282" s="5" t="s">
        <v>844</v>
      </c>
      <c r="C282" s="5" t="s">
        <v>20</v>
      </c>
      <c r="D282" s="5">
        <v>0.0</v>
      </c>
      <c r="E282" s="5">
        <v>10.0</v>
      </c>
      <c r="H282" s="5" t="s">
        <v>457</v>
      </c>
      <c r="I282" s="9">
        <v>46098.18783564815</v>
      </c>
      <c r="J282" s="5" t="s">
        <v>850</v>
      </c>
      <c r="K282" s="5">
        <v>10.0</v>
      </c>
      <c r="L282" s="5">
        <v>30.0</v>
      </c>
      <c r="M282" s="5">
        <v>30.0</v>
      </c>
      <c r="N282" s="8">
        <v>45003.0</v>
      </c>
      <c r="O282" s="5" t="s">
        <v>24</v>
      </c>
      <c r="P282" s="5" t="s">
        <v>25</v>
      </c>
      <c r="S282" s="5" t="s">
        <v>118</v>
      </c>
    </row>
    <row r="283">
      <c r="A283" s="5">
        <v>282.0</v>
      </c>
      <c r="B283" s="5" t="s">
        <v>1883</v>
      </c>
      <c r="C283" s="5" t="s">
        <v>20</v>
      </c>
      <c r="D283" s="5">
        <v>54.0</v>
      </c>
      <c r="E283" s="5">
        <v>10.0</v>
      </c>
      <c r="H283" s="5" t="s">
        <v>19</v>
      </c>
      <c r="I283" s="9">
        <v>46126.991585648146</v>
      </c>
      <c r="J283" s="5" t="s">
        <v>1886</v>
      </c>
      <c r="K283" s="5">
        <v>700.0</v>
      </c>
      <c r="L283" s="5">
        <v>136000.0</v>
      </c>
      <c r="M283" s="5">
        <v>140000.0</v>
      </c>
      <c r="N283" s="8">
        <v>42581.0</v>
      </c>
      <c r="O283" s="5" t="s">
        <v>50</v>
      </c>
      <c r="P283" s="5" t="s">
        <v>25</v>
      </c>
      <c r="S283" s="5" t="s">
        <v>1742</v>
      </c>
    </row>
    <row r="284">
      <c r="A284" s="5">
        <v>283.0</v>
      </c>
      <c r="B284" s="5" t="s">
        <v>871</v>
      </c>
      <c r="C284" s="5" t="s">
        <v>20</v>
      </c>
      <c r="D284" s="5">
        <v>0.0</v>
      </c>
      <c r="E284" s="5">
        <v>10.0</v>
      </c>
      <c r="H284" s="5" t="s">
        <v>457</v>
      </c>
      <c r="I284" s="9">
        <v>46161.794120370374</v>
      </c>
      <c r="J284" s="5" t="s">
        <v>206</v>
      </c>
      <c r="K284" s="5">
        <v>10.0</v>
      </c>
      <c r="L284" s="5">
        <v>40.0</v>
      </c>
      <c r="M284" s="5">
        <v>40.0</v>
      </c>
      <c r="N284" s="8">
        <v>42262.0</v>
      </c>
      <c r="O284" s="5" t="s">
        <v>24</v>
      </c>
      <c r="P284" s="5" t="s">
        <v>25</v>
      </c>
      <c r="S284" s="5" t="s">
        <v>875</v>
      </c>
    </row>
    <row r="285">
      <c r="A285" s="5">
        <v>284.0</v>
      </c>
      <c r="B285" s="5" t="s">
        <v>1892</v>
      </c>
      <c r="C285" s="5" t="s">
        <v>20</v>
      </c>
      <c r="D285" s="5">
        <v>50.0</v>
      </c>
      <c r="E285" s="5">
        <v>10.0</v>
      </c>
      <c r="H285" s="5" t="s">
        <v>148</v>
      </c>
      <c r="I285" s="9">
        <v>46084.94326388889</v>
      </c>
      <c r="K285" s="5">
        <v>10.0</v>
      </c>
      <c r="L285" s="5">
        <v>250.0</v>
      </c>
      <c r="M285" s="5">
        <v>600.0</v>
      </c>
      <c r="N285" s="8">
        <v>43693.0</v>
      </c>
      <c r="O285" s="5" t="s">
        <v>24</v>
      </c>
      <c r="P285" s="5" t="s">
        <v>25</v>
      </c>
      <c r="S285" s="5" t="s">
        <v>38</v>
      </c>
    </row>
    <row r="286">
      <c r="A286" s="5">
        <v>285.0</v>
      </c>
      <c r="B286" s="5" t="s">
        <v>878</v>
      </c>
      <c r="C286" s="5" t="s">
        <v>20</v>
      </c>
      <c r="D286" s="5">
        <v>42.0</v>
      </c>
      <c r="E286" s="5">
        <v>10.0</v>
      </c>
      <c r="H286" s="5" t="s">
        <v>30</v>
      </c>
      <c r="I286" s="9">
        <v>46156.274930555555</v>
      </c>
      <c r="J286" s="5" t="s">
        <v>114</v>
      </c>
      <c r="K286" s="5">
        <v>10.0</v>
      </c>
      <c r="L286" s="5">
        <v>26000.0</v>
      </c>
      <c r="M286" s="5">
        <v>27000.0</v>
      </c>
      <c r="N286" s="8">
        <v>44059.0</v>
      </c>
      <c r="O286" s="5" t="s">
        <v>24</v>
      </c>
      <c r="P286" s="5" t="s">
        <v>25</v>
      </c>
      <c r="S286" s="5" t="s">
        <v>38</v>
      </c>
    </row>
    <row r="287">
      <c r="A287" s="5">
        <v>286.0</v>
      </c>
      <c r="B287" s="5" t="s">
        <v>882</v>
      </c>
      <c r="C287" s="5" t="s">
        <v>20</v>
      </c>
      <c r="D287" s="5">
        <v>59.0</v>
      </c>
      <c r="E287" s="5">
        <v>10.0</v>
      </c>
      <c r="H287" s="5" t="s">
        <v>61</v>
      </c>
      <c r="I287" s="9">
        <v>46126.97677083333</v>
      </c>
      <c r="J287" s="5" t="s">
        <v>114</v>
      </c>
      <c r="K287" s="5">
        <v>20.0</v>
      </c>
      <c r="L287" s="5">
        <v>11000.0</v>
      </c>
      <c r="M287" s="5">
        <v>11000.0</v>
      </c>
      <c r="N287" s="8">
        <v>43352.0</v>
      </c>
      <c r="O287" s="5" t="s">
        <v>100</v>
      </c>
      <c r="P287" s="5" t="s">
        <v>25</v>
      </c>
      <c r="S287" s="5" t="s">
        <v>38</v>
      </c>
    </row>
    <row r="288">
      <c r="A288" s="5">
        <v>287.0</v>
      </c>
      <c r="B288" s="5" t="s">
        <v>1899</v>
      </c>
      <c r="C288" s="5" t="s">
        <v>20</v>
      </c>
      <c r="D288" s="5">
        <v>74.0</v>
      </c>
      <c r="E288" s="5">
        <v>10.0</v>
      </c>
      <c r="H288" s="5" t="s">
        <v>654</v>
      </c>
      <c r="I288" s="9">
        <v>46148.482465277775</v>
      </c>
      <c r="J288" s="5" t="s">
        <v>78</v>
      </c>
      <c r="K288" s="5">
        <v>800.0</v>
      </c>
      <c r="L288" s="5">
        <v>800.0</v>
      </c>
      <c r="M288" s="5">
        <v>194000.0</v>
      </c>
      <c r="N288" s="8">
        <v>42394.0</v>
      </c>
      <c r="O288" s="5" t="s">
        <v>184</v>
      </c>
      <c r="P288" s="5" t="s">
        <v>25</v>
      </c>
      <c r="S288" s="5" t="s">
        <v>38</v>
      </c>
    </row>
    <row r="289">
      <c r="A289" s="5">
        <v>288.0</v>
      </c>
      <c r="B289" s="5" t="s">
        <v>1903</v>
      </c>
      <c r="C289" s="5" t="s">
        <v>20</v>
      </c>
      <c r="D289" s="5">
        <v>85.0</v>
      </c>
      <c r="E289" s="5">
        <v>10.0</v>
      </c>
      <c r="H289" s="5" t="s">
        <v>669</v>
      </c>
      <c r="I289" s="9">
        <v>46156.73380787037</v>
      </c>
      <c r="J289" s="5" t="s">
        <v>1771</v>
      </c>
      <c r="K289" s="5">
        <v>96000.0</v>
      </c>
      <c r="L289" s="5">
        <v>1600.0</v>
      </c>
      <c r="M289" s="5">
        <v>58000.0</v>
      </c>
      <c r="N289" s="8">
        <v>42423.0</v>
      </c>
      <c r="O289" s="5" t="s">
        <v>50</v>
      </c>
      <c r="P289" s="5" t="s">
        <v>25</v>
      </c>
      <c r="S289" s="5" t="s">
        <v>38</v>
      </c>
    </row>
    <row r="290">
      <c r="A290" s="5">
        <v>289.0</v>
      </c>
      <c r="B290" s="5" t="s">
        <v>1908</v>
      </c>
      <c r="C290" s="5" t="s">
        <v>20</v>
      </c>
      <c r="D290" s="5">
        <v>73.0</v>
      </c>
      <c r="E290" s="5">
        <v>10.0</v>
      </c>
      <c r="H290" s="5" t="s">
        <v>147</v>
      </c>
      <c r="I290" s="9">
        <v>46126.542037037034</v>
      </c>
      <c r="J290" s="5" t="s">
        <v>151</v>
      </c>
      <c r="K290" s="5">
        <v>20.0</v>
      </c>
      <c r="L290" s="5">
        <v>1900.0</v>
      </c>
      <c r="M290" s="5">
        <v>17000.0</v>
      </c>
      <c r="N290" s="8">
        <v>44351.0</v>
      </c>
      <c r="O290" s="5" t="s">
        <v>50</v>
      </c>
      <c r="P290" s="5" t="s">
        <v>25</v>
      </c>
      <c r="S290" s="5" t="s">
        <v>118</v>
      </c>
    </row>
    <row r="291">
      <c r="A291" s="5">
        <v>290.0</v>
      </c>
      <c r="B291" s="5" t="s">
        <v>897</v>
      </c>
      <c r="C291" s="5" t="s">
        <v>20</v>
      </c>
      <c r="D291" s="5">
        <v>24.0</v>
      </c>
      <c r="E291" s="5">
        <v>10.0</v>
      </c>
      <c r="H291" s="5" t="s">
        <v>30</v>
      </c>
      <c r="I291" s="9">
        <v>46122.712696759256</v>
      </c>
      <c r="J291" s="5" t="s">
        <v>78</v>
      </c>
      <c r="K291" s="5">
        <v>10.0</v>
      </c>
      <c r="L291" s="5">
        <v>26000.0</v>
      </c>
      <c r="M291" s="5">
        <v>27000.0</v>
      </c>
      <c r="N291" s="8">
        <v>44053.0</v>
      </c>
      <c r="O291" s="5" t="s">
        <v>184</v>
      </c>
      <c r="P291" s="5" t="s">
        <v>25</v>
      </c>
      <c r="S291" s="5" t="s">
        <v>38</v>
      </c>
    </row>
    <row r="292">
      <c r="A292" s="5">
        <v>291.0</v>
      </c>
      <c r="B292" s="5" t="s">
        <v>1912</v>
      </c>
      <c r="C292" s="5" t="s">
        <v>20</v>
      </c>
      <c r="D292" s="5">
        <v>0.0</v>
      </c>
      <c r="E292" s="5">
        <v>10.0</v>
      </c>
      <c r="H292" s="5" t="s">
        <v>19</v>
      </c>
      <c r="I292" s="9">
        <v>46124.389699074076</v>
      </c>
      <c r="J292" s="5" t="s">
        <v>78</v>
      </c>
      <c r="K292" s="5">
        <v>10.0</v>
      </c>
      <c r="L292" s="5">
        <v>136000.0</v>
      </c>
      <c r="M292" s="5">
        <v>140000.0</v>
      </c>
      <c r="N292" s="8">
        <v>44780.0</v>
      </c>
      <c r="O292" s="5" t="s">
        <v>100</v>
      </c>
      <c r="P292" s="5" t="s">
        <v>25</v>
      </c>
      <c r="S292" s="5" t="s">
        <v>118</v>
      </c>
    </row>
    <row r="293">
      <c r="A293" s="5">
        <v>292.0</v>
      </c>
      <c r="B293" s="5" t="s">
        <v>521</v>
      </c>
      <c r="C293" s="5" t="s">
        <v>20</v>
      </c>
      <c r="D293" s="5">
        <v>49.0</v>
      </c>
      <c r="E293" s="5">
        <v>10.0</v>
      </c>
      <c r="H293" s="5" t="s">
        <v>41</v>
      </c>
      <c r="I293" s="9">
        <v>46143.35967592592</v>
      </c>
      <c r="J293" s="5" t="s">
        <v>494</v>
      </c>
      <c r="K293" s="5">
        <v>10.0</v>
      </c>
      <c r="L293" s="5">
        <v>100.0</v>
      </c>
      <c r="M293" s="5">
        <v>1100.0</v>
      </c>
      <c r="N293" s="8">
        <v>42442.0</v>
      </c>
      <c r="O293" s="5" t="s">
        <v>24</v>
      </c>
      <c r="P293" s="5" t="s">
        <v>25</v>
      </c>
      <c r="S293" s="5" t="s">
        <v>38</v>
      </c>
    </row>
    <row r="294">
      <c r="A294" s="5">
        <v>293.0</v>
      </c>
      <c r="B294" s="5" t="s">
        <v>1917</v>
      </c>
      <c r="C294" s="5" t="s">
        <v>20</v>
      </c>
      <c r="D294" s="5">
        <v>68.0</v>
      </c>
      <c r="E294" s="5">
        <v>10.0</v>
      </c>
      <c r="H294" s="5" t="s">
        <v>61</v>
      </c>
      <c r="I294" s="9">
        <v>46088.11755787037</v>
      </c>
      <c r="J294" s="5" t="s">
        <v>137</v>
      </c>
      <c r="K294" s="5">
        <v>20.0</v>
      </c>
      <c r="L294" s="5">
        <v>11000.0</v>
      </c>
      <c r="M294" s="5">
        <v>11000.0</v>
      </c>
      <c r="N294" s="8">
        <v>42784.0</v>
      </c>
      <c r="O294" s="5" t="s">
        <v>100</v>
      </c>
      <c r="P294" s="5" t="s">
        <v>25</v>
      </c>
      <c r="S294" s="5" t="s">
        <v>38</v>
      </c>
    </row>
    <row r="295">
      <c r="A295" s="5">
        <v>294.0</v>
      </c>
      <c r="B295" s="5" t="s">
        <v>908</v>
      </c>
      <c r="C295" s="5" t="s">
        <v>20</v>
      </c>
      <c r="D295" s="5">
        <v>36.0</v>
      </c>
      <c r="E295" s="5">
        <v>10.0</v>
      </c>
      <c r="H295" s="5" t="s">
        <v>47</v>
      </c>
      <c r="I295" s="9">
        <v>46149.41065972222</v>
      </c>
      <c r="J295" s="5" t="s">
        <v>243</v>
      </c>
      <c r="K295" s="5">
        <v>60.0</v>
      </c>
      <c r="L295" s="5">
        <v>15000.0</v>
      </c>
      <c r="M295" s="5">
        <v>16000.0</v>
      </c>
      <c r="N295" s="8">
        <v>43407.0</v>
      </c>
      <c r="O295" s="5" t="s">
        <v>100</v>
      </c>
      <c r="P295" s="5" t="s">
        <v>25</v>
      </c>
      <c r="S295" s="5" t="s">
        <v>29</v>
      </c>
    </row>
    <row r="296">
      <c r="A296" s="5">
        <v>295.0</v>
      </c>
      <c r="B296" s="5" t="s">
        <v>929</v>
      </c>
      <c r="C296" s="5" t="s">
        <v>20</v>
      </c>
      <c r="D296" s="5">
        <v>46.0</v>
      </c>
      <c r="E296" s="5">
        <v>10.0</v>
      </c>
      <c r="H296" s="5" t="s">
        <v>61</v>
      </c>
      <c r="I296" s="9">
        <v>46098.58577546296</v>
      </c>
      <c r="J296" s="5" t="s">
        <v>206</v>
      </c>
      <c r="K296" s="5">
        <v>10.0</v>
      </c>
      <c r="L296" s="5">
        <v>11000.0</v>
      </c>
      <c r="M296" s="5">
        <v>11000.0</v>
      </c>
      <c r="N296" s="8">
        <v>44554.0</v>
      </c>
      <c r="O296" s="5" t="s">
        <v>24</v>
      </c>
      <c r="P296" s="5" t="s">
        <v>25</v>
      </c>
      <c r="S296" s="5" t="s">
        <v>38</v>
      </c>
    </row>
    <row r="297">
      <c r="A297" s="5">
        <v>296.0</v>
      </c>
      <c r="B297" s="5" t="s">
        <v>449</v>
      </c>
      <c r="C297" s="5" t="s">
        <v>20</v>
      </c>
      <c r="D297" s="5">
        <v>20.0</v>
      </c>
      <c r="E297" s="5">
        <v>10.0</v>
      </c>
      <c r="H297" s="5" t="s">
        <v>446</v>
      </c>
      <c r="I297" s="9">
        <v>46148.40923611111</v>
      </c>
      <c r="J297" s="5" t="s">
        <v>346</v>
      </c>
      <c r="K297" s="5">
        <v>20.0</v>
      </c>
      <c r="L297" s="5">
        <v>60.0</v>
      </c>
      <c r="M297" s="5">
        <v>200.0</v>
      </c>
      <c r="N297" s="8">
        <v>42323.0</v>
      </c>
      <c r="O297" s="5" t="s">
        <v>24</v>
      </c>
      <c r="P297" s="5" t="s">
        <v>25</v>
      </c>
      <c r="S297" s="5" t="s">
        <v>38</v>
      </c>
    </row>
    <row r="298">
      <c r="A298" s="5">
        <v>297.0</v>
      </c>
      <c r="B298" s="5" t="s">
        <v>1925</v>
      </c>
      <c r="C298" s="5" t="s">
        <v>20</v>
      </c>
      <c r="D298" s="5">
        <v>2.0</v>
      </c>
      <c r="E298" s="5">
        <v>10.0</v>
      </c>
      <c r="H298" s="5" t="s">
        <v>40</v>
      </c>
      <c r="I298" s="9">
        <v>46156.82126157408</v>
      </c>
      <c r="J298" s="5" t="s">
        <v>78</v>
      </c>
      <c r="K298" s="5">
        <v>20.0</v>
      </c>
      <c r="L298" s="5">
        <v>17000.0</v>
      </c>
      <c r="M298" s="5">
        <v>19000.0</v>
      </c>
      <c r="N298" s="8">
        <v>44761.0</v>
      </c>
      <c r="O298" s="5" t="s">
        <v>80</v>
      </c>
      <c r="P298" s="5" t="s">
        <v>25</v>
      </c>
      <c r="S298" s="5" t="s">
        <v>29</v>
      </c>
    </row>
    <row r="299">
      <c r="A299" s="5">
        <v>298.0</v>
      </c>
      <c r="B299" s="5" t="s">
        <v>969</v>
      </c>
      <c r="C299" s="5" t="s">
        <v>20</v>
      </c>
      <c r="D299" s="5">
        <v>55.0</v>
      </c>
      <c r="E299" s="5">
        <v>10.0</v>
      </c>
      <c r="H299" s="5" t="s">
        <v>47</v>
      </c>
      <c r="I299" s="9">
        <v>46125.032326388886</v>
      </c>
      <c r="K299" s="5">
        <v>20.0</v>
      </c>
      <c r="L299" s="5">
        <v>16000.0</v>
      </c>
      <c r="M299" s="5">
        <v>16000.0</v>
      </c>
      <c r="N299" s="8">
        <v>42912.0</v>
      </c>
      <c r="O299" s="5" t="s">
        <v>80</v>
      </c>
      <c r="P299" s="5" t="s">
        <v>25</v>
      </c>
      <c r="S299" s="5" t="s">
        <v>118</v>
      </c>
    </row>
    <row r="300">
      <c r="A300" s="5">
        <v>299.0</v>
      </c>
      <c r="B300" s="5" t="s">
        <v>1930</v>
      </c>
      <c r="C300" s="5" t="s">
        <v>20</v>
      </c>
      <c r="D300" s="5">
        <v>29.0</v>
      </c>
      <c r="E300" s="5">
        <v>10.0</v>
      </c>
      <c r="G300" s="5">
        <v>0.83</v>
      </c>
      <c r="H300" s="5" t="s">
        <v>1931</v>
      </c>
      <c r="I300" s="9">
        <v>46142.58335648148</v>
      </c>
      <c r="J300" s="5" t="s">
        <v>206</v>
      </c>
      <c r="K300" s="5">
        <v>2300.0</v>
      </c>
      <c r="L300" s="5">
        <v>0.0</v>
      </c>
      <c r="M300" s="5">
        <v>0.0</v>
      </c>
      <c r="N300" s="8">
        <v>42270.0</v>
      </c>
      <c r="O300" s="5" t="s">
        <v>1933</v>
      </c>
      <c r="S300" s="5" t="s">
        <v>1934</v>
      </c>
    </row>
    <row r="301">
      <c r="A301" s="5">
        <v>300.0</v>
      </c>
      <c r="B301" s="5" t="s">
        <v>1936</v>
      </c>
      <c r="C301" s="5" t="s">
        <v>20</v>
      </c>
      <c r="D301" s="5">
        <v>43.0</v>
      </c>
      <c r="E301" s="5">
        <v>10.0</v>
      </c>
      <c r="H301" s="5" t="s">
        <v>340</v>
      </c>
      <c r="I301" s="9">
        <v>46084.18921296296</v>
      </c>
      <c r="J301" s="5" t="s">
        <v>78</v>
      </c>
      <c r="K301" s="5">
        <v>10.0</v>
      </c>
      <c r="L301" s="5">
        <v>13000.0</v>
      </c>
      <c r="M301" s="5">
        <v>18000.0</v>
      </c>
      <c r="N301" s="8">
        <v>43903.0</v>
      </c>
      <c r="O301" s="5" t="s">
        <v>80</v>
      </c>
      <c r="P301" s="5" t="s">
        <v>25</v>
      </c>
      <c r="S301" s="5" t="s">
        <v>29</v>
      </c>
    </row>
    <row r="302">
      <c r="A302" s="5">
        <v>301.0</v>
      </c>
      <c r="B302" s="5" t="s">
        <v>996</v>
      </c>
      <c r="C302" s="5" t="s">
        <v>20</v>
      </c>
      <c r="D302" s="5">
        <v>36.0</v>
      </c>
      <c r="E302" s="5">
        <v>10.0</v>
      </c>
      <c r="H302" s="5" t="s">
        <v>30</v>
      </c>
      <c r="I302" s="9">
        <v>46101.23947916667</v>
      </c>
      <c r="J302" s="5" t="s">
        <v>22</v>
      </c>
      <c r="K302" s="5">
        <v>10.0</v>
      </c>
      <c r="L302" s="5">
        <v>28000.0</v>
      </c>
      <c r="M302" s="5">
        <v>29000.0</v>
      </c>
      <c r="N302" s="8">
        <v>43994.0</v>
      </c>
      <c r="O302" s="5" t="s">
        <v>24</v>
      </c>
      <c r="P302" s="5" t="s">
        <v>25</v>
      </c>
      <c r="S302" s="5" t="s">
        <v>38</v>
      </c>
    </row>
    <row r="303">
      <c r="A303" s="5">
        <v>302.0</v>
      </c>
      <c r="B303" s="5" t="s">
        <v>1939</v>
      </c>
      <c r="C303" s="5" t="s">
        <v>20</v>
      </c>
      <c r="D303" s="5">
        <v>33.0</v>
      </c>
      <c r="E303" s="5">
        <v>10.0</v>
      </c>
      <c r="H303" s="5" t="s">
        <v>47</v>
      </c>
      <c r="I303" s="9">
        <v>46099.673113425924</v>
      </c>
      <c r="J303" s="5" t="s">
        <v>151</v>
      </c>
      <c r="K303" s="5">
        <v>10.0</v>
      </c>
      <c r="L303" s="5">
        <v>17000.0</v>
      </c>
      <c r="M303" s="5">
        <v>18000.0</v>
      </c>
      <c r="N303" s="8">
        <v>42704.0</v>
      </c>
      <c r="O303" s="5" t="s">
        <v>583</v>
      </c>
      <c r="P303" s="5" t="s">
        <v>25</v>
      </c>
      <c r="S303" s="5" t="s">
        <v>38</v>
      </c>
    </row>
    <row r="304">
      <c r="A304" s="5">
        <v>303.0</v>
      </c>
      <c r="B304" s="5" t="s">
        <v>1943</v>
      </c>
      <c r="C304" s="5" t="s">
        <v>20</v>
      </c>
      <c r="D304" s="5">
        <v>68.0</v>
      </c>
      <c r="E304" s="5">
        <v>10.0</v>
      </c>
      <c r="H304" s="5" t="s">
        <v>654</v>
      </c>
      <c r="I304" s="9">
        <v>46089.23189814815</v>
      </c>
      <c r="J304" s="5" t="s">
        <v>78</v>
      </c>
      <c r="K304" s="5">
        <v>400.0</v>
      </c>
      <c r="L304" s="5">
        <v>800.0</v>
      </c>
      <c r="M304" s="5">
        <v>774000.0</v>
      </c>
      <c r="N304" s="8">
        <v>43118.0</v>
      </c>
      <c r="O304" s="5" t="s">
        <v>184</v>
      </c>
      <c r="P304" s="5" t="s">
        <v>25</v>
      </c>
      <c r="S304" s="5" t="s">
        <v>38</v>
      </c>
    </row>
    <row r="305">
      <c r="A305" s="5">
        <v>304.0</v>
      </c>
      <c r="B305" s="5" t="s">
        <v>1055</v>
      </c>
      <c r="C305" s="5" t="s">
        <v>20</v>
      </c>
      <c r="D305" s="5">
        <v>0.0</v>
      </c>
      <c r="F305" s="5">
        <v>1.8</v>
      </c>
      <c r="H305" s="5" t="s">
        <v>617</v>
      </c>
      <c r="I305" s="9">
        <v>46084.182662037034</v>
      </c>
      <c r="J305" s="5" t="s">
        <v>243</v>
      </c>
      <c r="L305" s="5">
        <v>10.0</v>
      </c>
      <c r="M305" s="5">
        <v>10.0</v>
      </c>
      <c r="N305" s="8">
        <v>45199.0</v>
      </c>
      <c r="O305" s="5" t="s">
        <v>100</v>
      </c>
      <c r="S305" s="5" t="s">
        <v>29</v>
      </c>
    </row>
    <row r="306">
      <c r="A306" s="5">
        <v>305.0</v>
      </c>
      <c r="B306" s="5" t="s">
        <v>1948</v>
      </c>
      <c r="C306" s="5" t="s">
        <v>20</v>
      </c>
      <c r="D306" s="5">
        <v>2.0</v>
      </c>
      <c r="H306" s="5" t="s">
        <v>19</v>
      </c>
      <c r="I306" s="9">
        <v>46099.91033564815</v>
      </c>
      <c r="J306" s="5" t="s">
        <v>127</v>
      </c>
      <c r="L306" s="5">
        <v>141000.0</v>
      </c>
      <c r="M306" s="5">
        <v>145000.0</v>
      </c>
      <c r="N306" s="8">
        <v>42318.0</v>
      </c>
      <c r="O306" s="5" t="s">
        <v>24</v>
      </c>
      <c r="S306" s="5" t="s">
        <v>29</v>
      </c>
    </row>
    <row r="307">
      <c r="A307" s="5">
        <v>306.0</v>
      </c>
      <c r="B307" s="5" t="s">
        <v>1951</v>
      </c>
      <c r="C307" s="5" t="s">
        <v>20</v>
      </c>
      <c r="D307" s="5">
        <v>77.0</v>
      </c>
      <c r="H307" s="5" t="s">
        <v>654</v>
      </c>
      <c r="I307" s="9">
        <v>46155.8227662037</v>
      </c>
      <c r="K307" s="5">
        <v>7600.0</v>
      </c>
      <c r="L307" s="5">
        <v>1300.0</v>
      </c>
      <c r="M307" s="5">
        <v>162000.0</v>
      </c>
      <c r="N307" s="8">
        <v>43868.0</v>
      </c>
      <c r="O307" s="5" t="s">
        <v>879</v>
      </c>
      <c r="P307" s="5" t="s">
        <v>25</v>
      </c>
      <c r="S307" s="5" t="s">
        <v>38</v>
      </c>
    </row>
    <row r="308">
      <c r="A308" s="5">
        <v>307.0</v>
      </c>
      <c r="B308" s="10" t="s">
        <v>1955</v>
      </c>
      <c r="C308" s="5" t="s">
        <v>20</v>
      </c>
      <c r="D308" s="5">
        <v>0.0</v>
      </c>
      <c r="G308" s="5">
        <v>0.98</v>
      </c>
      <c r="H308" s="5" t="s">
        <v>193</v>
      </c>
      <c r="I308" s="9">
        <v>46125.91673611111</v>
      </c>
      <c r="J308" s="5" t="s">
        <v>22</v>
      </c>
      <c r="L308" s="5">
        <v>2100.0</v>
      </c>
      <c r="M308" s="5">
        <v>2200.0</v>
      </c>
      <c r="N308" s="8">
        <v>42249.0</v>
      </c>
      <c r="O308" s="5" t="s">
        <v>100</v>
      </c>
      <c r="S308" s="5" t="s">
        <v>118</v>
      </c>
    </row>
    <row r="309">
      <c r="A309" s="5">
        <v>308.0</v>
      </c>
      <c r="B309" s="5" t="s">
        <v>1962</v>
      </c>
      <c r="C309" s="5" t="s">
        <v>20</v>
      </c>
      <c r="D309" s="5">
        <v>62.0</v>
      </c>
      <c r="H309" s="5" t="s">
        <v>56</v>
      </c>
      <c r="I309" s="9">
        <v>46084.929189814815</v>
      </c>
      <c r="J309" s="5" t="s">
        <v>78</v>
      </c>
      <c r="L309" s="5">
        <v>5900.0</v>
      </c>
      <c r="M309" s="5">
        <v>6100.0</v>
      </c>
      <c r="N309" s="8">
        <v>44789.0</v>
      </c>
      <c r="O309" s="5" t="s">
        <v>1344</v>
      </c>
      <c r="P309" s="5" t="s">
        <v>25</v>
      </c>
      <c r="S309" s="5" t="s">
        <v>1965</v>
      </c>
    </row>
    <row r="310">
      <c r="A310" s="5">
        <v>309.0</v>
      </c>
      <c r="B310" s="5" t="s">
        <v>1967</v>
      </c>
      <c r="C310" s="5" t="s">
        <v>20</v>
      </c>
      <c r="D310" s="5">
        <v>5.0</v>
      </c>
      <c r="F310" s="5">
        <v>1.5</v>
      </c>
      <c r="H310" s="5" t="s">
        <v>19</v>
      </c>
      <c r="I310" s="9">
        <v>46072.977013888885</v>
      </c>
      <c r="J310" s="5" t="s">
        <v>22</v>
      </c>
      <c r="L310" s="5">
        <v>145000.0</v>
      </c>
      <c r="M310" s="5">
        <v>149000.0</v>
      </c>
      <c r="N310" s="8">
        <v>42499.0</v>
      </c>
      <c r="O310" s="5" t="s">
        <v>24</v>
      </c>
      <c r="P310" s="5" t="s">
        <v>25</v>
      </c>
      <c r="S310" s="5" t="s">
        <v>29</v>
      </c>
    </row>
    <row r="311">
      <c r="A311" s="5">
        <v>310.0</v>
      </c>
      <c r="B311" s="5" t="s">
        <v>1969</v>
      </c>
      <c r="C311" s="5" t="s">
        <v>20</v>
      </c>
      <c r="D311" s="5">
        <v>72.0</v>
      </c>
      <c r="H311" s="5" t="s">
        <v>1970</v>
      </c>
      <c r="I311" s="9">
        <v>46155.1283912037</v>
      </c>
      <c r="K311" s="5">
        <v>30.0</v>
      </c>
      <c r="L311" s="5">
        <v>90.0</v>
      </c>
      <c r="M311" s="5">
        <v>56000.0</v>
      </c>
      <c r="N311" s="8">
        <v>42661.0</v>
      </c>
      <c r="O311" s="5" t="s">
        <v>24</v>
      </c>
      <c r="P311" s="5" t="s">
        <v>25</v>
      </c>
      <c r="S311" s="5" t="s">
        <v>38</v>
      </c>
    </row>
    <row r="312">
      <c r="A312" s="5">
        <v>311.0</v>
      </c>
      <c r="B312" s="5" t="s">
        <v>1972</v>
      </c>
      <c r="C312" s="5" t="s">
        <v>20</v>
      </c>
      <c r="D312" s="5">
        <v>58.0</v>
      </c>
      <c r="H312" s="5" t="s">
        <v>41</v>
      </c>
      <c r="I312" s="9">
        <v>46143.845925925925</v>
      </c>
      <c r="J312" s="5" t="s">
        <v>78</v>
      </c>
      <c r="L312" s="5">
        <v>100.0</v>
      </c>
      <c r="M312" s="5">
        <v>1100.0</v>
      </c>
      <c r="N312" s="8">
        <v>45232.0</v>
      </c>
      <c r="O312" s="5" t="s">
        <v>80</v>
      </c>
      <c r="P312" s="5" t="s">
        <v>25</v>
      </c>
      <c r="S312" s="5" t="s">
        <v>29</v>
      </c>
    </row>
    <row r="313">
      <c r="A313" s="5">
        <v>312.0</v>
      </c>
      <c r="B313" s="5" t="s">
        <v>1974</v>
      </c>
      <c r="C313" s="5" t="s">
        <v>20</v>
      </c>
      <c r="D313" s="5">
        <v>45.0</v>
      </c>
      <c r="H313" s="5" t="s">
        <v>148</v>
      </c>
      <c r="I313" s="9">
        <v>46148.96171296296</v>
      </c>
      <c r="J313" s="5" t="s">
        <v>206</v>
      </c>
      <c r="L313" s="5">
        <v>150.0</v>
      </c>
      <c r="M313" s="5">
        <v>450.0</v>
      </c>
      <c r="N313" s="8">
        <v>44027.0</v>
      </c>
      <c r="O313" s="5" t="s">
        <v>464</v>
      </c>
      <c r="P313" s="5" t="s">
        <v>25</v>
      </c>
      <c r="S313" s="5" t="s">
        <v>38</v>
      </c>
    </row>
    <row r="314">
      <c r="A314" s="5">
        <v>313.0</v>
      </c>
      <c r="B314" s="5" t="s">
        <v>1428</v>
      </c>
      <c r="C314" s="5" t="s">
        <v>20</v>
      </c>
      <c r="D314" s="5">
        <v>36.0</v>
      </c>
      <c r="H314" s="5" t="s">
        <v>47</v>
      </c>
      <c r="I314" s="9">
        <v>46145.94351851852</v>
      </c>
      <c r="J314" s="5" t="s">
        <v>151</v>
      </c>
      <c r="K314" s="5">
        <v>10.0</v>
      </c>
      <c r="L314" s="5">
        <v>15000.0</v>
      </c>
      <c r="M314" s="5">
        <v>16000.0</v>
      </c>
      <c r="N314" s="8">
        <v>42344.0</v>
      </c>
      <c r="O314" s="5" t="s">
        <v>100</v>
      </c>
      <c r="P314" s="5" t="s">
        <v>25</v>
      </c>
      <c r="S314" s="5" t="s">
        <v>29</v>
      </c>
    </row>
    <row r="315">
      <c r="A315" s="5">
        <v>314.0</v>
      </c>
      <c r="B315" s="5" t="s">
        <v>1483</v>
      </c>
      <c r="C315" s="5" t="s">
        <v>20</v>
      </c>
      <c r="D315" s="5">
        <v>0.0</v>
      </c>
      <c r="H315" s="5" t="s">
        <v>19</v>
      </c>
      <c r="I315" s="9">
        <v>46127.35685185185</v>
      </c>
      <c r="J315" s="5" t="s">
        <v>151</v>
      </c>
      <c r="L315" s="5">
        <v>136000.0</v>
      </c>
      <c r="M315" s="5">
        <v>140000.0</v>
      </c>
      <c r="N315" s="8">
        <v>42631.0</v>
      </c>
      <c r="O315" s="5" t="s">
        <v>24</v>
      </c>
      <c r="P315" s="5" t="s">
        <v>25</v>
      </c>
      <c r="S315" s="5" t="s">
        <v>118</v>
      </c>
    </row>
    <row r="316">
      <c r="A316" s="5">
        <v>315.0</v>
      </c>
      <c r="B316" s="5" t="s">
        <v>1511</v>
      </c>
      <c r="C316" s="5" t="s">
        <v>20</v>
      </c>
      <c r="D316" s="5">
        <v>16.0</v>
      </c>
      <c r="H316" s="5" t="s">
        <v>19</v>
      </c>
      <c r="I316" s="9">
        <v>46126.528715277775</v>
      </c>
      <c r="J316" s="5" t="s">
        <v>22</v>
      </c>
      <c r="L316" s="5">
        <v>136000.0</v>
      </c>
      <c r="M316" s="5">
        <v>140000.0</v>
      </c>
      <c r="N316" s="8">
        <v>42279.0</v>
      </c>
      <c r="O316" s="5" t="s">
        <v>100</v>
      </c>
      <c r="P316" s="5" t="s">
        <v>25</v>
      </c>
      <c r="S316" s="5" t="s">
        <v>29</v>
      </c>
    </row>
    <row r="317">
      <c r="A317" s="5">
        <v>316.0</v>
      </c>
      <c r="B317" s="5" t="s">
        <v>1513</v>
      </c>
      <c r="C317" s="5" t="s">
        <v>20</v>
      </c>
      <c r="D317" s="5">
        <v>0.0</v>
      </c>
      <c r="H317" s="5" t="s">
        <v>1000</v>
      </c>
      <c r="I317" s="9">
        <v>46098.746296296296</v>
      </c>
      <c r="J317" s="5" t="s">
        <v>87</v>
      </c>
      <c r="L317" s="5">
        <v>0.0</v>
      </c>
      <c r="M317" s="5">
        <v>0.0</v>
      </c>
      <c r="N317" s="8">
        <v>44415.0</v>
      </c>
      <c r="O317" s="5" t="s">
        <v>24</v>
      </c>
      <c r="P317" s="5" t="s">
        <v>25</v>
      </c>
      <c r="S317" s="5" t="s">
        <v>469</v>
      </c>
    </row>
    <row r="318">
      <c r="A318" s="5">
        <v>317.0</v>
      </c>
      <c r="B318" s="5" t="s">
        <v>1547</v>
      </c>
      <c r="C318" s="5" t="s">
        <v>20</v>
      </c>
      <c r="D318" s="5">
        <v>43.0</v>
      </c>
      <c r="H318" s="5" t="s">
        <v>30</v>
      </c>
      <c r="I318" s="9">
        <v>46148.99408564815</v>
      </c>
      <c r="J318" s="5" t="s">
        <v>22</v>
      </c>
      <c r="L318" s="5">
        <v>26000.0</v>
      </c>
      <c r="M318" s="5">
        <v>27000.0</v>
      </c>
      <c r="N318" s="8">
        <v>44302.0</v>
      </c>
      <c r="O318" s="5" t="s">
        <v>100</v>
      </c>
      <c r="P318" s="5" t="s">
        <v>25</v>
      </c>
      <c r="S318" s="5" t="s">
        <v>38</v>
      </c>
    </row>
    <row r="319">
      <c r="A319" s="5">
        <v>318.0</v>
      </c>
      <c r="B319" s="5" t="s">
        <v>1568</v>
      </c>
      <c r="C319" s="5" t="s">
        <v>20</v>
      </c>
      <c r="D319" s="5">
        <v>0.0</v>
      </c>
      <c r="H319" s="5" t="s">
        <v>19</v>
      </c>
      <c r="I319" s="9">
        <v>46122.07436342593</v>
      </c>
      <c r="J319" s="5" t="s">
        <v>494</v>
      </c>
      <c r="L319" s="5">
        <v>136000.0</v>
      </c>
      <c r="M319" s="5">
        <v>140000.0</v>
      </c>
      <c r="N319" s="8">
        <v>43125.0</v>
      </c>
      <c r="O319" s="5" t="s">
        <v>184</v>
      </c>
      <c r="P319" s="5" t="s">
        <v>25</v>
      </c>
      <c r="S319" s="5" t="s">
        <v>29</v>
      </c>
    </row>
    <row r="320">
      <c r="A320" s="5">
        <v>319.0</v>
      </c>
      <c r="B320" s="5" t="s">
        <v>1573</v>
      </c>
      <c r="C320" s="5" t="s">
        <v>20</v>
      </c>
      <c r="D320" s="5">
        <v>42.0</v>
      </c>
      <c r="H320" s="5" t="s">
        <v>19</v>
      </c>
      <c r="I320" s="9">
        <v>46149.71333333333</v>
      </c>
      <c r="J320" s="5" t="s">
        <v>78</v>
      </c>
      <c r="L320" s="5">
        <v>137000.0</v>
      </c>
      <c r="M320" s="5">
        <v>140000.0</v>
      </c>
      <c r="N320" s="8">
        <v>42424.0</v>
      </c>
      <c r="O320" s="5" t="s">
        <v>80</v>
      </c>
      <c r="P320" s="5" t="s">
        <v>25</v>
      </c>
      <c r="S320" s="5" t="s">
        <v>38</v>
      </c>
    </row>
    <row r="321">
      <c r="A321" s="5">
        <v>320.0</v>
      </c>
      <c r="B321" s="5" t="s">
        <v>1575</v>
      </c>
      <c r="C321" s="5" t="s">
        <v>20</v>
      </c>
      <c r="D321" s="5">
        <v>30.0</v>
      </c>
      <c r="H321" s="5" t="s">
        <v>47</v>
      </c>
      <c r="I321" s="9">
        <v>46127.3325</v>
      </c>
      <c r="J321" s="5" t="s">
        <v>22</v>
      </c>
      <c r="L321" s="5">
        <v>16000.0</v>
      </c>
      <c r="M321" s="5">
        <v>17000.0</v>
      </c>
      <c r="N321" s="8">
        <v>43648.0</v>
      </c>
      <c r="O321" s="5" t="s">
        <v>80</v>
      </c>
      <c r="P321" s="5" t="s">
        <v>25</v>
      </c>
      <c r="S321" s="5" t="s">
        <v>29</v>
      </c>
    </row>
    <row r="322">
      <c r="A322" s="5">
        <v>321.0</v>
      </c>
      <c r="B322" s="5" t="s">
        <v>1996</v>
      </c>
      <c r="C322" s="5" t="s">
        <v>20</v>
      </c>
      <c r="D322" s="5">
        <v>0.0</v>
      </c>
      <c r="H322" s="5" t="s">
        <v>457</v>
      </c>
      <c r="I322" s="9">
        <v>46145.403969907406</v>
      </c>
      <c r="J322" s="5" t="s">
        <v>151</v>
      </c>
      <c r="L322" s="5">
        <v>40.0</v>
      </c>
      <c r="M322" s="5">
        <v>40.0</v>
      </c>
      <c r="N322" s="8">
        <v>45009.0</v>
      </c>
      <c r="O322" s="5" t="s">
        <v>24</v>
      </c>
      <c r="P322" s="5" t="s">
        <v>25</v>
      </c>
      <c r="S322" s="5" t="s">
        <v>118</v>
      </c>
    </row>
    <row r="323">
      <c r="A323" s="5">
        <v>322.0</v>
      </c>
      <c r="B323" s="5" t="s">
        <v>1595</v>
      </c>
      <c r="C323" s="5" t="s">
        <v>20</v>
      </c>
      <c r="D323" s="5">
        <v>0.0</v>
      </c>
      <c r="G323" s="5">
        <v>1.04</v>
      </c>
      <c r="H323" s="5" t="s">
        <v>340</v>
      </c>
      <c r="I323" s="9">
        <v>46084.04023148148</v>
      </c>
      <c r="J323" s="5" t="s">
        <v>355</v>
      </c>
      <c r="L323" s="5">
        <v>13000.0</v>
      </c>
      <c r="M323" s="5">
        <v>18000.0</v>
      </c>
      <c r="N323" s="8">
        <v>42360.0</v>
      </c>
      <c r="O323" s="5" t="s">
        <v>24</v>
      </c>
      <c r="P323" s="5" t="s">
        <v>25</v>
      </c>
      <c r="S323" s="5" t="s">
        <v>1596</v>
      </c>
    </row>
    <row r="324">
      <c r="A324" s="5">
        <v>323.0</v>
      </c>
      <c r="B324" s="5" t="s">
        <v>1603</v>
      </c>
      <c r="C324" s="5" t="s">
        <v>20</v>
      </c>
      <c r="D324" s="5">
        <v>9.0</v>
      </c>
      <c r="H324" s="5" t="s">
        <v>1285</v>
      </c>
      <c r="I324" s="9">
        <v>46147.20915509259</v>
      </c>
      <c r="J324" s="5" t="s">
        <v>1604</v>
      </c>
      <c r="L324" s="5">
        <v>30.0</v>
      </c>
      <c r="M324" s="5">
        <v>30.0</v>
      </c>
      <c r="N324" s="8">
        <v>44004.0</v>
      </c>
      <c r="O324" s="5" t="s">
        <v>24</v>
      </c>
      <c r="P324" s="5" t="s">
        <v>25</v>
      </c>
      <c r="S324" s="5" t="s">
        <v>875</v>
      </c>
    </row>
    <row r="325">
      <c r="A325" s="5">
        <v>324.0</v>
      </c>
      <c r="B325" s="5" t="s">
        <v>2004</v>
      </c>
      <c r="C325" s="5" t="s">
        <v>20</v>
      </c>
      <c r="D325" s="5">
        <v>0.0</v>
      </c>
      <c r="H325" s="5" t="s">
        <v>41</v>
      </c>
      <c r="I325" s="9">
        <v>46142.23533564815</v>
      </c>
      <c r="J325" s="5" t="s">
        <v>22</v>
      </c>
      <c r="L325" s="5">
        <v>100.0</v>
      </c>
      <c r="M325" s="5">
        <v>1100.0</v>
      </c>
      <c r="N325" s="8">
        <v>42353.0</v>
      </c>
      <c r="O325" s="5" t="s">
        <v>100</v>
      </c>
      <c r="P325" s="5" t="s">
        <v>25</v>
      </c>
      <c r="S325" s="5" t="s">
        <v>29</v>
      </c>
    </row>
    <row r="326">
      <c r="A326" s="5">
        <v>325.0</v>
      </c>
      <c r="B326" s="5" t="s">
        <v>2007</v>
      </c>
      <c r="C326" s="5" t="s">
        <v>20</v>
      </c>
      <c r="D326" s="5">
        <v>11.0</v>
      </c>
      <c r="H326" s="5" t="s">
        <v>41</v>
      </c>
      <c r="I326" s="9">
        <v>46148.97917824074</v>
      </c>
      <c r="J326" s="5" t="s">
        <v>78</v>
      </c>
      <c r="L326" s="5">
        <v>150.0</v>
      </c>
      <c r="M326" s="5">
        <v>1300.0</v>
      </c>
      <c r="N326" s="8">
        <v>44841.0</v>
      </c>
      <c r="O326" s="5" t="s">
        <v>71</v>
      </c>
      <c r="S326" s="5" t="s">
        <v>38</v>
      </c>
    </row>
    <row r="327">
      <c r="A327" s="5">
        <v>326.0</v>
      </c>
      <c r="B327" s="10" t="s">
        <v>2009</v>
      </c>
      <c r="C327" s="5" t="s">
        <v>20</v>
      </c>
      <c r="D327" s="5">
        <v>76.0</v>
      </c>
      <c r="H327" s="10" t="s">
        <v>2009</v>
      </c>
      <c r="I327" s="9">
        <v>46156.419803240744</v>
      </c>
      <c r="J327" s="5" t="s">
        <v>206</v>
      </c>
      <c r="L327" s="5">
        <v>0.0</v>
      </c>
      <c r="M327" s="5">
        <v>0.0</v>
      </c>
      <c r="N327" s="8">
        <v>43898.0</v>
      </c>
      <c r="O327" s="5" t="s">
        <v>1555</v>
      </c>
      <c r="S327" s="5" t="s">
        <v>1742</v>
      </c>
    </row>
    <row r="328">
      <c r="A328" s="5">
        <v>327.0</v>
      </c>
      <c r="B328" s="5" t="s">
        <v>2015</v>
      </c>
      <c r="C328" s="5" t="s">
        <v>20</v>
      </c>
      <c r="D328" s="5">
        <v>1.0</v>
      </c>
      <c r="H328" s="5" t="s">
        <v>19</v>
      </c>
      <c r="I328" s="9">
        <v>46071.11987268519</v>
      </c>
      <c r="J328" s="5" t="s">
        <v>151</v>
      </c>
      <c r="L328" s="5">
        <v>145000.0</v>
      </c>
      <c r="M328" s="5">
        <v>149000.0</v>
      </c>
      <c r="N328" s="8">
        <v>45078.0</v>
      </c>
      <c r="O328" s="5" t="s">
        <v>464</v>
      </c>
      <c r="P328" s="5" t="s">
        <v>25</v>
      </c>
      <c r="S328" s="5" t="s">
        <v>29</v>
      </c>
    </row>
    <row r="329">
      <c r="A329" s="5">
        <v>328.0</v>
      </c>
      <c r="B329" s="5" t="s">
        <v>2018</v>
      </c>
      <c r="C329" s="5" t="s">
        <v>20</v>
      </c>
      <c r="D329" s="5">
        <v>75.0</v>
      </c>
      <c r="H329" s="5" t="s">
        <v>40</v>
      </c>
      <c r="I329" s="9">
        <v>46126.445601851854</v>
      </c>
      <c r="K329" s="5">
        <v>300.0</v>
      </c>
      <c r="L329" s="5">
        <v>20000.0</v>
      </c>
      <c r="M329" s="5">
        <v>22000.0</v>
      </c>
      <c r="N329" s="8">
        <v>45192.0</v>
      </c>
      <c r="O329" s="5" t="s">
        <v>464</v>
      </c>
      <c r="P329" s="5" t="s">
        <v>25</v>
      </c>
      <c r="S329" s="5" t="s">
        <v>145</v>
      </c>
    </row>
    <row r="330">
      <c r="A330" s="5">
        <v>329.0</v>
      </c>
      <c r="B330" s="5" t="s">
        <v>1790</v>
      </c>
      <c r="C330" s="5" t="s">
        <v>20</v>
      </c>
      <c r="D330" s="5">
        <v>54.0</v>
      </c>
      <c r="H330" s="5" t="s">
        <v>446</v>
      </c>
      <c r="I330" s="9">
        <v>46160.66863425926</v>
      </c>
      <c r="J330" s="5" t="s">
        <v>206</v>
      </c>
      <c r="L330" s="5">
        <v>60.0</v>
      </c>
      <c r="M330" s="5">
        <v>200.0</v>
      </c>
      <c r="N330" s="8">
        <v>42521.0</v>
      </c>
      <c r="O330" s="5" t="s">
        <v>24</v>
      </c>
      <c r="P330" s="5" t="s">
        <v>25</v>
      </c>
      <c r="S330" s="5" t="s">
        <v>38</v>
      </c>
    </row>
    <row r="331">
      <c r="A331" s="5">
        <v>330.0</v>
      </c>
      <c r="B331" s="5" t="s">
        <v>2022</v>
      </c>
      <c r="C331" s="5" t="s">
        <v>20</v>
      </c>
      <c r="D331" s="5">
        <v>72.0</v>
      </c>
      <c r="H331" s="5" t="s">
        <v>105</v>
      </c>
      <c r="I331" s="9">
        <v>46046.363217592596</v>
      </c>
      <c r="J331" s="5" t="s">
        <v>206</v>
      </c>
      <c r="K331" s="5">
        <v>20.0</v>
      </c>
      <c r="L331" s="5">
        <v>5200.0</v>
      </c>
      <c r="M331" s="5">
        <v>6000.0</v>
      </c>
      <c r="N331" s="8">
        <v>44642.0</v>
      </c>
      <c r="O331" s="5" t="s">
        <v>50</v>
      </c>
      <c r="P331" s="5" t="s">
        <v>25</v>
      </c>
      <c r="S331" s="5" t="s">
        <v>38</v>
      </c>
    </row>
    <row r="332">
      <c r="A332" s="5">
        <v>331.0</v>
      </c>
      <c r="B332" s="5" t="s">
        <v>1694</v>
      </c>
      <c r="C332" s="5" t="s">
        <v>20</v>
      </c>
      <c r="D332" s="5">
        <v>0.0</v>
      </c>
      <c r="H332" s="5" t="s">
        <v>449</v>
      </c>
      <c r="I332" s="9">
        <v>46082.69795138889</v>
      </c>
      <c r="J332" s="5" t="s">
        <v>243</v>
      </c>
      <c r="L332" s="5">
        <v>200.0</v>
      </c>
      <c r="M332" s="5">
        <v>200.0</v>
      </c>
      <c r="N332" s="8">
        <v>45212.0</v>
      </c>
      <c r="O332" s="5" t="s">
        <v>24</v>
      </c>
      <c r="P332" s="5" t="s">
        <v>25</v>
      </c>
      <c r="S332" s="5" t="s">
        <v>38</v>
      </c>
    </row>
    <row r="333">
      <c r="A333" s="5">
        <v>332.0</v>
      </c>
      <c r="B333" s="5" t="s">
        <v>1730</v>
      </c>
      <c r="C333" s="5" t="s">
        <v>20</v>
      </c>
      <c r="D333" s="5">
        <v>10.0</v>
      </c>
      <c r="H333" s="5" t="s">
        <v>457</v>
      </c>
      <c r="I333" s="9">
        <v>46123.14511574074</v>
      </c>
      <c r="J333" s="5" t="s">
        <v>591</v>
      </c>
      <c r="L333" s="5">
        <v>30.0</v>
      </c>
      <c r="M333" s="5">
        <v>30.0</v>
      </c>
      <c r="N333" s="8">
        <v>44080.0</v>
      </c>
      <c r="O333" s="5" t="s">
        <v>24</v>
      </c>
      <c r="P333" s="5" t="s">
        <v>25</v>
      </c>
      <c r="S333" s="5" t="s">
        <v>118</v>
      </c>
    </row>
    <row r="334">
      <c r="A334" s="5">
        <v>333.0</v>
      </c>
      <c r="B334" s="5" t="s">
        <v>2032</v>
      </c>
      <c r="C334" s="5" t="s">
        <v>20</v>
      </c>
      <c r="D334" s="5">
        <v>46.0</v>
      </c>
      <c r="F334" s="5">
        <v>0.15</v>
      </c>
      <c r="H334" s="5" t="s">
        <v>40</v>
      </c>
      <c r="I334" s="9">
        <v>46126.29903935185</v>
      </c>
      <c r="J334" s="5" t="s">
        <v>151</v>
      </c>
      <c r="K334" s="5">
        <v>10.0</v>
      </c>
      <c r="L334" s="5">
        <v>20000.0</v>
      </c>
      <c r="M334" s="5">
        <v>22000.0</v>
      </c>
      <c r="N334" s="8">
        <v>42388.0</v>
      </c>
      <c r="O334" s="5" t="s">
        <v>100</v>
      </c>
      <c r="S334" s="5" t="s">
        <v>29</v>
      </c>
    </row>
    <row r="335">
      <c r="A335" s="5">
        <v>334.0</v>
      </c>
      <c r="B335" s="5" t="s">
        <v>1781</v>
      </c>
      <c r="C335" s="5" t="s">
        <v>20</v>
      </c>
      <c r="D335" s="5">
        <v>0.0</v>
      </c>
      <c r="H335" s="5" t="s">
        <v>41</v>
      </c>
      <c r="I335" s="9">
        <v>46143.99644675926</v>
      </c>
      <c r="J335" s="5" t="s">
        <v>78</v>
      </c>
      <c r="L335" s="5">
        <v>100.0</v>
      </c>
      <c r="M335" s="5">
        <v>1100.0</v>
      </c>
      <c r="N335" s="8">
        <v>44789.0</v>
      </c>
      <c r="O335" s="5" t="s">
        <v>432</v>
      </c>
      <c r="P335" s="5" t="s">
        <v>25</v>
      </c>
      <c r="S335" s="5" t="s">
        <v>29</v>
      </c>
    </row>
    <row r="336">
      <c r="A336" s="5">
        <v>335.0</v>
      </c>
      <c r="B336" s="5" t="s">
        <v>2037</v>
      </c>
      <c r="C336" s="5" t="s">
        <v>20</v>
      </c>
      <c r="D336" s="5">
        <v>3.0</v>
      </c>
      <c r="H336" s="5" t="s">
        <v>40</v>
      </c>
      <c r="I336" s="9">
        <v>46156.85622685185</v>
      </c>
      <c r="J336" s="5" t="s">
        <v>243</v>
      </c>
      <c r="L336" s="5">
        <v>17000.0</v>
      </c>
      <c r="M336" s="5">
        <v>19000.0</v>
      </c>
      <c r="N336" s="8">
        <v>43807.0</v>
      </c>
      <c r="O336" s="5" t="s">
        <v>184</v>
      </c>
      <c r="P336" s="5" t="s">
        <v>25</v>
      </c>
      <c r="S336" s="5" t="s">
        <v>118</v>
      </c>
    </row>
    <row r="337">
      <c r="A337" s="5">
        <v>336.0</v>
      </c>
      <c r="B337" s="5" t="s">
        <v>1789</v>
      </c>
      <c r="C337" s="5" t="s">
        <v>20</v>
      </c>
      <c r="D337" s="5">
        <v>40.0</v>
      </c>
      <c r="H337" s="5" t="s">
        <v>446</v>
      </c>
      <c r="I337" s="9">
        <v>46161.59648148148</v>
      </c>
      <c r="J337" s="5" t="s">
        <v>243</v>
      </c>
      <c r="K337" s="5">
        <v>10.0</v>
      </c>
      <c r="L337" s="5">
        <v>60.0</v>
      </c>
      <c r="M337" s="5">
        <v>200.0</v>
      </c>
      <c r="N337" s="8">
        <v>44630.0</v>
      </c>
      <c r="O337" s="5" t="s">
        <v>24</v>
      </c>
      <c r="P337" s="5" t="s">
        <v>25</v>
      </c>
      <c r="S337" s="5" t="s">
        <v>38</v>
      </c>
    </row>
    <row r="338">
      <c r="A338" s="5">
        <v>337.0</v>
      </c>
      <c r="B338" s="5" t="s">
        <v>2041</v>
      </c>
      <c r="C338" s="5" t="s">
        <v>20</v>
      </c>
      <c r="D338" s="5">
        <v>78.0</v>
      </c>
      <c r="H338" s="5" t="s">
        <v>669</v>
      </c>
      <c r="I338" s="9">
        <v>46162.243993055556</v>
      </c>
      <c r="J338" s="5" t="s">
        <v>78</v>
      </c>
      <c r="K338" s="5">
        <v>1600.0</v>
      </c>
      <c r="L338" s="5">
        <v>1400.0</v>
      </c>
      <c r="M338" s="5">
        <v>470000.0</v>
      </c>
      <c r="N338" s="8">
        <v>44167.0</v>
      </c>
      <c r="O338" s="5" t="s">
        <v>2044</v>
      </c>
      <c r="P338" s="5" t="s">
        <v>25</v>
      </c>
      <c r="S338" s="5" t="s">
        <v>38</v>
      </c>
    </row>
    <row r="339">
      <c r="A339" s="5">
        <v>338.0</v>
      </c>
      <c r="B339" s="5" t="s">
        <v>1798</v>
      </c>
      <c r="C339" s="5" t="s">
        <v>20</v>
      </c>
      <c r="D339" s="5">
        <v>31.0</v>
      </c>
      <c r="H339" s="5" t="s">
        <v>504</v>
      </c>
      <c r="I339" s="9">
        <v>46088.62311342593</v>
      </c>
      <c r="J339" s="5" t="s">
        <v>591</v>
      </c>
      <c r="K339" s="5">
        <v>30.0</v>
      </c>
      <c r="L339" s="5">
        <v>20.0</v>
      </c>
      <c r="M339" s="5">
        <v>20.0</v>
      </c>
      <c r="N339" s="8">
        <v>42850.0</v>
      </c>
      <c r="O339" s="5" t="s">
        <v>24</v>
      </c>
      <c r="P339" s="5" t="s">
        <v>25</v>
      </c>
      <c r="S339" s="5" t="s">
        <v>118</v>
      </c>
    </row>
    <row r="340">
      <c r="A340" s="5">
        <v>339.0</v>
      </c>
      <c r="B340" s="5" t="s">
        <v>1805</v>
      </c>
      <c r="C340" s="5" t="s">
        <v>20</v>
      </c>
      <c r="D340" s="5">
        <v>18.0</v>
      </c>
      <c r="H340" s="5" t="s">
        <v>1285</v>
      </c>
      <c r="I340" s="9">
        <v>46147.633310185185</v>
      </c>
      <c r="J340" s="5" t="s">
        <v>1604</v>
      </c>
      <c r="K340" s="5">
        <v>10.0</v>
      </c>
      <c r="L340" s="5">
        <v>30.0</v>
      </c>
      <c r="M340" s="5">
        <v>30.0</v>
      </c>
      <c r="N340" s="8">
        <v>42520.0</v>
      </c>
      <c r="O340" s="5" t="s">
        <v>24</v>
      </c>
      <c r="P340" s="5" t="s">
        <v>25</v>
      </c>
      <c r="S340" s="5" t="s">
        <v>1807</v>
      </c>
    </row>
    <row r="341">
      <c r="A341" s="5">
        <v>340.0</v>
      </c>
      <c r="B341" s="5" t="s">
        <v>1843</v>
      </c>
      <c r="C341" s="5" t="s">
        <v>20</v>
      </c>
      <c r="D341" s="5">
        <v>31.0</v>
      </c>
      <c r="H341" s="5" t="s">
        <v>340</v>
      </c>
      <c r="I341" s="9">
        <v>46077.42224537037</v>
      </c>
      <c r="J341" s="5" t="s">
        <v>346</v>
      </c>
      <c r="L341" s="5">
        <v>13000.0</v>
      </c>
      <c r="M341" s="5">
        <v>18000.0</v>
      </c>
      <c r="N341" s="8">
        <v>44005.0</v>
      </c>
      <c r="O341" s="5" t="s">
        <v>24</v>
      </c>
      <c r="P341" s="5" t="s">
        <v>25</v>
      </c>
      <c r="S341" s="5" t="s">
        <v>118</v>
      </c>
    </row>
    <row r="342">
      <c r="A342" s="5">
        <v>341.0</v>
      </c>
      <c r="B342" s="5" t="s">
        <v>1848</v>
      </c>
      <c r="C342" s="5" t="s">
        <v>20</v>
      </c>
      <c r="D342" s="5">
        <v>33.0</v>
      </c>
      <c r="H342" s="5" t="s">
        <v>30</v>
      </c>
      <c r="I342" s="9">
        <v>46082.39158564815</v>
      </c>
      <c r="J342" s="5" t="s">
        <v>137</v>
      </c>
      <c r="L342" s="5">
        <v>33000.0</v>
      </c>
      <c r="M342" s="5">
        <v>34000.0</v>
      </c>
      <c r="N342" s="8">
        <v>44844.0</v>
      </c>
      <c r="O342" s="5" t="s">
        <v>24</v>
      </c>
      <c r="P342" s="5" t="s">
        <v>25</v>
      </c>
      <c r="S342" s="5" t="s">
        <v>38</v>
      </c>
    </row>
    <row r="343">
      <c r="A343" s="5">
        <v>342.0</v>
      </c>
      <c r="B343" s="5" t="s">
        <v>1907</v>
      </c>
      <c r="C343" s="5" t="s">
        <v>20</v>
      </c>
      <c r="D343" s="5">
        <v>20.0</v>
      </c>
      <c r="H343" s="5" t="s">
        <v>446</v>
      </c>
      <c r="I343" s="9">
        <v>46142.22949074074</v>
      </c>
      <c r="J343" s="5" t="s">
        <v>346</v>
      </c>
      <c r="L343" s="5">
        <v>60.0</v>
      </c>
      <c r="M343" s="5">
        <v>100.0</v>
      </c>
      <c r="N343" s="8">
        <v>42631.0</v>
      </c>
      <c r="O343" s="5" t="s">
        <v>184</v>
      </c>
      <c r="P343" s="5" t="s">
        <v>25</v>
      </c>
      <c r="S343" s="5" t="s">
        <v>38</v>
      </c>
    </row>
    <row r="344">
      <c r="A344" s="5">
        <v>343.0</v>
      </c>
      <c r="B344" s="5" t="s">
        <v>1916</v>
      </c>
      <c r="C344" s="5" t="s">
        <v>20</v>
      </c>
      <c r="D344" s="5">
        <v>45.0</v>
      </c>
      <c r="H344" s="5" t="s">
        <v>40</v>
      </c>
      <c r="I344" s="9">
        <v>46127.09412037037</v>
      </c>
      <c r="J344" s="5" t="s">
        <v>206</v>
      </c>
      <c r="L344" s="5">
        <v>20000.0</v>
      </c>
      <c r="M344" s="5">
        <v>22000.0</v>
      </c>
      <c r="N344" s="8">
        <v>45197.0</v>
      </c>
      <c r="O344" s="5" t="s">
        <v>80</v>
      </c>
      <c r="S344" s="5" t="s">
        <v>29</v>
      </c>
    </row>
    <row r="345">
      <c r="A345" s="5">
        <v>344.0</v>
      </c>
      <c r="B345" s="5" t="s">
        <v>2061</v>
      </c>
      <c r="C345" s="5" t="s">
        <v>20</v>
      </c>
      <c r="D345" s="5">
        <v>1.0</v>
      </c>
      <c r="F345" s="5">
        <v>0.7</v>
      </c>
      <c r="H345" s="5" t="s">
        <v>19</v>
      </c>
      <c r="I345" s="9">
        <v>46123.895636574074</v>
      </c>
      <c r="J345" s="5" t="s">
        <v>243</v>
      </c>
      <c r="L345" s="5">
        <v>136000.0</v>
      </c>
      <c r="M345" s="5">
        <v>140000.0</v>
      </c>
      <c r="N345" s="8">
        <v>43226.0</v>
      </c>
      <c r="O345" s="5" t="s">
        <v>464</v>
      </c>
      <c r="P345" s="5" t="s">
        <v>25</v>
      </c>
      <c r="S345" s="5" t="s">
        <v>29</v>
      </c>
    </row>
    <row r="346">
      <c r="A346" s="5">
        <v>345.0</v>
      </c>
      <c r="B346" s="5" t="s">
        <v>1927</v>
      </c>
      <c r="C346" s="5" t="s">
        <v>20</v>
      </c>
      <c r="D346" s="5">
        <v>63.0</v>
      </c>
      <c r="H346" s="5" t="s">
        <v>19</v>
      </c>
      <c r="I346" s="9">
        <v>46143.552465277775</v>
      </c>
      <c r="J346" s="5" t="s">
        <v>78</v>
      </c>
      <c r="L346" s="5">
        <v>136000.0</v>
      </c>
      <c r="M346" s="5">
        <v>140000.0</v>
      </c>
      <c r="N346" s="8">
        <v>43523.0</v>
      </c>
      <c r="O346" s="5" t="s">
        <v>100</v>
      </c>
      <c r="P346" s="5" t="s">
        <v>25</v>
      </c>
      <c r="S346" s="5" t="s">
        <v>38</v>
      </c>
    </row>
    <row r="347">
      <c r="A347" s="5">
        <v>346.0</v>
      </c>
      <c r="B347" s="5" t="s">
        <v>2066</v>
      </c>
      <c r="C347" s="5" t="s">
        <v>20</v>
      </c>
      <c r="D347" s="5">
        <v>2.0</v>
      </c>
      <c r="H347" s="5" t="s">
        <v>19</v>
      </c>
      <c r="I347" s="9">
        <v>46145.397824074076</v>
      </c>
      <c r="J347" s="5" t="s">
        <v>22</v>
      </c>
      <c r="K347" s="5">
        <v>10.0</v>
      </c>
      <c r="L347" s="5">
        <v>137000.0</v>
      </c>
      <c r="M347" s="5">
        <v>140000.0</v>
      </c>
      <c r="N347" s="8">
        <v>42687.0</v>
      </c>
      <c r="O347" s="5" t="s">
        <v>464</v>
      </c>
      <c r="P347" s="5" t="s">
        <v>2069</v>
      </c>
      <c r="S347" s="5" t="s">
        <v>38</v>
      </c>
    </row>
    <row r="348">
      <c r="A348" s="5">
        <v>347.0</v>
      </c>
      <c r="B348" s="5" t="s">
        <v>2071</v>
      </c>
      <c r="C348" s="5" t="s">
        <v>20</v>
      </c>
      <c r="D348" s="5">
        <v>61.0</v>
      </c>
      <c r="H348" s="5" t="s">
        <v>2072</v>
      </c>
      <c r="I348" s="9">
        <v>46162.08244212963</v>
      </c>
      <c r="J348" s="5" t="s">
        <v>206</v>
      </c>
      <c r="K348" s="5">
        <v>60.0</v>
      </c>
      <c r="L348" s="5">
        <v>150.0</v>
      </c>
      <c r="M348" s="5">
        <v>300.0</v>
      </c>
      <c r="N348" s="8">
        <v>44117.0</v>
      </c>
      <c r="O348" s="5" t="s">
        <v>50</v>
      </c>
      <c r="P348" s="5" t="s">
        <v>25</v>
      </c>
      <c r="S348" s="5" t="s">
        <v>38</v>
      </c>
    </row>
    <row r="349">
      <c r="A349" s="5">
        <v>348.0</v>
      </c>
      <c r="B349" s="10" t="s">
        <v>2075</v>
      </c>
      <c r="C349" s="5" t="s">
        <v>20</v>
      </c>
      <c r="D349" s="5">
        <v>0.0</v>
      </c>
      <c r="F349" s="5">
        <v>1.7</v>
      </c>
      <c r="H349" s="5" t="s">
        <v>40</v>
      </c>
      <c r="I349" s="9">
        <v>46124.54754629629</v>
      </c>
      <c r="J349" s="5" t="s">
        <v>33</v>
      </c>
      <c r="L349" s="5">
        <v>20000.0</v>
      </c>
      <c r="M349" s="5">
        <v>22000.0</v>
      </c>
      <c r="N349" s="8">
        <v>45191.0</v>
      </c>
      <c r="O349" s="5" t="s">
        <v>100</v>
      </c>
      <c r="S349" s="5" t="s">
        <v>29</v>
      </c>
    </row>
    <row r="350">
      <c r="A350" s="5">
        <v>349.0</v>
      </c>
      <c r="B350" s="5" t="s">
        <v>567</v>
      </c>
      <c r="C350" s="5" t="s">
        <v>20</v>
      </c>
      <c r="D350" s="5">
        <v>10.0</v>
      </c>
      <c r="H350" s="5" t="s">
        <v>40</v>
      </c>
      <c r="I350" s="9">
        <v>46118.29240740741</v>
      </c>
      <c r="J350" s="5" t="s">
        <v>568</v>
      </c>
      <c r="K350" s="5">
        <v>10.0</v>
      </c>
      <c r="L350" s="5">
        <v>20000.0</v>
      </c>
      <c r="M350" s="5">
        <v>21000.0</v>
      </c>
      <c r="N350" s="8">
        <v>42284.0</v>
      </c>
      <c r="O350" s="5" t="s">
        <v>184</v>
      </c>
      <c r="P350" s="5" t="s">
        <v>25</v>
      </c>
      <c r="S350" s="5" t="s">
        <v>38</v>
      </c>
    </row>
    <row r="351">
      <c r="A351" s="5">
        <v>350.0</v>
      </c>
      <c r="B351" s="5" t="s">
        <v>2086</v>
      </c>
      <c r="C351" s="5" t="s">
        <v>20</v>
      </c>
      <c r="D351" s="5">
        <v>63.0</v>
      </c>
      <c r="H351" s="5" t="s">
        <v>2088</v>
      </c>
      <c r="I351" s="9">
        <v>46145.90060185185</v>
      </c>
      <c r="K351" s="5">
        <v>14000.0</v>
      </c>
      <c r="L351" s="5">
        <v>70.0</v>
      </c>
      <c r="M351" s="5">
        <v>1270000.0</v>
      </c>
      <c r="N351" s="8">
        <v>45022.0</v>
      </c>
      <c r="O351" s="5" t="s">
        <v>100</v>
      </c>
      <c r="P351" s="5" t="s">
        <v>2090</v>
      </c>
      <c r="S351" s="5" t="s">
        <v>38</v>
      </c>
    </row>
    <row r="352">
      <c r="A352" s="5">
        <v>351.0</v>
      </c>
      <c r="B352" s="10" t="s">
        <v>2091</v>
      </c>
      <c r="C352" s="5" t="s">
        <v>20</v>
      </c>
      <c r="D352" s="5">
        <v>0.0</v>
      </c>
      <c r="G352" s="5">
        <v>1.08</v>
      </c>
      <c r="H352" s="5" t="s">
        <v>193</v>
      </c>
      <c r="I352" s="9">
        <v>46090.060740740744</v>
      </c>
      <c r="J352" s="5" t="s">
        <v>243</v>
      </c>
      <c r="L352" s="5">
        <v>2100.0</v>
      </c>
      <c r="M352" s="5">
        <v>2200.0</v>
      </c>
      <c r="N352" s="8">
        <v>42330.0</v>
      </c>
      <c r="O352" s="5" t="s">
        <v>100</v>
      </c>
      <c r="S352" s="5" t="s">
        <v>118</v>
      </c>
    </row>
    <row r="353">
      <c r="A353" s="5">
        <v>352.0</v>
      </c>
      <c r="B353" s="5" t="s">
        <v>2006</v>
      </c>
      <c r="C353" s="5" t="s">
        <v>20</v>
      </c>
      <c r="D353" s="5">
        <v>0.0</v>
      </c>
      <c r="H353" s="5" t="s">
        <v>19</v>
      </c>
      <c r="I353" s="9">
        <v>46154.81804398148</v>
      </c>
      <c r="J353" s="5" t="s">
        <v>78</v>
      </c>
      <c r="L353" s="5">
        <v>131000.0</v>
      </c>
      <c r="M353" s="5">
        <v>135000.0</v>
      </c>
      <c r="N353" s="8">
        <v>42970.0</v>
      </c>
      <c r="O353" s="5" t="s">
        <v>184</v>
      </c>
      <c r="P353" s="5" t="s">
        <v>25</v>
      </c>
      <c r="S353" s="5" t="s">
        <v>29</v>
      </c>
    </row>
    <row r="354">
      <c r="A354" s="5">
        <v>353.0</v>
      </c>
      <c r="B354" s="10" t="s">
        <v>2100</v>
      </c>
      <c r="C354" s="5" t="s">
        <v>20</v>
      </c>
      <c r="D354" s="5">
        <v>0.0</v>
      </c>
      <c r="H354" s="5" t="s">
        <v>2107</v>
      </c>
      <c r="I354" s="9">
        <v>46125.67340277778</v>
      </c>
      <c r="J354" s="5" t="s">
        <v>22</v>
      </c>
      <c r="L354" s="5">
        <v>150.0</v>
      </c>
      <c r="M354" s="5">
        <v>150.0</v>
      </c>
      <c r="N354" s="8">
        <v>42357.0</v>
      </c>
      <c r="O354" s="5" t="s">
        <v>100</v>
      </c>
      <c r="S354" s="5" t="s">
        <v>38</v>
      </c>
    </row>
    <row r="355">
      <c r="A355" s="5">
        <v>354.0</v>
      </c>
      <c r="B355" s="5" t="s">
        <v>2109</v>
      </c>
      <c r="C355" s="5" t="s">
        <v>20</v>
      </c>
      <c r="D355" s="5">
        <v>81.0</v>
      </c>
      <c r="H355" s="5" t="s">
        <v>654</v>
      </c>
      <c r="I355" s="9">
        <v>46126.720509259256</v>
      </c>
      <c r="J355" s="5" t="s">
        <v>78</v>
      </c>
      <c r="K355" s="5">
        <v>1800.0</v>
      </c>
      <c r="L355" s="5">
        <v>5300.0</v>
      </c>
      <c r="M355" s="5">
        <v>569000.0</v>
      </c>
      <c r="N355" s="8">
        <v>42769.0</v>
      </c>
      <c r="O355" s="5" t="s">
        <v>184</v>
      </c>
      <c r="P355" s="5" t="s">
        <v>25</v>
      </c>
      <c r="S355" s="5" t="s">
        <v>38</v>
      </c>
    </row>
    <row r="356">
      <c r="A356" s="5">
        <v>355.0</v>
      </c>
      <c r="B356" s="5" t="s">
        <v>2113</v>
      </c>
      <c r="C356" s="5" t="s">
        <v>20</v>
      </c>
      <c r="D356" s="5">
        <v>77.0</v>
      </c>
      <c r="H356" s="5" t="s">
        <v>654</v>
      </c>
      <c r="I356" s="9">
        <v>46147.880057870374</v>
      </c>
      <c r="L356" s="5">
        <v>5400.0</v>
      </c>
      <c r="M356" s="5">
        <v>493000.0</v>
      </c>
      <c r="N356" s="8">
        <v>45094.0</v>
      </c>
      <c r="O356" s="5" t="s">
        <v>879</v>
      </c>
      <c r="P356" s="5" t="s">
        <v>25</v>
      </c>
      <c r="S356" s="5" t="s">
        <v>38</v>
      </c>
    </row>
    <row r="357">
      <c r="A357" s="5">
        <v>356.0</v>
      </c>
      <c r="B357" s="5" t="s">
        <v>2116</v>
      </c>
      <c r="C357" s="5" t="s">
        <v>20</v>
      </c>
      <c r="D357" s="5">
        <v>77.0</v>
      </c>
      <c r="H357" s="5" t="s">
        <v>669</v>
      </c>
      <c r="I357" s="9">
        <v>46149.09587962963</v>
      </c>
      <c r="K357" s="5">
        <v>300.0</v>
      </c>
      <c r="L357" s="5">
        <v>1500.0</v>
      </c>
      <c r="M357" s="5">
        <v>41000.0</v>
      </c>
      <c r="N357" s="8">
        <v>44266.0</v>
      </c>
      <c r="O357" s="5" t="s">
        <v>50</v>
      </c>
      <c r="P357" s="5" t="s">
        <v>25</v>
      </c>
      <c r="S357" s="5" t="s">
        <v>38</v>
      </c>
    </row>
    <row r="358">
      <c r="A358" s="5">
        <v>357.0</v>
      </c>
      <c r="B358" s="5" t="s">
        <v>2120</v>
      </c>
      <c r="C358" s="5" t="s">
        <v>20</v>
      </c>
      <c r="D358" s="5">
        <v>30.0</v>
      </c>
      <c r="H358" s="5" t="s">
        <v>1381</v>
      </c>
      <c r="I358" s="9">
        <v>46100.0753587963</v>
      </c>
      <c r="J358" s="5" t="s">
        <v>591</v>
      </c>
      <c r="L358" s="5">
        <v>150.0</v>
      </c>
      <c r="M358" s="5">
        <v>200.0</v>
      </c>
      <c r="N358" s="8">
        <v>42577.0</v>
      </c>
      <c r="O358" s="5" t="s">
        <v>24</v>
      </c>
      <c r="P358" s="5" t="s">
        <v>25</v>
      </c>
      <c r="S358" s="5" t="s">
        <v>38</v>
      </c>
    </row>
    <row r="359">
      <c r="A359" s="5">
        <v>358.0</v>
      </c>
      <c r="B359" s="5" t="s">
        <v>2122</v>
      </c>
      <c r="C359" s="5" t="s">
        <v>20</v>
      </c>
      <c r="D359" s="5">
        <v>72.0</v>
      </c>
      <c r="H359" s="5" t="s">
        <v>61</v>
      </c>
      <c r="I359" s="9">
        <v>46149.419907407406</v>
      </c>
      <c r="L359" s="5">
        <v>11000.0</v>
      </c>
      <c r="M359" s="5">
        <v>11000.0</v>
      </c>
      <c r="N359" s="8">
        <v>45207.0</v>
      </c>
      <c r="O359" s="5" t="s">
        <v>24</v>
      </c>
      <c r="P359" s="5" t="s">
        <v>25</v>
      </c>
      <c r="S359" s="5" t="s">
        <v>38</v>
      </c>
    </row>
    <row r="360">
      <c r="A360" s="5">
        <v>359.0</v>
      </c>
      <c r="B360" s="5" t="s">
        <v>2125</v>
      </c>
      <c r="C360" s="5" t="s">
        <v>20</v>
      </c>
      <c r="D360" s="5">
        <v>82.0</v>
      </c>
      <c r="H360" s="5" t="s">
        <v>654</v>
      </c>
      <c r="I360" s="9">
        <v>46088.398935185185</v>
      </c>
      <c r="K360" s="5">
        <v>2600.0</v>
      </c>
      <c r="L360" s="5">
        <v>5100.0</v>
      </c>
      <c r="M360" s="5">
        <v>584000.0</v>
      </c>
      <c r="N360" s="8">
        <v>42249.0</v>
      </c>
      <c r="O360" s="5" t="s">
        <v>1347</v>
      </c>
      <c r="P360" s="5" t="s">
        <v>25</v>
      </c>
      <c r="S360" s="5" t="s">
        <v>38</v>
      </c>
    </row>
    <row r="361">
      <c r="A361" s="5">
        <v>360.0</v>
      </c>
      <c r="B361" s="5" t="s">
        <v>570</v>
      </c>
      <c r="C361" s="5" t="s">
        <v>20</v>
      </c>
      <c r="D361" s="5">
        <v>0.0</v>
      </c>
      <c r="H361" s="5" t="s">
        <v>457</v>
      </c>
      <c r="I361" s="9">
        <v>46161.9496875</v>
      </c>
      <c r="J361" s="5" t="s">
        <v>572</v>
      </c>
      <c r="L361" s="5">
        <v>40.0</v>
      </c>
      <c r="M361" s="5">
        <v>40.0</v>
      </c>
      <c r="N361" s="8">
        <v>42606.0</v>
      </c>
      <c r="O361" s="5" t="s">
        <v>24</v>
      </c>
      <c r="P361" s="5" t="s">
        <v>25</v>
      </c>
      <c r="S361" s="5" t="s">
        <v>118</v>
      </c>
    </row>
    <row r="362">
      <c r="A362" s="5">
        <v>361.0</v>
      </c>
      <c r="B362" s="5" t="s">
        <v>2130</v>
      </c>
      <c r="C362" s="5" t="s">
        <v>20</v>
      </c>
      <c r="D362" s="5">
        <v>58.0</v>
      </c>
      <c r="F362" s="5">
        <v>0.2</v>
      </c>
      <c r="H362" s="5" t="s">
        <v>1203</v>
      </c>
      <c r="I362" s="9">
        <v>46161.83988425926</v>
      </c>
      <c r="J362" s="5" t="s">
        <v>206</v>
      </c>
      <c r="L362" s="5">
        <v>40.0</v>
      </c>
      <c r="M362" s="5">
        <v>40.0</v>
      </c>
      <c r="N362" s="8">
        <v>42713.0</v>
      </c>
      <c r="O362" s="5" t="s">
        <v>71</v>
      </c>
      <c r="P362" s="5" t="s">
        <v>25</v>
      </c>
      <c r="S362" s="5" t="s">
        <v>118</v>
      </c>
    </row>
    <row r="363">
      <c r="A363" s="5">
        <v>362.0</v>
      </c>
      <c r="B363" s="5" t="s">
        <v>2133</v>
      </c>
      <c r="C363" s="5" t="s">
        <v>20</v>
      </c>
      <c r="D363" s="5">
        <v>51.0</v>
      </c>
      <c r="H363" s="5" t="s">
        <v>47</v>
      </c>
      <c r="I363" s="9">
        <v>46141.98087962963</v>
      </c>
      <c r="J363" s="5" t="s">
        <v>78</v>
      </c>
      <c r="K363" s="5">
        <v>300.0</v>
      </c>
      <c r="L363" s="5">
        <v>15000.0</v>
      </c>
      <c r="M363" s="5">
        <v>16000.0</v>
      </c>
      <c r="N363" s="8">
        <v>42586.0</v>
      </c>
      <c r="O363" s="5" t="s">
        <v>432</v>
      </c>
      <c r="P363" s="5" t="s">
        <v>25</v>
      </c>
      <c r="S363" s="5" t="s">
        <v>29</v>
      </c>
    </row>
    <row r="364">
      <c r="A364" s="5">
        <v>363.0</v>
      </c>
      <c r="B364" s="5" t="s">
        <v>2136</v>
      </c>
      <c r="C364" s="5" t="s">
        <v>20</v>
      </c>
      <c r="D364" s="5">
        <v>0.0</v>
      </c>
      <c r="H364" s="5" t="s">
        <v>19</v>
      </c>
      <c r="I364" s="9">
        <v>46155.780648148146</v>
      </c>
      <c r="J364" s="5" t="s">
        <v>151</v>
      </c>
      <c r="L364" s="5">
        <v>131000.0</v>
      </c>
      <c r="M364" s="5">
        <v>135000.0</v>
      </c>
      <c r="N364" s="8">
        <v>44840.0</v>
      </c>
      <c r="O364" s="5" t="s">
        <v>100</v>
      </c>
      <c r="P364" s="5" t="s">
        <v>25</v>
      </c>
      <c r="S364" s="5" t="s">
        <v>29</v>
      </c>
    </row>
    <row r="365">
      <c r="A365" s="5">
        <v>364.0</v>
      </c>
      <c r="B365" s="5" t="s">
        <v>2140</v>
      </c>
      <c r="C365" s="5" t="s">
        <v>20</v>
      </c>
      <c r="D365" s="5">
        <v>11.0</v>
      </c>
      <c r="H365" s="5" t="s">
        <v>30</v>
      </c>
      <c r="I365" s="9">
        <v>46147.64603009259</v>
      </c>
      <c r="J365" s="5" t="s">
        <v>33</v>
      </c>
      <c r="L365" s="5">
        <v>26000.0</v>
      </c>
      <c r="M365" s="5">
        <v>27000.0</v>
      </c>
      <c r="N365" s="8">
        <v>43972.0</v>
      </c>
      <c r="O365" s="5" t="s">
        <v>24</v>
      </c>
      <c r="P365" s="5" t="s">
        <v>25</v>
      </c>
      <c r="S365" s="5" t="s">
        <v>38</v>
      </c>
    </row>
    <row r="366">
      <c r="A366" s="5">
        <v>365.0</v>
      </c>
      <c r="B366" s="5" t="s">
        <v>2144</v>
      </c>
      <c r="C366" s="5" t="s">
        <v>20</v>
      </c>
      <c r="D366" s="5">
        <v>11.0</v>
      </c>
      <c r="F366" s="5">
        <v>8.0</v>
      </c>
      <c r="H366" s="5" t="s">
        <v>19</v>
      </c>
      <c r="I366" s="9">
        <v>46141.85212962963</v>
      </c>
      <c r="J366" s="5" t="s">
        <v>22</v>
      </c>
      <c r="L366" s="5">
        <v>136000.0</v>
      </c>
      <c r="M366" s="5">
        <v>140000.0</v>
      </c>
      <c r="N366" s="8">
        <v>42429.0</v>
      </c>
      <c r="O366" s="5" t="s">
        <v>24</v>
      </c>
      <c r="P366" s="5" t="s">
        <v>25</v>
      </c>
      <c r="S366" s="5" t="s">
        <v>38</v>
      </c>
    </row>
    <row r="367">
      <c r="A367" s="5">
        <v>366.0</v>
      </c>
      <c r="B367" s="5" t="s">
        <v>2145</v>
      </c>
      <c r="C367" s="5" t="s">
        <v>20</v>
      </c>
      <c r="D367" s="5">
        <v>43.0</v>
      </c>
      <c r="H367" s="5" t="s">
        <v>19</v>
      </c>
      <c r="I367" s="9">
        <v>46088.12076388889</v>
      </c>
      <c r="J367" s="5" t="s">
        <v>2147</v>
      </c>
      <c r="L367" s="5">
        <v>145000.0</v>
      </c>
      <c r="M367" s="5">
        <v>149000.0</v>
      </c>
      <c r="N367" s="8">
        <v>45246.0</v>
      </c>
      <c r="O367" s="5" t="s">
        <v>24</v>
      </c>
      <c r="P367" s="5" t="s">
        <v>25</v>
      </c>
      <c r="S367" s="5" t="s">
        <v>29</v>
      </c>
    </row>
    <row r="368">
      <c r="A368" s="5">
        <v>367.0</v>
      </c>
      <c r="B368" s="5" t="s">
        <v>2150</v>
      </c>
      <c r="C368" s="5" t="s">
        <v>20</v>
      </c>
      <c r="D368" s="5">
        <v>61.0</v>
      </c>
      <c r="H368" s="5" t="s">
        <v>2152</v>
      </c>
      <c r="I368" s="9">
        <v>46148.25488425926</v>
      </c>
      <c r="J368" s="5" t="s">
        <v>78</v>
      </c>
      <c r="K368" s="5">
        <v>10.0</v>
      </c>
      <c r="L368" s="5">
        <v>3200.0</v>
      </c>
      <c r="M368" s="5">
        <v>60000.0</v>
      </c>
      <c r="N368" s="8">
        <v>44336.0</v>
      </c>
      <c r="O368" s="5" t="s">
        <v>184</v>
      </c>
      <c r="P368" s="5" t="s">
        <v>25</v>
      </c>
      <c r="S368" s="5" t="s">
        <v>38</v>
      </c>
    </row>
    <row r="369">
      <c r="A369" s="5">
        <v>368.0</v>
      </c>
      <c r="B369" s="5" t="s">
        <v>2154</v>
      </c>
      <c r="C369" s="5" t="s">
        <v>20</v>
      </c>
      <c r="D369" s="5">
        <v>1.0</v>
      </c>
      <c r="H369" s="5" t="s">
        <v>30</v>
      </c>
      <c r="I369" s="9">
        <v>46162.45983796296</v>
      </c>
      <c r="J369" s="5" t="s">
        <v>22</v>
      </c>
      <c r="L369" s="5">
        <v>26000.0</v>
      </c>
      <c r="M369" s="5">
        <v>27000.0</v>
      </c>
      <c r="N369" s="8">
        <v>44287.0</v>
      </c>
      <c r="O369" s="5" t="s">
        <v>24</v>
      </c>
      <c r="P369" s="5" t="s">
        <v>25</v>
      </c>
      <c r="S369" s="5" t="s">
        <v>38</v>
      </c>
    </row>
    <row r="370">
      <c r="A370" s="5">
        <v>369.0</v>
      </c>
      <c r="B370" s="5" t="s">
        <v>2157</v>
      </c>
      <c r="C370" s="5" t="s">
        <v>20</v>
      </c>
      <c r="D370" s="5">
        <v>54.0</v>
      </c>
      <c r="H370" s="5" t="s">
        <v>19</v>
      </c>
      <c r="I370" s="9">
        <v>46155.95806712963</v>
      </c>
      <c r="J370" s="5" t="s">
        <v>151</v>
      </c>
      <c r="L370" s="5">
        <v>131000.0</v>
      </c>
      <c r="M370" s="5">
        <v>135000.0</v>
      </c>
      <c r="N370" s="8">
        <v>44184.0</v>
      </c>
      <c r="O370" s="5" t="s">
        <v>894</v>
      </c>
      <c r="S370" s="5" t="s">
        <v>29</v>
      </c>
    </row>
    <row r="371">
      <c r="A371" s="5">
        <v>370.0</v>
      </c>
      <c r="B371" s="5" t="s">
        <v>2161</v>
      </c>
      <c r="C371" s="5" t="s">
        <v>20</v>
      </c>
      <c r="D371" s="5">
        <v>77.0</v>
      </c>
      <c r="H371" s="5" t="s">
        <v>654</v>
      </c>
      <c r="I371" s="9">
        <v>46125.045219907406</v>
      </c>
      <c r="L371" s="5">
        <v>700.0</v>
      </c>
      <c r="M371" s="5">
        <v>205000.0</v>
      </c>
      <c r="N371" s="8">
        <v>42419.0</v>
      </c>
      <c r="O371" s="5" t="s">
        <v>184</v>
      </c>
      <c r="P371" s="5" t="s">
        <v>25</v>
      </c>
      <c r="S371" s="5" t="s">
        <v>38</v>
      </c>
    </row>
    <row r="372">
      <c r="A372" s="5">
        <v>371.0</v>
      </c>
      <c r="B372" s="5" t="s">
        <v>2164</v>
      </c>
      <c r="C372" s="5" t="s">
        <v>20</v>
      </c>
      <c r="D372" s="5">
        <v>0.0</v>
      </c>
      <c r="H372" s="5" t="s">
        <v>19</v>
      </c>
      <c r="I372" s="9">
        <v>46147.622199074074</v>
      </c>
      <c r="J372" s="5" t="s">
        <v>22</v>
      </c>
      <c r="L372" s="5">
        <v>137000.0</v>
      </c>
      <c r="M372" s="5">
        <v>140000.0</v>
      </c>
      <c r="N372" s="8">
        <v>42318.0</v>
      </c>
      <c r="O372" s="5" t="s">
        <v>432</v>
      </c>
      <c r="P372" s="5" t="s">
        <v>25</v>
      </c>
      <c r="S372" s="5" t="s">
        <v>29</v>
      </c>
    </row>
    <row r="373">
      <c r="A373" s="5">
        <v>372.0</v>
      </c>
      <c r="B373" s="5" t="s">
        <v>2166</v>
      </c>
      <c r="C373" s="5" t="s">
        <v>20</v>
      </c>
      <c r="D373" s="5">
        <v>81.0</v>
      </c>
      <c r="H373" s="5" t="s">
        <v>654</v>
      </c>
      <c r="I373" s="9">
        <v>46123.453206018516</v>
      </c>
      <c r="J373" s="5" t="s">
        <v>206</v>
      </c>
      <c r="K373" s="5">
        <v>1100.0</v>
      </c>
      <c r="L373" s="5">
        <v>5100.0</v>
      </c>
      <c r="M373" s="5">
        <v>629000.0</v>
      </c>
      <c r="N373" s="8">
        <v>42846.0</v>
      </c>
      <c r="O373" s="5" t="s">
        <v>1347</v>
      </c>
      <c r="P373" s="5" t="s">
        <v>25</v>
      </c>
      <c r="S373" s="5" t="s">
        <v>38</v>
      </c>
    </row>
    <row r="374">
      <c r="A374" s="5">
        <v>373.0</v>
      </c>
      <c r="B374" s="5" t="s">
        <v>2168</v>
      </c>
      <c r="C374" s="5" t="s">
        <v>20</v>
      </c>
      <c r="D374" s="5">
        <v>73.0</v>
      </c>
      <c r="H374" s="5" t="s">
        <v>130</v>
      </c>
      <c r="I374" s="9">
        <v>46097.88649305556</v>
      </c>
      <c r="J374" s="5" t="s">
        <v>151</v>
      </c>
      <c r="K374" s="5">
        <v>100.0</v>
      </c>
      <c r="L374" s="5">
        <v>3200.0</v>
      </c>
      <c r="M374" s="5">
        <v>3200.0</v>
      </c>
      <c r="N374" s="8">
        <v>42805.0</v>
      </c>
      <c r="O374" s="5" t="s">
        <v>1555</v>
      </c>
      <c r="S374" s="5" t="s">
        <v>292</v>
      </c>
    </row>
    <row r="375">
      <c r="A375" s="5">
        <v>374.0</v>
      </c>
      <c r="B375" s="5" t="s">
        <v>2171</v>
      </c>
      <c r="C375" s="5" t="s">
        <v>20</v>
      </c>
      <c r="D375" s="5">
        <v>3.0</v>
      </c>
      <c r="H375" s="5" t="s">
        <v>446</v>
      </c>
      <c r="I375" s="9">
        <v>46131.550625</v>
      </c>
      <c r="J375" s="5" t="s">
        <v>346</v>
      </c>
      <c r="K375" s="5">
        <v>20.0</v>
      </c>
      <c r="L375" s="5">
        <v>50.0</v>
      </c>
      <c r="M375" s="5">
        <v>90.0</v>
      </c>
      <c r="N375" s="8">
        <v>42591.0</v>
      </c>
      <c r="O375" s="5" t="s">
        <v>24</v>
      </c>
      <c r="P375" s="5" t="s">
        <v>25</v>
      </c>
      <c r="S375" s="5" t="s">
        <v>38</v>
      </c>
    </row>
    <row r="376">
      <c r="A376" s="5">
        <v>375.0</v>
      </c>
      <c r="B376" s="5" t="s">
        <v>2175</v>
      </c>
      <c r="C376" s="5" t="s">
        <v>20</v>
      </c>
      <c r="D376" s="5">
        <v>0.0</v>
      </c>
      <c r="H376" s="5" t="s">
        <v>19</v>
      </c>
      <c r="I376" s="9">
        <v>46160.841782407406</v>
      </c>
      <c r="J376" s="5" t="s">
        <v>197</v>
      </c>
      <c r="L376" s="5">
        <v>131000.0</v>
      </c>
      <c r="M376" s="5">
        <v>135000.0</v>
      </c>
      <c r="N376" s="8">
        <v>44252.0</v>
      </c>
      <c r="O376" s="5" t="s">
        <v>184</v>
      </c>
      <c r="P376" s="5" t="s">
        <v>25</v>
      </c>
      <c r="S376" s="5" t="s">
        <v>118</v>
      </c>
    </row>
    <row r="377">
      <c r="A377" s="5">
        <v>376.0</v>
      </c>
      <c r="B377" s="5" t="s">
        <v>2178</v>
      </c>
      <c r="C377" s="5" t="s">
        <v>20</v>
      </c>
      <c r="D377" s="5">
        <v>0.0</v>
      </c>
      <c r="H377" s="5" t="s">
        <v>2107</v>
      </c>
      <c r="I377" s="9">
        <v>46156.79541666667</v>
      </c>
      <c r="J377" s="5" t="s">
        <v>22</v>
      </c>
      <c r="L377" s="5">
        <v>150.0</v>
      </c>
      <c r="M377" s="5">
        <v>150.0</v>
      </c>
      <c r="N377" s="8">
        <v>42410.0</v>
      </c>
      <c r="O377" s="5" t="s">
        <v>530</v>
      </c>
      <c r="S377" s="5" t="s">
        <v>38</v>
      </c>
    </row>
    <row r="378">
      <c r="A378" s="5">
        <v>377.0</v>
      </c>
      <c r="B378" s="10" t="s">
        <v>2180</v>
      </c>
      <c r="C378" s="5" t="s">
        <v>20</v>
      </c>
      <c r="D378" s="5">
        <v>31.0</v>
      </c>
      <c r="H378" s="10" t="s">
        <v>1765</v>
      </c>
      <c r="I378" s="9">
        <v>46145.948229166665</v>
      </c>
      <c r="J378" s="5" t="s">
        <v>114</v>
      </c>
      <c r="L378" s="5">
        <v>70.0</v>
      </c>
      <c r="M378" s="5">
        <v>70.0</v>
      </c>
      <c r="N378" s="8">
        <v>42373.0</v>
      </c>
      <c r="O378" s="5" t="s">
        <v>100</v>
      </c>
      <c r="S378" s="5" t="s">
        <v>29</v>
      </c>
    </row>
    <row r="379">
      <c r="A379" s="5">
        <v>378.0</v>
      </c>
      <c r="B379" s="5" t="s">
        <v>2184</v>
      </c>
      <c r="C379" s="5" t="s">
        <v>20</v>
      </c>
      <c r="D379" s="5">
        <v>72.0</v>
      </c>
      <c r="H379" s="5" t="s">
        <v>654</v>
      </c>
      <c r="I379" s="9">
        <v>46085.27780092593</v>
      </c>
      <c r="J379" s="5" t="s">
        <v>151</v>
      </c>
      <c r="K379" s="5">
        <v>10.0</v>
      </c>
      <c r="L379" s="5">
        <v>600.0</v>
      </c>
      <c r="M379" s="5">
        <v>212000.0</v>
      </c>
      <c r="N379" s="8">
        <v>44353.0</v>
      </c>
      <c r="O379" s="5" t="s">
        <v>184</v>
      </c>
      <c r="P379" s="5" t="s">
        <v>25</v>
      </c>
      <c r="S379" s="5" t="s">
        <v>38</v>
      </c>
    </row>
    <row r="380">
      <c r="A380" s="5">
        <v>379.0</v>
      </c>
      <c r="B380" s="5" t="s">
        <v>2188</v>
      </c>
      <c r="C380" s="5" t="s">
        <v>20</v>
      </c>
      <c r="D380" s="5">
        <v>37.0</v>
      </c>
      <c r="H380" s="5" t="s">
        <v>40</v>
      </c>
      <c r="I380" s="9">
        <v>46162.454733796294</v>
      </c>
      <c r="J380" s="5" t="s">
        <v>78</v>
      </c>
      <c r="L380" s="5">
        <v>17000.0</v>
      </c>
      <c r="M380" s="5">
        <v>19000.0</v>
      </c>
      <c r="N380" s="8">
        <v>45194.0</v>
      </c>
      <c r="O380" s="5" t="s">
        <v>80</v>
      </c>
      <c r="S380" s="5" t="s">
        <v>29</v>
      </c>
    </row>
    <row r="381">
      <c r="A381" s="5">
        <v>380.0</v>
      </c>
      <c r="B381" s="5" t="s">
        <v>2192</v>
      </c>
      <c r="C381" s="5" t="s">
        <v>20</v>
      </c>
      <c r="D381" s="5">
        <v>0.0</v>
      </c>
      <c r="H381" s="5" t="s">
        <v>40</v>
      </c>
      <c r="I381" s="9">
        <v>46084.664664351854</v>
      </c>
      <c r="J381" s="5" t="s">
        <v>22</v>
      </c>
      <c r="L381" s="5">
        <v>21000.0</v>
      </c>
      <c r="M381" s="5">
        <v>23000.0</v>
      </c>
      <c r="N381" s="8">
        <v>45207.0</v>
      </c>
      <c r="O381" s="5" t="s">
        <v>100</v>
      </c>
      <c r="S381" s="5" t="s">
        <v>29</v>
      </c>
    </row>
    <row r="382">
      <c r="A382" s="5">
        <v>381.0</v>
      </c>
      <c r="B382" s="5" t="s">
        <v>589</v>
      </c>
      <c r="C382" s="5" t="s">
        <v>20</v>
      </c>
      <c r="D382" s="5">
        <v>41.0</v>
      </c>
      <c r="H382" s="5" t="s">
        <v>504</v>
      </c>
      <c r="I382" s="9">
        <v>46090.18850694445</v>
      </c>
      <c r="J382" s="5" t="s">
        <v>591</v>
      </c>
      <c r="L382" s="5">
        <v>20.0</v>
      </c>
      <c r="M382" s="5">
        <v>20.0</v>
      </c>
      <c r="N382" s="8">
        <v>44001.0</v>
      </c>
      <c r="O382" s="5" t="s">
        <v>24</v>
      </c>
      <c r="P382" s="5" t="s">
        <v>25</v>
      </c>
      <c r="S382" s="5" t="s">
        <v>118</v>
      </c>
    </row>
    <row r="383">
      <c r="A383" s="5">
        <v>382.0</v>
      </c>
      <c r="B383" s="5" t="s">
        <v>2196</v>
      </c>
      <c r="C383" s="5" t="s">
        <v>20</v>
      </c>
      <c r="D383" s="5">
        <v>82.0</v>
      </c>
      <c r="H383" s="5" t="s">
        <v>654</v>
      </c>
      <c r="I383" s="9">
        <v>46127.162824074076</v>
      </c>
      <c r="J383" s="5" t="s">
        <v>78</v>
      </c>
      <c r="K383" s="5">
        <v>2200.0</v>
      </c>
      <c r="L383" s="5">
        <v>5300.0</v>
      </c>
      <c r="M383" s="5">
        <v>570000.0</v>
      </c>
      <c r="N383" s="8">
        <v>42581.0</v>
      </c>
      <c r="O383" s="5" t="s">
        <v>1347</v>
      </c>
      <c r="P383" s="5" t="s">
        <v>25</v>
      </c>
      <c r="S383" s="5" t="s">
        <v>38</v>
      </c>
    </row>
    <row r="384">
      <c r="A384" s="5">
        <v>383.0</v>
      </c>
      <c r="B384" s="5" t="s">
        <v>2200</v>
      </c>
      <c r="C384" s="5" t="s">
        <v>20</v>
      </c>
      <c r="D384" s="5">
        <v>67.0</v>
      </c>
      <c r="H384" s="5" t="s">
        <v>504</v>
      </c>
      <c r="I384" s="9">
        <v>46152.294756944444</v>
      </c>
      <c r="K384" s="5">
        <v>30.0</v>
      </c>
      <c r="L384" s="5">
        <v>150.0</v>
      </c>
      <c r="M384" s="5">
        <v>350.0</v>
      </c>
      <c r="N384" s="8">
        <v>44075.0</v>
      </c>
      <c r="O384" s="5" t="s">
        <v>464</v>
      </c>
      <c r="P384" s="5" t="s">
        <v>25</v>
      </c>
      <c r="S384" s="5" t="s">
        <v>145</v>
      </c>
    </row>
    <row r="385">
      <c r="A385" s="5">
        <v>384.0</v>
      </c>
      <c r="B385" s="5" t="s">
        <v>2203</v>
      </c>
      <c r="C385" s="5" t="s">
        <v>20</v>
      </c>
      <c r="D385" s="5">
        <v>6.0</v>
      </c>
      <c r="F385" s="5">
        <v>1.0</v>
      </c>
      <c r="H385" s="5" t="s">
        <v>47</v>
      </c>
      <c r="I385" s="9">
        <v>46162.60873842592</v>
      </c>
      <c r="J385" s="5" t="s">
        <v>151</v>
      </c>
      <c r="L385" s="5">
        <v>16000.0</v>
      </c>
      <c r="M385" s="5">
        <v>16000.0</v>
      </c>
      <c r="N385" s="8">
        <v>42290.0</v>
      </c>
      <c r="O385" s="5" t="s">
        <v>24</v>
      </c>
      <c r="P385" s="5" t="s">
        <v>25</v>
      </c>
      <c r="S385" s="5" t="s">
        <v>29</v>
      </c>
    </row>
    <row r="386">
      <c r="A386" s="5">
        <v>385.0</v>
      </c>
      <c r="B386" s="5" t="s">
        <v>2207</v>
      </c>
      <c r="C386" s="5" t="s">
        <v>20</v>
      </c>
      <c r="D386" s="5">
        <v>69.0</v>
      </c>
      <c r="H386" s="5" t="s">
        <v>41</v>
      </c>
      <c r="I386" s="9">
        <v>46144.65122685185</v>
      </c>
      <c r="J386" s="5" t="s">
        <v>151</v>
      </c>
      <c r="L386" s="5">
        <v>100.0</v>
      </c>
      <c r="M386" s="5">
        <v>1100.0</v>
      </c>
      <c r="N386" s="8">
        <v>45292.0</v>
      </c>
      <c r="O386" s="5" t="s">
        <v>71</v>
      </c>
      <c r="P386" s="5" t="s">
        <v>25</v>
      </c>
      <c r="S386" s="5" t="s">
        <v>38</v>
      </c>
    </row>
    <row r="387">
      <c r="A387" s="5">
        <v>386.0</v>
      </c>
      <c r="B387" s="5" t="s">
        <v>2210</v>
      </c>
      <c r="C387" s="5" t="s">
        <v>20</v>
      </c>
      <c r="D387" s="5">
        <v>14.0</v>
      </c>
      <c r="H387" s="5" t="s">
        <v>2171</v>
      </c>
      <c r="I387" s="9">
        <v>46085.643425925926</v>
      </c>
      <c r="J387" s="5" t="s">
        <v>346</v>
      </c>
      <c r="L387" s="5">
        <v>60.0</v>
      </c>
      <c r="M387" s="5">
        <v>60.0</v>
      </c>
      <c r="N387" s="8">
        <v>45219.0</v>
      </c>
      <c r="O387" s="5" t="s">
        <v>24</v>
      </c>
      <c r="P387" s="5" t="s">
        <v>25</v>
      </c>
      <c r="S387" s="5" t="s">
        <v>38</v>
      </c>
    </row>
    <row r="388">
      <c r="A388" s="5">
        <v>387.0</v>
      </c>
      <c r="B388" s="5" t="s">
        <v>2213</v>
      </c>
      <c r="C388" s="5" t="s">
        <v>20</v>
      </c>
      <c r="D388" s="5">
        <v>37.0</v>
      </c>
      <c r="H388" s="5" t="s">
        <v>30</v>
      </c>
      <c r="I388" s="9">
        <v>46099.918032407404</v>
      </c>
      <c r="J388" s="5" t="s">
        <v>114</v>
      </c>
      <c r="L388" s="5">
        <v>28000.0</v>
      </c>
      <c r="M388" s="5">
        <v>29000.0</v>
      </c>
      <c r="N388" s="8">
        <v>42607.0</v>
      </c>
      <c r="O388" s="5" t="s">
        <v>24</v>
      </c>
      <c r="P388" s="5" t="s">
        <v>25</v>
      </c>
      <c r="S388" s="5" t="s">
        <v>38</v>
      </c>
    </row>
    <row r="389">
      <c r="A389" s="5">
        <v>388.0</v>
      </c>
      <c r="B389" s="5" t="s">
        <v>2216</v>
      </c>
      <c r="C389" s="5" t="s">
        <v>20</v>
      </c>
      <c r="D389" s="5">
        <v>69.0</v>
      </c>
      <c r="H389" s="5" t="s">
        <v>2218</v>
      </c>
      <c r="I389" s="9">
        <v>46042.81375</v>
      </c>
      <c r="J389" s="5" t="s">
        <v>206</v>
      </c>
      <c r="L389" s="5">
        <v>100.0</v>
      </c>
      <c r="M389" s="5">
        <v>77000.0</v>
      </c>
      <c r="N389" s="8">
        <v>44058.0</v>
      </c>
      <c r="O389" s="5" t="s">
        <v>879</v>
      </c>
      <c r="P389" s="5" t="s">
        <v>25</v>
      </c>
      <c r="S389" s="5" t="s">
        <v>38</v>
      </c>
    </row>
    <row r="390">
      <c r="A390" s="5">
        <v>389.0</v>
      </c>
      <c r="B390" s="5" t="s">
        <v>595</v>
      </c>
      <c r="C390" s="5" t="s">
        <v>20</v>
      </c>
      <c r="D390" s="5">
        <v>48.0</v>
      </c>
      <c r="H390" s="5" t="s">
        <v>305</v>
      </c>
      <c r="I390" s="9">
        <v>46149.05506944445</v>
      </c>
      <c r="J390" s="5" t="s">
        <v>78</v>
      </c>
      <c r="L390" s="5">
        <v>30.0</v>
      </c>
      <c r="M390" s="5">
        <v>60.0</v>
      </c>
      <c r="N390" s="8">
        <v>44562.0</v>
      </c>
      <c r="O390" s="5" t="s">
        <v>464</v>
      </c>
      <c r="P390" s="5" t="s">
        <v>25</v>
      </c>
      <c r="S390" s="5" t="s">
        <v>75</v>
      </c>
    </row>
    <row r="391">
      <c r="A391" s="5">
        <v>390.0</v>
      </c>
      <c r="B391" s="5" t="s">
        <v>2221</v>
      </c>
      <c r="C391" s="5" t="s">
        <v>20</v>
      </c>
      <c r="D391" s="5">
        <v>2.0</v>
      </c>
      <c r="H391" s="5" t="s">
        <v>669</v>
      </c>
      <c r="I391" s="9">
        <v>46156.56270833333</v>
      </c>
      <c r="J391" s="5" t="s">
        <v>78</v>
      </c>
      <c r="K391" s="5">
        <v>20.0</v>
      </c>
      <c r="L391" s="5">
        <v>300.0</v>
      </c>
      <c r="M391" s="5">
        <v>450.0</v>
      </c>
      <c r="N391" s="8">
        <v>43289.0</v>
      </c>
      <c r="O391" s="5" t="s">
        <v>24</v>
      </c>
      <c r="P391" s="5" t="s">
        <v>25</v>
      </c>
      <c r="Q391" s="5" t="s">
        <v>2223</v>
      </c>
      <c r="R391" s="5">
        <v>1.0</v>
      </c>
      <c r="S391" s="5" t="s">
        <v>38</v>
      </c>
    </row>
    <row r="392">
      <c r="A392" s="5">
        <v>391.0</v>
      </c>
      <c r="B392" s="5" t="s">
        <v>2224</v>
      </c>
      <c r="C392" s="5" t="s">
        <v>20</v>
      </c>
      <c r="D392" s="5">
        <v>79.0</v>
      </c>
      <c r="H392" s="5" t="s">
        <v>30</v>
      </c>
      <c r="I392" s="9">
        <v>46146.99271990741</v>
      </c>
      <c r="L392" s="5">
        <v>26000.0</v>
      </c>
      <c r="M392" s="5">
        <v>27000.0</v>
      </c>
      <c r="N392" s="8">
        <v>45132.0</v>
      </c>
      <c r="O392" s="5" t="s">
        <v>50</v>
      </c>
      <c r="P392" s="5" t="s">
        <v>25</v>
      </c>
      <c r="S392" s="5" t="s">
        <v>38</v>
      </c>
    </row>
    <row r="393">
      <c r="A393" s="5">
        <v>392.0</v>
      </c>
      <c r="B393" s="5" t="s">
        <v>599</v>
      </c>
      <c r="C393" s="5" t="s">
        <v>20</v>
      </c>
      <c r="D393" s="5">
        <v>46.0</v>
      </c>
      <c r="H393" s="5" t="s">
        <v>47</v>
      </c>
      <c r="I393" s="9">
        <v>46083.3575462963</v>
      </c>
      <c r="J393" s="5" t="s">
        <v>600</v>
      </c>
      <c r="L393" s="5">
        <v>17000.0</v>
      </c>
      <c r="M393" s="5">
        <v>17000.0</v>
      </c>
      <c r="N393" s="8">
        <v>42406.0</v>
      </c>
      <c r="O393" s="5" t="s">
        <v>24</v>
      </c>
      <c r="P393" s="5" t="s">
        <v>25</v>
      </c>
      <c r="S393" s="5" t="s">
        <v>118</v>
      </c>
    </row>
    <row r="394">
      <c r="A394" s="5">
        <v>393.0</v>
      </c>
      <c r="B394" s="5" t="s">
        <v>2228</v>
      </c>
      <c r="C394" s="5" t="s">
        <v>20</v>
      </c>
      <c r="D394" s="5">
        <v>44.0</v>
      </c>
      <c r="H394" s="5" t="s">
        <v>617</v>
      </c>
      <c r="I394" s="9">
        <v>46084.93578703704</v>
      </c>
      <c r="J394" s="5" t="s">
        <v>151</v>
      </c>
      <c r="L394" s="5">
        <v>10.0</v>
      </c>
      <c r="M394" s="5">
        <v>10.0</v>
      </c>
      <c r="N394" s="8">
        <v>45214.0</v>
      </c>
      <c r="O394" s="5" t="s">
        <v>80</v>
      </c>
      <c r="S394" s="5" t="s">
        <v>38</v>
      </c>
    </row>
    <row r="395">
      <c r="A395" s="5">
        <v>394.0</v>
      </c>
      <c r="B395" s="5" t="s">
        <v>2231</v>
      </c>
      <c r="C395" s="5" t="s">
        <v>20</v>
      </c>
      <c r="D395" s="5">
        <v>76.0</v>
      </c>
      <c r="H395" s="5" t="s">
        <v>1300</v>
      </c>
      <c r="I395" s="9">
        <v>46155.64912037037</v>
      </c>
      <c r="J395" s="5" t="s">
        <v>206</v>
      </c>
      <c r="K395" s="5">
        <v>2300.0</v>
      </c>
      <c r="L395" s="5">
        <v>250.0</v>
      </c>
      <c r="M395" s="5">
        <v>246000.0</v>
      </c>
      <c r="N395" s="8">
        <v>44245.0</v>
      </c>
      <c r="O395" s="5" t="s">
        <v>184</v>
      </c>
      <c r="P395" s="5" t="s">
        <v>25</v>
      </c>
      <c r="S395" s="5" t="s">
        <v>38</v>
      </c>
    </row>
    <row r="396">
      <c r="A396" s="5">
        <v>395.0</v>
      </c>
      <c r="B396" s="5" t="s">
        <v>2234</v>
      </c>
      <c r="C396" s="5" t="s">
        <v>20</v>
      </c>
      <c r="D396" s="5">
        <v>73.0</v>
      </c>
      <c r="F396" s="5">
        <v>0.1</v>
      </c>
      <c r="H396" s="5" t="s">
        <v>147</v>
      </c>
      <c r="I396" s="9">
        <v>46142.259351851855</v>
      </c>
      <c r="L396" s="5">
        <v>1600.0</v>
      </c>
      <c r="M396" s="5">
        <v>2900.0</v>
      </c>
      <c r="N396" s="8">
        <v>42327.0</v>
      </c>
      <c r="O396" s="5" t="s">
        <v>24</v>
      </c>
      <c r="S396" s="5" t="s">
        <v>38</v>
      </c>
    </row>
    <row r="397">
      <c r="A397" s="5">
        <v>396.0</v>
      </c>
      <c r="B397" s="5" t="s">
        <v>2237</v>
      </c>
      <c r="C397" s="5" t="s">
        <v>20</v>
      </c>
      <c r="D397" s="5">
        <v>9.0</v>
      </c>
      <c r="H397" s="5" t="s">
        <v>19</v>
      </c>
      <c r="I397" s="9">
        <v>46126.578310185185</v>
      </c>
      <c r="J397" s="5" t="s">
        <v>78</v>
      </c>
      <c r="L397" s="5">
        <v>136000.0</v>
      </c>
      <c r="M397" s="5">
        <v>140000.0</v>
      </c>
      <c r="N397" s="8">
        <v>42393.0</v>
      </c>
      <c r="O397" s="5" t="s">
        <v>80</v>
      </c>
      <c r="P397" s="5" t="s">
        <v>25</v>
      </c>
      <c r="S397" s="5" t="s">
        <v>29</v>
      </c>
    </row>
    <row r="398">
      <c r="A398" s="5">
        <v>397.0</v>
      </c>
      <c r="B398" s="5" t="s">
        <v>2240</v>
      </c>
      <c r="C398" s="5" t="s">
        <v>20</v>
      </c>
      <c r="D398" s="5">
        <v>0.0</v>
      </c>
      <c r="H398" s="5" t="s">
        <v>19</v>
      </c>
      <c r="I398" s="9">
        <v>46144.622245370374</v>
      </c>
      <c r="J398" s="5" t="s">
        <v>78</v>
      </c>
      <c r="L398" s="5">
        <v>137000.0</v>
      </c>
      <c r="M398" s="5">
        <v>140000.0</v>
      </c>
      <c r="N398" s="8">
        <v>42744.0</v>
      </c>
      <c r="O398" s="5" t="s">
        <v>80</v>
      </c>
      <c r="P398" s="5" t="s">
        <v>25</v>
      </c>
      <c r="S398" s="5" t="s">
        <v>29</v>
      </c>
    </row>
    <row r="399">
      <c r="A399" s="5">
        <v>398.0</v>
      </c>
      <c r="B399" s="5" t="s">
        <v>2243</v>
      </c>
      <c r="C399" s="5" t="s">
        <v>20</v>
      </c>
      <c r="D399" s="5">
        <v>47.0</v>
      </c>
      <c r="H399" s="5" t="s">
        <v>19</v>
      </c>
      <c r="I399" s="9">
        <v>46098.18724537037</v>
      </c>
      <c r="J399" s="5" t="s">
        <v>151</v>
      </c>
      <c r="L399" s="5">
        <v>141000.0</v>
      </c>
      <c r="M399" s="5">
        <v>145000.0</v>
      </c>
      <c r="N399" s="8">
        <v>42508.0</v>
      </c>
      <c r="O399" s="5" t="s">
        <v>24</v>
      </c>
      <c r="P399" s="5" t="s">
        <v>25</v>
      </c>
      <c r="S399" s="5" t="s">
        <v>38</v>
      </c>
    </row>
    <row r="400">
      <c r="A400" s="5">
        <v>399.0</v>
      </c>
      <c r="B400" s="5" t="s">
        <v>2247</v>
      </c>
      <c r="C400" s="5" t="s">
        <v>20</v>
      </c>
      <c r="D400" s="5">
        <v>0.0</v>
      </c>
      <c r="H400" s="5" t="s">
        <v>130</v>
      </c>
      <c r="I400" s="9">
        <v>46143.00611111111</v>
      </c>
      <c r="J400" s="5" t="s">
        <v>197</v>
      </c>
      <c r="L400" s="5">
        <v>3600.0</v>
      </c>
      <c r="M400" s="5">
        <v>3700.0</v>
      </c>
      <c r="N400" s="8">
        <v>44702.0</v>
      </c>
      <c r="O400" s="5" t="s">
        <v>397</v>
      </c>
      <c r="P400" s="5" t="s">
        <v>25</v>
      </c>
      <c r="S400" s="5" t="s">
        <v>2248</v>
      </c>
    </row>
    <row r="401">
      <c r="A401" s="5">
        <v>400.0</v>
      </c>
      <c r="B401" s="5" t="s">
        <v>609</v>
      </c>
      <c r="C401" s="5" t="s">
        <v>20</v>
      </c>
      <c r="D401" s="5">
        <v>0.0</v>
      </c>
      <c r="H401" s="5" t="s">
        <v>449</v>
      </c>
      <c r="I401" s="9">
        <v>46076.27679398148</v>
      </c>
      <c r="J401" s="5" t="s">
        <v>33</v>
      </c>
      <c r="L401" s="5">
        <v>200.0</v>
      </c>
      <c r="M401" s="5">
        <v>200.0</v>
      </c>
      <c r="N401" s="8">
        <v>45112.0</v>
      </c>
      <c r="O401" s="5" t="s">
        <v>24</v>
      </c>
      <c r="P401" s="5" t="s">
        <v>25</v>
      </c>
      <c r="S401" s="5" t="s">
        <v>38</v>
      </c>
    </row>
    <row r="402">
      <c r="A402" s="5">
        <v>401.0</v>
      </c>
      <c r="B402" s="5" t="s">
        <v>2250</v>
      </c>
      <c r="C402" s="5" t="s">
        <v>20</v>
      </c>
      <c r="D402" s="5">
        <v>68.0</v>
      </c>
      <c r="H402" s="5" t="s">
        <v>30</v>
      </c>
      <c r="I402" s="9">
        <v>46141.85229166667</v>
      </c>
      <c r="K402" s="5">
        <v>10.0</v>
      </c>
      <c r="L402" s="5">
        <v>26000.0</v>
      </c>
      <c r="M402" s="5">
        <v>27000.0</v>
      </c>
      <c r="N402" s="8">
        <v>42633.0</v>
      </c>
      <c r="O402" s="5" t="s">
        <v>50</v>
      </c>
      <c r="P402" s="5" t="s">
        <v>25</v>
      </c>
      <c r="S402" s="5" t="s">
        <v>38</v>
      </c>
    </row>
    <row r="403">
      <c r="A403" s="5">
        <v>402.0</v>
      </c>
      <c r="B403" s="5" t="s">
        <v>2252</v>
      </c>
      <c r="C403" s="5" t="s">
        <v>20</v>
      </c>
      <c r="D403" s="5">
        <v>49.0</v>
      </c>
      <c r="H403" s="5" t="s">
        <v>30</v>
      </c>
      <c r="I403" s="9">
        <v>46085.463217592594</v>
      </c>
      <c r="J403" s="5" t="s">
        <v>346</v>
      </c>
      <c r="K403" s="5">
        <v>50.0</v>
      </c>
      <c r="L403" s="5">
        <v>33000.0</v>
      </c>
      <c r="M403" s="5">
        <v>34000.0</v>
      </c>
      <c r="N403" s="8">
        <v>43964.0</v>
      </c>
      <c r="O403" s="5" t="s">
        <v>50</v>
      </c>
      <c r="P403" s="5" t="s">
        <v>25</v>
      </c>
      <c r="S403" s="5" t="s">
        <v>38</v>
      </c>
    </row>
    <row r="404">
      <c r="A404" s="5">
        <v>403.0</v>
      </c>
      <c r="B404" s="5" t="s">
        <v>2256</v>
      </c>
      <c r="C404" s="5" t="s">
        <v>20</v>
      </c>
      <c r="D404" s="5">
        <v>74.0</v>
      </c>
      <c r="H404" s="5" t="s">
        <v>30</v>
      </c>
      <c r="I404" s="9">
        <v>46101.21471064815</v>
      </c>
      <c r="J404" s="5" t="s">
        <v>346</v>
      </c>
      <c r="K404" s="5">
        <v>10.0</v>
      </c>
      <c r="L404" s="5">
        <v>28000.0</v>
      </c>
      <c r="M404" s="5">
        <v>29000.0</v>
      </c>
      <c r="N404" s="8">
        <v>42535.0</v>
      </c>
      <c r="O404" s="5" t="s">
        <v>879</v>
      </c>
      <c r="P404" s="5" t="s">
        <v>25</v>
      </c>
      <c r="S404" s="5" t="s">
        <v>38</v>
      </c>
    </row>
    <row r="405">
      <c r="A405" s="5">
        <v>404.0</v>
      </c>
      <c r="B405" s="5" t="s">
        <v>2259</v>
      </c>
      <c r="C405" s="5" t="s">
        <v>20</v>
      </c>
      <c r="D405" s="5">
        <v>2.0</v>
      </c>
      <c r="H405" s="5" t="s">
        <v>19</v>
      </c>
      <c r="I405" s="9">
        <v>46157.2309375</v>
      </c>
      <c r="J405" s="5" t="s">
        <v>22</v>
      </c>
      <c r="L405" s="5">
        <v>131000.0</v>
      </c>
      <c r="M405" s="5">
        <v>135000.0</v>
      </c>
      <c r="N405" s="8">
        <v>42271.0</v>
      </c>
      <c r="O405" s="5" t="s">
        <v>24</v>
      </c>
      <c r="P405" s="5" t="s">
        <v>25</v>
      </c>
      <c r="S405" s="5" t="s">
        <v>29</v>
      </c>
    </row>
    <row r="406">
      <c r="A406" s="5">
        <v>405.0</v>
      </c>
      <c r="B406" s="5" t="s">
        <v>616</v>
      </c>
      <c r="C406" s="5" t="s">
        <v>20</v>
      </c>
      <c r="D406" s="5">
        <v>0.0</v>
      </c>
      <c r="H406" s="5" t="s">
        <v>148</v>
      </c>
      <c r="I406" s="9">
        <v>46155.19625</v>
      </c>
      <c r="L406" s="5">
        <v>40.0</v>
      </c>
      <c r="M406" s="5">
        <v>40.0</v>
      </c>
      <c r="N406" s="8">
        <v>44208.0</v>
      </c>
      <c r="O406" s="5" t="s">
        <v>24</v>
      </c>
      <c r="P406" s="5" t="s">
        <v>25</v>
      </c>
      <c r="S406" s="5" t="s">
        <v>38</v>
      </c>
    </row>
    <row r="407">
      <c r="A407" s="5">
        <v>406.0</v>
      </c>
      <c r="B407" s="5" t="s">
        <v>2262</v>
      </c>
      <c r="C407" s="5" t="s">
        <v>20</v>
      </c>
      <c r="D407" s="5">
        <v>45.0</v>
      </c>
      <c r="H407" s="5" t="s">
        <v>47</v>
      </c>
      <c r="I407" s="9">
        <v>46088.56255787037</v>
      </c>
      <c r="J407" s="5" t="s">
        <v>151</v>
      </c>
      <c r="K407" s="5">
        <v>10.0</v>
      </c>
      <c r="L407" s="5">
        <v>17000.0</v>
      </c>
      <c r="M407" s="5">
        <v>17000.0</v>
      </c>
      <c r="N407" s="8">
        <v>44248.0</v>
      </c>
      <c r="O407" s="5" t="s">
        <v>24</v>
      </c>
      <c r="P407" s="5" t="s">
        <v>25</v>
      </c>
      <c r="S407" s="5" t="s">
        <v>29</v>
      </c>
    </row>
    <row r="408">
      <c r="A408" s="5">
        <v>407.0</v>
      </c>
      <c r="B408" s="5" t="s">
        <v>2266</v>
      </c>
      <c r="C408" s="5" t="s">
        <v>20</v>
      </c>
      <c r="D408" s="5">
        <v>31.0</v>
      </c>
      <c r="H408" s="5" t="s">
        <v>446</v>
      </c>
      <c r="I408" s="9">
        <v>46124.69269675926</v>
      </c>
      <c r="J408" s="5" t="s">
        <v>346</v>
      </c>
      <c r="L408" s="5">
        <v>50.0</v>
      </c>
      <c r="M408" s="5">
        <v>60.0</v>
      </c>
      <c r="N408" s="8">
        <v>42328.0</v>
      </c>
      <c r="O408" s="5" t="s">
        <v>24</v>
      </c>
      <c r="P408" s="5" t="s">
        <v>25</v>
      </c>
      <c r="S408" s="5" t="s">
        <v>38</v>
      </c>
    </row>
    <row r="409">
      <c r="A409" s="5">
        <v>408.0</v>
      </c>
      <c r="B409" s="5" t="s">
        <v>2270</v>
      </c>
      <c r="C409" s="5" t="s">
        <v>20</v>
      </c>
      <c r="D409" s="5">
        <v>22.0</v>
      </c>
      <c r="H409" s="5" t="s">
        <v>19</v>
      </c>
      <c r="I409" s="9">
        <v>46150.13019675926</v>
      </c>
      <c r="J409" s="5" t="s">
        <v>114</v>
      </c>
      <c r="L409" s="5">
        <v>137000.0</v>
      </c>
      <c r="M409" s="5">
        <v>141000.0</v>
      </c>
      <c r="N409" s="8">
        <v>44144.0</v>
      </c>
      <c r="O409" s="5" t="s">
        <v>100</v>
      </c>
      <c r="P409" s="5" t="s">
        <v>25</v>
      </c>
      <c r="S409" s="5" t="s">
        <v>29</v>
      </c>
    </row>
    <row r="410">
      <c r="A410" s="5">
        <v>409.0</v>
      </c>
      <c r="B410" s="5" t="s">
        <v>617</v>
      </c>
      <c r="C410" s="5" t="s">
        <v>20</v>
      </c>
      <c r="D410" s="5">
        <v>0.0</v>
      </c>
      <c r="H410" s="5" t="s">
        <v>41</v>
      </c>
      <c r="I410" s="9">
        <v>46148.04546296296</v>
      </c>
      <c r="J410" s="5" t="s">
        <v>151</v>
      </c>
      <c r="L410" s="5">
        <v>150.0</v>
      </c>
      <c r="M410" s="5">
        <v>1300.0</v>
      </c>
      <c r="N410" s="8">
        <v>42449.0</v>
      </c>
      <c r="O410" s="5" t="s">
        <v>24</v>
      </c>
      <c r="P410" s="5" t="s">
        <v>25</v>
      </c>
      <c r="S410" s="5" t="s">
        <v>875</v>
      </c>
    </row>
    <row r="411">
      <c r="A411" s="5">
        <v>410.0</v>
      </c>
      <c r="B411" s="5" t="s">
        <v>2273</v>
      </c>
      <c r="C411" s="5" t="s">
        <v>20</v>
      </c>
      <c r="D411" s="5">
        <v>0.0</v>
      </c>
      <c r="H411" s="5" t="s">
        <v>457</v>
      </c>
      <c r="I411" s="9">
        <v>46160.718877314815</v>
      </c>
      <c r="J411" s="5" t="s">
        <v>473</v>
      </c>
      <c r="L411" s="5">
        <v>40.0</v>
      </c>
      <c r="M411" s="5">
        <v>40.0</v>
      </c>
      <c r="N411" s="8">
        <v>43012.0</v>
      </c>
      <c r="O411" s="5" t="s">
        <v>24</v>
      </c>
      <c r="P411" s="5" t="s">
        <v>25</v>
      </c>
      <c r="S411" s="5" t="s">
        <v>118</v>
      </c>
    </row>
    <row r="412">
      <c r="A412" s="5">
        <v>411.0</v>
      </c>
      <c r="B412" s="5" t="s">
        <v>2276</v>
      </c>
      <c r="C412" s="5" t="s">
        <v>20</v>
      </c>
      <c r="D412" s="5">
        <v>5.0</v>
      </c>
      <c r="H412" s="5" t="s">
        <v>40</v>
      </c>
      <c r="I412" s="9">
        <v>46124.79900462963</v>
      </c>
      <c r="J412" s="5" t="s">
        <v>22</v>
      </c>
      <c r="L412" s="5">
        <v>20000.0</v>
      </c>
      <c r="M412" s="5">
        <v>22000.0</v>
      </c>
      <c r="N412" s="8">
        <v>42352.0</v>
      </c>
      <c r="O412" s="5" t="s">
        <v>24</v>
      </c>
      <c r="P412" s="5" t="s">
        <v>25</v>
      </c>
      <c r="S412" s="5" t="s">
        <v>715</v>
      </c>
    </row>
    <row r="413">
      <c r="A413" s="5">
        <v>412.0</v>
      </c>
      <c r="B413" s="5" t="s">
        <v>2278</v>
      </c>
      <c r="C413" s="5" t="s">
        <v>20</v>
      </c>
      <c r="D413" s="5">
        <v>2.0</v>
      </c>
      <c r="H413" s="5" t="s">
        <v>19</v>
      </c>
      <c r="I413" s="9">
        <v>46141.47987268519</v>
      </c>
      <c r="J413" s="5" t="s">
        <v>22</v>
      </c>
      <c r="L413" s="5">
        <v>136000.0</v>
      </c>
      <c r="M413" s="5">
        <v>140000.0</v>
      </c>
      <c r="N413" s="8">
        <v>42290.0</v>
      </c>
      <c r="O413" s="5" t="s">
        <v>24</v>
      </c>
      <c r="P413" s="5" t="s">
        <v>25</v>
      </c>
      <c r="S413" s="5" t="s">
        <v>38</v>
      </c>
    </row>
    <row r="414">
      <c r="A414" s="5">
        <v>413.0</v>
      </c>
      <c r="B414" s="5" t="s">
        <v>2281</v>
      </c>
      <c r="C414" s="5" t="s">
        <v>20</v>
      </c>
      <c r="D414" s="5">
        <v>40.0</v>
      </c>
      <c r="F414" s="5">
        <v>4.5</v>
      </c>
      <c r="H414" s="5" t="s">
        <v>47</v>
      </c>
      <c r="I414" s="9">
        <v>46131.60037037037</v>
      </c>
      <c r="J414" s="5" t="s">
        <v>22</v>
      </c>
      <c r="L414" s="5">
        <v>16000.0</v>
      </c>
      <c r="M414" s="5">
        <v>17000.0</v>
      </c>
      <c r="N414" s="8">
        <v>42475.0</v>
      </c>
      <c r="O414" s="5" t="s">
        <v>100</v>
      </c>
      <c r="P414" s="5" t="s">
        <v>25</v>
      </c>
      <c r="S414" s="5" t="s">
        <v>29</v>
      </c>
    </row>
    <row r="415">
      <c r="A415" s="5">
        <v>414.0</v>
      </c>
      <c r="B415" s="5" t="s">
        <v>2284</v>
      </c>
      <c r="C415" s="5" t="s">
        <v>20</v>
      </c>
      <c r="D415" s="5">
        <v>38.0</v>
      </c>
      <c r="H415" s="5" t="s">
        <v>454</v>
      </c>
      <c r="I415" s="9">
        <v>46046.38690972222</v>
      </c>
      <c r="J415" s="5" t="s">
        <v>2286</v>
      </c>
      <c r="L415" s="5">
        <v>30.0</v>
      </c>
      <c r="M415" s="5">
        <v>30.0</v>
      </c>
      <c r="N415" s="8">
        <v>44500.0</v>
      </c>
      <c r="O415" s="5" t="s">
        <v>184</v>
      </c>
      <c r="P415" s="5" t="s">
        <v>25</v>
      </c>
      <c r="S415" s="5" t="s">
        <v>2288</v>
      </c>
    </row>
    <row r="416">
      <c r="A416" s="5">
        <v>415.0</v>
      </c>
      <c r="B416" s="5" t="s">
        <v>2290</v>
      </c>
      <c r="C416" s="5" t="s">
        <v>20</v>
      </c>
      <c r="D416" s="5">
        <v>0.0</v>
      </c>
      <c r="H416" s="5" t="s">
        <v>19</v>
      </c>
      <c r="I416" s="9">
        <v>46162.60854166667</v>
      </c>
      <c r="J416" s="5" t="s">
        <v>78</v>
      </c>
      <c r="L416" s="5">
        <v>131000.0</v>
      </c>
      <c r="M416" s="5">
        <v>135000.0</v>
      </c>
      <c r="N416" s="8">
        <v>42626.0</v>
      </c>
      <c r="O416" s="5" t="s">
        <v>24</v>
      </c>
      <c r="P416" s="5" t="s">
        <v>25</v>
      </c>
      <c r="S416" s="5" t="s">
        <v>29</v>
      </c>
    </row>
    <row r="417">
      <c r="A417" s="5">
        <v>416.0</v>
      </c>
      <c r="B417" s="5" t="s">
        <v>2294</v>
      </c>
      <c r="C417" s="5" t="s">
        <v>20</v>
      </c>
      <c r="D417" s="5">
        <v>72.0</v>
      </c>
      <c r="H417" s="5" t="s">
        <v>2295</v>
      </c>
      <c r="I417" s="9">
        <v>46082.523935185185</v>
      </c>
      <c r="L417" s="5">
        <v>450.0</v>
      </c>
      <c r="M417" s="5">
        <v>2900.0</v>
      </c>
      <c r="N417" s="8">
        <v>45052.0</v>
      </c>
      <c r="O417" s="5" t="s">
        <v>879</v>
      </c>
      <c r="P417" s="5" t="s">
        <v>25</v>
      </c>
      <c r="S417" s="5" t="s">
        <v>38</v>
      </c>
    </row>
    <row r="418">
      <c r="A418" s="5">
        <v>417.0</v>
      </c>
      <c r="B418" s="5" t="s">
        <v>2297</v>
      </c>
      <c r="C418" s="5" t="s">
        <v>20</v>
      </c>
      <c r="D418" s="5">
        <v>26.0</v>
      </c>
      <c r="G418" s="5">
        <v>0.96</v>
      </c>
      <c r="H418" s="5" t="s">
        <v>193</v>
      </c>
      <c r="I418" s="9">
        <v>46131.76032407407</v>
      </c>
      <c r="J418" s="5" t="s">
        <v>1421</v>
      </c>
      <c r="K418" s="5">
        <v>40.0</v>
      </c>
      <c r="L418" s="5">
        <v>2100.0</v>
      </c>
      <c r="M418" s="5">
        <v>2200.0</v>
      </c>
      <c r="N418" s="8">
        <v>42248.0</v>
      </c>
      <c r="O418" s="5" t="s">
        <v>50</v>
      </c>
      <c r="P418" s="5" t="s">
        <v>25</v>
      </c>
      <c r="S418" s="5" t="s">
        <v>2300</v>
      </c>
    </row>
    <row r="419">
      <c r="A419" s="5">
        <v>418.0</v>
      </c>
      <c r="B419" s="5" t="s">
        <v>629</v>
      </c>
      <c r="C419" s="5" t="s">
        <v>20</v>
      </c>
      <c r="D419" s="5">
        <v>13.0</v>
      </c>
      <c r="H419" s="5" t="s">
        <v>305</v>
      </c>
      <c r="I419" s="9">
        <v>46123.63990740741</v>
      </c>
      <c r="J419" s="5" t="s">
        <v>206</v>
      </c>
      <c r="L419" s="5">
        <v>30.0</v>
      </c>
      <c r="M419" s="5">
        <v>60.0</v>
      </c>
      <c r="N419" s="8">
        <v>44487.0</v>
      </c>
      <c r="O419" s="5" t="s">
        <v>464</v>
      </c>
      <c r="P419" s="5" t="s">
        <v>25</v>
      </c>
      <c r="S419" s="5" t="s">
        <v>75</v>
      </c>
    </row>
    <row r="420">
      <c r="A420" s="5">
        <v>419.0</v>
      </c>
      <c r="B420" s="5" t="s">
        <v>2304</v>
      </c>
      <c r="C420" s="5" t="s">
        <v>20</v>
      </c>
      <c r="D420" s="5">
        <v>0.0</v>
      </c>
      <c r="H420" s="5" t="s">
        <v>19</v>
      </c>
      <c r="I420" s="9">
        <v>46122.52116898148</v>
      </c>
      <c r="J420" s="5" t="s">
        <v>600</v>
      </c>
      <c r="L420" s="5">
        <v>136000.0</v>
      </c>
      <c r="M420" s="5">
        <v>140000.0</v>
      </c>
      <c r="N420" s="8">
        <v>42979.0</v>
      </c>
      <c r="O420" s="5" t="s">
        <v>184</v>
      </c>
      <c r="P420" s="5" t="s">
        <v>25</v>
      </c>
      <c r="S420" s="5" t="s">
        <v>118</v>
      </c>
    </row>
    <row r="421">
      <c r="A421" s="5">
        <v>420.0</v>
      </c>
      <c r="B421" s="5" t="s">
        <v>2308</v>
      </c>
      <c r="C421" s="5" t="s">
        <v>20</v>
      </c>
      <c r="D421" s="5">
        <v>0.0</v>
      </c>
      <c r="H421" s="5" t="s">
        <v>1930</v>
      </c>
      <c r="I421" s="9">
        <v>46061.92393518519</v>
      </c>
      <c r="J421" s="5" t="s">
        <v>2310</v>
      </c>
      <c r="K421" s="5">
        <v>10.0</v>
      </c>
      <c r="L421" s="5">
        <v>20.0</v>
      </c>
      <c r="M421" s="5">
        <v>20.0</v>
      </c>
      <c r="N421" s="8">
        <v>42821.0</v>
      </c>
      <c r="O421" s="5" t="s">
        <v>879</v>
      </c>
      <c r="P421" s="5" t="s">
        <v>25</v>
      </c>
      <c r="S421" s="5" t="s">
        <v>2312</v>
      </c>
    </row>
    <row r="422">
      <c r="A422" s="5">
        <v>421.0</v>
      </c>
      <c r="B422" s="5" t="s">
        <v>2314</v>
      </c>
      <c r="C422" s="5" t="s">
        <v>20</v>
      </c>
      <c r="D422" s="5">
        <v>17.0</v>
      </c>
      <c r="G422" s="5">
        <v>1.11</v>
      </c>
      <c r="H422" s="5" t="s">
        <v>340</v>
      </c>
      <c r="I422" s="9">
        <v>46085.61929398148</v>
      </c>
      <c r="J422" s="5" t="s">
        <v>151</v>
      </c>
      <c r="K422" s="5">
        <v>10.0</v>
      </c>
      <c r="L422" s="5">
        <v>13000.0</v>
      </c>
      <c r="M422" s="5">
        <v>18000.0</v>
      </c>
      <c r="N422" s="8">
        <v>42256.0</v>
      </c>
      <c r="O422" s="5" t="s">
        <v>879</v>
      </c>
      <c r="P422" s="5" t="s">
        <v>25</v>
      </c>
      <c r="S422" s="5" t="s">
        <v>29</v>
      </c>
    </row>
    <row r="423">
      <c r="A423" s="5">
        <v>422.0</v>
      </c>
      <c r="B423" s="5" t="s">
        <v>2318</v>
      </c>
      <c r="C423" s="5" t="s">
        <v>20</v>
      </c>
      <c r="D423" s="5">
        <v>0.0</v>
      </c>
      <c r="H423" s="5" t="s">
        <v>41</v>
      </c>
      <c r="I423" s="9">
        <v>46148.27060185185</v>
      </c>
      <c r="J423" s="5" t="s">
        <v>22</v>
      </c>
      <c r="L423" s="5">
        <v>150.0</v>
      </c>
      <c r="M423" s="5">
        <v>1300.0</v>
      </c>
      <c r="N423" s="8">
        <v>42287.0</v>
      </c>
      <c r="O423" s="5" t="s">
        <v>100</v>
      </c>
      <c r="P423" s="5" t="s">
        <v>25</v>
      </c>
      <c r="S423" s="5" t="s">
        <v>29</v>
      </c>
    </row>
    <row r="424">
      <c r="A424" s="5">
        <v>423.0</v>
      </c>
      <c r="B424" s="5" t="s">
        <v>2320</v>
      </c>
      <c r="C424" s="5" t="s">
        <v>20</v>
      </c>
      <c r="D424" s="5">
        <v>11.0</v>
      </c>
      <c r="H424" s="5" t="s">
        <v>19</v>
      </c>
      <c r="I424" s="9">
        <v>46111.902708333335</v>
      </c>
      <c r="J424" s="5" t="s">
        <v>151</v>
      </c>
      <c r="L424" s="5">
        <v>137000.0</v>
      </c>
      <c r="M424" s="5">
        <v>141000.0</v>
      </c>
      <c r="N424" s="8">
        <v>43920.0</v>
      </c>
      <c r="O424" s="5" t="s">
        <v>80</v>
      </c>
      <c r="P424" s="5" t="s">
        <v>25</v>
      </c>
      <c r="S424" s="5" t="s">
        <v>38</v>
      </c>
    </row>
    <row r="425">
      <c r="A425" s="5">
        <v>424.0</v>
      </c>
      <c r="B425" s="5" t="s">
        <v>2324</v>
      </c>
      <c r="C425" s="5" t="s">
        <v>20</v>
      </c>
      <c r="D425" s="5">
        <v>71.0</v>
      </c>
      <c r="H425" s="5" t="s">
        <v>2152</v>
      </c>
      <c r="I425" s="9">
        <v>46143.34991898148</v>
      </c>
      <c r="K425" s="5">
        <v>20.0</v>
      </c>
      <c r="L425" s="5">
        <v>3200.0</v>
      </c>
      <c r="M425" s="5">
        <v>59000.0</v>
      </c>
      <c r="N425" s="8">
        <v>42665.0</v>
      </c>
      <c r="O425" s="5" t="s">
        <v>879</v>
      </c>
      <c r="P425" s="5" t="s">
        <v>25</v>
      </c>
      <c r="S425" s="5" t="s">
        <v>38</v>
      </c>
    </row>
    <row r="426">
      <c r="A426" s="5">
        <v>425.0</v>
      </c>
      <c r="B426" s="5" t="s">
        <v>2327</v>
      </c>
      <c r="C426" s="5" t="s">
        <v>20</v>
      </c>
      <c r="D426" s="5">
        <v>81.0</v>
      </c>
      <c r="H426" s="5" t="s">
        <v>2329</v>
      </c>
      <c r="I426" s="9">
        <v>46126.216527777775</v>
      </c>
      <c r="K426" s="5">
        <v>450.0</v>
      </c>
      <c r="L426" s="5">
        <v>250.0</v>
      </c>
      <c r="M426" s="5">
        <v>109000.0</v>
      </c>
      <c r="N426" s="8">
        <v>42596.0</v>
      </c>
      <c r="O426" s="5" t="s">
        <v>1347</v>
      </c>
      <c r="P426" s="5" t="s">
        <v>25</v>
      </c>
      <c r="S426" s="5" t="s">
        <v>38</v>
      </c>
    </row>
    <row r="427">
      <c r="A427" s="5">
        <v>426.0</v>
      </c>
      <c r="B427" s="5" t="s">
        <v>2332</v>
      </c>
      <c r="C427" s="5" t="s">
        <v>20</v>
      </c>
      <c r="D427" s="5">
        <v>64.0</v>
      </c>
      <c r="H427" s="5" t="s">
        <v>2218</v>
      </c>
      <c r="I427" s="9">
        <v>46147.63239583333</v>
      </c>
      <c r="J427" s="5" t="s">
        <v>206</v>
      </c>
      <c r="K427" s="5">
        <v>30.0</v>
      </c>
      <c r="L427" s="5">
        <v>70.0</v>
      </c>
      <c r="M427" s="5">
        <v>46000.0</v>
      </c>
      <c r="N427" s="8">
        <v>43895.0</v>
      </c>
      <c r="O427" s="5" t="s">
        <v>184</v>
      </c>
      <c r="P427" s="5" t="s">
        <v>25</v>
      </c>
      <c r="S427" s="5" t="s">
        <v>38</v>
      </c>
    </row>
  </sheetData>
  <hyperlinks>
    <hyperlink r:id="rId1" ref="B33"/>
    <hyperlink r:id="rId2" ref="B66"/>
    <hyperlink r:id="rId3" ref="B73"/>
    <hyperlink r:id="rId4" ref="B212"/>
    <hyperlink r:id="rId5" ref="B239"/>
    <hyperlink r:id="rId6" ref="B240"/>
    <hyperlink r:id="rId7" ref="H240"/>
    <hyperlink r:id="rId8" ref="B308"/>
    <hyperlink r:id="rId9" ref="B327"/>
    <hyperlink r:id="rId10" ref="H327"/>
    <hyperlink r:id="rId11" ref="B349"/>
    <hyperlink r:id="rId12" ref="B352"/>
    <hyperlink r:id="rId13" ref="B354"/>
    <hyperlink r:id="rId14" ref="B378"/>
    <hyperlink r:id="rId15" ref="H378"/>
  </hyperlinks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</cols>
  <sheetData>
    <row r="1">
      <c r="A1" s="1" t="s">
        <v>1</v>
      </c>
      <c r="B1" s="1" t="s">
        <v>821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828</v>
      </c>
      <c r="H1" s="1" t="s">
        <v>831</v>
      </c>
      <c r="I1" s="1" t="s">
        <v>8</v>
      </c>
      <c r="J1" s="1" t="s">
        <v>834</v>
      </c>
      <c r="K1" s="1" t="s">
        <v>837</v>
      </c>
      <c r="L1" s="1" t="s">
        <v>838</v>
      </c>
      <c r="M1" s="1" t="s">
        <v>839</v>
      </c>
      <c r="N1" s="1" t="s">
        <v>841</v>
      </c>
      <c r="O1" s="1" t="s">
        <v>842</v>
      </c>
      <c r="P1" s="1" t="s">
        <v>845</v>
      </c>
      <c r="Q1" s="1" t="s">
        <v>846</v>
      </c>
      <c r="R1" s="1" t="s">
        <v>847</v>
      </c>
      <c r="S1" s="1" t="s">
        <v>851</v>
      </c>
      <c r="T1" s="1" t="s">
        <v>5</v>
      </c>
      <c r="U1" s="1" t="s">
        <v>854</v>
      </c>
      <c r="V1" s="1" t="s">
        <v>855</v>
      </c>
      <c r="W1" s="1" t="s">
        <v>857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</cols>
  <sheetData>
    <row r="1">
      <c r="A1" s="1" t="s">
        <v>1</v>
      </c>
      <c r="B1" s="1" t="s">
        <v>821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828</v>
      </c>
      <c r="H1" s="1" t="s">
        <v>831</v>
      </c>
      <c r="I1" s="1" t="s">
        <v>8</v>
      </c>
      <c r="J1" s="1" t="s">
        <v>834</v>
      </c>
      <c r="K1" s="1" t="s">
        <v>837</v>
      </c>
      <c r="L1" s="1" t="s">
        <v>838</v>
      </c>
      <c r="M1" s="1" t="s">
        <v>839</v>
      </c>
      <c r="N1" s="1" t="s">
        <v>841</v>
      </c>
      <c r="O1" s="1" t="s">
        <v>842</v>
      </c>
      <c r="P1" s="1" t="s">
        <v>845</v>
      </c>
      <c r="Q1" s="1" t="s">
        <v>846</v>
      </c>
      <c r="R1" s="1" t="s">
        <v>847</v>
      </c>
      <c r="S1" s="1" t="s">
        <v>851</v>
      </c>
      <c r="T1" s="1" t="s">
        <v>5</v>
      </c>
      <c r="U1" s="1" t="s">
        <v>854</v>
      </c>
      <c r="V1" s="1" t="s">
        <v>855</v>
      </c>
      <c r="W1" s="1" t="s">
        <v>857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</row>
  </sheetData>
  <drawing r:id="rId1"/>
</worksheet>
</file>