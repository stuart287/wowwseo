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Overview!$A$1:$Z$998</definedName>
    <definedName hidden="1" localSheetId="2" name="_xlnm._FilterDatabase">matching!$A$1:$Z$1101</definedName>
    <definedName hidden="1" localSheetId="3" name="_xlnm._FilterDatabase">questions!$A$1:$Z$998</definedName>
    <definedName hidden="1" localSheetId="4" name="_xlnm._FilterDatabase">related!$A$1:$Z$999</definedName>
  </definedNames>
  <calcPr/>
</workbook>
</file>

<file path=xl/sharedStrings.xml><?xml version="1.0" encoding="utf-8"?>
<sst xmlns="http://schemas.openxmlformats.org/spreadsheetml/2006/main" count="5595" uniqueCount="1817">
  <si>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</si>
  <si>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</si>
  <si>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</si>
  <si>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</si>
  <si>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</si>
  <si>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</si>
  <si>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</si>
  <si>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</si>
  <si>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</si>
  <si>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</si>
  <si>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</si>
  <si>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</si>
  <si>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</si>
  <si>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</si>
  <si>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</si>
  <si>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</si>
  <si>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</si>
  <si>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</si>
  <si>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</si>
  <si>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lottery post</t>
  </si>
  <si>
    <t>how to play lottery online</t>
  </si>
  <si>
    <t>bs</t>
  </si>
  <si>
    <t>Sitelinks,Video preview</t>
  </si>
  <si>
    <t>how can i purchase lottery tickets online</t>
  </si>
  <si>
    <t>Informational,Non-branded,Non-local</t>
  </si>
  <si>
    <t>English</t>
  </si>
  <si>
    <t>13637, 14610, 12600, 13110, 13657, 14445, 14003, 13460, 12988, 14103, 12931, 11957, 13123, 11332, 13159, 13379, 13266, 13062, 13838, 13279, 12039, 14133, 14043, 14041</t>
  </si>
  <si>
    <t>14821, 14191, 14418, 15054, 14825, 14939, 14062, 14420, 14780, 14465, 14376, 14374, 15154</t>
  </si>
  <si>
    <t>Lottery</t>
  </si>
  <si>
    <t>how to win lottery online</t>
  </si>
  <si>
    <t>miami lottery</t>
  </si>
  <si>
    <t>Sitelinks,People also ask,Video preview,Knowledge panel</t>
  </si>
  <si>
    <t>how old do you have to be to buy a lottery ticket</t>
  </si>
  <si>
    <t>Informational,Non-branded,Local</t>
  </si>
  <si>
    <t>929, 864, 913, 913, 975, 907, 1534, 968, 931, 790, 971, 1025, 978, 882, 900, 1193, 943, 929, 945, 1263, 1023, 883, 909, 908</t>
  </si>
  <si>
    <t>how to buy a lottery ticket online</t>
  </si>
  <si>
    <t>1058, 1089, 1092, 969, 1034, 989, 1053, 1006, 1035, 894, 920, 920, 1071</t>
  </si>
  <si>
    <t>florida lottery post</t>
  </si>
  <si>
    <t>how to play the florida lottery online</t>
  </si>
  <si>
    <t>online lottery</t>
  </si>
  <si>
    <t>Sitelinks</t>
  </si>
  <si>
    <t>Informational,Branded,Local</t>
  </si>
  <si>
    <t>how to check lottery tickets online</t>
  </si>
  <si>
    <t>miami lottery results</t>
  </si>
  <si>
    <t>215, 212, 310, 218, 259, 265, 259, 212, 211, 212, 213, 262, 259, 212, 258, 321, 321, 259, 258, 258, 255, 235, 240, 277</t>
  </si>
  <si>
    <t>277, 263, 279, 259, 240, 234, 205, 197, 201, 178, 188, 223, 226</t>
  </si>
  <si>
    <t>florida lottery</t>
  </si>
  <si>
    <t>virginia lottery post</t>
  </si>
  <si>
    <t>People also ask</t>
  </si>
  <si>
    <t>how to play ny lottery online</t>
  </si>
  <si>
    <t>how to play georgia lottery online</t>
  </si>
  <si>
    <t>lottery miami</t>
  </si>
  <si>
    <t>lottery post winning number</t>
  </si>
  <si>
    <t>lottery results</t>
  </si>
  <si>
    <t>Informational,Branded,Non-local</t>
  </si>
  <si>
    <t>how to purchase a lottery ticket</t>
  </si>
  <si>
    <t>miami lottery winning numbers</t>
  </si>
  <si>
    <t>lottery post winning numbers</t>
  </si>
  <si>
    <t>how to buy lottery tickets online</t>
  </si>
  <si>
    <t>how to buy powerball lottery tickets online</t>
  </si>
  <si>
    <t>lottery ticket</t>
  </si>
  <si>
    <t>miami lottery result</t>
  </si>
  <si>
    <t>how long do you have to redeem a lottery ticket</t>
  </si>
  <si>
    <t>lottery post results</t>
  </si>
  <si>
    <t>how can i play the lottery online</t>
  </si>
  <si>
    <t>post lottery</t>
  </si>
  <si>
    <t>how to play pa lottery online</t>
  </si>
  <si>
    <t>lottery ticket today</t>
  </si>
  <si>
    <t>how to play 333 lottery ticket</t>
  </si>
  <si>
    <t>lotto games</t>
  </si>
  <si>
    <t>how many numbers are on a lottery ticket</t>
  </si>
  <si>
    <t>online lottery app</t>
  </si>
  <si>
    <t>Informational,Navigational,Branded,Non-local</t>
  </si>
  <si>
    <t>lottery ticket online</t>
  </si>
  <si>
    <t>Lottery; Communities</t>
  </si>
  <si>
    <t>how to buy lottery ticket online</t>
  </si>
  <si>
    <t>lottery post quebec</t>
  </si>
  <si>
    <t>numbers game betting</t>
  </si>
  <si>
    <t>how to buy online lottery tickets</t>
  </si>
  <si>
    <t>lotto games online</t>
  </si>
  <si>
    <t>lottery post virginia</t>
  </si>
  <si>
    <t>how to read a lottery ticket</t>
  </si>
  <si>
    <t>online lottery results</t>
  </si>
  <si>
    <t>lottery post results all states</t>
  </si>
  <si>
    <t>where to buy lottery tickets online</t>
  </si>
  <si>
    <t>numbers game online</t>
  </si>
  <si>
    <t>ontario lottery post</t>
  </si>
  <si>
    <t>lotto games tonight</t>
  </si>
  <si>
    <t>how to purchase lottery tickets online</t>
  </si>
  <si>
    <t>online lottery ticket</t>
  </si>
  <si>
    <t>where can i play the lottery online</t>
  </si>
  <si>
    <t>online lottery betting</t>
  </si>
  <si>
    <t>how do i buy lottery tickets online</t>
  </si>
  <si>
    <t>lottery post today</t>
  </si>
  <si>
    <t>how long does lottery take to pay out online</t>
  </si>
  <si>
    <t>lottery florida post</t>
  </si>
  <si>
    <t>lottery post mobile</t>
  </si>
  <si>
    <t>how to get a lottery ticket</t>
  </si>
  <si>
    <t>lottery house</t>
  </si>
  <si>
    <t>what lottery can you play online</t>
  </si>
  <si>
    <t>lottery ticket app</t>
  </si>
  <si>
    <t>miami lottery pick 3</t>
  </si>
  <si>
    <t>lottery post app</t>
  </si>
  <si>
    <t>how long does a lottery ticket last</t>
  </si>
  <si>
    <t>pick 3</t>
  </si>
  <si>
    <t>lottery ticket winning numbers</t>
  </si>
  <si>
    <t>how do you know if you win the lottery online</t>
  </si>
  <si>
    <t>lottery ticket tonight</t>
  </si>
  <si>
    <t>the lottery post results</t>
  </si>
  <si>
    <t>which states allow online lottery purchase</t>
  </si>
  <si>
    <t>online lottery tickets</t>
  </si>
  <si>
    <t>numbers game</t>
  </si>
  <si>
    <t>how to buy lottery tickets online in india</t>
  </si>
  <si>
    <t>lottery draw</t>
  </si>
  <si>
    <t>where was the unclaimed lottery ticket bought?</t>
  </si>
  <si>
    <t>arizona lottery post</t>
  </si>
  <si>
    <t>3 ball miami</t>
  </si>
  <si>
    <t>how play lottery online</t>
  </si>
  <si>
    <t>california lottery post</t>
  </si>
  <si>
    <t>3 ball miami app</t>
  </si>
  <si>
    <t>california lottery results</t>
  </si>
  <si>
    <t>3 ball miami asurewin</t>
  </si>
  <si>
    <t>how much is lottery ticket</t>
  </si>
  <si>
    <t>3 ball miami bahamas</t>
  </si>
  <si>
    <t>virginia lottery post results</t>
  </si>
  <si>
    <t>3 ball miami bet</t>
  </si>
  <si>
    <t>how buy lottery tickets online</t>
  </si>
  <si>
    <t>3 ball miami bets</t>
  </si>
  <si>
    <t>free online lottery for real money</t>
  </si>
  <si>
    <t>how to play lottery online south africa</t>
  </si>
  <si>
    <t>3 ball miami betting</t>
  </si>
  <si>
    <t>lottery post miami</t>
  </si>
  <si>
    <t>3 ball miami caribbean</t>
  </si>
  <si>
    <t>how to do the lottery online</t>
  </si>
  <si>
    <t>3 ball miami chances</t>
  </si>
  <si>
    <t>3 ball miami deposit</t>
  </si>
  <si>
    <t>how to win online lottery games</t>
  </si>
  <si>
    <t>lottery post ontario</t>
  </si>
  <si>
    <t>3 ball miami draw time</t>
  </si>
  <si>
    <t>www lottery post</t>
  </si>
  <si>
    <t>3 ball miami how to play</t>
  </si>
  <si>
    <t>how long is a lottery ticket good for</t>
  </si>
  <si>
    <t>3 ball miami island luck</t>
  </si>
  <si>
    <t>lottery post arizona</t>
  </si>
  <si>
    <t>3 ball miami locations</t>
  </si>
  <si>
    <t>how to buy singapore lottery online</t>
  </si>
  <si>
    <t>chicago lottery post</t>
  </si>
  <si>
    <t>3 ball miami login</t>
  </si>
  <si>
    <t>chicago lottery results</t>
  </si>
  <si>
    <t>how to play the powerball lottery online</t>
  </si>
  <si>
    <t>3 ball miami mobile</t>
  </si>
  <si>
    <t>3 ball miami odds</t>
  </si>
  <si>
    <t>how can i buy a lottery ticket online</t>
  </si>
  <si>
    <t>3 ball miami online</t>
  </si>
  <si>
    <t>3 ball miami paradise games</t>
  </si>
  <si>
    <t>how much is a lottery ticket</t>
  </si>
  <si>
    <t>the lottery post</t>
  </si>
  <si>
    <t>3 ball miami payouts</t>
  </si>
  <si>
    <t>3 ball miami pggames</t>
  </si>
  <si>
    <t>how can i buy lottery tickets online</t>
  </si>
  <si>
    <t>3 ball miami play online</t>
  </si>
  <si>
    <t>miami lottery pick 4</t>
  </si>
  <si>
    <t>how to play powerball lottery online</t>
  </si>
  <si>
    <t>florida lottery results post</t>
  </si>
  <si>
    <t>how much is a lottery ticket uk</t>
  </si>
  <si>
    <t>illinois lottery post</t>
  </si>
  <si>
    <t>3 ball miami results</t>
  </si>
  <si>
    <t>chicago lottery</t>
  </si>
  <si>
    <t>3 ball miami rules</t>
  </si>
  <si>
    <t>how to cash a lottery ticket</t>
  </si>
  <si>
    <t>3 ball miami stores</t>
  </si>
  <si>
    <t>play lottery online</t>
  </si>
  <si>
    <t>3 ball miami ticket</t>
  </si>
  <si>
    <t>tennessee lottery post</t>
  </si>
  <si>
    <t>tennessee lottery results</t>
  </si>
  <si>
    <t>3 ball miami tickets</t>
  </si>
  <si>
    <t>how to buy florida lottery tickets online</t>
  </si>
  <si>
    <t>3 ball miami today</t>
  </si>
  <si>
    <t>lottery post idaho</t>
  </si>
  <si>
    <t>3 ball miami tonight</t>
  </si>
  <si>
    <t>how much for a lottery ticket</t>
  </si>
  <si>
    <t>idaho lottery results</t>
  </si>
  <si>
    <t>3 ball miami ultra games</t>
  </si>
  <si>
    <t>3 ball miami winning number</t>
  </si>
  <si>
    <t>how to pick a lottery ticket</t>
  </si>
  <si>
    <t>ontario lottery post results</t>
  </si>
  <si>
    <t>3 ball miami winning numbers</t>
  </si>
  <si>
    <t>lottery online</t>
  </si>
  <si>
    <t>where can i cash my lottery ticket over $600</t>
  </si>
  <si>
    <t>3 ball miami withdrawal</t>
  </si>
  <si>
    <t>ny lottery post</t>
  </si>
  <si>
    <t>3-ball miami</t>
  </si>
  <si>
    <t>new york lottery</t>
  </si>
  <si>
    <t>how to check lottery tickets purchased online</t>
  </si>
  <si>
    <t>3-ball miami app</t>
  </si>
  <si>
    <t>3-ball miami asurewin</t>
  </si>
  <si>
    <t>lottery miami florida</t>
  </si>
  <si>
    <t>3-ball miami bahamas</t>
  </si>
  <si>
    <t>how do i check my nc lottery ticket online</t>
  </si>
  <si>
    <t>lottery. post</t>
  </si>
  <si>
    <t>3-ball miami bet</t>
  </si>
  <si>
    <t>lottery post result</t>
  </si>
  <si>
    <t>how to scan a lottery ticket</t>
  </si>
  <si>
    <t>3-ball miami bets</t>
  </si>
  <si>
    <t>3-ball miami betting</t>
  </si>
  <si>
    <t>georgia lottery results post</t>
  </si>
  <si>
    <t>how to buy a lottery ticket</t>
  </si>
  <si>
    <t>3-ball miami caribbean</t>
  </si>
  <si>
    <t>florida post lottery</t>
  </si>
  <si>
    <t>3-ball miami chances</t>
  </si>
  <si>
    <t>how do you cash lottery ticket</t>
  </si>
  <si>
    <t>3-ball miami deposit</t>
  </si>
  <si>
    <t>how to check lottery ticket online</t>
  </si>
  <si>
    <t>3-ball miami draw time</t>
  </si>
  <si>
    <t>miami lottery post</t>
  </si>
  <si>
    <t>3-ball miami how to play</t>
  </si>
  <si>
    <t>how to win lottery online for free</t>
  </si>
  <si>
    <t>3-ball miami island luck</t>
  </si>
  <si>
    <t>3-ball miami locations</t>
  </si>
  <si>
    <t>how to play lottery online usa</t>
  </si>
  <si>
    <t>3-ball miami login</t>
  </si>
  <si>
    <t>ca lottery post</t>
  </si>
  <si>
    <t>how to play online lottery</t>
  </si>
  <si>
    <t>3-ball miami mobile</t>
  </si>
  <si>
    <t>california lottery winning numbers</t>
  </si>
  <si>
    <t>3-ball miami odds</t>
  </si>
  <si>
    <t>3-ball miami online</t>
  </si>
  <si>
    <t>lottery post puerto rico</t>
  </si>
  <si>
    <t>3-ball miami paradise games</t>
  </si>
  <si>
    <t>3-ball miami payouts</t>
  </si>
  <si>
    <t>where can i buy lottery tickets online</t>
  </si>
  <si>
    <t>3-ball miami pggames</t>
  </si>
  <si>
    <t>3-ball miami play online</t>
  </si>
  <si>
    <t>georgia lottery post results</t>
  </si>
  <si>
    <t>3-ball miami results</t>
  </si>
  <si>
    <t>where can i cash a winning lottery ticket ?</t>
  </si>
  <si>
    <t>3-ball miami rules</t>
  </si>
  <si>
    <t>iowa lottery results post</t>
  </si>
  <si>
    <t>how to purchase a lottery ticket online</t>
  </si>
  <si>
    <t>3-ball miami stores</t>
  </si>
  <si>
    <t>lottery post.</t>
  </si>
  <si>
    <t>3-ball miami ticket</t>
  </si>
  <si>
    <t>where can i buy the lottery ticket</t>
  </si>
  <si>
    <t>3-ball miami tickets</t>
  </si>
  <si>
    <t>texas lottery post</t>
  </si>
  <si>
    <t>3-ball miami today</t>
  </si>
  <si>
    <t>texas lottery results</t>
  </si>
  <si>
    <t>how long do you have to claim a lottery ticket</t>
  </si>
  <si>
    <t>3-ball miami tonight</t>
  </si>
  <si>
    <t>how to play kerala lottery online</t>
  </si>
  <si>
    <t>3-ball miami ultra games</t>
  </si>
  <si>
    <t>lottery ticket number</t>
  </si>
  <si>
    <t>3-ball miami winning number</t>
  </si>
  <si>
    <t>how much does a lottery ticket cost</t>
  </si>
  <si>
    <t>lottery online purchase</t>
  </si>
  <si>
    <t>3-ball miami winning numbers</t>
  </si>
  <si>
    <t>where can i play lottery online</t>
  </si>
  <si>
    <t>3-ball miami withdrawal</t>
  </si>
  <si>
    <t>lottery ticket online purchase</t>
  </si>
  <si>
    <t>lottery draw app</t>
  </si>
  <si>
    <t>how to play lottery numbers online</t>
  </si>
  <si>
    <t>online lottery kaise khele</t>
  </si>
  <si>
    <t>lottery draw asurewin</t>
  </si>
  <si>
    <t>lottery draw bahamas</t>
  </si>
  <si>
    <t>how to find out if lottery ticket expired</t>
  </si>
  <si>
    <t>lottery florida post results</t>
  </si>
  <si>
    <t>lottery draw bet</t>
  </si>
  <si>
    <t>how do you play the lottery online</t>
  </si>
  <si>
    <t>lottery draw bets</t>
  </si>
  <si>
    <t>lottery draw betting</t>
  </si>
  <si>
    <t>how to play the us lottery online</t>
  </si>
  <si>
    <t>lottery. post results</t>
  </si>
  <si>
    <t>lottery draw caribbean</t>
  </si>
  <si>
    <t>lottery draw chances</t>
  </si>
  <si>
    <t>georgia (ga) lottery results | lottery post</t>
  </si>
  <si>
    <t>lottery draw deposit</t>
  </si>
  <si>
    <t>pick 4 florida lottery post</t>
  </si>
  <si>
    <t>lottery draw draw time</t>
  </si>
  <si>
    <t>scratch off lottery tickets buy online</t>
  </si>
  <si>
    <t>lottery draw how to play</t>
  </si>
  <si>
    <t>lottery draw island luck</t>
  </si>
  <si>
    <t>pick 3 lottery post</t>
  </si>
  <si>
    <t>lottery draw locations</t>
  </si>
  <si>
    <t>lottery draw login</t>
  </si>
  <si>
    <t>lottery draw mobile</t>
  </si>
  <si>
    <t>online lottery games</t>
  </si>
  <si>
    <t>lottery draw odds</t>
  </si>
  <si>
    <t>buy online lottery tickets</t>
  </si>
  <si>
    <t>lottery draw online</t>
  </si>
  <si>
    <t>lottery online tickets</t>
  </si>
  <si>
    <t>lottery draw paradise games</t>
  </si>
  <si>
    <t>tenn lottery results post</t>
  </si>
  <si>
    <t>lottery draw payouts</t>
  </si>
  <si>
    <t>how much for lottery ticket</t>
  </si>
  <si>
    <t>lottery draw pggames</t>
  </si>
  <si>
    <t>miami florida lottery results</t>
  </si>
  <si>
    <t>lottery draw play online</t>
  </si>
  <si>
    <t>how to buy mega millions lottery tickets online</t>
  </si>
  <si>
    <t>lottery draw results</t>
  </si>
  <si>
    <t>lottery draw rules</t>
  </si>
  <si>
    <t>how do i play lottery online</t>
  </si>
  <si>
    <t>lottery draw stores</t>
  </si>
  <si>
    <t>nsw lottery online</t>
  </si>
  <si>
    <t>how to play the lottery online</t>
  </si>
  <si>
    <t>lottery draw ticket</t>
  </si>
  <si>
    <t>lottery post calendar</t>
  </si>
  <si>
    <t>lottery draw tickets</t>
  </si>
  <si>
    <t>how to win the lottery online</t>
  </si>
  <si>
    <t>online state lottery</t>
  </si>
  <si>
    <t>lottery draw today</t>
  </si>
  <si>
    <t>how to play florida lottery online</t>
  </si>
  <si>
    <t>florida lottery post midday</t>
  </si>
  <si>
    <t>lottery draw tonight</t>
  </si>
  <si>
    <t>mi lottery online</t>
  </si>
  <si>
    <t>lottery draw ultra games</t>
  </si>
  <si>
    <t>how do you buy lottery tickets online</t>
  </si>
  <si>
    <t>lottery post pr</t>
  </si>
  <si>
    <t>lottery draw winning number</t>
  </si>
  <si>
    <t>www nj lottery post</t>
  </si>
  <si>
    <t>what states can you play the lottery online</t>
  </si>
  <si>
    <t>lottery draw winning numbers</t>
  </si>
  <si>
    <t>lottery draw withdrawal</t>
  </si>
  <si>
    <t>how to buy us lottery tickets online</t>
  </si>
  <si>
    <t>vermont lottery post</t>
  </si>
  <si>
    <t>lottery house app</t>
  </si>
  <si>
    <t>vermont lottery</t>
  </si>
  <si>
    <t>how to check scratch off lottery tickets online</t>
  </si>
  <si>
    <t>lottery house asurewin</t>
  </si>
  <si>
    <t>lottery house bahamas</t>
  </si>
  <si>
    <t>dc lottery post</t>
  </si>
  <si>
    <t>how to sell lottery tickets online</t>
  </si>
  <si>
    <t>dc lottery</t>
  </si>
  <si>
    <t>lottery house bet</t>
  </si>
  <si>
    <t>how do i play the lottery online</t>
  </si>
  <si>
    <t>lottery house bets</t>
  </si>
  <si>
    <t>new hampshire lottery post</t>
  </si>
  <si>
    <t>lottery house betting</t>
  </si>
  <si>
    <t>how to win a lottery ticket</t>
  </si>
  <si>
    <t>lottery house caribbean</t>
  </si>
  <si>
    <t>what does a lottery ticket look like</t>
  </si>
  <si>
    <t>lottery house chances</t>
  </si>
  <si>
    <t>is buying a lottery ticket a good idea essay</t>
  </si>
  <si>
    <t>how to buy lottery ticket</t>
  </si>
  <si>
    <t>lottery house deposit</t>
  </si>
  <si>
    <t>new jersey lottery online</t>
  </si>
  <si>
    <t>lottery house draw time</t>
  </si>
  <si>
    <t>best free online lottery sites</t>
  </si>
  <si>
    <t>how to play canadian lottery online</t>
  </si>
  <si>
    <t>lottery house how to play</t>
  </si>
  <si>
    <t>nj lottery post</t>
  </si>
  <si>
    <t>lottery house island luck</t>
  </si>
  <si>
    <t>how to play lottery online in florida</t>
  </si>
  <si>
    <t>check my lottery ticket nsw</t>
  </si>
  <si>
    <t>how to put irish lottery on online</t>
  </si>
  <si>
    <t>florida lottery post results</t>
  </si>
  <si>
    <t>lottery house locations</t>
  </si>
  <si>
    <t>where to play lottery online</t>
  </si>
  <si>
    <t>lottery house login</t>
  </si>
  <si>
    <t>lottery house mobile</t>
  </si>
  <si>
    <t>buy a lottery ticket</t>
  </si>
  <si>
    <t>lottery house odds</t>
  </si>
  <si>
    <t>check my lottery ticket</t>
  </si>
  <si>
    <t>lottery house online</t>
  </si>
  <si>
    <t>lottery house paradise games</t>
  </si>
  <si>
    <t>va lottery post results</t>
  </si>
  <si>
    <t>lottery house payouts</t>
  </si>
  <si>
    <t>lottery online ticket</t>
  </si>
  <si>
    <t>lottery house pggames</t>
  </si>
  <si>
    <t>new jersey lottery post</t>
  </si>
  <si>
    <t>new jersey lottery results</t>
  </si>
  <si>
    <t>lottery house play online</t>
  </si>
  <si>
    <t>lottery house results</t>
  </si>
  <si>
    <t>fla lottery post results</t>
  </si>
  <si>
    <t>lottery house rules</t>
  </si>
  <si>
    <t>lost lottery ticket numbers</t>
  </si>
  <si>
    <t>online lottery lotto</t>
  </si>
  <si>
    <t>lottery house stores</t>
  </si>
  <si>
    <t>online international lottery</t>
  </si>
  <si>
    <t>lottery house ticket</t>
  </si>
  <si>
    <t>ticket lottery broadway shows</t>
  </si>
  <si>
    <t>lottery house tickets</t>
  </si>
  <si>
    <t>mega million lottery online purchase</t>
  </si>
  <si>
    <t>buy national lottery ticket online</t>
  </si>
  <si>
    <t>post code lottery results</t>
  </si>
  <si>
    <t>lottery house today</t>
  </si>
  <si>
    <t>lottery house tonight</t>
  </si>
  <si>
    <t>lottery post lucky numbers daily</t>
  </si>
  <si>
    <t>lottery house ultra games</t>
  </si>
  <si>
    <t>mega millions lottery tickets online</t>
  </si>
  <si>
    <t>lottery house winning number</t>
  </si>
  <si>
    <t>scratch lottery tickets online</t>
  </si>
  <si>
    <t>lottery house winning numbers</t>
  </si>
  <si>
    <t>can you play the lottery online</t>
  </si>
  <si>
    <t>lottery house withdrawal</t>
  </si>
  <si>
    <t>resulta lottery miami</t>
  </si>
  <si>
    <t>lottery post asurewin</t>
  </si>
  <si>
    <t>right hand itching lottery post</t>
  </si>
  <si>
    <t>lottery post bahamas</t>
  </si>
  <si>
    <t>lottery online ny</t>
  </si>
  <si>
    <t>lottery post bet</t>
  </si>
  <si>
    <t>hoosier lottery post</t>
  </si>
  <si>
    <t>lottery post bets</t>
  </si>
  <si>
    <t>lottery post betting</t>
  </si>
  <si>
    <t>lottery post caribbean</t>
  </si>
  <si>
    <t>play ohio lottery online</t>
  </si>
  <si>
    <t>illinois lottery post winning numbers</t>
  </si>
  <si>
    <t>lottery post chances</t>
  </si>
  <si>
    <t>lottery tickets online india</t>
  </si>
  <si>
    <t>lottery post deposit</t>
  </si>
  <si>
    <t>online scratch cards national lottery</t>
  </si>
  <si>
    <t>lottery post draw time</t>
  </si>
  <si>
    <t>cost of a lottery ticket</t>
  </si>
  <si>
    <t>lottery post how to play</t>
  </si>
  <si>
    <t>lottery post island luck</t>
  </si>
  <si>
    <t>lottery post locations</t>
  </si>
  <si>
    <t>lottery post login</t>
  </si>
  <si>
    <t>georgia lottery online</t>
  </si>
  <si>
    <t>florida lottery play online</t>
  </si>
  <si>
    <t>lottery post odds</t>
  </si>
  <si>
    <t>lottery post online</t>
  </si>
  <si>
    <t>va lottery post</t>
  </si>
  <si>
    <t>lottery post paradise games</t>
  </si>
  <si>
    <t>lottery post payouts</t>
  </si>
  <si>
    <t>lottery post pggames</t>
  </si>
  <si>
    <t>ga lottery winning numbers post</t>
  </si>
  <si>
    <t>lottery post play online</t>
  </si>
  <si>
    <t>lottery ticket 2010</t>
  </si>
  <si>
    <t>lottery post rules</t>
  </si>
  <si>
    <t>national lottery post office near me</t>
  </si>
  <si>
    <t>lottery post stores</t>
  </si>
  <si>
    <t>playing the lottery online</t>
  </si>
  <si>
    <t>lottery post ticket</t>
  </si>
  <si>
    <t>lottery post indiana</t>
  </si>
  <si>
    <t>lottery post tickets</t>
  </si>
  <si>
    <t>florida state lottery post</t>
  </si>
  <si>
    <t>lottery post tonight</t>
  </si>
  <si>
    <t>kansas lottery post</t>
  </si>
  <si>
    <t>lottery post ultra games</t>
  </si>
  <si>
    <t>kansas winning numbers</t>
  </si>
  <si>
    <t>Sitelinks,People also ask</t>
  </si>
  <si>
    <t>lottery post withdrawal</t>
  </si>
  <si>
    <t>lottery ticket asurewin</t>
  </si>
  <si>
    <t>michigan lottery results post</t>
  </si>
  <si>
    <t>lottery ticket bahamas</t>
  </si>
  <si>
    <t>buy international lottery tickets online</t>
  </si>
  <si>
    <t>miami lottery number</t>
  </si>
  <si>
    <t>lottery ticket bet</t>
  </si>
  <si>
    <t>lottery ticket bets</t>
  </si>
  <si>
    <t>free online lottery for real money in india</t>
  </si>
  <si>
    <t>lottery ticket betting</t>
  </si>
  <si>
    <t>play the lottery online uk</t>
  </si>
  <si>
    <t>lottery ticket caribbean</t>
  </si>
  <si>
    <t>lottery ticket chances</t>
  </si>
  <si>
    <t>ar lottery post</t>
  </si>
  <si>
    <t>lottery ticket deposit</t>
  </si>
  <si>
    <t>mega millions jackpot lottery ticket</t>
  </si>
  <si>
    <t>a lottery post</t>
  </si>
  <si>
    <t>lottery ticket draw time</t>
  </si>
  <si>
    <t>lottery ticket how to play</t>
  </si>
  <si>
    <t>powerball online lottery</t>
  </si>
  <si>
    <t>lottery ticket island luck</t>
  </si>
  <si>
    <t>can you play lottery online in florida</t>
  </si>
  <si>
    <t>lottery ticket locations</t>
  </si>
  <si>
    <t>lottery ticket scanner app canada</t>
  </si>
  <si>
    <t>lottery ticket login</t>
  </si>
  <si>
    <t>play georgia lottery online</t>
  </si>
  <si>
    <t>lottery ticket mobile</t>
  </si>
  <si>
    <t>new york lottery numbers results post</t>
  </si>
  <si>
    <t>lottery ticket odds</t>
  </si>
  <si>
    <t>lottery new york post result</t>
  </si>
  <si>
    <t>lottery ticket paradise games</t>
  </si>
  <si>
    <t>new york pick 3 lottery post</t>
  </si>
  <si>
    <t>lottery ticket payouts</t>
  </si>
  <si>
    <t>online lottery service</t>
  </si>
  <si>
    <t>lottery ticket pggames</t>
  </si>
  <si>
    <t>georgia online lottery</t>
  </si>
  <si>
    <t>buy powerball lottery tickets online</t>
  </si>
  <si>
    <t>lottery ticket play online</t>
  </si>
  <si>
    <t>chicago illinois lottery post</t>
  </si>
  <si>
    <t>lottery ticket results</t>
  </si>
  <si>
    <t>new york lottery post powerball results</t>
  </si>
  <si>
    <t>ice cube lottery ticket</t>
  </si>
  <si>
    <t>lottery ticket rules</t>
  </si>
  <si>
    <t>lottery post missouri</t>
  </si>
  <si>
    <t>lottery ticket stores</t>
  </si>
  <si>
    <t>lottery post results daily</t>
  </si>
  <si>
    <t>lottery ticket ultra games</t>
  </si>
  <si>
    <t>hoosier lottery ticket check</t>
  </si>
  <si>
    <t>lottery ticket winning number</t>
  </si>
  <si>
    <t>ohio online lottery</t>
  </si>
  <si>
    <t>lottery ticket withdrawal</t>
  </si>
  <si>
    <t>buy texas lottery online</t>
  </si>
  <si>
    <t>lotto games app</t>
  </si>
  <si>
    <t>lotto games asurewin</t>
  </si>
  <si>
    <t>lotto games bahamas</t>
  </si>
  <si>
    <t>ohio lottery post</t>
  </si>
  <si>
    <t>lotto games bet</t>
  </si>
  <si>
    <t>ohio lottery results</t>
  </si>
  <si>
    <t>lotto games bets</t>
  </si>
  <si>
    <t>lotto games betting</t>
  </si>
  <si>
    <t>0, 2, 0, 0, 0, 0, 0, 0, 0, 0, 0, 1, 0, 0, 4, 4, 1, 6, 3, 1, 5, 1, 3, 1</t>
  </si>
  <si>
    <t>lotto games caribbean</t>
  </si>
  <si>
    <t>lotto games chances</t>
  </si>
  <si>
    <t>can you buy us lottery tickets online</t>
  </si>
  <si>
    <t>lotto games deposit</t>
  </si>
  <si>
    <t>georgia lottery quick pick post</t>
  </si>
  <si>
    <t>lotto games draw time</t>
  </si>
  <si>
    <t>florida online lottery</t>
  </si>
  <si>
    <t>lotto games how to play</t>
  </si>
  <si>
    <t>carolina lottery post</t>
  </si>
  <si>
    <t>lottery post md</t>
  </si>
  <si>
    <t>lotto games island luck</t>
  </si>
  <si>
    <t>lotto games locations</t>
  </si>
  <si>
    <t>online india lottery</t>
  </si>
  <si>
    <t>lotto games login</t>
  </si>
  <si>
    <t>brandon t jackson lottery ticket</t>
  </si>
  <si>
    <t>lotto games mobile</t>
  </si>
  <si>
    <t>best online lottery sites</t>
  </si>
  <si>
    <t>lotto games odds</t>
  </si>
  <si>
    <t>uk national lottery online</t>
  </si>
  <si>
    <t>lotto games paradise games</t>
  </si>
  <si>
    <t>indian lottery online</t>
  </si>
  <si>
    <t>lotto games payouts</t>
  </si>
  <si>
    <t>can i buy florida lottery tickets online</t>
  </si>
  <si>
    <t>lotto games pggames</t>
  </si>
  <si>
    <t>lottery ticket images free</t>
  </si>
  <si>
    <t>lotto games play online</t>
  </si>
  <si>
    <t>lotto games results</t>
  </si>
  <si>
    <t>online lottery sites</t>
  </si>
  <si>
    <t>lotto games rules</t>
  </si>
  <si>
    <t>lottery ticket printer</t>
  </si>
  <si>
    <t>lotto games stores</t>
  </si>
  <si>
    <t>lottery ticket template</t>
  </si>
  <si>
    <t>lotto games ticket</t>
  </si>
  <si>
    <t>us lottery tickets online</t>
  </si>
  <si>
    <t>lotto games tickets</t>
  </si>
  <si>
    <t>uk lottery online</t>
  </si>
  <si>
    <t>lotto games today</t>
  </si>
  <si>
    <t>lotto games ultra games</t>
  </si>
  <si>
    <t>lotto games winning number</t>
  </si>
  <si>
    <t>lotto games winning numbers</t>
  </si>
  <si>
    <t>buy az lottery tickets online</t>
  </si>
  <si>
    <t>online lottery india</t>
  </si>
  <si>
    <t>lotto games withdrawal</t>
  </si>
  <si>
    <t>lottery ny results post</t>
  </si>
  <si>
    <t>miami lottery app</t>
  </si>
  <si>
    <t>lottery post va</t>
  </si>
  <si>
    <t>miami lottery asurewin</t>
  </si>
  <si>
    <t>play international lottery online</t>
  </si>
  <si>
    <t>miami lottery bahamas</t>
  </si>
  <si>
    <t>texas lottery post results</t>
  </si>
  <si>
    <t>miami lottery bet</t>
  </si>
  <si>
    <t>new york lottery post powerball</t>
  </si>
  <si>
    <t>miami lottery bets</t>
  </si>
  <si>
    <t>online irish lottery</t>
  </si>
  <si>
    <t>new york post lottery</t>
  </si>
  <si>
    <t>miami lottery betting</t>
  </si>
  <si>
    <t>lottery buy online</t>
  </si>
  <si>
    <t>miami lottery caribbean</t>
  </si>
  <si>
    <t>jersey lottery post</t>
  </si>
  <si>
    <t>can you buy florida lottery tickets online</t>
  </si>
  <si>
    <t>miami lottery chances</t>
  </si>
  <si>
    <t>play florida lottery online</t>
  </si>
  <si>
    <t>miami lottery deposit</t>
  </si>
  <si>
    <t>new york state lottery post</t>
  </si>
  <si>
    <t>lottery online international</t>
  </si>
  <si>
    <t>miami lottery draw time</t>
  </si>
  <si>
    <t>connecticut lottery post</t>
  </si>
  <si>
    <t>miami lottery how to play</t>
  </si>
  <si>
    <t>connecticut lottery</t>
  </si>
  <si>
    <t>miami lottery island luck</t>
  </si>
  <si>
    <t>Lottery; Communities; Public records</t>
  </si>
  <si>
    <t>miami lottery locations</t>
  </si>
  <si>
    <t>lottery post results ny</t>
  </si>
  <si>
    <t>miami lottery login</t>
  </si>
  <si>
    <t>md lottery post</t>
  </si>
  <si>
    <t>miami lottery mobile</t>
  </si>
  <si>
    <t>miami lottery odds</t>
  </si>
  <si>
    <t>miami lottery online</t>
  </si>
  <si>
    <t>play india lottery ticket</t>
  </si>
  <si>
    <t>miami lottery paradise games</t>
  </si>
  <si>
    <t>online lottery scratch offs</t>
  </si>
  <si>
    <t>miami lottery payouts</t>
  </si>
  <si>
    <t>miami lottery pggames</t>
  </si>
  <si>
    <t>miami lottery play online</t>
  </si>
  <si>
    <t>miami lottery rules</t>
  </si>
  <si>
    <t>tennessee (tn) lottery results | lottery post</t>
  </si>
  <si>
    <t>miami lottery stores</t>
  </si>
  <si>
    <t>lottery play online</t>
  </si>
  <si>
    <t>miami lottery ticket</t>
  </si>
  <si>
    <t>play florida lottery powerball online</t>
  </si>
  <si>
    <t>miami lottery tickets</t>
  </si>
  <si>
    <t>lottery ticket purchase online</t>
  </si>
  <si>
    <t>miami lottery today</t>
  </si>
  <si>
    <t>lottery post maryland</t>
  </si>
  <si>
    <t>miami lottery tonight</t>
  </si>
  <si>
    <t>miami lottery ultra games</t>
  </si>
  <si>
    <t>miami lottery winning number</t>
  </si>
  <si>
    <t>broadway ticket lottery</t>
  </si>
  <si>
    <t>miami lottery withdrawal</t>
  </si>
  <si>
    <t>sikkim online lottery</t>
  </si>
  <si>
    <t>numbers game app</t>
  </si>
  <si>
    <t>lottery post va pick 4 for today</t>
  </si>
  <si>
    <t>numbers game asurewin</t>
  </si>
  <si>
    <t>can u play the lottery online</t>
  </si>
  <si>
    <t>numbers game bahamas</t>
  </si>
  <si>
    <t>dv lottery photo size editor online free</t>
  </si>
  <si>
    <t>numbers game bet</t>
  </si>
  <si>
    <t>lottery post pa</t>
  </si>
  <si>
    <t>lottery post results new york</t>
  </si>
  <si>
    <t>numbers game bets</t>
  </si>
  <si>
    <t>florida (fl) lottery results | lottery post</t>
  </si>
  <si>
    <t>numbers game caribbean</t>
  </si>
  <si>
    <t>numbers game chances</t>
  </si>
  <si>
    <t>usa lottery ticket online</t>
  </si>
  <si>
    <t>numbers game deposit</t>
  </si>
  <si>
    <t>free online lottery games</t>
  </si>
  <si>
    <t>numbers game draw time</t>
  </si>
  <si>
    <t>best site to buy lottery tickets online</t>
  </si>
  <si>
    <t>numbers game how to play</t>
  </si>
  <si>
    <t>numbers game island luck</t>
  </si>
  <si>
    <t>dv lottery 2022 application form online</t>
  </si>
  <si>
    <t>numbers game locations</t>
  </si>
  <si>
    <t>ga lottery post</t>
  </si>
  <si>
    <t>numbers game login</t>
  </si>
  <si>
    <t>is it safe to play lottery online</t>
  </si>
  <si>
    <t>numbers game mobile</t>
  </si>
  <si>
    <t>numbers game odds</t>
  </si>
  <si>
    <t>il lottery post</t>
  </si>
  <si>
    <t>numbers game paradise games</t>
  </si>
  <si>
    <t>lottery post va pick 4</t>
  </si>
  <si>
    <t>numbers game payouts</t>
  </si>
  <si>
    <t>dubai lottery ticket price 50 aed</t>
  </si>
  <si>
    <t>numbers game pggames</t>
  </si>
  <si>
    <t>online lottery purchase</t>
  </si>
  <si>
    <t>numbers game play online</t>
  </si>
  <si>
    <t>top online lottery websites</t>
  </si>
  <si>
    <t>numbers game results</t>
  </si>
  <si>
    <t>play uk lottery online</t>
  </si>
  <si>
    <t>numbers game rules</t>
  </si>
  <si>
    <t>mississippi lottery post</t>
  </si>
  <si>
    <t>scan ticket lottery</t>
  </si>
  <si>
    <t>cost of powerball lottery ticket</t>
  </si>
  <si>
    <t>numbers game stores</t>
  </si>
  <si>
    <t>did my lottery ticket win</t>
  </si>
  <si>
    <t>numbers game ticket</t>
  </si>
  <si>
    <t>numbers game tickets</t>
  </si>
  <si>
    <t>buy lottery tickets online</t>
  </si>
  <si>
    <t>numbers game today</t>
  </si>
  <si>
    <t>illinois post lottery results</t>
  </si>
  <si>
    <t>oregon lottery post results</t>
  </si>
  <si>
    <t>numbers game tonight</t>
  </si>
  <si>
    <t>pa lottery post results</t>
  </si>
  <si>
    <t>numbers game ultra games</t>
  </si>
  <si>
    <t>florida lottery ticket prices</t>
  </si>
  <si>
    <t>numbers game winning number</t>
  </si>
  <si>
    <t>new york lottery post evening</t>
  </si>
  <si>
    <t>numbers game winning numbers</t>
  </si>
  <si>
    <t>best online lottery site</t>
  </si>
  <si>
    <t>numbers game withdrawal</t>
  </si>
  <si>
    <t>european lottery online</t>
  </si>
  <si>
    <t>maryland lottery post</t>
  </si>
  <si>
    <t>online lottery asurewin</t>
  </si>
  <si>
    <t>maryland lottery</t>
  </si>
  <si>
    <t>online lottery bahamas</t>
  </si>
  <si>
    <t>online lottery bet</t>
  </si>
  <si>
    <t>lottery ticket movie</t>
  </si>
  <si>
    <t>online lottery bets</t>
  </si>
  <si>
    <t>unclaimed lottery ticket</t>
  </si>
  <si>
    <t>online lottery caribbean</t>
  </si>
  <si>
    <t>online lottery chances</t>
  </si>
  <si>
    <t>lottery post usa</t>
  </si>
  <si>
    <t>online lottery deposit</t>
  </si>
  <si>
    <t>new york lottery online</t>
  </si>
  <si>
    <t>online lottery draw time</t>
  </si>
  <si>
    <t>lottery post il results</t>
  </si>
  <si>
    <t>online lottery how to play</t>
  </si>
  <si>
    <t>post lottery ny</t>
  </si>
  <si>
    <t>lottery ticket air force 1</t>
  </si>
  <si>
    <t>online lottery island luck</t>
  </si>
  <si>
    <t>online lottery locations</t>
  </si>
  <si>
    <t>scan lottery tickets online</t>
  </si>
  <si>
    <t>online lottery login</t>
  </si>
  <si>
    <t>maryland lottery results post</t>
  </si>
  <si>
    <t>online lottery mobile</t>
  </si>
  <si>
    <t>lottery post il</t>
  </si>
  <si>
    <t>online lottery odds</t>
  </si>
  <si>
    <t>lottery ticket scanner</t>
  </si>
  <si>
    <t>online lottery paradise games</t>
  </si>
  <si>
    <t>lottery ticket stolen by store clerk</t>
  </si>
  <si>
    <t>online lottery payouts</t>
  </si>
  <si>
    <t>iowa lottery post results</t>
  </si>
  <si>
    <t>online lottery pggames</t>
  </si>
  <si>
    <t>ct lottery online</t>
  </si>
  <si>
    <t>online lottery play online</t>
  </si>
  <si>
    <t>online florida lottery</t>
  </si>
  <si>
    <t>online lottery in usa</t>
  </si>
  <si>
    <t>online lottery rules</t>
  </si>
  <si>
    <t>play usa lottery online</t>
  </si>
  <si>
    <t>online lottery stores</t>
  </si>
  <si>
    <t>canada lottery online</t>
  </si>
  <si>
    <t>online lottery today</t>
  </si>
  <si>
    <t>watch lottery live online</t>
  </si>
  <si>
    <t>online lottery tonight</t>
  </si>
  <si>
    <t>can u play lottery online</t>
  </si>
  <si>
    <t>online lottery ultra games</t>
  </si>
  <si>
    <t>georgia lottery post result</t>
  </si>
  <si>
    <t>online lottery winning number</t>
  </si>
  <si>
    <t>online lottery free spins</t>
  </si>
  <si>
    <t>teairra marí lottery ticket</t>
  </si>
  <si>
    <t>online lottery winning numbers</t>
  </si>
  <si>
    <t>can i buy the lottery online</t>
  </si>
  <si>
    <t>online lottery withdrawal</t>
  </si>
  <si>
    <t>online lottery us</t>
  </si>
  <si>
    <t>mega millions lottery ticket</t>
  </si>
  <si>
    <t>play new york lottery online</t>
  </si>
  <si>
    <t>dream fish lottery post</t>
  </si>
  <si>
    <t>new york lottery post new york</t>
  </si>
  <si>
    <t>poop lottery post winning numbers today</t>
  </si>
  <si>
    <t>Sitelinks,Top stories,Thumbnail,Video preview</t>
  </si>
  <si>
    <t>chicago lottery post results</t>
  </si>
  <si>
    <t>4088, 3963, 4550, 4517, 4263, 4475, 4362, 4073, 4714, 4036, 3963, 3706, 4031, 3908, 4486, 4454, 4203, 4412, 4300, 4016, 4647, 3979, 3907, 3654</t>
  </si>
  <si>
    <t>3974, 3852, 4423, 4391, 4144, 4349, 4239, 3959, 4581, 3922, 3851, 3602, 3917</t>
  </si>
  <si>
    <t>lottery post results ga</t>
  </si>
  <si>
    <t>can buy lottery tickets online</t>
  </si>
  <si>
    <t>buy california lottery tickets online</t>
  </si>
  <si>
    <t>miami lottery results today</t>
  </si>
  <si>
    <t>free lottery online</t>
  </si>
  <si>
    <t>3122, 2582, 5063, 4369, 3849, 3516, 4541, 3977, 4344, 3563, 3408, 2962, 3235, 2675, 5246, 4526, 3987, 3642, 4703, 4118, 4498, 3688, 3527, 3065</t>
  </si>
  <si>
    <t>3348, 2768, 5428, 4683, 4125, 3767, 4864, 4259, 4651, 3814, 3647, 3169, 3461</t>
  </si>
  <si>
    <t>lottery tickets online purchase</t>
  </si>
  <si>
    <t>buy florida lottery tickets online</t>
  </si>
  <si>
    <t>lottery ticket movies</t>
  </si>
  <si>
    <t>lottery post california results</t>
  </si>
  <si>
    <t>People also ask,Video preview</t>
  </si>
  <si>
    <t>florida lottery post calendar by calendar only</t>
  </si>
  <si>
    <t>winning lottery post</t>
  </si>
  <si>
    <t>buy online lottery</t>
  </si>
  <si>
    <t>2074, 2537, 2216, 2342, 2481, 2219, 2170, 2518, 2460, 2268, 2661, 2510, 2310, 2824, 2464, 2602, 2753, 2461, 2404, 2787, 2721, 2507, 2938, 2769</t>
  </si>
  <si>
    <t>2547, 3110, 2711, 2861, 3026, 2702, 2638, 3056, 2982, 2745, 3215, 3028, 2783</t>
  </si>
  <si>
    <t>winning numbers</t>
  </si>
  <si>
    <t>pa online lottery</t>
  </si>
  <si>
    <t>lottery number generator online free</t>
  </si>
  <si>
    <t>island luck winning numbers</t>
  </si>
  <si>
    <t>morning tennessee lottery post</t>
  </si>
  <si>
    <t>Top stories,Thumbnail,Video preview</t>
  </si>
  <si>
    <t>national lottery play online</t>
  </si>
  <si>
    <t>1892, 1852, 1924, 1801, 1951, 1972, 1893, 2029, 1916, 1872, 1904, 1803, 1888, 1849, 1921, 1799, 1949, 1971, 1892, 2028, 1915, 1871, 1904, 1802</t>
  </si>
  <si>
    <t>online lottery management system</t>
  </si>
  <si>
    <t>1888, 1848, 1921, 1799, 1949, 1970, 1892, 2028, 1915, 1871, 1904, 1802, 1888</t>
  </si>
  <si>
    <t>powerball lottery ticket</t>
  </si>
  <si>
    <t>winning numbers winning numbers</t>
  </si>
  <si>
    <t>quebec lottery post</t>
  </si>
  <si>
    <t>lottery check ticket</t>
  </si>
  <si>
    <t>Top stories,Thumbnail</t>
  </si>
  <si>
    <t>illinois online lottery</t>
  </si>
  <si>
    <t>purchase florida lottery tickets online</t>
  </si>
  <si>
    <t>1791, 1644, 1753, 1778, 1824, 1812, 1758, 1945, 1839, 1795, 1791, 1918, 1915, 1757, 1873, 1899, 1947, 1934, 1876, 2074, 1961, 1914, 1908, 2043</t>
  </si>
  <si>
    <t>2039, 1870, 1993, 2020, 2071, 2056, 1993, 2204, 2082, 2032, 2026, 2168, 2163</t>
  </si>
  <si>
    <t>lottery georgia post results</t>
  </si>
  <si>
    <t>powerball</t>
  </si>
  <si>
    <t>uk lottery ticket</t>
  </si>
  <si>
    <t>facebook online lottery claiming agent</t>
  </si>
  <si>
    <t>Sitelinks,Top stories,Thumbnail,People also ask,Video preview,Knowledge panel</t>
  </si>
  <si>
    <t>ny lottery play online</t>
  </si>
  <si>
    <t>best online lottery uk</t>
  </si>
  <si>
    <t>1070, 889, 778, 938, 922, 885, 742, 856, 869, 701, 894, 705, 687, 559, 1103, 2038, 2935, 1025, 1199, 3704, 2171, 1612, 1425, 1366</t>
  </si>
  <si>
    <t>1145, 1185, 1496, 1462, 1725, 1909, 2452, 2070, 2302, 1709, 1510, 1447, 1212</t>
  </si>
  <si>
    <t>international lottery online</t>
  </si>
  <si>
    <t>lottery</t>
  </si>
  <si>
    <t>lottery ny post results</t>
  </si>
  <si>
    <t>ny lottery post results mega million</t>
  </si>
  <si>
    <t>lottery post forum pick 3</t>
  </si>
  <si>
    <t>mississippi (ms) lottery results | lottery post</t>
  </si>
  <si>
    <t>761, 662, 776, 785, 766, 763, 1010, 768, 769, 747, 795, 778, 768, 661, 681, 764, 954, 1447, 933, 1404, 1248, 1111, 1186, 1203</t>
  </si>
  <si>
    <t>1164, 1042, 1255, 1250, 1107, 1217, 1132, 1242, 1284, 1136, 1207, 1220, 1178</t>
  </si>
  <si>
    <t>ca lottery online</t>
  </si>
  <si>
    <t>play irish lottery online</t>
  </si>
  <si>
    <t>lottery ticket cost</t>
  </si>
  <si>
    <t>miami lottery winner</t>
  </si>
  <si>
    <t>lottery uk online playing</t>
  </si>
  <si>
    <t>illinois lottery</t>
  </si>
  <si>
    <t>lottery scratch cards online</t>
  </si>
  <si>
    <t>georgia new york lottery results post</t>
  </si>
  <si>
    <t>maryland lottery post results today</t>
  </si>
  <si>
    <t>749, 597, 533, 724, 565, 748, 695, 833, 829, 695, 886, 742, 709, 821, 1032, 1051, 881, 894, 1022, 1042, 945, 897, 934, 878</t>
  </si>
  <si>
    <t>863, 851, 949, 979, 975, 1028, 958, 1041, 954, 903, 940, 882, 867</t>
  </si>
  <si>
    <t>buy us powerball lottery tickets online</t>
  </si>
  <si>
    <t>lotto post</t>
  </si>
  <si>
    <t>genuine online lottery sites in india</t>
  </si>
  <si>
    <t>Sitelinks,People also ask,Thumbnail</t>
  </si>
  <si>
    <t>purchasing lottery tickets online</t>
  </si>
  <si>
    <t>easy lottery ticket drawing</t>
  </si>
  <si>
    <t>589, 654, 659, 944, 856, 918, 862, 728, 589, 577, 709, 752, 849, 842, 840, 854, 708, 645, 905, 723, 771, 705, 706, 694</t>
  </si>
  <si>
    <t>692, 680, 704, 760, 738, 721, 691, 712, 737, 665, 671, 656, 657</t>
  </si>
  <si>
    <t>ny lottery post results</t>
  </si>
  <si>
    <t>florida lottery results</t>
  </si>
  <si>
    <t>best online lottery sites in india</t>
  </si>
  <si>
    <t>Sitelinks,Video preview,Knowledge panel</t>
  </si>
  <si>
    <t>mo lottery post</t>
  </si>
  <si>
    <t>570, 545, 505, 557, 579, 551, 684, 677, 629, 651, 637, 647, 689, 660, 663, 659, 678, 694, 828, 811, 775, 775, 804, 820</t>
  </si>
  <si>
    <t>pennsylvania lottery results post</t>
  </si>
  <si>
    <t>824, 827, 855, 860, 878, 887, 933, 912, 899, 898, 927, 944</t>
  </si>
  <si>
    <t>lottery chicago</t>
  </si>
  <si>
    <t>idaho lottery post</t>
  </si>
  <si>
    <t>Sitelinks,Video preview,Top stories,Thumbnail</t>
  </si>
  <si>
    <t>589, 553, 530, 539, 553, 661, 537, 535, 516, 530, 686, 565, 675, 658, 656, 679, 696, 661, 670, 807, 720, 694, 716, 679</t>
  </si>
  <si>
    <t>743, 718, 703, 715, 668, 690, 798, 795, 751, 725, 748, 709, 776</t>
  </si>
  <si>
    <t>winning numbers winning numbers today</t>
  </si>
  <si>
    <t>has anyone ever won the lottery online</t>
  </si>
  <si>
    <t>best online lottery kenya</t>
  </si>
  <si>
    <t>lottery post arkansas</t>
  </si>
  <si>
    <t>buy lottery online</t>
  </si>
  <si>
    <t>325, 843, 1038, 2496, 1627, 386, 479, 754, 1411, 1028, 1419, 887, 822, 311, 392, 370, 662, 189, 170, 702, 1089, 323, 718, 480</t>
  </si>
  <si>
    <t>haiti lottery online</t>
  </si>
  <si>
    <t>gold rush lottery ticket</t>
  </si>
  <si>
    <t>florida lottery winning numbers</t>
  </si>
  <si>
    <t>lottery post west virginia</t>
  </si>
  <si>
    <t>triple 7 lottery ticket</t>
  </si>
  <si>
    <t>lottery post connecticut</t>
  </si>
  <si>
    <t>Sitelinks,Top stories,Thumbnail,People also ask,Video preview</t>
  </si>
  <si>
    <t>new lottery post</t>
  </si>
  <si>
    <t>florida lottery post result</t>
  </si>
  <si>
    <t>610, 693, 643, 722, 593, 591, 588, 592, 559, 463, 450, 449, 444, 401, 418, 642, 638, 477, 467, 618, 581, 556, 573, 547</t>
  </si>
  <si>
    <t>525, 532, 563, 560, 526, 556, 562, 603, 582, 557, 574, 548, 525</t>
  </si>
  <si>
    <t>washington lottery post</t>
  </si>
  <si>
    <t>lottery florida</t>
  </si>
  <si>
    <t>lottery post iowa</t>
  </si>
  <si>
    <t>dv lottery photo tool online free</t>
  </si>
  <si>
    <t>germany lottery post</t>
  </si>
  <si>
    <t>scan lottery ticket app</t>
  </si>
  <si>
    <t>scratch off lottery tickets games online</t>
  </si>
  <si>
    <t>310, 338, 326, 310, 417, 407, 393, 412, 421, 416, 491, 410, 399, 400, 413, 403, 527, 558, 559, 633, 611, 579, 615, 601</t>
  </si>
  <si>
    <t>lottery ticket winner</t>
  </si>
  <si>
    <t>603, 608, 625, 620, 623, 624, 612, 624, 615, 583, 618, 604, 606</t>
  </si>
  <si>
    <t>lottery pools online</t>
  </si>
  <si>
    <t>powerball winning numbers</t>
  </si>
  <si>
    <t>lottery post pick 3</t>
  </si>
  <si>
    <t>las vegas lottery online</t>
  </si>
  <si>
    <t>Top stories,Thumbnail,Sitelinks,Knowledge panel,Video preview</t>
  </si>
  <si>
    <t>lottery post results georgia</t>
  </si>
  <si>
    <t>105, 131, 106, 239, 128, 127, 124, 158, 129, 126, 196, 127, 130, 98, 163, 357, 641, 206, 241, 1105, 530, 342, 247, 272</t>
  </si>
  <si>
    <t>scratch off lottery tickets online</t>
  </si>
  <si>
    <t>224, 219, 280, 249, 267, 271, 494, 448, 603, 388, 279, 306, 252</t>
  </si>
  <si>
    <t>powerball jackpot</t>
  </si>
  <si>
    <t>washington dc lottery post results</t>
  </si>
  <si>
    <t>online lottery winners statistics</t>
  </si>
  <si>
    <t>Sitelinks,Top stories,Thumbnail,Video preview,People also ask</t>
  </si>
  <si>
    <t>raven online lottery</t>
  </si>
  <si>
    <t>mega millions winning lottery ticket</t>
  </si>
  <si>
    <t>42, 44, 35, 72, 53, 45, 45, 65, 44, 66, 52, 68, 64, 53, 83, 210, 1158, 132, 156, 1549, 293, 132, 168, 194</t>
  </si>
  <si>
    <t>113, 115, 286, 138, 440, 968, 809, 763, 391, 175, 222, 255, 148</t>
  </si>
  <si>
    <t>lottery games online</t>
  </si>
  <si>
    <t>lotterypost</t>
  </si>
  <si>
    <t>lottery post office</t>
  </si>
  <si>
    <t>dream book online lottery number</t>
  </si>
  <si>
    <t>lottery winning ticket</t>
  </si>
  <si>
    <t>294, 311, 357, 352, 505, 405, 380, 368, 402, 371, 312, 326, 292, 309, 356, 351, 504, 404, 379, 367, 401, 371, 312, 326</t>
  </si>
  <si>
    <t>292, 309, 355, 351, 504, 404, 379, 367, 401, 371, 312, 326, 292</t>
  </si>
  <si>
    <t>ny lottery online app</t>
  </si>
  <si>
    <t>price of lottery ticket</t>
  </si>
  <si>
    <t>florida pick 3</t>
  </si>
  <si>
    <t>lottery ticket dream meaning</t>
  </si>
  <si>
    <t>online lottery scratch off tickets</t>
  </si>
  <si>
    <t>58, 78, 68, 51, 97, 77, 77, 95, 125, 143, 266, 251, 276, 247, 303, 302, 285, 347, 257, 247, 257, 255, 262, 257</t>
  </si>
  <si>
    <t>266, 260, 267, 267, 269, 273, 275, 267, 274, 271, 279, 273, 283</t>
  </si>
  <si>
    <t>check lottery ticket online</t>
  </si>
  <si>
    <t>lotería florida</t>
  </si>
  <si>
    <t>play lottery online nyc</t>
  </si>
  <si>
    <t>lottery sites online</t>
  </si>
  <si>
    <t>lottery post morning texas</t>
  </si>
  <si>
    <t>Spanish</t>
  </si>
  <si>
    <t>166, 163, 203, 252, 249, 211, 307, 314, 260, 253, 203, 200, 243, 279, 248, 195, 290, 354, 275, 348, 334, 311, 312, 297</t>
  </si>
  <si>
    <t>303, 299, 306, 311, 312, 294, 298, 297, 291, 274, 271, 260, 264</t>
  </si>
  <si>
    <t>post code lottery odds</t>
  </si>
  <si>
    <t>lottery post new mexico</t>
  </si>
  <si>
    <t>can you buy powerball lottery tickets online</t>
  </si>
  <si>
    <t>lottery post north carolina</t>
  </si>
  <si>
    <t>lotto florida</t>
  </si>
  <si>
    <t>enter the lottery online</t>
  </si>
  <si>
    <t>résultat lottery florida</t>
  </si>
  <si>
    <t>ny lottery live drawing online</t>
  </si>
  <si>
    <t>can you buy a lottery ticket online</t>
  </si>
  <si>
    <t>western canada lottery post</t>
  </si>
  <si>
    <t>French</t>
  </si>
  <si>
    <t>lottery game online singapore</t>
  </si>
  <si>
    <t>lotería florida noche</t>
  </si>
  <si>
    <t>indian online lottery sites</t>
  </si>
  <si>
    <t>new york lottery winning numbers post</t>
  </si>
  <si>
    <t>lottery florida post results new york</t>
  </si>
  <si>
    <t>florida lottery online scratch-offs</t>
  </si>
  <si>
    <t>set for life lottery ticket</t>
  </si>
  <si>
    <t>www.lottery results</t>
  </si>
  <si>
    <t>play powerball lottery online</t>
  </si>
  <si>
    <t>online lottery scratch off</t>
  </si>
  <si>
    <t>alabama lottery online</t>
  </si>
  <si>
    <t>winning numbers winning numbers today florida</t>
  </si>
  <si>
    <t>lottery ticket (film)</t>
  </si>
  <si>
    <t>ny lottery results post</t>
  </si>
  <si>
    <t>the game of life lottery ticket</t>
  </si>
  <si>
    <t>is buying a lottery ticket gambling</t>
  </si>
  <si>
    <t>lotería florida new york</t>
  </si>
  <si>
    <t>can you purchase lottery tickets online</t>
  </si>
  <si>
    <t>loteka new york</t>
  </si>
  <si>
    <t>best site to play lottery online</t>
  </si>
  <si>
    <t>nh lottery post</t>
  </si>
  <si>
    <t>powerball numbers</t>
  </si>
  <si>
    <t>can u buy lottery tickets online</t>
  </si>
  <si>
    <t>Top stories,Thumbnail,Sitelinks</t>
  </si>
  <si>
    <t>south carolina lottery post</t>
  </si>
  <si>
    <t>best lottery online</t>
  </si>
  <si>
    <t>resultat borlette florida</t>
  </si>
  <si>
    <t>lottery lottery post</t>
  </si>
  <si>
    <t>minnesota lottery post</t>
  </si>
  <si>
    <t>check lottery tickets online</t>
  </si>
  <si>
    <t>florida winning numbers</t>
  </si>
  <si>
    <t>best online lottery in usa</t>
  </si>
  <si>
    <t>samsung online lottery home delivery document</t>
  </si>
  <si>
    <t>florida lotto</t>
  </si>
  <si>
    <t>movies like lottery ticket</t>
  </si>
  <si>
    <t>can i buy california lottery tickets online</t>
  </si>
  <si>
    <t>play lottery online usa</t>
  </si>
  <si>
    <t>number lottery online</t>
  </si>
  <si>
    <t>287, 296, 283, 290, 283, 231, 257, 261, 251, 189, 213, 175, 180, 141, 168, 208, 163, 146, 141, 176, 171, 169, 163, 166</t>
  </si>
  <si>
    <t>137, 137, 162, 150, 142, 137, 262, 313, 186, 184, 177, 180, 149</t>
  </si>
  <si>
    <t>trusted online lottery sites</t>
  </si>
  <si>
    <t>lotería florida día</t>
  </si>
  <si>
    <t>lottery numbers post</t>
  </si>
  <si>
    <t>lottery post oregon</t>
  </si>
  <si>
    <t>online free lottery in uae</t>
  </si>
  <si>
    <t>winning numbers winning numbers yesterday</t>
  </si>
  <si>
    <t>lottery winner wrong ticket</t>
  </si>
  <si>
    <t>illinois lottery post results today results</t>
  </si>
  <si>
    <t>scan lottery ticket barcode iphone</t>
  </si>
  <si>
    <t>florida lottery winning numbers post today</t>
  </si>
  <si>
    <t>florida powerball</t>
  </si>
  <si>
    <t>kentucky lottery results post</t>
  </si>
  <si>
    <t>play lottery numbers online</t>
  </si>
  <si>
    <t>Sitelinks,Top stories,Thumbnail</t>
  </si>
  <si>
    <t>top online lottery sites</t>
  </si>
  <si>
    <t>nebraska lottery post</t>
  </si>
  <si>
    <t>florida noche</t>
  </si>
  <si>
    <t>virginia online lottery</t>
  </si>
  <si>
    <t>lottery ticket scanner app</t>
  </si>
  <si>
    <t>oregon lottery check ticket</t>
  </si>
  <si>
    <t>florida tarde</t>
  </si>
  <si>
    <t>online lottery uk</t>
  </si>
  <si>
    <t>buy lottery tickets online india</t>
  </si>
  <si>
    <t>md lottery online</t>
  </si>
  <si>
    <t>best online lottery india</t>
  </si>
  <si>
    <t>lottery usa</t>
  </si>
  <si>
    <t>lottery post illinois</t>
  </si>
  <si>
    <t>us lottery</t>
  </si>
  <si>
    <t>play california lottery online</t>
  </si>
  <si>
    <t>new york lottery post florida</t>
  </si>
  <si>
    <t>nassau games winning numbers</t>
  </si>
  <si>
    <t>india lottery online</t>
  </si>
  <si>
    <t>north carolina education lottery post</t>
  </si>
  <si>
    <t>91, 66, 69, 69, 50, 84, 110, 169, 174, 177, 178, 153, 91, 66, 69, 69, 49, 84, 109, 168, 173, 176, 177, 152</t>
  </si>
  <si>
    <t>90, 65, 68, 68, 49, 83, 109, 168, 173, 176, 177, 152, 90</t>
  </si>
  <si>
    <t>florida lottery online</t>
  </si>
  <si>
    <t>loteria de miami</t>
  </si>
  <si>
    <t>new york lottery post result for today</t>
  </si>
  <si>
    <t>lottery usa online</t>
  </si>
  <si>
    <t>lottery post louisiana</t>
  </si>
  <si>
    <t>lotto results</t>
  </si>
  <si>
    <t>do people win lottery online</t>
  </si>
  <si>
    <t>lottery spinner online</t>
  </si>
  <si>
    <t>lottery post ny</t>
  </si>
  <si>
    <t>lottery post va pick 3 pick 4</t>
  </si>
  <si>
    <t>winnings numbers</t>
  </si>
  <si>
    <t>florida lottery appointment online</t>
  </si>
  <si>
    <t>lottery ticket prices</t>
  </si>
  <si>
    <t>pennsylvania lottery online</t>
  </si>
  <si>
    <t>lottery results today</t>
  </si>
  <si>
    <t>buy lottery scratch tickets online</t>
  </si>
  <si>
    <t>pa lottery online slots</t>
  </si>
  <si>
    <t>buy lottery tickets online washington</t>
  </si>
  <si>
    <t>winning number today</t>
  </si>
  <si>
    <t>broadway lottery ticket</t>
  </si>
  <si>
    <t>illinois lottery results</t>
  </si>
  <si>
    <t>arkansas lottery post</t>
  </si>
  <si>
    <t>lottery miami numbers</t>
  </si>
  <si>
    <t>arkansas lottery results post</t>
  </si>
  <si>
    <t>powerball lottery tickets online</t>
  </si>
  <si>
    <t>texas lottery results post</t>
  </si>
  <si>
    <t>texas pick 3</t>
  </si>
  <si>
    <t>virginia lottery ticket</t>
  </si>
  <si>
    <t>indiana lottery post results</t>
  </si>
  <si>
    <t>lottery ticket numbers from last night</t>
  </si>
  <si>
    <t>winning number</t>
  </si>
  <si>
    <t>florida lottery post pick 5</t>
  </si>
  <si>
    <t>national lottery online</t>
  </si>
  <si>
    <t>ny post lottery</t>
  </si>
  <si>
    <t>lottery post prediction</t>
  </si>
  <si>
    <t>delaware lottery post</t>
  </si>
  <si>
    <t>delaware lottery</t>
  </si>
  <si>
    <t>flalottery</t>
  </si>
  <si>
    <t>lottery online usa</t>
  </si>
  <si>
    <t>is online lottery real</t>
  </si>
  <si>
    <t>80, 64, 68, 80, 75, 75, 112, 92, 68, 99, 71, 100, 69, 53, 99, 147, 127, 132, 79, 112, 94, 67, 74, 78</t>
  </si>
  <si>
    <t>74, 69, 83, 77, 71, 88, 114, 95, 78, 58, 60, 68, 61</t>
  </si>
  <si>
    <t>online lottery betting uk</t>
  </si>
  <si>
    <t>resultat lottery florida</t>
  </si>
  <si>
    <t>teairra mari lottery ticket</t>
  </si>
  <si>
    <t>washington post lottery</t>
  </si>
  <si>
    <t>fl lottery post results</t>
  </si>
  <si>
    <t>lottery florida results post</t>
  </si>
  <si>
    <t>philadelphia lottery post</t>
  </si>
  <si>
    <t>76, 76, 73, 73, 74, 79, 78, 79, 83, 81, 78, 74, 76, 76, 73, 73, 74, 79, 78, 79, 84, 81, 78, 74</t>
  </si>
  <si>
    <t>virginia (va) lottery results | lottery post</t>
  </si>
  <si>
    <t>76, 76, 73, 73, 75, 79, 78, 79, 84, 81, 78, 74, 77</t>
  </si>
  <si>
    <t>scratch off lottery ticket</t>
  </si>
  <si>
    <t>playing online lottery</t>
  </si>
  <si>
    <t>ga lottery post results winning numbers</t>
  </si>
  <si>
    <t>buy lottery scratch off tickets online</t>
  </si>
  <si>
    <t>can you order lottery tickets online</t>
  </si>
  <si>
    <t>lotto</t>
  </si>
  <si>
    <t>scan lottery ticket</t>
  </si>
  <si>
    <t>lottery new york post</t>
  </si>
  <si>
    <t>Sitelinks,Video preview,People also ask</t>
  </si>
  <si>
    <t>florida lottery pick 3</t>
  </si>
  <si>
    <t>lottery uk online</t>
  </si>
  <si>
    <t>national lottery ticket</t>
  </si>
  <si>
    <t>can i scan my lottery ticket online</t>
  </si>
  <si>
    <t>lottery post va pick 3 for today</t>
  </si>
  <si>
    <t>illinois winning numbers</t>
  </si>
  <si>
    <t>can you buy lottery online</t>
  </si>
  <si>
    <t>best online lottery uganda</t>
  </si>
  <si>
    <t>ohio lottery results post</t>
  </si>
  <si>
    <t>lotería florida hoy</t>
  </si>
  <si>
    <t>new york lottery winning number post</t>
  </si>
  <si>
    <t>buy ri lottery tickets online</t>
  </si>
  <si>
    <t>texas lottery tickets online</t>
  </si>
  <si>
    <t>result miami lottery</t>
  </si>
  <si>
    <t>lottery post results today</t>
  </si>
  <si>
    <t>lottery ticket unclaimed</t>
  </si>
  <si>
    <t>buying a lottery ticket online</t>
  </si>
  <si>
    <t>dc lottery results post</t>
  </si>
  <si>
    <t>florida día</t>
  </si>
  <si>
    <t>online lottery in india</t>
  </si>
  <si>
    <t>lotto online lottery</t>
  </si>
  <si>
    <t>morning texas lottery post</t>
  </si>
  <si>
    <t>mega million lottery tickets online</t>
  </si>
  <si>
    <t>flalottery winning numbers</t>
  </si>
  <si>
    <t>lottery ticket in pakistan</t>
  </si>
  <si>
    <t>can you buy lottery tickets online in maryland</t>
  </si>
  <si>
    <t>lottery 25 post</t>
  </si>
  <si>
    <t>lottery result</t>
  </si>
  <si>
    <t>lottery analyzer online free</t>
  </si>
  <si>
    <t>california lottery post results</t>
  </si>
  <si>
    <t>lottopost</t>
  </si>
  <si>
    <t>nh online lottery</t>
  </si>
  <si>
    <t>florida lottery post predictions</t>
  </si>
  <si>
    <t>lottery post evening texas</t>
  </si>
  <si>
    <t>illinois lottery winning numbers</t>
  </si>
  <si>
    <t>united states lottery post</t>
  </si>
  <si>
    <t>lottery ticket 2</t>
  </si>
  <si>
    <t>new york winning lottery number results post</t>
  </si>
  <si>
    <t>lotto miami</t>
  </si>
  <si>
    <t>real lottery ticket</t>
  </si>
  <si>
    <t>lottery ga post</t>
  </si>
  <si>
    <t>lottery ticket full movie</t>
  </si>
  <si>
    <t>powerball lottery online purchase</t>
  </si>
  <si>
    <t>lottery numbers</t>
  </si>
  <si>
    <t>louisiana lottery post</t>
  </si>
  <si>
    <t>Lottery; News</t>
  </si>
  <si>
    <t>tirage florida</t>
  </si>
  <si>
    <t>lottery online account</t>
  </si>
  <si>
    <t>lottery post lottery results</t>
  </si>
  <si>
    <t>miami winning lottery numbers</t>
  </si>
  <si>
    <t>florida lotto winning numbers</t>
  </si>
  <si>
    <t>washington lottery online</t>
  </si>
  <si>
    <t>online scratch off lottery tickets</t>
  </si>
  <si>
    <t>global lottery online</t>
  </si>
  <si>
    <t>florida pick 4</t>
  </si>
  <si>
    <t>jackpot online lottery</t>
  </si>
  <si>
    <t>illinois post lottery</t>
  </si>
  <si>
    <t>buy lottery tickets online usa</t>
  </si>
  <si>
    <t>can i play mega millions lottery online</t>
  </si>
  <si>
    <t>lottery post tn</t>
  </si>
  <si>
    <t>florida lotto results</t>
  </si>
  <si>
    <t>play india lottery online</t>
  </si>
  <si>
    <t>illinois lottery results post</t>
  </si>
  <si>
    <t>master ticket lottery</t>
  </si>
  <si>
    <t>florida lottery - pick 3</t>
  </si>
  <si>
    <t>legit online lottery</t>
  </si>
  <si>
    <t>indiana lottery post</t>
  </si>
  <si>
    <t>lotterypost.com</t>
  </si>
  <si>
    <t>mobile lottery post</t>
  </si>
  <si>
    <t>north carolina lottery online</t>
  </si>
  <si>
    <t>can i buy lottery tickets online</t>
  </si>
  <si>
    <t>bow wow lottery ticket</t>
  </si>
  <si>
    <t>samsung online lottery promo 2019</t>
  </si>
  <si>
    <t>ga lottery online</t>
  </si>
  <si>
    <t>lottery winner online</t>
  </si>
  <si>
    <t>virginia lottery results post</t>
  </si>
  <si>
    <t>unclaimed lottery ticket about to expire</t>
  </si>
  <si>
    <t>us lottery results</t>
  </si>
  <si>
    <t>free online lottery</t>
  </si>
  <si>
    <t>florida winning number</t>
  </si>
  <si>
    <t>Video preview</t>
  </si>
  <si>
    <t>pennsylvania online lottery</t>
  </si>
  <si>
    <t>lottery ticket check</t>
  </si>
  <si>
    <t>florida winning lotto number</t>
  </si>
  <si>
    <t>play us lottery online</t>
  </si>
  <si>
    <t>www.georgia lottery post</t>
  </si>
  <si>
    <t>can i play lottery online in florida</t>
  </si>
  <si>
    <t>result lottery post</t>
  </si>
  <si>
    <t>masters ticket lottery</t>
  </si>
  <si>
    <t>fl lottery</t>
  </si>
  <si>
    <t>lottery casino online</t>
  </si>
  <si>
    <t>online lottery uae</t>
  </si>
  <si>
    <t>lottery online florida</t>
  </si>
  <si>
    <t>lottery post colorado</t>
  </si>
  <si>
    <t>fl lottery winning numbers</t>
  </si>
  <si>
    <t>play online lottery uk</t>
  </si>
  <si>
    <t>american lottery ticket</t>
  </si>
  <si>
    <t>www.lotterypost.com</t>
  </si>
  <si>
    <t>singapore lottery online</t>
  </si>
  <si>
    <t>best lottery ticket</t>
  </si>
  <si>
    <t>fl lottery post</t>
  </si>
  <si>
    <t>samsung online lottery 2020</t>
  </si>
  <si>
    <t>thai lottery online</t>
  </si>
  <si>
    <t>spin lottery online</t>
  </si>
  <si>
    <t>the lottery ticket cast</t>
  </si>
  <si>
    <t>online lottery games malaysia</t>
  </si>
  <si>
    <t>scan my lottery ticket</t>
  </si>
  <si>
    <t>dubai lottery ticket</t>
  </si>
  <si>
    <t>powerball results</t>
  </si>
  <si>
    <t>can lottery tickets be purchased online</t>
  </si>
  <si>
    <t>the lottery online</t>
  </si>
  <si>
    <t>lottery corner</t>
  </si>
  <si>
    <t>lottery playing online</t>
  </si>
  <si>
    <t>georgia lottery post cash 3</t>
  </si>
  <si>
    <t>lottery winning numbers</t>
  </si>
  <si>
    <t>buy lottery tickets online united states</t>
  </si>
  <si>
    <t>can you buy scratch off lottery tickets online</t>
  </si>
  <si>
    <t>miami winning numbers</t>
  </si>
  <si>
    <t>illinois lottery post pick 4</t>
  </si>
  <si>
    <t>georgia lottery results post results today</t>
  </si>
  <si>
    <t>missouri lottery post</t>
  </si>
  <si>
    <t>florida lottery numbers</t>
  </si>
  <si>
    <t>michigan lottery mobile app ticket scanner</t>
  </si>
  <si>
    <t>florida lottery post pick 4</t>
  </si>
  <si>
    <t>borlette florida</t>
  </si>
  <si>
    <t>lottery tickets online uk</t>
  </si>
  <si>
    <t>has anyone won the lottery online</t>
  </si>
  <si>
    <t>Sitelinks,Image pack</t>
  </si>
  <si>
    <t>nj lottery post results today</t>
  </si>
  <si>
    <t>maine state lottery ticket scanner</t>
  </si>
  <si>
    <t>loteria florida noche</t>
  </si>
  <si>
    <t>lottery ticket market</t>
  </si>
  <si>
    <t>us lottery online purchase</t>
  </si>
  <si>
    <t>online lottery winners in india</t>
  </si>
  <si>
    <t>florida lottery ticket numbers</t>
  </si>
  <si>
    <t>florida mega millions</t>
  </si>
  <si>
    <t>win the lottery online</t>
  </si>
  <si>
    <t>pennsylvania lottery post</t>
  </si>
  <si>
    <t>pennsylvania lottery</t>
  </si>
  <si>
    <t>Top stories,Thumbnail,People also ask</t>
  </si>
  <si>
    <t>miami lottery numbers</t>
  </si>
  <si>
    <t>lotto chicago</t>
  </si>
  <si>
    <t>michigan lottery post</t>
  </si>
  <si>
    <t>can you buy lottery tickets online</t>
  </si>
  <si>
    <t>illinois lottery pick 3 post</t>
  </si>
  <si>
    <t>fl lotto pick 3</t>
  </si>
  <si>
    <t>lottery check my ticket</t>
  </si>
  <si>
    <t>colorado lottery post</t>
  </si>
  <si>
    <t>powerball winner</t>
  </si>
  <si>
    <t>super bowl ticket lottery</t>
  </si>
  <si>
    <t>Top stories,Thumbnail,Sitelinks,People also ask,Video preview</t>
  </si>
  <si>
    <t>national lottery scratch cards online</t>
  </si>
  <si>
    <t>official irish lottery online</t>
  </si>
  <si>
    <t>lottery, florida</t>
  </si>
  <si>
    <t>resultat lottery miami</t>
  </si>
  <si>
    <t>can you play lottery online</t>
  </si>
  <si>
    <t>online us lottery</t>
  </si>
  <si>
    <t>bhutan lottery ticket</t>
  </si>
  <si>
    <t>florida cash 3</t>
  </si>
  <si>
    <t>online play lottery</t>
  </si>
  <si>
    <t>Thumbnail</t>
  </si>
  <si>
    <t>free lottery books online</t>
  </si>
  <si>
    <t>illinois pick 3</t>
  </si>
  <si>
    <t>lottery post delaware</t>
  </si>
  <si>
    <t>florida lottery - pick 3 play 4</t>
  </si>
  <si>
    <t>online lottery software</t>
  </si>
  <si>
    <t>ny lottery results post numbers for today</t>
  </si>
  <si>
    <t>tiraj florida</t>
  </si>
  <si>
    <t>lottery post wisconsin</t>
  </si>
  <si>
    <t>tirage rapide</t>
  </si>
  <si>
    <t>Videos,Image pack,Thumbnail</t>
  </si>
  <si>
    <t>nj lottery results post</t>
  </si>
  <si>
    <t>Haitian</t>
  </si>
  <si>
    <t>lottery ticket price</t>
  </si>
  <si>
    <t>usa lottery</t>
  </si>
  <si>
    <t>best online lottery sites in usa</t>
  </si>
  <si>
    <t>free lottery ticket</t>
  </si>
  <si>
    <t>ontario lottery results</t>
  </si>
  <si>
    <t>michigan online lottery</t>
  </si>
  <si>
    <t>canada lottery</t>
  </si>
  <si>
    <t>sc lottery post</t>
  </si>
  <si>
    <t>washington dc lottery online</t>
  </si>
  <si>
    <t>tirage tennessee</t>
  </si>
  <si>
    <t>lottery tickets online</t>
  </si>
  <si>
    <t>morning tennessee lottery</t>
  </si>
  <si>
    <t>online lottery contest</t>
  </si>
  <si>
    <t>florida (fl) lottery results lottery post</t>
  </si>
  <si>
    <t>winning number winning number</t>
  </si>
  <si>
    <t>pick 3 florida lottery post</t>
  </si>
  <si>
    <t>lottery ticket result</t>
  </si>
  <si>
    <t>fla lottery</t>
  </si>
  <si>
    <t>lottery post fl</t>
  </si>
  <si>
    <t>lottery online game</t>
  </si>
  <si>
    <t>lottery game online</t>
  </si>
  <si>
    <t>miami pick 3</t>
  </si>
  <si>
    <t>online lottery dubai</t>
  </si>
  <si>
    <t>nc lottery results post</t>
  </si>
  <si>
    <t>west virginia lottery post</t>
  </si>
  <si>
    <t>bolet florida</t>
  </si>
  <si>
    <t>buy scratch off lottery tickets online</t>
  </si>
  <si>
    <t>nj post lottery</t>
  </si>
  <si>
    <t>www.flalottery.com winning numbers</t>
  </si>
  <si>
    <t>lottery post results california</t>
  </si>
  <si>
    <t>free online lottery games win real money</t>
  </si>
  <si>
    <t>play lottery tickets online</t>
  </si>
  <si>
    <t>lotto winning numbers</t>
  </si>
  <si>
    <t>buy us lottery tickets online</t>
  </si>
  <si>
    <t>rezilta bolet florida</t>
  </si>
  <si>
    <t>dubai lottery ticket price</t>
  </si>
  <si>
    <t>Sitelinks,People also ask,Video preview</t>
  </si>
  <si>
    <t>american lottery online</t>
  </si>
  <si>
    <t>florida lottery - winning numbers by date</t>
  </si>
  <si>
    <t>can i play lottery online</t>
  </si>
  <si>
    <t>powerball florida</t>
  </si>
  <si>
    <t>us lottery post</t>
  </si>
  <si>
    <t>lottery post tri state</t>
  </si>
  <si>
    <t>illinois lotto</t>
  </si>
  <si>
    <t>florida lottery tickets online</t>
  </si>
  <si>
    <t>Informational,Navigational,Commercial,Transactional,Non-branded,Local</t>
  </si>
  <si>
    <t>lottery post new jersey</t>
  </si>
  <si>
    <t>172, 132, 124, 177, 151, 116, 46, 69, 63, 52, 64, 56, 33, 11, 13, 12, 18, 24, 20, 15, 31, 32, 39, 31</t>
  </si>
  <si>
    <t>illinois lottery post results</t>
  </si>
  <si>
    <t>lotto result today</t>
  </si>
  <si>
    <t>new york ticket lottery</t>
  </si>
  <si>
    <t>best online lottery app</t>
  </si>
  <si>
    <t>chicago lottery pick 3</t>
  </si>
  <si>
    <t>legal online lottery in india</t>
  </si>
  <si>
    <t>md lottery pick 3 post</t>
  </si>
  <si>
    <t>number 3</t>
  </si>
  <si>
    <t>florida lottery ticket scanner</t>
  </si>
  <si>
    <t>Video preview,People also ask</t>
  </si>
  <si>
    <t>Encyclopedias; Educational</t>
  </si>
  <si>
    <t>miami florida lottery</t>
  </si>
  <si>
    <t>ga lottery results post</t>
  </si>
  <si>
    <t>lottery post az</t>
  </si>
  <si>
    <t>miami 3 ball</t>
  </si>
  <si>
    <t>online dv lottery photo checker</t>
  </si>
  <si>
    <t>publix lottery ticket winner florida</t>
  </si>
  <si>
    <t>usa lottery results</t>
  </si>
  <si>
    <t>play fl lottery online</t>
  </si>
  <si>
    <t>florida powerball winning numbers</t>
  </si>
  <si>
    <t>louisiana lottery results post</t>
  </si>
  <si>
    <t>buying florida lottery tickets online</t>
  </si>
  <si>
    <t>kerala online lottery</t>
  </si>
  <si>
    <t>mega millions florida</t>
  </si>
  <si>
    <t>check lottery ticket</t>
  </si>
  <si>
    <t>best online lottery spain</t>
  </si>
  <si>
    <t>lottery post results illinois</t>
  </si>
  <si>
    <t>florida dia</t>
  </si>
  <si>
    <t>online lottery legal</t>
  </si>
  <si>
    <t>lottery rapid</t>
  </si>
  <si>
    <t>online powerball lottery</t>
  </si>
  <si>
    <t>real lottery online</t>
  </si>
  <si>
    <t>Informational,Commercial,Branded,Non-local</t>
  </si>
  <si>
    <t>can you play florida lottery online</t>
  </si>
  <si>
    <t>ny lottery post results today</t>
  </si>
  <si>
    <t>online lottery tickets scratch off</t>
  </si>
  <si>
    <t>florida lottery result post</t>
  </si>
  <si>
    <t>tennessee lottery post pick 4</t>
  </si>
  <si>
    <t>lottery georgia post</t>
  </si>
  <si>
    <t>loteria georgia</t>
  </si>
  <si>
    <t>pick</t>
  </si>
  <si>
    <t>Knowledge card,People also ask</t>
  </si>
  <si>
    <t>mi lottery post results daily 4</t>
  </si>
  <si>
    <t>Encyclopedias</t>
  </si>
  <si>
    <t>online lottery picker</t>
  </si>
  <si>
    <t>flowers winning numbers</t>
  </si>
  <si>
    <t>ultra games winning numbers</t>
  </si>
  <si>
    <t>lottery post forum</t>
  </si>
  <si>
    <t>raven daily pick</t>
  </si>
  <si>
    <t>raven lucky pick</t>
  </si>
  <si>
    <t>lottery result post</t>
  </si>
  <si>
    <t>loteria florida</t>
  </si>
  <si>
    <t>my free post lottery</t>
  </si>
  <si>
    <t>national online lottery</t>
  </si>
  <si>
    <t>lottery post pick 4</t>
  </si>
  <si>
    <t>fantasy 5 winning numbers</t>
  </si>
  <si>
    <t>fantasy 5</t>
  </si>
  <si>
    <t>lottery post dream numbers</t>
  </si>
  <si>
    <t>online lottery canada</t>
  </si>
  <si>
    <t>winning lottery numbers</t>
  </si>
  <si>
    <t>california winning lottery ticket numbers</t>
  </si>
  <si>
    <t>lottery ticket film</t>
  </si>
  <si>
    <t>miami lottery mega million</t>
  </si>
  <si>
    <t>florida past winning numbers</t>
  </si>
  <si>
    <t>online casino lottery</t>
  </si>
  <si>
    <t>lottery post near carmichael rd, nassau</t>
  </si>
  <si>
    <t>lottery miami fl</t>
  </si>
  <si>
    <t>illinois state lottery</t>
  </si>
  <si>
    <t>new york lottery post take 5 midday</t>
  </si>
  <si>
    <t>online pick 3 lottery games</t>
  </si>
  <si>
    <t>lottery post maine</t>
  </si>
  <si>
    <t>ks lottery post</t>
  </si>
  <si>
    <t>lottery scratch offs online</t>
  </si>
  <si>
    <t>florida lottery cash 3</t>
  </si>
  <si>
    <t>florida lottery post results live drawing</t>
  </si>
  <si>
    <t>puerto rico lottery post</t>
  </si>
  <si>
    <t>florida lottery winning numbers today</t>
  </si>
  <si>
    <t>chicago lottery result</t>
  </si>
  <si>
    <t>play lottery uk online</t>
  </si>
  <si>
    <t>florida pick 4 evening</t>
  </si>
  <si>
    <t>florida lottery post winning numbers</t>
  </si>
  <si>
    <t>www.illinois lottery results</t>
  </si>
  <si>
    <t>play the florida lottery online</t>
  </si>
  <si>
    <t>can you play the florida lottery online</t>
  </si>
  <si>
    <t>california (ca) lottery results | lottery post</t>
  </si>
  <si>
    <t>florida pick 5</t>
  </si>
  <si>
    <t>buy lottery ticket online</t>
  </si>
  <si>
    <t>is it legal to buy lottery tickets online</t>
  </si>
  <si>
    <t>georgia lottery winning numbers post results</t>
  </si>
  <si>
    <t>usa online lottery</t>
  </si>
  <si>
    <t>malaysia lottery online</t>
  </si>
  <si>
    <t>resultat lottery chicago</t>
  </si>
  <si>
    <t>new york lottery post midday</t>
  </si>
  <si>
    <t>post code lottery results today</t>
  </si>
  <si>
    <t>new york (ny) lottery results | lottery post</t>
  </si>
  <si>
    <t>florida lottery pick 4</t>
  </si>
  <si>
    <t>florida lottery online play</t>
  </si>
  <si>
    <t>chicago illinois lottery</t>
  </si>
  <si>
    <t>lottery scanner online</t>
  </si>
  <si>
    <t>florida lottery - pick 4</t>
  </si>
  <si>
    <t>kentucky lottery online</t>
  </si>
  <si>
    <t>nebraska lottery check a ticket</t>
  </si>
  <si>
    <t>lottery pick 3</t>
  </si>
  <si>
    <t>post lottery florida</t>
  </si>
  <si>
    <t>new jersey lottery post results</t>
  </si>
  <si>
    <t>new mexico lottery post results</t>
  </si>
  <si>
    <t>lottery florida soir</t>
  </si>
  <si>
    <t>lottery post florida results</t>
  </si>
  <si>
    <t>can i buy a lottery ticket online</t>
  </si>
  <si>
    <t>louisiana lottery winning numbers post</t>
  </si>
  <si>
    <t>chicago lottery winning numbers</t>
  </si>
  <si>
    <t>lottery ticket scanner online</t>
  </si>
  <si>
    <t>irish lottery post</t>
  </si>
  <si>
    <t>can i purchase lottery tickets online</t>
  </si>
  <si>
    <t>florida results lottery</t>
  </si>
  <si>
    <t>indiana lottery results post</t>
  </si>
  <si>
    <t>can you buy lottery tickets online in florida</t>
  </si>
  <si>
    <t>florida lottery - pick 5</t>
  </si>
  <si>
    <t>florida lottery online tickets</t>
  </si>
  <si>
    <t>new york lottery post win 4 midday</t>
  </si>
  <si>
    <t>chicago lotto</t>
  </si>
  <si>
    <t>playing lottery online</t>
  </si>
  <si>
    <t>california lottery ticket numbers</t>
  </si>
  <si>
    <t>iowa lottery post</t>
  </si>
  <si>
    <t>chicago winning numbers</t>
  </si>
  <si>
    <t>winning lottery ticket numbers</t>
  </si>
  <si>
    <t>international lottery ticket</t>
  </si>
  <si>
    <t>loteka florida</t>
  </si>
  <si>
    <t>free online lottery wheel</t>
  </si>
  <si>
    <t>tiraj florida midi</t>
  </si>
  <si>
    <t>vermont lottery ticket checker</t>
  </si>
  <si>
    <t>illinois lottery pick 3 and pick 4 results post</t>
  </si>
  <si>
    <t>south carolina online lottery</t>
  </si>
  <si>
    <t>lottery post va pick 4 night</t>
  </si>
  <si>
    <t>indian online lottery</t>
  </si>
  <si>
    <t>louisiana online lottery</t>
  </si>
  <si>
    <t>florida lotto winning numbers for saturday</t>
  </si>
  <si>
    <t>check my ticket florida lottery</t>
  </si>
  <si>
    <t>brazil lottery post</t>
  </si>
  <si>
    <t>nj lottery post results</t>
  </si>
  <si>
    <t>maine lottery post</t>
  </si>
  <si>
    <t>online lottery games for real money</t>
  </si>
  <si>
    <t>post lottery result</t>
  </si>
  <si>
    <t>tirage rapide florida</t>
  </si>
  <si>
    <t>az lottery post</t>
  </si>
  <si>
    <t>lottery post midday</t>
  </si>
  <si>
    <t>jackpot lottery online</t>
  </si>
  <si>
    <t>cash 3 miami</t>
  </si>
  <si>
    <t>chances of winning lottery ticket</t>
  </si>
  <si>
    <t>tri state lottery post</t>
  </si>
  <si>
    <t>washington dc lottery post</t>
  </si>
  <si>
    <t>pick 3 florida lottery</t>
  </si>
  <si>
    <t>online lottery ticket purchase</t>
  </si>
  <si>
    <t>mega millions online lottery</t>
  </si>
  <si>
    <t>chicago pick 3</t>
  </si>
  <si>
    <t>canadian lottery online</t>
  </si>
  <si>
    <t>lottery online games</t>
  </si>
  <si>
    <t>florida lottery - pick 4 3</t>
  </si>
  <si>
    <t>best online lottery malaysia</t>
  </si>
  <si>
    <t>scan lottery ticket online</t>
  </si>
  <si>
    <t>pa lottery results post</t>
  </si>
  <si>
    <t>flowers winning number</t>
  </si>
  <si>
    <t>real online lottery</t>
  </si>
  <si>
    <t>best online lottery</t>
  </si>
  <si>
    <t>free international lottery online</t>
  </si>
  <si>
    <t>florida lotto cash 3</t>
  </si>
  <si>
    <t>can u purchase lottery tickets online</t>
  </si>
  <si>
    <t>us lottery ticket</t>
  </si>
  <si>
    <t>is it safe to play the lottery online</t>
  </si>
  <si>
    <t>fml winning numbers</t>
  </si>
  <si>
    <t>california lottery post winning numbers</t>
  </si>
  <si>
    <t>ca lottery winning numbers post</t>
  </si>
  <si>
    <t>winning lottery ticket</t>
  </si>
  <si>
    <t>postcode</t>
  </si>
  <si>
    <t>lottery ticket the movie</t>
  </si>
  <si>
    <t>People also ask,Sitelinks,Knowledge panel</t>
  </si>
  <si>
    <t>Reference; Encyclopedias</t>
  </si>
  <si>
    <t>new york lottery post archives</t>
  </si>
  <si>
    <t>purchase lottery ticket</t>
  </si>
  <si>
    <t>numero de hoy</t>
  </si>
  <si>
    <t>lottery post oh</t>
  </si>
  <si>
    <t>play online lottery</t>
  </si>
  <si>
    <t>loteria</t>
  </si>
  <si>
    <t>genuine online lottery sites</t>
  </si>
  <si>
    <t>play lottery scratch cards online</t>
  </si>
  <si>
    <t>lottery book online</t>
  </si>
  <si>
    <t>lottery ticket cast</t>
  </si>
  <si>
    <t>mega millions lottery online</t>
  </si>
  <si>
    <t>lotto numbers</t>
  </si>
  <si>
    <t>free lottery ticket scanner</t>
  </si>
  <si>
    <t>lottery texas post</t>
  </si>
  <si>
    <t>ohio post lottery</t>
  </si>
  <si>
    <t>national lottery scratchcards online</t>
  </si>
  <si>
    <t>tn lottery post</t>
  </si>
  <si>
    <t>usa lottery winning numbers</t>
  </si>
  <si>
    <t>powerball lottery ticket price</t>
  </si>
  <si>
    <t>can i play florida lottery online</t>
  </si>
  <si>
    <t>oh lottery post</t>
  </si>
  <si>
    <t>lottery ticket barcode scanner</t>
  </si>
  <si>
    <t>lottery post numbers</t>
  </si>
  <si>
    <t>illinois pick 4</t>
  </si>
  <si>
    <t>pa lottery post</t>
  </si>
  <si>
    <t>facebook online international lottery</t>
  </si>
  <si>
    <t>canada lottery post</t>
  </si>
  <si>
    <t>buying lottery ticket online</t>
  </si>
  <si>
    <t>fl lottery results post</t>
  </si>
  <si>
    <t>can foreigners buy us lottery tickets online</t>
  </si>
  <si>
    <t>new york lottery results post</t>
  </si>
  <si>
    <t>fantasy 5 numbers today</t>
  </si>
  <si>
    <t>lottery post quick picks</t>
  </si>
  <si>
    <t>buy online lottery ticket</t>
  </si>
  <si>
    <t>lottery results lottery post</t>
  </si>
  <si>
    <t>online indian lottery</t>
  </si>
  <si>
    <t>flalottery pick 3</t>
  </si>
  <si>
    <t>ill lottery result post</t>
  </si>
  <si>
    <t>can i play the lottery online</t>
  </si>
  <si>
    <t>illinois lottery post pick 3</t>
  </si>
  <si>
    <t>irish lottery online</t>
  </si>
  <si>
    <t>florida lottery archives</t>
  </si>
  <si>
    <t>lottery ticket numbers for tonight</t>
  </si>
  <si>
    <t>lottery bible online</t>
  </si>
  <si>
    <t>tirage florida midi aujourd'hui</t>
  </si>
  <si>
    <t>nm lottery post</t>
  </si>
  <si>
    <t>back of lottery ticket</t>
  </si>
  <si>
    <t>illinois (il) lottery results | lottery post</t>
  </si>
  <si>
    <t>online lottery international</t>
  </si>
  <si>
    <t>florida fantasy 5</t>
  </si>
  <si>
    <t>post lottery results</t>
  </si>
  <si>
    <t>ct lottery post</t>
  </si>
  <si>
    <t>keno online lottery</t>
  </si>
  <si>
    <t>fantasy 5 numbers</t>
  </si>
  <si>
    <t>uk online lottery</t>
  </si>
  <si>
    <t>can you buy lottery tickets online florida</t>
  </si>
  <si>
    <t>usa lottery online</t>
  </si>
  <si>
    <t>usa lottery post</t>
  </si>
  <si>
    <t>lottery blog</t>
  </si>
  <si>
    <t>lottery post new york</t>
  </si>
  <si>
    <t>people's post code lottery</t>
  </si>
  <si>
    <t>Blogging resources</t>
  </si>
  <si>
    <t>illinois lottery results post pick 3</t>
  </si>
  <si>
    <t>florida lottery live drawing</t>
  </si>
  <si>
    <t>can you buy fl lottery tickets online</t>
  </si>
  <si>
    <t>fifa world cup ticket lottery</t>
  </si>
  <si>
    <t>fla cash 3</t>
  </si>
  <si>
    <t>scratch winning lottery ticket</t>
  </si>
  <si>
    <t>florida lottery purchase online</t>
  </si>
  <si>
    <t>puerto rico lottery results post</t>
  </si>
  <si>
    <t>lottery online free</t>
  </si>
  <si>
    <t>lottery post lucky numbers</t>
  </si>
  <si>
    <t>lottery ticket prank</t>
  </si>
  <si>
    <t>florida winning lottery numbers post</t>
  </si>
  <si>
    <t>buying lottery tickets online</t>
  </si>
  <si>
    <t>miami lotto</t>
  </si>
  <si>
    <t>new york lottery post win 4 evening results</t>
  </si>
  <si>
    <t>lottery online buy</t>
  </si>
  <si>
    <t>west virginia lottery post results</t>
  </si>
  <si>
    <t>florida lottery online purchase</t>
  </si>
  <si>
    <t>lottery flo</t>
  </si>
  <si>
    <t>lottery post miami florida</t>
  </si>
  <si>
    <t>dc lottery post results</t>
  </si>
  <si>
    <t>chicago lottery pick 3 pick 4</t>
  </si>
  <si>
    <t>lottery post nj</t>
  </si>
  <si>
    <t>ky lottery post</t>
  </si>
  <si>
    <t>michigan lottery online</t>
  </si>
  <si>
    <t>lottery online play</t>
  </si>
  <si>
    <t>lottery ticket checker</t>
  </si>
  <si>
    <t>florida pick 3 evening</t>
  </si>
  <si>
    <t>lottery ticket buy online</t>
  </si>
  <si>
    <t>People also ask,Image pack</t>
  </si>
  <si>
    <t>online scratch lottery tickets</t>
  </si>
  <si>
    <t>illinois lottery post results today results today</t>
  </si>
  <si>
    <t>lottery on online</t>
  </si>
  <si>
    <t>lottery florida results</t>
  </si>
  <si>
    <t>play lottery online georgia</t>
  </si>
  <si>
    <t>best online lottery in india</t>
  </si>
  <si>
    <t>online maryland lottery</t>
  </si>
  <si>
    <t>lottery ticket numbers</t>
  </si>
  <si>
    <t>fl lottery post fantasy 5</t>
  </si>
  <si>
    <t>online lottery maharashtra</t>
  </si>
  <si>
    <t>mega million lottery ticket</t>
  </si>
  <si>
    <t>louisiana lottery post results</t>
  </si>
  <si>
    <t>buy online lottery ticket in india</t>
  </si>
  <si>
    <t>play lottery online uk</t>
  </si>
  <si>
    <t>dream book for lottery numbers online</t>
  </si>
  <si>
    <t>new jersey lottery results post</t>
  </si>
  <si>
    <t>post lottery numbers</t>
  </si>
  <si>
    <t>international online lottery</t>
  </si>
  <si>
    <t>play lottery online california</t>
  </si>
  <si>
    <t>check lucky lottery ticket</t>
  </si>
  <si>
    <t>lottery post pick 3 forum</t>
  </si>
  <si>
    <t>lottery miami results</t>
  </si>
  <si>
    <t>online lottery uganda</t>
  </si>
  <si>
    <t>florida lotto x</t>
  </si>
  <si>
    <t>free spin lottery online</t>
  </si>
  <si>
    <t>online lottery play</t>
  </si>
  <si>
    <t>ticket lottery</t>
  </si>
  <si>
    <t>florida online lottery games</t>
  </si>
  <si>
    <t>illinois lottery archives</t>
  </si>
  <si>
    <t>lottery bible online free</t>
  </si>
  <si>
    <t>ny lottery online</t>
  </si>
  <si>
    <t>online lottery winners</t>
  </si>
  <si>
    <t>lottery post near nassau</t>
  </si>
  <si>
    <t>crop photo for dv lottery online free</t>
  </si>
  <si>
    <t>Lottery; Public records</t>
  </si>
  <si>
    <t>lottery online ticket purchase</t>
  </si>
  <si>
    <t>tci world lucky dreams</t>
  </si>
  <si>
    <t>florida lottery buy online</t>
  </si>
  <si>
    <t>www.new york lottery post</t>
  </si>
  <si>
    <t>illinois lottery online</t>
  </si>
  <si>
    <t>fl lottery winning numbers post</t>
  </si>
  <si>
    <t>national lottery online uk</t>
  </si>
  <si>
    <t>ai lottery prediction online</t>
  </si>
  <si>
    <t>dv lottery 2027 application form online</t>
  </si>
  <si>
    <t>all lotto</t>
  </si>
  <si>
    <t>lottery ticket near me</t>
  </si>
  <si>
    <t>florida lottery post results winning numbers</t>
  </si>
  <si>
    <t>put lottery on online</t>
  </si>
  <si>
    <t>worldwide lottery online</t>
  </si>
  <si>
    <t>tiraj rapid florida</t>
  </si>
  <si>
    <t>lottery post georgia</t>
  </si>
  <si>
    <t>buying lottery online</t>
  </si>
  <si>
    <t>gulf ticket lottery</t>
  </si>
  <si>
    <t>lotterie florida</t>
  </si>
  <si>
    <t>online lottery scratch cards</t>
  </si>
  <si>
    <t>play lottery online florida</t>
  </si>
  <si>
    <t>can you buy lottery tickets online in minnesota</t>
  </si>
  <si>
    <t>bòlèt florida soir</t>
  </si>
  <si>
    <t>post office lottery</t>
  </si>
  <si>
    <t>florida lottery lottery post</t>
  </si>
  <si>
    <t>illinois il lottery results lottery post</t>
  </si>
  <si>
    <t>illinois lottery past winning numbers</t>
  </si>
  <si>
    <t>california lottery online</t>
  </si>
  <si>
    <t>online lottery ticket india</t>
  </si>
  <si>
    <t>online lottery australia</t>
  </si>
  <si>
    <t>online lottery scratchers</t>
  </si>
  <si>
    <t>lottery post florida</t>
  </si>
  <si>
    <t>chicago lottery cash 3</t>
  </si>
  <si>
    <t>online lottery game</t>
  </si>
  <si>
    <t>lottery post app download</t>
  </si>
  <si>
    <t>lottery post kansas</t>
  </si>
  <si>
    <t>lottery chicago pick 3</t>
  </si>
  <si>
    <t>win lottery online</t>
  </si>
  <si>
    <t>lucky lottery post</t>
  </si>
  <si>
    <t>tiraj rapid florida 1h30</t>
  </si>
  <si>
    <t>post lottery georgia</t>
  </si>
  <si>
    <t>online new york lottery</t>
  </si>
  <si>
    <t>resultat borlette chicago</t>
  </si>
  <si>
    <t>online lottery usa</t>
  </si>
  <si>
    <t>nh lottery online</t>
  </si>
  <si>
    <t>tiraj rapid florida midi</t>
  </si>
  <si>
    <t>buy a lottery ticket online</t>
  </si>
  <si>
    <t>buy lottery ticket</t>
  </si>
  <si>
    <t>free online lottery win real money</t>
  </si>
  <si>
    <t>play national lottery online</t>
  </si>
  <si>
    <t>does florida have online lottery</t>
  </si>
  <si>
    <t>usa lottery ticket</t>
  </si>
  <si>
    <t>floridalotterypost</t>
  </si>
  <si>
    <t>mega lottery ticket</t>
  </si>
  <si>
    <t>online lottery ticket booking in india</t>
  </si>
  <si>
    <t>fl pick 4</t>
  </si>
  <si>
    <t>is online lottery legal in india</t>
  </si>
  <si>
    <t>pa lottery online</t>
  </si>
  <si>
    <t>buy online lottery india</t>
  </si>
  <si>
    <t>lottery post mobile results</t>
  </si>
  <si>
    <t>florida lottery ticket</t>
  </si>
  <si>
    <t>lottery tickets online florida</t>
  </si>
  <si>
    <t>www.lotterypost.com results</t>
  </si>
  <si>
    <t>Informational,Navigational,Non-branded,Non-local</t>
  </si>
  <si>
    <t>indiana online lottery</t>
  </si>
  <si>
    <t>www.floridalottery.com pick 3</t>
  </si>
  <si>
    <t>new mexico lottery post</t>
  </si>
  <si>
    <t>new mexico lottery</t>
  </si>
  <si>
    <t>georgia lottery winning numbers post</t>
  </si>
  <si>
    <t>playwin online lottery india</t>
  </si>
  <si>
    <t>lottery ticket australia</t>
  </si>
  <si>
    <t>early new york 3 ball</t>
  </si>
  <si>
    <t>lottery chicago post</t>
  </si>
  <si>
    <t>www florida lottery</t>
  </si>
  <si>
    <t>Informational,Navigational,Non-branded,Local</t>
  </si>
  <si>
    <t>play online lottery games</t>
  </si>
  <si>
    <t>tiraj florida rapid</t>
  </si>
  <si>
    <t>lottery ticket uk</t>
  </si>
  <si>
    <t>lottery post va pick 3</t>
  </si>
  <si>
    <t>lottery florida new york</t>
  </si>
  <si>
    <t>fla lottery winning numbers post</t>
  </si>
  <si>
    <t>world's biggest free online lottery</t>
  </si>
  <si>
    <t>florida lottery online games</t>
  </si>
  <si>
    <t>tirage florida soir</t>
  </si>
  <si>
    <t>online lottery florida</t>
  </si>
  <si>
    <t>nc lottery post</t>
  </si>
  <si>
    <t>florida lotto result</t>
  </si>
  <si>
    <t>uk lottery online play</t>
  </si>
  <si>
    <t>powerball results yesterday</t>
  </si>
  <si>
    <t>lotto monthly</t>
  </si>
  <si>
    <t>fla lottery post</t>
  </si>
  <si>
    <t>play ny lottery online</t>
  </si>
  <si>
    <t>borlette miami</t>
  </si>
  <si>
    <t>miami lottery pick 3 results</t>
  </si>
  <si>
    <t>florida lottery pick 3 midday</t>
  </si>
  <si>
    <t>florida lottery winning numbers post</t>
  </si>
  <si>
    <t>florida lottery raffle ticket winning numbers</t>
  </si>
  <si>
    <t>california lottery results post</t>
  </si>
  <si>
    <t>tirage chicago</t>
  </si>
  <si>
    <t>post lottery new york</t>
  </si>
  <si>
    <t>michigan lottery online phone number</t>
  </si>
  <si>
    <t>illinois lottery pick 3</t>
  </si>
  <si>
    <t>samsung online lottery</t>
  </si>
  <si>
    <t>oregon lottery post</t>
  </si>
  <si>
    <t>playing florida lottery online</t>
  </si>
  <si>
    <t>lottery ticket forces</t>
  </si>
  <si>
    <t>fla lotto post</t>
  </si>
  <si>
    <t>lottery post predictions</t>
  </si>
  <si>
    <t>play the lottery online</t>
  </si>
  <si>
    <t>tirage florida aujourd'hui</t>
  </si>
  <si>
    <t>virginia lottery online</t>
  </si>
  <si>
    <t>lottery canada online</t>
  </si>
  <si>
    <t>lottery ticket bow wow</t>
  </si>
  <si>
    <t>florida dia loteria</t>
  </si>
  <si>
    <t>can you purchase florida lottery tickets online</t>
  </si>
  <si>
    <t>play ca lottery online</t>
  </si>
  <si>
    <t>online lottery winner</t>
  </si>
  <si>
    <t>florida lottery winning</t>
  </si>
  <si>
    <t>lottery post pennsylvania</t>
  </si>
  <si>
    <t>illinois lotto post</t>
  </si>
  <si>
    <t>lottery online uk</t>
  </si>
  <si>
    <t>winning number today florida</t>
  </si>
  <si>
    <t>500x lottery ticket</t>
  </si>
  <si>
    <t>lottery post results florida</t>
  </si>
  <si>
    <t>florida lottery pick 3 evening</t>
  </si>
  <si>
    <t>lottery post kentucky</t>
  </si>
  <si>
    <t>game lottery online</t>
  </si>
  <si>
    <t>tennessee lottery post results</t>
  </si>
  <si>
    <t>do online lottery tickets ever win</t>
  </si>
  <si>
    <t>chicago lotto results</t>
  </si>
  <si>
    <t>lottery post tennessee</t>
  </si>
  <si>
    <t>kentucky lottery post</t>
  </si>
  <si>
    <t>miami lotto results</t>
  </si>
  <si>
    <t>new york lottery result post</t>
  </si>
  <si>
    <t>midday lottery post</t>
  </si>
  <si>
    <t>largest unclaimed lottery ticket</t>
  </si>
  <si>
    <t>résultat lottery florida aujourd'hui</t>
  </si>
  <si>
    <t>raven lottery post</t>
  </si>
  <si>
    <t>www.lottery results today</t>
  </si>
  <si>
    <t>us lottery online</t>
  </si>
  <si>
    <t>buy lottery tickets online florida</t>
  </si>
  <si>
    <t>johnson's winning number</t>
  </si>
  <si>
    <t>chances winning numbers</t>
  </si>
  <si>
    <t>is online lottery legal</t>
  </si>
  <si>
    <t>floridalottery</t>
  </si>
  <si>
    <t>Informational,Navigational,Branded,Local</t>
  </si>
  <si>
    <t>can you get lottery tickets online</t>
  </si>
  <si>
    <t>lottery monthly</t>
  </si>
  <si>
    <t>illinois lottery post midday</t>
  </si>
  <si>
    <t>People also ask,Sitelinks</t>
  </si>
  <si>
    <t>Informational,Commercial,Transactional,Non-branded,Non-local</t>
  </si>
  <si>
    <t>lottery post california</t>
  </si>
  <si>
    <t>illinois lottery numbers</t>
  </si>
  <si>
    <t>california winning number</t>
  </si>
  <si>
    <t>buy florida lottery online</t>
  </si>
  <si>
    <t>jamaica lotto</t>
  </si>
  <si>
    <t>afiyu kent</t>
  </si>
  <si>
    <t>lottery post ohio</t>
  </si>
  <si>
    <t>oklahoma lottery post</t>
  </si>
  <si>
    <t>illinois lottery live drawing</t>
  </si>
  <si>
    <t>online lottery philippines</t>
  </si>
  <si>
    <t>online lottery sweden</t>
  </si>
  <si>
    <t>lottery california post</t>
  </si>
  <si>
    <t>lottery ny post</t>
  </si>
  <si>
    <t>daily 3 lottery post</t>
  </si>
  <si>
    <t>can the lottery be played online</t>
  </si>
  <si>
    <t>lottery post chicago</t>
  </si>
  <si>
    <t>lottery results usa</t>
  </si>
  <si>
    <t>late miami winning numbers</t>
  </si>
  <si>
    <t>play online lottery in india</t>
  </si>
  <si>
    <t>new york lottery post results</t>
  </si>
  <si>
    <t>online free lottery tickets scratch off</t>
  </si>
  <si>
    <t>buy mega millions lottery ticket</t>
  </si>
  <si>
    <t>www.floridalottery.com winning numbers</t>
  </si>
  <si>
    <t>georgia lottery post</t>
  </si>
  <si>
    <t>pa lottery ticket checker</t>
  </si>
  <si>
    <t>loterie florida</t>
  </si>
  <si>
    <t>idaho lottery post results</t>
  </si>
  <si>
    <t>online free lottery in india</t>
  </si>
  <si>
    <t>borlette new york soir haiti</t>
  </si>
  <si>
    <t>lottery broadway ticket</t>
  </si>
  <si>
    <t>late chicago winning numbers</t>
  </si>
  <si>
    <t>lottery online india</t>
  </si>
  <si>
    <t>lottery post lottery post</t>
  </si>
  <si>
    <t>can you buy lottery tickets online in california</t>
  </si>
  <si>
    <t>md lottery post results</t>
  </si>
  <si>
    <t>lottery post nc</t>
  </si>
  <si>
    <t>early miami 3 ball</t>
  </si>
  <si>
    <t>free lottery dream book online</t>
  </si>
  <si>
    <t>is it safe to buy lottery tickets online</t>
  </si>
  <si>
    <t>borlette florida haiti</t>
  </si>
  <si>
    <t>post lottery results ny</t>
  </si>
  <si>
    <t>Thumbnail,Video preview,People also ask</t>
  </si>
  <si>
    <t>can i play the florida lottery online</t>
  </si>
  <si>
    <t>illinoislottery</t>
  </si>
  <si>
    <t>can you play the irish lottery online</t>
  </si>
  <si>
    <t>online lottery sites for 2022</t>
  </si>
  <si>
    <t>can you buy lottery ticket online</t>
  </si>
  <si>
    <t>lottery post south carolina</t>
  </si>
  <si>
    <t>chicago lotto cash 3</t>
  </si>
  <si>
    <t>connecticut (ct) lottery results | lottery post</t>
  </si>
  <si>
    <t>lottery post texas</t>
  </si>
  <si>
    <t>play online lottery from anywhere in the world</t>
  </si>
  <si>
    <t>floridalottery.com winning numbers</t>
  </si>
  <si>
    <t>mexico lottery post</t>
  </si>
  <si>
    <t>online jackpot lottery</t>
  </si>
  <si>
    <t>résultat borlette florida</t>
  </si>
  <si>
    <t>lottery new jersey post</t>
  </si>
  <si>
    <t>kerala lottery online purchase</t>
  </si>
  <si>
    <t>rezultat bolet florida</t>
  </si>
  <si>
    <t>post code lottery</t>
  </si>
  <si>
    <t>online uk lottery</t>
  </si>
  <si>
    <t>pick 3 results</t>
  </si>
  <si>
    <t>lottery ticket broadway</t>
  </si>
  <si>
    <t>morning texas lottery</t>
  </si>
  <si>
    <t>lottery post mississippi</t>
  </si>
  <si>
    <t>www.florida lottery</t>
  </si>
  <si>
    <t>can you play fl lottery online</t>
  </si>
  <si>
    <t>snl ticket lottery</t>
  </si>
  <si>
    <t>arizona lottery post results</t>
  </si>
  <si>
    <t>winning number today live</t>
  </si>
  <si>
    <t>online lottery usa legal</t>
  </si>
  <si>
    <t>louisiana lottery online</t>
  </si>
  <si>
    <t>tennessee lottery post winning numbers</t>
  </si>
  <si>
    <t>florida pick 3 midday</t>
  </si>
  <si>
    <t>purchase lottery tickets online</t>
  </si>
  <si>
    <t>lottery results post</t>
  </si>
  <si>
    <t>powerball lottery online</t>
  </si>
  <si>
    <t>online lottery affiliate program</t>
  </si>
  <si>
    <t>scan lottery ticket barcode</t>
  </si>
  <si>
    <t>florida powerball winning numbers by date</t>
  </si>
  <si>
    <t>lottery ticket results checker</t>
  </si>
  <si>
    <t>wisconsin lottery post</t>
  </si>
  <si>
    <t>resulta borlette florida</t>
  </si>
  <si>
    <t>fantasy 5 lottery post</t>
  </si>
  <si>
    <t>lottery post michigan</t>
  </si>
  <si>
    <t>results lottery florida</t>
  </si>
  <si>
    <t>north carolina lottery post</t>
  </si>
  <si>
    <t>nc lottery</t>
  </si>
  <si>
    <t>florida lottery cash 3 and play 4</t>
  </si>
  <si>
    <t>is it safe to mail a winning lottery ticket</t>
  </si>
  <si>
    <t>miami 4 ball lottery</t>
  </si>
  <si>
    <t>online usa lottery</t>
  </si>
  <si>
    <t>tennessee lottery results post</t>
  </si>
  <si>
    <t>new york lottery post</t>
  </si>
  <si>
    <t>lottery post dc</t>
  </si>
  <si>
    <t>florida cash 3 evening</t>
  </si>
  <si>
    <t>ia lottery post</t>
  </si>
  <si>
    <t>illinois lottery pick 3 results</t>
  </si>
  <si>
    <t>texas lottery online</t>
  </si>
  <si>
    <t>play lottery online ny</t>
  </si>
  <si>
    <t>georgia florida lottery</t>
  </si>
  <si>
    <t>buy fl lottery tickets online</t>
  </si>
  <si>
    <t>china online lottery market</t>
  </si>
  <si>
    <t>illnois lottery</t>
  </si>
  <si>
    <t>lottery new york florida</t>
  </si>
  <si>
    <t>tiraj florida swa</t>
  </si>
  <si>
    <t>illinois lottery pick 4</t>
  </si>
  <si>
    <t>early chicago 3 ball</t>
  </si>
  <si>
    <t>florida live lottery drawing</t>
  </si>
  <si>
    <t>tiraj rapid florida soir aujourd'hui</t>
  </si>
  <si>
    <t>Video preview,Thumbnail,People also ask</t>
  </si>
  <si>
    <t>French,Haitian</t>
  </si>
  <si>
    <t>chicago winning lottery number</t>
  </si>
  <si>
    <t>florida lottery cash 3 play 4</t>
  </si>
  <si>
    <t>fl pick 3</t>
  </si>
  <si>
    <t>loteria florida dominicana</t>
  </si>
  <si>
    <t>chicago lotto winning numbers</t>
  </si>
  <si>
    <t>illinois.lottery</t>
  </si>
  <si>
    <t>www.florida lotto</t>
  </si>
  <si>
    <t>chicago cash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</si>
</sst>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lotterypost.com" TargetMode="External"/><Relationship Id="rId2" Type="http://schemas.openxmlformats.org/officeDocument/2006/relationships/hyperlink" Target="http://www.lotterypost.com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5" t="str">
        <f>IFERROR(__xludf.DUMMYFUNCTION("IMPORTRANGE(""https://docs.google.com/spreadsheets/d/1LduFx7JK4t-GmGIaBexReDj5uh95VZrwzy2h8Fs4wwk/edit?usp=sharing"", ""'Bracket 2 - Lotto Products'!L3:L"")"),"lottery post bahamas")</f>
        <v>lottery post bahamas</v>
      </c>
      <c r="C2" s="6"/>
      <c r="N2" s="8"/>
    </row>
    <row r="3">
      <c r="B3" s="5" t="str">
        <f>IFERROR(__xludf.DUMMYFUNCTION("""COMPUTED_VALUE"""),"lotto games bahamas")</f>
        <v>lotto games bahamas</v>
      </c>
      <c r="N3" s="8"/>
    </row>
    <row r="4">
      <c r="B4" s="5" t="str">
        <f>IFERROR(__xludf.DUMMYFUNCTION("""COMPUTED_VALUE"""),"numbers game bahamas")</f>
        <v>numbers game bahamas</v>
      </c>
      <c r="N4" s="8"/>
    </row>
    <row r="5">
      <c r="B5" s="5" t="str">
        <f>IFERROR(__xludf.DUMMYFUNCTION("""COMPUTED_VALUE"""),"3 ball miami bahamas")</f>
        <v>3 ball miami bahamas</v>
      </c>
      <c r="N5" s="8"/>
    </row>
    <row r="6">
      <c r="B6" s="5" t="str">
        <f>IFERROR(__xludf.DUMMYFUNCTION("""COMPUTED_VALUE"""),"3-ball miami bahamas")</f>
        <v>3-ball miami bahamas</v>
      </c>
    </row>
    <row r="7">
      <c r="B7" s="5" t="str">
        <f>IFERROR(__xludf.DUMMYFUNCTION("""COMPUTED_VALUE"""),"miami lottery bahamas")</f>
        <v>miami lottery bahamas</v>
      </c>
    </row>
    <row r="8">
      <c r="B8" s="5" t="str">
        <f>IFERROR(__xludf.DUMMYFUNCTION("""COMPUTED_VALUE"""),"lottery draw bahamas")</f>
        <v>lottery draw bahamas</v>
      </c>
    </row>
    <row r="9">
      <c r="B9" s="5" t="str">
        <f>IFERROR(__xludf.DUMMYFUNCTION("""COMPUTED_VALUE"""),"lottery ticket bahamas")</f>
        <v>lottery ticket bahamas</v>
      </c>
    </row>
    <row r="10">
      <c r="B10" s="5" t="str">
        <f>IFERROR(__xludf.DUMMYFUNCTION("""COMPUTED_VALUE"""),"lottery house bahamas")</f>
        <v>lottery house bahamas</v>
      </c>
    </row>
    <row r="11">
      <c r="B11" s="5" t="str">
        <f>IFERROR(__xludf.DUMMYFUNCTION("""COMPUTED_VALUE"""),"online lottery bahamas")</f>
        <v>online lottery bahamas</v>
      </c>
    </row>
    <row r="12">
      <c r="B12" s="5" t="str">
        <f>IFERROR(__xludf.DUMMYFUNCTION("""COMPUTED_VALUE"""),"lottery post online")</f>
        <v>lottery post online</v>
      </c>
    </row>
    <row r="13">
      <c r="B13" s="5" t="str">
        <f>IFERROR(__xludf.DUMMYFUNCTION("""COMPUTED_VALUE"""),"lotto games online")</f>
        <v>lotto games online</v>
      </c>
    </row>
    <row r="14">
      <c r="B14" s="5" t="str">
        <f>IFERROR(__xludf.DUMMYFUNCTION("""COMPUTED_VALUE"""),"numbers game online")</f>
        <v>numbers game online</v>
      </c>
    </row>
    <row r="15">
      <c r="B15" s="5" t="str">
        <f>IFERROR(__xludf.DUMMYFUNCTION("""COMPUTED_VALUE"""),"3 ball miami online")</f>
        <v>3 ball miami online</v>
      </c>
    </row>
    <row r="16">
      <c r="B16" s="5" t="str">
        <f>IFERROR(__xludf.DUMMYFUNCTION("""COMPUTED_VALUE"""),"3-ball miami online")</f>
        <v>3-ball miami online</v>
      </c>
    </row>
    <row r="17">
      <c r="B17" s="5" t="str">
        <f>IFERROR(__xludf.DUMMYFUNCTION("""COMPUTED_VALUE"""),"miami lottery online")</f>
        <v>miami lottery online</v>
      </c>
    </row>
    <row r="18">
      <c r="B18" s="5" t="str">
        <f>IFERROR(__xludf.DUMMYFUNCTION("""COMPUTED_VALUE"""),"lottery draw online")</f>
        <v>lottery draw online</v>
      </c>
    </row>
    <row r="19">
      <c r="B19" s="5" t="str">
        <f>IFERROR(__xludf.DUMMYFUNCTION("""COMPUTED_VALUE"""),"lottery ticket online")</f>
        <v>lottery ticket online</v>
      </c>
    </row>
    <row r="20">
      <c r="B20" s="5" t="str">
        <f>IFERROR(__xludf.DUMMYFUNCTION("""COMPUTED_VALUE"""),"lottery house online")</f>
        <v>lottery house online</v>
      </c>
    </row>
    <row r="21">
      <c r="B21" s="5" t="str">
        <f>IFERROR(__xludf.DUMMYFUNCTION("""COMPUTED_VALUE"""),"online lottery")</f>
        <v>online lottery</v>
      </c>
    </row>
    <row r="22">
      <c r="B22" s="5" t="str">
        <f>IFERROR(__xludf.DUMMYFUNCTION("""COMPUTED_VALUE"""),"lottery post play online")</f>
        <v>lottery post play online</v>
      </c>
    </row>
    <row r="23">
      <c r="B23" s="5" t="str">
        <f>IFERROR(__xludf.DUMMYFUNCTION("""COMPUTED_VALUE"""),"lotto games play online")</f>
        <v>lotto games play online</v>
      </c>
    </row>
    <row r="24">
      <c r="B24" s="5" t="str">
        <f>IFERROR(__xludf.DUMMYFUNCTION("""COMPUTED_VALUE"""),"numbers game play online")</f>
        <v>numbers game play online</v>
      </c>
    </row>
    <row r="25">
      <c r="B25" s="5" t="str">
        <f>IFERROR(__xludf.DUMMYFUNCTION("""COMPUTED_VALUE"""),"3 ball miami play online")</f>
        <v>3 ball miami play online</v>
      </c>
    </row>
    <row r="26">
      <c r="B26" s="5" t="str">
        <f>IFERROR(__xludf.DUMMYFUNCTION("""COMPUTED_VALUE"""),"3-ball miami play online")</f>
        <v>3-ball miami play online</v>
      </c>
    </row>
    <row r="27">
      <c r="B27" s="5" t="str">
        <f>IFERROR(__xludf.DUMMYFUNCTION("""COMPUTED_VALUE"""),"miami lottery play online")</f>
        <v>miami lottery play online</v>
      </c>
    </row>
    <row r="28">
      <c r="B28" s="5" t="str">
        <f>IFERROR(__xludf.DUMMYFUNCTION("""COMPUTED_VALUE"""),"lottery draw play online")</f>
        <v>lottery draw play online</v>
      </c>
    </row>
    <row r="29">
      <c r="B29" s="5" t="str">
        <f>IFERROR(__xludf.DUMMYFUNCTION("""COMPUTED_VALUE"""),"lottery ticket play online")</f>
        <v>lottery ticket play online</v>
      </c>
    </row>
    <row r="30">
      <c r="B30" s="5" t="str">
        <f>IFERROR(__xludf.DUMMYFUNCTION("""COMPUTED_VALUE"""),"lottery house play online")</f>
        <v>lottery house play online</v>
      </c>
    </row>
    <row r="31">
      <c r="B31" s="5" t="str">
        <f>IFERROR(__xludf.DUMMYFUNCTION("""COMPUTED_VALUE"""),"online lottery play online")</f>
        <v>online lottery play online</v>
      </c>
    </row>
    <row r="32">
      <c r="B32" s="5" t="str">
        <f>IFERROR(__xludf.DUMMYFUNCTION("""COMPUTED_VALUE"""),"lottery post how to play")</f>
        <v>lottery post how to play</v>
      </c>
    </row>
    <row r="33">
      <c r="B33" s="5" t="str">
        <f>IFERROR(__xludf.DUMMYFUNCTION("""COMPUTED_VALUE"""),"lotto games how to play")</f>
        <v>lotto games how to play</v>
      </c>
    </row>
    <row r="34">
      <c r="B34" s="5" t="str">
        <f>IFERROR(__xludf.DUMMYFUNCTION("""COMPUTED_VALUE"""),"numbers game how to play")</f>
        <v>numbers game how to play</v>
      </c>
    </row>
    <row r="35">
      <c r="B35" s="5" t="str">
        <f>IFERROR(__xludf.DUMMYFUNCTION("""COMPUTED_VALUE"""),"3 ball miami how to play")</f>
        <v>3 ball miami how to play</v>
      </c>
    </row>
    <row r="36">
      <c r="B36" s="5" t="str">
        <f>IFERROR(__xludf.DUMMYFUNCTION("""COMPUTED_VALUE"""),"3-ball miami how to play")</f>
        <v>3-ball miami how to play</v>
      </c>
    </row>
    <row r="37">
      <c r="B37" s="5" t="str">
        <f>IFERROR(__xludf.DUMMYFUNCTION("""COMPUTED_VALUE"""),"miami lottery how to play")</f>
        <v>miami lottery how to play</v>
      </c>
    </row>
    <row r="38">
      <c r="B38" s="5" t="str">
        <f>IFERROR(__xludf.DUMMYFUNCTION("""COMPUTED_VALUE"""),"lottery draw how to play")</f>
        <v>lottery draw how to play</v>
      </c>
    </row>
    <row r="39">
      <c r="B39" s="5" t="str">
        <f>IFERROR(__xludf.DUMMYFUNCTION("""COMPUTED_VALUE"""),"lottery ticket how to play")</f>
        <v>lottery ticket how to play</v>
      </c>
    </row>
    <row r="40">
      <c r="B40" s="5" t="str">
        <f>IFERROR(__xludf.DUMMYFUNCTION("""COMPUTED_VALUE"""),"lottery house how to play")</f>
        <v>lottery house how to play</v>
      </c>
    </row>
    <row r="41">
      <c r="B41" s="5" t="str">
        <f>IFERROR(__xludf.DUMMYFUNCTION("""COMPUTED_VALUE"""),"online lottery how to play")</f>
        <v>online lottery how to play</v>
      </c>
    </row>
    <row r="42">
      <c r="B42" s="5" t="str">
        <f>IFERROR(__xludf.DUMMYFUNCTION("""COMPUTED_VALUE"""),"lottery post rules")</f>
        <v>lottery post rules</v>
      </c>
    </row>
    <row r="43">
      <c r="B43" s="5" t="str">
        <f>IFERROR(__xludf.DUMMYFUNCTION("""COMPUTED_VALUE"""),"lotto games rules")</f>
        <v>lotto games rules</v>
      </c>
    </row>
    <row r="44">
      <c r="B44" s="5" t="str">
        <f>IFERROR(__xludf.DUMMYFUNCTION("""COMPUTED_VALUE"""),"numbers game rules")</f>
        <v>numbers game rules</v>
      </c>
    </row>
    <row r="45">
      <c r="B45" s="5" t="str">
        <f>IFERROR(__xludf.DUMMYFUNCTION("""COMPUTED_VALUE"""),"3 ball miami rules")</f>
        <v>3 ball miami rules</v>
      </c>
    </row>
    <row r="46">
      <c r="B46" s="5" t="str">
        <f>IFERROR(__xludf.DUMMYFUNCTION("""COMPUTED_VALUE"""),"3-ball miami rules")</f>
        <v>3-ball miami rules</v>
      </c>
    </row>
    <row r="47">
      <c r="B47" s="5" t="str">
        <f>IFERROR(__xludf.DUMMYFUNCTION("""COMPUTED_VALUE"""),"miami lottery rules")</f>
        <v>miami lottery rules</v>
      </c>
    </row>
    <row r="48">
      <c r="B48" s="5" t="str">
        <f>IFERROR(__xludf.DUMMYFUNCTION("""COMPUTED_VALUE"""),"lottery draw rules")</f>
        <v>lottery draw rules</v>
      </c>
    </row>
    <row r="49">
      <c r="B49" s="5" t="str">
        <f>IFERROR(__xludf.DUMMYFUNCTION("""COMPUTED_VALUE"""),"lottery ticket rules")</f>
        <v>lottery ticket rules</v>
      </c>
    </row>
    <row r="50">
      <c r="B50" s="5" t="str">
        <f>IFERROR(__xludf.DUMMYFUNCTION("""COMPUTED_VALUE"""),"lottery house rules")</f>
        <v>lottery house rules</v>
      </c>
    </row>
    <row r="51">
      <c r="B51" s="5" t="str">
        <f>IFERROR(__xludf.DUMMYFUNCTION("""COMPUTED_VALUE"""),"online lottery rules")</f>
        <v>online lottery rules</v>
      </c>
    </row>
    <row r="52">
      <c r="B52" s="5" t="str">
        <f>IFERROR(__xludf.DUMMYFUNCTION("""COMPUTED_VALUE"""),"lottery post payouts")</f>
        <v>lottery post payouts</v>
      </c>
    </row>
    <row r="53">
      <c r="B53" s="5" t="str">
        <f>IFERROR(__xludf.DUMMYFUNCTION("""COMPUTED_VALUE"""),"lotto games payouts")</f>
        <v>lotto games payouts</v>
      </c>
    </row>
    <row r="54">
      <c r="B54" s="5" t="str">
        <f>IFERROR(__xludf.DUMMYFUNCTION("""COMPUTED_VALUE"""),"numbers game payouts")</f>
        <v>numbers game payouts</v>
      </c>
    </row>
    <row r="55">
      <c r="B55" s="5" t="str">
        <f>IFERROR(__xludf.DUMMYFUNCTION("""COMPUTED_VALUE"""),"3 ball miami payouts")</f>
        <v>3 ball miami payouts</v>
      </c>
    </row>
    <row r="56">
      <c r="B56" s="5" t="str">
        <f>IFERROR(__xludf.DUMMYFUNCTION("""COMPUTED_VALUE"""),"3-ball miami payouts")</f>
        <v>3-ball miami payouts</v>
      </c>
    </row>
    <row r="57">
      <c r="B57" s="5" t="str">
        <f>IFERROR(__xludf.DUMMYFUNCTION("""COMPUTED_VALUE"""),"miami lottery payouts")</f>
        <v>miami lottery payouts</v>
      </c>
    </row>
    <row r="58">
      <c r="B58" s="5" t="str">
        <f>IFERROR(__xludf.DUMMYFUNCTION("""COMPUTED_VALUE"""),"lottery draw payouts")</f>
        <v>lottery draw payouts</v>
      </c>
    </row>
    <row r="59">
      <c r="B59" s="5" t="str">
        <f>IFERROR(__xludf.DUMMYFUNCTION("""COMPUTED_VALUE"""),"lottery ticket payouts")</f>
        <v>lottery ticket payouts</v>
      </c>
    </row>
    <row r="60">
      <c r="B60" s="5" t="str">
        <f>IFERROR(__xludf.DUMMYFUNCTION("""COMPUTED_VALUE"""),"lottery house payouts")</f>
        <v>lottery house payouts</v>
      </c>
    </row>
    <row r="61">
      <c r="B61" s="5" t="str">
        <f>IFERROR(__xludf.DUMMYFUNCTION("""COMPUTED_VALUE"""),"online lottery payouts")</f>
        <v>online lottery payouts</v>
      </c>
    </row>
    <row r="62">
      <c r="B62" s="5" t="str">
        <f>IFERROR(__xludf.DUMMYFUNCTION("""COMPUTED_VALUE"""),"lottery post odds")</f>
        <v>lottery post odds</v>
      </c>
    </row>
    <row r="63">
      <c r="B63" s="5" t="str">
        <f>IFERROR(__xludf.DUMMYFUNCTION("""COMPUTED_VALUE"""),"lotto games odds")</f>
        <v>lotto games odds</v>
      </c>
    </row>
    <row r="64">
      <c r="B64" s="5" t="str">
        <f>IFERROR(__xludf.DUMMYFUNCTION("""COMPUTED_VALUE"""),"numbers game odds")</f>
        <v>numbers game odds</v>
      </c>
    </row>
    <row r="65">
      <c r="B65" s="5" t="str">
        <f>IFERROR(__xludf.DUMMYFUNCTION("""COMPUTED_VALUE"""),"3 ball miami odds")</f>
        <v>3 ball miami odds</v>
      </c>
    </row>
    <row r="66">
      <c r="B66" s="5" t="str">
        <f>IFERROR(__xludf.DUMMYFUNCTION("""COMPUTED_VALUE"""),"3-ball miami odds")</f>
        <v>3-ball miami odds</v>
      </c>
    </row>
    <row r="67">
      <c r="B67" s="5" t="str">
        <f>IFERROR(__xludf.DUMMYFUNCTION("""COMPUTED_VALUE"""),"miami lottery odds")</f>
        <v>miami lottery odds</v>
      </c>
    </row>
    <row r="68">
      <c r="B68" s="5" t="str">
        <f>IFERROR(__xludf.DUMMYFUNCTION("""COMPUTED_VALUE"""),"lottery draw odds")</f>
        <v>lottery draw odds</v>
      </c>
    </row>
    <row r="69">
      <c r="B69" s="5" t="str">
        <f>IFERROR(__xludf.DUMMYFUNCTION("""COMPUTED_VALUE"""),"lottery ticket odds")</f>
        <v>lottery ticket odds</v>
      </c>
    </row>
    <row r="70">
      <c r="B70" s="5" t="str">
        <f>IFERROR(__xludf.DUMMYFUNCTION("""COMPUTED_VALUE"""),"lottery house odds")</f>
        <v>lottery house odds</v>
      </c>
    </row>
    <row r="71">
      <c r="B71" s="5" t="str">
        <f>IFERROR(__xludf.DUMMYFUNCTION("""COMPUTED_VALUE"""),"online lottery odds")</f>
        <v>online lottery odds</v>
      </c>
    </row>
    <row r="72">
      <c r="B72" s="5" t="str">
        <f>IFERROR(__xludf.DUMMYFUNCTION("""COMPUTED_VALUE"""),"lottery post results")</f>
        <v>lottery post results</v>
      </c>
    </row>
    <row r="73">
      <c r="B73" s="5" t="str">
        <f>IFERROR(__xludf.DUMMYFUNCTION("""COMPUTED_VALUE"""),"lotto games results")</f>
        <v>lotto games results</v>
      </c>
    </row>
    <row r="74">
      <c r="B74" s="5" t="str">
        <f>IFERROR(__xludf.DUMMYFUNCTION("""COMPUTED_VALUE"""),"numbers game results")</f>
        <v>numbers game results</v>
      </c>
    </row>
    <row r="75">
      <c r="B75" s="5" t="str">
        <f>IFERROR(__xludf.DUMMYFUNCTION("""COMPUTED_VALUE"""),"3 ball miami results")</f>
        <v>3 ball miami results</v>
      </c>
    </row>
    <row r="76">
      <c r="B76" s="5" t="str">
        <f>IFERROR(__xludf.DUMMYFUNCTION("""COMPUTED_VALUE"""),"3-ball miami results")</f>
        <v>3-ball miami results</v>
      </c>
    </row>
    <row r="77">
      <c r="B77" s="5" t="str">
        <f>IFERROR(__xludf.DUMMYFUNCTION("""COMPUTED_VALUE"""),"miami lottery results")</f>
        <v>miami lottery results</v>
      </c>
    </row>
    <row r="78">
      <c r="B78" s="5" t="str">
        <f>IFERROR(__xludf.DUMMYFUNCTION("""COMPUTED_VALUE"""),"lottery draw results")</f>
        <v>lottery draw results</v>
      </c>
    </row>
    <row r="79">
      <c r="B79" s="5" t="str">
        <f>IFERROR(__xludf.DUMMYFUNCTION("""COMPUTED_VALUE"""),"lottery ticket results")</f>
        <v>lottery ticket results</v>
      </c>
    </row>
    <row r="80">
      <c r="B80" s="5" t="str">
        <f>IFERROR(__xludf.DUMMYFUNCTION("""COMPUTED_VALUE"""),"lottery house results")</f>
        <v>lottery house results</v>
      </c>
    </row>
    <row r="81">
      <c r="B81" s="5" t="str">
        <f>IFERROR(__xludf.DUMMYFUNCTION("""COMPUTED_VALUE"""),"online lottery results")</f>
        <v>online lottery results</v>
      </c>
    </row>
    <row r="82">
      <c r="B82" s="5" t="str">
        <f>IFERROR(__xludf.DUMMYFUNCTION("""COMPUTED_VALUE"""),"lottery post winning numbers")</f>
        <v>lottery post winning numbers</v>
      </c>
    </row>
    <row r="83">
      <c r="B83" s="5" t="str">
        <f>IFERROR(__xludf.DUMMYFUNCTION("""COMPUTED_VALUE"""),"lotto games winning numbers")</f>
        <v>lotto games winning numbers</v>
      </c>
    </row>
    <row r="84">
      <c r="B84" s="5" t="str">
        <f>IFERROR(__xludf.DUMMYFUNCTION("""COMPUTED_VALUE"""),"numbers game winning numbers")</f>
        <v>numbers game winning numbers</v>
      </c>
    </row>
    <row r="85">
      <c r="B85" s="5" t="str">
        <f>IFERROR(__xludf.DUMMYFUNCTION("""COMPUTED_VALUE"""),"3 ball miami winning numbers")</f>
        <v>3 ball miami winning numbers</v>
      </c>
    </row>
    <row r="86">
      <c r="B86" s="5" t="str">
        <f>IFERROR(__xludf.DUMMYFUNCTION("""COMPUTED_VALUE"""),"3-ball miami winning numbers")</f>
        <v>3-ball miami winning numbers</v>
      </c>
    </row>
    <row r="87">
      <c r="B87" s="5" t="str">
        <f>IFERROR(__xludf.DUMMYFUNCTION("""COMPUTED_VALUE"""),"miami lottery winning numbers")</f>
        <v>miami lottery winning numbers</v>
      </c>
    </row>
    <row r="88">
      <c r="B88" s="5" t="str">
        <f>IFERROR(__xludf.DUMMYFUNCTION("""COMPUTED_VALUE"""),"lottery draw winning numbers")</f>
        <v>lottery draw winning numbers</v>
      </c>
    </row>
    <row r="89">
      <c r="B89" s="5" t="str">
        <f>IFERROR(__xludf.DUMMYFUNCTION("""COMPUTED_VALUE"""),"lottery ticket winning numbers")</f>
        <v>lottery ticket winning numbers</v>
      </c>
    </row>
    <row r="90">
      <c r="B90" s="5" t="str">
        <f>IFERROR(__xludf.DUMMYFUNCTION("""COMPUTED_VALUE"""),"lottery house winning numbers")</f>
        <v>lottery house winning numbers</v>
      </c>
    </row>
    <row r="91">
      <c r="B91" s="5" t="str">
        <f>IFERROR(__xludf.DUMMYFUNCTION("""COMPUTED_VALUE"""),"online lottery winning numbers")</f>
        <v>online lottery winning numbers</v>
      </c>
    </row>
    <row r="92">
      <c r="B92" s="5" t="str">
        <f>IFERROR(__xludf.DUMMYFUNCTION("""COMPUTED_VALUE"""),"lottery post winning number")</f>
        <v>lottery post winning number</v>
      </c>
    </row>
    <row r="93">
      <c r="B93" s="5" t="str">
        <f>IFERROR(__xludf.DUMMYFUNCTION("""COMPUTED_VALUE"""),"lotto games winning number")</f>
        <v>lotto games winning number</v>
      </c>
    </row>
    <row r="94">
      <c r="B94" s="5" t="str">
        <f>IFERROR(__xludf.DUMMYFUNCTION("""COMPUTED_VALUE"""),"numbers game winning number")</f>
        <v>numbers game winning number</v>
      </c>
    </row>
    <row r="95">
      <c r="B95" s="5" t="str">
        <f>IFERROR(__xludf.DUMMYFUNCTION("""COMPUTED_VALUE"""),"3 ball miami winning number")</f>
        <v>3 ball miami winning number</v>
      </c>
    </row>
    <row r="96">
      <c r="B96" s="5" t="str">
        <f>IFERROR(__xludf.DUMMYFUNCTION("""COMPUTED_VALUE"""),"3-ball miami winning number")</f>
        <v>3-ball miami winning number</v>
      </c>
    </row>
    <row r="97">
      <c r="B97" s="5" t="str">
        <f>IFERROR(__xludf.DUMMYFUNCTION("""COMPUTED_VALUE"""),"miami lottery winning number")</f>
        <v>miami lottery winning number</v>
      </c>
    </row>
    <row r="98">
      <c r="B98" s="5" t="str">
        <f>IFERROR(__xludf.DUMMYFUNCTION("""COMPUTED_VALUE"""),"lottery draw winning number")</f>
        <v>lottery draw winning number</v>
      </c>
    </row>
    <row r="99">
      <c r="B99" s="5" t="str">
        <f>IFERROR(__xludf.DUMMYFUNCTION("""COMPUTED_VALUE"""),"lottery ticket winning number")</f>
        <v>lottery ticket winning number</v>
      </c>
    </row>
    <row r="100">
      <c r="B100" s="5" t="str">
        <f>IFERROR(__xludf.DUMMYFUNCTION("""COMPUTED_VALUE"""),"lottery house winning number")</f>
        <v>lottery house winning number</v>
      </c>
    </row>
    <row r="101">
      <c r="B101" s="5" t="str">
        <f>IFERROR(__xludf.DUMMYFUNCTION("""COMPUTED_VALUE"""),"online lottery winning number")</f>
        <v>online lottery winning number</v>
      </c>
    </row>
    <row r="102">
      <c r="B102" s="5" t="str">
        <f>IFERROR(__xludf.DUMMYFUNCTION("""COMPUTED_VALUE"""),"lottery post today")</f>
        <v>lottery post today</v>
      </c>
    </row>
    <row r="103">
      <c r="B103" s="5" t="str">
        <f>IFERROR(__xludf.DUMMYFUNCTION("""COMPUTED_VALUE"""),"lotto games today")</f>
        <v>lotto games today</v>
      </c>
    </row>
    <row r="104">
      <c r="B104" s="5" t="str">
        <f>IFERROR(__xludf.DUMMYFUNCTION("""COMPUTED_VALUE"""),"numbers game today")</f>
        <v>numbers game today</v>
      </c>
    </row>
    <row r="105">
      <c r="B105" s="5" t="str">
        <f>IFERROR(__xludf.DUMMYFUNCTION("""COMPUTED_VALUE"""),"3 ball miami today")</f>
        <v>3 ball miami today</v>
      </c>
    </row>
    <row r="106">
      <c r="B106" s="5" t="str">
        <f>IFERROR(__xludf.DUMMYFUNCTION("""COMPUTED_VALUE"""),"3-ball miami today")</f>
        <v>3-ball miami today</v>
      </c>
    </row>
    <row r="107">
      <c r="B107" s="5" t="str">
        <f>IFERROR(__xludf.DUMMYFUNCTION("""COMPUTED_VALUE"""),"miami lottery today")</f>
        <v>miami lottery today</v>
      </c>
    </row>
    <row r="108">
      <c r="B108" s="5" t="str">
        <f>IFERROR(__xludf.DUMMYFUNCTION("""COMPUTED_VALUE"""),"lottery draw today")</f>
        <v>lottery draw today</v>
      </c>
    </row>
    <row r="109">
      <c r="B109" s="5" t="str">
        <f>IFERROR(__xludf.DUMMYFUNCTION("""COMPUTED_VALUE"""),"lottery ticket today")</f>
        <v>lottery ticket today</v>
      </c>
    </row>
    <row r="110">
      <c r="B110" s="5" t="str">
        <f>IFERROR(__xludf.DUMMYFUNCTION("""COMPUTED_VALUE"""),"lottery house today")</f>
        <v>lottery house today</v>
      </c>
    </row>
    <row r="111">
      <c r="B111" s="5" t="str">
        <f>IFERROR(__xludf.DUMMYFUNCTION("""COMPUTED_VALUE"""),"online lottery today")</f>
        <v>online lottery today</v>
      </c>
    </row>
    <row r="112">
      <c r="B112" s="5" t="str">
        <f>IFERROR(__xludf.DUMMYFUNCTION("""COMPUTED_VALUE"""),"lottery post tonight")</f>
        <v>lottery post tonight</v>
      </c>
    </row>
    <row r="113">
      <c r="B113" s="5" t="str">
        <f>IFERROR(__xludf.DUMMYFUNCTION("""COMPUTED_VALUE"""),"lotto games tonight")</f>
        <v>lotto games tonight</v>
      </c>
    </row>
    <row r="114">
      <c r="B114" s="5" t="str">
        <f>IFERROR(__xludf.DUMMYFUNCTION("""COMPUTED_VALUE"""),"numbers game tonight")</f>
        <v>numbers game tonight</v>
      </c>
    </row>
    <row r="115">
      <c r="B115" s="5" t="str">
        <f>IFERROR(__xludf.DUMMYFUNCTION("""COMPUTED_VALUE"""),"3 ball miami tonight")</f>
        <v>3 ball miami tonight</v>
      </c>
    </row>
    <row r="116">
      <c r="B116" s="5" t="str">
        <f>IFERROR(__xludf.DUMMYFUNCTION("""COMPUTED_VALUE"""),"3-ball miami tonight")</f>
        <v>3-ball miami tonight</v>
      </c>
    </row>
    <row r="117">
      <c r="B117" s="5" t="str">
        <f>IFERROR(__xludf.DUMMYFUNCTION("""COMPUTED_VALUE"""),"miami lottery tonight")</f>
        <v>miami lottery tonight</v>
      </c>
    </row>
    <row r="118">
      <c r="B118" s="5" t="str">
        <f>IFERROR(__xludf.DUMMYFUNCTION("""COMPUTED_VALUE"""),"lottery draw tonight")</f>
        <v>lottery draw tonight</v>
      </c>
    </row>
    <row r="119">
      <c r="B119" s="5" t="str">
        <f>IFERROR(__xludf.DUMMYFUNCTION("""COMPUTED_VALUE"""),"lottery ticket tonight")</f>
        <v>lottery ticket tonight</v>
      </c>
    </row>
    <row r="120">
      <c r="B120" s="5" t="str">
        <f>IFERROR(__xludf.DUMMYFUNCTION("""COMPUTED_VALUE"""),"lottery house tonight")</f>
        <v>lottery house tonight</v>
      </c>
    </row>
    <row r="121">
      <c r="B121" s="5" t="str">
        <f>IFERROR(__xludf.DUMMYFUNCTION("""COMPUTED_VALUE"""),"online lottery tonight")</f>
        <v>online lottery tonight</v>
      </c>
    </row>
    <row r="122">
      <c r="B122" s="5" t="str">
        <f>IFERROR(__xludf.DUMMYFUNCTION("""COMPUTED_VALUE"""),"lottery post draw time")</f>
        <v>lottery post draw time</v>
      </c>
    </row>
    <row r="123">
      <c r="B123" s="5" t="str">
        <f>IFERROR(__xludf.DUMMYFUNCTION("""COMPUTED_VALUE"""),"lotto games draw time")</f>
        <v>lotto games draw time</v>
      </c>
    </row>
    <row r="124">
      <c r="B124" s="5" t="str">
        <f>IFERROR(__xludf.DUMMYFUNCTION("""COMPUTED_VALUE"""),"numbers game draw time")</f>
        <v>numbers game draw time</v>
      </c>
    </row>
    <row r="125">
      <c r="B125" s="5" t="str">
        <f>IFERROR(__xludf.DUMMYFUNCTION("""COMPUTED_VALUE"""),"3 ball miami draw time")</f>
        <v>3 ball miami draw time</v>
      </c>
    </row>
    <row r="126">
      <c r="B126" s="5" t="str">
        <f>IFERROR(__xludf.DUMMYFUNCTION("""COMPUTED_VALUE"""),"3-ball miami draw time")</f>
        <v>3-ball miami draw time</v>
      </c>
    </row>
    <row r="127">
      <c r="B127" s="5" t="str">
        <f>IFERROR(__xludf.DUMMYFUNCTION("""COMPUTED_VALUE"""),"miami lottery draw time")</f>
        <v>miami lottery draw time</v>
      </c>
    </row>
    <row r="128">
      <c r="B128" s="5" t="str">
        <f>IFERROR(__xludf.DUMMYFUNCTION("""COMPUTED_VALUE"""),"lottery draw draw time")</f>
        <v>lottery draw draw time</v>
      </c>
    </row>
    <row r="129">
      <c r="B129" s="5" t="str">
        <f>IFERROR(__xludf.DUMMYFUNCTION("""COMPUTED_VALUE"""),"lottery ticket draw time")</f>
        <v>lottery ticket draw time</v>
      </c>
    </row>
    <row r="130">
      <c r="B130" s="5" t="str">
        <f>IFERROR(__xludf.DUMMYFUNCTION("""COMPUTED_VALUE"""),"lottery house draw time")</f>
        <v>lottery house draw time</v>
      </c>
    </row>
    <row r="131">
      <c r="B131" s="5" t="str">
        <f>IFERROR(__xludf.DUMMYFUNCTION("""COMPUTED_VALUE"""),"online lottery draw time")</f>
        <v>online lottery draw time</v>
      </c>
    </row>
    <row r="132">
      <c r="B132" s="5" t="str">
        <f>IFERROR(__xludf.DUMMYFUNCTION("""COMPUTED_VALUE"""),"lottery post ticket")</f>
        <v>lottery post ticket</v>
      </c>
    </row>
    <row r="133">
      <c r="B133" s="5" t="str">
        <f>IFERROR(__xludf.DUMMYFUNCTION("""COMPUTED_VALUE"""),"lotto games ticket")</f>
        <v>lotto games ticket</v>
      </c>
    </row>
    <row r="134">
      <c r="B134" s="5" t="str">
        <f>IFERROR(__xludf.DUMMYFUNCTION("""COMPUTED_VALUE"""),"numbers game ticket")</f>
        <v>numbers game ticket</v>
      </c>
    </row>
    <row r="135">
      <c r="B135" s="5" t="str">
        <f>IFERROR(__xludf.DUMMYFUNCTION("""COMPUTED_VALUE"""),"3 ball miami ticket")</f>
        <v>3 ball miami ticket</v>
      </c>
    </row>
    <row r="136">
      <c r="B136" s="5" t="str">
        <f>IFERROR(__xludf.DUMMYFUNCTION("""COMPUTED_VALUE"""),"3-ball miami ticket")</f>
        <v>3-ball miami ticket</v>
      </c>
    </row>
    <row r="137">
      <c r="B137" s="5" t="str">
        <f>IFERROR(__xludf.DUMMYFUNCTION("""COMPUTED_VALUE"""),"miami lottery ticket")</f>
        <v>miami lottery ticket</v>
      </c>
    </row>
    <row r="138">
      <c r="B138" s="5" t="str">
        <f>IFERROR(__xludf.DUMMYFUNCTION("""COMPUTED_VALUE"""),"lottery draw ticket")</f>
        <v>lottery draw ticket</v>
      </c>
    </row>
    <row r="139">
      <c r="B139" s="5" t="str">
        <f>IFERROR(__xludf.DUMMYFUNCTION("""COMPUTED_VALUE"""),"lottery ticket")</f>
        <v>lottery ticket</v>
      </c>
    </row>
    <row r="140">
      <c r="B140" s="5" t="str">
        <f>IFERROR(__xludf.DUMMYFUNCTION("""COMPUTED_VALUE"""),"lottery house ticket")</f>
        <v>lottery house ticket</v>
      </c>
    </row>
    <row r="141">
      <c r="B141" s="5" t="str">
        <f>IFERROR(__xludf.DUMMYFUNCTION("""COMPUTED_VALUE"""),"online lottery ticket")</f>
        <v>online lottery ticket</v>
      </c>
    </row>
    <row r="142">
      <c r="B142" s="5" t="str">
        <f>IFERROR(__xludf.DUMMYFUNCTION("""COMPUTED_VALUE"""),"lottery post tickets")</f>
        <v>lottery post tickets</v>
      </c>
    </row>
    <row r="143">
      <c r="B143" s="5" t="str">
        <f>IFERROR(__xludf.DUMMYFUNCTION("""COMPUTED_VALUE"""),"lotto games tickets")</f>
        <v>lotto games tickets</v>
      </c>
    </row>
    <row r="144">
      <c r="B144" s="5" t="str">
        <f>IFERROR(__xludf.DUMMYFUNCTION("""COMPUTED_VALUE"""),"numbers game tickets")</f>
        <v>numbers game tickets</v>
      </c>
    </row>
    <row r="145">
      <c r="B145" s="5" t="str">
        <f>IFERROR(__xludf.DUMMYFUNCTION("""COMPUTED_VALUE"""),"3 ball miami tickets")</f>
        <v>3 ball miami tickets</v>
      </c>
    </row>
    <row r="146">
      <c r="B146" s="5" t="str">
        <f>IFERROR(__xludf.DUMMYFUNCTION("""COMPUTED_VALUE"""),"3-ball miami tickets")</f>
        <v>3-ball miami tickets</v>
      </c>
    </row>
    <row r="147">
      <c r="B147" s="5" t="str">
        <f>IFERROR(__xludf.DUMMYFUNCTION("""COMPUTED_VALUE"""),"miami lottery tickets")</f>
        <v>miami lottery tickets</v>
      </c>
    </row>
    <row r="148">
      <c r="B148" s="5" t="str">
        <f>IFERROR(__xludf.DUMMYFUNCTION("""COMPUTED_VALUE"""),"lottery draw tickets")</f>
        <v>lottery draw tickets</v>
      </c>
    </row>
    <row r="149">
      <c r="B149" s="5" t="str">
        <f>IFERROR(__xludf.DUMMYFUNCTION("""COMPUTED_VALUE"""),"lottery ticket")</f>
        <v>lottery ticket</v>
      </c>
    </row>
    <row r="150">
      <c r="B150" s="5" t="str">
        <f>IFERROR(__xludf.DUMMYFUNCTION("""COMPUTED_VALUE"""),"lottery house tickets")</f>
        <v>lottery house tickets</v>
      </c>
    </row>
    <row r="151">
      <c r="B151" s="5" t="str">
        <f>IFERROR(__xludf.DUMMYFUNCTION("""COMPUTED_VALUE"""),"online lottery tickets")</f>
        <v>online lottery tickets</v>
      </c>
    </row>
    <row r="152">
      <c r="B152" s="5" t="str">
        <f>IFERROR(__xludf.DUMMYFUNCTION("""COMPUTED_VALUE"""),"lottery post bet")</f>
        <v>lottery post bet</v>
      </c>
    </row>
    <row r="153">
      <c r="B153" s="5" t="str">
        <f>IFERROR(__xludf.DUMMYFUNCTION("""COMPUTED_VALUE"""),"lotto games bet")</f>
        <v>lotto games bet</v>
      </c>
    </row>
    <row r="154">
      <c r="B154" s="5" t="str">
        <f>IFERROR(__xludf.DUMMYFUNCTION("""COMPUTED_VALUE"""),"numbers game bet")</f>
        <v>numbers game bet</v>
      </c>
    </row>
    <row r="155">
      <c r="B155" s="5" t="str">
        <f>IFERROR(__xludf.DUMMYFUNCTION("""COMPUTED_VALUE"""),"3 ball miami bet")</f>
        <v>3 ball miami bet</v>
      </c>
    </row>
    <row r="156">
      <c r="B156" s="5" t="str">
        <f>IFERROR(__xludf.DUMMYFUNCTION("""COMPUTED_VALUE"""),"3-ball miami bet")</f>
        <v>3-ball miami bet</v>
      </c>
    </row>
    <row r="157">
      <c r="B157" s="5" t="str">
        <f>IFERROR(__xludf.DUMMYFUNCTION("""COMPUTED_VALUE"""),"miami lottery bet")</f>
        <v>miami lottery bet</v>
      </c>
    </row>
    <row r="158">
      <c r="B158" s="5" t="str">
        <f>IFERROR(__xludf.DUMMYFUNCTION("""COMPUTED_VALUE"""),"lottery draw bet")</f>
        <v>lottery draw bet</v>
      </c>
    </row>
    <row r="159">
      <c r="B159" s="5" t="str">
        <f>IFERROR(__xludf.DUMMYFUNCTION("""COMPUTED_VALUE"""),"lottery ticket bet")</f>
        <v>lottery ticket bet</v>
      </c>
    </row>
    <row r="160">
      <c r="B160" s="5" t="str">
        <f>IFERROR(__xludf.DUMMYFUNCTION("""COMPUTED_VALUE"""),"lottery house bet")</f>
        <v>lottery house bet</v>
      </c>
    </row>
    <row r="161">
      <c r="B161" s="5" t="str">
        <f>IFERROR(__xludf.DUMMYFUNCTION("""COMPUTED_VALUE"""),"online lottery bet")</f>
        <v>online lottery bet</v>
      </c>
    </row>
    <row r="162">
      <c r="B162" s="5" t="str">
        <f>IFERROR(__xludf.DUMMYFUNCTION("""COMPUTED_VALUE"""),"lottery post bets")</f>
        <v>lottery post bets</v>
      </c>
    </row>
    <row r="163">
      <c r="B163" s="5" t="str">
        <f>IFERROR(__xludf.DUMMYFUNCTION("""COMPUTED_VALUE"""),"lotto games bets")</f>
        <v>lotto games bets</v>
      </c>
    </row>
    <row r="164">
      <c r="B164" s="5" t="str">
        <f>IFERROR(__xludf.DUMMYFUNCTION("""COMPUTED_VALUE"""),"numbers game bets")</f>
        <v>numbers game bets</v>
      </c>
    </row>
    <row r="165">
      <c r="B165" s="5" t="str">
        <f>IFERROR(__xludf.DUMMYFUNCTION("""COMPUTED_VALUE"""),"3 ball miami bets")</f>
        <v>3 ball miami bets</v>
      </c>
    </row>
    <row r="166">
      <c r="B166" s="5" t="str">
        <f>IFERROR(__xludf.DUMMYFUNCTION("""COMPUTED_VALUE"""),"3-ball miami bets")</f>
        <v>3-ball miami bets</v>
      </c>
    </row>
    <row r="167">
      <c r="B167" s="5" t="str">
        <f>IFERROR(__xludf.DUMMYFUNCTION("""COMPUTED_VALUE"""),"miami lottery bets")</f>
        <v>miami lottery bets</v>
      </c>
    </row>
    <row r="168">
      <c r="B168" s="5" t="str">
        <f>IFERROR(__xludf.DUMMYFUNCTION("""COMPUTED_VALUE"""),"lottery draw bets")</f>
        <v>lottery draw bets</v>
      </c>
    </row>
    <row r="169">
      <c r="B169" s="5" t="str">
        <f>IFERROR(__xludf.DUMMYFUNCTION("""COMPUTED_VALUE"""),"lottery ticket bets")</f>
        <v>lottery ticket bets</v>
      </c>
    </row>
    <row r="170">
      <c r="B170" s="5" t="str">
        <f>IFERROR(__xludf.DUMMYFUNCTION("""COMPUTED_VALUE"""),"lottery house bets")</f>
        <v>lottery house bets</v>
      </c>
    </row>
    <row r="171">
      <c r="B171" s="5" t="str">
        <f>IFERROR(__xludf.DUMMYFUNCTION("""COMPUTED_VALUE"""),"online lottery bets")</f>
        <v>online lottery bets</v>
      </c>
    </row>
    <row r="172">
      <c r="B172" s="5" t="str">
        <f>IFERROR(__xludf.DUMMYFUNCTION("""COMPUTED_VALUE"""),"lottery post betting")</f>
        <v>lottery post betting</v>
      </c>
    </row>
    <row r="173">
      <c r="B173" s="5" t="str">
        <f>IFERROR(__xludf.DUMMYFUNCTION("""COMPUTED_VALUE"""),"lotto games betting")</f>
        <v>lotto games betting</v>
      </c>
    </row>
    <row r="174">
      <c r="B174" s="5" t="str">
        <f>IFERROR(__xludf.DUMMYFUNCTION("""COMPUTED_VALUE"""),"numbers game betting")</f>
        <v>numbers game betting</v>
      </c>
    </row>
    <row r="175">
      <c r="B175" s="5" t="str">
        <f>IFERROR(__xludf.DUMMYFUNCTION("""COMPUTED_VALUE"""),"3 ball miami betting")</f>
        <v>3 ball miami betting</v>
      </c>
    </row>
    <row r="176">
      <c r="B176" s="5" t="str">
        <f>IFERROR(__xludf.DUMMYFUNCTION("""COMPUTED_VALUE"""),"3-ball miami betting")</f>
        <v>3-ball miami betting</v>
      </c>
    </row>
    <row r="177">
      <c r="B177" s="5" t="str">
        <f>IFERROR(__xludf.DUMMYFUNCTION("""COMPUTED_VALUE"""),"miami lottery betting")</f>
        <v>miami lottery betting</v>
      </c>
    </row>
    <row r="178">
      <c r="B178" s="5" t="str">
        <f>IFERROR(__xludf.DUMMYFUNCTION("""COMPUTED_VALUE"""),"lottery draw betting")</f>
        <v>lottery draw betting</v>
      </c>
    </row>
    <row r="179">
      <c r="B179" s="5" t="str">
        <f>IFERROR(__xludf.DUMMYFUNCTION("""COMPUTED_VALUE"""),"lottery ticket betting")</f>
        <v>lottery ticket betting</v>
      </c>
    </row>
    <row r="180">
      <c r="B180" s="5" t="str">
        <f>IFERROR(__xludf.DUMMYFUNCTION("""COMPUTED_VALUE"""),"lottery house betting")</f>
        <v>lottery house betting</v>
      </c>
    </row>
    <row r="181">
      <c r="B181" s="5" t="str">
        <f>IFERROR(__xludf.DUMMYFUNCTION("""COMPUTED_VALUE"""),"online lottery betting")</f>
        <v>online lottery betting</v>
      </c>
    </row>
    <row r="182">
      <c r="B182" s="5" t="str">
        <f>IFERROR(__xludf.DUMMYFUNCTION("""COMPUTED_VALUE"""),"lottery post app")</f>
        <v>lottery post app</v>
      </c>
    </row>
    <row r="183">
      <c r="B183" s="5" t="str">
        <f>IFERROR(__xludf.DUMMYFUNCTION("""COMPUTED_VALUE"""),"lotto games app")</f>
        <v>lotto games app</v>
      </c>
    </row>
    <row r="184">
      <c r="B184" s="5" t="str">
        <f>IFERROR(__xludf.DUMMYFUNCTION("""COMPUTED_VALUE"""),"numbers game app")</f>
        <v>numbers game app</v>
      </c>
    </row>
    <row r="185">
      <c r="B185" s="5" t="str">
        <f>IFERROR(__xludf.DUMMYFUNCTION("""COMPUTED_VALUE"""),"3 ball miami app")</f>
        <v>3 ball miami app</v>
      </c>
    </row>
    <row r="186">
      <c r="B186" s="5" t="str">
        <f>IFERROR(__xludf.DUMMYFUNCTION("""COMPUTED_VALUE"""),"3-ball miami app")</f>
        <v>3-ball miami app</v>
      </c>
    </row>
    <row r="187">
      <c r="B187" s="5" t="str">
        <f>IFERROR(__xludf.DUMMYFUNCTION("""COMPUTED_VALUE"""),"miami lottery app")</f>
        <v>miami lottery app</v>
      </c>
    </row>
    <row r="188">
      <c r="B188" s="5" t="str">
        <f>IFERROR(__xludf.DUMMYFUNCTION("""COMPUTED_VALUE"""),"lottery draw app")</f>
        <v>lottery draw app</v>
      </c>
    </row>
    <row r="189">
      <c r="B189" s="5" t="str">
        <f>IFERROR(__xludf.DUMMYFUNCTION("""COMPUTED_VALUE"""),"lottery ticket app")</f>
        <v>lottery ticket app</v>
      </c>
    </row>
    <row r="190">
      <c r="B190" s="5" t="str">
        <f>IFERROR(__xludf.DUMMYFUNCTION("""COMPUTED_VALUE"""),"lottery house app")</f>
        <v>lottery house app</v>
      </c>
    </row>
    <row r="191">
      <c r="B191" s="5" t="str">
        <f>IFERROR(__xludf.DUMMYFUNCTION("""COMPUTED_VALUE"""),"online lottery app")</f>
        <v>online lottery app</v>
      </c>
    </row>
    <row r="192">
      <c r="B192" s="5" t="str">
        <f>IFERROR(__xludf.DUMMYFUNCTION("""COMPUTED_VALUE"""),"lottery post mobile")</f>
        <v>lottery post mobile</v>
      </c>
    </row>
    <row r="193">
      <c r="B193" s="5" t="str">
        <f>IFERROR(__xludf.DUMMYFUNCTION("""COMPUTED_VALUE"""),"lotto games mobile")</f>
        <v>lotto games mobile</v>
      </c>
    </row>
    <row r="194">
      <c r="B194" s="5" t="str">
        <f>IFERROR(__xludf.DUMMYFUNCTION("""COMPUTED_VALUE"""),"numbers game mobile")</f>
        <v>numbers game mobile</v>
      </c>
    </row>
    <row r="195">
      <c r="B195" s="5" t="str">
        <f>IFERROR(__xludf.DUMMYFUNCTION("""COMPUTED_VALUE"""),"3 ball miami mobile")</f>
        <v>3 ball miami mobile</v>
      </c>
    </row>
    <row r="196">
      <c r="B196" s="5" t="str">
        <f>IFERROR(__xludf.DUMMYFUNCTION("""COMPUTED_VALUE"""),"3-ball miami mobile")</f>
        <v>3-ball miami mobile</v>
      </c>
    </row>
    <row r="197">
      <c r="B197" s="5" t="str">
        <f>IFERROR(__xludf.DUMMYFUNCTION("""COMPUTED_VALUE"""),"miami lottery mobile")</f>
        <v>miami lottery mobile</v>
      </c>
    </row>
    <row r="198">
      <c r="B198" s="5" t="str">
        <f>IFERROR(__xludf.DUMMYFUNCTION("""COMPUTED_VALUE"""),"lottery draw mobile")</f>
        <v>lottery draw mobile</v>
      </c>
    </row>
    <row r="199">
      <c r="B199" s="5" t="str">
        <f>IFERROR(__xludf.DUMMYFUNCTION("""COMPUTED_VALUE"""),"lottery ticket mobile")</f>
        <v>lottery ticket mobile</v>
      </c>
    </row>
    <row r="200">
      <c r="B200" s="5" t="str">
        <f>IFERROR(__xludf.DUMMYFUNCTION("""COMPUTED_VALUE"""),"lottery house mobile")</f>
        <v>lottery house mobile</v>
      </c>
    </row>
    <row r="201">
      <c r="B201" s="5" t="str">
        <f>IFERROR(__xludf.DUMMYFUNCTION("""COMPUTED_VALUE"""),"online lottery mobile")</f>
        <v>online lottery mobile</v>
      </c>
    </row>
    <row r="202">
      <c r="B202" s="5" t="str">
        <f>IFERROR(__xludf.DUMMYFUNCTION("""COMPUTED_VALUE"""),"lottery post login")</f>
        <v>lottery post login</v>
      </c>
    </row>
    <row r="203">
      <c r="B203" s="5" t="str">
        <f>IFERROR(__xludf.DUMMYFUNCTION("""COMPUTED_VALUE"""),"lotto games login")</f>
        <v>lotto games login</v>
      </c>
    </row>
    <row r="204">
      <c r="B204" s="5" t="str">
        <f>IFERROR(__xludf.DUMMYFUNCTION("""COMPUTED_VALUE"""),"numbers game login")</f>
        <v>numbers game login</v>
      </c>
    </row>
    <row r="205">
      <c r="B205" s="5" t="str">
        <f>IFERROR(__xludf.DUMMYFUNCTION("""COMPUTED_VALUE"""),"3 ball miami login")</f>
        <v>3 ball miami login</v>
      </c>
    </row>
    <row r="206">
      <c r="B206" s="5" t="str">
        <f>IFERROR(__xludf.DUMMYFUNCTION("""COMPUTED_VALUE"""),"3-ball miami login")</f>
        <v>3-ball miami login</v>
      </c>
    </row>
    <row r="207">
      <c r="B207" s="5" t="str">
        <f>IFERROR(__xludf.DUMMYFUNCTION("""COMPUTED_VALUE"""),"miami lottery login")</f>
        <v>miami lottery login</v>
      </c>
    </row>
    <row r="208">
      <c r="B208" s="5" t="str">
        <f>IFERROR(__xludf.DUMMYFUNCTION("""COMPUTED_VALUE"""),"lottery draw login")</f>
        <v>lottery draw login</v>
      </c>
    </row>
    <row r="209">
      <c r="B209" s="5" t="str">
        <f>IFERROR(__xludf.DUMMYFUNCTION("""COMPUTED_VALUE"""),"lottery ticket login")</f>
        <v>lottery ticket login</v>
      </c>
    </row>
    <row r="210">
      <c r="B210" s="5" t="str">
        <f>IFERROR(__xludf.DUMMYFUNCTION("""COMPUTED_VALUE"""),"lottery house login")</f>
        <v>lottery house login</v>
      </c>
    </row>
    <row r="211">
      <c r="B211" s="5" t="str">
        <f>IFERROR(__xludf.DUMMYFUNCTION("""COMPUTED_VALUE"""),"online lottery login")</f>
        <v>online lottery login</v>
      </c>
    </row>
    <row r="212">
      <c r="B212" s="5" t="str">
        <f>IFERROR(__xludf.DUMMYFUNCTION("""COMPUTED_VALUE"""),"lottery post deposit")</f>
        <v>lottery post deposit</v>
      </c>
    </row>
    <row r="213">
      <c r="B213" s="5" t="str">
        <f>IFERROR(__xludf.DUMMYFUNCTION("""COMPUTED_VALUE"""),"lotto games deposit")</f>
        <v>lotto games deposit</v>
      </c>
    </row>
    <row r="214">
      <c r="B214" s="5" t="str">
        <f>IFERROR(__xludf.DUMMYFUNCTION("""COMPUTED_VALUE"""),"numbers game deposit")</f>
        <v>numbers game deposit</v>
      </c>
    </row>
    <row r="215">
      <c r="B215" s="5" t="str">
        <f>IFERROR(__xludf.DUMMYFUNCTION("""COMPUTED_VALUE"""),"3 ball miami deposit")</f>
        <v>3 ball miami deposit</v>
      </c>
    </row>
    <row r="216">
      <c r="B216" s="5" t="str">
        <f>IFERROR(__xludf.DUMMYFUNCTION("""COMPUTED_VALUE"""),"3-ball miami deposit")</f>
        <v>3-ball miami deposit</v>
      </c>
    </row>
    <row r="217">
      <c r="B217" s="5" t="str">
        <f>IFERROR(__xludf.DUMMYFUNCTION("""COMPUTED_VALUE"""),"miami lottery deposit")</f>
        <v>miami lottery deposit</v>
      </c>
    </row>
    <row r="218">
      <c r="B218" s="5" t="str">
        <f>IFERROR(__xludf.DUMMYFUNCTION("""COMPUTED_VALUE"""),"lottery draw deposit")</f>
        <v>lottery draw deposit</v>
      </c>
    </row>
    <row r="219">
      <c r="B219" s="5" t="str">
        <f>IFERROR(__xludf.DUMMYFUNCTION("""COMPUTED_VALUE"""),"lottery ticket deposit")</f>
        <v>lottery ticket deposit</v>
      </c>
    </row>
    <row r="220">
      <c r="B220" s="5" t="str">
        <f>IFERROR(__xludf.DUMMYFUNCTION("""COMPUTED_VALUE"""),"lottery house deposit")</f>
        <v>lottery house deposit</v>
      </c>
    </row>
    <row r="221">
      <c r="B221" s="5" t="str">
        <f>IFERROR(__xludf.DUMMYFUNCTION("""COMPUTED_VALUE"""),"online lottery deposit")</f>
        <v>online lottery deposit</v>
      </c>
    </row>
    <row r="222">
      <c r="B222" s="5" t="str">
        <f>IFERROR(__xludf.DUMMYFUNCTION("""COMPUTED_VALUE"""),"lottery post withdrawal")</f>
        <v>lottery post withdrawal</v>
      </c>
    </row>
    <row r="223">
      <c r="B223" s="5" t="str">
        <f>IFERROR(__xludf.DUMMYFUNCTION("""COMPUTED_VALUE"""),"lotto games withdrawal")</f>
        <v>lotto games withdrawal</v>
      </c>
    </row>
    <row r="224">
      <c r="B224" s="5" t="str">
        <f>IFERROR(__xludf.DUMMYFUNCTION("""COMPUTED_VALUE"""),"numbers game withdrawal")</f>
        <v>numbers game withdrawal</v>
      </c>
    </row>
    <row r="225">
      <c r="B225" s="5" t="str">
        <f>IFERROR(__xludf.DUMMYFUNCTION("""COMPUTED_VALUE"""),"3 ball miami withdrawal")</f>
        <v>3 ball miami withdrawal</v>
      </c>
    </row>
    <row r="226">
      <c r="B226" s="5" t="str">
        <f>IFERROR(__xludf.DUMMYFUNCTION("""COMPUTED_VALUE"""),"3-ball miami withdrawal")</f>
        <v>3-ball miami withdrawal</v>
      </c>
    </row>
    <row r="227">
      <c r="B227" s="5" t="str">
        <f>IFERROR(__xludf.DUMMYFUNCTION("""COMPUTED_VALUE"""),"miami lottery withdrawal")</f>
        <v>miami lottery withdrawal</v>
      </c>
    </row>
    <row r="228">
      <c r="B228" s="5" t="str">
        <f>IFERROR(__xludf.DUMMYFUNCTION("""COMPUTED_VALUE"""),"lottery draw withdrawal")</f>
        <v>lottery draw withdrawal</v>
      </c>
    </row>
    <row r="229">
      <c r="B229" s="5" t="str">
        <f>IFERROR(__xludf.DUMMYFUNCTION("""COMPUTED_VALUE"""),"lottery ticket withdrawal")</f>
        <v>lottery ticket withdrawal</v>
      </c>
    </row>
    <row r="230">
      <c r="B230" s="5" t="str">
        <f>IFERROR(__xludf.DUMMYFUNCTION("""COMPUTED_VALUE"""),"lottery house withdrawal")</f>
        <v>lottery house withdrawal</v>
      </c>
    </row>
    <row r="231">
      <c r="B231" s="5" t="str">
        <f>IFERROR(__xludf.DUMMYFUNCTION("""COMPUTED_VALUE"""),"online lottery withdrawal")</f>
        <v>online lottery withdrawal</v>
      </c>
    </row>
    <row r="232">
      <c r="B232" s="5" t="str">
        <f>IFERROR(__xludf.DUMMYFUNCTION("""COMPUTED_VALUE"""),"lottery post stores")</f>
        <v>lottery post stores</v>
      </c>
    </row>
    <row r="233">
      <c r="B233" s="5" t="str">
        <f>IFERROR(__xludf.DUMMYFUNCTION("""COMPUTED_VALUE"""),"lotto games stores")</f>
        <v>lotto games stores</v>
      </c>
    </row>
    <row r="234">
      <c r="B234" s="5" t="str">
        <f>IFERROR(__xludf.DUMMYFUNCTION("""COMPUTED_VALUE"""),"numbers game stores")</f>
        <v>numbers game stores</v>
      </c>
    </row>
    <row r="235">
      <c r="B235" s="5" t="str">
        <f>IFERROR(__xludf.DUMMYFUNCTION("""COMPUTED_VALUE"""),"3 ball miami stores")</f>
        <v>3 ball miami stores</v>
      </c>
    </row>
    <row r="236">
      <c r="B236" s="5" t="str">
        <f>IFERROR(__xludf.DUMMYFUNCTION("""COMPUTED_VALUE"""),"3-ball miami stores")</f>
        <v>3-ball miami stores</v>
      </c>
    </row>
    <row r="237">
      <c r="B237" s="5" t="str">
        <f>IFERROR(__xludf.DUMMYFUNCTION("""COMPUTED_VALUE"""),"miami lottery stores")</f>
        <v>miami lottery stores</v>
      </c>
    </row>
    <row r="238">
      <c r="B238" s="5" t="str">
        <f>IFERROR(__xludf.DUMMYFUNCTION("""COMPUTED_VALUE"""),"lottery draw stores")</f>
        <v>lottery draw stores</v>
      </c>
    </row>
    <row r="239">
      <c r="B239" s="5" t="str">
        <f>IFERROR(__xludf.DUMMYFUNCTION("""COMPUTED_VALUE"""),"lottery ticket stores")</f>
        <v>lottery ticket stores</v>
      </c>
    </row>
    <row r="240">
      <c r="B240" s="5" t="str">
        <f>IFERROR(__xludf.DUMMYFUNCTION("""COMPUTED_VALUE"""),"lottery house stores")</f>
        <v>lottery house stores</v>
      </c>
    </row>
    <row r="241">
      <c r="B241" s="5" t="str">
        <f>IFERROR(__xludf.DUMMYFUNCTION("""COMPUTED_VALUE"""),"online lottery stores")</f>
        <v>online lottery stores</v>
      </c>
    </row>
    <row r="242">
      <c r="B242" s="5" t="str">
        <f>IFERROR(__xludf.DUMMYFUNCTION("""COMPUTED_VALUE"""),"lottery post locations")</f>
        <v>lottery post locations</v>
      </c>
    </row>
    <row r="243">
      <c r="B243" s="5" t="str">
        <f>IFERROR(__xludf.DUMMYFUNCTION("""COMPUTED_VALUE"""),"lotto games locations")</f>
        <v>lotto games locations</v>
      </c>
    </row>
    <row r="244">
      <c r="B244" s="5" t="str">
        <f>IFERROR(__xludf.DUMMYFUNCTION("""COMPUTED_VALUE"""),"numbers game locations")</f>
        <v>numbers game locations</v>
      </c>
    </row>
    <row r="245">
      <c r="B245" s="5" t="str">
        <f>IFERROR(__xludf.DUMMYFUNCTION("""COMPUTED_VALUE"""),"3 ball miami locations")</f>
        <v>3 ball miami locations</v>
      </c>
    </row>
    <row r="246">
      <c r="B246" s="5" t="str">
        <f>IFERROR(__xludf.DUMMYFUNCTION("""COMPUTED_VALUE"""),"3-ball miami locations")</f>
        <v>3-ball miami locations</v>
      </c>
    </row>
    <row r="247">
      <c r="B247" s="5" t="str">
        <f>IFERROR(__xludf.DUMMYFUNCTION("""COMPUTED_VALUE"""),"miami lottery locations")</f>
        <v>miami lottery locations</v>
      </c>
    </row>
    <row r="248">
      <c r="B248" s="5" t="str">
        <f>IFERROR(__xludf.DUMMYFUNCTION("""COMPUTED_VALUE"""),"lottery draw locations")</f>
        <v>lottery draw locations</v>
      </c>
    </row>
    <row r="249">
      <c r="B249" s="5" t="str">
        <f>IFERROR(__xludf.DUMMYFUNCTION("""COMPUTED_VALUE"""),"lottery ticket locations")</f>
        <v>lottery ticket locations</v>
      </c>
    </row>
    <row r="250">
      <c r="B250" s="5" t="str">
        <f>IFERROR(__xludf.DUMMYFUNCTION("""COMPUTED_VALUE"""),"lottery house locations")</f>
        <v>lottery house locations</v>
      </c>
    </row>
    <row r="251">
      <c r="B251" s="5" t="str">
        <f>IFERROR(__xludf.DUMMYFUNCTION("""COMPUTED_VALUE"""),"online lottery locations")</f>
        <v>online lottery locations</v>
      </c>
    </row>
    <row r="252">
      <c r="B252" s="5" t="str">
        <f>IFERROR(__xludf.DUMMYFUNCTION("""COMPUTED_VALUE"""),"lottery post paradise games")</f>
        <v>lottery post paradise games</v>
      </c>
    </row>
    <row r="253">
      <c r="B253" s="5" t="str">
        <f>IFERROR(__xludf.DUMMYFUNCTION("""COMPUTED_VALUE"""),"lotto games paradise games")</f>
        <v>lotto games paradise games</v>
      </c>
    </row>
    <row r="254">
      <c r="B254" s="5" t="str">
        <f>IFERROR(__xludf.DUMMYFUNCTION("""COMPUTED_VALUE"""),"numbers game paradise games")</f>
        <v>numbers game paradise games</v>
      </c>
    </row>
    <row r="255">
      <c r="B255" s="5" t="str">
        <f>IFERROR(__xludf.DUMMYFUNCTION("""COMPUTED_VALUE"""),"3 ball miami paradise games")</f>
        <v>3 ball miami paradise games</v>
      </c>
    </row>
    <row r="256">
      <c r="B256" s="5" t="str">
        <f>IFERROR(__xludf.DUMMYFUNCTION("""COMPUTED_VALUE"""),"3-ball miami paradise games")</f>
        <v>3-ball miami paradise games</v>
      </c>
    </row>
    <row r="257">
      <c r="B257" s="5" t="str">
        <f>IFERROR(__xludf.DUMMYFUNCTION("""COMPUTED_VALUE"""),"miami lottery paradise games")</f>
        <v>miami lottery paradise games</v>
      </c>
    </row>
    <row r="258">
      <c r="B258" s="5" t="str">
        <f>IFERROR(__xludf.DUMMYFUNCTION("""COMPUTED_VALUE"""),"lottery draw paradise games")</f>
        <v>lottery draw paradise games</v>
      </c>
    </row>
    <row r="259">
      <c r="B259" s="5" t="str">
        <f>IFERROR(__xludf.DUMMYFUNCTION("""COMPUTED_VALUE"""),"lottery ticket paradise games")</f>
        <v>lottery ticket paradise games</v>
      </c>
    </row>
    <row r="260">
      <c r="B260" s="5" t="str">
        <f>IFERROR(__xludf.DUMMYFUNCTION("""COMPUTED_VALUE"""),"lottery house paradise games")</f>
        <v>lottery house paradise games</v>
      </c>
    </row>
    <row r="261">
      <c r="B261" s="5" t="str">
        <f>IFERROR(__xludf.DUMMYFUNCTION("""COMPUTED_VALUE"""),"online lottery paradise games")</f>
        <v>online lottery paradise games</v>
      </c>
    </row>
    <row r="262">
      <c r="B262" s="5" t="str">
        <f>IFERROR(__xludf.DUMMYFUNCTION("""COMPUTED_VALUE"""),"lottery post pggames")</f>
        <v>lottery post pggames</v>
      </c>
    </row>
    <row r="263">
      <c r="B263" s="5" t="str">
        <f>IFERROR(__xludf.DUMMYFUNCTION("""COMPUTED_VALUE"""),"lotto games pggames")</f>
        <v>lotto games pggames</v>
      </c>
    </row>
    <row r="264">
      <c r="B264" s="5" t="str">
        <f>IFERROR(__xludf.DUMMYFUNCTION("""COMPUTED_VALUE"""),"numbers game pggames")</f>
        <v>numbers game pggames</v>
      </c>
    </row>
    <row r="265">
      <c r="B265" s="5" t="str">
        <f>IFERROR(__xludf.DUMMYFUNCTION("""COMPUTED_VALUE"""),"3 ball miami pggames")</f>
        <v>3 ball miami pggames</v>
      </c>
    </row>
    <row r="266">
      <c r="B266" s="5" t="str">
        <f>IFERROR(__xludf.DUMMYFUNCTION("""COMPUTED_VALUE"""),"3-ball miami pggames")</f>
        <v>3-ball miami pggames</v>
      </c>
    </row>
    <row r="267">
      <c r="B267" s="5" t="str">
        <f>IFERROR(__xludf.DUMMYFUNCTION("""COMPUTED_VALUE"""),"miami lottery pggames")</f>
        <v>miami lottery pggames</v>
      </c>
    </row>
    <row r="268">
      <c r="B268" s="5" t="str">
        <f>IFERROR(__xludf.DUMMYFUNCTION("""COMPUTED_VALUE"""),"lottery draw pggames")</f>
        <v>lottery draw pggames</v>
      </c>
    </row>
    <row r="269">
      <c r="B269" s="5" t="str">
        <f>IFERROR(__xludf.DUMMYFUNCTION("""COMPUTED_VALUE"""),"lottery ticket pggames")</f>
        <v>lottery ticket pggames</v>
      </c>
    </row>
    <row r="270">
      <c r="B270" s="5" t="str">
        <f>IFERROR(__xludf.DUMMYFUNCTION("""COMPUTED_VALUE"""),"lottery house pggames")</f>
        <v>lottery house pggames</v>
      </c>
    </row>
    <row r="271">
      <c r="B271" s="5" t="str">
        <f>IFERROR(__xludf.DUMMYFUNCTION("""COMPUTED_VALUE"""),"online lottery pggames")</f>
        <v>online lottery pggames</v>
      </c>
    </row>
    <row r="272">
      <c r="B272" s="5" t="str">
        <f>IFERROR(__xludf.DUMMYFUNCTION("""COMPUTED_VALUE"""),"lottery post island luck")</f>
        <v>lottery post island luck</v>
      </c>
    </row>
    <row r="273">
      <c r="B273" s="5" t="str">
        <f>IFERROR(__xludf.DUMMYFUNCTION("""COMPUTED_VALUE"""),"lotto games island luck")</f>
        <v>lotto games island luck</v>
      </c>
    </row>
    <row r="274">
      <c r="B274" s="5" t="str">
        <f>IFERROR(__xludf.DUMMYFUNCTION("""COMPUTED_VALUE"""),"numbers game island luck")</f>
        <v>numbers game island luck</v>
      </c>
    </row>
    <row r="275">
      <c r="B275" s="5" t="str">
        <f>IFERROR(__xludf.DUMMYFUNCTION("""COMPUTED_VALUE"""),"3 ball miami island luck")</f>
        <v>3 ball miami island luck</v>
      </c>
    </row>
    <row r="276">
      <c r="B276" s="5" t="str">
        <f>IFERROR(__xludf.DUMMYFUNCTION("""COMPUTED_VALUE"""),"3-ball miami island luck")</f>
        <v>3-ball miami island luck</v>
      </c>
    </row>
    <row r="277">
      <c r="B277" s="5" t="str">
        <f>IFERROR(__xludf.DUMMYFUNCTION("""COMPUTED_VALUE"""),"miami lottery island luck")</f>
        <v>miami lottery island luck</v>
      </c>
    </row>
    <row r="278">
      <c r="B278" s="5" t="str">
        <f>IFERROR(__xludf.DUMMYFUNCTION("""COMPUTED_VALUE"""),"lottery draw island luck")</f>
        <v>lottery draw island luck</v>
      </c>
    </row>
    <row r="279">
      <c r="B279" s="5" t="str">
        <f>IFERROR(__xludf.DUMMYFUNCTION("""COMPUTED_VALUE"""),"lottery ticket island luck")</f>
        <v>lottery ticket island luck</v>
      </c>
    </row>
    <row r="280">
      <c r="B280" s="5" t="str">
        <f>IFERROR(__xludf.DUMMYFUNCTION("""COMPUTED_VALUE"""),"lottery house island luck")</f>
        <v>lottery house island luck</v>
      </c>
    </row>
    <row r="281">
      <c r="B281" s="5" t="str">
        <f>IFERROR(__xludf.DUMMYFUNCTION("""COMPUTED_VALUE"""),"online lottery island luck")</f>
        <v>online lottery island luck</v>
      </c>
    </row>
    <row r="282">
      <c r="B282" s="5" t="str">
        <f>IFERROR(__xludf.DUMMYFUNCTION("""COMPUTED_VALUE"""),"lottery post chances")</f>
        <v>lottery post chances</v>
      </c>
    </row>
    <row r="283">
      <c r="B283" s="5" t="str">
        <f>IFERROR(__xludf.DUMMYFUNCTION("""COMPUTED_VALUE"""),"lotto games chances")</f>
        <v>lotto games chances</v>
      </c>
    </row>
    <row r="284">
      <c r="B284" s="5" t="str">
        <f>IFERROR(__xludf.DUMMYFUNCTION("""COMPUTED_VALUE"""),"numbers game chances")</f>
        <v>numbers game chances</v>
      </c>
    </row>
    <row r="285">
      <c r="B285" s="5" t="str">
        <f>IFERROR(__xludf.DUMMYFUNCTION("""COMPUTED_VALUE"""),"3 ball miami chances")</f>
        <v>3 ball miami chances</v>
      </c>
    </row>
    <row r="286">
      <c r="B286" s="5" t="str">
        <f>IFERROR(__xludf.DUMMYFUNCTION("""COMPUTED_VALUE"""),"3-ball miami chances")</f>
        <v>3-ball miami chances</v>
      </c>
    </row>
    <row r="287">
      <c r="B287" s="5" t="str">
        <f>IFERROR(__xludf.DUMMYFUNCTION("""COMPUTED_VALUE"""),"miami lottery chances")</f>
        <v>miami lottery chances</v>
      </c>
    </row>
    <row r="288">
      <c r="B288" s="5" t="str">
        <f>IFERROR(__xludf.DUMMYFUNCTION("""COMPUTED_VALUE"""),"lottery draw chances")</f>
        <v>lottery draw chances</v>
      </c>
    </row>
    <row r="289">
      <c r="B289" s="5" t="str">
        <f>IFERROR(__xludf.DUMMYFUNCTION("""COMPUTED_VALUE"""),"lottery ticket chances")</f>
        <v>lottery ticket chances</v>
      </c>
    </row>
    <row r="290">
      <c r="B290" s="5" t="str">
        <f>IFERROR(__xludf.DUMMYFUNCTION("""COMPUTED_VALUE"""),"lottery house chances")</f>
        <v>lottery house chances</v>
      </c>
    </row>
    <row r="291">
      <c r="B291" s="5" t="str">
        <f>IFERROR(__xludf.DUMMYFUNCTION("""COMPUTED_VALUE"""),"online lottery chances")</f>
        <v>online lottery chances</v>
      </c>
    </row>
    <row r="292">
      <c r="B292" s="5" t="str">
        <f>IFERROR(__xludf.DUMMYFUNCTION("""COMPUTED_VALUE"""),"lottery post ultra games")</f>
        <v>lottery post ultra games</v>
      </c>
    </row>
    <row r="293">
      <c r="B293" s="5" t="str">
        <f>IFERROR(__xludf.DUMMYFUNCTION("""COMPUTED_VALUE"""),"lotto games ultra games")</f>
        <v>lotto games ultra games</v>
      </c>
    </row>
    <row r="294">
      <c r="B294" s="5" t="str">
        <f>IFERROR(__xludf.DUMMYFUNCTION("""COMPUTED_VALUE"""),"numbers game ultra games")</f>
        <v>numbers game ultra games</v>
      </c>
    </row>
    <row r="295">
      <c r="B295" s="5" t="str">
        <f>IFERROR(__xludf.DUMMYFUNCTION("""COMPUTED_VALUE"""),"3 ball miami ultra games")</f>
        <v>3 ball miami ultra games</v>
      </c>
    </row>
    <row r="296">
      <c r="B296" s="5" t="str">
        <f>IFERROR(__xludf.DUMMYFUNCTION("""COMPUTED_VALUE"""),"3-ball miami ultra games")</f>
        <v>3-ball miami ultra games</v>
      </c>
    </row>
    <row r="297">
      <c r="B297" s="5" t="str">
        <f>IFERROR(__xludf.DUMMYFUNCTION("""COMPUTED_VALUE"""),"miami lottery ultra games")</f>
        <v>miami lottery ultra games</v>
      </c>
    </row>
    <row r="298">
      <c r="B298" s="5" t="str">
        <f>IFERROR(__xludf.DUMMYFUNCTION("""COMPUTED_VALUE"""),"lottery draw ultra games")</f>
        <v>lottery draw ultra games</v>
      </c>
    </row>
    <row r="299">
      <c r="B299" s="5" t="str">
        <f>IFERROR(__xludf.DUMMYFUNCTION("""COMPUTED_VALUE"""),"lottery ticket ultra games")</f>
        <v>lottery ticket ultra games</v>
      </c>
    </row>
    <row r="300">
      <c r="B300" s="5" t="str">
        <f>IFERROR(__xludf.DUMMYFUNCTION("""COMPUTED_VALUE"""),"lottery house ultra games")</f>
        <v>lottery house ultra games</v>
      </c>
    </row>
    <row r="301">
      <c r="B301" s="5" t="str">
        <f>IFERROR(__xludf.DUMMYFUNCTION("""COMPUTED_VALUE"""),"online lottery ultra games")</f>
        <v>online lottery ultra games</v>
      </c>
    </row>
    <row r="302">
      <c r="B302" s="5" t="str">
        <f>IFERROR(__xludf.DUMMYFUNCTION("""COMPUTED_VALUE"""),"lottery post asurewin")</f>
        <v>lottery post asurewin</v>
      </c>
    </row>
    <row r="303">
      <c r="B303" s="5" t="str">
        <f>IFERROR(__xludf.DUMMYFUNCTION("""COMPUTED_VALUE"""),"lotto games asurewin")</f>
        <v>lotto games asurewin</v>
      </c>
    </row>
    <row r="304">
      <c r="B304" s="5" t="str">
        <f>IFERROR(__xludf.DUMMYFUNCTION("""COMPUTED_VALUE"""),"numbers game asurewin")</f>
        <v>numbers game asurewin</v>
      </c>
    </row>
    <row r="305">
      <c r="B305" s="5" t="str">
        <f>IFERROR(__xludf.DUMMYFUNCTION("""COMPUTED_VALUE"""),"3 ball miami asurewin")</f>
        <v>3 ball miami asurewin</v>
      </c>
    </row>
    <row r="306">
      <c r="B306" s="5" t="str">
        <f>IFERROR(__xludf.DUMMYFUNCTION("""COMPUTED_VALUE"""),"3-ball miami asurewin")</f>
        <v>3-ball miami asurewin</v>
      </c>
    </row>
    <row r="307">
      <c r="B307" s="5" t="str">
        <f>IFERROR(__xludf.DUMMYFUNCTION("""COMPUTED_VALUE"""),"miami lottery asurewin")</f>
        <v>miami lottery asurewin</v>
      </c>
    </row>
    <row r="308">
      <c r="B308" s="5" t="str">
        <f>IFERROR(__xludf.DUMMYFUNCTION("""COMPUTED_VALUE"""),"lottery draw asurewin")</f>
        <v>lottery draw asurewin</v>
      </c>
    </row>
    <row r="309">
      <c r="B309" s="5" t="str">
        <f>IFERROR(__xludf.DUMMYFUNCTION("""COMPUTED_VALUE"""),"lottery ticket asurewin")</f>
        <v>lottery ticket asurewin</v>
      </c>
    </row>
    <row r="310">
      <c r="B310" s="5" t="str">
        <f>IFERROR(__xludf.DUMMYFUNCTION("""COMPUTED_VALUE"""),"lottery house asurewin")</f>
        <v>lottery house asurewin</v>
      </c>
    </row>
    <row r="311">
      <c r="B311" s="5" t="str">
        <f>IFERROR(__xludf.DUMMYFUNCTION("""COMPUTED_VALUE"""),"online lottery asurewin")</f>
        <v>online lottery asurewin</v>
      </c>
    </row>
    <row r="312">
      <c r="B312" s="5" t="str">
        <f>IFERROR(__xludf.DUMMYFUNCTION("""COMPUTED_VALUE"""),"lottery post caribbean")</f>
        <v>lottery post caribbean</v>
      </c>
    </row>
    <row r="313">
      <c r="B313" s="5" t="str">
        <f>IFERROR(__xludf.DUMMYFUNCTION("""COMPUTED_VALUE"""),"lotto games caribbean")</f>
        <v>lotto games caribbean</v>
      </c>
    </row>
    <row r="314">
      <c r="B314" s="5" t="str">
        <f>IFERROR(__xludf.DUMMYFUNCTION("""COMPUTED_VALUE"""),"numbers game caribbean")</f>
        <v>numbers game caribbean</v>
      </c>
    </row>
    <row r="315">
      <c r="B315" s="5" t="str">
        <f>IFERROR(__xludf.DUMMYFUNCTION("""COMPUTED_VALUE"""),"3 ball miami caribbean")</f>
        <v>3 ball miami caribbean</v>
      </c>
    </row>
    <row r="316">
      <c r="B316" s="5" t="str">
        <f>IFERROR(__xludf.DUMMYFUNCTION("""COMPUTED_VALUE"""),"3-ball miami caribbean")</f>
        <v>3-ball miami caribbean</v>
      </c>
    </row>
    <row r="317">
      <c r="B317" s="5" t="str">
        <f>IFERROR(__xludf.DUMMYFUNCTION("""COMPUTED_VALUE"""),"miami lottery caribbean")</f>
        <v>miami lottery caribbean</v>
      </c>
    </row>
    <row r="318">
      <c r="B318" s="5" t="str">
        <f>IFERROR(__xludf.DUMMYFUNCTION("""COMPUTED_VALUE"""),"lottery draw caribbean")</f>
        <v>lottery draw caribbean</v>
      </c>
    </row>
    <row r="319">
      <c r="B319" s="5" t="str">
        <f>IFERROR(__xludf.DUMMYFUNCTION("""COMPUTED_VALUE"""),"lottery ticket caribbean")</f>
        <v>lottery ticket caribbean</v>
      </c>
    </row>
    <row r="320">
      <c r="B320" s="5" t="str">
        <f>IFERROR(__xludf.DUMMYFUNCTION("""COMPUTED_VALUE"""),"lottery house caribbean")</f>
        <v>lottery house caribbean</v>
      </c>
    </row>
    <row r="321">
      <c r="B321" s="5" t="str">
        <f>IFERROR(__xludf.DUMMYFUNCTION("""COMPUTED_VALUE"""),"online lottery caribbean")</f>
        <v>online lottery caribbean</v>
      </c>
    </row>
    <row r="322">
      <c r="B322" s="5" t="str">
        <f>IFERROR(__xludf.DUMMYFUNCTION("""COMPUTED_VALUE"""),"lottery post")</f>
        <v>lottery post</v>
      </c>
    </row>
    <row r="323">
      <c r="B323" s="5" t="str">
        <f>IFERROR(__xludf.DUMMYFUNCTION("""COMPUTED_VALUE"""),"lotto games")</f>
        <v>lotto games</v>
      </c>
    </row>
    <row r="324">
      <c r="B324" s="5" t="str">
        <f>IFERROR(__xludf.DUMMYFUNCTION("""COMPUTED_VALUE"""),"numbers game")</f>
        <v>numbers game</v>
      </c>
    </row>
    <row r="325">
      <c r="B325" s="5" t="str">
        <f>IFERROR(__xludf.DUMMYFUNCTION("""COMPUTED_VALUE"""),"3 ball miami")</f>
        <v>3 ball miami</v>
      </c>
    </row>
    <row r="326">
      <c r="B326" s="5" t="str">
        <f>IFERROR(__xludf.DUMMYFUNCTION("""COMPUTED_VALUE"""),"3-ball miami")</f>
        <v>3-ball miami</v>
      </c>
    </row>
    <row r="327">
      <c r="B327" s="5" t="str">
        <f>IFERROR(__xludf.DUMMYFUNCTION("""COMPUTED_VALUE"""),"miami lottery")</f>
        <v>miami lottery</v>
      </c>
    </row>
    <row r="328">
      <c r="B328" s="5" t="str">
        <f>IFERROR(__xludf.DUMMYFUNCTION("""COMPUTED_VALUE"""),"lottery draw")</f>
        <v>lottery draw</v>
      </c>
    </row>
    <row r="329">
      <c r="B329" s="5" t="str">
        <f>IFERROR(__xludf.DUMMYFUNCTION("""COMPUTED_VALUE"""),"lottery ticket")</f>
        <v>lottery ticket</v>
      </c>
    </row>
    <row r="330">
      <c r="B330" s="5" t="str">
        <f>IFERROR(__xludf.DUMMYFUNCTION("""COMPUTED_VALUE"""),"lottery house")</f>
        <v>lottery house</v>
      </c>
    </row>
    <row r="331">
      <c r="B331" s="5" t="str">
        <f>IFERROR(__xludf.DUMMYFUNCTION("""COMPUTED_VALUE"""),"online lottery")</f>
        <v>online lottery</v>
      </c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7">
        <v>1.0</v>
      </c>
      <c r="B2" s="7" t="s">
        <v>19</v>
      </c>
      <c r="C2" s="7" t="s">
        <v>21</v>
      </c>
      <c r="D2" s="7">
        <v>77.0</v>
      </c>
      <c r="E2" s="7">
        <v>13000.0</v>
      </c>
      <c r="F2" s="7">
        <v>0.02</v>
      </c>
      <c r="G2" s="7">
        <v>1.1</v>
      </c>
      <c r="H2" s="7" t="s">
        <v>19</v>
      </c>
      <c r="I2" s="9">
        <v>46149.25953703704</v>
      </c>
      <c r="J2" s="7" t="s">
        <v>22</v>
      </c>
      <c r="K2" s="7">
        <v>62000.0</v>
      </c>
      <c r="L2" s="7">
        <v>13000.0</v>
      </c>
      <c r="M2" s="7">
        <v>80000.0</v>
      </c>
      <c r="N2" s="8">
        <v>42249.0</v>
      </c>
      <c r="O2" s="7" t="s">
        <v>24</v>
      </c>
      <c r="P2" s="7" t="s">
        <v>25</v>
      </c>
      <c r="Q2" s="7" t="s">
        <v>26</v>
      </c>
      <c r="R2" s="7" t="s">
        <v>27</v>
      </c>
      <c r="S2" s="7" t="s">
        <v>28</v>
      </c>
    </row>
    <row r="3">
      <c r="A3" s="7">
        <v>2.0</v>
      </c>
      <c r="B3" s="7" t="s">
        <v>30</v>
      </c>
      <c r="C3" s="7" t="s">
        <v>21</v>
      </c>
      <c r="D3" s="7">
        <v>70.0</v>
      </c>
      <c r="E3" s="7">
        <v>1000.0</v>
      </c>
      <c r="H3" s="7" t="s">
        <v>30</v>
      </c>
      <c r="I3" s="9">
        <v>45895.22857638889</v>
      </c>
      <c r="J3" s="7" t="s">
        <v>31</v>
      </c>
      <c r="K3" s="7">
        <v>4200.0</v>
      </c>
      <c r="L3" s="7">
        <v>3100.0</v>
      </c>
      <c r="M3" s="7">
        <v>274000.0</v>
      </c>
      <c r="N3" s="8">
        <v>42248.0</v>
      </c>
      <c r="O3" s="7" t="s">
        <v>33</v>
      </c>
      <c r="P3" s="7" t="s">
        <v>25</v>
      </c>
      <c r="Q3" s="7" t="s">
        <v>34</v>
      </c>
      <c r="R3" s="7" t="s">
        <v>36</v>
      </c>
      <c r="S3" s="7" t="s">
        <v>28</v>
      </c>
    </row>
    <row r="4">
      <c r="A4" s="7">
        <v>3.0</v>
      </c>
      <c r="B4" s="7" t="s">
        <v>39</v>
      </c>
      <c r="C4" s="7" t="s">
        <v>21</v>
      </c>
      <c r="D4" s="7">
        <v>84.0</v>
      </c>
      <c r="E4" s="7">
        <v>80.0</v>
      </c>
      <c r="K4" s="7">
        <v>715000.0</v>
      </c>
      <c r="N4" s="8">
        <v>42890.0</v>
      </c>
    </row>
    <row r="5">
      <c r="A5" s="7">
        <v>4.0</v>
      </c>
      <c r="B5" s="7" t="s">
        <v>43</v>
      </c>
      <c r="C5" s="7" t="s">
        <v>21</v>
      </c>
      <c r="D5" s="7">
        <v>75.0</v>
      </c>
      <c r="E5" s="7">
        <v>80.0</v>
      </c>
      <c r="H5" s="7" t="s">
        <v>46</v>
      </c>
      <c r="I5" s="9">
        <v>46123.46344907407</v>
      </c>
      <c r="J5" s="7" t="s">
        <v>48</v>
      </c>
      <c r="K5" s="7">
        <v>800.0</v>
      </c>
      <c r="L5" s="7">
        <v>700.0</v>
      </c>
      <c r="M5" s="7">
        <v>205000.0</v>
      </c>
      <c r="N5" s="8">
        <v>42405.0</v>
      </c>
      <c r="O5" s="7" t="s">
        <v>33</v>
      </c>
      <c r="P5" s="7" t="s">
        <v>25</v>
      </c>
      <c r="S5" s="7" t="s">
        <v>28</v>
      </c>
    </row>
    <row r="6">
      <c r="A6" s="7">
        <v>5.0</v>
      </c>
      <c r="B6" s="7" t="s">
        <v>52</v>
      </c>
      <c r="C6" s="7" t="s">
        <v>21</v>
      </c>
      <c r="D6" s="7">
        <v>75.0</v>
      </c>
      <c r="E6" s="7">
        <v>20.0</v>
      </c>
      <c r="K6" s="7">
        <v>70.0</v>
      </c>
      <c r="N6" s="8">
        <v>44352.0</v>
      </c>
      <c r="O6" s="7" t="s">
        <v>54</v>
      </c>
      <c r="P6" s="7" t="s">
        <v>25</v>
      </c>
      <c r="S6" s="7" t="s">
        <v>28</v>
      </c>
    </row>
    <row r="7">
      <c r="A7" s="7">
        <v>6.0</v>
      </c>
      <c r="B7" s="7" t="s">
        <v>56</v>
      </c>
      <c r="C7" s="7" t="s">
        <v>21</v>
      </c>
      <c r="D7" s="7">
        <v>76.0</v>
      </c>
      <c r="E7" s="7">
        <v>20.0</v>
      </c>
      <c r="K7" s="7">
        <v>100.0</v>
      </c>
      <c r="N7" s="8">
        <v>43868.0</v>
      </c>
      <c r="O7" s="7" t="s">
        <v>33</v>
      </c>
      <c r="P7" s="7" t="s">
        <v>25</v>
      </c>
      <c r="S7" s="7" t="s">
        <v>28</v>
      </c>
    </row>
    <row r="8">
      <c r="A8" s="7">
        <v>7.0</v>
      </c>
      <c r="B8" s="7" t="s">
        <v>57</v>
      </c>
      <c r="C8" s="7" t="s">
        <v>21</v>
      </c>
      <c r="D8" s="7">
        <v>61.0</v>
      </c>
      <c r="E8" s="7">
        <v>20.0</v>
      </c>
      <c r="K8" s="7">
        <v>350.0</v>
      </c>
      <c r="N8" s="8">
        <v>42364.0</v>
      </c>
      <c r="O8" s="7" t="s">
        <v>54</v>
      </c>
      <c r="P8" s="7" t="s">
        <v>25</v>
      </c>
      <c r="S8" s="7" t="s">
        <v>28</v>
      </c>
    </row>
    <row r="9">
      <c r="A9" s="7">
        <v>8.0</v>
      </c>
      <c r="B9" s="7" t="s">
        <v>60</v>
      </c>
      <c r="C9" s="7" t="s">
        <v>21</v>
      </c>
      <c r="D9" s="7">
        <v>83.0</v>
      </c>
      <c r="E9" s="7">
        <v>20.0</v>
      </c>
      <c r="K9" s="7">
        <v>52000.0</v>
      </c>
      <c r="N9" s="8">
        <v>42382.0</v>
      </c>
    </row>
    <row r="10">
      <c r="A10" s="7">
        <v>9.0</v>
      </c>
      <c r="B10" s="7" t="s">
        <v>63</v>
      </c>
      <c r="C10" s="7" t="s">
        <v>21</v>
      </c>
      <c r="D10" s="7">
        <v>57.0</v>
      </c>
      <c r="E10" s="7">
        <v>20.0</v>
      </c>
      <c r="H10" s="7" t="s">
        <v>19</v>
      </c>
      <c r="I10" s="9">
        <v>46131.94018518519</v>
      </c>
      <c r="J10" s="7" t="s">
        <v>40</v>
      </c>
      <c r="K10" s="7">
        <v>3700.0</v>
      </c>
      <c r="L10" s="7">
        <v>15000.0</v>
      </c>
      <c r="M10" s="7">
        <v>69000.0</v>
      </c>
      <c r="N10" s="8">
        <v>42404.0</v>
      </c>
      <c r="O10" s="7" t="s">
        <v>24</v>
      </c>
      <c r="P10" s="7" t="s">
        <v>25</v>
      </c>
      <c r="S10" s="7" t="s">
        <v>28</v>
      </c>
    </row>
    <row r="11">
      <c r="A11" s="7">
        <v>10.0</v>
      </c>
      <c r="B11" s="7" t="s">
        <v>67</v>
      </c>
      <c r="C11" s="7" t="s">
        <v>21</v>
      </c>
      <c r="K11" s="7">
        <v>450.0</v>
      </c>
      <c r="N11" s="8">
        <v>44872.0</v>
      </c>
    </row>
    <row r="12">
      <c r="A12" s="7">
        <v>11.0</v>
      </c>
      <c r="B12" s="7" t="s">
        <v>69</v>
      </c>
      <c r="C12" s="7" t="s">
        <v>21</v>
      </c>
      <c r="K12" s="7">
        <v>3100.0</v>
      </c>
      <c r="N12" s="8">
        <v>43975.0</v>
      </c>
    </row>
    <row r="13">
      <c r="A13" s="7">
        <v>12.0</v>
      </c>
      <c r="B13" s="7" t="s">
        <v>71</v>
      </c>
      <c r="C13" s="7" t="s">
        <v>21</v>
      </c>
      <c r="K13" s="7">
        <v>1900.0</v>
      </c>
      <c r="N13" s="8">
        <v>44695.0</v>
      </c>
    </row>
    <row r="14">
      <c r="A14" s="7">
        <v>13.0</v>
      </c>
      <c r="B14" s="7" t="s">
        <v>73</v>
      </c>
      <c r="C14" s="7" t="s">
        <v>21</v>
      </c>
      <c r="K14" s="7">
        <v>3900.0</v>
      </c>
      <c r="N14" s="8">
        <v>42486.0</v>
      </c>
    </row>
    <row r="15">
      <c r="A15" s="7">
        <v>14.0</v>
      </c>
      <c r="B15" s="7" t="s">
        <v>77</v>
      </c>
      <c r="C15" s="7" t="s">
        <v>21</v>
      </c>
      <c r="K15" s="7">
        <v>50.0</v>
      </c>
      <c r="N15" s="8">
        <v>45610.0</v>
      </c>
    </row>
    <row r="16">
      <c r="A16" s="7">
        <v>15.0</v>
      </c>
      <c r="B16" s="7" t="s">
        <v>79</v>
      </c>
      <c r="C16" s="7" t="s">
        <v>21</v>
      </c>
      <c r="K16" s="7">
        <v>800.0</v>
      </c>
      <c r="N16" s="8">
        <v>44046.0</v>
      </c>
    </row>
    <row r="17">
      <c r="A17" s="7">
        <v>16.0</v>
      </c>
      <c r="B17" s="7" t="s">
        <v>82</v>
      </c>
      <c r="C17" s="7" t="s">
        <v>21</v>
      </c>
      <c r="K17" s="7">
        <v>300.0</v>
      </c>
      <c r="N17" s="8">
        <v>43980.0</v>
      </c>
    </row>
    <row r="18">
      <c r="A18" s="7">
        <v>17.0</v>
      </c>
      <c r="B18" s="7" t="s">
        <v>85</v>
      </c>
      <c r="C18" s="7" t="s">
        <v>21</v>
      </c>
      <c r="K18" s="7">
        <v>250.0</v>
      </c>
      <c r="N18" s="8">
        <v>44382.0</v>
      </c>
    </row>
    <row r="19">
      <c r="A19" s="7">
        <v>18.0</v>
      </c>
      <c r="B19" s="7" t="s">
        <v>87</v>
      </c>
      <c r="C19" s="7" t="s">
        <v>21</v>
      </c>
      <c r="K19" s="7">
        <v>90.0</v>
      </c>
      <c r="N19" s="8">
        <v>44257.0</v>
      </c>
    </row>
    <row r="20">
      <c r="A20" s="7">
        <v>19.0</v>
      </c>
      <c r="B20" s="7" t="s">
        <v>89</v>
      </c>
      <c r="C20" s="7" t="s">
        <v>21</v>
      </c>
      <c r="K20" s="7">
        <v>4400.0</v>
      </c>
      <c r="N20" s="8">
        <v>43862.0</v>
      </c>
    </row>
    <row r="21">
      <c r="A21" s="7">
        <v>20.0</v>
      </c>
      <c r="B21" s="7" t="s">
        <v>91</v>
      </c>
      <c r="C21" s="7" t="s">
        <v>21</v>
      </c>
      <c r="K21" s="7">
        <v>450.0</v>
      </c>
      <c r="N21" s="8">
        <v>44773.0</v>
      </c>
    </row>
    <row r="22">
      <c r="A22" s="7">
        <v>21.0</v>
      </c>
      <c r="B22" s="7" t="s">
        <v>93</v>
      </c>
      <c r="C22" s="7" t="s">
        <v>21</v>
      </c>
      <c r="K22" s="7">
        <v>10.0</v>
      </c>
      <c r="N22" s="8">
        <v>45280.0</v>
      </c>
    </row>
    <row r="23">
      <c r="A23" s="7">
        <v>22.0</v>
      </c>
      <c r="B23" s="7" t="s">
        <v>96</v>
      </c>
      <c r="C23" s="7" t="s">
        <v>21</v>
      </c>
      <c r="K23" s="7">
        <v>400.0</v>
      </c>
      <c r="N23" s="8">
        <v>42369.0</v>
      </c>
      <c r="O23" s="7" t="s">
        <v>72</v>
      </c>
      <c r="P23" s="7" t="s">
        <v>25</v>
      </c>
      <c r="S23" s="7" t="s">
        <v>28</v>
      </c>
    </row>
    <row r="24">
      <c r="A24" s="7">
        <v>23.0</v>
      </c>
      <c r="B24" s="7" t="s">
        <v>98</v>
      </c>
      <c r="C24" s="7" t="s">
        <v>21</v>
      </c>
      <c r="K24" s="7">
        <v>400.0</v>
      </c>
      <c r="N24" s="8">
        <v>43910.0</v>
      </c>
    </row>
    <row r="25">
      <c r="A25" s="7">
        <v>24.0</v>
      </c>
      <c r="B25" s="7" t="s">
        <v>100</v>
      </c>
      <c r="C25" s="7" t="s">
        <v>21</v>
      </c>
      <c r="K25" s="7">
        <v>500.0</v>
      </c>
      <c r="N25" s="8">
        <v>44579.0</v>
      </c>
    </row>
    <row r="26">
      <c r="A26" s="7">
        <v>25.0</v>
      </c>
      <c r="B26" s="7" t="s">
        <v>102</v>
      </c>
      <c r="C26" s="7" t="s">
        <v>21</v>
      </c>
      <c r="K26" s="7">
        <v>100.0</v>
      </c>
      <c r="N26" s="8">
        <v>45211.0</v>
      </c>
    </row>
    <row r="27">
      <c r="A27" s="7">
        <v>26.0</v>
      </c>
      <c r="B27" s="7" t="s">
        <v>105</v>
      </c>
      <c r="C27" s="7" t="s">
        <v>21</v>
      </c>
      <c r="K27" s="7">
        <v>250.0</v>
      </c>
      <c r="N27" s="8">
        <v>44370.0</v>
      </c>
    </row>
    <row r="28">
      <c r="A28" s="7">
        <v>27.0</v>
      </c>
      <c r="B28" s="7" t="s">
        <v>107</v>
      </c>
      <c r="C28" s="7" t="s">
        <v>21</v>
      </c>
      <c r="K28" s="7">
        <v>800.0</v>
      </c>
      <c r="N28" s="8">
        <v>45026.0</v>
      </c>
    </row>
    <row r="29">
      <c r="A29" s="7">
        <v>28.0</v>
      </c>
      <c r="B29" s="7" t="s">
        <v>110</v>
      </c>
      <c r="C29" s="7" t="s">
        <v>21</v>
      </c>
      <c r="K29" s="7">
        <v>3400.0</v>
      </c>
      <c r="N29" s="8">
        <v>43868.0</v>
      </c>
    </row>
    <row r="30">
      <c r="A30" s="7">
        <v>29.0</v>
      </c>
      <c r="B30" s="7" t="s">
        <v>111</v>
      </c>
      <c r="C30" s="7" t="s">
        <v>21</v>
      </c>
      <c r="F30" s="7">
        <v>0.2</v>
      </c>
      <c r="K30" s="7">
        <v>20000.0</v>
      </c>
      <c r="N30" s="8">
        <v>42898.0</v>
      </c>
    </row>
    <row r="31">
      <c r="A31" s="7">
        <v>30.0</v>
      </c>
      <c r="B31" s="7" t="s">
        <v>113</v>
      </c>
      <c r="C31" s="7" t="s">
        <v>21</v>
      </c>
      <c r="K31" s="7">
        <v>5000.0</v>
      </c>
      <c r="N31" s="8">
        <v>44054.0</v>
      </c>
    </row>
    <row r="32">
      <c r="A32" s="7">
        <v>31.0</v>
      </c>
      <c r="B32" s="7" t="s">
        <v>116</v>
      </c>
      <c r="C32" s="7" t="s">
        <v>21</v>
      </c>
    </row>
    <row r="33">
      <c r="A33" s="7">
        <v>32.0</v>
      </c>
      <c r="B33" s="7" t="s">
        <v>119</v>
      </c>
      <c r="C33" s="7" t="s">
        <v>21</v>
      </c>
    </row>
    <row r="34">
      <c r="A34" s="7">
        <v>33.0</v>
      </c>
      <c r="B34" s="7" t="s">
        <v>121</v>
      </c>
      <c r="C34" s="7" t="s">
        <v>21</v>
      </c>
    </row>
    <row r="35">
      <c r="A35" s="7">
        <v>34.0</v>
      </c>
      <c r="B35" s="7" t="s">
        <v>123</v>
      </c>
      <c r="C35" s="7" t="s">
        <v>21</v>
      </c>
    </row>
    <row r="36">
      <c r="A36" s="7">
        <v>35.0</v>
      </c>
      <c r="B36" s="7" t="s">
        <v>125</v>
      </c>
      <c r="C36" s="7" t="s">
        <v>21</v>
      </c>
    </row>
    <row r="37">
      <c r="A37" s="7">
        <v>36.0</v>
      </c>
      <c r="B37" s="7" t="s">
        <v>127</v>
      </c>
      <c r="C37" s="7" t="s">
        <v>21</v>
      </c>
    </row>
    <row r="38">
      <c r="A38" s="7">
        <v>37.0</v>
      </c>
      <c r="B38" s="7" t="s">
        <v>130</v>
      </c>
      <c r="C38" s="7" t="s">
        <v>21</v>
      </c>
    </row>
    <row r="39">
      <c r="A39" s="7">
        <v>38.0</v>
      </c>
      <c r="B39" s="7" t="s">
        <v>132</v>
      </c>
      <c r="C39" s="7" t="s">
        <v>21</v>
      </c>
    </row>
    <row r="40">
      <c r="A40" s="7">
        <v>39.0</v>
      </c>
      <c r="B40" s="7" t="s">
        <v>134</v>
      </c>
      <c r="C40" s="7" t="s">
        <v>21</v>
      </c>
    </row>
    <row r="41">
      <c r="A41" s="7">
        <v>40.0</v>
      </c>
      <c r="B41" s="7" t="s">
        <v>135</v>
      </c>
      <c r="C41" s="7" t="s">
        <v>21</v>
      </c>
    </row>
    <row r="42">
      <c r="A42" s="7">
        <v>41.0</v>
      </c>
      <c r="B42" s="7" t="s">
        <v>138</v>
      </c>
      <c r="C42" s="7" t="s">
        <v>21</v>
      </c>
    </row>
    <row r="43">
      <c r="A43" s="7">
        <v>42.0</v>
      </c>
      <c r="B43" s="7" t="s">
        <v>140</v>
      </c>
      <c r="C43" s="7" t="s">
        <v>21</v>
      </c>
    </row>
    <row r="44">
      <c r="A44" s="7">
        <v>43.0</v>
      </c>
      <c r="B44" s="7" t="s">
        <v>142</v>
      </c>
      <c r="C44" s="7" t="s">
        <v>21</v>
      </c>
    </row>
    <row r="45">
      <c r="A45" s="7">
        <v>44.0</v>
      </c>
      <c r="B45" s="7" t="s">
        <v>144</v>
      </c>
      <c r="C45" s="7" t="s">
        <v>21</v>
      </c>
    </row>
    <row r="46">
      <c r="A46" s="7">
        <v>45.0</v>
      </c>
      <c r="B46" s="7" t="s">
        <v>147</v>
      </c>
      <c r="C46" s="7" t="s">
        <v>21</v>
      </c>
    </row>
    <row r="47">
      <c r="A47" s="7">
        <v>46.0</v>
      </c>
      <c r="B47" s="7" t="s">
        <v>150</v>
      </c>
      <c r="C47" s="7" t="s">
        <v>21</v>
      </c>
    </row>
    <row r="48">
      <c r="A48" s="7">
        <v>47.0</v>
      </c>
      <c r="B48" s="7" t="s">
        <v>151</v>
      </c>
      <c r="C48" s="7" t="s">
        <v>21</v>
      </c>
    </row>
    <row r="49">
      <c r="A49" s="7">
        <v>48.0</v>
      </c>
      <c r="B49" s="7" t="s">
        <v>153</v>
      </c>
      <c r="C49" s="7" t="s">
        <v>21</v>
      </c>
    </row>
    <row r="50">
      <c r="A50" s="7">
        <v>49.0</v>
      </c>
      <c r="B50" s="7" t="s">
        <v>154</v>
      </c>
      <c r="C50" s="7" t="s">
        <v>21</v>
      </c>
    </row>
    <row r="51">
      <c r="A51" s="7">
        <v>50.0</v>
      </c>
      <c r="B51" s="7" t="s">
        <v>157</v>
      </c>
      <c r="C51" s="7" t="s">
        <v>21</v>
      </c>
    </row>
    <row r="52">
      <c r="A52" s="7">
        <v>51.0</v>
      </c>
      <c r="B52" s="7" t="s">
        <v>158</v>
      </c>
      <c r="C52" s="7" t="s">
        <v>21</v>
      </c>
    </row>
    <row r="53">
      <c r="A53" s="7">
        <v>52.0</v>
      </c>
      <c r="B53" s="7" t="s">
        <v>160</v>
      </c>
      <c r="C53" s="7" t="s">
        <v>21</v>
      </c>
    </row>
    <row r="54">
      <c r="A54" s="7">
        <v>53.0</v>
      </c>
      <c r="B54" s="7" t="s">
        <v>166</v>
      </c>
      <c r="C54" s="7" t="s">
        <v>21</v>
      </c>
    </row>
    <row r="55">
      <c r="A55" s="7">
        <v>54.0</v>
      </c>
      <c r="B55" s="7" t="s">
        <v>168</v>
      </c>
      <c r="C55" s="7" t="s">
        <v>21</v>
      </c>
    </row>
    <row r="56">
      <c r="A56" s="7">
        <v>55.0</v>
      </c>
      <c r="B56" s="7" t="s">
        <v>170</v>
      </c>
      <c r="C56" s="7" t="s">
        <v>21</v>
      </c>
    </row>
    <row r="57">
      <c r="A57" s="7">
        <v>56.0</v>
      </c>
      <c r="B57" s="7" t="s">
        <v>172</v>
      </c>
      <c r="C57" s="7" t="s">
        <v>21</v>
      </c>
    </row>
    <row r="58">
      <c r="A58" s="7">
        <v>57.0</v>
      </c>
      <c r="B58" s="7" t="s">
        <v>175</v>
      </c>
      <c r="C58" s="7" t="s">
        <v>21</v>
      </c>
    </row>
    <row r="59">
      <c r="A59" s="7">
        <v>58.0</v>
      </c>
      <c r="B59" s="7" t="s">
        <v>177</v>
      </c>
      <c r="C59" s="7" t="s">
        <v>21</v>
      </c>
    </row>
    <row r="60">
      <c r="A60" s="7">
        <v>59.0</v>
      </c>
      <c r="B60" s="7" t="s">
        <v>179</v>
      </c>
      <c r="C60" s="7" t="s">
        <v>21</v>
      </c>
    </row>
    <row r="61">
      <c r="A61" s="7">
        <v>60.0</v>
      </c>
      <c r="B61" s="7" t="s">
        <v>182</v>
      </c>
      <c r="C61" s="7" t="s">
        <v>21</v>
      </c>
    </row>
    <row r="62">
      <c r="A62" s="7">
        <v>61.0</v>
      </c>
      <c r="B62" s="7" t="s">
        <v>183</v>
      </c>
      <c r="C62" s="7" t="s">
        <v>21</v>
      </c>
    </row>
    <row r="63">
      <c r="A63" s="7">
        <v>62.0</v>
      </c>
      <c r="B63" s="7" t="s">
        <v>186</v>
      </c>
      <c r="C63" s="7" t="s">
        <v>21</v>
      </c>
    </row>
    <row r="64">
      <c r="A64" s="7">
        <v>63.0</v>
      </c>
      <c r="B64" s="7" t="s">
        <v>189</v>
      </c>
      <c r="C64" s="7" t="s">
        <v>21</v>
      </c>
    </row>
    <row r="65">
      <c r="A65" s="7">
        <v>64.0</v>
      </c>
      <c r="B65" s="7" t="s">
        <v>191</v>
      </c>
      <c r="C65" s="7" t="s">
        <v>21</v>
      </c>
    </row>
    <row r="66">
      <c r="A66" s="7">
        <v>65.0</v>
      </c>
      <c r="B66" s="7" t="s">
        <v>194</v>
      </c>
      <c r="C66" s="7" t="s">
        <v>21</v>
      </c>
    </row>
    <row r="67">
      <c r="A67" s="7">
        <v>66.0</v>
      </c>
      <c r="B67" s="7" t="s">
        <v>195</v>
      </c>
      <c r="C67" s="7" t="s">
        <v>21</v>
      </c>
    </row>
    <row r="68">
      <c r="A68" s="7">
        <v>67.0</v>
      </c>
      <c r="B68" s="7" t="s">
        <v>197</v>
      </c>
      <c r="C68" s="7" t="s">
        <v>21</v>
      </c>
    </row>
    <row r="69">
      <c r="A69" s="7">
        <v>68.0</v>
      </c>
      <c r="B69" s="7" t="s">
        <v>200</v>
      </c>
      <c r="C69" s="7" t="s">
        <v>21</v>
      </c>
    </row>
    <row r="70">
      <c r="A70" s="7">
        <v>69.0</v>
      </c>
      <c r="B70" s="7" t="s">
        <v>203</v>
      </c>
      <c r="C70" s="7" t="s">
        <v>21</v>
      </c>
    </row>
    <row r="71">
      <c r="A71" s="7">
        <v>70.0</v>
      </c>
      <c r="B71" s="7" t="s">
        <v>204</v>
      </c>
      <c r="C71" s="7" t="s">
        <v>21</v>
      </c>
    </row>
    <row r="72">
      <c r="A72" s="7">
        <v>71.0</v>
      </c>
      <c r="B72" s="7" t="s">
        <v>207</v>
      </c>
      <c r="C72" s="7" t="s">
        <v>21</v>
      </c>
    </row>
    <row r="73">
      <c r="A73" s="7">
        <v>72.0</v>
      </c>
      <c r="B73" s="7" t="s">
        <v>209</v>
      </c>
      <c r="C73" s="7" t="s">
        <v>21</v>
      </c>
    </row>
    <row r="74">
      <c r="A74" s="7">
        <v>73.0</v>
      </c>
      <c r="B74" s="7" t="s">
        <v>211</v>
      </c>
      <c r="C74" s="7" t="s">
        <v>21</v>
      </c>
    </row>
    <row r="75">
      <c r="A75" s="7">
        <v>74.0</v>
      </c>
      <c r="B75" s="7" t="s">
        <v>213</v>
      </c>
      <c r="C75" s="7" t="s">
        <v>21</v>
      </c>
    </row>
    <row r="76">
      <c r="A76" s="7">
        <v>75.0</v>
      </c>
      <c r="B76" s="7" t="s">
        <v>215</v>
      </c>
      <c r="C76" s="7" t="s">
        <v>21</v>
      </c>
    </row>
    <row r="77">
      <c r="A77" s="7">
        <v>76.0</v>
      </c>
      <c r="B77" s="7" t="s">
        <v>217</v>
      </c>
      <c r="C77" s="7" t="s">
        <v>21</v>
      </c>
    </row>
    <row r="78">
      <c r="A78" s="7">
        <v>77.0</v>
      </c>
      <c r="B78" s="7" t="s">
        <v>218</v>
      </c>
      <c r="C78" s="7" t="s">
        <v>21</v>
      </c>
    </row>
    <row r="79">
      <c r="A79" s="7">
        <v>78.0</v>
      </c>
      <c r="B79" s="7" t="s">
        <v>220</v>
      </c>
      <c r="C79" s="7" t="s">
        <v>21</v>
      </c>
    </row>
    <row r="80">
      <c r="A80" s="7">
        <v>79.0</v>
      </c>
      <c r="B80" s="7" t="s">
        <v>223</v>
      </c>
      <c r="C80" s="7" t="s">
        <v>21</v>
      </c>
    </row>
    <row r="81">
      <c r="A81" s="7">
        <v>80.0</v>
      </c>
      <c r="B81" s="7" t="s">
        <v>225</v>
      </c>
      <c r="C81" s="7" t="s">
        <v>21</v>
      </c>
    </row>
    <row r="82">
      <c r="A82" s="7">
        <v>81.0</v>
      </c>
      <c r="B82" s="7" t="s">
        <v>226</v>
      </c>
      <c r="C82" s="7" t="s">
        <v>21</v>
      </c>
    </row>
    <row r="83">
      <c r="A83" s="7">
        <v>82.0</v>
      </c>
      <c r="B83" s="7" t="s">
        <v>228</v>
      </c>
      <c r="C83" s="7" t="s">
        <v>21</v>
      </c>
    </row>
    <row r="84">
      <c r="A84" s="7">
        <v>83.0</v>
      </c>
      <c r="B84" s="7" t="s">
        <v>229</v>
      </c>
      <c r="C84" s="7" t="s">
        <v>21</v>
      </c>
    </row>
    <row r="85">
      <c r="A85" s="7">
        <v>84.0</v>
      </c>
      <c r="B85" s="7" t="s">
        <v>231</v>
      </c>
      <c r="C85" s="7" t="s">
        <v>21</v>
      </c>
    </row>
    <row r="86">
      <c r="A86" s="7">
        <v>85.0</v>
      </c>
      <c r="B86" s="7" t="s">
        <v>232</v>
      </c>
      <c r="C86" s="7" t="s">
        <v>21</v>
      </c>
    </row>
    <row r="87">
      <c r="A87" s="7">
        <v>86.0</v>
      </c>
      <c r="B87" s="7" t="s">
        <v>234</v>
      </c>
      <c r="C87" s="7" t="s">
        <v>21</v>
      </c>
    </row>
    <row r="88">
      <c r="A88" s="7">
        <v>87.0</v>
      </c>
      <c r="B88" s="7" t="s">
        <v>236</v>
      </c>
      <c r="C88" s="7" t="s">
        <v>21</v>
      </c>
    </row>
    <row r="89">
      <c r="A89" s="7">
        <v>88.0</v>
      </c>
      <c r="B89" s="7" t="s">
        <v>239</v>
      </c>
      <c r="C89" s="7" t="s">
        <v>21</v>
      </c>
    </row>
    <row r="90">
      <c r="A90" s="7">
        <v>89.0</v>
      </c>
      <c r="B90" s="7" t="s">
        <v>241</v>
      </c>
      <c r="C90" s="7" t="s">
        <v>21</v>
      </c>
    </row>
    <row r="91">
      <c r="A91" s="7">
        <v>90.0</v>
      </c>
      <c r="B91" s="7" t="s">
        <v>243</v>
      </c>
      <c r="C91" s="7" t="s">
        <v>21</v>
      </c>
    </row>
    <row r="92">
      <c r="A92" s="7">
        <v>91.0</v>
      </c>
      <c r="B92" s="7" t="s">
        <v>245</v>
      </c>
      <c r="C92" s="7" t="s">
        <v>21</v>
      </c>
    </row>
    <row r="93">
      <c r="A93" s="7">
        <v>92.0</v>
      </c>
      <c r="B93" s="7" t="s">
        <v>248</v>
      </c>
      <c r="C93" s="7" t="s">
        <v>21</v>
      </c>
    </row>
    <row r="94">
      <c r="A94" s="7">
        <v>93.0</v>
      </c>
      <c r="B94" s="7" t="s">
        <v>250</v>
      </c>
      <c r="C94" s="7" t="s">
        <v>21</v>
      </c>
    </row>
    <row r="95">
      <c r="A95" s="7">
        <v>94.0</v>
      </c>
      <c r="B95" s="7" t="s">
        <v>252</v>
      </c>
      <c r="C95" s="7" t="s">
        <v>21</v>
      </c>
    </row>
    <row r="96">
      <c r="A96" s="7">
        <v>95.0</v>
      </c>
      <c r="B96" s="7" t="s">
        <v>255</v>
      </c>
      <c r="C96" s="7" t="s">
        <v>21</v>
      </c>
    </row>
    <row r="97">
      <c r="A97" s="7">
        <v>96.0</v>
      </c>
      <c r="B97" s="7" t="s">
        <v>257</v>
      </c>
      <c r="C97" s="7" t="s">
        <v>21</v>
      </c>
    </row>
    <row r="98">
      <c r="A98" s="7">
        <v>97.0</v>
      </c>
      <c r="B98" s="7" t="s">
        <v>259</v>
      </c>
      <c r="C98" s="7" t="s">
        <v>21</v>
      </c>
    </row>
    <row r="99">
      <c r="A99" s="7">
        <v>98.0</v>
      </c>
      <c r="B99" s="7" t="s">
        <v>262</v>
      </c>
      <c r="C99" s="7" t="s">
        <v>21</v>
      </c>
    </row>
    <row r="100">
      <c r="A100" s="7">
        <v>99.0</v>
      </c>
      <c r="B100" s="7" t="s">
        <v>263</v>
      </c>
      <c r="C100" s="7" t="s">
        <v>21</v>
      </c>
    </row>
    <row r="101">
      <c r="A101" s="7">
        <v>100.0</v>
      </c>
      <c r="B101" s="7" t="s">
        <v>266</v>
      </c>
      <c r="C101" s="7" t="s">
        <v>21</v>
      </c>
    </row>
    <row r="102">
      <c r="A102" s="7">
        <v>101.0</v>
      </c>
      <c r="B102" s="7" t="s">
        <v>268</v>
      </c>
      <c r="C102" s="7" t="s">
        <v>21</v>
      </c>
    </row>
    <row r="103">
      <c r="A103" s="7">
        <v>102.0</v>
      </c>
      <c r="B103" s="7" t="s">
        <v>269</v>
      </c>
      <c r="C103" s="7" t="s">
        <v>21</v>
      </c>
    </row>
    <row r="104">
      <c r="A104" s="7">
        <v>103.0</v>
      </c>
      <c r="B104" s="7" t="s">
        <v>272</v>
      </c>
      <c r="C104" s="7" t="s">
        <v>21</v>
      </c>
    </row>
    <row r="105">
      <c r="A105" s="7">
        <v>104.0</v>
      </c>
      <c r="B105" s="7" t="s">
        <v>273</v>
      </c>
      <c r="C105" s="7" t="s">
        <v>21</v>
      </c>
    </row>
    <row r="106">
      <c r="A106" s="7">
        <v>105.0</v>
      </c>
      <c r="B106" s="7" t="s">
        <v>275</v>
      </c>
      <c r="C106" s="7" t="s">
        <v>21</v>
      </c>
    </row>
    <row r="107">
      <c r="A107" s="7">
        <v>106.0</v>
      </c>
      <c r="B107" s="7" t="s">
        <v>277</v>
      </c>
      <c r="C107" s="7" t="s">
        <v>21</v>
      </c>
    </row>
    <row r="108">
      <c r="A108" s="7">
        <v>107.0</v>
      </c>
      <c r="B108" s="7" t="s">
        <v>279</v>
      </c>
      <c r="C108" s="7" t="s">
        <v>21</v>
      </c>
    </row>
    <row r="109">
      <c r="A109" s="7">
        <v>108.0</v>
      </c>
      <c r="B109" s="7" t="s">
        <v>280</v>
      </c>
      <c r="C109" s="7" t="s">
        <v>21</v>
      </c>
    </row>
    <row r="110">
      <c r="A110" s="7">
        <v>109.0</v>
      </c>
      <c r="B110" s="7" t="s">
        <v>282</v>
      </c>
      <c r="C110" s="7" t="s">
        <v>21</v>
      </c>
    </row>
    <row r="111">
      <c r="A111" s="7">
        <v>110.0</v>
      </c>
      <c r="B111" s="7" t="s">
        <v>283</v>
      </c>
      <c r="C111" s="7" t="s">
        <v>21</v>
      </c>
    </row>
    <row r="112">
      <c r="A112" s="7">
        <v>111.0</v>
      </c>
      <c r="B112" s="7" t="s">
        <v>284</v>
      </c>
      <c r="C112" s="7" t="s">
        <v>21</v>
      </c>
    </row>
    <row r="113">
      <c r="A113" s="7">
        <v>112.0</v>
      </c>
      <c r="B113" s="7" t="s">
        <v>286</v>
      </c>
      <c r="C113" s="7" t="s">
        <v>21</v>
      </c>
    </row>
    <row r="114">
      <c r="A114" s="7">
        <v>113.0</v>
      </c>
      <c r="B114" s="7" t="s">
        <v>288</v>
      </c>
      <c r="C114" s="7" t="s">
        <v>21</v>
      </c>
    </row>
    <row r="115">
      <c r="A115" s="7">
        <v>114.0</v>
      </c>
      <c r="B115" s="7" t="s">
        <v>290</v>
      </c>
      <c r="C115" s="7" t="s">
        <v>21</v>
      </c>
    </row>
    <row r="116">
      <c r="A116" s="7">
        <v>115.0</v>
      </c>
      <c r="B116" s="7" t="s">
        <v>292</v>
      </c>
      <c r="C116" s="7" t="s">
        <v>21</v>
      </c>
    </row>
    <row r="117">
      <c r="A117" s="7">
        <v>116.0</v>
      </c>
      <c r="B117" s="7" t="s">
        <v>294</v>
      </c>
      <c r="C117" s="7" t="s">
        <v>21</v>
      </c>
    </row>
    <row r="118">
      <c r="A118" s="7">
        <v>117.0</v>
      </c>
      <c r="B118" s="7" t="s">
        <v>296</v>
      </c>
      <c r="C118" s="7" t="s">
        <v>21</v>
      </c>
    </row>
    <row r="119">
      <c r="A119" s="7">
        <v>118.0</v>
      </c>
      <c r="B119" s="7" t="s">
        <v>298</v>
      </c>
      <c r="C119" s="7" t="s">
        <v>21</v>
      </c>
    </row>
    <row r="120">
      <c r="A120" s="7">
        <v>119.0</v>
      </c>
      <c r="B120" s="7" t="s">
        <v>299</v>
      </c>
      <c r="C120" s="7" t="s">
        <v>21</v>
      </c>
    </row>
    <row r="121">
      <c r="A121" s="7">
        <v>120.0</v>
      </c>
      <c r="B121" s="7" t="s">
        <v>301</v>
      </c>
      <c r="C121" s="7" t="s">
        <v>21</v>
      </c>
    </row>
    <row r="122">
      <c r="A122" s="7">
        <v>121.0</v>
      </c>
      <c r="B122" s="7" t="s">
        <v>304</v>
      </c>
      <c r="C122" s="7" t="s">
        <v>21</v>
      </c>
    </row>
    <row r="123">
      <c r="A123" s="7">
        <v>122.0</v>
      </c>
      <c r="B123" s="7" t="s">
        <v>306</v>
      </c>
      <c r="C123" s="7" t="s">
        <v>21</v>
      </c>
    </row>
    <row r="124">
      <c r="A124" s="7">
        <v>123.0</v>
      </c>
      <c r="B124" s="7" t="s">
        <v>309</v>
      </c>
      <c r="C124" s="7" t="s">
        <v>21</v>
      </c>
    </row>
    <row r="125">
      <c r="A125" s="7">
        <v>124.0</v>
      </c>
      <c r="B125" s="7" t="s">
        <v>312</v>
      </c>
      <c r="C125" s="7" t="s">
        <v>21</v>
      </c>
    </row>
    <row r="126">
      <c r="A126" s="7">
        <v>125.0</v>
      </c>
      <c r="B126" s="7" t="s">
        <v>314</v>
      </c>
      <c r="C126" s="7" t="s">
        <v>21</v>
      </c>
    </row>
    <row r="127">
      <c r="A127" s="7">
        <v>126.0</v>
      </c>
      <c r="B127" s="7" t="s">
        <v>317</v>
      </c>
      <c r="C127" s="7" t="s">
        <v>21</v>
      </c>
    </row>
    <row r="128">
      <c r="A128" s="7">
        <v>127.0</v>
      </c>
      <c r="B128" s="7" t="s">
        <v>320</v>
      </c>
      <c r="C128" s="7" t="s">
        <v>21</v>
      </c>
    </row>
    <row r="129">
      <c r="A129" s="7">
        <v>128.0</v>
      </c>
      <c r="B129" s="7" t="s">
        <v>321</v>
      </c>
      <c r="C129" s="7" t="s">
        <v>21</v>
      </c>
    </row>
    <row r="130">
      <c r="A130" s="7">
        <v>129.0</v>
      </c>
      <c r="B130" s="7" t="s">
        <v>324</v>
      </c>
      <c r="C130" s="7" t="s">
        <v>21</v>
      </c>
    </row>
    <row r="131">
      <c r="A131" s="7">
        <v>130.0</v>
      </c>
      <c r="B131" s="7" t="s">
        <v>327</v>
      </c>
      <c r="C131" s="7" t="s">
        <v>21</v>
      </c>
    </row>
    <row r="132">
      <c r="A132" s="7">
        <v>131.0</v>
      </c>
      <c r="B132" s="7" t="s">
        <v>328</v>
      </c>
      <c r="C132" s="7" t="s">
        <v>21</v>
      </c>
    </row>
    <row r="133">
      <c r="A133" s="7">
        <v>132.0</v>
      </c>
      <c r="B133" s="7" t="s">
        <v>332</v>
      </c>
      <c r="C133" s="7" t="s">
        <v>21</v>
      </c>
    </row>
    <row r="134">
      <c r="A134" s="7">
        <v>133.0</v>
      </c>
      <c r="B134" s="7" t="s">
        <v>334</v>
      </c>
      <c r="C134" s="7" t="s">
        <v>21</v>
      </c>
    </row>
    <row r="135">
      <c r="A135" s="7">
        <v>134.0</v>
      </c>
      <c r="B135" s="7" t="s">
        <v>336</v>
      </c>
      <c r="C135" s="7" t="s">
        <v>21</v>
      </c>
    </row>
    <row r="136">
      <c r="A136" s="7">
        <v>135.0</v>
      </c>
      <c r="B136" s="7" t="s">
        <v>338</v>
      </c>
      <c r="C136" s="7" t="s">
        <v>21</v>
      </c>
    </row>
    <row r="137">
      <c r="A137" s="7">
        <v>136.0</v>
      </c>
      <c r="B137" s="7" t="s">
        <v>340</v>
      </c>
      <c r="C137" s="7" t="s">
        <v>21</v>
      </c>
    </row>
    <row r="138">
      <c r="A138" s="7">
        <v>137.0</v>
      </c>
      <c r="B138" s="7" t="s">
        <v>343</v>
      </c>
      <c r="C138" s="7" t="s">
        <v>21</v>
      </c>
    </row>
    <row r="139">
      <c r="A139" s="7">
        <v>138.0</v>
      </c>
      <c r="B139" s="7" t="s">
        <v>345</v>
      </c>
      <c r="C139" s="7" t="s">
        <v>21</v>
      </c>
    </row>
    <row r="140">
      <c r="A140" s="7">
        <v>139.0</v>
      </c>
      <c r="B140" s="7" t="s">
        <v>348</v>
      </c>
      <c r="C140" s="7" t="s">
        <v>21</v>
      </c>
    </row>
    <row r="141">
      <c r="A141" s="7">
        <v>140.0</v>
      </c>
      <c r="B141" s="7" t="s">
        <v>350</v>
      </c>
      <c r="C141" s="7" t="s">
        <v>21</v>
      </c>
    </row>
    <row r="142">
      <c r="A142" s="7">
        <v>141.0</v>
      </c>
      <c r="B142" s="7" t="s">
        <v>355</v>
      </c>
      <c r="C142" s="7" t="s">
        <v>21</v>
      </c>
    </row>
    <row r="143">
      <c r="A143" s="7">
        <v>142.0</v>
      </c>
      <c r="B143" s="7" t="s">
        <v>357</v>
      </c>
      <c r="C143" s="7" t="s">
        <v>21</v>
      </c>
    </row>
    <row r="144">
      <c r="A144" s="7">
        <v>143.0</v>
      </c>
      <c r="B144" s="7" t="s">
        <v>358</v>
      </c>
      <c r="C144" s="7" t="s">
        <v>21</v>
      </c>
    </row>
    <row r="145">
      <c r="A145" s="7">
        <v>144.0</v>
      </c>
      <c r="B145" s="7" t="s">
        <v>360</v>
      </c>
      <c r="C145" s="7" t="s">
        <v>21</v>
      </c>
    </row>
    <row r="146">
      <c r="A146" s="7">
        <v>145.0</v>
      </c>
      <c r="B146" s="7" t="s">
        <v>362</v>
      </c>
      <c r="C146" s="7" t="s">
        <v>21</v>
      </c>
    </row>
    <row r="147">
      <c r="A147" s="7">
        <v>146.0</v>
      </c>
      <c r="B147" s="7" t="s">
        <v>363</v>
      </c>
      <c r="C147" s="7" t="s">
        <v>21</v>
      </c>
    </row>
    <row r="148">
      <c r="A148" s="7">
        <v>147.0</v>
      </c>
      <c r="B148" s="7" t="s">
        <v>365</v>
      </c>
      <c r="C148" s="7" t="s">
        <v>21</v>
      </c>
    </row>
    <row r="149">
      <c r="A149" s="7">
        <v>148.0</v>
      </c>
      <c r="B149" s="7" t="s">
        <v>367</v>
      </c>
      <c r="C149" s="7" t="s">
        <v>21</v>
      </c>
    </row>
    <row r="150">
      <c r="A150" s="7">
        <v>149.0</v>
      </c>
      <c r="B150" s="7" t="s">
        <v>370</v>
      </c>
      <c r="C150" s="7" t="s">
        <v>21</v>
      </c>
    </row>
    <row r="151">
      <c r="A151" s="7">
        <v>150.0</v>
      </c>
      <c r="B151" s="7" t="s">
        <v>371</v>
      </c>
      <c r="C151" s="7" t="s">
        <v>21</v>
      </c>
    </row>
    <row r="152">
      <c r="A152" s="7">
        <v>151.0</v>
      </c>
      <c r="B152" s="7" t="s">
        <v>373</v>
      </c>
      <c r="C152" s="7" t="s">
        <v>21</v>
      </c>
    </row>
    <row r="153">
      <c r="A153" s="7">
        <v>152.0</v>
      </c>
      <c r="B153" s="7" t="s">
        <v>376</v>
      </c>
      <c r="C153" s="7" t="s">
        <v>21</v>
      </c>
    </row>
    <row r="154">
      <c r="A154" s="7">
        <v>153.0</v>
      </c>
      <c r="B154" s="7" t="s">
        <v>378</v>
      </c>
      <c r="C154" s="7" t="s">
        <v>21</v>
      </c>
    </row>
    <row r="155">
      <c r="A155" s="7">
        <v>154.0</v>
      </c>
      <c r="B155" s="7" t="s">
        <v>380</v>
      </c>
      <c r="C155" s="7" t="s">
        <v>21</v>
      </c>
    </row>
    <row r="156">
      <c r="A156" s="7">
        <v>155.0</v>
      </c>
      <c r="B156" s="7" t="s">
        <v>384</v>
      </c>
      <c r="C156" s="7" t="s">
        <v>21</v>
      </c>
    </row>
    <row r="157">
      <c r="A157" s="7">
        <v>156.0</v>
      </c>
      <c r="B157" s="7" t="s">
        <v>385</v>
      </c>
      <c r="C157" s="7" t="s">
        <v>21</v>
      </c>
    </row>
    <row r="158">
      <c r="A158" s="7">
        <v>157.0</v>
      </c>
      <c r="B158" s="7" t="s">
        <v>387</v>
      </c>
      <c r="C158" s="7" t="s">
        <v>21</v>
      </c>
    </row>
    <row r="159">
      <c r="A159" s="7">
        <v>158.0</v>
      </c>
      <c r="B159" s="7" t="s">
        <v>389</v>
      </c>
      <c r="C159" s="7" t="s">
        <v>21</v>
      </c>
    </row>
    <row r="160">
      <c r="A160" s="7">
        <v>159.0</v>
      </c>
      <c r="B160" s="7" t="s">
        <v>391</v>
      </c>
      <c r="C160" s="7" t="s">
        <v>21</v>
      </c>
    </row>
    <row r="161">
      <c r="A161" s="7">
        <v>160.0</v>
      </c>
      <c r="B161" s="7" t="s">
        <v>393</v>
      </c>
      <c r="C161" s="7" t="s">
        <v>21</v>
      </c>
    </row>
    <row r="162">
      <c r="A162" s="7">
        <v>161.0</v>
      </c>
      <c r="B162" s="7" t="s">
        <v>395</v>
      </c>
      <c r="C162" s="7" t="s">
        <v>21</v>
      </c>
    </row>
    <row r="163">
      <c r="A163" s="7">
        <v>162.0</v>
      </c>
      <c r="B163" s="7" t="s">
        <v>397</v>
      </c>
      <c r="C163" s="7" t="s">
        <v>21</v>
      </c>
    </row>
    <row r="164">
      <c r="A164" s="7">
        <v>163.0</v>
      </c>
      <c r="B164" s="7" t="s">
        <v>399</v>
      </c>
      <c r="C164" s="7" t="s">
        <v>21</v>
      </c>
    </row>
    <row r="165">
      <c r="A165" s="7">
        <v>164.0</v>
      </c>
      <c r="B165" s="7" t="s">
        <v>401</v>
      </c>
      <c r="C165" s="7" t="s">
        <v>21</v>
      </c>
    </row>
    <row r="166">
      <c r="A166" s="7">
        <v>165.0</v>
      </c>
      <c r="B166" s="7" t="s">
        <v>402</v>
      </c>
      <c r="C166" s="7" t="s">
        <v>21</v>
      </c>
    </row>
    <row r="167">
      <c r="A167" s="7">
        <v>166.0</v>
      </c>
      <c r="B167" s="7" t="s">
        <v>403</v>
      </c>
      <c r="C167" s="7" t="s">
        <v>21</v>
      </c>
    </row>
    <row r="168">
      <c r="A168" s="7">
        <v>167.0</v>
      </c>
      <c r="B168" s="7" t="s">
        <v>406</v>
      </c>
      <c r="C168" s="7" t="s">
        <v>21</v>
      </c>
    </row>
    <row r="169">
      <c r="A169" s="7">
        <v>168.0</v>
      </c>
      <c r="B169" s="7" t="s">
        <v>408</v>
      </c>
      <c r="C169" s="7" t="s">
        <v>21</v>
      </c>
    </row>
    <row r="170">
      <c r="A170" s="7">
        <v>169.0</v>
      </c>
      <c r="B170" s="7" t="s">
        <v>410</v>
      </c>
      <c r="C170" s="7" t="s">
        <v>21</v>
      </c>
    </row>
    <row r="171">
      <c r="A171" s="7">
        <v>170.0</v>
      </c>
      <c r="B171" s="7" t="s">
        <v>412</v>
      </c>
      <c r="C171" s="7" t="s">
        <v>21</v>
      </c>
    </row>
    <row r="172">
      <c r="A172" s="7">
        <v>171.0</v>
      </c>
      <c r="B172" s="7" t="s">
        <v>413</v>
      </c>
      <c r="C172" s="7" t="s">
        <v>21</v>
      </c>
    </row>
    <row r="173">
      <c r="A173" s="7">
        <v>172.0</v>
      </c>
      <c r="B173" s="7" t="s">
        <v>414</v>
      </c>
      <c r="C173" s="7" t="s">
        <v>21</v>
      </c>
    </row>
    <row r="174">
      <c r="A174" s="7">
        <v>173.0</v>
      </c>
      <c r="B174" s="7" t="s">
        <v>415</v>
      </c>
      <c r="C174" s="7" t="s">
        <v>21</v>
      </c>
    </row>
    <row r="175">
      <c r="A175" s="7">
        <v>174.0</v>
      </c>
      <c r="B175" s="7" t="s">
        <v>418</v>
      </c>
      <c r="C175" s="7" t="s">
        <v>21</v>
      </c>
    </row>
    <row r="176">
      <c r="A176" s="7">
        <v>175.0</v>
      </c>
      <c r="B176" s="7" t="s">
        <v>419</v>
      </c>
      <c r="C176" s="7" t="s">
        <v>21</v>
      </c>
    </row>
    <row r="177">
      <c r="A177" s="7">
        <v>176.0</v>
      </c>
      <c r="B177" s="7" t="s">
        <v>421</v>
      </c>
      <c r="C177" s="7" t="s">
        <v>21</v>
      </c>
    </row>
    <row r="178">
      <c r="A178" s="7">
        <v>177.0</v>
      </c>
      <c r="B178" s="7" t="s">
        <v>422</v>
      </c>
      <c r="C178" s="7" t="s">
        <v>21</v>
      </c>
    </row>
    <row r="179">
      <c r="A179" s="7">
        <v>178.0</v>
      </c>
      <c r="B179" s="7" t="s">
        <v>423</v>
      </c>
      <c r="C179" s="7" t="s">
        <v>21</v>
      </c>
    </row>
    <row r="180">
      <c r="A180" s="7">
        <v>179.0</v>
      </c>
      <c r="B180" s="7" t="s">
        <v>425</v>
      </c>
      <c r="C180" s="7" t="s">
        <v>21</v>
      </c>
    </row>
    <row r="181">
      <c r="A181" s="7">
        <v>180.0</v>
      </c>
      <c r="B181" s="7" t="s">
        <v>427</v>
      </c>
      <c r="C181" s="7" t="s">
        <v>21</v>
      </c>
    </row>
    <row r="182">
      <c r="A182" s="7">
        <v>181.0</v>
      </c>
      <c r="B182" s="7" t="s">
        <v>429</v>
      </c>
      <c r="C182" s="7" t="s">
        <v>21</v>
      </c>
    </row>
    <row r="183">
      <c r="A183" s="7">
        <v>182.0</v>
      </c>
      <c r="B183" s="7" t="s">
        <v>431</v>
      </c>
      <c r="C183" s="7" t="s">
        <v>21</v>
      </c>
    </row>
    <row r="184">
      <c r="A184" s="7">
        <v>183.0</v>
      </c>
      <c r="B184" s="7" t="s">
        <v>433</v>
      </c>
      <c r="C184" s="7" t="s">
        <v>21</v>
      </c>
    </row>
    <row r="185">
      <c r="A185" s="7">
        <v>184.0</v>
      </c>
      <c r="B185" s="7" t="s">
        <v>435</v>
      </c>
      <c r="C185" s="7" t="s">
        <v>21</v>
      </c>
    </row>
    <row r="186">
      <c r="A186" s="7">
        <v>185.0</v>
      </c>
      <c r="B186" s="7" t="s">
        <v>437</v>
      </c>
      <c r="C186" s="7" t="s">
        <v>21</v>
      </c>
    </row>
    <row r="187">
      <c r="A187" s="7">
        <v>186.0</v>
      </c>
      <c r="B187" s="7" t="s">
        <v>440</v>
      </c>
      <c r="C187" s="7" t="s">
        <v>21</v>
      </c>
    </row>
    <row r="188">
      <c r="A188" s="7">
        <v>187.0</v>
      </c>
      <c r="B188" s="7" t="s">
        <v>441</v>
      </c>
      <c r="C188" s="7" t="s">
        <v>21</v>
      </c>
    </row>
    <row r="189">
      <c r="A189" s="7">
        <v>188.0</v>
      </c>
      <c r="B189" s="7" t="s">
        <v>443</v>
      </c>
      <c r="C189" s="7" t="s">
        <v>21</v>
      </c>
    </row>
    <row r="190">
      <c r="A190" s="7">
        <v>189.0</v>
      </c>
      <c r="B190" s="7" t="s">
        <v>446</v>
      </c>
      <c r="C190" s="7" t="s">
        <v>21</v>
      </c>
    </row>
    <row r="191">
      <c r="A191" s="7">
        <v>190.0</v>
      </c>
      <c r="B191" s="7" t="s">
        <v>447</v>
      </c>
      <c r="C191" s="7" t="s">
        <v>21</v>
      </c>
    </row>
    <row r="192">
      <c r="A192" s="7">
        <v>191.0</v>
      </c>
      <c r="B192" s="7" t="s">
        <v>449</v>
      </c>
      <c r="C192" s="7" t="s">
        <v>21</v>
      </c>
    </row>
    <row r="193">
      <c r="A193" s="7">
        <v>192.0</v>
      </c>
      <c r="B193" s="7" t="s">
        <v>451</v>
      </c>
      <c r="C193" s="7" t="s">
        <v>21</v>
      </c>
    </row>
    <row r="194">
      <c r="A194" s="7">
        <v>193.0</v>
      </c>
      <c r="B194" s="7" t="s">
        <v>452</v>
      </c>
      <c r="C194" s="7" t="s">
        <v>21</v>
      </c>
    </row>
    <row r="195">
      <c r="A195" s="7">
        <v>194.0</v>
      </c>
      <c r="B195" s="7" t="s">
        <v>454</v>
      </c>
      <c r="C195" s="7" t="s">
        <v>21</v>
      </c>
    </row>
    <row r="196">
      <c r="A196" s="7">
        <v>195.0</v>
      </c>
      <c r="B196" s="7" t="s">
        <v>457</v>
      </c>
      <c r="C196" s="7" t="s">
        <v>21</v>
      </c>
    </row>
    <row r="197">
      <c r="A197" s="7">
        <v>196.0</v>
      </c>
      <c r="B197" s="7" t="s">
        <v>458</v>
      </c>
      <c r="C197" s="7" t="s">
        <v>21</v>
      </c>
    </row>
    <row r="198">
      <c r="A198" s="7">
        <v>197.0</v>
      </c>
      <c r="B198" s="7" t="s">
        <v>460</v>
      </c>
      <c r="C198" s="7" t="s">
        <v>21</v>
      </c>
    </row>
    <row r="199">
      <c r="A199" s="7">
        <v>198.0</v>
      </c>
      <c r="B199" s="7" t="s">
        <v>462</v>
      </c>
      <c r="C199" s="7" t="s">
        <v>21</v>
      </c>
    </row>
    <row r="200">
      <c r="A200" s="7">
        <v>199.0</v>
      </c>
      <c r="B200" s="7" t="s">
        <v>464</v>
      </c>
      <c r="C200" s="7" t="s">
        <v>21</v>
      </c>
    </row>
    <row r="201">
      <c r="A201" s="7">
        <v>200.0</v>
      </c>
      <c r="B201" s="7" t="s">
        <v>466</v>
      </c>
      <c r="C201" s="7" t="s">
        <v>21</v>
      </c>
    </row>
    <row r="202">
      <c r="A202" s="7">
        <v>201.0</v>
      </c>
      <c r="B202" s="7" t="s">
        <v>468</v>
      </c>
      <c r="C202" s="7" t="s">
        <v>21</v>
      </c>
    </row>
    <row r="203">
      <c r="A203" s="7">
        <v>202.0</v>
      </c>
      <c r="B203" s="7" t="s">
        <v>470</v>
      </c>
      <c r="C203" s="7" t="s">
        <v>21</v>
      </c>
    </row>
    <row r="204">
      <c r="A204" s="7">
        <v>203.0</v>
      </c>
      <c r="B204" s="7" t="s">
        <v>472</v>
      </c>
      <c r="C204" s="7" t="s">
        <v>21</v>
      </c>
    </row>
    <row r="205">
      <c r="A205" s="7">
        <v>204.0</v>
      </c>
      <c r="B205" s="7" t="s">
        <v>474</v>
      </c>
      <c r="C205" s="7" t="s">
        <v>21</v>
      </c>
    </row>
    <row r="206">
      <c r="A206" s="7">
        <v>205.0</v>
      </c>
      <c r="B206" s="7" t="s">
        <v>477</v>
      </c>
      <c r="C206" s="7" t="s">
        <v>21</v>
      </c>
    </row>
    <row r="207">
      <c r="A207" s="7">
        <v>206.0</v>
      </c>
      <c r="B207" s="7" t="s">
        <v>479</v>
      </c>
      <c r="C207" s="7" t="s">
        <v>21</v>
      </c>
    </row>
    <row r="208">
      <c r="A208" s="7">
        <v>207.0</v>
      </c>
      <c r="B208" s="7" t="s">
        <v>482</v>
      </c>
      <c r="C208" s="7" t="s">
        <v>21</v>
      </c>
    </row>
    <row r="209">
      <c r="A209" s="7">
        <v>208.0</v>
      </c>
      <c r="B209" s="7" t="s">
        <v>484</v>
      </c>
      <c r="C209" s="7" t="s">
        <v>21</v>
      </c>
    </row>
    <row r="210">
      <c r="A210" s="7">
        <v>209.0</v>
      </c>
      <c r="B210" s="7" t="s">
        <v>486</v>
      </c>
      <c r="C210" s="7" t="s">
        <v>21</v>
      </c>
    </row>
    <row r="211">
      <c r="A211" s="7">
        <v>210.0</v>
      </c>
      <c r="B211" s="7" t="s">
        <v>488</v>
      </c>
      <c r="C211" s="7" t="s">
        <v>21</v>
      </c>
    </row>
    <row r="212">
      <c r="A212" s="7">
        <v>211.0</v>
      </c>
      <c r="B212" s="7" t="s">
        <v>490</v>
      </c>
      <c r="C212" s="7" t="s">
        <v>21</v>
      </c>
    </row>
    <row r="213">
      <c r="A213" s="7">
        <v>212.0</v>
      </c>
      <c r="B213" s="7" t="s">
        <v>492</v>
      </c>
      <c r="C213" s="7" t="s">
        <v>21</v>
      </c>
    </row>
    <row r="214">
      <c r="A214" s="7">
        <v>213.0</v>
      </c>
      <c r="B214" s="7" t="s">
        <v>493</v>
      </c>
      <c r="C214" s="7" t="s">
        <v>21</v>
      </c>
    </row>
    <row r="215">
      <c r="A215" s="7">
        <v>214.0</v>
      </c>
      <c r="B215" s="7" t="s">
        <v>494</v>
      </c>
      <c r="C215" s="7" t="s">
        <v>21</v>
      </c>
    </row>
    <row r="216">
      <c r="A216" s="7">
        <v>215.0</v>
      </c>
      <c r="B216" s="7" t="s">
        <v>496</v>
      </c>
      <c r="C216" s="7" t="s">
        <v>21</v>
      </c>
    </row>
    <row r="217">
      <c r="A217" s="7">
        <v>216.0</v>
      </c>
      <c r="B217" s="7" t="s">
        <v>498</v>
      </c>
      <c r="C217" s="7" t="s">
        <v>21</v>
      </c>
    </row>
    <row r="218">
      <c r="A218" s="7">
        <v>217.0</v>
      </c>
      <c r="B218" s="7" t="s">
        <v>499</v>
      </c>
      <c r="C218" s="7" t="s">
        <v>21</v>
      </c>
    </row>
    <row r="219">
      <c r="A219" s="7">
        <v>218.0</v>
      </c>
      <c r="B219" s="7" t="s">
        <v>501</v>
      </c>
      <c r="C219" s="7" t="s">
        <v>21</v>
      </c>
    </row>
    <row r="220">
      <c r="A220" s="7">
        <v>219.0</v>
      </c>
      <c r="B220" s="7" t="s">
        <v>502</v>
      </c>
      <c r="C220" s="7" t="s">
        <v>21</v>
      </c>
    </row>
    <row r="221">
      <c r="A221" s="7">
        <v>220.0</v>
      </c>
      <c r="B221" s="7" t="s">
        <v>504</v>
      </c>
      <c r="C221" s="7" t="s">
        <v>21</v>
      </c>
    </row>
    <row r="222">
      <c r="A222" s="7">
        <v>221.0</v>
      </c>
      <c r="B222" s="7" t="s">
        <v>506</v>
      </c>
      <c r="C222" s="7" t="s">
        <v>21</v>
      </c>
    </row>
    <row r="223">
      <c r="A223" s="7">
        <v>222.0</v>
      </c>
      <c r="B223" s="7" t="s">
        <v>508</v>
      </c>
      <c r="C223" s="7" t="s">
        <v>21</v>
      </c>
    </row>
    <row r="224">
      <c r="A224" s="7">
        <v>223.0</v>
      </c>
      <c r="B224" s="7" t="s">
        <v>511</v>
      </c>
      <c r="C224" s="7" t="s">
        <v>21</v>
      </c>
    </row>
    <row r="225">
      <c r="A225" s="7">
        <v>224.0</v>
      </c>
      <c r="B225" s="7" t="s">
        <v>512</v>
      </c>
      <c r="C225" s="7" t="s">
        <v>21</v>
      </c>
    </row>
    <row r="226">
      <c r="A226" s="7">
        <v>225.0</v>
      </c>
      <c r="B226" s="7" t="s">
        <v>514</v>
      </c>
      <c r="C226" s="7" t="s">
        <v>21</v>
      </c>
    </row>
    <row r="227">
      <c r="A227" s="7">
        <v>226.0</v>
      </c>
      <c r="B227" s="7" t="s">
        <v>516</v>
      </c>
      <c r="C227" s="7" t="s">
        <v>21</v>
      </c>
    </row>
    <row r="228">
      <c r="A228" s="7">
        <v>227.0</v>
      </c>
      <c r="B228" s="7" t="s">
        <v>518</v>
      </c>
      <c r="C228" s="7" t="s">
        <v>21</v>
      </c>
    </row>
    <row r="229">
      <c r="A229" s="7">
        <v>228.0</v>
      </c>
      <c r="B229" s="7" t="s">
        <v>520</v>
      </c>
      <c r="C229" s="7" t="s">
        <v>21</v>
      </c>
    </row>
    <row r="230">
      <c r="A230" s="7">
        <v>229.0</v>
      </c>
      <c r="B230" s="7" t="s">
        <v>522</v>
      </c>
      <c r="C230" s="7" t="s">
        <v>21</v>
      </c>
    </row>
    <row r="231">
      <c r="A231" s="7">
        <v>230.0</v>
      </c>
      <c r="B231" s="7" t="s">
        <v>524</v>
      </c>
      <c r="C231" s="7" t="s">
        <v>21</v>
      </c>
    </row>
    <row r="232">
      <c r="A232" s="7">
        <v>231.0</v>
      </c>
      <c r="B232" s="7" t="s">
        <v>526</v>
      </c>
      <c r="C232" s="7" t="s">
        <v>21</v>
      </c>
    </row>
    <row r="233">
      <c r="A233" s="7">
        <v>232.0</v>
      </c>
      <c r="B233" s="7" t="s">
        <v>527</v>
      </c>
      <c r="C233" s="7" t="s">
        <v>21</v>
      </c>
    </row>
    <row r="234">
      <c r="A234" s="7">
        <v>233.0</v>
      </c>
      <c r="B234" s="7" t="s">
        <v>529</v>
      </c>
      <c r="C234" s="7" t="s">
        <v>21</v>
      </c>
    </row>
    <row r="235">
      <c r="A235" s="7">
        <v>234.0</v>
      </c>
      <c r="B235" s="7" t="s">
        <v>531</v>
      </c>
      <c r="C235" s="7" t="s">
        <v>21</v>
      </c>
    </row>
    <row r="236">
      <c r="A236" s="7">
        <v>235.0</v>
      </c>
      <c r="B236" s="7" t="s">
        <v>533</v>
      </c>
      <c r="C236" s="7" t="s">
        <v>21</v>
      </c>
    </row>
    <row r="237">
      <c r="A237" s="7">
        <v>236.0</v>
      </c>
      <c r="B237" s="7" t="s">
        <v>535</v>
      </c>
      <c r="C237" s="7" t="s">
        <v>21</v>
      </c>
    </row>
    <row r="238">
      <c r="A238" s="7">
        <v>237.0</v>
      </c>
      <c r="B238" s="7" t="s">
        <v>537</v>
      </c>
      <c r="C238" s="7" t="s">
        <v>21</v>
      </c>
    </row>
    <row r="239">
      <c r="A239" s="7">
        <v>238.0</v>
      </c>
      <c r="B239" s="7" t="s">
        <v>538</v>
      </c>
      <c r="C239" s="7" t="s">
        <v>21</v>
      </c>
    </row>
    <row r="240">
      <c r="A240" s="7">
        <v>239.0</v>
      </c>
      <c r="B240" s="7" t="s">
        <v>539</v>
      </c>
      <c r="C240" s="7" t="s">
        <v>21</v>
      </c>
    </row>
    <row r="241">
      <c r="A241" s="7">
        <v>240.0</v>
      </c>
      <c r="B241" s="7" t="s">
        <v>540</v>
      </c>
      <c r="C241" s="7" t="s">
        <v>21</v>
      </c>
    </row>
    <row r="242">
      <c r="A242" s="7">
        <v>241.0</v>
      </c>
      <c r="B242" s="7" t="s">
        <v>543</v>
      </c>
      <c r="C242" s="7" t="s">
        <v>21</v>
      </c>
    </row>
    <row r="243">
      <c r="A243" s="7">
        <v>242.0</v>
      </c>
      <c r="B243" s="7" t="s">
        <v>545</v>
      </c>
      <c r="C243" s="7" t="s">
        <v>21</v>
      </c>
    </row>
    <row r="244">
      <c r="A244" s="7">
        <v>243.0</v>
      </c>
      <c r="B244" s="7" t="s">
        <v>547</v>
      </c>
      <c r="C244" s="7" t="s">
        <v>21</v>
      </c>
    </row>
    <row r="245">
      <c r="A245" s="7">
        <v>244.0</v>
      </c>
      <c r="B245" s="7" t="s">
        <v>549</v>
      </c>
      <c r="C245" s="7" t="s">
        <v>21</v>
      </c>
    </row>
    <row r="246">
      <c r="A246" s="7">
        <v>245.0</v>
      </c>
      <c r="B246" s="7" t="s">
        <v>551</v>
      </c>
      <c r="C246" s="7" t="s">
        <v>21</v>
      </c>
    </row>
    <row r="247">
      <c r="A247" s="7">
        <v>246.0</v>
      </c>
      <c r="B247" s="7" t="s">
        <v>553</v>
      </c>
      <c r="C247" s="7" t="s">
        <v>21</v>
      </c>
    </row>
    <row r="248">
      <c r="A248" s="7">
        <v>247.0</v>
      </c>
      <c r="B248" s="7" t="s">
        <v>556</v>
      </c>
      <c r="C248" s="7" t="s">
        <v>21</v>
      </c>
    </row>
    <row r="249">
      <c r="A249" s="7">
        <v>248.0</v>
      </c>
      <c r="B249" s="7" t="s">
        <v>558</v>
      </c>
      <c r="C249" s="7" t="s">
        <v>21</v>
      </c>
    </row>
    <row r="250">
      <c r="A250" s="7">
        <v>249.0</v>
      </c>
      <c r="B250" s="7" t="s">
        <v>561</v>
      </c>
      <c r="C250" s="7" t="s">
        <v>21</v>
      </c>
    </row>
    <row r="251">
      <c r="A251" s="7">
        <v>250.0</v>
      </c>
      <c r="B251" s="7" t="s">
        <v>563</v>
      </c>
      <c r="C251" s="7" t="s">
        <v>21</v>
      </c>
    </row>
    <row r="252">
      <c r="A252" s="7">
        <v>251.0</v>
      </c>
      <c r="B252" s="7" t="s">
        <v>566</v>
      </c>
      <c r="C252" s="7" t="s">
        <v>21</v>
      </c>
    </row>
    <row r="253">
      <c r="A253" s="7">
        <v>252.0</v>
      </c>
      <c r="B253" s="7" t="s">
        <v>568</v>
      </c>
      <c r="C253" s="7" t="s">
        <v>21</v>
      </c>
    </row>
    <row r="254">
      <c r="A254" s="7">
        <v>253.0</v>
      </c>
      <c r="B254" s="7" t="s">
        <v>570</v>
      </c>
      <c r="C254" s="7" t="s">
        <v>21</v>
      </c>
    </row>
    <row r="255">
      <c r="A255" s="7">
        <v>254.0</v>
      </c>
      <c r="B255" s="7" t="s">
        <v>572</v>
      </c>
      <c r="C255" s="7" t="s">
        <v>21</v>
      </c>
    </row>
    <row r="256">
      <c r="A256" s="7">
        <v>255.0</v>
      </c>
      <c r="B256" s="7" t="s">
        <v>574</v>
      </c>
      <c r="C256" s="7" t="s">
        <v>21</v>
      </c>
    </row>
    <row r="257">
      <c r="A257" s="7">
        <v>256.0</v>
      </c>
      <c r="B257" s="7" t="s">
        <v>576</v>
      </c>
      <c r="C257" s="7" t="s">
        <v>21</v>
      </c>
    </row>
    <row r="258">
      <c r="A258" s="7">
        <v>257.0</v>
      </c>
      <c r="B258" s="7" t="s">
        <v>577</v>
      </c>
      <c r="C258" s="7" t="s">
        <v>21</v>
      </c>
    </row>
    <row r="259">
      <c r="A259" s="7">
        <v>258.0</v>
      </c>
      <c r="B259" s="7" t="s">
        <v>578</v>
      </c>
      <c r="C259" s="7" t="s">
        <v>21</v>
      </c>
    </row>
    <row r="260">
      <c r="A260" s="7">
        <v>259.0</v>
      </c>
      <c r="B260" s="7" t="s">
        <v>580</v>
      </c>
      <c r="C260" s="7" t="s">
        <v>21</v>
      </c>
    </row>
    <row r="261">
      <c r="A261" s="7">
        <v>260.0</v>
      </c>
      <c r="B261" s="7" t="s">
        <v>582</v>
      </c>
      <c r="C261" s="7" t="s">
        <v>21</v>
      </c>
    </row>
    <row r="262">
      <c r="A262" s="7">
        <v>261.0</v>
      </c>
      <c r="B262" s="7" t="s">
        <v>583</v>
      </c>
      <c r="C262" s="7" t="s">
        <v>21</v>
      </c>
    </row>
    <row r="263">
      <c r="A263" s="7">
        <v>262.0</v>
      </c>
      <c r="B263" s="7" t="s">
        <v>584</v>
      </c>
      <c r="C263" s="7" t="s">
        <v>21</v>
      </c>
    </row>
    <row r="264">
      <c r="A264" s="7">
        <v>263.0</v>
      </c>
      <c r="B264" s="7" t="s">
        <v>585</v>
      </c>
      <c r="C264" s="7" t="s">
        <v>21</v>
      </c>
    </row>
    <row r="265">
      <c r="A265" s="7">
        <v>264.0</v>
      </c>
      <c r="B265" s="7" t="s">
        <v>587</v>
      </c>
      <c r="C265" s="7" t="s">
        <v>21</v>
      </c>
    </row>
    <row r="266">
      <c r="A266" s="7">
        <v>265.0</v>
      </c>
      <c r="B266" s="7" t="s">
        <v>589</v>
      </c>
      <c r="C266" s="7" t="s">
        <v>21</v>
      </c>
    </row>
    <row r="267">
      <c r="A267" s="7">
        <v>266.0</v>
      </c>
      <c r="B267" s="7" t="s">
        <v>591</v>
      </c>
      <c r="C267" s="7" t="s">
        <v>21</v>
      </c>
    </row>
    <row r="268">
      <c r="A268" s="7">
        <v>267.0</v>
      </c>
      <c r="B268" s="7" t="s">
        <v>593</v>
      </c>
      <c r="C268" s="7" t="s">
        <v>21</v>
      </c>
    </row>
    <row r="269">
      <c r="A269" s="7">
        <v>268.0</v>
      </c>
      <c r="B269" s="7" t="s">
        <v>595</v>
      </c>
      <c r="C269" s="7" t="s">
        <v>21</v>
      </c>
    </row>
    <row r="270">
      <c r="A270" s="7">
        <v>269.0</v>
      </c>
      <c r="B270" s="7" t="s">
        <v>596</v>
      </c>
      <c r="C270" s="7" t="s">
        <v>21</v>
      </c>
    </row>
    <row r="271">
      <c r="A271" s="7">
        <v>270.0</v>
      </c>
      <c r="B271" s="7" t="s">
        <v>597</v>
      </c>
      <c r="C271" s="7" t="s">
        <v>21</v>
      </c>
    </row>
    <row r="272">
      <c r="A272" s="7">
        <v>271.0</v>
      </c>
      <c r="B272" s="7" t="s">
        <v>599</v>
      </c>
      <c r="C272" s="7" t="s">
        <v>21</v>
      </c>
    </row>
    <row r="273">
      <c r="A273" s="7">
        <v>272.0</v>
      </c>
      <c r="B273" s="7" t="s">
        <v>601</v>
      </c>
      <c r="C273" s="7" t="s">
        <v>21</v>
      </c>
    </row>
    <row r="274">
      <c r="A274" s="7">
        <v>273.0</v>
      </c>
      <c r="B274" s="7" t="s">
        <v>603</v>
      </c>
      <c r="C274" s="7" t="s">
        <v>21</v>
      </c>
    </row>
    <row r="275">
      <c r="A275" s="7">
        <v>274.0</v>
      </c>
      <c r="B275" s="7" t="s">
        <v>605</v>
      </c>
      <c r="C275" s="7" t="s">
        <v>21</v>
      </c>
    </row>
    <row r="276">
      <c r="A276" s="7">
        <v>275.0</v>
      </c>
      <c r="B276" s="7" t="s">
        <v>607</v>
      </c>
      <c r="C276" s="7" t="s">
        <v>21</v>
      </c>
    </row>
    <row r="277">
      <c r="A277" s="7">
        <v>276.0</v>
      </c>
      <c r="B277" s="7" t="s">
        <v>610</v>
      </c>
      <c r="C277" s="7" t="s">
        <v>21</v>
      </c>
    </row>
    <row r="278">
      <c r="A278" s="7">
        <v>277.0</v>
      </c>
      <c r="B278" s="7" t="s">
        <v>612</v>
      </c>
      <c r="C278" s="7" t="s">
        <v>21</v>
      </c>
    </row>
    <row r="279">
      <c r="A279" s="7">
        <v>278.0</v>
      </c>
      <c r="B279" s="7" t="s">
        <v>613</v>
      </c>
      <c r="C279" s="7" t="s">
        <v>21</v>
      </c>
    </row>
    <row r="280">
      <c r="A280" s="7">
        <v>279.0</v>
      </c>
      <c r="B280" s="7" t="s">
        <v>615</v>
      </c>
      <c r="C280" s="7" t="s">
        <v>21</v>
      </c>
    </row>
    <row r="281">
      <c r="A281" s="7">
        <v>280.0</v>
      </c>
      <c r="B281" s="7" t="s">
        <v>617</v>
      </c>
      <c r="C281" s="7" t="s">
        <v>21</v>
      </c>
    </row>
    <row r="282">
      <c r="A282" s="7">
        <v>281.0</v>
      </c>
      <c r="B282" s="7" t="s">
        <v>619</v>
      </c>
      <c r="C282" s="7" t="s">
        <v>21</v>
      </c>
    </row>
    <row r="283">
      <c r="A283" s="7">
        <v>282.0</v>
      </c>
      <c r="B283" s="7" t="s">
        <v>620</v>
      </c>
      <c r="C283" s="7" t="s">
        <v>21</v>
      </c>
    </row>
    <row r="284">
      <c r="A284" s="7">
        <v>283.0</v>
      </c>
      <c r="B284" s="7" t="s">
        <v>622</v>
      </c>
      <c r="C284" s="7" t="s">
        <v>21</v>
      </c>
    </row>
    <row r="285">
      <c r="A285" s="7">
        <v>284.0</v>
      </c>
      <c r="B285" s="7" t="s">
        <v>624</v>
      </c>
      <c r="C285" s="7" t="s">
        <v>21</v>
      </c>
    </row>
    <row r="286">
      <c r="A286" s="7">
        <v>285.0</v>
      </c>
      <c r="B286" s="7" t="s">
        <v>626</v>
      </c>
      <c r="C286" s="7" t="s">
        <v>21</v>
      </c>
    </row>
    <row r="287">
      <c r="A287" s="7">
        <v>286.0</v>
      </c>
      <c r="B287" s="7" t="s">
        <v>627</v>
      </c>
      <c r="C287" s="7" t="s">
        <v>21</v>
      </c>
    </row>
    <row r="288">
      <c r="A288" s="7">
        <v>287.0</v>
      </c>
      <c r="B288" s="7" t="s">
        <v>629</v>
      </c>
      <c r="C288" s="7" t="s">
        <v>21</v>
      </c>
    </row>
    <row r="289">
      <c r="A289" s="7">
        <v>288.0</v>
      </c>
      <c r="B289" s="7" t="s">
        <v>631</v>
      </c>
      <c r="C289" s="7" t="s">
        <v>21</v>
      </c>
    </row>
    <row r="290">
      <c r="A290" s="7">
        <v>289.0</v>
      </c>
      <c r="B290" s="7" t="s">
        <v>633</v>
      </c>
      <c r="C290" s="7" t="s">
        <v>21</v>
      </c>
    </row>
    <row r="291">
      <c r="A291" s="7">
        <v>290.0</v>
      </c>
      <c r="B291" s="7" t="s">
        <v>635</v>
      </c>
      <c r="C291" s="7" t="s">
        <v>21</v>
      </c>
    </row>
    <row r="292">
      <c r="A292" s="7">
        <v>291.0</v>
      </c>
      <c r="B292" s="7" t="s">
        <v>637</v>
      </c>
      <c r="C292" s="7" t="s">
        <v>21</v>
      </c>
    </row>
    <row r="293">
      <c r="A293" s="7">
        <v>292.0</v>
      </c>
      <c r="B293" s="7" t="s">
        <v>639</v>
      </c>
      <c r="C293" s="7" t="s">
        <v>21</v>
      </c>
    </row>
    <row r="294">
      <c r="A294" s="7">
        <v>293.0</v>
      </c>
      <c r="B294" s="7" t="s">
        <v>643</v>
      </c>
      <c r="C294" s="7" t="s">
        <v>21</v>
      </c>
    </row>
    <row r="295">
      <c r="A295" s="7">
        <v>294.0</v>
      </c>
      <c r="B295" s="7" t="s">
        <v>645</v>
      </c>
      <c r="C295" s="7" t="s">
        <v>21</v>
      </c>
    </row>
    <row r="296">
      <c r="A296" s="7">
        <v>295.0</v>
      </c>
      <c r="B296" s="7" t="s">
        <v>646</v>
      </c>
      <c r="C296" s="7" t="s">
        <v>21</v>
      </c>
    </row>
    <row r="297">
      <c r="A297" s="7">
        <v>296.0</v>
      </c>
      <c r="B297" s="7" t="s">
        <v>648</v>
      </c>
      <c r="C297" s="7" t="s">
        <v>21</v>
      </c>
    </row>
    <row r="298">
      <c r="A298" s="7">
        <v>297.0</v>
      </c>
      <c r="B298" s="7" t="s">
        <v>651</v>
      </c>
      <c r="C298" s="7" t="s">
        <v>21</v>
      </c>
    </row>
    <row r="299">
      <c r="A299" s="7">
        <v>298.0</v>
      </c>
      <c r="B299" s="7" t="s">
        <v>653</v>
      </c>
      <c r="C299" s="7" t="s">
        <v>21</v>
      </c>
    </row>
    <row r="300">
      <c r="A300" s="7">
        <v>299.0</v>
      </c>
      <c r="B300" s="7" t="s">
        <v>655</v>
      </c>
      <c r="C300" s="7" t="s">
        <v>21</v>
      </c>
    </row>
    <row r="301">
      <c r="A301" s="7">
        <v>300.0</v>
      </c>
      <c r="B301" s="7" t="s">
        <v>657</v>
      </c>
      <c r="C301" s="7" t="s">
        <v>21</v>
      </c>
    </row>
    <row r="302">
      <c r="A302" s="7">
        <v>301.0</v>
      </c>
      <c r="B302" s="7" t="s">
        <v>659</v>
      </c>
      <c r="C302" s="7" t="s">
        <v>21</v>
      </c>
    </row>
    <row r="303">
      <c r="A303" s="7">
        <v>302.0</v>
      </c>
      <c r="B303" s="7" t="s">
        <v>662</v>
      </c>
      <c r="C303" s="7" t="s">
        <v>21</v>
      </c>
    </row>
    <row r="304">
      <c r="A304" s="7">
        <v>303.0</v>
      </c>
      <c r="B304" s="7" t="s">
        <v>664</v>
      </c>
      <c r="C304" s="7" t="s">
        <v>21</v>
      </c>
    </row>
    <row r="305">
      <c r="A305" s="7">
        <v>304.0</v>
      </c>
      <c r="B305" s="7" t="s">
        <v>665</v>
      </c>
      <c r="C305" s="7" t="s">
        <v>21</v>
      </c>
    </row>
    <row r="306">
      <c r="A306" s="7">
        <v>305.0</v>
      </c>
      <c r="B306" s="7" t="s">
        <v>667</v>
      </c>
      <c r="C306" s="7" t="s">
        <v>21</v>
      </c>
    </row>
    <row r="307">
      <c r="A307" s="7">
        <v>306.0</v>
      </c>
      <c r="B307" s="7" t="s">
        <v>669</v>
      </c>
      <c r="C307" s="7" t="s">
        <v>21</v>
      </c>
    </row>
    <row r="308">
      <c r="A308" s="7">
        <v>307.0</v>
      </c>
      <c r="B308" s="7" t="s">
        <v>670</v>
      </c>
      <c r="C308" s="7" t="s">
        <v>21</v>
      </c>
    </row>
    <row r="309">
      <c r="A309" s="7">
        <v>308.0</v>
      </c>
      <c r="B309" s="7" t="s">
        <v>672</v>
      </c>
      <c r="C309" s="7" t="s">
        <v>21</v>
      </c>
    </row>
    <row r="310">
      <c r="A310" s="7">
        <v>309.0</v>
      </c>
      <c r="B310" s="7" t="s">
        <v>674</v>
      </c>
      <c r="C310" s="7" t="s">
        <v>21</v>
      </c>
    </row>
    <row r="311">
      <c r="A311" s="7">
        <v>310.0</v>
      </c>
      <c r="B311" s="7" t="s">
        <v>676</v>
      </c>
      <c r="C311" s="7" t="s">
        <v>21</v>
      </c>
    </row>
    <row r="312">
      <c r="A312" s="7">
        <v>311.0</v>
      </c>
      <c r="B312" s="7" t="s">
        <v>679</v>
      </c>
      <c r="C312" s="7" t="s">
        <v>21</v>
      </c>
    </row>
    <row r="313">
      <c r="A313" s="7">
        <v>312.0</v>
      </c>
      <c r="B313" s="7" t="s">
        <v>680</v>
      </c>
      <c r="C313" s="7" t="s">
        <v>21</v>
      </c>
    </row>
    <row r="314">
      <c r="A314" s="7">
        <v>313.0</v>
      </c>
      <c r="B314" s="7" t="s">
        <v>682</v>
      </c>
      <c r="C314" s="7" t="s">
        <v>21</v>
      </c>
    </row>
    <row r="315">
      <c r="A315" s="7">
        <v>314.0</v>
      </c>
      <c r="B315" s="7" t="s">
        <v>684</v>
      </c>
      <c r="C315" s="7" t="s">
        <v>21</v>
      </c>
    </row>
    <row r="316">
      <c r="A316" s="7">
        <v>315.0</v>
      </c>
      <c r="B316" s="7" t="s">
        <v>686</v>
      </c>
      <c r="C316" s="7" t="s">
        <v>21</v>
      </c>
    </row>
    <row r="317">
      <c r="A317" s="7">
        <v>316.0</v>
      </c>
      <c r="B317" s="7" t="s">
        <v>688</v>
      </c>
      <c r="C317" s="7" t="s">
        <v>21</v>
      </c>
    </row>
    <row r="318">
      <c r="A318" s="7">
        <v>317.0</v>
      </c>
      <c r="B318" s="7" t="s">
        <v>690</v>
      </c>
      <c r="C318" s="7" t="s">
        <v>21</v>
      </c>
    </row>
    <row r="319">
      <c r="A319" s="7">
        <v>318.0</v>
      </c>
      <c r="B319" s="7" t="s">
        <v>692</v>
      </c>
      <c r="C319" s="7" t="s">
        <v>21</v>
      </c>
    </row>
    <row r="320">
      <c r="A320" s="7">
        <v>319.0</v>
      </c>
      <c r="B320" s="7" t="s">
        <v>694</v>
      </c>
      <c r="C320" s="7" t="s">
        <v>21</v>
      </c>
    </row>
    <row r="321">
      <c r="A321" s="7">
        <v>320.0</v>
      </c>
      <c r="B321" s="7" t="s">
        <v>697</v>
      </c>
      <c r="C321" s="7" t="s">
        <v>21</v>
      </c>
    </row>
    <row r="322">
      <c r="A322" s="7">
        <v>321.0</v>
      </c>
      <c r="B322" s="7" t="s">
        <v>699</v>
      </c>
      <c r="C322" s="7" t="s">
        <v>21</v>
      </c>
    </row>
    <row r="323">
      <c r="A323" s="7">
        <v>322.0</v>
      </c>
      <c r="B323" s="7" t="s">
        <v>701</v>
      </c>
      <c r="C323" s="7" t="s">
        <v>21</v>
      </c>
    </row>
    <row r="324">
      <c r="A324" s="7">
        <v>323.0</v>
      </c>
      <c r="B324" s="7" t="s">
        <v>703</v>
      </c>
      <c r="C324" s="7" t="s">
        <v>21</v>
      </c>
    </row>
    <row r="325">
      <c r="A325" s="7">
        <v>324.0</v>
      </c>
      <c r="B325" s="7" t="s">
        <v>705</v>
      </c>
      <c r="C325" s="7" t="s">
        <v>21</v>
      </c>
    </row>
    <row r="326">
      <c r="A326" s="7">
        <v>325.0</v>
      </c>
      <c r="B326" s="7" t="s">
        <v>707</v>
      </c>
      <c r="C326" s="7" t="s">
        <v>21</v>
      </c>
    </row>
    <row r="327">
      <c r="A327" s="7">
        <v>326.0</v>
      </c>
      <c r="B327" s="7" t="s">
        <v>710</v>
      </c>
      <c r="C327" s="7" t="s">
        <v>21</v>
      </c>
    </row>
    <row r="328">
      <c r="A328" s="7">
        <v>327.0</v>
      </c>
      <c r="B328" s="7" t="s">
        <v>712</v>
      </c>
      <c r="C328" s="7" t="s">
        <v>21</v>
      </c>
    </row>
  </sheetData>
  <autoFilter ref="$A$1:$Z$99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7">
        <v>1.0</v>
      </c>
      <c r="B2" s="7" t="s">
        <v>19</v>
      </c>
      <c r="C2" s="7" t="s">
        <v>21</v>
      </c>
      <c r="D2" s="7">
        <v>77.0</v>
      </c>
      <c r="E2" s="7">
        <v>13000.0</v>
      </c>
      <c r="F2" s="7">
        <v>0.02</v>
      </c>
      <c r="G2" s="7">
        <v>1.1</v>
      </c>
      <c r="H2" s="7" t="s">
        <v>19</v>
      </c>
      <c r="I2" s="9">
        <v>46149.25953703704</v>
      </c>
      <c r="J2" s="7" t="s">
        <v>22</v>
      </c>
      <c r="K2" s="7">
        <v>62000.0</v>
      </c>
      <c r="L2" s="7">
        <v>13000.0</v>
      </c>
      <c r="M2" s="7">
        <v>80000.0</v>
      </c>
      <c r="N2" s="8">
        <v>42249.0</v>
      </c>
      <c r="O2" s="7" t="s">
        <v>24</v>
      </c>
      <c r="P2" s="7" t="s">
        <v>25</v>
      </c>
      <c r="Q2" s="7" t="s">
        <v>26</v>
      </c>
      <c r="R2" s="7" t="s">
        <v>27</v>
      </c>
      <c r="S2" s="7" t="s">
        <v>28</v>
      </c>
    </row>
    <row r="3">
      <c r="A3" s="7">
        <v>2.0</v>
      </c>
      <c r="B3" s="7" t="s">
        <v>30</v>
      </c>
      <c r="C3" s="7" t="s">
        <v>21</v>
      </c>
      <c r="D3" s="7">
        <v>70.0</v>
      </c>
      <c r="E3" s="7">
        <v>1000.0</v>
      </c>
      <c r="H3" s="7" t="s">
        <v>30</v>
      </c>
      <c r="I3" s="9">
        <v>45895.22857638889</v>
      </c>
      <c r="J3" s="7" t="s">
        <v>31</v>
      </c>
      <c r="K3" s="7">
        <v>4200.0</v>
      </c>
      <c r="L3" s="7">
        <v>3100.0</v>
      </c>
      <c r="M3" s="7">
        <v>274000.0</v>
      </c>
      <c r="N3" s="8">
        <v>42248.0</v>
      </c>
      <c r="O3" s="7" t="s">
        <v>33</v>
      </c>
      <c r="P3" s="7" t="s">
        <v>25</v>
      </c>
      <c r="Q3" s="7" t="s">
        <v>34</v>
      </c>
      <c r="R3" s="7" t="s">
        <v>36</v>
      </c>
      <c r="S3" s="7" t="s">
        <v>28</v>
      </c>
    </row>
    <row r="4">
      <c r="A4" s="7">
        <v>3.0</v>
      </c>
      <c r="B4" s="7" t="s">
        <v>37</v>
      </c>
      <c r="C4" s="7" t="s">
        <v>21</v>
      </c>
      <c r="D4" s="7">
        <v>70.0</v>
      </c>
      <c r="E4" s="7">
        <v>250.0</v>
      </c>
      <c r="G4" s="7">
        <v>1.19</v>
      </c>
      <c r="H4" s="7" t="s">
        <v>30</v>
      </c>
      <c r="I4" s="9">
        <v>45891.796168981484</v>
      </c>
      <c r="J4" s="7" t="s">
        <v>40</v>
      </c>
      <c r="K4" s="7">
        <v>23000.0</v>
      </c>
      <c r="L4" s="7">
        <v>3100.0</v>
      </c>
      <c r="M4" s="7">
        <v>276000.0</v>
      </c>
      <c r="N4" s="8">
        <v>42867.0</v>
      </c>
      <c r="O4" s="7" t="s">
        <v>41</v>
      </c>
      <c r="P4" s="7" t="s">
        <v>25</v>
      </c>
      <c r="Q4" s="7" t="s">
        <v>44</v>
      </c>
      <c r="R4" s="7" t="s">
        <v>45</v>
      </c>
      <c r="S4" s="7" t="s">
        <v>28</v>
      </c>
    </row>
    <row r="5">
      <c r="A5" s="7">
        <v>4.0</v>
      </c>
      <c r="B5" s="7" t="s">
        <v>47</v>
      </c>
      <c r="C5" s="7" t="s">
        <v>21</v>
      </c>
      <c r="E5" s="7">
        <v>100.0</v>
      </c>
      <c r="I5" s="9"/>
      <c r="K5" s="7">
        <v>23000.0</v>
      </c>
      <c r="N5" s="8">
        <v>44237.0</v>
      </c>
      <c r="O5" s="7" t="s">
        <v>33</v>
      </c>
      <c r="P5" s="7" t="s">
        <v>25</v>
      </c>
      <c r="S5" s="7" t="s">
        <v>28</v>
      </c>
    </row>
    <row r="6">
      <c r="A6" s="7">
        <v>5.0</v>
      </c>
      <c r="B6" s="7" t="s">
        <v>51</v>
      </c>
      <c r="C6" s="7" t="s">
        <v>21</v>
      </c>
      <c r="D6" s="7">
        <v>72.0</v>
      </c>
      <c r="E6" s="7">
        <v>90.0</v>
      </c>
      <c r="H6" s="7" t="s">
        <v>53</v>
      </c>
      <c r="I6" s="9">
        <v>46156.821550925924</v>
      </c>
      <c r="K6" s="7">
        <v>1000.0</v>
      </c>
      <c r="L6" s="7">
        <v>1300.0</v>
      </c>
      <c r="M6" s="7">
        <v>502000.0</v>
      </c>
      <c r="N6" s="8">
        <v>42494.0</v>
      </c>
      <c r="O6" s="7" t="s">
        <v>33</v>
      </c>
      <c r="P6" s="7" t="s">
        <v>25</v>
      </c>
      <c r="S6" s="7" t="s">
        <v>28</v>
      </c>
    </row>
    <row r="7">
      <c r="A7" s="7">
        <v>6.0</v>
      </c>
      <c r="B7" s="7" t="s">
        <v>39</v>
      </c>
      <c r="C7" s="7" t="s">
        <v>21</v>
      </c>
      <c r="E7" s="7">
        <v>80.0</v>
      </c>
      <c r="I7" s="9"/>
      <c r="K7" s="7">
        <v>715000.0</v>
      </c>
      <c r="N7" s="8">
        <v>42890.0</v>
      </c>
    </row>
    <row r="8">
      <c r="A8" s="7">
        <v>7.0</v>
      </c>
      <c r="B8" s="7" t="s">
        <v>43</v>
      </c>
      <c r="C8" s="7" t="s">
        <v>21</v>
      </c>
      <c r="D8" s="7">
        <v>75.0</v>
      </c>
      <c r="E8" s="7">
        <v>80.0</v>
      </c>
      <c r="H8" s="7" t="s">
        <v>46</v>
      </c>
      <c r="I8" s="9">
        <v>46123.46344907407</v>
      </c>
      <c r="J8" s="7" t="s">
        <v>48</v>
      </c>
      <c r="K8" s="7">
        <v>800.0</v>
      </c>
      <c r="L8" s="7">
        <v>700.0</v>
      </c>
      <c r="M8" s="7">
        <v>205000.0</v>
      </c>
      <c r="N8" s="8">
        <v>42405.0</v>
      </c>
      <c r="O8" s="7" t="s">
        <v>33</v>
      </c>
      <c r="P8" s="7" t="s">
        <v>25</v>
      </c>
      <c r="S8" s="7" t="s">
        <v>28</v>
      </c>
    </row>
    <row r="9">
      <c r="A9" s="7">
        <v>8.0</v>
      </c>
      <c r="B9" s="7" t="s">
        <v>61</v>
      </c>
      <c r="C9" s="7" t="s">
        <v>21</v>
      </c>
      <c r="D9" s="7">
        <v>76.0</v>
      </c>
      <c r="E9" s="7">
        <v>80.0</v>
      </c>
      <c r="H9" s="7" t="s">
        <v>46</v>
      </c>
      <c r="I9" s="9">
        <v>46160.00784722222</v>
      </c>
      <c r="K9" s="7">
        <v>200.0</v>
      </c>
      <c r="L9" s="7">
        <v>1300.0</v>
      </c>
      <c r="M9" s="7">
        <v>168000.0</v>
      </c>
      <c r="N9" s="8">
        <v>43937.0</v>
      </c>
      <c r="O9" s="7" t="s">
        <v>33</v>
      </c>
      <c r="P9" s="7" t="s">
        <v>25</v>
      </c>
      <c r="S9" s="7" t="s">
        <v>28</v>
      </c>
    </row>
    <row r="10">
      <c r="A10" s="7">
        <v>9.0</v>
      </c>
      <c r="B10" s="7" t="s">
        <v>65</v>
      </c>
      <c r="C10" s="7" t="s">
        <v>21</v>
      </c>
      <c r="D10" s="7">
        <v>69.0</v>
      </c>
      <c r="E10" s="7">
        <v>70.0</v>
      </c>
      <c r="H10" s="7" t="s">
        <v>53</v>
      </c>
      <c r="I10" s="9">
        <v>46142.60019675926</v>
      </c>
      <c r="J10" s="7" t="s">
        <v>40</v>
      </c>
      <c r="K10" s="7">
        <v>1200.0</v>
      </c>
      <c r="L10" s="7">
        <v>1200.0</v>
      </c>
      <c r="M10" s="7">
        <v>65000.0</v>
      </c>
      <c r="N10" s="8">
        <v>42867.0</v>
      </c>
      <c r="O10" s="7" t="s">
        <v>72</v>
      </c>
      <c r="P10" s="7" t="s">
        <v>25</v>
      </c>
      <c r="S10" s="7" t="s">
        <v>74</v>
      </c>
    </row>
    <row r="11">
      <c r="A11" s="7">
        <v>10.0</v>
      </c>
      <c r="B11" s="7" t="s">
        <v>76</v>
      </c>
      <c r="C11" s="7" t="s">
        <v>21</v>
      </c>
      <c r="D11" s="7">
        <v>33.0</v>
      </c>
      <c r="E11" s="7">
        <v>40.0</v>
      </c>
      <c r="H11" s="7" t="s">
        <v>76</v>
      </c>
      <c r="I11" s="9">
        <v>46098.305983796294</v>
      </c>
      <c r="J11" s="7" t="s">
        <v>40</v>
      </c>
      <c r="K11" s="7">
        <v>350.0</v>
      </c>
      <c r="L11" s="7">
        <v>20.0</v>
      </c>
      <c r="M11" s="7">
        <v>4700.0</v>
      </c>
      <c r="N11" s="8">
        <v>44828.0</v>
      </c>
      <c r="O11" s="7" t="s">
        <v>41</v>
      </c>
      <c r="P11" s="7" t="s">
        <v>25</v>
      </c>
      <c r="S11" s="7" t="s">
        <v>28</v>
      </c>
    </row>
    <row r="12">
      <c r="A12" s="7">
        <v>11.0</v>
      </c>
      <c r="B12" s="7" t="s">
        <v>80</v>
      </c>
      <c r="C12" s="7" t="s">
        <v>21</v>
      </c>
      <c r="E12" s="7">
        <v>40.0</v>
      </c>
      <c r="I12" s="9"/>
      <c r="K12" s="7">
        <v>400.0</v>
      </c>
      <c r="N12" s="8">
        <v>44336.0</v>
      </c>
    </row>
    <row r="13">
      <c r="A13" s="7">
        <v>12.0</v>
      </c>
      <c r="B13" s="7" t="s">
        <v>83</v>
      </c>
      <c r="C13" s="7" t="s">
        <v>21</v>
      </c>
      <c r="E13" s="7">
        <v>30.0</v>
      </c>
      <c r="K13" s="7">
        <v>500.0</v>
      </c>
      <c r="N13" s="8">
        <v>44505.0</v>
      </c>
    </row>
    <row r="14">
      <c r="A14" s="7">
        <v>13.0</v>
      </c>
      <c r="B14" s="7" t="s">
        <v>86</v>
      </c>
      <c r="C14" s="7" t="s">
        <v>21</v>
      </c>
      <c r="E14" s="7">
        <v>30.0</v>
      </c>
      <c r="I14" s="9"/>
      <c r="K14" s="7">
        <v>1500.0</v>
      </c>
      <c r="N14" s="8">
        <v>44178.0</v>
      </c>
      <c r="O14" s="7" t="s">
        <v>33</v>
      </c>
      <c r="P14" s="7" t="s">
        <v>25</v>
      </c>
      <c r="S14" s="7" t="s">
        <v>28</v>
      </c>
    </row>
    <row r="15">
      <c r="A15" s="7">
        <v>14.0</v>
      </c>
      <c r="B15" s="7" t="s">
        <v>52</v>
      </c>
      <c r="C15" s="7" t="s">
        <v>21</v>
      </c>
      <c r="E15" s="7">
        <v>20.0</v>
      </c>
      <c r="K15" s="7">
        <v>70.0</v>
      </c>
      <c r="N15" s="8">
        <v>44352.0</v>
      </c>
      <c r="O15" s="7" t="s">
        <v>54</v>
      </c>
      <c r="P15" s="7" t="s">
        <v>25</v>
      </c>
      <c r="S15" s="7" t="s">
        <v>28</v>
      </c>
    </row>
    <row r="16">
      <c r="A16" s="7">
        <v>15.0</v>
      </c>
      <c r="B16" s="7" t="s">
        <v>56</v>
      </c>
      <c r="C16" s="7" t="s">
        <v>21</v>
      </c>
      <c r="E16" s="7">
        <v>20.0</v>
      </c>
      <c r="K16" s="7">
        <v>100.0</v>
      </c>
      <c r="N16" s="8">
        <v>43868.0</v>
      </c>
      <c r="O16" s="7" t="s">
        <v>33</v>
      </c>
      <c r="P16" s="7" t="s">
        <v>25</v>
      </c>
      <c r="S16" s="7" t="s">
        <v>28</v>
      </c>
    </row>
    <row r="17">
      <c r="A17" s="7">
        <v>16.0</v>
      </c>
      <c r="B17" s="7" t="s">
        <v>95</v>
      </c>
      <c r="C17" s="7" t="s">
        <v>21</v>
      </c>
      <c r="D17" s="7">
        <v>76.0</v>
      </c>
      <c r="E17" s="7">
        <v>20.0</v>
      </c>
      <c r="H17" s="7" t="s">
        <v>46</v>
      </c>
      <c r="I17" s="9">
        <v>46145.35853009259</v>
      </c>
      <c r="J17" s="7" t="s">
        <v>40</v>
      </c>
      <c r="K17" s="7">
        <v>1700.0</v>
      </c>
      <c r="L17" s="7">
        <v>800.0</v>
      </c>
      <c r="M17" s="7">
        <v>201000.0</v>
      </c>
      <c r="N17" s="8">
        <v>43967.0</v>
      </c>
      <c r="O17" s="7" t="s">
        <v>33</v>
      </c>
      <c r="P17" s="7" t="s">
        <v>25</v>
      </c>
      <c r="S17" s="7" t="s">
        <v>28</v>
      </c>
    </row>
    <row r="18">
      <c r="A18" s="7">
        <v>17.0</v>
      </c>
      <c r="B18" s="7" t="s">
        <v>57</v>
      </c>
      <c r="C18" s="7" t="s">
        <v>21</v>
      </c>
      <c r="E18" s="7">
        <v>20.0</v>
      </c>
      <c r="K18" s="7">
        <v>350.0</v>
      </c>
      <c r="N18" s="8">
        <v>42364.0</v>
      </c>
      <c r="O18" s="7" t="s">
        <v>54</v>
      </c>
      <c r="P18" s="7" t="s">
        <v>25</v>
      </c>
      <c r="S18" s="7" t="s">
        <v>28</v>
      </c>
    </row>
    <row r="19">
      <c r="A19" s="7">
        <v>18.0</v>
      </c>
      <c r="B19" s="7" t="s">
        <v>101</v>
      </c>
      <c r="C19" s="7" t="s">
        <v>21</v>
      </c>
      <c r="D19" s="7">
        <v>69.0</v>
      </c>
      <c r="E19" s="7">
        <v>20.0</v>
      </c>
      <c r="H19" s="7" t="s">
        <v>104</v>
      </c>
      <c r="I19" s="9">
        <v>46052.876238425924</v>
      </c>
      <c r="K19" s="7">
        <v>60.0</v>
      </c>
      <c r="L19" s="7">
        <v>350.0</v>
      </c>
      <c r="M19" s="7">
        <v>239000.0</v>
      </c>
      <c r="N19" s="8">
        <v>42383.0</v>
      </c>
      <c r="O19" s="7" t="s">
        <v>33</v>
      </c>
      <c r="P19" s="7" t="s">
        <v>25</v>
      </c>
      <c r="S19" s="7" t="s">
        <v>28</v>
      </c>
    </row>
    <row r="20">
      <c r="A20" s="7">
        <v>19.0</v>
      </c>
      <c r="B20" s="7" t="s">
        <v>108</v>
      </c>
      <c r="C20" s="7" t="s">
        <v>21</v>
      </c>
      <c r="E20" s="7">
        <v>20.0</v>
      </c>
      <c r="K20" s="7">
        <v>50.0</v>
      </c>
      <c r="N20" s="8">
        <v>45756.0</v>
      </c>
    </row>
    <row r="21">
      <c r="A21" s="7">
        <v>20.0</v>
      </c>
      <c r="B21" s="7" t="s">
        <v>60</v>
      </c>
      <c r="C21" s="7" t="s">
        <v>21</v>
      </c>
      <c r="E21" s="7">
        <v>20.0</v>
      </c>
      <c r="K21" s="7">
        <v>52000.0</v>
      </c>
      <c r="N21" s="8">
        <v>42382.0</v>
      </c>
    </row>
    <row r="22">
      <c r="A22" s="7">
        <v>21.0</v>
      </c>
      <c r="B22" s="7" t="s">
        <v>63</v>
      </c>
      <c r="C22" s="7" t="s">
        <v>21</v>
      </c>
      <c r="D22" s="7">
        <v>57.0</v>
      </c>
      <c r="E22" s="7">
        <v>20.0</v>
      </c>
      <c r="H22" s="7" t="s">
        <v>19</v>
      </c>
      <c r="I22" s="9">
        <v>46131.94018518519</v>
      </c>
      <c r="J22" s="7" t="s">
        <v>40</v>
      </c>
      <c r="K22" s="7">
        <v>3700.0</v>
      </c>
      <c r="L22" s="7">
        <v>15000.0</v>
      </c>
      <c r="M22" s="7">
        <v>69000.0</v>
      </c>
      <c r="N22" s="8">
        <v>42404.0</v>
      </c>
      <c r="O22" s="7" t="s">
        <v>24</v>
      </c>
      <c r="P22" s="7" t="s">
        <v>25</v>
      </c>
      <c r="S22" s="7" t="s">
        <v>28</v>
      </c>
    </row>
    <row r="23">
      <c r="A23" s="7">
        <v>22.0</v>
      </c>
      <c r="B23" s="7" t="s">
        <v>115</v>
      </c>
      <c r="C23" s="7" t="s">
        <v>21</v>
      </c>
      <c r="E23" s="7">
        <v>20.0</v>
      </c>
      <c r="K23" s="7">
        <v>2600.0</v>
      </c>
      <c r="N23" s="8">
        <v>43423.0</v>
      </c>
    </row>
    <row r="24">
      <c r="A24" s="7">
        <v>23.0</v>
      </c>
      <c r="B24" s="7" t="s">
        <v>118</v>
      </c>
      <c r="C24" s="7" t="s">
        <v>21</v>
      </c>
      <c r="D24" s="7">
        <v>72.0</v>
      </c>
      <c r="E24" s="7">
        <v>20.0</v>
      </c>
      <c r="H24" s="7" t="s">
        <v>120</v>
      </c>
      <c r="I24" s="9">
        <v>46100.869363425925</v>
      </c>
      <c r="J24" s="7" t="s">
        <v>40</v>
      </c>
      <c r="K24" s="7">
        <v>1400.0</v>
      </c>
      <c r="L24" s="7">
        <v>150.0</v>
      </c>
      <c r="M24" s="7">
        <v>2800.0</v>
      </c>
      <c r="N24" s="8">
        <v>42396.0</v>
      </c>
      <c r="O24" s="7" t="s">
        <v>33</v>
      </c>
      <c r="P24" s="7" t="s">
        <v>25</v>
      </c>
      <c r="S24" s="7" t="s">
        <v>28</v>
      </c>
    </row>
    <row r="25">
      <c r="A25" s="7">
        <v>24.0</v>
      </c>
      <c r="B25" s="7" t="s">
        <v>124</v>
      </c>
      <c r="C25" s="7" t="s">
        <v>21</v>
      </c>
      <c r="E25" s="7">
        <v>20.0</v>
      </c>
      <c r="K25" s="7">
        <v>1800.0</v>
      </c>
      <c r="N25" s="8">
        <v>44355.0</v>
      </c>
    </row>
    <row r="26">
      <c r="A26" s="7">
        <v>25.0</v>
      </c>
      <c r="B26" s="7" t="s">
        <v>128</v>
      </c>
      <c r="C26" s="7" t="s">
        <v>21</v>
      </c>
      <c r="E26" s="7">
        <v>10.0</v>
      </c>
      <c r="K26" s="7">
        <v>900.0</v>
      </c>
      <c r="N26" s="8">
        <v>43575.0</v>
      </c>
    </row>
    <row r="27">
      <c r="A27" s="7">
        <v>26.0</v>
      </c>
      <c r="B27" s="7" t="s">
        <v>131</v>
      </c>
      <c r="C27" s="7" t="s">
        <v>21</v>
      </c>
      <c r="D27" s="7">
        <v>72.0</v>
      </c>
      <c r="E27" s="7">
        <v>10.0</v>
      </c>
      <c r="H27" s="7" t="s">
        <v>46</v>
      </c>
      <c r="I27" s="9">
        <v>46142.602106481485</v>
      </c>
      <c r="J27" s="7" t="s">
        <v>40</v>
      </c>
      <c r="K27" s="7">
        <v>10.0</v>
      </c>
      <c r="L27" s="7">
        <v>800.0</v>
      </c>
      <c r="M27" s="7">
        <v>201000.0</v>
      </c>
      <c r="N27" s="8">
        <v>42988.0</v>
      </c>
      <c r="O27" s="7" t="s">
        <v>41</v>
      </c>
      <c r="P27" s="7" t="s">
        <v>25</v>
      </c>
      <c r="S27" s="7" t="s">
        <v>28</v>
      </c>
    </row>
    <row r="28">
      <c r="A28" s="7">
        <v>27.0</v>
      </c>
      <c r="B28" s="7" t="s">
        <v>137</v>
      </c>
      <c r="C28" s="7" t="s">
        <v>21</v>
      </c>
      <c r="E28" s="7">
        <v>10.0</v>
      </c>
      <c r="K28" s="7">
        <v>1800.0</v>
      </c>
      <c r="N28" s="8">
        <v>44708.0</v>
      </c>
    </row>
    <row r="29">
      <c r="A29" s="7">
        <v>28.0</v>
      </c>
      <c r="B29" s="7" t="s">
        <v>139</v>
      </c>
      <c r="C29" s="7" t="s">
        <v>21</v>
      </c>
      <c r="E29" s="7">
        <v>10.0</v>
      </c>
      <c r="K29" s="7">
        <v>80.0</v>
      </c>
      <c r="N29" s="8">
        <v>42426.0</v>
      </c>
      <c r="O29" s="7" t="s">
        <v>72</v>
      </c>
      <c r="P29" s="7" t="s">
        <v>25</v>
      </c>
      <c r="S29" s="7" t="s">
        <v>28</v>
      </c>
    </row>
    <row r="30">
      <c r="A30" s="7">
        <v>29.0</v>
      </c>
      <c r="B30" s="7" t="s">
        <v>143</v>
      </c>
      <c r="C30" s="7" t="s">
        <v>21</v>
      </c>
      <c r="E30" s="7">
        <v>10.0</v>
      </c>
      <c r="K30" s="7">
        <v>80.0</v>
      </c>
      <c r="N30" s="8">
        <v>44704.0</v>
      </c>
    </row>
    <row r="31">
      <c r="A31" s="7">
        <v>30.0</v>
      </c>
      <c r="B31" s="7" t="s">
        <v>146</v>
      </c>
      <c r="C31" s="7" t="s">
        <v>21</v>
      </c>
      <c r="D31" s="7">
        <v>62.0</v>
      </c>
      <c r="E31" s="7">
        <v>10.0</v>
      </c>
      <c r="H31" s="7" t="s">
        <v>148</v>
      </c>
      <c r="I31" s="9">
        <v>46088.0075462963</v>
      </c>
      <c r="J31" s="7" t="s">
        <v>40</v>
      </c>
      <c r="K31" s="7">
        <v>30.0</v>
      </c>
      <c r="L31" s="7">
        <v>90.0</v>
      </c>
      <c r="M31" s="7">
        <v>43000.0</v>
      </c>
      <c r="N31" s="8">
        <v>43098.0</v>
      </c>
      <c r="O31" s="7" t="s">
        <v>33</v>
      </c>
      <c r="P31" s="7" t="s">
        <v>25</v>
      </c>
      <c r="S31" s="7" t="s">
        <v>28</v>
      </c>
    </row>
    <row r="32">
      <c r="A32" s="7">
        <v>31.0</v>
      </c>
      <c r="B32" s="7" t="s">
        <v>156</v>
      </c>
      <c r="C32" s="7" t="s">
        <v>21</v>
      </c>
      <c r="E32" s="7">
        <v>10.0</v>
      </c>
      <c r="K32" s="7">
        <v>500.0</v>
      </c>
      <c r="N32" s="8">
        <v>43136.0</v>
      </c>
    </row>
    <row r="33">
      <c r="A33" s="7">
        <v>32.0</v>
      </c>
      <c r="B33" s="7" t="s">
        <v>161</v>
      </c>
      <c r="C33" s="7" t="s">
        <v>21</v>
      </c>
      <c r="E33" s="7">
        <v>10.0</v>
      </c>
      <c r="K33" s="7">
        <v>10.0</v>
      </c>
      <c r="N33" s="8">
        <v>43171.0</v>
      </c>
    </row>
    <row r="34">
      <c r="A34" s="7">
        <v>33.0</v>
      </c>
      <c r="B34" s="7" t="s">
        <v>163</v>
      </c>
      <c r="C34" s="7" t="s">
        <v>21</v>
      </c>
      <c r="E34" s="7">
        <v>10.0</v>
      </c>
      <c r="K34" s="7">
        <v>3500.0</v>
      </c>
      <c r="N34" s="8">
        <v>44207.0</v>
      </c>
    </row>
    <row r="35">
      <c r="A35" s="7">
        <v>34.0</v>
      </c>
      <c r="B35" s="7" t="s">
        <v>165</v>
      </c>
      <c r="C35" s="7" t="s">
        <v>21</v>
      </c>
      <c r="D35" s="7">
        <v>65.0</v>
      </c>
      <c r="E35" s="7">
        <v>10.0</v>
      </c>
      <c r="H35" s="7" t="s">
        <v>167</v>
      </c>
      <c r="I35" s="9">
        <v>46124.06282407408</v>
      </c>
      <c r="J35" s="7" t="s">
        <v>40</v>
      </c>
      <c r="K35" s="7">
        <v>17000.0</v>
      </c>
      <c r="L35" s="7">
        <v>3100.0</v>
      </c>
      <c r="M35" s="7">
        <v>62000.0</v>
      </c>
      <c r="N35" s="8">
        <v>42906.0</v>
      </c>
      <c r="O35" s="7" t="s">
        <v>33</v>
      </c>
      <c r="P35" s="7" t="s">
        <v>25</v>
      </c>
      <c r="S35" s="7" t="s">
        <v>28</v>
      </c>
    </row>
    <row r="36">
      <c r="A36" s="7">
        <v>35.0</v>
      </c>
      <c r="B36" s="7" t="s">
        <v>171</v>
      </c>
      <c r="C36" s="7" t="s">
        <v>21</v>
      </c>
      <c r="E36" s="7">
        <v>10.0</v>
      </c>
      <c r="F36" s="7">
        <v>0.06</v>
      </c>
      <c r="K36" s="7">
        <v>5000.0</v>
      </c>
      <c r="N36" s="8">
        <v>42300.0</v>
      </c>
    </row>
    <row r="37">
      <c r="A37" s="7">
        <v>36.0</v>
      </c>
      <c r="B37" s="7" t="s">
        <v>173</v>
      </c>
      <c r="C37" s="7" t="s">
        <v>21</v>
      </c>
      <c r="D37" s="7">
        <v>48.0</v>
      </c>
      <c r="E37" s="7">
        <v>10.0</v>
      </c>
      <c r="H37" s="7" t="s">
        <v>174</v>
      </c>
      <c r="I37" s="9">
        <v>46076.08335648148</v>
      </c>
      <c r="J37" s="7" t="s">
        <v>40</v>
      </c>
      <c r="K37" s="7">
        <v>1500.0</v>
      </c>
      <c r="L37" s="7">
        <v>90.0</v>
      </c>
      <c r="M37" s="7">
        <v>40000.0</v>
      </c>
      <c r="N37" s="8">
        <v>44225.0</v>
      </c>
      <c r="O37" s="7" t="s">
        <v>33</v>
      </c>
      <c r="P37" s="7" t="s">
        <v>25</v>
      </c>
      <c r="S37" s="7" t="s">
        <v>28</v>
      </c>
    </row>
    <row r="38">
      <c r="A38" s="7">
        <v>37.0</v>
      </c>
      <c r="B38" s="7" t="s">
        <v>178</v>
      </c>
      <c r="C38" s="7" t="s">
        <v>21</v>
      </c>
      <c r="D38" s="7">
        <v>64.0</v>
      </c>
      <c r="E38" s="7">
        <v>10.0</v>
      </c>
      <c r="H38" s="7" t="s">
        <v>181</v>
      </c>
      <c r="I38" s="9">
        <v>46125.77185185185</v>
      </c>
      <c r="J38" s="7" t="s">
        <v>40</v>
      </c>
      <c r="K38" s="7">
        <v>10.0</v>
      </c>
      <c r="L38" s="7">
        <v>70.0</v>
      </c>
      <c r="M38" s="7">
        <v>600.0</v>
      </c>
      <c r="N38" s="8">
        <v>42955.0</v>
      </c>
      <c r="O38" s="7" t="s">
        <v>33</v>
      </c>
      <c r="P38" s="7" t="s">
        <v>25</v>
      </c>
      <c r="S38" s="7" t="s">
        <v>28</v>
      </c>
    </row>
    <row r="39">
      <c r="A39" s="7">
        <v>38.0</v>
      </c>
      <c r="B39" s="7" t="s">
        <v>185</v>
      </c>
      <c r="C39" s="7" t="s">
        <v>21</v>
      </c>
      <c r="E39" s="7">
        <v>10.0</v>
      </c>
      <c r="K39" s="7">
        <v>400.0</v>
      </c>
      <c r="N39" s="8">
        <v>45719.0</v>
      </c>
    </row>
    <row r="40">
      <c r="A40" s="7">
        <v>39.0</v>
      </c>
      <c r="B40" s="7" t="s">
        <v>187</v>
      </c>
      <c r="C40" s="7" t="s">
        <v>21</v>
      </c>
      <c r="E40" s="7">
        <v>10.0</v>
      </c>
      <c r="K40" s="7">
        <v>16000.0</v>
      </c>
      <c r="N40" s="8">
        <v>42970.0</v>
      </c>
    </row>
    <row r="41">
      <c r="A41" s="7">
        <v>40.0</v>
      </c>
      <c r="B41" s="7" t="s">
        <v>190</v>
      </c>
      <c r="C41" s="7" t="s">
        <v>21</v>
      </c>
      <c r="D41" s="7">
        <v>68.0</v>
      </c>
      <c r="E41" s="7">
        <v>10.0</v>
      </c>
      <c r="H41" s="7" t="s">
        <v>192</v>
      </c>
      <c r="I41" s="9">
        <v>46125.39135416667</v>
      </c>
      <c r="J41" s="7" t="s">
        <v>40</v>
      </c>
      <c r="K41" s="7">
        <v>21000.0</v>
      </c>
      <c r="L41" s="7">
        <v>600.0</v>
      </c>
      <c r="M41" s="7">
        <v>356000.0</v>
      </c>
      <c r="N41" s="8">
        <v>42327.0</v>
      </c>
      <c r="O41" s="7" t="s">
        <v>41</v>
      </c>
      <c r="P41" s="7" t="s">
        <v>25</v>
      </c>
      <c r="S41" s="7" t="s">
        <v>28</v>
      </c>
    </row>
    <row r="42">
      <c r="A42" s="7">
        <v>41.0</v>
      </c>
      <c r="B42" s="7" t="s">
        <v>196</v>
      </c>
      <c r="C42" s="7" t="s">
        <v>21</v>
      </c>
      <c r="E42" s="7">
        <v>10.0</v>
      </c>
      <c r="K42" s="7">
        <v>100.0</v>
      </c>
      <c r="N42" s="8">
        <v>43870.0</v>
      </c>
    </row>
    <row r="43">
      <c r="A43" s="7">
        <v>42.0</v>
      </c>
      <c r="B43" s="7" t="s">
        <v>199</v>
      </c>
      <c r="C43" s="7" t="s">
        <v>21</v>
      </c>
      <c r="E43" s="7">
        <v>10.0</v>
      </c>
      <c r="K43" s="7">
        <v>450.0</v>
      </c>
      <c r="N43" s="8">
        <v>44056.0</v>
      </c>
    </row>
    <row r="44">
      <c r="A44" s="7">
        <v>43.0</v>
      </c>
      <c r="B44" s="7" t="s">
        <v>201</v>
      </c>
      <c r="C44" s="7" t="s">
        <v>21</v>
      </c>
      <c r="E44" s="7">
        <v>10.0</v>
      </c>
      <c r="K44" s="7">
        <v>1000.0</v>
      </c>
      <c r="N44" s="8">
        <v>44286.0</v>
      </c>
    </row>
    <row r="45">
      <c r="A45" s="7">
        <v>44.0</v>
      </c>
      <c r="B45" s="7" t="s">
        <v>205</v>
      </c>
      <c r="C45" s="7" t="s">
        <v>21</v>
      </c>
      <c r="E45" s="7">
        <v>10.0</v>
      </c>
      <c r="K45" s="7">
        <v>9200.0</v>
      </c>
      <c r="N45" s="8">
        <v>44080.0</v>
      </c>
    </row>
    <row r="46">
      <c r="A46" s="7">
        <v>45.0</v>
      </c>
      <c r="B46" s="7" t="s">
        <v>208</v>
      </c>
      <c r="C46" s="7" t="s">
        <v>21</v>
      </c>
      <c r="D46" s="7">
        <v>74.0</v>
      </c>
      <c r="E46" s="7">
        <v>10.0</v>
      </c>
      <c r="H46" s="7" t="s">
        <v>46</v>
      </c>
      <c r="I46" s="9">
        <v>46148.482465277775</v>
      </c>
      <c r="J46" s="7" t="s">
        <v>40</v>
      </c>
      <c r="K46" s="7">
        <v>800.0</v>
      </c>
      <c r="L46" s="7">
        <v>800.0</v>
      </c>
      <c r="M46" s="7">
        <v>194000.0</v>
      </c>
      <c r="N46" s="8">
        <v>42394.0</v>
      </c>
      <c r="O46" s="7" t="s">
        <v>41</v>
      </c>
      <c r="P46" s="7" t="s">
        <v>25</v>
      </c>
      <c r="S46" s="7" t="s">
        <v>28</v>
      </c>
    </row>
    <row r="47">
      <c r="A47" s="7">
        <v>46.0</v>
      </c>
      <c r="B47" s="7" t="s">
        <v>214</v>
      </c>
      <c r="C47" s="7" t="s">
        <v>21</v>
      </c>
      <c r="D47" s="7">
        <v>72.0</v>
      </c>
      <c r="E47" s="7">
        <v>10.0</v>
      </c>
      <c r="H47" s="7" t="s">
        <v>46</v>
      </c>
      <c r="I47" s="9">
        <v>46085.619467592594</v>
      </c>
      <c r="J47" s="7" t="s">
        <v>40</v>
      </c>
      <c r="K47" s="7">
        <v>30.0</v>
      </c>
      <c r="L47" s="7">
        <v>600.0</v>
      </c>
      <c r="M47" s="7">
        <v>212000.0</v>
      </c>
      <c r="N47" s="8">
        <v>43074.0</v>
      </c>
      <c r="O47" s="7" t="s">
        <v>33</v>
      </c>
      <c r="P47" s="7" t="s">
        <v>25</v>
      </c>
      <c r="S47" s="7" t="s">
        <v>28</v>
      </c>
    </row>
    <row r="48">
      <c r="A48" s="7">
        <v>47.0</v>
      </c>
      <c r="B48" s="7" t="s">
        <v>221</v>
      </c>
      <c r="C48" s="7" t="s">
        <v>21</v>
      </c>
      <c r="D48" s="7">
        <v>68.0</v>
      </c>
      <c r="E48" s="7">
        <v>10.0</v>
      </c>
      <c r="H48" s="7" t="s">
        <v>224</v>
      </c>
      <c r="I48" s="9">
        <v>46104.05383101852</v>
      </c>
      <c r="J48" s="7" t="s">
        <v>40</v>
      </c>
      <c r="K48" s="7">
        <v>900.0</v>
      </c>
      <c r="L48" s="7">
        <v>50.0</v>
      </c>
      <c r="M48" s="7">
        <v>2700.0</v>
      </c>
      <c r="N48" s="8">
        <v>43308.0</v>
      </c>
      <c r="O48" s="7" t="s">
        <v>41</v>
      </c>
      <c r="P48" s="7" t="s">
        <v>25</v>
      </c>
      <c r="S48" s="7" t="s">
        <v>28</v>
      </c>
    </row>
    <row r="49">
      <c r="A49" s="7">
        <v>48.0</v>
      </c>
      <c r="B49" s="7" t="s">
        <v>227</v>
      </c>
      <c r="C49" s="7" t="s">
        <v>21</v>
      </c>
      <c r="D49" s="7">
        <v>64.0</v>
      </c>
      <c r="E49" s="7">
        <v>10.0</v>
      </c>
      <c r="H49" s="7" t="s">
        <v>227</v>
      </c>
      <c r="I49" s="9">
        <v>46118.28273148148</v>
      </c>
      <c r="J49" s="7" t="s">
        <v>40</v>
      </c>
      <c r="K49" s="7">
        <v>70.0</v>
      </c>
      <c r="L49" s="7">
        <v>0.0</v>
      </c>
      <c r="M49" s="7">
        <v>9900.0</v>
      </c>
      <c r="N49" s="8">
        <v>44195.0</v>
      </c>
      <c r="O49" s="7" t="s">
        <v>41</v>
      </c>
      <c r="P49" s="7" t="s">
        <v>25</v>
      </c>
      <c r="S49" s="7" t="s">
        <v>28</v>
      </c>
    </row>
    <row r="50">
      <c r="A50" s="7">
        <v>49.0</v>
      </c>
      <c r="B50" s="7" t="s">
        <v>233</v>
      </c>
      <c r="C50" s="7" t="s">
        <v>21</v>
      </c>
      <c r="E50" s="7">
        <v>10.0</v>
      </c>
      <c r="K50" s="7">
        <v>2800.0</v>
      </c>
      <c r="N50" s="8">
        <v>44706.0</v>
      </c>
    </row>
    <row r="51">
      <c r="A51" s="7">
        <v>50.0</v>
      </c>
      <c r="B51" s="7" t="s">
        <v>237</v>
      </c>
      <c r="C51" s="7" t="s">
        <v>21</v>
      </c>
      <c r="E51" s="7">
        <v>10.0</v>
      </c>
      <c r="K51" s="7">
        <v>80.0</v>
      </c>
      <c r="N51" s="8">
        <v>45918.0</v>
      </c>
    </row>
    <row r="52">
      <c r="A52" s="7">
        <v>51.0</v>
      </c>
      <c r="B52" s="7" t="s">
        <v>240</v>
      </c>
      <c r="C52" s="7" t="s">
        <v>21</v>
      </c>
      <c r="E52" s="7">
        <v>10.0</v>
      </c>
      <c r="K52" s="7">
        <v>200.0</v>
      </c>
      <c r="N52" s="8">
        <v>43798.0</v>
      </c>
    </row>
    <row r="53">
      <c r="A53" s="7">
        <v>52.0</v>
      </c>
      <c r="B53" s="7" t="s">
        <v>244</v>
      </c>
      <c r="C53" s="7" t="s">
        <v>21</v>
      </c>
      <c r="D53" s="7">
        <v>54.0</v>
      </c>
      <c r="E53" s="7">
        <v>10.0</v>
      </c>
      <c r="H53" s="7" t="s">
        <v>246</v>
      </c>
      <c r="I53" s="9">
        <v>46148.7221875</v>
      </c>
      <c r="J53" s="7" t="s">
        <v>40</v>
      </c>
      <c r="K53" s="7">
        <v>3300.0</v>
      </c>
      <c r="L53" s="7">
        <v>30.0</v>
      </c>
      <c r="M53" s="7">
        <v>21000.0</v>
      </c>
      <c r="N53" s="8">
        <v>43952.0</v>
      </c>
      <c r="O53" s="7" t="s">
        <v>33</v>
      </c>
      <c r="P53" s="7" t="s">
        <v>25</v>
      </c>
      <c r="S53" s="7" t="s">
        <v>28</v>
      </c>
    </row>
    <row r="54">
      <c r="A54" s="7">
        <v>53.0</v>
      </c>
      <c r="B54" s="7" t="s">
        <v>251</v>
      </c>
      <c r="C54" s="7" t="s">
        <v>21</v>
      </c>
      <c r="K54" s="7">
        <v>600.0</v>
      </c>
      <c r="N54" s="8">
        <v>44523.0</v>
      </c>
    </row>
    <row r="55">
      <c r="A55" s="7">
        <v>54.0</v>
      </c>
      <c r="B55" s="7" t="s">
        <v>254</v>
      </c>
      <c r="C55" s="7" t="s">
        <v>21</v>
      </c>
      <c r="K55" s="7">
        <v>800.0</v>
      </c>
      <c r="N55" s="8">
        <v>44183.0</v>
      </c>
    </row>
    <row r="56">
      <c r="A56" s="7">
        <v>55.0</v>
      </c>
      <c r="B56" s="7" t="s">
        <v>258</v>
      </c>
      <c r="C56" s="7" t="s">
        <v>21</v>
      </c>
      <c r="K56" s="7">
        <v>250.0</v>
      </c>
      <c r="N56" s="8">
        <v>43869.0</v>
      </c>
    </row>
    <row r="57">
      <c r="A57" s="7">
        <v>56.0</v>
      </c>
      <c r="B57" s="7" t="s">
        <v>261</v>
      </c>
      <c r="C57" s="7" t="s">
        <v>21</v>
      </c>
      <c r="K57" s="7">
        <v>100.0</v>
      </c>
      <c r="N57" s="8">
        <v>44632.0</v>
      </c>
    </row>
    <row r="58">
      <c r="A58" s="7">
        <v>57.0</v>
      </c>
      <c r="B58" s="7" t="s">
        <v>265</v>
      </c>
      <c r="C58" s="7" t="s">
        <v>21</v>
      </c>
      <c r="D58" s="7">
        <v>75.0</v>
      </c>
      <c r="H58" s="7" t="s">
        <v>46</v>
      </c>
      <c r="I58" s="9">
        <v>46125.2446412037</v>
      </c>
      <c r="J58" s="7" t="s">
        <v>40</v>
      </c>
      <c r="K58" s="7">
        <v>1800.0</v>
      </c>
      <c r="L58" s="7">
        <v>700.0</v>
      </c>
      <c r="M58" s="7">
        <v>205000.0</v>
      </c>
      <c r="N58" s="8">
        <v>43005.0</v>
      </c>
      <c r="O58" s="7" t="s">
        <v>33</v>
      </c>
      <c r="P58" s="7" t="s">
        <v>25</v>
      </c>
      <c r="S58" s="7" t="s">
        <v>28</v>
      </c>
    </row>
    <row r="59">
      <c r="A59" s="7">
        <v>58.0</v>
      </c>
      <c r="B59" s="7" t="s">
        <v>271</v>
      </c>
      <c r="C59" s="7" t="s">
        <v>21</v>
      </c>
      <c r="N59" s="8">
        <v>44869.0</v>
      </c>
    </row>
    <row r="60">
      <c r="A60" s="7">
        <v>59.0</v>
      </c>
      <c r="B60" s="7" t="s">
        <v>274</v>
      </c>
      <c r="C60" s="7" t="s">
        <v>21</v>
      </c>
      <c r="K60" s="7">
        <v>50.0</v>
      </c>
      <c r="N60" s="8">
        <v>44580.0</v>
      </c>
    </row>
    <row r="61">
      <c r="A61" s="7">
        <v>60.0</v>
      </c>
      <c r="B61" s="7" t="s">
        <v>276</v>
      </c>
      <c r="C61" s="7" t="s">
        <v>21</v>
      </c>
      <c r="K61" s="7">
        <v>60.0</v>
      </c>
      <c r="N61" s="8">
        <v>43884.0</v>
      </c>
    </row>
    <row r="62">
      <c r="A62" s="7">
        <v>61.0</v>
      </c>
      <c r="B62" s="7" t="s">
        <v>278</v>
      </c>
      <c r="C62" s="7" t="s">
        <v>21</v>
      </c>
      <c r="N62" s="8">
        <v>44041.0</v>
      </c>
    </row>
    <row r="63">
      <c r="A63" s="7">
        <v>62.0</v>
      </c>
      <c r="B63" s="7" t="s">
        <v>20</v>
      </c>
      <c r="C63" s="7" t="s">
        <v>21</v>
      </c>
      <c r="K63" s="7">
        <v>2000.0</v>
      </c>
      <c r="N63" s="8">
        <v>43849.0</v>
      </c>
    </row>
    <row r="64">
      <c r="A64" s="7">
        <v>63.0</v>
      </c>
      <c r="B64" s="7" t="s">
        <v>281</v>
      </c>
      <c r="C64" s="7" t="s">
        <v>21</v>
      </c>
      <c r="K64" s="7">
        <v>200.0</v>
      </c>
      <c r="N64" s="8">
        <v>44067.0</v>
      </c>
    </row>
    <row r="65">
      <c r="A65" s="7">
        <v>64.0</v>
      </c>
      <c r="B65" s="7" t="s">
        <v>23</v>
      </c>
      <c r="C65" s="7" t="s">
        <v>21</v>
      </c>
      <c r="K65" s="7">
        <v>30.0</v>
      </c>
      <c r="N65" s="8">
        <v>43955.0</v>
      </c>
    </row>
    <row r="66">
      <c r="A66" s="7">
        <v>65.0</v>
      </c>
      <c r="B66" s="7" t="s">
        <v>285</v>
      </c>
      <c r="C66" s="7" t="s">
        <v>21</v>
      </c>
      <c r="K66" s="7">
        <v>1800.0</v>
      </c>
      <c r="N66" s="8">
        <v>42841.0</v>
      </c>
    </row>
    <row r="67">
      <c r="A67" s="7">
        <v>66.0</v>
      </c>
      <c r="B67" s="7" t="s">
        <v>287</v>
      </c>
      <c r="C67" s="7" t="s">
        <v>21</v>
      </c>
      <c r="K67" s="7">
        <v>250.0</v>
      </c>
      <c r="N67" s="8">
        <v>44216.0</v>
      </c>
    </row>
    <row r="68">
      <c r="A68" s="7">
        <v>67.0</v>
      </c>
      <c r="B68" s="7" t="s">
        <v>289</v>
      </c>
      <c r="C68" s="7" t="s">
        <v>21</v>
      </c>
      <c r="K68" s="7">
        <v>150.0</v>
      </c>
      <c r="N68" s="8">
        <v>44646.0</v>
      </c>
    </row>
    <row r="69">
      <c r="A69" s="7">
        <v>68.0</v>
      </c>
      <c r="B69" s="7" t="s">
        <v>291</v>
      </c>
      <c r="C69" s="7" t="s">
        <v>21</v>
      </c>
      <c r="K69" s="7">
        <v>150.0</v>
      </c>
      <c r="N69" s="8">
        <v>45239.0</v>
      </c>
    </row>
    <row r="70">
      <c r="A70" s="7">
        <v>69.0</v>
      </c>
      <c r="B70" s="7" t="s">
        <v>295</v>
      </c>
      <c r="C70" s="7" t="s">
        <v>21</v>
      </c>
      <c r="D70" s="7">
        <v>79.0</v>
      </c>
      <c r="H70" s="7" t="s">
        <v>46</v>
      </c>
      <c r="I70" s="9">
        <v>46101.228113425925</v>
      </c>
      <c r="J70" s="7" t="s">
        <v>40</v>
      </c>
      <c r="L70" s="7">
        <v>600.0</v>
      </c>
      <c r="M70" s="7">
        <v>187000.0</v>
      </c>
      <c r="N70" s="8">
        <v>42300.0</v>
      </c>
      <c r="O70" s="7" t="s">
        <v>33</v>
      </c>
      <c r="P70" s="7" t="s">
        <v>25</v>
      </c>
      <c r="S70" s="7" t="s">
        <v>28</v>
      </c>
    </row>
    <row r="71">
      <c r="A71" s="7">
        <v>70.0</v>
      </c>
      <c r="B71" s="7" t="s">
        <v>29</v>
      </c>
      <c r="C71" s="7" t="s">
        <v>21</v>
      </c>
      <c r="K71" s="7">
        <v>90.0</v>
      </c>
      <c r="N71" s="8">
        <v>44326.0</v>
      </c>
    </row>
    <row r="72">
      <c r="A72" s="7">
        <v>71.0</v>
      </c>
      <c r="B72" s="7" t="s">
        <v>302</v>
      </c>
      <c r="C72" s="7" t="s">
        <v>21</v>
      </c>
      <c r="N72" s="8">
        <v>44513.0</v>
      </c>
    </row>
    <row r="73">
      <c r="A73" s="7">
        <v>72.0</v>
      </c>
      <c r="B73" s="7" t="s">
        <v>305</v>
      </c>
      <c r="C73" s="7" t="s">
        <v>21</v>
      </c>
      <c r="K73" s="7">
        <v>20.0</v>
      </c>
      <c r="N73" s="8">
        <v>44573.0</v>
      </c>
    </row>
    <row r="74">
      <c r="A74" s="7">
        <v>73.0</v>
      </c>
      <c r="B74" s="7" t="s">
        <v>308</v>
      </c>
      <c r="C74" s="7" t="s">
        <v>21</v>
      </c>
      <c r="K74" s="7">
        <v>50.0</v>
      </c>
      <c r="N74" s="8">
        <v>44289.0</v>
      </c>
    </row>
    <row r="75">
      <c r="A75" s="7">
        <v>74.0</v>
      </c>
      <c r="B75" s="7" t="s">
        <v>311</v>
      </c>
      <c r="C75" s="7" t="s">
        <v>21</v>
      </c>
      <c r="N75" s="8">
        <v>45015.0</v>
      </c>
    </row>
    <row r="76">
      <c r="A76" s="7">
        <v>75.0</v>
      </c>
      <c r="B76" s="7" t="s">
        <v>313</v>
      </c>
      <c r="C76" s="7" t="s">
        <v>21</v>
      </c>
      <c r="K76" s="7">
        <v>70.0</v>
      </c>
      <c r="N76" s="8">
        <v>44269.0</v>
      </c>
    </row>
    <row r="77">
      <c r="A77" s="7">
        <v>76.0</v>
      </c>
      <c r="B77" s="7" t="s">
        <v>316</v>
      </c>
      <c r="C77" s="7" t="s">
        <v>21</v>
      </c>
      <c r="K77" s="7">
        <v>70.0</v>
      </c>
      <c r="N77" s="8">
        <v>44174.0</v>
      </c>
    </row>
    <row r="78">
      <c r="A78" s="7">
        <v>77.0</v>
      </c>
      <c r="B78" s="7" t="s">
        <v>318</v>
      </c>
      <c r="C78" s="7" t="s">
        <v>21</v>
      </c>
      <c r="K78" s="7">
        <v>10.0</v>
      </c>
      <c r="N78" s="8">
        <v>44682.0</v>
      </c>
    </row>
    <row r="79">
      <c r="A79" s="7">
        <v>78.0</v>
      </c>
      <c r="B79" s="7" t="s">
        <v>32</v>
      </c>
      <c r="C79" s="7" t="s">
        <v>21</v>
      </c>
      <c r="K79" s="7">
        <v>2400.0</v>
      </c>
      <c r="N79" s="8">
        <v>44598.0</v>
      </c>
    </row>
    <row r="80">
      <c r="A80" s="7">
        <v>79.0</v>
      </c>
      <c r="B80" s="7" t="s">
        <v>323</v>
      </c>
      <c r="C80" s="7" t="s">
        <v>21</v>
      </c>
      <c r="D80" s="7">
        <v>61.0</v>
      </c>
      <c r="H80" s="7" t="s">
        <v>325</v>
      </c>
      <c r="I80" s="9">
        <v>46161.47378472222</v>
      </c>
      <c r="J80" s="7" t="s">
        <v>40</v>
      </c>
      <c r="K80" s="7">
        <v>50.0</v>
      </c>
      <c r="L80" s="7">
        <v>20.0</v>
      </c>
      <c r="M80" s="7">
        <v>900.0</v>
      </c>
      <c r="N80" s="8">
        <v>44202.0</v>
      </c>
      <c r="O80" s="7" t="s">
        <v>33</v>
      </c>
      <c r="P80" s="7" t="s">
        <v>25</v>
      </c>
      <c r="S80" s="7" t="s">
        <v>28</v>
      </c>
    </row>
    <row r="81">
      <c r="A81" s="7">
        <v>80.0</v>
      </c>
      <c r="B81" s="7" t="s">
        <v>329</v>
      </c>
      <c r="C81" s="7" t="s">
        <v>21</v>
      </c>
      <c r="D81" s="7">
        <v>65.0</v>
      </c>
      <c r="H81" s="7" t="s">
        <v>331</v>
      </c>
      <c r="I81" s="9">
        <v>46082.88574074074</v>
      </c>
      <c r="J81" s="7" t="s">
        <v>40</v>
      </c>
      <c r="K81" s="7">
        <v>4200.0</v>
      </c>
      <c r="L81" s="7">
        <v>10.0</v>
      </c>
      <c r="M81" s="7">
        <v>27000.0</v>
      </c>
      <c r="N81" s="8">
        <v>44231.0</v>
      </c>
      <c r="O81" s="7" t="s">
        <v>41</v>
      </c>
      <c r="P81" s="7" t="s">
        <v>25</v>
      </c>
      <c r="S81" s="7" t="s">
        <v>28</v>
      </c>
    </row>
    <row r="82">
      <c r="A82" s="7">
        <v>81.0</v>
      </c>
      <c r="B82" s="7" t="s">
        <v>335</v>
      </c>
      <c r="C82" s="7" t="s">
        <v>21</v>
      </c>
      <c r="K82" s="7">
        <v>30.0</v>
      </c>
      <c r="N82" s="8">
        <v>44197.0</v>
      </c>
      <c r="O82" s="7" t="s">
        <v>33</v>
      </c>
      <c r="P82" s="7" t="s">
        <v>25</v>
      </c>
      <c r="S82" s="7" t="s">
        <v>28</v>
      </c>
    </row>
    <row r="83">
      <c r="A83" s="7">
        <v>82.0</v>
      </c>
      <c r="B83" s="7" t="s">
        <v>35</v>
      </c>
      <c r="C83" s="7" t="s">
        <v>21</v>
      </c>
      <c r="K83" s="7">
        <v>400.0</v>
      </c>
      <c r="N83" s="8">
        <v>44029.0</v>
      </c>
    </row>
    <row r="84">
      <c r="A84" s="7">
        <v>83.0</v>
      </c>
      <c r="B84" s="7" t="s">
        <v>341</v>
      </c>
      <c r="C84" s="7" t="s">
        <v>21</v>
      </c>
      <c r="N84" s="8">
        <v>44620.0</v>
      </c>
    </row>
    <row r="85">
      <c r="A85" s="7">
        <v>84.0</v>
      </c>
      <c r="B85" s="7" t="s">
        <v>344</v>
      </c>
      <c r="C85" s="7" t="s">
        <v>21</v>
      </c>
      <c r="K85" s="7">
        <v>150.0</v>
      </c>
      <c r="N85" s="8">
        <v>45339.0</v>
      </c>
    </row>
    <row r="86">
      <c r="A86" s="7">
        <v>85.0</v>
      </c>
      <c r="B86" s="7" t="s">
        <v>346</v>
      </c>
      <c r="C86" s="7" t="s">
        <v>21</v>
      </c>
      <c r="K86" s="7">
        <v>30.0</v>
      </c>
      <c r="N86" s="8">
        <v>43845.0</v>
      </c>
    </row>
    <row r="87">
      <c r="A87" s="7">
        <v>86.0</v>
      </c>
      <c r="B87" s="7" t="s">
        <v>349</v>
      </c>
      <c r="C87" s="7" t="s">
        <v>21</v>
      </c>
      <c r="K87" s="7">
        <v>18000.0</v>
      </c>
      <c r="N87" s="8">
        <v>42385.0</v>
      </c>
    </row>
    <row r="88">
      <c r="A88" s="7">
        <v>87.0</v>
      </c>
      <c r="B88" s="7" t="s">
        <v>352</v>
      </c>
      <c r="C88" s="7" t="s">
        <v>21</v>
      </c>
      <c r="K88" s="7">
        <v>100.0</v>
      </c>
      <c r="N88" s="8">
        <v>44688.0</v>
      </c>
    </row>
    <row r="89">
      <c r="A89" s="7">
        <v>88.0</v>
      </c>
      <c r="B89" s="7" t="s">
        <v>354</v>
      </c>
      <c r="C89" s="7" t="s">
        <v>21</v>
      </c>
      <c r="D89" s="7">
        <v>75.0</v>
      </c>
      <c r="H89" s="7" t="s">
        <v>46</v>
      </c>
      <c r="I89" s="9">
        <v>46100.74162037037</v>
      </c>
      <c r="J89" s="7" t="s">
        <v>40</v>
      </c>
      <c r="K89" s="7">
        <v>2800.0</v>
      </c>
      <c r="L89" s="7">
        <v>600.0</v>
      </c>
      <c r="M89" s="7">
        <v>187000.0</v>
      </c>
      <c r="N89" s="8">
        <v>44610.0</v>
      </c>
      <c r="O89" s="7" t="s">
        <v>41</v>
      </c>
      <c r="P89" s="7" t="s">
        <v>25</v>
      </c>
      <c r="S89" s="7" t="s">
        <v>28</v>
      </c>
    </row>
    <row r="90">
      <c r="A90" s="7">
        <v>89.0</v>
      </c>
      <c r="B90" s="7" t="s">
        <v>359</v>
      </c>
      <c r="C90" s="7" t="s">
        <v>21</v>
      </c>
      <c r="K90" s="7">
        <v>1200.0</v>
      </c>
      <c r="N90" s="8">
        <v>44193.0</v>
      </c>
    </row>
    <row r="91">
      <c r="A91" s="7">
        <v>90.0</v>
      </c>
      <c r="B91" s="7" t="s">
        <v>361</v>
      </c>
      <c r="C91" s="7" t="s">
        <v>21</v>
      </c>
      <c r="K91" s="7">
        <v>3300.0</v>
      </c>
      <c r="N91" s="8">
        <v>44822.0</v>
      </c>
    </row>
    <row r="92">
      <c r="A92" s="7">
        <v>91.0</v>
      </c>
      <c r="B92" s="7" t="s">
        <v>364</v>
      </c>
      <c r="C92" s="7" t="s">
        <v>21</v>
      </c>
      <c r="K92" s="7">
        <v>6600.0</v>
      </c>
      <c r="N92" s="8">
        <v>44572.0</v>
      </c>
    </row>
    <row r="93">
      <c r="A93" s="7">
        <v>92.0</v>
      </c>
      <c r="B93" s="7" t="s">
        <v>366</v>
      </c>
      <c r="C93" s="7" t="s">
        <v>21</v>
      </c>
      <c r="K93" s="7">
        <v>250.0</v>
      </c>
      <c r="N93" s="8">
        <v>43967.0</v>
      </c>
    </row>
    <row r="94">
      <c r="A94" s="7">
        <v>93.0</v>
      </c>
      <c r="B94" s="7" t="s">
        <v>368</v>
      </c>
      <c r="C94" s="7" t="s">
        <v>21</v>
      </c>
      <c r="D94" s="7">
        <v>67.0</v>
      </c>
      <c r="H94" s="7" t="s">
        <v>369</v>
      </c>
      <c r="I94" s="9">
        <v>46126.4383912037</v>
      </c>
      <c r="J94" s="7" t="s">
        <v>40</v>
      </c>
      <c r="K94" s="7">
        <v>19000.0</v>
      </c>
      <c r="L94" s="7">
        <v>50.0</v>
      </c>
      <c r="M94" s="7">
        <v>156000.0</v>
      </c>
      <c r="N94" s="8">
        <v>43347.0</v>
      </c>
      <c r="O94" s="7" t="s">
        <v>33</v>
      </c>
      <c r="P94" s="7" t="s">
        <v>25</v>
      </c>
      <c r="S94" s="7" t="s">
        <v>28</v>
      </c>
    </row>
    <row r="95">
      <c r="A95" s="7">
        <v>94.0</v>
      </c>
      <c r="B95" s="7" t="s">
        <v>372</v>
      </c>
      <c r="C95" s="7" t="s">
        <v>21</v>
      </c>
      <c r="K95" s="7">
        <v>500.0</v>
      </c>
      <c r="N95" s="8">
        <v>44054.0</v>
      </c>
      <c r="O95" s="7" t="s">
        <v>41</v>
      </c>
      <c r="P95" s="7" t="s">
        <v>25</v>
      </c>
      <c r="S95" s="7" t="s">
        <v>28</v>
      </c>
    </row>
    <row r="96">
      <c r="A96" s="7">
        <v>95.0</v>
      </c>
      <c r="B96" s="7" t="s">
        <v>374</v>
      </c>
      <c r="C96" s="7" t="s">
        <v>21</v>
      </c>
      <c r="K96" s="7">
        <v>10.0</v>
      </c>
      <c r="N96" s="8">
        <v>44260.0</v>
      </c>
    </row>
    <row r="97">
      <c r="A97" s="7">
        <v>96.0</v>
      </c>
      <c r="B97" s="7" t="s">
        <v>375</v>
      </c>
      <c r="C97" s="7" t="s">
        <v>21</v>
      </c>
      <c r="K97" s="7">
        <v>10.0</v>
      </c>
      <c r="N97" s="8">
        <v>44899.0</v>
      </c>
    </row>
    <row r="98">
      <c r="A98" s="7">
        <v>97.0</v>
      </c>
      <c r="B98" s="7" t="s">
        <v>377</v>
      </c>
      <c r="C98" s="7" t="s">
        <v>21</v>
      </c>
      <c r="K98" s="7">
        <v>80.0</v>
      </c>
      <c r="N98" s="8">
        <v>43893.0</v>
      </c>
    </row>
    <row r="99">
      <c r="A99" s="7">
        <v>98.0</v>
      </c>
      <c r="B99" s="7" t="s">
        <v>38</v>
      </c>
      <c r="C99" s="7" t="s">
        <v>21</v>
      </c>
      <c r="K99" s="7">
        <v>10.0</v>
      </c>
      <c r="N99" s="8">
        <v>43955.0</v>
      </c>
    </row>
    <row r="100">
      <c r="A100" s="7">
        <v>99.0</v>
      </c>
      <c r="B100" s="7" t="s">
        <v>379</v>
      </c>
      <c r="C100" s="7" t="s">
        <v>21</v>
      </c>
      <c r="N100" s="8">
        <v>45483.0</v>
      </c>
    </row>
    <row r="101">
      <c r="A101" s="7">
        <v>100.0</v>
      </c>
      <c r="B101" s="7" t="s">
        <v>381</v>
      </c>
      <c r="C101" s="7" t="s">
        <v>21</v>
      </c>
      <c r="N101" s="8">
        <v>44771.0</v>
      </c>
    </row>
    <row r="102">
      <c r="A102" s="7">
        <v>101.0</v>
      </c>
      <c r="B102" s="7" t="s">
        <v>382</v>
      </c>
      <c r="C102" s="7" t="s">
        <v>21</v>
      </c>
      <c r="N102" s="8">
        <v>45023.0</v>
      </c>
    </row>
    <row r="103">
      <c r="A103" s="7">
        <v>102.0</v>
      </c>
      <c r="B103" s="7" t="s">
        <v>383</v>
      </c>
      <c r="C103" s="7" t="s">
        <v>21</v>
      </c>
      <c r="K103" s="7">
        <v>600.0</v>
      </c>
      <c r="N103" s="8">
        <v>44282.0</v>
      </c>
    </row>
    <row r="104">
      <c r="A104" s="7">
        <v>103.0</v>
      </c>
      <c r="B104" s="7" t="s">
        <v>386</v>
      </c>
      <c r="C104" s="7" t="s">
        <v>21</v>
      </c>
      <c r="N104" s="8">
        <v>42783.0</v>
      </c>
    </row>
    <row r="105">
      <c r="A105" s="7">
        <v>104.0</v>
      </c>
      <c r="B105" s="7" t="s">
        <v>388</v>
      </c>
      <c r="C105" s="7" t="s">
        <v>21</v>
      </c>
      <c r="K105" s="7">
        <v>10.0</v>
      </c>
      <c r="N105" s="8">
        <v>44214.0</v>
      </c>
    </row>
    <row r="106">
      <c r="A106" s="7">
        <v>105.0</v>
      </c>
      <c r="B106" s="7" t="s">
        <v>390</v>
      </c>
      <c r="C106" s="7" t="s">
        <v>21</v>
      </c>
      <c r="K106" s="7">
        <v>100.0</v>
      </c>
      <c r="N106" s="8">
        <v>44334.0</v>
      </c>
    </row>
    <row r="107">
      <c r="A107" s="7">
        <v>106.0</v>
      </c>
      <c r="B107" s="7" t="s">
        <v>392</v>
      </c>
      <c r="C107" s="7" t="s">
        <v>21</v>
      </c>
      <c r="K107" s="7">
        <v>1100.0</v>
      </c>
      <c r="N107" s="8">
        <v>43847.0</v>
      </c>
    </row>
    <row r="108">
      <c r="A108" s="7">
        <v>107.0</v>
      </c>
      <c r="B108" s="7" t="s">
        <v>394</v>
      </c>
      <c r="C108" s="7" t="s">
        <v>21</v>
      </c>
      <c r="N108" s="8">
        <v>44281.0</v>
      </c>
    </row>
    <row r="109">
      <c r="A109" s="7">
        <v>108.0</v>
      </c>
      <c r="B109" s="7" t="s">
        <v>396</v>
      </c>
      <c r="C109" s="7" t="s">
        <v>21</v>
      </c>
      <c r="N109" s="8">
        <v>44124.0</v>
      </c>
    </row>
    <row r="110">
      <c r="A110" s="7">
        <v>109.0</v>
      </c>
      <c r="B110" s="7" t="s">
        <v>398</v>
      </c>
      <c r="C110" s="7" t="s">
        <v>21</v>
      </c>
      <c r="K110" s="7">
        <v>40.0</v>
      </c>
      <c r="N110" s="8">
        <v>45106.0</v>
      </c>
    </row>
    <row r="111">
      <c r="A111" s="7">
        <v>110.0</v>
      </c>
      <c r="B111" s="7" t="s">
        <v>400</v>
      </c>
      <c r="C111" s="7" t="s">
        <v>21</v>
      </c>
      <c r="K111" s="7">
        <v>1600.0</v>
      </c>
      <c r="N111" s="8">
        <v>45455.0</v>
      </c>
    </row>
    <row r="112">
      <c r="A112" s="7">
        <v>111.0</v>
      </c>
      <c r="B112" s="7" t="s">
        <v>49</v>
      </c>
      <c r="C112" s="7" t="s">
        <v>21</v>
      </c>
      <c r="K112" s="7">
        <v>50.0</v>
      </c>
      <c r="N112" s="8">
        <v>44268.0</v>
      </c>
    </row>
    <row r="113">
      <c r="A113" s="7">
        <v>112.0</v>
      </c>
      <c r="B113" s="7" t="s">
        <v>42</v>
      </c>
      <c r="C113" s="7" t="s">
        <v>21</v>
      </c>
      <c r="K113" s="7">
        <v>450.0</v>
      </c>
      <c r="N113" s="8">
        <v>44215.0</v>
      </c>
    </row>
    <row r="114">
      <c r="A114" s="7">
        <v>113.0</v>
      </c>
      <c r="B114" s="7" t="s">
        <v>404</v>
      </c>
      <c r="C114" s="7" t="s">
        <v>21</v>
      </c>
      <c r="K114" s="7">
        <v>150.0</v>
      </c>
      <c r="N114" s="8">
        <v>43922.0</v>
      </c>
    </row>
    <row r="115">
      <c r="A115" s="7">
        <v>114.0</v>
      </c>
      <c r="B115" s="7" t="s">
        <v>405</v>
      </c>
      <c r="C115" s="7" t="s">
        <v>21</v>
      </c>
      <c r="N115" s="8">
        <v>44740.0</v>
      </c>
    </row>
    <row r="116">
      <c r="A116" s="7">
        <v>115.0</v>
      </c>
      <c r="B116" s="7" t="s">
        <v>407</v>
      </c>
      <c r="C116" s="7" t="s">
        <v>21</v>
      </c>
      <c r="K116" s="7">
        <v>100.0</v>
      </c>
      <c r="N116" s="8">
        <v>44706.0</v>
      </c>
    </row>
    <row r="117">
      <c r="A117" s="7">
        <v>116.0</v>
      </c>
      <c r="B117" s="7" t="s">
        <v>409</v>
      </c>
      <c r="C117" s="7" t="s">
        <v>21</v>
      </c>
      <c r="K117" s="7">
        <v>70.0</v>
      </c>
      <c r="N117" s="8">
        <v>44761.0</v>
      </c>
    </row>
    <row r="118">
      <c r="A118" s="7">
        <v>117.0</v>
      </c>
      <c r="B118" s="7" t="s">
        <v>411</v>
      </c>
      <c r="C118" s="7" t="s">
        <v>21</v>
      </c>
      <c r="K118" s="7">
        <v>80.0</v>
      </c>
      <c r="N118" s="8">
        <v>44766.0</v>
      </c>
    </row>
    <row r="119">
      <c r="A119" s="7">
        <v>118.0</v>
      </c>
      <c r="B119" s="7" t="s">
        <v>50</v>
      </c>
      <c r="C119" s="7" t="s">
        <v>21</v>
      </c>
      <c r="K119" s="7">
        <v>40.0</v>
      </c>
      <c r="N119" s="8">
        <v>44958.0</v>
      </c>
    </row>
    <row r="120">
      <c r="A120" s="7">
        <v>119.0</v>
      </c>
      <c r="B120" s="7" t="s">
        <v>416</v>
      </c>
      <c r="C120" s="7" t="s">
        <v>21</v>
      </c>
      <c r="K120" s="7">
        <v>250.0</v>
      </c>
      <c r="N120" s="8">
        <v>44520.0</v>
      </c>
    </row>
    <row r="121">
      <c r="A121" s="7">
        <v>120.0</v>
      </c>
      <c r="B121" s="7" t="s">
        <v>417</v>
      </c>
      <c r="C121" s="7" t="s">
        <v>21</v>
      </c>
      <c r="K121" s="7">
        <v>100.0</v>
      </c>
      <c r="N121" s="8">
        <v>43920.0</v>
      </c>
    </row>
    <row r="122">
      <c r="A122" s="7">
        <v>121.0</v>
      </c>
      <c r="B122" s="7" t="s">
        <v>55</v>
      </c>
      <c r="C122" s="7" t="s">
        <v>21</v>
      </c>
      <c r="K122" s="7">
        <v>50.0</v>
      </c>
      <c r="N122" s="8">
        <v>44018.0</v>
      </c>
    </row>
    <row r="123">
      <c r="A123" s="7">
        <v>122.0</v>
      </c>
      <c r="B123" s="7" t="s">
        <v>420</v>
      </c>
      <c r="C123" s="7" t="s">
        <v>21</v>
      </c>
      <c r="K123" s="7">
        <v>28000.0</v>
      </c>
      <c r="N123" s="8">
        <v>44093.0</v>
      </c>
    </row>
    <row r="124">
      <c r="A124" s="7">
        <v>123.0</v>
      </c>
      <c r="B124" s="7" t="s">
        <v>58</v>
      </c>
      <c r="C124" s="7" t="s">
        <v>21</v>
      </c>
      <c r="K124" s="7">
        <v>2200.0</v>
      </c>
      <c r="N124" s="8">
        <v>43871.0</v>
      </c>
    </row>
    <row r="125">
      <c r="A125" s="7">
        <v>124.0</v>
      </c>
      <c r="B125" s="7" t="s">
        <v>424</v>
      </c>
      <c r="C125" s="7" t="s">
        <v>21</v>
      </c>
      <c r="K125" s="7">
        <v>400.0</v>
      </c>
      <c r="N125" s="8">
        <v>43910.0</v>
      </c>
    </row>
    <row r="126">
      <c r="A126" s="7">
        <v>125.0</v>
      </c>
      <c r="B126" s="7" t="s">
        <v>426</v>
      </c>
      <c r="C126" s="7" t="s">
        <v>21</v>
      </c>
      <c r="K126" s="7">
        <v>1500.0</v>
      </c>
      <c r="N126" s="8">
        <v>43275.0</v>
      </c>
    </row>
    <row r="127">
      <c r="A127" s="7">
        <v>126.0</v>
      </c>
      <c r="B127" s="7" t="s">
        <v>428</v>
      </c>
      <c r="C127" s="7" t="s">
        <v>21</v>
      </c>
      <c r="K127" s="7">
        <v>10.0</v>
      </c>
      <c r="N127" s="8">
        <v>44318.0</v>
      </c>
    </row>
    <row r="128">
      <c r="A128" s="7">
        <v>127.0</v>
      </c>
      <c r="B128" s="7" t="s">
        <v>430</v>
      </c>
      <c r="C128" s="7" t="s">
        <v>21</v>
      </c>
      <c r="K128" s="7">
        <v>300.0</v>
      </c>
      <c r="N128" s="8">
        <v>42385.0</v>
      </c>
    </row>
    <row r="129">
      <c r="A129" s="7">
        <v>128.0</v>
      </c>
      <c r="B129" s="7" t="s">
        <v>432</v>
      </c>
      <c r="C129" s="7" t="s">
        <v>21</v>
      </c>
      <c r="K129" s="7">
        <v>90.0</v>
      </c>
      <c r="N129" s="8">
        <v>43356.0</v>
      </c>
    </row>
    <row r="130">
      <c r="A130" s="7">
        <v>129.0</v>
      </c>
      <c r="B130" s="7" t="s">
        <v>434</v>
      </c>
      <c r="C130" s="7" t="s">
        <v>21</v>
      </c>
      <c r="K130" s="7">
        <v>30.0</v>
      </c>
      <c r="N130" s="8">
        <v>45370.0</v>
      </c>
    </row>
    <row r="131">
      <c r="A131" s="7">
        <v>130.0</v>
      </c>
      <c r="B131" s="7" t="s">
        <v>436</v>
      </c>
      <c r="C131" s="7" t="s">
        <v>21</v>
      </c>
      <c r="D131" s="7">
        <v>58.0</v>
      </c>
      <c r="H131" s="7" t="s">
        <v>438</v>
      </c>
      <c r="I131" s="9">
        <v>46161.914502314816</v>
      </c>
      <c r="J131" s="7" t="s">
        <v>439</v>
      </c>
      <c r="K131" s="7">
        <v>700.0</v>
      </c>
      <c r="L131" s="7">
        <v>10.0</v>
      </c>
      <c r="M131" s="7">
        <v>15000.0</v>
      </c>
      <c r="N131" s="8">
        <v>43843.0</v>
      </c>
      <c r="O131" s="7" t="s">
        <v>33</v>
      </c>
      <c r="P131" s="7" t="s">
        <v>25</v>
      </c>
      <c r="S131" s="7" t="s">
        <v>28</v>
      </c>
    </row>
    <row r="132">
      <c r="A132" s="7">
        <v>131.0</v>
      </c>
      <c r="B132" s="7" t="s">
        <v>442</v>
      </c>
      <c r="C132" s="7" t="s">
        <v>21</v>
      </c>
      <c r="K132" s="7">
        <v>6100.0</v>
      </c>
      <c r="N132" s="8">
        <v>44080.0</v>
      </c>
    </row>
    <row r="133">
      <c r="A133" s="7">
        <v>132.0</v>
      </c>
      <c r="B133" s="7" t="s">
        <v>444</v>
      </c>
      <c r="C133" s="7" t="s">
        <v>21</v>
      </c>
      <c r="K133" s="7">
        <v>30.0</v>
      </c>
      <c r="N133" s="8">
        <v>44146.0</v>
      </c>
    </row>
    <row r="134">
      <c r="A134" s="7">
        <v>133.0</v>
      </c>
      <c r="B134" s="7" t="s">
        <v>445</v>
      </c>
      <c r="C134" s="7" t="s">
        <v>21</v>
      </c>
      <c r="K134" s="7">
        <v>10.0</v>
      </c>
      <c r="N134" s="8">
        <v>43868.0</v>
      </c>
      <c r="O134" s="7" t="s">
        <v>33</v>
      </c>
      <c r="P134" s="7" t="s">
        <v>25</v>
      </c>
      <c r="S134" s="7" t="s">
        <v>28</v>
      </c>
    </row>
    <row r="135">
      <c r="A135" s="7">
        <v>134.0</v>
      </c>
      <c r="B135" s="7" t="s">
        <v>448</v>
      </c>
      <c r="C135" s="7" t="s">
        <v>21</v>
      </c>
      <c r="K135" s="7">
        <v>450.0</v>
      </c>
      <c r="N135" s="8">
        <v>44585.0</v>
      </c>
    </row>
    <row r="136">
      <c r="A136" s="7">
        <v>135.0</v>
      </c>
      <c r="B136" s="7" t="s">
        <v>450</v>
      </c>
      <c r="C136" s="7" t="s">
        <v>21</v>
      </c>
      <c r="K136" s="7">
        <v>20.0</v>
      </c>
      <c r="N136" s="8">
        <v>43932.0</v>
      </c>
    </row>
    <row r="137">
      <c r="A137" s="7">
        <v>136.0</v>
      </c>
      <c r="B137" s="7" t="s">
        <v>453</v>
      </c>
      <c r="C137" s="7" t="s">
        <v>21</v>
      </c>
      <c r="K137" s="7">
        <v>150.0</v>
      </c>
      <c r="N137" s="8">
        <v>44120.0</v>
      </c>
    </row>
    <row r="138">
      <c r="A138" s="7">
        <v>137.0</v>
      </c>
      <c r="B138" s="7" t="s">
        <v>455</v>
      </c>
      <c r="C138" s="7" t="s">
        <v>21</v>
      </c>
      <c r="K138" s="7">
        <v>300.0</v>
      </c>
      <c r="N138" s="8">
        <v>44929.0</v>
      </c>
    </row>
    <row r="139">
      <c r="A139" s="7">
        <v>138.0</v>
      </c>
      <c r="B139" s="7" t="s">
        <v>456</v>
      </c>
      <c r="C139" s="7" t="s">
        <v>21</v>
      </c>
      <c r="K139" s="7">
        <v>10.0</v>
      </c>
      <c r="N139" s="8">
        <v>44491.0</v>
      </c>
    </row>
    <row r="140">
      <c r="A140" s="7">
        <v>139.0</v>
      </c>
      <c r="B140" s="7" t="s">
        <v>459</v>
      </c>
      <c r="C140" s="7" t="s">
        <v>21</v>
      </c>
      <c r="K140" s="7">
        <v>250.0</v>
      </c>
      <c r="N140" s="8">
        <v>44718.0</v>
      </c>
    </row>
    <row r="141">
      <c r="A141" s="7">
        <v>140.0</v>
      </c>
      <c r="B141" s="7" t="s">
        <v>461</v>
      </c>
      <c r="C141" s="7" t="s">
        <v>21</v>
      </c>
      <c r="K141" s="7">
        <v>100.0</v>
      </c>
      <c r="N141" s="8">
        <v>45024.0</v>
      </c>
    </row>
    <row r="142">
      <c r="A142" s="7">
        <v>141.0</v>
      </c>
      <c r="B142" s="7" t="s">
        <v>463</v>
      </c>
      <c r="C142" s="7" t="s">
        <v>21</v>
      </c>
      <c r="K142" s="7">
        <v>150.0</v>
      </c>
      <c r="N142" s="8">
        <v>44987.0</v>
      </c>
    </row>
    <row r="143">
      <c r="A143" s="7">
        <v>142.0</v>
      </c>
      <c r="B143" s="7" t="s">
        <v>465</v>
      </c>
      <c r="C143" s="7" t="s">
        <v>21</v>
      </c>
      <c r="K143" s="7">
        <v>90.0</v>
      </c>
      <c r="N143" s="8">
        <v>45687.0</v>
      </c>
    </row>
    <row r="144">
      <c r="A144" s="7">
        <v>143.0</v>
      </c>
      <c r="B144" s="7" t="s">
        <v>467</v>
      </c>
      <c r="C144" s="7" t="s">
        <v>21</v>
      </c>
      <c r="K144" s="7">
        <v>70.0</v>
      </c>
      <c r="N144" s="8">
        <v>44614.0</v>
      </c>
    </row>
    <row r="145">
      <c r="A145" s="7">
        <v>144.0</v>
      </c>
      <c r="B145" s="7" t="s">
        <v>469</v>
      </c>
      <c r="C145" s="7" t="s">
        <v>21</v>
      </c>
      <c r="K145" s="7">
        <v>30.0</v>
      </c>
      <c r="N145" s="8">
        <v>44010.0</v>
      </c>
    </row>
    <row r="146">
      <c r="A146" s="7">
        <v>145.0</v>
      </c>
      <c r="B146" s="7" t="s">
        <v>471</v>
      </c>
      <c r="C146" s="7" t="s">
        <v>21</v>
      </c>
      <c r="N146" s="8">
        <v>45020.0</v>
      </c>
    </row>
    <row r="147">
      <c r="A147" s="7">
        <v>146.0</v>
      </c>
      <c r="B147" s="7" t="s">
        <v>473</v>
      </c>
      <c r="C147" s="7" t="s">
        <v>21</v>
      </c>
      <c r="N147" s="8">
        <v>44107.0</v>
      </c>
    </row>
    <row r="148">
      <c r="A148" s="7">
        <v>147.0</v>
      </c>
      <c r="B148" s="7" t="s">
        <v>475</v>
      </c>
      <c r="C148" s="7" t="s">
        <v>21</v>
      </c>
      <c r="K148" s="7">
        <v>100.0</v>
      </c>
      <c r="N148" s="8">
        <v>44408.0</v>
      </c>
    </row>
    <row r="149">
      <c r="A149" s="7">
        <v>148.0</v>
      </c>
      <c r="B149" s="7" t="s">
        <v>476</v>
      </c>
      <c r="C149" s="7" t="s">
        <v>21</v>
      </c>
      <c r="K149" s="7">
        <v>300.0</v>
      </c>
      <c r="N149" s="8">
        <v>44566.0</v>
      </c>
    </row>
    <row r="150">
      <c r="A150" s="7">
        <v>149.0</v>
      </c>
      <c r="B150" s="7" t="s">
        <v>478</v>
      </c>
      <c r="C150" s="7" t="s">
        <v>21</v>
      </c>
      <c r="N150" s="8">
        <v>44107.0</v>
      </c>
    </row>
    <row r="151">
      <c r="A151" s="7">
        <v>150.0</v>
      </c>
      <c r="B151" s="7" t="s">
        <v>480</v>
      </c>
      <c r="C151" s="7" t="s">
        <v>21</v>
      </c>
      <c r="N151" s="8">
        <v>44898.0</v>
      </c>
    </row>
    <row r="152">
      <c r="A152" s="7">
        <v>151.0</v>
      </c>
      <c r="B152" s="7" t="s">
        <v>481</v>
      </c>
      <c r="C152" s="7" t="s">
        <v>21</v>
      </c>
      <c r="K152" s="7">
        <v>80.0</v>
      </c>
      <c r="N152" s="8">
        <v>43928.0</v>
      </c>
    </row>
    <row r="153">
      <c r="A153" s="7">
        <v>152.0</v>
      </c>
      <c r="B153" s="7" t="s">
        <v>483</v>
      </c>
      <c r="C153" s="7" t="s">
        <v>21</v>
      </c>
      <c r="K153" s="7">
        <v>10.0</v>
      </c>
      <c r="N153" s="8">
        <v>44272.0</v>
      </c>
    </row>
    <row r="154">
      <c r="A154" s="7">
        <v>153.0</v>
      </c>
      <c r="B154" s="7" t="s">
        <v>485</v>
      </c>
      <c r="C154" s="7" t="s">
        <v>21</v>
      </c>
      <c r="K154" s="7">
        <v>10.0</v>
      </c>
      <c r="N154" s="8">
        <v>42606.0</v>
      </c>
    </row>
    <row r="155">
      <c r="A155" s="7">
        <v>154.0</v>
      </c>
      <c r="B155" s="7" t="s">
        <v>487</v>
      </c>
      <c r="C155" s="7" t="s">
        <v>21</v>
      </c>
      <c r="K155" s="7">
        <v>100.0</v>
      </c>
      <c r="N155" s="8">
        <v>45223.0</v>
      </c>
    </row>
    <row r="156">
      <c r="A156" s="7">
        <v>155.0</v>
      </c>
      <c r="B156" s="7" t="s">
        <v>489</v>
      </c>
      <c r="C156" s="7" t="s">
        <v>21</v>
      </c>
      <c r="K156" s="7">
        <v>200.0</v>
      </c>
      <c r="N156" s="8">
        <v>45118.0</v>
      </c>
    </row>
    <row r="157">
      <c r="A157" s="7">
        <v>156.0</v>
      </c>
      <c r="B157" s="7" t="s">
        <v>491</v>
      </c>
      <c r="C157" s="7" t="s">
        <v>21</v>
      </c>
      <c r="K157" s="7">
        <v>100.0</v>
      </c>
      <c r="N157" s="8">
        <v>44848.0</v>
      </c>
    </row>
    <row r="158">
      <c r="A158" s="7">
        <v>157.0</v>
      </c>
      <c r="B158" s="7" t="s">
        <v>59</v>
      </c>
      <c r="C158" s="7" t="s">
        <v>21</v>
      </c>
      <c r="K158" s="7">
        <v>50.0</v>
      </c>
      <c r="N158" s="8">
        <v>45156.0</v>
      </c>
    </row>
    <row r="159">
      <c r="A159" s="7">
        <v>158.0</v>
      </c>
      <c r="B159" s="7" t="s">
        <v>495</v>
      </c>
      <c r="C159" s="7" t="s">
        <v>21</v>
      </c>
      <c r="D159" s="7">
        <v>54.0</v>
      </c>
      <c r="H159" s="7" t="s">
        <v>497</v>
      </c>
      <c r="I159" s="9">
        <v>46161.74254629629</v>
      </c>
      <c r="J159" s="7" t="s">
        <v>40</v>
      </c>
      <c r="K159" s="7">
        <v>4300.0</v>
      </c>
      <c r="L159" s="7">
        <v>30.0</v>
      </c>
      <c r="M159" s="7">
        <v>16000.0</v>
      </c>
      <c r="N159" s="8">
        <v>42483.0</v>
      </c>
      <c r="O159" s="7" t="s">
        <v>33</v>
      </c>
      <c r="P159" s="7" t="s">
        <v>25</v>
      </c>
      <c r="Q159" s="7" t="s">
        <v>500</v>
      </c>
      <c r="R159" s="7">
        <v>2.0</v>
      </c>
      <c r="S159" s="7" t="s">
        <v>28</v>
      </c>
    </row>
    <row r="160">
      <c r="A160" s="7">
        <v>159.0</v>
      </c>
      <c r="B160" s="7" t="s">
        <v>62</v>
      </c>
      <c r="C160" s="7" t="s">
        <v>21</v>
      </c>
      <c r="K160" s="7">
        <v>150.0</v>
      </c>
      <c r="N160" s="8">
        <v>44602.0</v>
      </c>
    </row>
    <row r="161">
      <c r="A161" s="7">
        <v>160.0</v>
      </c>
      <c r="B161" s="7" t="s">
        <v>503</v>
      </c>
      <c r="C161" s="7" t="s">
        <v>21</v>
      </c>
      <c r="K161" s="7">
        <v>10.0</v>
      </c>
      <c r="N161" s="8">
        <v>44074.0</v>
      </c>
    </row>
    <row r="162">
      <c r="A162" s="7">
        <v>161.0</v>
      </c>
      <c r="B162" s="7" t="s">
        <v>505</v>
      </c>
      <c r="C162" s="7" t="s">
        <v>21</v>
      </c>
      <c r="N162" s="8">
        <v>45113.0</v>
      </c>
    </row>
    <row r="163">
      <c r="A163" s="7">
        <v>162.0</v>
      </c>
      <c r="B163" s="7" t="s">
        <v>507</v>
      </c>
      <c r="C163" s="7" t="s">
        <v>21</v>
      </c>
      <c r="K163" s="7">
        <v>200.0</v>
      </c>
      <c r="N163" s="8">
        <v>44080.0</v>
      </c>
    </row>
    <row r="164">
      <c r="A164" s="7">
        <v>163.0</v>
      </c>
      <c r="B164" s="7" t="s">
        <v>509</v>
      </c>
      <c r="C164" s="7" t="s">
        <v>21</v>
      </c>
      <c r="N164" s="8">
        <v>45081.0</v>
      </c>
    </row>
    <row r="165">
      <c r="A165" s="7">
        <v>164.0</v>
      </c>
      <c r="B165" s="7" t="s">
        <v>510</v>
      </c>
      <c r="C165" s="7" t="s">
        <v>21</v>
      </c>
      <c r="K165" s="7">
        <v>10.0</v>
      </c>
      <c r="N165" s="8">
        <v>43991.0</v>
      </c>
    </row>
    <row r="166">
      <c r="A166" s="7">
        <v>165.0</v>
      </c>
      <c r="B166" s="7" t="s">
        <v>513</v>
      </c>
      <c r="C166" s="7" t="s">
        <v>21</v>
      </c>
      <c r="K166" s="7">
        <v>90.0</v>
      </c>
      <c r="N166" s="8">
        <v>44539.0</v>
      </c>
    </row>
    <row r="167">
      <c r="A167" s="7">
        <v>166.0</v>
      </c>
      <c r="B167" s="7" t="s">
        <v>515</v>
      </c>
      <c r="C167" s="7" t="s">
        <v>21</v>
      </c>
      <c r="K167" s="7">
        <v>10.0</v>
      </c>
      <c r="N167" s="8">
        <v>43914.0</v>
      </c>
    </row>
    <row r="168">
      <c r="A168" s="7">
        <v>167.0</v>
      </c>
      <c r="B168" s="7" t="s">
        <v>517</v>
      </c>
      <c r="C168" s="7" t="s">
        <v>21</v>
      </c>
      <c r="K168" s="7">
        <v>800.0</v>
      </c>
      <c r="N168" s="8">
        <v>44132.0</v>
      </c>
    </row>
    <row r="169">
      <c r="A169" s="7">
        <v>168.0</v>
      </c>
      <c r="B169" s="7" t="s">
        <v>519</v>
      </c>
      <c r="C169" s="7" t="s">
        <v>21</v>
      </c>
      <c r="K169" s="7">
        <v>700.0</v>
      </c>
      <c r="N169" s="8">
        <v>45103.0</v>
      </c>
    </row>
    <row r="170">
      <c r="A170" s="7">
        <v>169.0</v>
      </c>
      <c r="B170" s="7" t="s">
        <v>521</v>
      </c>
      <c r="C170" s="7" t="s">
        <v>21</v>
      </c>
      <c r="K170" s="7">
        <v>400.0</v>
      </c>
      <c r="N170" s="8">
        <v>44579.0</v>
      </c>
    </row>
    <row r="171">
      <c r="A171" s="7">
        <v>170.0</v>
      </c>
      <c r="B171" s="7" t="s">
        <v>523</v>
      </c>
      <c r="C171" s="7" t="s">
        <v>21</v>
      </c>
      <c r="K171" s="7">
        <v>150.0</v>
      </c>
      <c r="N171" s="8">
        <v>43872.0</v>
      </c>
    </row>
    <row r="172">
      <c r="A172" s="7">
        <v>171.0</v>
      </c>
      <c r="B172" s="7" t="s">
        <v>525</v>
      </c>
      <c r="C172" s="7" t="s">
        <v>21</v>
      </c>
      <c r="K172" s="7">
        <v>10.0</v>
      </c>
      <c r="N172" s="8">
        <v>45447.0</v>
      </c>
    </row>
    <row r="173">
      <c r="A173" s="7">
        <v>172.0</v>
      </c>
      <c r="B173" s="7" t="s">
        <v>64</v>
      </c>
      <c r="C173" s="7" t="s">
        <v>21</v>
      </c>
      <c r="K173" s="7">
        <v>70.0</v>
      </c>
      <c r="N173" s="8">
        <v>44204.0</v>
      </c>
    </row>
    <row r="174">
      <c r="A174" s="7">
        <v>173.0</v>
      </c>
      <c r="B174" s="7" t="s">
        <v>528</v>
      </c>
      <c r="C174" s="7" t="s">
        <v>21</v>
      </c>
      <c r="K174" s="7">
        <v>600.0</v>
      </c>
      <c r="N174" s="8">
        <v>43972.0</v>
      </c>
    </row>
    <row r="175">
      <c r="A175" s="7">
        <v>174.0</v>
      </c>
      <c r="B175" s="7" t="s">
        <v>530</v>
      </c>
      <c r="C175" s="7" t="s">
        <v>21</v>
      </c>
      <c r="K175" s="7">
        <v>200.0</v>
      </c>
      <c r="N175" s="8">
        <v>44986.0</v>
      </c>
    </row>
    <row r="176">
      <c r="A176" s="7">
        <v>175.0</v>
      </c>
      <c r="B176" s="7" t="s">
        <v>532</v>
      </c>
      <c r="C176" s="7" t="s">
        <v>21</v>
      </c>
      <c r="K176" s="7">
        <v>100.0</v>
      </c>
      <c r="N176" s="8">
        <v>45284.0</v>
      </c>
    </row>
    <row r="177">
      <c r="A177" s="7">
        <v>176.0</v>
      </c>
      <c r="B177" s="7" t="s">
        <v>66</v>
      </c>
      <c r="C177" s="7" t="s">
        <v>21</v>
      </c>
      <c r="K177" s="7">
        <v>50.0</v>
      </c>
      <c r="N177" s="8">
        <v>43935.0</v>
      </c>
    </row>
    <row r="178">
      <c r="A178" s="7">
        <v>177.0</v>
      </c>
      <c r="B178" s="7" t="s">
        <v>534</v>
      </c>
      <c r="C178" s="7" t="s">
        <v>21</v>
      </c>
      <c r="K178" s="7">
        <v>10.0</v>
      </c>
      <c r="N178" s="8">
        <v>44216.0</v>
      </c>
    </row>
    <row r="179">
      <c r="A179" s="7">
        <v>178.0</v>
      </c>
      <c r="B179" s="7" t="s">
        <v>536</v>
      </c>
      <c r="C179" s="7" t="s">
        <v>21</v>
      </c>
      <c r="K179" s="7">
        <v>250.0</v>
      </c>
      <c r="N179" s="8">
        <v>44570.0</v>
      </c>
    </row>
    <row r="180">
      <c r="A180" s="7">
        <v>179.0</v>
      </c>
      <c r="B180" s="7" t="s">
        <v>68</v>
      </c>
      <c r="C180" s="7" t="s">
        <v>21</v>
      </c>
      <c r="N180" s="8">
        <v>44709.0</v>
      </c>
    </row>
    <row r="181">
      <c r="A181" s="7">
        <v>180.0</v>
      </c>
      <c r="B181" s="7" t="s">
        <v>541</v>
      </c>
      <c r="C181" s="7" t="s">
        <v>21</v>
      </c>
      <c r="K181" s="7">
        <v>60.0</v>
      </c>
      <c r="N181" s="8">
        <v>44665.0</v>
      </c>
    </row>
    <row r="182">
      <c r="A182" s="7">
        <v>181.0</v>
      </c>
      <c r="B182" s="7" t="s">
        <v>542</v>
      </c>
      <c r="C182" s="7" t="s">
        <v>21</v>
      </c>
      <c r="K182" s="7">
        <v>1300.0</v>
      </c>
      <c r="N182" s="8">
        <v>43993.0</v>
      </c>
    </row>
    <row r="183">
      <c r="A183" s="7">
        <v>182.0</v>
      </c>
      <c r="B183" s="7" t="s">
        <v>544</v>
      </c>
      <c r="C183" s="7" t="s">
        <v>21</v>
      </c>
      <c r="K183" s="7">
        <v>100.0</v>
      </c>
      <c r="N183" s="8">
        <v>44771.0</v>
      </c>
    </row>
    <row r="184">
      <c r="A184" s="7">
        <v>183.0</v>
      </c>
      <c r="B184" s="7" t="s">
        <v>546</v>
      </c>
      <c r="C184" s="7" t="s">
        <v>21</v>
      </c>
      <c r="K184" s="7">
        <v>1500.0</v>
      </c>
      <c r="N184" s="8">
        <v>45286.0</v>
      </c>
    </row>
    <row r="185">
      <c r="A185" s="7">
        <v>184.0</v>
      </c>
      <c r="B185" s="7" t="s">
        <v>548</v>
      </c>
      <c r="C185" s="7" t="s">
        <v>21</v>
      </c>
      <c r="N185" s="8">
        <v>44046.0</v>
      </c>
    </row>
    <row r="186">
      <c r="A186" s="7">
        <v>185.0</v>
      </c>
      <c r="B186" s="7" t="s">
        <v>550</v>
      </c>
      <c r="C186" s="7" t="s">
        <v>21</v>
      </c>
      <c r="K186" s="7">
        <v>20.0</v>
      </c>
      <c r="N186" s="8">
        <v>43904.0</v>
      </c>
      <c r="O186" s="7" t="s">
        <v>41</v>
      </c>
      <c r="P186" s="7" t="s">
        <v>25</v>
      </c>
      <c r="S186" s="7" t="s">
        <v>28</v>
      </c>
    </row>
    <row r="187">
      <c r="A187" s="7">
        <v>186.0</v>
      </c>
      <c r="B187" s="7" t="s">
        <v>552</v>
      </c>
      <c r="C187" s="7" t="s">
        <v>21</v>
      </c>
      <c r="K187" s="7">
        <v>10.0</v>
      </c>
      <c r="N187" s="8">
        <v>45873.0</v>
      </c>
    </row>
    <row r="188">
      <c r="A188" s="7">
        <v>187.0</v>
      </c>
      <c r="B188" s="7" t="s">
        <v>554</v>
      </c>
      <c r="C188" s="7" t="s">
        <v>21</v>
      </c>
      <c r="K188" s="7">
        <v>30.0</v>
      </c>
      <c r="N188" s="8">
        <v>44676.0</v>
      </c>
    </row>
    <row r="189">
      <c r="A189" s="7">
        <v>188.0</v>
      </c>
      <c r="B189" s="7" t="s">
        <v>555</v>
      </c>
      <c r="C189" s="7" t="s">
        <v>21</v>
      </c>
      <c r="K189" s="7">
        <v>1100.0</v>
      </c>
      <c r="N189" s="8">
        <v>44080.0</v>
      </c>
    </row>
    <row r="190">
      <c r="A190" s="7">
        <v>189.0</v>
      </c>
      <c r="B190" s="7" t="s">
        <v>557</v>
      </c>
      <c r="C190" s="7" t="s">
        <v>21</v>
      </c>
      <c r="K190" s="7">
        <v>700.0</v>
      </c>
      <c r="N190" s="8">
        <v>44105.0</v>
      </c>
    </row>
    <row r="191">
      <c r="A191" s="7">
        <v>190.0</v>
      </c>
      <c r="B191" s="7" t="s">
        <v>559</v>
      </c>
      <c r="C191" s="7" t="s">
        <v>21</v>
      </c>
      <c r="K191" s="7">
        <v>20.0</v>
      </c>
      <c r="N191" s="8">
        <v>44708.0</v>
      </c>
    </row>
    <row r="192">
      <c r="A192" s="7">
        <v>191.0</v>
      </c>
      <c r="B192" s="7" t="s">
        <v>560</v>
      </c>
      <c r="C192" s="7" t="s">
        <v>21</v>
      </c>
      <c r="K192" s="7">
        <v>250.0</v>
      </c>
      <c r="N192" s="8">
        <v>43966.0</v>
      </c>
    </row>
    <row r="193">
      <c r="A193" s="7">
        <v>192.0</v>
      </c>
      <c r="B193" s="7" t="s">
        <v>562</v>
      </c>
      <c r="C193" s="7" t="s">
        <v>21</v>
      </c>
      <c r="K193" s="7">
        <v>150.0</v>
      </c>
      <c r="N193" s="8">
        <v>42763.0</v>
      </c>
    </row>
    <row r="194">
      <c r="A194" s="7">
        <v>193.0</v>
      </c>
      <c r="B194" s="7" t="s">
        <v>564</v>
      </c>
      <c r="C194" s="7" t="s">
        <v>21</v>
      </c>
      <c r="K194" s="7">
        <v>30.0</v>
      </c>
      <c r="N194" s="8">
        <v>44543.0</v>
      </c>
    </row>
    <row r="195">
      <c r="A195" s="7">
        <v>194.0</v>
      </c>
      <c r="B195" s="7" t="s">
        <v>565</v>
      </c>
      <c r="C195" s="7" t="s">
        <v>21</v>
      </c>
      <c r="N195" s="8">
        <v>44005.0</v>
      </c>
    </row>
    <row r="196">
      <c r="A196" s="7">
        <v>195.0</v>
      </c>
      <c r="B196" s="7" t="s">
        <v>567</v>
      </c>
      <c r="C196" s="7" t="s">
        <v>21</v>
      </c>
      <c r="D196" s="7">
        <v>72.0</v>
      </c>
      <c r="H196" s="7" t="s">
        <v>569</v>
      </c>
      <c r="I196" s="9">
        <v>46144.87880787037</v>
      </c>
      <c r="J196" s="7" t="s">
        <v>40</v>
      </c>
      <c r="K196" s="7">
        <v>10000.0</v>
      </c>
      <c r="L196" s="7">
        <v>10.0</v>
      </c>
      <c r="M196" s="7">
        <v>43000.0</v>
      </c>
      <c r="N196" s="8">
        <v>43952.0</v>
      </c>
      <c r="O196" s="7" t="s">
        <v>41</v>
      </c>
      <c r="P196" s="7" t="s">
        <v>25</v>
      </c>
      <c r="S196" s="7" t="s">
        <v>571</v>
      </c>
    </row>
    <row r="197">
      <c r="A197" s="7">
        <v>196.0</v>
      </c>
      <c r="B197" s="7" t="s">
        <v>573</v>
      </c>
      <c r="C197" s="7" t="s">
        <v>21</v>
      </c>
      <c r="K197" s="7">
        <v>100.0</v>
      </c>
      <c r="N197" s="8">
        <v>43968.0</v>
      </c>
    </row>
    <row r="198">
      <c r="A198" s="7">
        <v>197.0</v>
      </c>
      <c r="B198" s="7" t="s">
        <v>575</v>
      </c>
      <c r="C198" s="7" t="s">
        <v>21</v>
      </c>
      <c r="K198" s="7">
        <v>7400.0</v>
      </c>
      <c r="N198" s="8">
        <v>44080.0</v>
      </c>
      <c r="O198" s="7" t="s">
        <v>41</v>
      </c>
      <c r="P198" s="7" t="s">
        <v>25</v>
      </c>
      <c r="S198" s="7" t="s">
        <v>28</v>
      </c>
    </row>
    <row r="199">
      <c r="A199" s="7">
        <v>198.0</v>
      </c>
      <c r="B199" s="7" t="s">
        <v>70</v>
      </c>
      <c r="C199" s="7" t="s">
        <v>21</v>
      </c>
      <c r="K199" s="7">
        <v>70.0</v>
      </c>
      <c r="N199" s="8">
        <v>44482.0</v>
      </c>
    </row>
    <row r="200">
      <c r="A200" s="7">
        <v>199.0</v>
      </c>
      <c r="B200" s="7" t="s">
        <v>579</v>
      </c>
      <c r="C200" s="7" t="s">
        <v>21</v>
      </c>
      <c r="K200" s="7">
        <v>200.0</v>
      </c>
      <c r="N200" s="8">
        <v>44862.0</v>
      </c>
    </row>
    <row r="201">
      <c r="A201" s="7">
        <v>200.0</v>
      </c>
      <c r="B201" s="7" t="s">
        <v>581</v>
      </c>
      <c r="C201" s="7" t="s">
        <v>21</v>
      </c>
      <c r="K201" s="7">
        <v>50.0</v>
      </c>
      <c r="N201" s="8">
        <v>43939.0</v>
      </c>
    </row>
    <row r="202">
      <c r="A202" s="7">
        <v>201.0</v>
      </c>
      <c r="B202" s="7" t="s">
        <v>78</v>
      </c>
      <c r="C202" s="7" t="s">
        <v>21</v>
      </c>
      <c r="K202" s="7">
        <v>200.0</v>
      </c>
      <c r="N202" s="8">
        <v>44311.0</v>
      </c>
    </row>
    <row r="203">
      <c r="A203" s="7">
        <v>202.0</v>
      </c>
      <c r="B203" s="7" t="s">
        <v>75</v>
      </c>
      <c r="C203" s="7" t="s">
        <v>21</v>
      </c>
      <c r="K203" s="7">
        <v>300.0</v>
      </c>
      <c r="N203" s="8">
        <v>43903.0</v>
      </c>
    </row>
    <row r="204">
      <c r="A204" s="7">
        <v>203.0</v>
      </c>
      <c r="B204" s="7" t="s">
        <v>586</v>
      </c>
      <c r="C204" s="7" t="s">
        <v>21</v>
      </c>
      <c r="K204" s="7">
        <v>60.0</v>
      </c>
      <c r="N204" s="8">
        <v>45010.0</v>
      </c>
    </row>
    <row r="205">
      <c r="A205" s="7">
        <v>204.0</v>
      </c>
      <c r="B205" s="7" t="s">
        <v>588</v>
      </c>
      <c r="C205" s="7" t="s">
        <v>21</v>
      </c>
      <c r="K205" s="7">
        <v>350.0</v>
      </c>
      <c r="N205" s="8">
        <v>44432.0</v>
      </c>
    </row>
    <row r="206">
      <c r="A206" s="7">
        <v>205.0</v>
      </c>
      <c r="B206" s="7" t="s">
        <v>590</v>
      </c>
      <c r="C206" s="7" t="s">
        <v>21</v>
      </c>
      <c r="K206" s="7">
        <v>30.0</v>
      </c>
      <c r="N206" s="8">
        <v>43993.0</v>
      </c>
    </row>
    <row r="207">
      <c r="A207" s="7">
        <v>206.0</v>
      </c>
      <c r="B207" s="7" t="s">
        <v>592</v>
      </c>
      <c r="C207" s="7" t="s">
        <v>21</v>
      </c>
      <c r="K207" s="7">
        <v>150.0</v>
      </c>
      <c r="N207" s="8">
        <v>43974.0</v>
      </c>
    </row>
    <row r="208">
      <c r="A208" s="7">
        <v>207.0</v>
      </c>
      <c r="B208" s="7" t="s">
        <v>594</v>
      </c>
      <c r="C208" s="7" t="s">
        <v>21</v>
      </c>
      <c r="K208" s="7">
        <v>150.0</v>
      </c>
      <c r="N208" s="8">
        <v>44180.0</v>
      </c>
      <c r="O208" s="7" t="s">
        <v>41</v>
      </c>
      <c r="P208" s="7" t="s">
        <v>25</v>
      </c>
      <c r="S208" s="7" t="s">
        <v>28</v>
      </c>
    </row>
    <row r="209">
      <c r="A209" s="7">
        <v>208.0</v>
      </c>
      <c r="B209" s="7" t="s">
        <v>598</v>
      </c>
      <c r="C209" s="7" t="s">
        <v>21</v>
      </c>
      <c r="K209" s="7">
        <v>2600.0</v>
      </c>
      <c r="N209" s="8">
        <v>44952.0</v>
      </c>
    </row>
    <row r="210">
      <c r="A210" s="7">
        <v>209.0</v>
      </c>
      <c r="B210" s="7" t="s">
        <v>600</v>
      </c>
      <c r="C210" s="7" t="s">
        <v>21</v>
      </c>
      <c r="K210" s="7">
        <v>100.0</v>
      </c>
      <c r="N210" s="8">
        <v>45520.0</v>
      </c>
    </row>
    <row r="211">
      <c r="A211" s="7">
        <v>210.0</v>
      </c>
      <c r="B211" s="7" t="s">
        <v>67</v>
      </c>
      <c r="C211" s="7" t="s">
        <v>21</v>
      </c>
      <c r="K211" s="7">
        <v>450.0</v>
      </c>
      <c r="N211" s="8">
        <v>44872.0</v>
      </c>
    </row>
    <row r="212">
      <c r="A212" s="7">
        <v>211.0</v>
      </c>
      <c r="B212" s="7" t="s">
        <v>602</v>
      </c>
      <c r="C212" s="7" t="s">
        <v>21</v>
      </c>
      <c r="K212" s="7">
        <v>20.0</v>
      </c>
      <c r="N212" s="8">
        <v>45270.0</v>
      </c>
    </row>
    <row r="213">
      <c r="A213" s="7">
        <v>212.0</v>
      </c>
      <c r="B213" s="7" t="s">
        <v>604</v>
      </c>
      <c r="C213" s="7" t="s">
        <v>21</v>
      </c>
      <c r="K213" s="7">
        <v>50.0</v>
      </c>
      <c r="N213" s="8">
        <v>44419.0</v>
      </c>
    </row>
    <row r="214">
      <c r="A214" s="7">
        <v>213.0</v>
      </c>
      <c r="B214" s="7" t="s">
        <v>606</v>
      </c>
      <c r="C214" s="7" t="s">
        <v>21</v>
      </c>
      <c r="K214" s="7">
        <v>80.0</v>
      </c>
      <c r="N214" s="8">
        <v>44481.0</v>
      </c>
    </row>
    <row r="215">
      <c r="A215" s="7">
        <v>214.0</v>
      </c>
      <c r="B215" s="7" t="s">
        <v>608</v>
      </c>
      <c r="C215" s="7" t="s">
        <v>21</v>
      </c>
      <c r="K215" s="7">
        <v>600.0</v>
      </c>
      <c r="N215" s="8">
        <v>44355.0</v>
      </c>
    </row>
    <row r="216">
      <c r="A216" s="7">
        <v>215.0</v>
      </c>
      <c r="B216" s="7" t="s">
        <v>609</v>
      </c>
      <c r="C216" s="7" t="s">
        <v>21</v>
      </c>
      <c r="K216" s="7">
        <v>10.0</v>
      </c>
      <c r="N216" s="8">
        <v>44823.0</v>
      </c>
    </row>
    <row r="217">
      <c r="A217" s="7">
        <v>216.0</v>
      </c>
      <c r="B217" s="7" t="s">
        <v>611</v>
      </c>
      <c r="C217" s="7" t="s">
        <v>21</v>
      </c>
      <c r="K217" s="7">
        <v>450.0</v>
      </c>
      <c r="N217" s="8">
        <v>44251.0</v>
      </c>
    </row>
    <row r="218">
      <c r="A218" s="7">
        <v>217.0</v>
      </c>
      <c r="B218" s="7" t="s">
        <v>614</v>
      </c>
      <c r="C218" s="7" t="s">
        <v>21</v>
      </c>
      <c r="K218" s="7">
        <v>40.0</v>
      </c>
      <c r="N218" s="8">
        <v>44148.0</v>
      </c>
    </row>
    <row r="219">
      <c r="A219" s="7">
        <v>218.0</v>
      </c>
      <c r="B219" s="7" t="s">
        <v>616</v>
      </c>
      <c r="C219" s="7" t="s">
        <v>21</v>
      </c>
      <c r="K219" s="7">
        <v>60.0</v>
      </c>
      <c r="N219" s="8">
        <v>44377.0</v>
      </c>
    </row>
    <row r="220">
      <c r="A220" s="7">
        <v>219.0</v>
      </c>
      <c r="B220" s="7" t="s">
        <v>618</v>
      </c>
      <c r="C220" s="7" t="s">
        <v>21</v>
      </c>
      <c r="N220" s="8">
        <v>44225.0</v>
      </c>
    </row>
    <row r="221">
      <c r="A221" s="7">
        <v>220.0</v>
      </c>
      <c r="B221" s="7" t="s">
        <v>621</v>
      </c>
      <c r="C221" s="7" t="s">
        <v>21</v>
      </c>
      <c r="N221" s="8">
        <v>44820.0</v>
      </c>
    </row>
    <row r="222">
      <c r="A222" s="7">
        <v>221.0</v>
      </c>
      <c r="B222" s="7" t="s">
        <v>623</v>
      </c>
      <c r="C222" s="7" t="s">
        <v>21</v>
      </c>
      <c r="K222" s="7">
        <v>8400.0</v>
      </c>
      <c r="N222" s="8">
        <v>43301.0</v>
      </c>
    </row>
    <row r="223">
      <c r="A223" s="7">
        <v>222.0</v>
      </c>
      <c r="B223" s="7" t="s">
        <v>625</v>
      </c>
      <c r="C223" s="7" t="s">
        <v>21</v>
      </c>
      <c r="K223" s="7">
        <v>30.0</v>
      </c>
      <c r="N223" s="8">
        <v>44619.0</v>
      </c>
    </row>
    <row r="224">
      <c r="A224" s="7">
        <v>223.0</v>
      </c>
      <c r="B224" s="7" t="s">
        <v>628</v>
      </c>
      <c r="C224" s="7" t="s">
        <v>21</v>
      </c>
      <c r="K224" s="7">
        <v>3300.0</v>
      </c>
      <c r="N224" s="8">
        <v>42791.0</v>
      </c>
    </row>
    <row r="225">
      <c r="A225" s="7">
        <v>224.0</v>
      </c>
      <c r="B225" s="7" t="s">
        <v>630</v>
      </c>
      <c r="C225" s="7" t="s">
        <v>21</v>
      </c>
      <c r="K225" s="7">
        <v>5900.0</v>
      </c>
      <c r="N225" s="8">
        <v>44696.0</v>
      </c>
    </row>
    <row r="226">
      <c r="A226" s="7">
        <v>225.0</v>
      </c>
      <c r="B226" s="7" t="s">
        <v>632</v>
      </c>
      <c r="C226" s="7" t="s">
        <v>21</v>
      </c>
      <c r="K226" s="7">
        <v>2400.0</v>
      </c>
      <c r="N226" s="8">
        <v>45254.0</v>
      </c>
    </row>
    <row r="227">
      <c r="A227" s="7">
        <v>226.0</v>
      </c>
      <c r="B227" s="7" t="s">
        <v>81</v>
      </c>
      <c r="C227" s="7" t="s">
        <v>21</v>
      </c>
      <c r="K227" s="7">
        <v>150.0</v>
      </c>
      <c r="N227" s="8">
        <v>45140.0</v>
      </c>
    </row>
    <row r="228">
      <c r="A228" s="7">
        <v>227.0</v>
      </c>
      <c r="B228" s="7" t="s">
        <v>634</v>
      </c>
      <c r="C228" s="7" t="s">
        <v>21</v>
      </c>
      <c r="K228" s="7">
        <v>2200.0</v>
      </c>
      <c r="N228" s="8">
        <v>43943.0</v>
      </c>
    </row>
    <row r="229">
      <c r="A229" s="7">
        <v>228.0</v>
      </c>
      <c r="B229" s="7" t="s">
        <v>636</v>
      </c>
      <c r="C229" s="7" t="s">
        <v>21</v>
      </c>
      <c r="N229" s="8">
        <v>43854.0</v>
      </c>
    </row>
    <row r="230">
      <c r="A230" s="7">
        <v>229.0</v>
      </c>
      <c r="B230" s="7" t="s">
        <v>638</v>
      </c>
      <c r="C230" s="7" t="s">
        <v>21</v>
      </c>
      <c r="K230" s="7">
        <v>250.0</v>
      </c>
      <c r="N230" s="8">
        <v>44573.0</v>
      </c>
    </row>
    <row r="231">
      <c r="A231" s="7">
        <v>230.0</v>
      </c>
      <c r="B231" s="7" t="s">
        <v>640</v>
      </c>
      <c r="C231" s="7" t="s">
        <v>21</v>
      </c>
      <c r="K231" s="7">
        <v>20.0</v>
      </c>
      <c r="N231" s="8">
        <v>45775.0</v>
      </c>
    </row>
    <row r="232">
      <c r="A232" s="7">
        <v>231.0</v>
      </c>
      <c r="B232" s="7" t="s">
        <v>641</v>
      </c>
      <c r="C232" s="7" t="s">
        <v>21</v>
      </c>
      <c r="K232" s="7">
        <v>150.0</v>
      </c>
      <c r="N232" s="8">
        <v>45467.0</v>
      </c>
    </row>
    <row r="233">
      <c r="A233" s="7">
        <v>232.0</v>
      </c>
      <c r="B233" s="7" t="s">
        <v>642</v>
      </c>
      <c r="C233" s="7" t="s">
        <v>21</v>
      </c>
      <c r="K233" s="7">
        <v>200.0</v>
      </c>
      <c r="N233" s="8">
        <v>45172.0</v>
      </c>
    </row>
    <row r="234">
      <c r="A234" s="7">
        <v>233.0</v>
      </c>
      <c r="B234" s="7" t="s">
        <v>644</v>
      </c>
      <c r="C234" s="7" t="s">
        <v>21</v>
      </c>
      <c r="K234" s="7">
        <v>50.0</v>
      </c>
      <c r="N234" s="8">
        <v>44585.0</v>
      </c>
    </row>
    <row r="235">
      <c r="A235" s="7">
        <v>234.0</v>
      </c>
      <c r="B235" s="7" t="s">
        <v>647</v>
      </c>
      <c r="C235" s="7" t="s">
        <v>21</v>
      </c>
      <c r="K235" s="7">
        <v>7500.0</v>
      </c>
      <c r="N235" s="8">
        <v>42378.0</v>
      </c>
    </row>
    <row r="236">
      <c r="A236" s="7">
        <v>235.0</v>
      </c>
      <c r="B236" s="7" t="s">
        <v>649</v>
      </c>
      <c r="C236" s="7" t="s">
        <v>21</v>
      </c>
      <c r="K236" s="7">
        <v>500.0</v>
      </c>
      <c r="N236" s="8">
        <v>45292.0</v>
      </c>
    </row>
    <row r="237">
      <c r="A237" s="7">
        <v>236.0</v>
      </c>
      <c r="B237" s="7" t="s">
        <v>650</v>
      </c>
      <c r="C237" s="7" t="s">
        <v>21</v>
      </c>
      <c r="K237" s="7">
        <v>70.0</v>
      </c>
      <c r="N237" s="8">
        <v>45841.0</v>
      </c>
    </row>
    <row r="238">
      <c r="A238" s="7">
        <v>237.0</v>
      </c>
      <c r="B238" s="7" t="s">
        <v>652</v>
      </c>
      <c r="C238" s="7" t="s">
        <v>21</v>
      </c>
      <c r="K238" s="7">
        <v>100.0</v>
      </c>
      <c r="N238" s="8">
        <v>45108.0</v>
      </c>
    </row>
    <row r="239">
      <c r="A239" s="7">
        <v>238.0</v>
      </c>
      <c r="B239" s="7" t="s">
        <v>654</v>
      </c>
      <c r="C239" s="7" t="s">
        <v>21</v>
      </c>
      <c r="K239" s="7">
        <v>60.0</v>
      </c>
      <c r="N239" s="8">
        <v>45324.0</v>
      </c>
    </row>
    <row r="240">
      <c r="A240" s="7">
        <v>239.0</v>
      </c>
      <c r="B240" s="7" t="s">
        <v>656</v>
      </c>
      <c r="C240" s="7" t="s">
        <v>21</v>
      </c>
      <c r="N240" s="8">
        <v>43295.0</v>
      </c>
    </row>
    <row r="241">
      <c r="A241" s="7">
        <v>240.0</v>
      </c>
      <c r="B241" s="7" t="s">
        <v>658</v>
      </c>
      <c r="C241" s="7" t="s">
        <v>21</v>
      </c>
      <c r="N241" s="8">
        <v>44207.0</v>
      </c>
    </row>
    <row r="242">
      <c r="A242" s="7">
        <v>241.0</v>
      </c>
      <c r="B242" s="7" t="s">
        <v>660</v>
      </c>
      <c r="C242" s="7" t="s">
        <v>21</v>
      </c>
      <c r="K242" s="7">
        <v>50.0</v>
      </c>
      <c r="N242" s="8">
        <v>45263.0</v>
      </c>
    </row>
    <row r="243">
      <c r="A243" s="7">
        <v>242.0</v>
      </c>
      <c r="B243" s="7" t="s">
        <v>661</v>
      </c>
      <c r="C243" s="7" t="s">
        <v>21</v>
      </c>
      <c r="D243" s="7">
        <v>67.0</v>
      </c>
      <c r="H243" s="7" t="s">
        <v>663</v>
      </c>
      <c r="I243" s="9">
        <v>46127.31517361111</v>
      </c>
      <c r="J243" s="7" t="s">
        <v>40</v>
      </c>
      <c r="K243" s="7">
        <v>6000.0</v>
      </c>
      <c r="L243" s="7">
        <v>30.0</v>
      </c>
      <c r="M243" s="7">
        <v>56000.0</v>
      </c>
      <c r="N243" s="8">
        <v>43074.0</v>
      </c>
      <c r="O243" s="7" t="s">
        <v>33</v>
      </c>
      <c r="P243" s="7" t="s">
        <v>25</v>
      </c>
      <c r="S243" s="7" t="s">
        <v>28</v>
      </c>
    </row>
    <row r="244">
      <c r="A244" s="7">
        <v>243.0</v>
      </c>
      <c r="B244" s="7" t="s">
        <v>666</v>
      </c>
      <c r="C244" s="7" t="s">
        <v>21</v>
      </c>
      <c r="K244" s="7">
        <v>10000.0</v>
      </c>
      <c r="N244" s="8">
        <v>42486.0</v>
      </c>
    </row>
    <row r="245">
      <c r="A245" s="7">
        <v>244.0</v>
      </c>
      <c r="B245" s="7" t="s">
        <v>668</v>
      </c>
      <c r="C245" s="7" t="s">
        <v>21</v>
      </c>
      <c r="K245" s="7">
        <v>150.0</v>
      </c>
      <c r="N245" s="8">
        <v>44866.0</v>
      </c>
    </row>
    <row r="246">
      <c r="A246" s="7">
        <v>245.0</v>
      </c>
      <c r="B246" s="7" t="s">
        <v>671</v>
      </c>
      <c r="C246" s="7" t="s">
        <v>21</v>
      </c>
      <c r="K246" s="7">
        <v>150.0</v>
      </c>
      <c r="N246" s="8">
        <v>44575.0</v>
      </c>
    </row>
    <row r="247">
      <c r="A247" s="7">
        <v>246.0</v>
      </c>
      <c r="B247" s="7" t="s">
        <v>673</v>
      </c>
      <c r="C247" s="7" t="s">
        <v>21</v>
      </c>
      <c r="K247" s="7">
        <v>150.0</v>
      </c>
      <c r="N247" s="8">
        <v>44353.0</v>
      </c>
    </row>
    <row r="248">
      <c r="A248" s="7">
        <v>247.0</v>
      </c>
      <c r="B248" s="7" t="s">
        <v>675</v>
      </c>
      <c r="C248" s="7" t="s">
        <v>21</v>
      </c>
      <c r="N248" s="8">
        <v>44246.0</v>
      </c>
    </row>
    <row r="249">
      <c r="A249" s="7">
        <v>248.0</v>
      </c>
      <c r="B249" s="7" t="s">
        <v>677</v>
      </c>
      <c r="C249" s="7" t="s">
        <v>21</v>
      </c>
      <c r="K249" s="7">
        <v>40.0</v>
      </c>
      <c r="N249" s="8">
        <v>44673.0</v>
      </c>
    </row>
    <row r="250">
      <c r="A250" s="7">
        <v>249.0</v>
      </c>
      <c r="B250" s="7" t="s">
        <v>678</v>
      </c>
      <c r="C250" s="7" t="s">
        <v>21</v>
      </c>
      <c r="K250" s="7">
        <v>100.0</v>
      </c>
      <c r="N250" s="8">
        <v>43917.0</v>
      </c>
    </row>
    <row r="251">
      <c r="A251" s="7">
        <v>250.0</v>
      </c>
      <c r="B251" s="7" t="s">
        <v>681</v>
      </c>
      <c r="C251" s="7" t="s">
        <v>21</v>
      </c>
      <c r="K251" s="7">
        <v>350.0</v>
      </c>
      <c r="N251" s="8">
        <v>44525.0</v>
      </c>
    </row>
    <row r="252">
      <c r="A252" s="7">
        <v>251.0</v>
      </c>
      <c r="B252" s="7" t="s">
        <v>683</v>
      </c>
      <c r="C252" s="7" t="s">
        <v>21</v>
      </c>
      <c r="K252" s="7">
        <v>60.0</v>
      </c>
      <c r="N252" s="8">
        <v>44825.0</v>
      </c>
    </row>
    <row r="253">
      <c r="A253" s="7">
        <v>252.0</v>
      </c>
      <c r="B253" s="7" t="s">
        <v>685</v>
      </c>
      <c r="C253" s="7" t="s">
        <v>21</v>
      </c>
      <c r="K253" s="7">
        <v>450.0</v>
      </c>
      <c r="N253" s="8">
        <v>44463.0</v>
      </c>
    </row>
    <row r="254">
      <c r="A254" s="7">
        <v>253.0</v>
      </c>
      <c r="B254" s="7" t="s">
        <v>687</v>
      </c>
      <c r="C254" s="7" t="s">
        <v>21</v>
      </c>
      <c r="K254" s="7">
        <v>12000.0</v>
      </c>
      <c r="N254" s="8">
        <v>44162.0</v>
      </c>
    </row>
    <row r="255">
      <c r="A255" s="7">
        <v>254.0</v>
      </c>
      <c r="B255" s="7" t="s">
        <v>689</v>
      </c>
      <c r="C255" s="7" t="s">
        <v>21</v>
      </c>
      <c r="K255" s="7">
        <v>20.0</v>
      </c>
      <c r="N255" s="8">
        <v>44989.0</v>
      </c>
    </row>
    <row r="256">
      <c r="A256" s="7">
        <v>255.0</v>
      </c>
      <c r="B256" s="7" t="s">
        <v>691</v>
      </c>
      <c r="C256" s="7" t="s">
        <v>21</v>
      </c>
      <c r="N256" s="8">
        <v>45360.0</v>
      </c>
    </row>
    <row r="257">
      <c r="A257" s="7">
        <v>256.0</v>
      </c>
      <c r="B257" s="7" t="s">
        <v>693</v>
      </c>
      <c r="C257" s="7" t="s">
        <v>21</v>
      </c>
      <c r="K257" s="7">
        <v>50.0</v>
      </c>
      <c r="N257" s="8">
        <v>45279.0</v>
      </c>
    </row>
    <row r="258">
      <c r="A258" s="7">
        <v>257.0</v>
      </c>
      <c r="B258" s="7" t="s">
        <v>695</v>
      </c>
      <c r="C258" s="7" t="s">
        <v>21</v>
      </c>
      <c r="K258" s="7">
        <v>30.0</v>
      </c>
      <c r="N258" s="8">
        <v>44117.0</v>
      </c>
    </row>
    <row r="259">
      <c r="A259" s="7">
        <v>258.0</v>
      </c>
      <c r="B259" s="7" t="s">
        <v>696</v>
      </c>
      <c r="C259" s="7" t="s">
        <v>21</v>
      </c>
      <c r="K259" s="7">
        <v>30.0</v>
      </c>
      <c r="N259" s="8">
        <v>44251.0</v>
      </c>
    </row>
    <row r="260">
      <c r="A260" s="7">
        <v>259.0</v>
      </c>
      <c r="B260" s="7" t="s">
        <v>698</v>
      </c>
      <c r="C260" s="7" t="s">
        <v>21</v>
      </c>
      <c r="K260" s="7">
        <v>70.0</v>
      </c>
      <c r="N260" s="8">
        <v>43940.0</v>
      </c>
    </row>
    <row r="261">
      <c r="A261" s="7">
        <v>260.0</v>
      </c>
      <c r="B261" s="7" t="s">
        <v>700</v>
      </c>
      <c r="C261" s="7" t="s">
        <v>21</v>
      </c>
      <c r="K261" s="7">
        <v>150.0</v>
      </c>
      <c r="N261" s="8">
        <v>44040.0</v>
      </c>
    </row>
    <row r="262">
      <c r="A262" s="7">
        <v>261.0</v>
      </c>
      <c r="B262" s="7" t="s">
        <v>702</v>
      </c>
      <c r="C262" s="7" t="s">
        <v>21</v>
      </c>
      <c r="K262" s="7">
        <v>30.0</v>
      </c>
      <c r="N262" s="8">
        <v>44131.0</v>
      </c>
    </row>
    <row r="263">
      <c r="A263" s="7">
        <v>262.0</v>
      </c>
      <c r="B263" s="7" t="s">
        <v>704</v>
      </c>
      <c r="C263" s="7" t="s">
        <v>21</v>
      </c>
      <c r="K263" s="7">
        <v>70.0</v>
      </c>
      <c r="N263" s="8">
        <v>45615.0</v>
      </c>
    </row>
    <row r="264">
      <c r="A264" s="7">
        <v>263.0</v>
      </c>
      <c r="B264" s="7" t="s">
        <v>706</v>
      </c>
      <c r="C264" s="7" t="s">
        <v>21</v>
      </c>
      <c r="K264" s="7">
        <v>40.0</v>
      </c>
      <c r="N264" s="8">
        <v>43971.0</v>
      </c>
    </row>
    <row r="265">
      <c r="A265" s="7">
        <v>264.0</v>
      </c>
      <c r="B265" s="7" t="s">
        <v>708</v>
      </c>
      <c r="C265" s="7" t="s">
        <v>21</v>
      </c>
      <c r="K265" s="7">
        <v>250.0</v>
      </c>
      <c r="N265" s="8">
        <v>44037.0</v>
      </c>
    </row>
    <row r="266">
      <c r="A266" s="7">
        <v>265.0</v>
      </c>
      <c r="B266" s="7" t="s">
        <v>709</v>
      </c>
      <c r="C266" s="7" t="s">
        <v>21</v>
      </c>
      <c r="K266" s="7">
        <v>20.0</v>
      </c>
      <c r="N266" s="8">
        <v>44214.0</v>
      </c>
    </row>
    <row r="267">
      <c r="A267" s="7">
        <v>266.0</v>
      </c>
      <c r="B267" s="7" t="s">
        <v>711</v>
      </c>
      <c r="C267" s="7" t="s">
        <v>21</v>
      </c>
      <c r="K267" s="7">
        <v>30.0</v>
      </c>
      <c r="N267" s="8">
        <v>45349.0</v>
      </c>
    </row>
    <row r="268">
      <c r="A268" s="7">
        <v>267.0</v>
      </c>
      <c r="B268" s="7" t="s">
        <v>713</v>
      </c>
      <c r="C268" s="7" t="s">
        <v>21</v>
      </c>
      <c r="K268" s="7">
        <v>40.0</v>
      </c>
      <c r="N268" s="8">
        <v>44272.0</v>
      </c>
    </row>
    <row r="269">
      <c r="A269" s="7">
        <v>268.0</v>
      </c>
      <c r="B269" s="7" t="s">
        <v>714</v>
      </c>
      <c r="C269" s="7" t="s">
        <v>21</v>
      </c>
      <c r="K269" s="7">
        <v>900.0</v>
      </c>
      <c r="N269" s="8">
        <v>43981.0</v>
      </c>
    </row>
    <row r="270">
      <c r="A270" s="7">
        <v>269.0</v>
      </c>
      <c r="B270" s="7" t="s">
        <v>715</v>
      </c>
      <c r="C270" s="7" t="s">
        <v>21</v>
      </c>
      <c r="K270" s="7">
        <v>70.0</v>
      </c>
      <c r="N270" s="8">
        <v>44136.0</v>
      </c>
    </row>
    <row r="271">
      <c r="A271" s="7">
        <v>270.0</v>
      </c>
      <c r="B271" s="7" t="s">
        <v>716</v>
      </c>
      <c r="C271" s="7" t="s">
        <v>21</v>
      </c>
      <c r="K271" s="7">
        <v>10.0</v>
      </c>
      <c r="N271" s="8">
        <v>45047.0</v>
      </c>
    </row>
    <row r="272">
      <c r="A272" s="7">
        <v>271.0</v>
      </c>
      <c r="B272" s="7" t="s">
        <v>717</v>
      </c>
      <c r="C272" s="7" t="s">
        <v>21</v>
      </c>
      <c r="N272" s="8">
        <v>43904.0</v>
      </c>
    </row>
    <row r="273">
      <c r="A273" s="7">
        <v>272.0</v>
      </c>
      <c r="B273" s="7" t="s">
        <v>718</v>
      </c>
      <c r="C273" s="7" t="s">
        <v>21</v>
      </c>
      <c r="K273" s="7">
        <v>20.0</v>
      </c>
      <c r="N273" s="8">
        <v>45636.0</v>
      </c>
    </row>
    <row r="274">
      <c r="A274" s="7">
        <v>273.0</v>
      </c>
      <c r="B274" s="7" t="s">
        <v>720</v>
      </c>
      <c r="C274" s="7" t="s">
        <v>21</v>
      </c>
      <c r="D274" s="7">
        <v>72.0</v>
      </c>
      <c r="H274" s="7" t="s">
        <v>167</v>
      </c>
      <c r="I274" s="9">
        <v>46148.545277777775</v>
      </c>
      <c r="J274" s="7" t="s">
        <v>40</v>
      </c>
      <c r="K274" s="7">
        <v>40.0</v>
      </c>
      <c r="L274" s="7">
        <v>3200.0</v>
      </c>
      <c r="M274" s="7">
        <v>60000.0</v>
      </c>
      <c r="N274" s="8">
        <v>44079.0</v>
      </c>
      <c r="O274" s="7" t="s">
        <v>33</v>
      </c>
      <c r="P274" s="7" t="s">
        <v>25</v>
      </c>
      <c r="S274" s="7" t="s">
        <v>28</v>
      </c>
    </row>
    <row r="275">
      <c r="A275" s="7">
        <v>274.0</v>
      </c>
      <c r="B275" s="7" t="s">
        <v>723</v>
      </c>
      <c r="C275" s="7" t="s">
        <v>21</v>
      </c>
      <c r="N275" s="8">
        <v>44847.0</v>
      </c>
    </row>
    <row r="276">
      <c r="A276" s="7">
        <v>275.0</v>
      </c>
      <c r="B276" s="7" t="s">
        <v>724</v>
      </c>
      <c r="C276" s="7" t="s">
        <v>21</v>
      </c>
      <c r="K276" s="7">
        <v>70.0</v>
      </c>
      <c r="N276" s="8">
        <v>44230.0</v>
      </c>
    </row>
    <row r="277">
      <c r="A277" s="7">
        <v>276.0</v>
      </c>
      <c r="B277" s="7" t="s">
        <v>725</v>
      </c>
      <c r="C277" s="7" t="s">
        <v>21</v>
      </c>
      <c r="K277" s="7">
        <v>60.0</v>
      </c>
      <c r="N277" s="8">
        <v>44213.0</v>
      </c>
    </row>
    <row r="278">
      <c r="A278" s="7">
        <v>277.0</v>
      </c>
      <c r="B278" s="7" t="s">
        <v>726</v>
      </c>
      <c r="C278" s="7" t="s">
        <v>21</v>
      </c>
      <c r="K278" s="7">
        <v>30.0</v>
      </c>
      <c r="N278" s="8">
        <v>45866.0</v>
      </c>
    </row>
    <row r="279">
      <c r="A279" s="7">
        <v>278.0</v>
      </c>
      <c r="B279" s="7" t="s">
        <v>727</v>
      </c>
      <c r="C279" s="7" t="s">
        <v>21</v>
      </c>
      <c r="K279" s="7">
        <v>600.0</v>
      </c>
      <c r="N279" s="8">
        <v>44295.0</v>
      </c>
    </row>
    <row r="280">
      <c r="A280" s="7">
        <v>279.0</v>
      </c>
      <c r="B280" s="7" t="s">
        <v>730</v>
      </c>
      <c r="C280" s="7" t="s">
        <v>21</v>
      </c>
      <c r="K280" s="7">
        <v>150.0</v>
      </c>
      <c r="N280" s="8">
        <v>44026.0</v>
      </c>
    </row>
    <row r="281">
      <c r="A281" s="7">
        <v>280.0</v>
      </c>
      <c r="B281" s="7" t="s">
        <v>731</v>
      </c>
      <c r="C281" s="7" t="s">
        <v>21</v>
      </c>
      <c r="K281" s="7">
        <v>90.0</v>
      </c>
      <c r="N281" s="8">
        <v>43856.0</v>
      </c>
    </row>
    <row r="282">
      <c r="A282" s="7">
        <v>281.0</v>
      </c>
      <c r="B282" s="7" t="s">
        <v>732</v>
      </c>
      <c r="C282" s="7" t="s">
        <v>21</v>
      </c>
      <c r="K282" s="7">
        <v>20.0</v>
      </c>
      <c r="N282" s="8">
        <v>45140.0</v>
      </c>
    </row>
    <row r="283">
      <c r="A283" s="7">
        <v>282.0</v>
      </c>
      <c r="B283" s="7" t="s">
        <v>733</v>
      </c>
      <c r="C283" s="7" t="s">
        <v>21</v>
      </c>
      <c r="N283" s="8">
        <v>44827.0</v>
      </c>
    </row>
    <row r="284">
      <c r="A284" s="7">
        <v>283.0</v>
      </c>
      <c r="B284" s="7" t="s">
        <v>735</v>
      </c>
      <c r="C284" s="7" t="s">
        <v>21</v>
      </c>
      <c r="N284" s="8">
        <v>44387.0</v>
      </c>
    </row>
    <row r="285">
      <c r="A285" s="7">
        <v>284.0</v>
      </c>
      <c r="B285" s="7" t="s">
        <v>736</v>
      </c>
      <c r="C285" s="7" t="s">
        <v>21</v>
      </c>
      <c r="N285" s="8">
        <v>44033.0</v>
      </c>
    </row>
    <row r="286">
      <c r="A286" s="7">
        <v>285.0</v>
      </c>
      <c r="B286" s="7" t="s">
        <v>737</v>
      </c>
      <c r="C286" s="7" t="s">
        <v>21</v>
      </c>
      <c r="K286" s="7">
        <v>200.0</v>
      </c>
      <c r="N286" s="8">
        <v>44225.0</v>
      </c>
    </row>
    <row r="287">
      <c r="A287" s="7">
        <v>286.0</v>
      </c>
      <c r="B287" s="7" t="s">
        <v>84</v>
      </c>
      <c r="C287" s="7" t="s">
        <v>21</v>
      </c>
      <c r="K287" s="7">
        <v>150.0</v>
      </c>
      <c r="N287" s="8">
        <v>43953.0</v>
      </c>
    </row>
    <row r="288">
      <c r="A288" s="7">
        <v>287.0</v>
      </c>
      <c r="B288" s="7" t="s">
        <v>741</v>
      </c>
      <c r="C288" s="7" t="s">
        <v>21</v>
      </c>
      <c r="K288" s="7">
        <v>150.0</v>
      </c>
      <c r="N288" s="8">
        <v>45139.0</v>
      </c>
    </row>
    <row r="289">
      <c r="A289" s="7">
        <v>288.0</v>
      </c>
      <c r="B289" s="7" t="s">
        <v>742</v>
      </c>
      <c r="C289" s="7" t="s">
        <v>21</v>
      </c>
      <c r="K289" s="7">
        <v>10.0</v>
      </c>
      <c r="N289" s="8">
        <v>44049.0</v>
      </c>
    </row>
    <row r="290">
      <c r="A290" s="7">
        <v>289.0</v>
      </c>
      <c r="B290" s="7" t="s">
        <v>744</v>
      </c>
      <c r="C290" s="7" t="s">
        <v>21</v>
      </c>
      <c r="N290" s="8">
        <v>44704.0</v>
      </c>
      <c r="O290" s="7" t="s">
        <v>41</v>
      </c>
      <c r="P290" s="7" t="s">
        <v>25</v>
      </c>
      <c r="S290" s="7" t="s">
        <v>28</v>
      </c>
    </row>
    <row r="291">
      <c r="A291" s="7">
        <v>290.0</v>
      </c>
      <c r="B291" s="7" t="s">
        <v>746</v>
      </c>
      <c r="C291" s="7" t="s">
        <v>21</v>
      </c>
      <c r="K291" s="7">
        <v>400.0</v>
      </c>
      <c r="N291" s="8">
        <v>44776.0</v>
      </c>
    </row>
    <row r="292">
      <c r="A292" s="7">
        <v>291.0</v>
      </c>
      <c r="B292" s="7" t="s">
        <v>748</v>
      </c>
      <c r="C292" s="7" t="s">
        <v>21</v>
      </c>
      <c r="K292" s="7">
        <v>10.0</v>
      </c>
      <c r="N292" s="8">
        <v>44152.0</v>
      </c>
    </row>
    <row r="293">
      <c r="A293" s="7">
        <v>292.0</v>
      </c>
      <c r="B293" s="7" t="s">
        <v>750</v>
      </c>
      <c r="C293" s="7" t="s">
        <v>21</v>
      </c>
      <c r="K293" s="7">
        <v>1300.0</v>
      </c>
      <c r="N293" s="8">
        <v>43981.0</v>
      </c>
    </row>
    <row r="294">
      <c r="A294" s="7">
        <v>293.0</v>
      </c>
      <c r="B294" s="7" t="s">
        <v>752</v>
      </c>
      <c r="C294" s="7" t="s">
        <v>21</v>
      </c>
      <c r="K294" s="7">
        <v>300.0</v>
      </c>
      <c r="N294" s="8">
        <v>44180.0</v>
      </c>
    </row>
    <row r="295">
      <c r="A295" s="7">
        <v>294.0</v>
      </c>
      <c r="B295" s="7" t="s">
        <v>753</v>
      </c>
      <c r="C295" s="7" t="s">
        <v>21</v>
      </c>
      <c r="K295" s="7">
        <v>350.0</v>
      </c>
      <c r="N295" s="8">
        <v>44532.0</v>
      </c>
    </row>
    <row r="296">
      <c r="A296" s="7">
        <v>295.0</v>
      </c>
      <c r="B296" s="7" t="s">
        <v>755</v>
      </c>
      <c r="C296" s="7" t="s">
        <v>21</v>
      </c>
      <c r="K296" s="7">
        <v>250.0</v>
      </c>
      <c r="N296" s="8">
        <v>44135.0</v>
      </c>
    </row>
    <row r="297">
      <c r="A297" s="7">
        <v>296.0</v>
      </c>
      <c r="B297" s="7" t="s">
        <v>756</v>
      </c>
      <c r="C297" s="7" t="s">
        <v>21</v>
      </c>
      <c r="K297" s="7">
        <v>50.0</v>
      </c>
      <c r="N297" s="8">
        <v>43166.0</v>
      </c>
    </row>
    <row r="298">
      <c r="A298" s="7">
        <v>297.0</v>
      </c>
      <c r="B298" s="7" t="s">
        <v>88</v>
      </c>
      <c r="C298" s="7" t="s">
        <v>21</v>
      </c>
      <c r="K298" s="7">
        <v>300.0</v>
      </c>
      <c r="N298" s="8">
        <v>43939.0</v>
      </c>
    </row>
    <row r="299">
      <c r="A299" s="7">
        <v>298.0</v>
      </c>
      <c r="B299" s="7" t="s">
        <v>759</v>
      </c>
      <c r="C299" s="7" t="s">
        <v>21</v>
      </c>
      <c r="K299" s="7">
        <v>400.0</v>
      </c>
      <c r="N299" s="8">
        <v>45408.0</v>
      </c>
    </row>
    <row r="300">
      <c r="A300" s="7">
        <v>299.0</v>
      </c>
      <c r="B300" s="7" t="s">
        <v>761</v>
      </c>
      <c r="C300" s="7" t="s">
        <v>21</v>
      </c>
      <c r="K300" s="7">
        <v>150.0</v>
      </c>
      <c r="N300" s="8">
        <v>44974.0</v>
      </c>
    </row>
    <row r="301">
      <c r="A301" s="7">
        <v>300.0</v>
      </c>
      <c r="B301" s="7" t="s">
        <v>762</v>
      </c>
      <c r="C301" s="7" t="s">
        <v>21</v>
      </c>
      <c r="K301" s="7">
        <v>80.0</v>
      </c>
      <c r="N301" s="8">
        <v>44126.0</v>
      </c>
    </row>
    <row r="302">
      <c r="A302" s="7">
        <v>301.0</v>
      </c>
      <c r="B302" s="7" t="s">
        <v>764</v>
      </c>
      <c r="C302" s="7" t="s">
        <v>21</v>
      </c>
      <c r="K302" s="7">
        <v>60.0</v>
      </c>
      <c r="N302" s="8">
        <v>45679.0</v>
      </c>
    </row>
    <row r="303">
      <c r="A303" s="7">
        <v>302.0</v>
      </c>
      <c r="B303" s="7" t="s">
        <v>765</v>
      </c>
      <c r="C303" s="7" t="s">
        <v>21</v>
      </c>
      <c r="K303" s="7">
        <v>80.0</v>
      </c>
      <c r="N303" s="8">
        <v>44172.0</v>
      </c>
    </row>
    <row r="304">
      <c r="A304" s="7">
        <v>303.0</v>
      </c>
      <c r="B304" s="7" t="s">
        <v>768</v>
      </c>
      <c r="C304" s="7" t="s">
        <v>21</v>
      </c>
      <c r="K304" s="7">
        <v>500.0</v>
      </c>
      <c r="N304" s="8">
        <v>43877.0</v>
      </c>
    </row>
    <row r="305">
      <c r="A305" s="7">
        <v>304.0</v>
      </c>
      <c r="B305" s="7" t="s">
        <v>770</v>
      </c>
      <c r="C305" s="7" t="s">
        <v>21</v>
      </c>
      <c r="K305" s="7">
        <v>150.0</v>
      </c>
      <c r="N305" s="8">
        <v>44767.0</v>
      </c>
    </row>
    <row r="306">
      <c r="A306" s="7">
        <v>305.0</v>
      </c>
      <c r="B306" s="7" t="s">
        <v>771</v>
      </c>
      <c r="C306" s="7" t="s">
        <v>21</v>
      </c>
      <c r="K306" s="7">
        <v>10.0</v>
      </c>
      <c r="N306" s="8">
        <v>44888.0</v>
      </c>
    </row>
    <row r="307">
      <c r="A307" s="7">
        <v>306.0</v>
      </c>
      <c r="B307" s="7" t="s">
        <v>772</v>
      </c>
      <c r="C307" s="7" t="s">
        <v>21</v>
      </c>
      <c r="N307" s="8">
        <v>42360.0</v>
      </c>
    </row>
    <row r="308">
      <c r="A308" s="7">
        <v>307.0</v>
      </c>
      <c r="B308" s="7" t="s">
        <v>773</v>
      </c>
      <c r="C308" s="7" t="s">
        <v>21</v>
      </c>
      <c r="N308" s="8">
        <v>45589.0</v>
      </c>
    </row>
    <row r="309">
      <c r="A309" s="7">
        <v>308.0</v>
      </c>
      <c r="B309" s="7" t="s">
        <v>776</v>
      </c>
      <c r="C309" s="7" t="s">
        <v>21</v>
      </c>
      <c r="K309" s="7">
        <v>60.0</v>
      </c>
      <c r="N309" s="8">
        <v>44087.0</v>
      </c>
    </row>
    <row r="310">
      <c r="A310" s="7">
        <v>309.0</v>
      </c>
      <c r="B310" s="7" t="s">
        <v>777</v>
      </c>
      <c r="C310" s="7" t="s">
        <v>21</v>
      </c>
      <c r="K310" s="7">
        <v>300.0</v>
      </c>
      <c r="N310" s="8">
        <v>44172.0</v>
      </c>
    </row>
    <row r="311">
      <c r="A311" s="7">
        <v>310.0</v>
      </c>
      <c r="B311" s="7" t="s">
        <v>778</v>
      </c>
      <c r="C311" s="7" t="s">
        <v>21</v>
      </c>
      <c r="K311" s="7">
        <v>450.0</v>
      </c>
      <c r="N311" s="8">
        <v>44279.0</v>
      </c>
    </row>
    <row r="312">
      <c r="A312" s="7">
        <v>311.0</v>
      </c>
      <c r="B312" s="7" t="s">
        <v>90</v>
      </c>
      <c r="C312" s="7" t="s">
        <v>21</v>
      </c>
      <c r="K312" s="7">
        <v>20.0</v>
      </c>
      <c r="N312" s="8">
        <v>44262.0</v>
      </c>
    </row>
    <row r="313">
      <c r="A313" s="7">
        <v>312.0</v>
      </c>
      <c r="B313" s="7" t="s">
        <v>779</v>
      </c>
      <c r="C313" s="7" t="s">
        <v>21</v>
      </c>
      <c r="K313" s="7">
        <v>10.0</v>
      </c>
      <c r="N313" s="8">
        <v>45421.0</v>
      </c>
    </row>
    <row r="314">
      <c r="A314" s="7">
        <v>313.0</v>
      </c>
      <c r="B314" s="7" t="s">
        <v>780</v>
      </c>
      <c r="C314" s="7" t="s">
        <v>21</v>
      </c>
      <c r="K314" s="7">
        <v>40.0</v>
      </c>
      <c r="N314" s="8">
        <v>44706.0</v>
      </c>
    </row>
    <row r="315">
      <c r="A315" s="7">
        <v>314.0</v>
      </c>
      <c r="B315" s="7" t="s">
        <v>782</v>
      </c>
      <c r="C315" s="7" t="s">
        <v>21</v>
      </c>
      <c r="K315" s="7">
        <v>250.0</v>
      </c>
      <c r="N315" s="8">
        <v>44383.0</v>
      </c>
    </row>
    <row r="316">
      <c r="A316" s="7">
        <v>315.0</v>
      </c>
      <c r="B316" s="7" t="s">
        <v>783</v>
      </c>
      <c r="C316" s="7" t="s">
        <v>21</v>
      </c>
      <c r="N316" s="8">
        <v>44786.0</v>
      </c>
    </row>
    <row r="317">
      <c r="A317" s="7">
        <v>316.0</v>
      </c>
      <c r="B317" s="7" t="s">
        <v>784</v>
      </c>
      <c r="C317" s="7" t="s">
        <v>21</v>
      </c>
      <c r="K317" s="7">
        <v>10.0</v>
      </c>
      <c r="N317" s="8">
        <v>44282.0</v>
      </c>
    </row>
    <row r="318">
      <c r="A318" s="7">
        <v>317.0</v>
      </c>
      <c r="B318" s="7" t="s">
        <v>787</v>
      </c>
      <c r="C318" s="7" t="s">
        <v>21</v>
      </c>
      <c r="K318" s="7">
        <v>90.0</v>
      </c>
      <c r="N318" s="8">
        <v>44762.0</v>
      </c>
    </row>
    <row r="319">
      <c r="A319" s="7">
        <v>318.0</v>
      </c>
      <c r="B319" s="7" t="s">
        <v>789</v>
      </c>
      <c r="C319" s="7" t="s">
        <v>21</v>
      </c>
      <c r="K319" s="7">
        <v>150.0</v>
      </c>
      <c r="N319" s="8">
        <v>44673.0</v>
      </c>
    </row>
    <row r="320">
      <c r="A320" s="7">
        <v>319.0</v>
      </c>
      <c r="B320" s="7" t="s">
        <v>791</v>
      </c>
      <c r="C320" s="7" t="s">
        <v>21</v>
      </c>
      <c r="K320" s="7">
        <v>70.0</v>
      </c>
      <c r="N320" s="8">
        <v>44608.0</v>
      </c>
    </row>
    <row r="321">
      <c r="A321" s="7">
        <v>320.0</v>
      </c>
      <c r="B321" s="7" t="s">
        <v>792</v>
      </c>
      <c r="C321" s="7" t="s">
        <v>21</v>
      </c>
      <c r="K321" s="7">
        <v>70.0</v>
      </c>
      <c r="N321" s="8">
        <v>45232.0</v>
      </c>
    </row>
    <row r="322">
      <c r="A322" s="7">
        <v>321.0</v>
      </c>
      <c r="B322" s="7" t="s">
        <v>795</v>
      </c>
      <c r="C322" s="7" t="s">
        <v>21</v>
      </c>
      <c r="K322" s="7">
        <v>1200.0</v>
      </c>
      <c r="N322" s="8">
        <v>45076.0</v>
      </c>
    </row>
    <row r="323">
      <c r="A323" s="7">
        <v>322.0</v>
      </c>
      <c r="B323" s="7" t="s">
        <v>797</v>
      </c>
      <c r="C323" s="7" t="s">
        <v>21</v>
      </c>
      <c r="K323" s="7">
        <v>200.0</v>
      </c>
      <c r="N323" s="8">
        <v>44068.0</v>
      </c>
    </row>
    <row r="324">
      <c r="A324" s="7">
        <v>323.0</v>
      </c>
      <c r="B324" s="7" t="s">
        <v>799</v>
      </c>
      <c r="C324" s="7" t="s">
        <v>21</v>
      </c>
      <c r="K324" s="7">
        <v>20.0</v>
      </c>
      <c r="N324" s="8">
        <v>44824.0</v>
      </c>
    </row>
    <row r="325">
      <c r="A325" s="7">
        <v>324.0</v>
      </c>
      <c r="B325" s="7" t="s">
        <v>801</v>
      </c>
      <c r="C325" s="7" t="s">
        <v>21</v>
      </c>
      <c r="K325" s="7">
        <v>450.0</v>
      </c>
      <c r="N325" s="8">
        <v>44603.0</v>
      </c>
    </row>
    <row r="326">
      <c r="A326" s="7">
        <v>325.0</v>
      </c>
      <c r="B326" s="7" t="s">
        <v>804</v>
      </c>
      <c r="C326" s="7" t="s">
        <v>21</v>
      </c>
      <c r="D326" s="7">
        <v>63.0</v>
      </c>
      <c r="H326" s="7" t="s">
        <v>181</v>
      </c>
      <c r="I326" s="9">
        <v>46144.021157407406</v>
      </c>
      <c r="J326" s="7" t="s">
        <v>40</v>
      </c>
      <c r="K326" s="7">
        <v>20.0</v>
      </c>
      <c r="L326" s="7">
        <v>80.0</v>
      </c>
      <c r="M326" s="7">
        <v>1500.0</v>
      </c>
      <c r="N326" s="8">
        <v>42587.0</v>
      </c>
      <c r="O326" s="7" t="s">
        <v>33</v>
      </c>
      <c r="P326" s="7" t="s">
        <v>25</v>
      </c>
      <c r="S326" s="7" t="s">
        <v>28</v>
      </c>
    </row>
    <row r="327">
      <c r="A327" s="7">
        <v>326.0</v>
      </c>
      <c r="B327" s="7" t="s">
        <v>809</v>
      </c>
      <c r="C327" s="7" t="s">
        <v>21</v>
      </c>
      <c r="K327" s="7">
        <v>200.0</v>
      </c>
      <c r="N327" s="8">
        <v>44297.0</v>
      </c>
    </row>
    <row r="328">
      <c r="A328" s="7">
        <v>327.0</v>
      </c>
      <c r="B328" s="7" t="s">
        <v>810</v>
      </c>
      <c r="C328" s="7" t="s">
        <v>21</v>
      </c>
      <c r="K328" s="7">
        <v>30.0</v>
      </c>
      <c r="N328" s="8">
        <v>44513.0</v>
      </c>
    </row>
    <row r="329">
      <c r="A329" s="7">
        <v>328.0</v>
      </c>
      <c r="B329" s="7" t="s">
        <v>811</v>
      </c>
      <c r="C329" s="7" t="s">
        <v>21</v>
      </c>
      <c r="K329" s="7">
        <v>10.0</v>
      </c>
      <c r="N329" s="8">
        <v>44736.0</v>
      </c>
    </row>
    <row r="330">
      <c r="A330" s="7">
        <v>329.0</v>
      </c>
      <c r="B330" s="7" t="s">
        <v>812</v>
      </c>
      <c r="C330" s="7" t="s">
        <v>21</v>
      </c>
      <c r="K330" s="7">
        <v>1200.0</v>
      </c>
      <c r="N330" s="8">
        <v>43887.0</v>
      </c>
    </row>
    <row r="331">
      <c r="A331" s="7">
        <v>330.0</v>
      </c>
      <c r="B331" s="7" t="s">
        <v>814</v>
      </c>
      <c r="C331" s="7" t="s">
        <v>21</v>
      </c>
      <c r="N331" s="8">
        <v>44998.0</v>
      </c>
    </row>
    <row r="332">
      <c r="A332" s="7">
        <v>331.0</v>
      </c>
      <c r="B332" s="7" t="s">
        <v>815</v>
      </c>
      <c r="C332" s="7" t="s">
        <v>21</v>
      </c>
      <c r="K332" s="7">
        <v>100.0</v>
      </c>
      <c r="N332" s="8">
        <v>44419.0</v>
      </c>
    </row>
    <row r="333">
      <c r="A333" s="7">
        <v>332.0</v>
      </c>
      <c r="B333" s="7" t="s">
        <v>817</v>
      </c>
      <c r="C333" s="7" t="s">
        <v>21</v>
      </c>
      <c r="K333" s="7">
        <v>10.0</v>
      </c>
      <c r="N333" s="8">
        <v>44479.0</v>
      </c>
    </row>
    <row r="334">
      <c r="A334" s="7">
        <v>333.0</v>
      </c>
      <c r="B334" s="7" t="s">
        <v>818</v>
      </c>
      <c r="C334" s="7" t="s">
        <v>21</v>
      </c>
      <c r="K334" s="7">
        <v>20.0</v>
      </c>
      <c r="N334" s="8">
        <v>44311.0</v>
      </c>
    </row>
    <row r="335">
      <c r="A335" s="7">
        <v>334.0</v>
      </c>
      <c r="B335" s="7" t="s">
        <v>819</v>
      </c>
      <c r="C335" s="7" t="s">
        <v>21</v>
      </c>
      <c r="K335" s="7">
        <v>60.0</v>
      </c>
      <c r="N335" s="8">
        <v>44079.0</v>
      </c>
    </row>
    <row r="336">
      <c r="A336" s="7">
        <v>335.0</v>
      </c>
      <c r="B336" s="7" t="s">
        <v>821</v>
      </c>
      <c r="C336" s="7" t="s">
        <v>21</v>
      </c>
      <c r="K336" s="7">
        <v>30.0</v>
      </c>
      <c r="N336" s="8">
        <v>45160.0</v>
      </c>
    </row>
    <row r="337">
      <c r="A337" s="7">
        <v>336.0</v>
      </c>
      <c r="B337" s="7" t="s">
        <v>822</v>
      </c>
      <c r="C337" s="7" t="s">
        <v>21</v>
      </c>
      <c r="K337" s="7">
        <v>700.0</v>
      </c>
      <c r="N337" s="8">
        <v>43307.0</v>
      </c>
    </row>
    <row r="338">
      <c r="A338" s="7">
        <v>337.0</v>
      </c>
      <c r="B338" s="7" t="s">
        <v>825</v>
      </c>
      <c r="C338" s="7" t="s">
        <v>21</v>
      </c>
      <c r="K338" s="7">
        <v>10.0</v>
      </c>
      <c r="N338" s="8">
        <v>43067.0</v>
      </c>
    </row>
    <row r="339">
      <c r="A339" s="7">
        <v>338.0</v>
      </c>
      <c r="B339" s="7" t="s">
        <v>827</v>
      </c>
      <c r="C339" s="7" t="s">
        <v>21</v>
      </c>
      <c r="N339" s="8">
        <v>42956.0</v>
      </c>
    </row>
    <row r="340">
      <c r="A340" s="7">
        <v>339.0</v>
      </c>
      <c r="B340" s="7" t="s">
        <v>828</v>
      </c>
      <c r="C340" s="7" t="s">
        <v>21</v>
      </c>
      <c r="K340" s="7">
        <v>250.0</v>
      </c>
      <c r="N340" s="8">
        <v>44504.0</v>
      </c>
    </row>
    <row r="341">
      <c r="A341" s="7">
        <v>340.0</v>
      </c>
      <c r="B341" s="7" t="s">
        <v>829</v>
      </c>
      <c r="C341" s="7" t="s">
        <v>21</v>
      </c>
      <c r="N341" s="8">
        <v>45855.0</v>
      </c>
    </row>
    <row r="342">
      <c r="A342" s="7">
        <v>341.0</v>
      </c>
      <c r="B342" s="7" t="s">
        <v>830</v>
      </c>
      <c r="C342" s="7" t="s">
        <v>21</v>
      </c>
      <c r="K342" s="7">
        <v>150.0</v>
      </c>
      <c r="N342" s="8">
        <v>44620.0</v>
      </c>
    </row>
    <row r="343">
      <c r="A343" s="7">
        <v>342.0</v>
      </c>
      <c r="B343" s="7" t="s">
        <v>831</v>
      </c>
      <c r="C343" s="7" t="s">
        <v>21</v>
      </c>
      <c r="N343" s="8">
        <v>44248.0</v>
      </c>
    </row>
    <row r="344">
      <c r="A344" s="7">
        <v>343.0</v>
      </c>
      <c r="B344" s="7" t="s">
        <v>833</v>
      </c>
      <c r="C344" s="7" t="s">
        <v>21</v>
      </c>
      <c r="K344" s="7">
        <v>400.0</v>
      </c>
      <c r="N344" s="8">
        <v>44934.0</v>
      </c>
    </row>
    <row r="345">
      <c r="A345" s="7">
        <v>344.0</v>
      </c>
      <c r="B345" s="7" t="s">
        <v>835</v>
      </c>
      <c r="C345" s="7" t="s">
        <v>21</v>
      </c>
      <c r="K345" s="7">
        <v>20.0</v>
      </c>
      <c r="N345" s="8">
        <v>45055.0</v>
      </c>
    </row>
    <row r="346">
      <c r="A346" s="7">
        <v>345.0</v>
      </c>
      <c r="B346" s="7" t="s">
        <v>837</v>
      </c>
      <c r="C346" s="7" t="s">
        <v>21</v>
      </c>
      <c r="K346" s="7">
        <v>400.0</v>
      </c>
      <c r="N346" s="8">
        <v>42255.0</v>
      </c>
    </row>
    <row r="347">
      <c r="A347" s="7">
        <v>346.0</v>
      </c>
      <c r="B347" s="7" t="s">
        <v>838</v>
      </c>
      <c r="C347" s="7" t="s">
        <v>21</v>
      </c>
      <c r="K347" s="7">
        <v>20.0</v>
      </c>
      <c r="N347" s="8">
        <v>44604.0</v>
      </c>
    </row>
    <row r="348">
      <c r="A348" s="7">
        <v>347.0</v>
      </c>
      <c r="B348" s="7" t="s">
        <v>840</v>
      </c>
      <c r="C348" s="7" t="s">
        <v>21</v>
      </c>
      <c r="K348" s="7">
        <v>10.0</v>
      </c>
      <c r="N348" s="8">
        <v>44791.0</v>
      </c>
    </row>
    <row r="349">
      <c r="A349" s="7">
        <v>348.0</v>
      </c>
      <c r="B349" s="7" t="s">
        <v>842</v>
      </c>
      <c r="C349" s="7" t="s">
        <v>21</v>
      </c>
      <c r="K349" s="7">
        <v>40.0</v>
      </c>
      <c r="N349" s="8">
        <v>44747.0</v>
      </c>
    </row>
    <row r="350">
      <c r="A350" s="7">
        <v>349.0</v>
      </c>
      <c r="B350" s="7" t="s">
        <v>845</v>
      </c>
      <c r="C350" s="7" t="s">
        <v>21</v>
      </c>
      <c r="K350" s="7">
        <v>10.0</v>
      </c>
      <c r="N350" s="8">
        <v>46065.0</v>
      </c>
    </row>
    <row r="351">
      <c r="A351" s="7">
        <v>350.0</v>
      </c>
      <c r="B351" s="7" t="s">
        <v>846</v>
      </c>
      <c r="C351" s="7" t="s">
        <v>21</v>
      </c>
      <c r="K351" s="7">
        <v>150.0</v>
      </c>
      <c r="N351" s="8">
        <v>44238.0</v>
      </c>
    </row>
    <row r="352">
      <c r="A352" s="7">
        <v>351.0</v>
      </c>
      <c r="B352" s="7" t="s">
        <v>848</v>
      </c>
      <c r="C352" s="7" t="s">
        <v>21</v>
      </c>
      <c r="N352" s="8">
        <v>45126.0</v>
      </c>
    </row>
    <row r="353">
      <c r="A353" s="7">
        <v>352.0</v>
      </c>
      <c r="B353" s="7" t="s">
        <v>849</v>
      </c>
      <c r="C353" s="7" t="s">
        <v>21</v>
      </c>
      <c r="K353" s="7">
        <v>20.0</v>
      </c>
      <c r="N353" s="8">
        <v>45497.0</v>
      </c>
    </row>
    <row r="354">
      <c r="A354" s="7">
        <v>353.0</v>
      </c>
      <c r="B354" s="7" t="s">
        <v>852</v>
      </c>
      <c r="C354" s="7" t="s">
        <v>21</v>
      </c>
      <c r="K354" s="7">
        <v>1100.0</v>
      </c>
      <c r="N354" s="8">
        <v>43945.0</v>
      </c>
    </row>
    <row r="355">
      <c r="A355" s="7">
        <v>354.0</v>
      </c>
      <c r="B355" s="7" t="s">
        <v>854</v>
      </c>
      <c r="C355" s="7" t="s">
        <v>21</v>
      </c>
      <c r="K355" s="7">
        <v>20.0</v>
      </c>
      <c r="N355" s="8">
        <v>45089.0</v>
      </c>
    </row>
    <row r="356">
      <c r="A356" s="7">
        <v>355.0</v>
      </c>
      <c r="B356" s="7" t="s">
        <v>855</v>
      </c>
      <c r="C356" s="7" t="s">
        <v>21</v>
      </c>
      <c r="N356" s="8">
        <v>44308.0</v>
      </c>
    </row>
    <row r="357">
      <c r="A357" s="7">
        <v>356.0</v>
      </c>
      <c r="B357" s="7" t="s">
        <v>856</v>
      </c>
      <c r="C357" s="7" t="s">
        <v>21</v>
      </c>
      <c r="K357" s="7">
        <v>150.0</v>
      </c>
      <c r="N357" s="8">
        <v>44251.0</v>
      </c>
    </row>
    <row r="358">
      <c r="A358" s="7">
        <v>357.0</v>
      </c>
      <c r="B358" s="7" t="s">
        <v>859</v>
      </c>
      <c r="C358" s="7" t="s">
        <v>21</v>
      </c>
      <c r="K358" s="7">
        <v>60.0</v>
      </c>
      <c r="N358" s="8">
        <v>44615.0</v>
      </c>
    </row>
    <row r="359">
      <c r="A359" s="7">
        <v>358.0</v>
      </c>
      <c r="B359" s="7" t="s">
        <v>860</v>
      </c>
      <c r="C359" s="7" t="s">
        <v>21</v>
      </c>
      <c r="K359" s="7">
        <v>700.0</v>
      </c>
      <c r="N359" s="8">
        <v>45294.0</v>
      </c>
    </row>
    <row r="360">
      <c r="A360" s="7">
        <v>359.0</v>
      </c>
      <c r="B360" s="7" t="s">
        <v>862</v>
      </c>
      <c r="C360" s="7" t="s">
        <v>21</v>
      </c>
      <c r="N360" s="8">
        <v>44590.0</v>
      </c>
    </row>
    <row r="361">
      <c r="A361" s="7">
        <v>360.0</v>
      </c>
      <c r="B361" s="7" t="s">
        <v>863</v>
      </c>
      <c r="C361" s="7" t="s">
        <v>21</v>
      </c>
      <c r="N361" s="8">
        <v>44274.0</v>
      </c>
    </row>
    <row r="362">
      <c r="A362" s="7">
        <v>361.0</v>
      </c>
      <c r="B362" s="7" t="s">
        <v>866</v>
      </c>
      <c r="C362" s="7" t="s">
        <v>21</v>
      </c>
      <c r="K362" s="7">
        <v>400.0</v>
      </c>
      <c r="N362" s="8">
        <v>44535.0</v>
      </c>
    </row>
    <row r="363">
      <c r="A363" s="7">
        <v>362.0</v>
      </c>
      <c r="B363" s="7" t="s">
        <v>868</v>
      </c>
      <c r="C363" s="7" t="s">
        <v>21</v>
      </c>
      <c r="N363" s="8">
        <v>45204.0</v>
      </c>
    </row>
    <row r="364">
      <c r="A364" s="7">
        <v>363.0</v>
      </c>
      <c r="B364" s="7" t="s">
        <v>869</v>
      </c>
      <c r="C364" s="7" t="s">
        <v>21</v>
      </c>
      <c r="K364" s="7">
        <v>400.0</v>
      </c>
      <c r="N364" s="8">
        <v>44087.0</v>
      </c>
    </row>
    <row r="365">
      <c r="A365" s="7">
        <v>364.0</v>
      </c>
      <c r="B365" s="7" t="s">
        <v>870</v>
      </c>
      <c r="C365" s="7" t="s">
        <v>21</v>
      </c>
      <c r="N365" s="8">
        <v>44267.0</v>
      </c>
    </row>
    <row r="366">
      <c r="A366" s="7">
        <v>365.0</v>
      </c>
      <c r="B366" s="7" t="s">
        <v>874</v>
      </c>
      <c r="C366" s="7" t="s">
        <v>21</v>
      </c>
      <c r="K366" s="7">
        <v>70.0</v>
      </c>
      <c r="N366" s="8">
        <v>45132.0</v>
      </c>
    </row>
    <row r="367">
      <c r="A367" s="7">
        <v>366.0</v>
      </c>
      <c r="B367" s="7" t="s">
        <v>875</v>
      </c>
      <c r="C367" s="7" t="s">
        <v>21</v>
      </c>
      <c r="N367" s="8">
        <v>43149.0</v>
      </c>
    </row>
    <row r="368">
      <c r="A368" s="7">
        <v>367.0</v>
      </c>
      <c r="B368" s="7" t="s">
        <v>92</v>
      </c>
      <c r="C368" s="7" t="s">
        <v>21</v>
      </c>
      <c r="K368" s="7">
        <v>100.0</v>
      </c>
      <c r="N368" s="8">
        <v>44207.0</v>
      </c>
    </row>
    <row r="369">
      <c r="A369" s="7">
        <v>368.0</v>
      </c>
      <c r="B369" s="7" t="s">
        <v>876</v>
      </c>
      <c r="C369" s="7" t="s">
        <v>21</v>
      </c>
      <c r="K369" s="7">
        <v>100.0</v>
      </c>
      <c r="N369" s="8">
        <v>44857.0</v>
      </c>
    </row>
    <row r="370">
      <c r="A370" s="7">
        <v>369.0</v>
      </c>
      <c r="B370" s="7" t="s">
        <v>877</v>
      </c>
      <c r="C370" s="7" t="s">
        <v>21</v>
      </c>
      <c r="K370" s="7">
        <v>90.0</v>
      </c>
      <c r="N370" s="8">
        <v>43097.0</v>
      </c>
    </row>
    <row r="371">
      <c r="A371" s="7">
        <v>370.0</v>
      </c>
      <c r="B371" s="7" t="s">
        <v>94</v>
      </c>
      <c r="C371" s="7" t="s">
        <v>21</v>
      </c>
      <c r="K371" s="7">
        <v>70.0</v>
      </c>
      <c r="N371" s="8">
        <v>44891.0</v>
      </c>
    </row>
    <row r="372">
      <c r="A372" s="7">
        <v>371.0</v>
      </c>
      <c r="B372" s="7" t="s">
        <v>879</v>
      </c>
      <c r="C372" s="7" t="s">
        <v>21</v>
      </c>
      <c r="K372" s="7">
        <v>250.0</v>
      </c>
      <c r="N372" s="8">
        <v>44843.0</v>
      </c>
    </row>
    <row r="373">
      <c r="A373" s="7">
        <v>372.0</v>
      </c>
      <c r="B373" s="7" t="s">
        <v>881</v>
      </c>
      <c r="C373" s="7" t="s">
        <v>21</v>
      </c>
      <c r="K373" s="7">
        <v>20.0</v>
      </c>
      <c r="N373" s="8">
        <v>43272.0</v>
      </c>
    </row>
    <row r="374">
      <c r="A374" s="7">
        <v>373.0</v>
      </c>
      <c r="B374" s="7" t="s">
        <v>882</v>
      </c>
      <c r="C374" s="7" t="s">
        <v>21</v>
      </c>
      <c r="K374" s="7">
        <v>500.0</v>
      </c>
      <c r="N374" s="8">
        <v>43868.0</v>
      </c>
    </row>
    <row r="375">
      <c r="A375" s="7">
        <v>374.0</v>
      </c>
      <c r="B375" s="7" t="s">
        <v>883</v>
      </c>
      <c r="C375" s="7" t="s">
        <v>21</v>
      </c>
      <c r="K375" s="7">
        <v>30.0</v>
      </c>
      <c r="N375" s="8">
        <v>46000.0</v>
      </c>
    </row>
    <row r="376">
      <c r="A376" s="7">
        <v>375.0</v>
      </c>
      <c r="B376" s="7" t="s">
        <v>885</v>
      </c>
      <c r="C376" s="7" t="s">
        <v>21</v>
      </c>
      <c r="K376" s="7">
        <v>70.0</v>
      </c>
      <c r="N376" s="8">
        <v>43897.0</v>
      </c>
    </row>
    <row r="377">
      <c r="A377" s="7">
        <v>376.0</v>
      </c>
      <c r="B377" s="7" t="s">
        <v>887</v>
      </c>
      <c r="C377" s="7" t="s">
        <v>21</v>
      </c>
      <c r="K377" s="7">
        <v>100.0</v>
      </c>
      <c r="N377" s="8">
        <v>44593.0</v>
      </c>
    </row>
    <row r="378">
      <c r="A378" s="7">
        <v>377.0</v>
      </c>
      <c r="B378" s="7" t="s">
        <v>888</v>
      </c>
      <c r="C378" s="7" t="s">
        <v>21</v>
      </c>
      <c r="K378" s="7">
        <v>20.0</v>
      </c>
      <c r="N378" s="8">
        <v>43892.0</v>
      </c>
    </row>
    <row r="379">
      <c r="A379" s="7">
        <v>378.0</v>
      </c>
      <c r="B379" s="7" t="s">
        <v>889</v>
      </c>
      <c r="C379" s="7" t="s">
        <v>21</v>
      </c>
      <c r="N379" s="8">
        <v>44631.0</v>
      </c>
    </row>
    <row r="380">
      <c r="A380" s="7">
        <v>379.0</v>
      </c>
      <c r="B380" s="7" t="s">
        <v>890</v>
      </c>
      <c r="C380" s="7" t="s">
        <v>21</v>
      </c>
      <c r="N380" s="8">
        <v>44361.0</v>
      </c>
    </row>
    <row r="381">
      <c r="A381" s="7">
        <v>380.0</v>
      </c>
      <c r="B381" s="7" t="s">
        <v>891</v>
      </c>
      <c r="C381" s="7" t="s">
        <v>21</v>
      </c>
      <c r="K381" s="7">
        <v>450.0</v>
      </c>
      <c r="N381" s="8">
        <v>44078.0</v>
      </c>
    </row>
    <row r="382">
      <c r="A382" s="7">
        <v>381.0</v>
      </c>
      <c r="B382" s="7" t="s">
        <v>893</v>
      </c>
      <c r="C382" s="7" t="s">
        <v>21</v>
      </c>
      <c r="K382" s="7">
        <v>200.0</v>
      </c>
      <c r="N382" s="8">
        <v>44200.0</v>
      </c>
    </row>
    <row r="383">
      <c r="A383" s="7">
        <v>382.0</v>
      </c>
      <c r="B383" s="7" t="s">
        <v>894</v>
      </c>
      <c r="C383" s="7" t="s">
        <v>21</v>
      </c>
      <c r="K383" s="7">
        <v>20.0</v>
      </c>
      <c r="N383" s="8">
        <v>43991.0</v>
      </c>
    </row>
    <row r="384">
      <c r="A384" s="7">
        <v>383.0</v>
      </c>
      <c r="B384" s="7" t="s">
        <v>895</v>
      </c>
      <c r="C384" s="7" t="s">
        <v>21</v>
      </c>
      <c r="N384" s="8">
        <v>44937.0</v>
      </c>
    </row>
    <row r="385">
      <c r="A385" s="7">
        <v>384.0</v>
      </c>
      <c r="B385" s="7" t="s">
        <v>897</v>
      </c>
      <c r="C385" s="7" t="s">
        <v>21</v>
      </c>
      <c r="N385" s="8">
        <v>42486.0</v>
      </c>
    </row>
    <row r="386">
      <c r="A386" s="7">
        <v>385.0</v>
      </c>
      <c r="B386" s="7" t="s">
        <v>97</v>
      </c>
      <c r="C386" s="7" t="s">
        <v>21</v>
      </c>
      <c r="K386" s="7">
        <v>250.0</v>
      </c>
      <c r="N386" s="8">
        <v>44350.0</v>
      </c>
    </row>
    <row r="387">
      <c r="A387" s="7">
        <v>386.0</v>
      </c>
      <c r="B387" s="7" t="s">
        <v>898</v>
      </c>
      <c r="C387" s="7" t="s">
        <v>21</v>
      </c>
      <c r="K387" s="7">
        <v>2700.0</v>
      </c>
      <c r="N387" s="8">
        <v>44137.0</v>
      </c>
    </row>
    <row r="388">
      <c r="A388" s="7">
        <v>387.0</v>
      </c>
      <c r="B388" s="7" t="s">
        <v>899</v>
      </c>
      <c r="C388" s="7" t="s">
        <v>21</v>
      </c>
      <c r="N388" s="8">
        <v>45563.0</v>
      </c>
    </row>
    <row r="389">
      <c r="A389" s="7">
        <v>388.0</v>
      </c>
      <c r="B389" s="7" t="s">
        <v>900</v>
      </c>
      <c r="C389" s="7" t="s">
        <v>21</v>
      </c>
      <c r="K389" s="7">
        <v>90.0</v>
      </c>
      <c r="N389" s="8">
        <v>45379.0</v>
      </c>
    </row>
    <row r="390">
      <c r="A390" s="7">
        <v>389.0</v>
      </c>
      <c r="B390" s="7" t="s">
        <v>902</v>
      </c>
      <c r="C390" s="7" t="s">
        <v>21</v>
      </c>
      <c r="K390" s="7">
        <v>350.0</v>
      </c>
      <c r="N390" s="8">
        <v>43891.0</v>
      </c>
    </row>
    <row r="391">
      <c r="A391" s="7">
        <v>390.0</v>
      </c>
      <c r="B391" s="7" t="s">
        <v>904</v>
      </c>
      <c r="C391" s="7" t="s">
        <v>21</v>
      </c>
      <c r="N391" s="8">
        <v>43841.0</v>
      </c>
    </row>
    <row r="392">
      <c r="A392" s="7">
        <v>391.0</v>
      </c>
      <c r="B392" s="7" t="s">
        <v>905</v>
      </c>
      <c r="C392" s="7" t="s">
        <v>21</v>
      </c>
      <c r="K392" s="7">
        <v>10.0</v>
      </c>
      <c r="N392" s="8">
        <v>44279.0</v>
      </c>
    </row>
    <row r="393">
      <c r="A393" s="7">
        <v>392.0</v>
      </c>
      <c r="B393" s="7" t="s">
        <v>907</v>
      </c>
      <c r="C393" s="7" t="s">
        <v>21</v>
      </c>
      <c r="K393" s="7">
        <v>200.0</v>
      </c>
      <c r="N393" s="8">
        <v>44072.0</v>
      </c>
    </row>
    <row r="394">
      <c r="A394" s="7">
        <v>393.0</v>
      </c>
      <c r="B394" s="7" t="s">
        <v>909</v>
      </c>
      <c r="C394" s="7" t="s">
        <v>21</v>
      </c>
      <c r="K394" s="7">
        <v>80.0</v>
      </c>
      <c r="N394" s="8">
        <v>43825.0</v>
      </c>
    </row>
    <row r="395">
      <c r="A395" s="7">
        <v>394.0</v>
      </c>
      <c r="B395" s="7" t="s">
        <v>910</v>
      </c>
      <c r="C395" s="7" t="s">
        <v>21</v>
      </c>
      <c r="K395" s="7">
        <v>100.0</v>
      </c>
      <c r="N395" s="8">
        <v>43906.0</v>
      </c>
    </row>
    <row r="396">
      <c r="A396" s="7">
        <v>395.0</v>
      </c>
      <c r="B396" s="7" t="s">
        <v>912</v>
      </c>
      <c r="C396" s="7" t="s">
        <v>21</v>
      </c>
      <c r="K396" s="7">
        <v>20.0</v>
      </c>
      <c r="N396" s="8">
        <v>44042.0</v>
      </c>
    </row>
    <row r="397">
      <c r="A397" s="7">
        <v>396.0</v>
      </c>
      <c r="B397" s="7" t="s">
        <v>913</v>
      </c>
      <c r="C397" s="7" t="s">
        <v>21</v>
      </c>
      <c r="K397" s="7">
        <v>40.0</v>
      </c>
      <c r="N397" s="8">
        <v>44306.0</v>
      </c>
    </row>
    <row r="398">
      <c r="A398" s="7">
        <v>397.0</v>
      </c>
      <c r="B398" s="7" t="s">
        <v>914</v>
      </c>
      <c r="C398" s="7" t="s">
        <v>21</v>
      </c>
      <c r="K398" s="7">
        <v>350.0</v>
      </c>
      <c r="N398" s="8">
        <v>44951.0</v>
      </c>
    </row>
    <row r="399">
      <c r="A399" s="7">
        <v>398.0</v>
      </c>
      <c r="B399" s="7" t="s">
        <v>916</v>
      </c>
      <c r="C399" s="7" t="s">
        <v>21</v>
      </c>
      <c r="N399" s="8">
        <v>44545.0</v>
      </c>
    </row>
    <row r="400">
      <c r="A400" s="7">
        <v>399.0</v>
      </c>
      <c r="B400" s="7" t="s">
        <v>917</v>
      </c>
      <c r="C400" s="7" t="s">
        <v>21</v>
      </c>
      <c r="N400" s="8">
        <v>44515.0</v>
      </c>
    </row>
    <row r="401">
      <c r="A401" s="7">
        <v>400.0</v>
      </c>
      <c r="B401" s="7" t="s">
        <v>71</v>
      </c>
      <c r="C401" s="7" t="s">
        <v>21</v>
      </c>
      <c r="K401" s="7">
        <v>1900.0</v>
      </c>
      <c r="N401" s="8">
        <v>44695.0</v>
      </c>
    </row>
    <row r="402">
      <c r="A402" s="7">
        <v>401.0</v>
      </c>
      <c r="B402" s="7" t="s">
        <v>919</v>
      </c>
      <c r="C402" s="7" t="s">
        <v>21</v>
      </c>
      <c r="K402" s="7">
        <v>80.0</v>
      </c>
      <c r="N402" s="8">
        <v>44779.0</v>
      </c>
    </row>
    <row r="403">
      <c r="A403" s="7">
        <v>402.0</v>
      </c>
      <c r="B403" s="7" t="s">
        <v>920</v>
      </c>
      <c r="C403" s="7" t="s">
        <v>21</v>
      </c>
      <c r="K403" s="7">
        <v>60.0</v>
      </c>
      <c r="N403" s="8">
        <v>44386.0</v>
      </c>
    </row>
    <row r="404">
      <c r="A404" s="7">
        <v>403.0</v>
      </c>
      <c r="B404" s="7" t="s">
        <v>921</v>
      </c>
      <c r="C404" s="7" t="s">
        <v>21</v>
      </c>
      <c r="K404" s="7">
        <v>10.0</v>
      </c>
      <c r="N404" s="8">
        <v>44038.0</v>
      </c>
    </row>
    <row r="405">
      <c r="A405" s="7">
        <v>404.0</v>
      </c>
      <c r="B405" s="7" t="s">
        <v>922</v>
      </c>
      <c r="C405" s="7" t="s">
        <v>21</v>
      </c>
      <c r="K405" s="7">
        <v>30.0</v>
      </c>
      <c r="N405" s="8">
        <v>44532.0</v>
      </c>
    </row>
    <row r="406">
      <c r="A406" s="7">
        <v>405.0</v>
      </c>
      <c r="B406" s="7" t="s">
        <v>925</v>
      </c>
      <c r="C406" s="7" t="s">
        <v>21</v>
      </c>
      <c r="K406" s="7">
        <v>90.0</v>
      </c>
      <c r="N406" s="8">
        <v>44217.0</v>
      </c>
    </row>
    <row r="407">
      <c r="A407" s="7">
        <v>406.0</v>
      </c>
      <c r="B407" s="7" t="s">
        <v>927</v>
      </c>
      <c r="C407" s="7" t="s">
        <v>21</v>
      </c>
      <c r="K407" s="7">
        <v>200.0</v>
      </c>
      <c r="N407" s="8">
        <v>44273.0</v>
      </c>
    </row>
    <row r="408">
      <c r="A408" s="7">
        <v>407.0</v>
      </c>
      <c r="B408" s="7" t="s">
        <v>928</v>
      </c>
      <c r="C408" s="7" t="s">
        <v>21</v>
      </c>
      <c r="K408" s="7">
        <v>10.0</v>
      </c>
      <c r="N408" s="8">
        <v>45100.0</v>
      </c>
    </row>
    <row r="409">
      <c r="A409" s="7">
        <v>408.0</v>
      </c>
      <c r="B409" s="7" t="s">
        <v>929</v>
      </c>
      <c r="C409" s="7" t="s">
        <v>21</v>
      </c>
      <c r="K409" s="7">
        <v>50.0</v>
      </c>
      <c r="N409" s="8">
        <v>44335.0</v>
      </c>
    </row>
    <row r="410">
      <c r="A410" s="7">
        <v>409.0</v>
      </c>
      <c r="B410" s="7" t="s">
        <v>931</v>
      </c>
      <c r="C410" s="7" t="s">
        <v>21</v>
      </c>
      <c r="K410" s="7">
        <v>700.0</v>
      </c>
      <c r="N410" s="8">
        <v>45930.0</v>
      </c>
    </row>
    <row r="411">
      <c r="A411" s="7">
        <v>410.0</v>
      </c>
      <c r="B411" s="7" t="s">
        <v>932</v>
      </c>
      <c r="C411" s="7" t="s">
        <v>21</v>
      </c>
      <c r="K411" s="7">
        <v>10.0</v>
      </c>
      <c r="N411" s="8">
        <v>44333.0</v>
      </c>
    </row>
    <row r="412">
      <c r="A412" s="7">
        <v>411.0</v>
      </c>
      <c r="B412" s="7" t="s">
        <v>933</v>
      </c>
      <c r="C412" s="7" t="s">
        <v>21</v>
      </c>
      <c r="K412" s="7">
        <v>10.0</v>
      </c>
      <c r="N412" s="8">
        <v>44828.0</v>
      </c>
    </row>
    <row r="413">
      <c r="A413" s="7">
        <v>412.0</v>
      </c>
      <c r="B413" s="7" t="s">
        <v>934</v>
      </c>
      <c r="C413" s="7" t="s">
        <v>21</v>
      </c>
      <c r="K413" s="7">
        <v>200.0</v>
      </c>
      <c r="N413" s="8">
        <v>44016.0</v>
      </c>
    </row>
    <row r="414">
      <c r="A414" s="7">
        <v>413.0</v>
      </c>
      <c r="B414" s="7" t="s">
        <v>936</v>
      </c>
      <c r="C414" s="7" t="s">
        <v>21</v>
      </c>
      <c r="K414" s="7">
        <v>30.0</v>
      </c>
      <c r="N414" s="8">
        <v>44725.0</v>
      </c>
    </row>
    <row r="415">
      <c r="A415" s="7">
        <v>414.0</v>
      </c>
      <c r="B415" s="7" t="s">
        <v>937</v>
      </c>
      <c r="C415" s="7" t="s">
        <v>21</v>
      </c>
      <c r="K415" s="7">
        <v>60.0</v>
      </c>
      <c r="N415" s="8">
        <v>44782.0</v>
      </c>
    </row>
    <row r="416">
      <c r="A416" s="7">
        <v>415.0</v>
      </c>
      <c r="B416" s="7" t="s">
        <v>939</v>
      </c>
      <c r="C416" s="7" t="s">
        <v>21</v>
      </c>
      <c r="K416" s="7">
        <v>150.0</v>
      </c>
      <c r="N416" s="8">
        <v>43845.0</v>
      </c>
    </row>
    <row r="417">
      <c r="A417" s="7">
        <v>416.0</v>
      </c>
      <c r="B417" s="7" t="s">
        <v>940</v>
      </c>
      <c r="C417" s="7" t="s">
        <v>21</v>
      </c>
      <c r="K417" s="7">
        <v>10.0</v>
      </c>
      <c r="N417" s="8">
        <v>44319.0</v>
      </c>
    </row>
    <row r="418">
      <c r="A418" s="7">
        <v>417.0</v>
      </c>
      <c r="B418" s="7" t="s">
        <v>942</v>
      </c>
      <c r="C418" s="7" t="s">
        <v>21</v>
      </c>
      <c r="K418" s="7">
        <v>200.0</v>
      </c>
      <c r="N418" s="8">
        <v>45083.0</v>
      </c>
    </row>
    <row r="419">
      <c r="A419" s="7">
        <v>418.0</v>
      </c>
      <c r="B419" s="7" t="s">
        <v>943</v>
      </c>
      <c r="C419" s="7" t="s">
        <v>21</v>
      </c>
      <c r="K419" s="7">
        <v>700.0</v>
      </c>
      <c r="N419" s="8">
        <v>44162.0</v>
      </c>
    </row>
    <row r="420">
      <c r="A420" s="7">
        <v>419.0</v>
      </c>
      <c r="B420" s="7" t="s">
        <v>944</v>
      </c>
      <c r="C420" s="7" t="s">
        <v>21</v>
      </c>
      <c r="K420" s="7">
        <v>250.0</v>
      </c>
      <c r="N420" s="8">
        <v>45840.0</v>
      </c>
    </row>
    <row r="421">
      <c r="A421" s="7">
        <v>420.0</v>
      </c>
      <c r="B421" s="7" t="s">
        <v>946</v>
      </c>
      <c r="C421" s="7" t="s">
        <v>21</v>
      </c>
      <c r="K421" s="7">
        <v>1400.0</v>
      </c>
      <c r="N421" s="8">
        <v>44343.0</v>
      </c>
    </row>
    <row r="422">
      <c r="A422" s="7">
        <v>421.0</v>
      </c>
      <c r="B422" s="7" t="s">
        <v>947</v>
      </c>
      <c r="C422" s="7" t="s">
        <v>21</v>
      </c>
      <c r="K422" s="7">
        <v>200.0</v>
      </c>
      <c r="N422" s="8">
        <v>44694.0</v>
      </c>
    </row>
    <row r="423">
      <c r="A423" s="7">
        <v>422.0</v>
      </c>
      <c r="B423" s="7" t="s">
        <v>948</v>
      </c>
      <c r="C423" s="7" t="s">
        <v>21</v>
      </c>
      <c r="K423" s="7">
        <v>60.0</v>
      </c>
      <c r="N423" s="8">
        <v>44250.0</v>
      </c>
    </row>
    <row r="424">
      <c r="A424" s="7">
        <v>423.0</v>
      </c>
      <c r="B424" s="7" t="s">
        <v>949</v>
      </c>
      <c r="C424" s="7" t="s">
        <v>21</v>
      </c>
      <c r="K424" s="7">
        <v>100.0</v>
      </c>
      <c r="N424" s="8">
        <v>44730.0</v>
      </c>
    </row>
    <row r="425">
      <c r="A425" s="7">
        <v>424.0</v>
      </c>
      <c r="B425" s="7" t="s">
        <v>951</v>
      </c>
      <c r="C425" s="7" t="s">
        <v>21</v>
      </c>
      <c r="D425" s="7">
        <v>62.0</v>
      </c>
      <c r="H425" s="7" t="s">
        <v>148</v>
      </c>
      <c r="I425" s="9">
        <v>46090.180914351855</v>
      </c>
      <c r="J425" s="7" t="s">
        <v>40</v>
      </c>
      <c r="K425" s="7">
        <v>600.0</v>
      </c>
      <c r="L425" s="7">
        <v>90.0</v>
      </c>
      <c r="M425" s="7">
        <v>43000.0</v>
      </c>
      <c r="N425" s="8">
        <v>43197.0</v>
      </c>
      <c r="O425" s="7" t="s">
        <v>41</v>
      </c>
      <c r="P425" s="7" t="s">
        <v>25</v>
      </c>
      <c r="S425" s="7" t="s">
        <v>28</v>
      </c>
    </row>
    <row r="426">
      <c r="A426" s="7">
        <v>425.0</v>
      </c>
      <c r="B426" s="7" t="s">
        <v>953</v>
      </c>
      <c r="C426" s="7" t="s">
        <v>21</v>
      </c>
      <c r="K426" s="7">
        <v>50.0</v>
      </c>
      <c r="N426" s="8">
        <v>44414.0</v>
      </c>
    </row>
    <row r="427">
      <c r="A427" s="7">
        <v>426.0</v>
      </c>
      <c r="B427" s="7" t="s">
        <v>954</v>
      </c>
      <c r="C427" s="7" t="s">
        <v>21</v>
      </c>
      <c r="K427" s="7">
        <v>150.0</v>
      </c>
      <c r="N427" s="8">
        <v>45030.0</v>
      </c>
    </row>
    <row r="428">
      <c r="A428" s="7">
        <v>427.0</v>
      </c>
      <c r="B428" s="7" t="s">
        <v>956</v>
      </c>
      <c r="C428" s="7" t="s">
        <v>21</v>
      </c>
      <c r="K428" s="7">
        <v>300.0</v>
      </c>
      <c r="N428" s="8">
        <v>44573.0</v>
      </c>
    </row>
    <row r="429">
      <c r="A429" s="7">
        <v>428.0</v>
      </c>
      <c r="B429" s="7" t="s">
        <v>99</v>
      </c>
      <c r="C429" s="7" t="s">
        <v>21</v>
      </c>
      <c r="K429" s="7">
        <v>10.0</v>
      </c>
      <c r="N429" s="8">
        <v>43857.0</v>
      </c>
    </row>
    <row r="430">
      <c r="A430" s="7">
        <v>429.0</v>
      </c>
      <c r="B430" s="7" t="s">
        <v>957</v>
      </c>
      <c r="C430" s="7" t="s">
        <v>21</v>
      </c>
      <c r="K430" s="7">
        <v>100.0</v>
      </c>
      <c r="N430" s="8">
        <v>45316.0</v>
      </c>
    </row>
    <row r="431">
      <c r="A431" s="7">
        <v>430.0</v>
      </c>
      <c r="B431" s="7" t="s">
        <v>960</v>
      </c>
      <c r="C431" s="7" t="s">
        <v>21</v>
      </c>
      <c r="K431" s="7">
        <v>350.0</v>
      </c>
      <c r="N431" s="8">
        <v>43233.0</v>
      </c>
    </row>
    <row r="432">
      <c r="A432" s="7">
        <v>431.0</v>
      </c>
      <c r="B432" s="7" t="s">
        <v>962</v>
      </c>
      <c r="C432" s="7" t="s">
        <v>21</v>
      </c>
      <c r="K432" s="7">
        <v>10.0</v>
      </c>
      <c r="N432" s="8">
        <v>44296.0</v>
      </c>
    </row>
    <row r="433">
      <c r="A433" s="7">
        <v>432.0</v>
      </c>
      <c r="B433" s="7" t="s">
        <v>963</v>
      </c>
      <c r="C433" s="7" t="s">
        <v>21</v>
      </c>
      <c r="K433" s="7">
        <v>150.0</v>
      </c>
      <c r="N433" s="8">
        <v>44218.0</v>
      </c>
    </row>
    <row r="434">
      <c r="A434" s="7">
        <v>433.0</v>
      </c>
      <c r="B434" s="7" t="s">
        <v>964</v>
      </c>
      <c r="C434" s="7" t="s">
        <v>21</v>
      </c>
      <c r="N434" s="8">
        <v>44297.0</v>
      </c>
    </row>
    <row r="435">
      <c r="A435" s="7">
        <v>434.0</v>
      </c>
      <c r="B435" s="7" t="s">
        <v>966</v>
      </c>
      <c r="C435" s="7" t="s">
        <v>21</v>
      </c>
      <c r="K435" s="7">
        <v>60.0</v>
      </c>
      <c r="N435" s="8">
        <v>45921.0</v>
      </c>
    </row>
    <row r="436">
      <c r="A436" s="7">
        <v>435.0</v>
      </c>
      <c r="B436" s="7" t="s">
        <v>967</v>
      </c>
      <c r="C436" s="7" t="s">
        <v>21</v>
      </c>
      <c r="N436" s="8">
        <v>44110.0</v>
      </c>
    </row>
    <row r="437">
      <c r="A437" s="7">
        <v>436.0</v>
      </c>
      <c r="B437" s="7" t="s">
        <v>968</v>
      </c>
      <c r="C437" s="7" t="s">
        <v>21</v>
      </c>
      <c r="K437" s="7">
        <v>700.0</v>
      </c>
      <c r="N437" s="8">
        <v>42373.0</v>
      </c>
    </row>
    <row r="438">
      <c r="A438" s="7">
        <v>437.0</v>
      </c>
      <c r="B438" s="7" t="s">
        <v>969</v>
      </c>
      <c r="C438" s="7" t="s">
        <v>21</v>
      </c>
      <c r="K438" s="7">
        <v>900.0</v>
      </c>
      <c r="N438" s="8">
        <v>45295.0</v>
      </c>
    </row>
    <row r="439">
      <c r="A439" s="7">
        <v>438.0</v>
      </c>
      <c r="B439" s="7" t="s">
        <v>971</v>
      </c>
      <c r="C439" s="7" t="s">
        <v>21</v>
      </c>
      <c r="K439" s="7">
        <v>10.0</v>
      </c>
      <c r="N439" s="8">
        <v>45538.0</v>
      </c>
    </row>
    <row r="440">
      <c r="A440" s="7">
        <v>439.0</v>
      </c>
      <c r="B440" s="7" t="s">
        <v>972</v>
      </c>
      <c r="C440" s="7" t="s">
        <v>21</v>
      </c>
      <c r="K440" s="7">
        <v>400.0</v>
      </c>
      <c r="N440" s="8">
        <v>44214.0</v>
      </c>
    </row>
    <row r="441">
      <c r="A441" s="7">
        <v>440.0</v>
      </c>
      <c r="B441" s="7" t="s">
        <v>973</v>
      </c>
      <c r="C441" s="7" t="s">
        <v>21</v>
      </c>
      <c r="K441" s="7">
        <v>80.0</v>
      </c>
      <c r="N441" s="8">
        <v>44564.0</v>
      </c>
    </row>
    <row r="442">
      <c r="A442" s="7">
        <v>441.0</v>
      </c>
      <c r="B442" s="7" t="s">
        <v>975</v>
      </c>
      <c r="C442" s="7" t="s">
        <v>21</v>
      </c>
      <c r="K442" s="7">
        <v>30.0</v>
      </c>
      <c r="N442" s="8">
        <v>44601.0</v>
      </c>
    </row>
    <row r="443">
      <c r="A443" s="7">
        <v>442.0</v>
      </c>
      <c r="B443" s="7" t="s">
        <v>976</v>
      </c>
      <c r="C443" s="7" t="s">
        <v>21</v>
      </c>
      <c r="N443" s="8">
        <v>44762.0</v>
      </c>
    </row>
    <row r="444">
      <c r="A444" s="7">
        <v>443.0</v>
      </c>
      <c r="B444" s="7" t="s">
        <v>977</v>
      </c>
      <c r="C444" s="7" t="s">
        <v>21</v>
      </c>
      <c r="N444" s="8">
        <v>44616.0</v>
      </c>
    </row>
    <row r="445">
      <c r="A445" s="7">
        <v>444.0</v>
      </c>
      <c r="B445" s="7" t="s">
        <v>103</v>
      </c>
      <c r="C445" s="7" t="s">
        <v>21</v>
      </c>
      <c r="K445" s="7">
        <v>150.0</v>
      </c>
      <c r="N445" s="8">
        <v>43932.0</v>
      </c>
    </row>
    <row r="446">
      <c r="A446" s="7">
        <v>445.0</v>
      </c>
      <c r="B446" s="7" t="s">
        <v>106</v>
      </c>
      <c r="C446" s="7" t="s">
        <v>21</v>
      </c>
      <c r="K446" s="7">
        <v>30.0</v>
      </c>
      <c r="N446" s="8">
        <v>45204.0</v>
      </c>
    </row>
    <row r="447">
      <c r="A447" s="7">
        <v>446.0</v>
      </c>
      <c r="B447" s="7" t="s">
        <v>979</v>
      </c>
      <c r="C447" s="7" t="s">
        <v>21</v>
      </c>
      <c r="K447" s="7">
        <v>100.0</v>
      </c>
      <c r="N447" s="8">
        <v>45081.0</v>
      </c>
    </row>
    <row r="448">
      <c r="A448" s="7">
        <v>447.0</v>
      </c>
      <c r="B448" s="7" t="s">
        <v>981</v>
      </c>
      <c r="C448" s="7" t="s">
        <v>21</v>
      </c>
      <c r="K448" s="7">
        <v>30.0</v>
      </c>
      <c r="N448" s="8">
        <v>42858.0</v>
      </c>
    </row>
    <row r="449">
      <c r="A449" s="7">
        <v>448.0</v>
      </c>
      <c r="B449" s="7" t="s">
        <v>982</v>
      </c>
      <c r="C449" s="7" t="s">
        <v>21</v>
      </c>
      <c r="N449" s="8">
        <v>44330.0</v>
      </c>
    </row>
    <row r="450">
      <c r="A450" s="7">
        <v>449.0</v>
      </c>
      <c r="B450" s="7" t="s">
        <v>983</v>
      </c>
      <c r="C450" s="7" t="s">
        <v>21</v>
      </c>
      <c r="K450" s="7">
        <v>10.0</v>
      </c>
      <c r="N450" s="8">
        <v>44852.0</v>
      </c>
    </row>
    <row r="451">
      <c r="A451" s="7">
        <v>450.0</v>
      </c>
      <c r="B451" s="7" t="s">
        <v>984</v>
      </c>
      <c r="C451" s="7" t="s">
        <v>21</v>
      </c>
      <c r="K451" s="7">
        <v>80.0</v>
      </c>
      <c r="N451" s="8">
        <v>45651.0</v>
      </c>
    </row>
    <row r="452">
      <c r="A452" s="7">
        <v>451.0</v>
      </c>
      <c r="B452" s="7" t="s">
        <v>985</v>
      </c>
      <c r="C452" s="7" t="s">
        <v>21</v>
      </c>
      <c r="D452" s="7">
        <v>72.0</v>
      </c>
      <c r="H452" s="7" t="s">
        <v>986</v>
      </c>
      <c r="I452" s="9">
        <v>46122.787986111114</v>
      </c>
      <c r="J452" s="7" t="s">
        <v>40</v>
      </c>
      <c r="K452" s="7">
        <v>9100.0</v>
      </c>
      <c r="L452" s="7">
        <v>20.0</v>
      </c>
      <c r="M452" s="7">
        <v>23000.0</v>
      </c>
      <c r="N452" s="8">
        <v>44364.0</v>
      </c>
      <c r="O452" s="7" t="s">
        <v>33</v>
      </c>
      <c r="P452" s="7" t="s">
        <v>25</v>
      </c>
      <c r="S452" s="7" t="s">
        <v>28</v>
      </c>
    </row>
    <row r="453">
      <c r="A453" s="7">
        <v>452.0</v>
      </c>
      <c r="B453" s="7" t="s">
        <v>987</v>
      </c>
      <c r="C453" s="7" t="s">
        <v>21</v>
      </c>
      <c r="K453" s="7">
        <v>40.0</v>
      </c>
      <c r="N453" s="8">
        <v>44872.0</v>
      </c>
    </row>
    <row r="454">
      <c r="A454" s="7">
        <v>453.0</v>
      </c>
      <c r="B454" s="7" t="s">
        <v>988</v>
      </c>
      <c r="C454" s="7" t="s">
        <v>21</v>
      </c>
      <c r="K454" s="7">
        <v>1000.0</v>
      </c>
      <c r="N454" s="8">
        <v>44078.0</v>
      </c>
    </row>
    <row r="455">
      <c r="A455" s="7">
        <v>454.0</v>
      </c>
      <c r="B455" s="7" t="s">
        <v>989</v>
      </c>
      <c r="C455" s="7" t="s">
        <v>21</v>
      </c>
      <c r="K455" s="7">
        <v>70.0</v>
      </c>
      <c r="N455" s="8">
        <v>45109.0</v>
      </c>
    </row>
    <row r="456">
      <c r="A456" s="7">
        <v>455.0</v>
      </c>
      <c r="B456" s="7" t="s">
        <v>109</v>
      </c>
      <c r="C456" s="7" t="s">
        <v>21</v>
      </c>
      <c r="K456" s="7">
        <v>10.0</v>
      </c>
      <c r="N456" s="8">
        <v>44074.0</v>
      </c>
    </row>
    <row r="457">
      <c r="A457" s="7">
        <v>456.0</v>
      </c>
      <c r="B457" s="7" t="s">
        <v>991</v>
      </c>
      <c r="C457" s="7" t="s">
        <v>21</v>
      </c>
      <c r="N457" s="8">
        <v>44416.0</v>
      </c>
    </row>
    <row r="458">
      <c r="A458" s="7">
        <v>457.0</v>
      </c>
      <c r="B458" s="7" t="s">
        <v>992</v>
      </c>
      <c r="C458" s="7" t="s">
        <v>21</v>
      </c>
      <c r="K458" s="7">
        <v>1800.0</v>
      </c>
      <c r="N458" s="8">
        <v>44627.0</v>
      </c>
    </row>
    <row r="459">
      <c r="A459" s="7">
        <v>458.0</v>
      </c>
      <c r="B459" s="7" t="s">
        <v>993</v>
      </c>
      <c r="C459" s="7" t="s">
        <v>21</v>
      </c>
      <c r="K459" s="7">
        <v>900.0</v>
      </c>
      <c r="N459" s="8">
        <v>43902.0</v>
      </c>
    </row>
    <row r="460">
      <c r="A460" s="7">
        <v>459.0</v>
      </c>
      <c r="B460" s="7" t="s">
        <v>994</v>
      </c>
      <c r="C460" s="7" t="s">
        <v>21</v>
      </c>
      <c r="N460" s="8">
        <v>43168.0</v>
      </c>
    </row>
    <row r="461">
      <c r="A461" s="7">
        <v>460.0</v>
      </c>
      <c r="B461" s="7" t="s">
        <v>995</v>
      </c>
      <c r="C461" s="7" t="s">
        <v>21</v>
      </c>
      <c r="D461" s="7">
        <v>64.0</v>
      </c>
      <c r="H461" s="7" t="s">
        <v>996</v>
      </c>
      <c r="I461" s="9">
        <v>46142.05269675926</v>
      </c>
      <c r="J461" s="7" t="s">
        <v>40</v>
      </c>
      <c r="K461" s="7">
        <v>5200.0</v>
      </c>
      <c r="L461" s="7">
        <v>0.0</v>
      </c>
      <c r="M461" s="7">
        <v>9500.0</v>
      </c>
      <c r="N461" s="8">
        <v>44050.0</v>
      </c>
      <c r="O461" s="7" t="s">
        <v>33</v>
      </c>
      <c r="P461" s="7" t="s">
        <v>25</v>
      </c>
      <c r="S461" s="7" t="s">
        <v>28</v>
      </c>
    </row>
    <row r="462">
      <c r="A462" s="7">
        <v>461.0</v>
      </c>
      <c r="B462" s="7" t="s">
        <v>998</v>
      </c>
      <c r="C462" s="7" t="s">
        <v>21</v>
      </c>
      <c r="K462" s="7">
        <v>100.0</v>
      </c>
      <c r="N462" s="8">
        <v>44000.0</v>
      </c>
    </row>
    <row r="463">
      <c r="A463" s="7">
        <v>462.0</v>
      </c>
      <c r="B463" s="7" t="s">
        <v>999</v>
      </c>
      <c r="C463" s="7" t="s">
        <v>21</v>
      </c>
      <c r="N463" s="8">
        <v>44739.0</v>
      </c>
    </row>
    <row r="464">
      <c r="A464" s="7">
        <v>463.0</v>
      </c>
      <c r="B464" s="7" t="s">
        <v>1002</v>
      </c>
      <c r="C464" s="7" t="s">
        <v>21</v>
      </c>
      <c r="K464" s="7">
        <v>200.0</v>
      </c>
      <c r="N464" s="8">
        <v>44434.0</v>
      </c>
    </row>
    <row r="465">
      <c r="A465" s="7">
        <v>464.0</v>
      </c>
      <c r="B465" s="7" t="s">
        <v>112</v>
      </c>
      <c r="C465" s="7" t="s">
        <v>21</v>
      </c>
      <c r="K465" s="7">
        <v>200.0</v>
      </c>
      <c r="N465" s="8">
        <v>44528.0</v>
      </c>
    </row>
    <row r="466">
      <c r="A466" s="7">
        <v>465.0</v>
      </c>
      <c r="B466" s="7" t="s">
        <v>1004</v>
      </c>
      <c r="C466" s="7" t="s">
        <v>21</v>
      </c>
      <c r="K466" s="7">
        <v>200.0</v>
      </c>
      <c r="N466" s="8">
        <v>44156.0</v>
      </c>
    </row>
    <row r="467">
      <c r="A467" s="7">
        <v>466.0</v>
      </c>
      <c r="B467" s="7" t="s">
        <v>1005</v>
      </c>
      <c r="C467" s="7" t="s">
        <v>21</v>
      </c>
      <c r="K467" s="7">
        <v>20.0</v>
      </c>
      <c r="N467" s="8">
        <v>43212.0</v>
      </c>
    </row>
    <row r="468">
      <c r="A468" s="7">
        <v>467.0</v>
      </c>
      <c r="B468" s="7" t="s">
        <v>1006</v>
      </c>
      <c r="C468" s="7" t="s">
        <v>21</v>
      </c>
      <c r="K468" s="7">
        <v>500.0</v>
      </c>
      <c r="N468" s="8">
        <v>45045.0</v>
      </c>
    </row>
    <row r="469">
      <c r="A469" s="7">
        <v>468.0</v>
      </c>
      <c r="B469" s="7" t="s">
        <v>114</v>
      </c>
      <c r="C469" s="7" t="s">
        <v>21</v>
      </c>
      <c r="K469" s="7">
        <v>400.0</v>
      </c>
      <c r="N469" s="8">
        <v>44880.0</v>
      </c>
    </row>
    <row r="470">
      <c r="A470" s="7">
        <v>469.0</v>
      </c>
      <c r="B470" s="7" t="s">
        <v>1007</v>
      </c>
      <c r="C470" s="7" t="s">
        <v>21</v>
      </c>
      <c r="K470" s="7">
        <v>150.0</v>
      </c>
      <c r="N470" s="8">
        <v>44759.0</v>
      </c>
    </row>
    <row r="471">
      <c r="A471" s="7">
        <v>470.0</v>
      </c>
      <c r="B471" s="7" t="s">
        <v>1008</v>
      </c>
      <c r="C471" s="7" t="s">
        <v>21</v>
      </c>
      <c r="N471" s="8">
        <v>44723.0</v>
      </c>
    </row>
    <row r="472">
      <c r="A472" s="7">
        <v>471.0</v>
      </c>
      <c r="B472" s="7" t="s">
        <v>1010</v>
      </c>
      <c r="C472" s="7" t="s">
        <v>21</v>
      </c>
      <c r="K472" s="7">
        <v>350.0</v>
      </c>
      <c r="N472" s="8">
        <v>45184.0</v>
      </c>
    </row>
    <row r="473">
      <c r="A473" s="7">
        <v>472.0</v>
      </c>
      <c r="B473" s="7" t="s">
        <v>1012</v>
      </c>
      <c r="C473" s="7" t="s">
        <v>21</v>
      </c>
      <c r="K473" s="7">
        <v>350.0</v>
      </c>
      <c r="N473" s="8">
        <v>44296.0</v>
      </c>
    </row>
    <row r="474">
      <c r="A474" s="7">
        <v>473.0</v>
      </c>
      <c r="B474" s="7" t="s">
        <v>1013</v>
      </c>
      <c r="C474" s="7" t="s">
        <v>21</v>
      </c>
      <c r="K474" s="7">
        <v>100.0</v>
      </c>
      <c r="N474" s="8">
        <v>44549.0</v>
      </c>
    </row>
    <row r="475">
      <c r="A475" s="7">
        <v>474.0</v>
      </c>
      <c r="B475" s="7" t="s">
        <v>1014</v>
      </c>
      <c r="C475" s="7" t="s">
        <v>21</v>
      </c>
      <c r="K475" s="7">
        <v>70.0</v>
      </c>
      <c r="N475" s="8">
        <v>44849.0</v>
      </c>
    </row>
    <row r="476">
      <c r="A476" s="7">
        <v>475.0</v>
      </c>
      <c r="B476" s="7" t="s">
        <v>1015</v>
      </c>
      <c r="C476" s="7" t="s">
        <v>21</v>
      </c>
      <c r="K476" s="7">
        <v>10.0</v>
      </c>
      <c r="N476" s="8">
        <v>44026.0</v>
      </c>
    </row>
    <row r="477">
      <c r="A477" s="7">
        <v>476.0</v>
      </c>
      <c r="B477" s="7" t="s">
        <v>1016</v>
      </c>
      <c r="C477" s="7" t="s">
        <v>21</v>
      </c>
      <c r="K477" s="7">
        <v>100.0</v>
      </c>
      <c r="N477" s="8">
        <v>43928.0</v>
      </c>
    </row>
    <row r="478">
      <c r="A478" s="7">
        <v>477.0</v>
      </c>
      <c r="B478" s="7" t="s">
        <v>1018</v>
      </c>
      <c r="C478" s="7" t="s">
        <v>21</v>
      </c>
      <c r="K478" s="7">
        <v>5700.0</v>
      </c>
      <c r="N478" s="8">
        <v>44602.0</v>
      </c>
    </row>
    <row r="479">
      <c r="A479" s="7">
        <v>478.0</v>
      </c>
      <c r="B479" s="7" t="s">
        <v>1019</v>
      </c>
      <c r="C479" s="7" t="s">
        <v>21</v>
      </c>
      <c r="D479" s="7">
        <v>64.0</v>
      </c>
      <c r="H479" s="7" t="s">
        <v>192</v>
      </c>
      <c r="I479" s="9">
        <v>46161.10824074074</v>
      </c>
      <c r="J479" s="7" t="s">
        <v>1020</v>
      </c>
      <c r="K479" s="7">
        <v>400.0</v>
      </c>
      <c r="L479" s="7">
        <v>700.0</v>
      </c>
      <c r="M479" s="7">
        <v>349000.0</v>
      </c>
      <c r="N479" s="8">
        <v>44048.0</v>
      </c>
      <c r="O479" s="7" t="s">
        <v>33</v>
      </c>
      <c r="P479" s="7" t="s">
        <v>25</v>
      </c>
      <c r="S479" s="7" t="s">
        <v>28</v>
      </c>
    </row>
    <row r="480">
      <c r="A480" s="7">
        <v>479.0</v>
      </c>
      <c r="B480" s="7" t="s">
        <v>1022</v>
      </c>
      <c r="C480" s="7" t="s">
        <v>21</v>
      </c>
      <c r="K480" s="7">
        <v>250.0</v>
      </c>
      <c r="N480" s="8">
        <v>44725.0</v>
      </c>
    </row>
    <row r="481">
      <c r="A481" s="7">
        <v>480.0</v>
      </c>
      <c r="B481" s="7" t="s">
        <v>1023</v>
      </c>
      <c r="C481" s="7" t="s">
        <v>21</v>
      </c>
      <c r="K481" s="7">
        <v>450.0</v>
      </c>
      <c r="N481" s="8">
        <v>45028.0</v>
      </c>
    </row>
    <row r="482">
      <c r="A482" s="7">
        <v>481.0</v>
      </c>
      <c r="B482" s="7" t="s">
        <v>117</v>
      </c>
      <c r="C482" s="7" t="s">
        <v>21</v>
      </c>
      <c r="K482" s="7">
        <v>30.0</v>
      </c>
      <c r="N482" s="8">
        <v>44256.0</v>
      </c>
    </row>
    <row r="483">
      <c r="A483" s="7">
        <v>482.0</v>
      </c>
      <c r="B483" s="7" t="s">
        <v>1024</v>
      </c>
      <c r="C483" s="7" t="s">
        <v>21</v>
      </c>
      <c r="K483" s="7">
        <v>40.0</v>
      </c>
      <c r="N483" s="8">
        <v>44962.0</v>
      </c>
    </row>
    <row r="484">
      <c r="A484" s="7">
        <v>483.0</v>
      </c>
      <c r="B484" s="7" t="s">
        <v>1025</v>
      </c>
      <c r="C484" s="7" t="s">
        <v>21</v>
      </c>
      <c r="K484" s="7">
        <v>60.0</v>
      </c>
      <c r="N484" s="8">
        <v>45422.0</v>
      </c>
    </row>
    <row r="485">
      <c r="A485" s="7">
        <v>484.0</v>
      </c>
      <c r="B485" s="7" t="s">
        <v>1027</v>
      </c>
      <c r="C485" s="7" t="s">
        <v>21</v>
      </c>
      <c r="K485" s="7">
        <v>100.0</v>
      </c>
      <c r="N485" s="8">
        <v>44370.0</v>
      </c>
    </row>
    <row r="486">
      <c r="A486" s="7">
        <v>485.0</v>
      </c>
      <c r="B486" s="7" t="s">
        <v>1028</v>
      </c>
      <c r="C486" s="7" t="s">
        <v>21</v>
      </c>
      <c r="K486" s="7">
        <v>30.0</v>
      </c>
      <c r="N486" s="8">
        <v>44667.0</v>
      </c>
    </row>
    <row r="487">
      <c r="A487" s="7">
        <v>486.0</v>
      </c>
      <c r="B487" s="7" t="s">
        <v>1029</v>
      </c>
      <c r="C487" s="7" t="s">
        <v>21</v>
      </c>
      <c r="K487" s="7">
        <v>1100.0</v>
      </c>
      <c r="N487" s="8">
        <v>44080.0</v>
      </c>
    </row>
    <row r="488">
      <c r="A488" s="7">
        <v>487.0</v>
      </c>
      <c r="B488" s="7" t="s">
        <v>1031</v>
      </c>
      <c r="C488" s="7" t="s">
        <v>21</v>
      </c>
      <c r="K488" s="7">
        <v>90.0</v>
      </c>
      <c r="N488" s="8">
        <v>44080.0</v>
      </c>
    </row>
    <row r="489">
      <c r="A489" s="7">
        <v>488.0</v>
      </c>
      <c r="B489" s="7" t="s">
        <v>1032</v>
      </c>
      <c r="C489" s="7" t="s">
        <v>21</v>
      </c>
      <c r="N489" s="8">
        <v>45046.0</v>
      </c>
    </row>
    <row r="490">
      <c r="A490" s="7">
        <v>489.0</v>
      </c>
      <c r="B490" s="7" t="s">
        <v>1033</v>
      </c>
      <c r="C490" s="7" t="s">
        <v>21</v>
      </c>
      <c r="K490" s="7">
        <v>150.0</v>
      </c>
      <c r="N490" s="8">
        <v>44967.0</v>
      </c>
    </row>
    <row r="491">
      <c r="A491" s="7">
        <v>490.0</v>
      </c>
      <c r="B491" s="7" t="s">
        <v>1034</v>
      </c>
      <c r="C491" s="7" t="s">
        <v>21</v>
      </c>
      <c r="K491" s="7">
        <v>10.0</v>
      </c>
      <c r="N491" s="8">
        <v>44108.0</v>
      </c>
    </row>
    <row r="492">
      <c r="A492" s="7">
        <v>491.0</v>
      </c>
      <c r="B492" s="7" t="s">
        <v>1035</v>
      </c>
      <c r="C492" s="7" t="s">
        <v>21</v>
      </c>
      <c r="K492" s="7">
        <v>100.0</v>
      </c>
      <c r="N492" s="8">
        <v>45730.0</v>
      </c>
    </row>
    <row r="493">
      <c r="A493" s="7">
        <v>492.0</v>
      </c>
      <c r="B493" s="7" t="s">
        <v>1036</v>
      </c>
      <c r="C493" s="7" t="s">
        <v>21</v>
      </c>
      <c r="K493" s="7">
        <v>100.0</v>
      </c>
      <c r="N493" s="8">
        <v>44998.0</v>
      </c>
    </row>
    <row r="494">
      <c r="A494" s="7">
        <v>493.0</v>
      </c>
      <c r="B494" s="7" t="s">
        <v>1037</v>
      </c>
      <c r="C494" s="7" t="s">
        <v>21</v>
      </c>
      <c r="K494" s="7">
        <v>100.0</v>
      </c>
      <c r="N494" s="8">
        <v>45064.0</v>
      </c>
    </row>
    <row r="495">
      <c r="A495" s="7">
        <v>494.0</v>
      </c>
      <c r="B495" s="7" t="s">
        <v>1038</v>
      </c>
      <c r="C495" s="7" t="s">
        <v>21</v>
      </c>
      <c r="K495" s="7">
        <v>1800.0</v>
      </c>
      <c r="N495" s="8">
        <v>44650.0</v>
      </c>
    </row>
    <row r="496">
      <c r="A496" s="7">
        <v>495.0</v>
      </c>
      <c r="B496" s="7" t="s">
        <v>1040</v>
      </c>
      <c r="C496" s="7" t="s">
        <v>21</v>
      </c>
      <c r="K496" s="7">
        <v>1700.0</v>
      </c>
      <c r="N496" s="8">
        <v>44530.0</v>
      </c>
    </row>
    <row r="497">
      <c r="A497" s="7">
        <v>496.0</v>
      </c>
      <c r="B497" s="7" t="s">
        <v>1041</v>
      </c>
      <c r="C497" s="7" t="s">
        <v>21</v>
      </c>
      <c r="K497" s="7">
        <v>300.0</v>
      </c>
      <c r="N497" s="8">
        <v>44092.0</v>
      </c>
    </row>
    <row r="498">
      <c r="A498" s="7">
        <v>497.0</v>
      </c>
      <c r="B498" s="7" t="s">
        <v>1042</v>
      </c>
      <c r="C498" s="7" t="s">
        <v>21</v>
      </c>
      <c r="N498" s="8">
        <v>43904.0</v>
      </c>
      <c r="O498" s="7" t="s">
        <v>41</v>
      </c>
      <c r="P498" s="7" t="s">
        <v>25</v>
      </c>
      <c r="S498" s="7" t="s">
        <v>28</v>
      </c>
    </row>
    <row r="499">
      <c r="A499" s="7">
        <v>498.0</v>
      </c>
      <c r="B499" s="7" t="s">
        <v>1043</v>
      </c>
      <c r="C499" s="7" t="s">
        <v>21</v>
      </c>
      <c r="K499" s="7">
        <v>50.0</v>
      </c>
      <c r="N499" s="8">
        <v>44507.0</v>
      </c>
    </row>
    <row r="500">
      <c r="A500" s="7">
        <v>499.0</v>
      </c>
      <c r="B500" s="7" t="s">
        <v>1045</v>
      </c>
      <c r="C500" s="7" t="s">
        <v>21</v>
      </c>
      <c r="K500" s="7">
        <v>60.0</v>
      </c>
      <c r="N500" s="8">
        <v>44917.0</v>
      </c>
    </row>
    <row r="501">
      <c r="A501" s="7">
        <v>500.0</v>
      </c>
      <c r="B501" s="7" t="s">
        <v>1046</v>
      </c>
      <c r="C501" s="7" t="s">
        <v>21</v>
      </c>
      <c r="K501" s="7">
        <v>40.0</v>
      </c>
      <c r="N501" s="8">
        <v>44608.0</v>
      </c>
    </row>
    <row r="502">
      <c r="A502" s="7">
        <v>501.0</v>
      </c>
      <c r="B502" s="7" t="s">
        <v>1047</v>
      </c>
      <c r="C502" s="7" t="s">
        <v>21</v>
      </c>
      <c r="K502" s="7">
        <v>150.0</v>
      </c>
      <c r="N502" s="8">
        <v>45855.0</v>
      </c>
    </row>
    <row r="503">
      <c r="A503" s="7">
        <v>502.0</v>
      </c>
      <c r="B503" s="7" t="s">
        <v>122</v>
      </c>
      <c r="C503" s="7" t="s">
        <v>21</v>
      </c>
      <c r="K503" s="7">
        <v>400.0</v>
      </c>
      <c r="N503" s="8">
        <v>44182.0</v>
      </c>
    </row>
    <row r="504">
      <c r="A504" s="7">
        <v>503.0</v>
      </c>
      <c r="B504" s="7" t="s">
        <v>1049</v>
      </c>
      <c r="C504" s="7" t="s">
        <v>21</v>
      </c>
      <c r="K504" s="7">
        <v>30.0</v>
      </c>
      <c r="N504" s="8">
        <v>45767.0</v>
      </c>
    </row>
    <row r="505">
      <c r="A505" s="7">
        <v>504.0</v>
      </c>
      <c r="B505" s="7" t="s">
        <v>1050</v>
      </c>
      <c r="C505" s="7" t="s">
        <v>21</v>
      </c>
      <c r="K505" s="7">
        <v>20.0</v>
      </c>
      <c r="N505" s="8">
        <v>44257.0</v>
      </c>
    </row>
    <row r="506">
      <c r="A506" s="7">
        <v>505.0</v>
      </c>
      <c r="B506" s="7" t="s">
        <v>1052</v>
      </c>
      <c r="C506" s="7" t="s">
        <v>21</v>
      </c>
      <c r="K506" s="7">
        <v>100.0</v>
      </c>
      <c r="N506" s="8">
        <v>44749.0</v>
      </c>
    </row>
    <row r="507">
      <c r="A507" s="7">
        <v>506.0</v>
      </c>
      <c r="B507" s="7" t="s">
        <v>1053</v>
      </c>
      <c r="C507" s="7" t="s">
        <v>21</v>
      </c>
      <c r="K507" s="7">
        <v>10.0</v>
      </c>
      <c r="N507" s="8">
        <v>45405.0</v>
      </c>
    </row>
    <row r="508">
      <c r="A508" s="7">
        <v>507.0</v>
      </c>
      <c r="B508" s="7" t="s">
        <v>1054</v>
      </c>
      <c r="C508" s="7" t="s">
        <v>21</v>
      </c>
      <c r="N508" s="8">
        <v>45118.0</v>
      </c>
    </row>
    <row r="509">
      <c r="A509" s="7">
        <v>508.0</v>
      </c>
      <c r="B509" s="7" t="s">
        <v>1056</v>
      </c>
      <c r="C509" s="7" t="s">
        <v>21</v>
      </c>
      <c r="K509" s="7">
        <v>100.0</v>
      </c>
      <c r="N509" s="8">
        <v>45308.0</v>
      </c>
    </row>
    <row r="510">
      <c r="A510" s="7">
        <v>509.0</v>
      </c>
      <c r="B510" s="7" t="s">
        <v>1057</v>
      </c>
      <c r="C510" s="7" t="s">
        <v>21</v>
      </c>
      <c r="K510" s="7">
        <v>300.0</v>
      </c>
      <c r="N510" s="8">
        <v>45762.0</v>
      </c>
    </row>
    <row r="511">
      <c r="A511" s="7">
        <v>510.0</v>
      </c>
      <c r="B511" s="7" t="s">
        <v>1058</v>
      </c>
      <c r="C511" s="7" t="s">
        <v>21</v>
      </c>
      <c r="N511" s="8">
        <v>44140.0</v>
      </c>
    </row>
    <row r="512">
      <c r="A512" s="7">
        <v>511.0</v>
      </c>
      <c r="B512" s="7" t="s">
        <v>1060</v>
      </c>
      <c r="C512" s="7" t="s">
        <v>21</v>
      </c>
      <c r="K512" s="7">
        <v>90.0</v>
      </c>
      <c r="N512" s="8">
        <v>44570.0</v>
      </c>
    </row>
    <row r="513">
      <c r="A513" s="7">
        <v>512.0</v>
      </c>
      <c r="B513" s="7" t="s">
        <v>1061</v>
      </c>
      <c r="C513" s="7" t="s">
        <v>21</v>
      </c>
      <c r="K513" s="7">
        <v>20.0</v>
      </c>
      <c r="N513" s="8">
        <v>44801.0</v>
      </c>
    </row>
    <row r="514">
      <c r="A514" s="7">
        <v>513.0</v>
      </c>
      <c r="B514" s="7" t="s">
        <v>1062</v>
      </c>
      <c r="C514" s="7" t="s">
        <v>21</v>
      </c>
      <c r="K514" s="7">
        <v>700.0</v>
      </c>
      <c r="N514" s="8">
        <v>42486.0</v>
      </c>
    </row>
    <row r="515">
      <c r="A515" s="7">
        <v>514.0</v>
      </c>
      <c r="B515" s="7" t="s">
        <v>1063</v>
      </c>
      <c r="C515" s="7" t="s">
        <v>21</v>
      </c>
      <c r="K515" s="7">
        <v>90.0</v>
      </c>
      <c r="N515" s="8">
        <v>44871.0</v>
      </c>
    </row>
    <row r="516">
      <c r="A516" s="7">
        <v>515.0</v>
      </c>
      <c r="B516" s="7" t="s">
        <v>1065</v>
      </c>
      <c r="C516" s="7" t="s">
        <v>21</v>
      </c>
      <c r="K516" s="7">
        <v>20.0</v>
      </c>
      <c r="N516" s="8">
        <v>44050.0</v>
      </c>
      <c r="O516" s="7" t="s">
        <v>33</v>
      </c>
      <c r="P516" s="7" t="s">
        <v>25</v>
      </c>
      <c r="S516" s="7" t="s">
        <v>28</v>
      </c>
    </row>
    <row r="517">
      <c r="A517" s="7">
        <v>516.0</v>
      </c>
      <c r="B517" s="7" t="s">
        <v>73</v>
      </c>
      <c r="C517" s="7" t="s">
        <v>21</v>
      </c>
      <c r="K517" s="7">
        <v>3900.0</v>
      </c>
      <c r="N517" s="8">
        <v>42486.0</v>
      </c>
    </row>
    <row r="518">
      <c r="A518" s="7">
        <v>517.0</v>
      </c>
      <c r="B518" s="7" t="s">
        <v>126</v>
      </c>
      <c r="C518" s="7" t="s">
        <v>21</v>
      </c>
      <c r="K518" s="7">
        <v>50.0</v>
      </c>
      <c r="N518" s="8">
        <v>44061.0</v>
      </c>
    </row>
    <row r="519">
      <c r="A519" s="7">
        <v>518.0</v>
      </c>
      <c r="B519" s="7" t="s">
        <v>129</v>
      </c>
      <c r="C519" s="7" t="s">
        <v>21</v>
      </c>
      <c r="N519" s="8">
        <v>44545.0</v>
      </c>
    </row>
    <row r="520">
      <c r="A520" s="7">
        <v>519.0</v>
      </c>
      <c r="B520" s="7" t="s">
        <v>133</v>
      </c>
      <c r="C520" s="7" t="s">
        <v>21</v>
      </c>
      <c r="K520" s="7">
        <v>1000.0</v>
      </c>
      <c r="N520" s="8">
        <v>45030.0</v>
      </c>
    </row>
    <row r="521">
      <c r="A521" s="7">
        <v>520.0</v>
      </c>
      <c r="B521" s="7" t="s">
        <v>1068</v>
      </c>
      <c r="C521" s="7" t="s">
        <v>21</v>
      </c>
      <c r="K521" s="7">
        <v>100.0</v>
      </c>
      <c r="N521" s="8">
        <v>43893.0</v>
      </c>
    </row>
    <row r="522">
      <c r="A522" s="7">
        <v>521.0</v>
      </c>
      <c r="B522" s="7" t="s">
        <v>1069</v>
      </c>
      <c r="C522" s="7" t="s">
        <v>21</v>
      </c>
      <c r="K522" s="7">
        <v>70.0</v>
      </c>
      <c r="N522" s="8">
        <v>45080.0</v>
      </c>
    </row>
    <row r="523">
      <c r="A523" s="7">
        <v>522.0</v>
      </c>
      <c r="B523" s="7" t="s">
        <v>1070</v>
      </c>
      <c r="C523" s="7" t="s">
        <v>21</v>
      </c>
      <c r="N523" s="8">
        <v>44367.0</v>
      </c>
    </row>
    <row r="524">
      <c r="A524" s="7">
        <v>523.0</v>
      </c>
      <c r="B524" s="7" t="s">
        <v>136</v>
      </c>
      <c r="C524" s="7" t="s">
        <v>21</v>
      </c>
      <c r="K524" s="7">
        <v>10.0</v>
      </c>
      <c r="N524" s="8">
        <v>44671.0</v>
      </c>
    </row>
    <row r="525">
      <c r="A525" s="7">
        <v>524.0</v>
      </c>
      <c r="B525" s="7" t="s">
        <v>1072</v>
      </c>
      <c r="C525" s="7" t="s">
        <v>21</v>
      </c>
      <c r="K525" s="7">
        <v>20.0</v>
      </c>
      <c r="N525" s="8">
        <v>44770.0</v>
      </c>
    </row>
    <row r="526">
      <c r="A526" s="7">
        <v>525.0</v>
      </c>
      <c r="B526" s="7" t="s">
        <v>1073</v>
      </c>
      <c r="C526" s="7" t="s">
        <v>21</v>
      </c>
      <c r="K526" s="7">
        <v>30.0</v>
      </c>
      <c r="N526" s="8">
        <v>44721.0</v>
      </c>
    </row>
    <row r="527">
      <c r="A527" s="7">
        <v>526.0</v>
      </c>
      <c r="B527" s="7" t="s">
        <v>1074</v>
      </c>
      <c r="C527" s="7" t="s">
        <v>21</v>
      </c>
      <c r="K527" s="7">
        <v>30.0</v>
      </c>
      <c r="N527" s="8">
        <v>44374.0</v>
      </c>
    </row>
    <row r="528">
      <c r="A528" s="7">
        <v>527.0</v>
      </c>
      <c r="B528" s="7" t="s">
        <v>1076</v>
      </c>
      <c r="C528" s="7" t="s">
        <v>21</v>
      </c>
      <c r="K528" s="7">
        <v>90.0</v>
      </c>
      <c r="N528" s="8">
        <v>45056.0</v>
      </c>
    </row>
    <row r="529">
      <c r="A529" s="7">
        <v>528.0</v>
      </c>
      <c r="B529" s="7" t="s">
        <v>1077</v>
      </c>
      <c r="C529" s="7" t="s">
        <v>21</v>
      </c>
      <c r="K529" s="7">
        <v>150.0</v>
      </c>
      <c r="N529" s="8">
        <v>43874.0</v>
      </c>
    </row>
    <row r="530">
      <c r="A530" s="7">
        <v>529.0</v>
      </c>
      <c r="B530" s="7" t="s">
        <v>1078</v>
      </c>
      <c r="C530" s="7" t="s">
        <v>21</v>
      </c>
      <c r="K530" s="7">
        <v>20.0</v>
      </c>
      <c r="N530" s="8">
        <v>44296.0</v>
      </c>
    </row>
    <row r="531">
      <c r="A531" s="7">
        <v>530.0</v>
      </c>
      <c r="B531" s="7" t="s">
        <v>1079</v>
      </c>
      <c r="C531" s="7" t="s">
        <v>21</v>
      </c>
      <c r="N531" s="8">
        <v>45142.0</v>
      </c>
    </row>
    <row r="532">
      <c r="A532" s="7">
        <v>531.0</v>
      </c>
      <c r="B532" s="7" t="s">
        <v>1080</v>
      </c>
      <c r="C532" s="7" t="s">
        <v>21</v>
      </c>
      <c r="K532" s="7">
        <v>10.0</v>
      </c>
      <c r="N532" s="8">
        <v>45162.0</v>
      </c>
    </row>
    <row r="533">
      <c r="A533" s="7">
        <v>532.0</v>
      </c>
      <c r="B533" s="7" t="s">
        <v>1082</v>
      </c>
      <c r="C533" s="7" t="s">
        <v>21</v>
      </c>
      <c r="K533" s="7">
        <v>150.0</v>
      </c>
      <c r="N533" s="8">
        <v>44459.0</v>
      </c>
    </row>
    <row r="534">
      <c r="A534" s="7">
        <v>533.0</v>
      </c>
      <c r="B534" s="7" t="s">
        <v>1083</v>
      </c>
      <c r="C534" s="7" t="s">
        <v>21</v>
      </c>
      <c r="K534" s="7">
        <v>3000.0</v>
      </c>
      <c r="N534" s="8">
        <v>44378.0</v>
      </c>
    </row>
    <row r="535">
      <c r="A535" s="7">
        <v>534.0</v>
      </c>
      <c r="B535" s="7" t="s">
        <v>1084</v>
      </c>
      <c r="C535" s="7" t="s">
        <v>21</v>
      </c>
      <c r="K535" s="7">
        <v>600.0</v>
      </c>
      <c r="N535" s="8">
        <v>45103.0</v>
      </c>
    </row>
    <row r="536">
      <c r="A536" s="7">
        <v>535.0</v>
      </c>
      <c r="B536" s="7" t="s">
        <v>1086</v>
      </c>
      <c r="C536" s="7" t="s">
        <v>21</v>
      </c>
      <c r="K536" s="7">
        <v>40.0</v>
      </c>
      <c r="N536" s="8">
        <v>44033.0</v>
      </c>
    </row>
    <row r="537">
      <c r="A537" s="7">
        <v>536.0</v>
      </c>
      <c r="B537" s="7" t="s">
        <v>141</v>
      </c>
      <c r="C537" s="7" t="s">
        <v>21</v>
      </c>
      <c r="K537" s="7">
        <v>400.0</v>
      </c>
      <c r="N537" s="8">
        <v>44310.0</v>
      </c>
    </row>
    <row r="538">
      <c r="A538" s="7">
        <v>537.0</v>
      </c>
      <c r="B538" s="7" t="s">
        <v>1087</v>
      </c>
      <c r="C538" s="7" t="s">
        <v>21</v>
      </c>
      <c r="K538" s="7">
        <v>5900.0</v>
      </c>
      <c r="N538" s="8">
        <v>44152.0</v>
      </c>
    </row>
    <row r="539">
      <c r="A539" s="7">
        <v>538.0</v>
      </c>
      <c r="B539" s="7" t="s">
        <v>1089</v>
      </c>
      <c r="C539" s="7" t="s">
        <v>21</v>
      </c>
      <c r="K539" s="7">
        <v>90.0</v>
      </c>
      <c r="N539" s="8">
        <v>44154.0</v>
      </c>
    </row>
    <row r="540">
      <c r="A540" s="7">
        <v>539.0</v>
      </c>
      <c r="B540" s="7" t="s">
        <v>1090</v>
      </c>
      <c r="C540" s="7" t="s">
        <v>21</v>
      </c>
      <c r="K540" s="7">
        <v>200.0</v>
      </c>
      <c r="N540" s="8">
        <v>44666.0</v>
      </c>
    </row>
    <row r="541">
      <c r="A541" s="7">
        <v>540.0</v>
      </c>
      <c r="B541" s="7" t="s">
        <v>1091</v>
      </c>
      <c r="C541" s="7" t="s">
        <v>21</v>
      </c>
      <c r="K541" s="7">
        <v>1900.0</v>
      </c>
      <c r="N541" s="8">
        <v>43942.0</v>
      </c>
    </row>
    <row r="542">
      <c r="A542" s="7">
        <v>541.0</v>
      </c>
      <c r="B542" s="7" t="s">
        <v>1092</v>
      </c>
      <c r="C542" s="7" t="s">
        <v>21</v>
      </c>
      <c r="K542" s="7">
        <v>350.0</v>
      </c>
      <c r="N542" s="8">
        <v>44093.0</v>
      </c>
    </row>
    <row r="543">
      <c r="A543" s="7">
        <v>542.0</v>
      </c>
      <c r="B543" s="7" t="s">
        <v>1093</v>
      </c>
      <c r="C543" s="7" t="s">
        <v>21</v>
      </c>
      <c r="N543" s="8">
        <v>43848.0</v>
      </c>
    </row>
    <row r="544">
      <c r="A544" s="7">
        <v>543.0</v>
      </c>
      <c r="B544" s="7" t="s">
        <v>145</v>
      </c>
      <c r="C544" s="7" t="s">
        <v>21</v>
      </c>
      <c r="K544" s="7">
        <v>100.0</v>
      </c>
      <c r="N544" s="8">
        <v>45195.0</v>
      </c>
    </row>
    <row r="545">
      <c r="A545" s="7">
        <v>544.0</v>
      </c>
      <c r="B545" s="7" t="s">
        <v>1094</v>
      </c>
      <c r="C545" s="7" t="s">
        <v>21</v>
      </c>
      <c r="K545" s="7">
        <v>300.0</v>
      </c>
      <c r="N545" s="8">
        <v>44600.0</v>
      </c>
    </row>
    <row r="546">
      <c r="A546" s="7">
        <v>545.0</v>
      </c>
      <c r="B546" s="7" t="s">
        <v>1095</v>
      </c>
      <c r="C546" s="7" t="s">
        <v>21</v>
      </c>
      <c r="K546" s="7">
        <v>10.0</v>
      </c>
      <c r="N546" s="8">
        <v>45432.0</v>
      </c>
    </row>
    <row r="547">
      <c r="A547" s="7">
        <v>546.0</v>
      </c>
      <c r="B547" s="7" t="s">
        <v>1096</v>
      </c>
      <c r="C547" s="7" t="s">
        <v>21</v>
      </c>
      <c r="K547" s="7">
        <v>1400.0</v>
      </c>
      <c r="N547" s="8">
        <v>44817.0</v>
      </c>
    </row>
    <row r="548">
      <c r="A548" s="7">
        <v>547.0</v>
      </c>
      <c r="B548" s="7" t="s">
        <v>1097</v>
      </c>
      <c r="C548" s="7" t="s">
        <v>21</v>
      </c>
      <c r="K548" s="7">
        <v>80.0</v>
      </c>
      <c r="N548" s="8">
        <v>45237.0</v>
      </c>
    </row>
    <row r="549">
      <c r="A549" s="7">
        <v>548.0</v>
      </c>
      <c r="B549" s="7" t="s">
        <v>149</v>
      </c>
      <c r="C549" s="7" t="s">
        <v>21</v>
      </c>
      <c r="K549" s="7">
        <v>30.0</v>
      </c>
      <c r="N549" s="8">
        <v>42376.0</v>
      </c>
    </row>
    <row r="550">
      <c r="A550" s="7">
        <v>549.0</v>
      </c>
      <c r="B550" s="7" t="s">
        <v>152</v>
      </c>
      <c r="C550" s="7" t="s">
        <v>21</v>
      </c>
      <c r="K550" s="7">
        <v>60.0</v>
      </c>
      <c r="N550" s="8">
        <v>44127.0</v>
      </c>
    </row>
    <row r="551">
      <c r="A551" s="7">
        <v>550.0</v>
      </c>
      <c r="B551" s="7" t="s">
        <v>1099</v>
      </c>
      <c r="C551" s="7" t="s">
        <v>21</v>
      </c>
      <c r="K551" s="7">
        <v>800.0</v>
      </c>
      <c r="N551" s="8">
        <v>44553.0</v>
      </c>
    </row>
    <row r="552">
      <c r="A552" s="7">
        <v>551.0</v>
      </c>
      <c r="B552" s="7" t="s">
        <v>155</v>
      </c>
      <c r="C552" s="7" t="s">
        <v>21</v>
      </c>
      <c r="K552" s="7">
        <v>2800.0</v>
      </c>
      <c r="N552" s="8">
        <v>44453.0</v>
      </c>
    </row>
    <row r="553">
      <c r="A553" s="7">
        <v>552.0</v>
      </c>
      <c r="B553" s="7" t="s">
        <v>1102</v>
      </c>
      <c r="C553" s="7" t="s">
        <v>21</v>
      </c>
      <c r="K553" s="7">
        <v>40.0</v>
      </c>
      <c r="N553" s="8">
        <v>44256.0</v>
      </c>
    </row>
    <row r="554">
      <c r="A554" s="7">
        <v>553.0</v>
      </c>
      <c r="B554" s="7" t="s">
        <v>1103</v>
      </c>
      <c r="C554" s="7" t="s">
        <v>21</v>
      </c>
      <c r="K554" s="7">
        <v>1500.0</v>
      </c>
      <c r="N554" s="8">
        <v>44553.0</v>
      </c>
    </row>
    <row r="555">
      <c r="A555" s="7">
        <v>554.0</v>
      </c>
      <c r="B555" s="7" t="s">
        <v>159</v>
      </c>
      <c r="C555" s="7" t="s">
        <v>21</v>
      </c>
      <c r="K555" s="7">
        <v>200.0</v>
      </c>
      <c r="N555" s="8">
        <v>44211.0</v>
      </c>
    </row>
    <row r="556">
      <c r="A556" s="7">
        <v>555.0</v>
      </c>
      <c r="B556" s="7" t="s">
        <v>1105</v>
      </c>
      <c r="C556" s="7" t="s">
        <v>21</v>
      </c>
      <c r="K556" s="7">
        <v>100.0</v>
      </c>
      <c r="N556" s="8">
        <v>42747.0</v>
      </c>
    </row>
    <row r="557">
      <c r="A557" s="7">
        <v>556.0</v>
      </c>
      <c r="B557" s="7" t="s">
        <v>1106</v>
      </c>
      <c r="C557" s="7" t="s">
        <v>21</v>
      </c>
      <c r="N557" s="8">
        <v>44804.0</v>
      </c>
    </row>
    <row r="558">
      <c r="A558" s="7">
        <v>557.0</v>
      </c>
      <c r="B558" s="7" t="s">
        <v>1107</v>
      </c>
      <c r="C558" s="7" t="s">
        <v>21</v>
      </c>
      <c r="K558" s="7">
        <v>40.0</v>
      </c>
      <c r="N558" s="8">
        <v>44677.0</v>
      </c>
    </row>
    <row r="559">
      <c r="A559" s="7">
        <v>558.0</v>
      </c>
      <c r="B559" s="7" t="s">
        <v>1108</v>
      </c>
      <c r="C559" s="7" t="s">
        <v>21</v>
      </c>
      <c r="N559" s="8">
        <v>43960.0</v>
      </c>
    </row>
    <row r="560">
      <c r="A560" s="7">
        <v>559.0</v>
      </c>
      <c r="B560" s="7" t="s">
        <v>1109</v>
      </c>
      <c r="C560" s="7" t="s">
        <v>21</v>
      </c>
      <c r="K560" s="7">
        <v>16000.0</v>
      </c>
      <c r="N560" s="8">
        <v>44871.0</v>
      </c>
    </row>
    <row r="561">
      <c r="A561" s="7">
        <v>560.0</v>
      </c>
      <c r="B561" s="7" t="s">
        <v>1111</v>
      </c>
      <c r="C561" s="7" t="s">
        <v>21</v>
      </c>
      <c r="K561" s="7">
        <v>350.0</v>
      </c>
      <c r="N561" s="8">
        <v>45587.0</v>
      </c>
    </row>
    <row r="562">
      <c r="A562" s="7">
        <v>561.0</v>
      </c>
      <c r="B562" s="7" t="s">
        <v>1112</v>
      </c>
      <c r="C562" s="7" t="s">
        <v>21</v>
      </c>
      <c r="K562" s="7">
        <v>350.0</v>
      </c>
      <c r="N562" s="8">
        <v>44321.0</v>
      </c>
    </row>
    <row r="563">
      <c r="A563" s="7">
        <v>562.0</v>
      </c>
      <c r="B563" s="7" t="s">
        <v>1113</v>
      </c>
      <c r="C563" s="7" t="s">
        <v>21</v>
      </c>
      <c r="K563" s="7">
        <v>80.0</v>
      </c>
      <c r="N563" s="8">
        <v>44222.0</v>
      </c>
    </row>
    <row r="564">
      <c r="A564" s="7">
        <v>563.0</v>
      </c>
      <c r="B564" s="7" t="s">
        <v>1114</v>
      </c>
      <c r="C564" s="7" t="s">
        <v>21</v>
      </c>
      <c r="N564" s="8">
        <v>44453.0</v>
      </c>
    </row>
    <row r="565">
      <c r="A565" s="7">
        <v>564.0</v>
      </c>
      <c r="B565" s="7" t="s">
        <v>1116</v>
      </c>
      <c r="C565" s="7" t="s">
        <v>21</v>
      </c>
      <c r="K565" s="7">
        <v>60.0</v>
      </c>
      <c r="N565" s="8">
        <v>44613.0</v>
      </c>
    </row>
    <row r="566">
      <c r="A566" s="7">
        <v>565.0</v>
      </c>
      <c r="B566" s="7" t="s">
        <v>162</v>
      </c>
      <c r="C566" s="7" t="s">
        <v>21</v>
      </c>
      <c r="K566" s="7">
        <v>90.0</v>
      </c>
      <c r="N566" s="8">
        <v>44580.0</v>
      </c>
    </row>
    <row r="567">
      <c r="A567" s="7">
        <v>566.0</v>
      </c>
      <c r="B567" s="7" t="s">
        <v>1117</v>
      </c>
      <c r="C567" s="7" t="s">
        <v>21</v>
      </c>
      <c r="K567" s="7">
        <v>350.0</v>
      </c>
      <c r="N567" s="8">
        <v>44584.0</v>
      </c>
    </row>
    <row r="568">
      <c r="A568" s="7">
        <v>567.0</v>
      </c>
      <c r="B568" s="7" t="s">
        <v>1119</v>
      </c>
      <c r="C568" s="7" t="s">
        <v>21</v>
      </c>
      <c r="K568" s="7">
        <v>300.0</v>
      </c>
      <c r="N568" s="8">
        <v>44597.0</v>
      </c>
    </row>
    <row r="569">
      <c r="A569" s="7">
        <v>568.0</v>
      </c>
      <c r="B569" s="7" t="s">
        <v>1120</v>
      </c>
      <c r="C569" s="7" t="s">
        <v>21</v>
      </c>
      <c r="K569" s="7">
        <v>150.0</v>
      </c>
      <c r="N569" s="8">
        <v>44458.0</v>
      </c>
    </row>
    <row r="570">
      <c r="A570" s="7">
        <v>569.0</v>
      </c>
      <c r="B570" s="7" t="s">
        <v>1121</v>
      </c>
      <c r="C570" s="7" t="s">
        <v>21</v>
      </c>
      <c r="K570" s="7">
        <v>2700.0</v>
      </c>
      <c r="N570" s="8">
        <v>43208.0</v>
      </c>
    </row>
    <row r="571">
      <c r="A571" s="7">
        <v>570.0</v>
      </c>
      <c r="B571" s="7" t="s">
        <v>1122</v>
      </c>
      <c r="C571" s="7" t="s">
        <v>21</v>
      </c>
      <c r="N571" s="8">
        <v>44014.0</v>
      </c>
    </row>
    <row r="572">
      <c r="A572" s="7">
        <v>571.0</v>
      </c>
      <c r="B572" s="7" t="s">
        <v>164</v>
      </c>
      <c r="C572" s="7" t="s">
        <v>21</v>
      </c>
      <c r="K572" s="7">
        <v>1800.0</v>
      </c>
      <c r="N572" s="8">
        <v>45760.0</v>
      </c>
    </row>
    <row r="573">
      <c r="A573" s="7">
        <v>572.0</v>
      </c>
      <c r="B573" s="7" t="s">
        <v>1123</v>
      </c>
      <c r="C573" s="7" t="s">
        <v>21</v>
      </c>
      <c r="K573" s="7">
        <v>2000.0</v>
      </c>
      <c r="N573" s="8">
        <v>44037.0</v>
      </c>
    </row>
    <row r="574">
      <c r="A574" s="7">
        <v>573.0</v>
      </c>
      <c r="B574" s="7" t="s">
        <v>1124</v>
      </c>
      <c r="C574" s="7" t="s">
        <v>21</v>
      </c>
      <c r="K574" s="7">
        <v>40.0</v>
      </c>
      <c r="N574" s="8">
        <v>44019.0</v>
      </c>
    </row>
    <row r="575">
      <c r="A575" s="7">
        <v>574.0</v>
      </c>
      <c r="B575" s="7" t="s">
        <v>1125</v>
      </c>
      <c r="C575" s="7" t="s">
        <v>21</v>
      </c>
      <c r="N575" s="8">
        <v>45443.0</v>
      </c>
    </row>
    <row r="576">
      <c r="A576" s="7">
        <v>575.0</v>
      </c>
      <c r="B576" s="7" t="s">
        <v>169</v>
      </c>
      <c r="C576" s="7" t="s">
        <v>21</v>
      </c>
      <c r="K576" s="7">
        <v>100.0</v>
      </c>
      <c r="N576" s="8">
        <v>44562.0</v>
      </c>
    </row>
    <row r="577">
      <c r="A577" s="7">
        <v>576.0</v>
      </c>
      <c r="B577" s="7" t="s">
        <v>1126</v>
      </c>
      <c r="C577" s="7" t="s">
        <v>21</v>
      </c>
      <c r="K577" s="7">
        <v>300.0</v>
      </c>
      <c r="N577" s="8">
        <v>44700.0</v>
      </c>
    </row>
    <row r="578">
      <c r="A578" s="7">
        <v>577.0</v>
      </c>
      <c r="B578" s="7" t="s">
        <v>1127</v>
      </c>
      <c r="C578" s="7" t="s">
        <v>21</v>
      </c>
      <c r="K578" s="7">
        <v>1400.0</v>
      </c>
      <c r="N578" s="8">
        <v>44544.0</v>
      </c>
    </row>
    <row r="579">
      <c r="A579" s="7">
        <v>578.0</v>
      </c>
      <c r="B579" s="7" t="s">
        <v>1128</v>
      </c>
      <c r="C579" s="7" t="s">
        <v>21</v>
      </c>
      <c r="K579" s="7">
        <v>3200.0</v>
      </c>
      <c r="N579" s="8">
        <v>45361.0</v>
      </c>
    </row>
    <row r="580">
      <c r="A580" s="7">
        <v>579.0</v>
      </c>
      <c r="B580" s="7" t="s">
        <v>82</v>
      </c>
      <c r="C580" s="7" t="s">
        <v>21</v>
      </c>
      <c r="K580" s="7">
        <v>300.0</v>
      </c>
      <c r="N580" s="8">
        <v>43980.0</v>
      </c>
    </row>
    <row r="581">
      <c r="A581" s="7">
        <v>580.0</v>
      </c>
      <c r="B581" s="7" t="s">
        <v>1130</v>
      </c>
      <c r="C581" s="7" t="s">
        <v>21</v>
      </c>
      <c r="K581" s="7">
        <v>100.0</v>
      </c>
      <c r="N581" s="8">
        <v>44203.0</v>
      </c>
    </row>
    <row r="582">
      <c r="A582" s="7">
        <v>581.0</v>
      </c>
      <c r="B582" s="7" t="s">
        <v>1131</v>
      </c>
      <c r="C582" s="7" t="s">
        <v>21</v>
      </c>
      <c r="K582" s="7">
        <v>100.0</v>
      </c>
      <c r="N582" s="8">
        <v>43964.0</v>
      </c>
    </row>
    <row r="583">
      <c r="A583" s="7">
        <v>582.0</v>
      </c>
      <c r="B583" s="7" t="s">
        <v>1133</v>
      </c>
      <c r="C583" s="7" t="s">
        <v>21</v>
      </c>
      <c r="K583" s="7">
        <v>300.0</v>
      </c>
      <c r="N583" s="8">
        <v>44704.0</v>
      </c>
    </row>
    <row r="584">
      <c r="A584" s="7">
        <v>583.0</v>
      </c>
      <c r="B584" s="7" t="s">
        <v>176</v>
      </c>
      <c r="C584" s="7" t="s">
        <v>21</v>
      </c>
      <c r="K584" s="7">
        <v>80.0</v>
      </c>
      <c r="N584" s="8">
        <v>43900.0</v>
      </c>
    </row>
    <row r="585">
      <c r="A585" s="7">
        <v>584.0</v>
      </c>
      <c r="B585" s="7" t="s">
        <v>1134</v>
      </c>
      <c r="C585" s="7" t="s">
        <v>21</v>
      </c>
      <c r="K585" s="7">
        <v>10.0</v>
      </c>
      <c r="N585" s="8">
        <v>45041.0</v>
      </c>
    </row>
    <row r="586">
      <c r="A586" s="7">
        <v>585.0</v>
      </c>
      <c r="B586" s="7" t="s">
        <v>180</v>
      </c>
      <c r="C586" s="7" t="s">
        <v>21</v>
      </c>
      <c r="K586" s="7">
        <v>100.0</v>
      </c>
      <c r="N586" s="8">
        <v>44394.0</v>
      </c>
    </row>
    <row r="587">
      <c r="A587" s="7">
        <v>586.0</v>
      </c>
      <c r="B587" s="7" t="s">
        <v>1136</v>
      </c>
      <c r="C587" s="7" t="s">
        <v>21</v>
      </c>
      <c r="K587" s="7">
        <v>250.0</v>
      </c>
      <c r="N587" s="8">
        <v>46010.0</v>
      </c>
    </row>
    <row r="588">
      <c r="A588" s="7">
        <v>587.0</v>
      </c>
      <c r="B588" s="7" t="s">
        <v>1137</v>
      </c>
      <c r="C588" s="7" t="s">
        <v>21</v>
      </c>
      <c r="K588" s="7">
        <v>50.0</v>
      </c>
      <c r="N588" s="8">
        <v>44239.0</v>
      </c>
    </row>
    <row r="589">
      <c r="A589" s="7">
        <v>588.0</v>
      </c>
      <c r="B589" s="7" t="s">
        <v>1139</v>
      </c>
      <c r="C589" s="7" t="s">
        <v>21</v>
      </c>
      <c r="N589" s="8">
        <v>45078.0</v>
      </c>
    </row>
    <row r="590">
      <c r="A590" s="7">
        <v>589.0</v>
      </c>
      <c r="B590" s="7" t="s">
        <v>1140</v>
      </c>
      <c r="C590" s="7" t="s">
        <v>21</v>
      </c>
      <c r="K590" s="7">
        <v>500.0</v>
      </c>
      <c r="N590" s="8">
        <v>45017.0</v>
      </c>
    </row>
    <row r="591">
      <c r="A591" s="7">
        <v>590.0</v>
      </c>
      <c r="B591" s="7" t="s">
        <v>1141</v>
      </c>
      <c r="C591" s="7" t="s">
        <v>21</v>
      </c>
      <c r="K591" s="7">
        <v>4100.0</v>
      </c>
      <c r="N591" s="8">
        <v>44068.0</v>
      </c>
      <c r="O591" s="7" t="s">
        <v>33</v>
      </c>
      <c r="P591" s="7" t="s">
        <v>25</v>
      </c>
      <c r="S591" s="7" t="s">
        <v>28</v>
      </c>
    </row>
    <row r="592">
      <c r="A592" s="7">
        <v>591.0</v>
      </c>
      <c r="B592" s="7" t="s">
        <v>1143</v>
      </c>
      <c r="C592" s="7" t="s">
        <v>21</v>
      </c>
      <c r="K592" s="7">
        <v>20.0</v>
      </c>
      <c r="N592" s="8">
        <v>44468.0</v>
      </c>
    </row>
    <row r="593">
      <c r="A593" s="7">
        <v>592.0</v>
      </c>
      <c r="B593" s="7" t="s">
        <v>1144</v>
      </c>
      <c r="C593" s="7" t="s">
        <v>21</v>
      </c>
      <c r="K593" s="7">
        <v>10.0</v>
      </c>
      <c r="N593" s="8">
        <v>45062.0</v>
      </c>
    </row>
    <row r="594">
      <c r="A594" s="7">
        <v>593.0</v>
      </c>
      <c r="B594" s="7" t="s">
        <v>1146</v>
      </c>
      <c r="C594" s="7" t="s">
        <v>21</v>
      </c>
      <c r="K594" s="7">
        <v>50.0</v>
      </c>
      <c r="N594" s="8">
        <v>44416.0</v>
      </c>
    </row>
    <row r="595">
      <c r="A595" s="7">
        <v>594.0</v>
      </c>
      <c r="B595" s="7" t="s">
        <v>1147</v>
      </c>
      <c r="C595" s="7" t="s">
        <v>21</v>
      </c>
      <c r="K595" s="7">
        <v>250.0</v>
      </c>
      <c r="N595" s="8">
        <v>44218.0</v>
      </c>
    </row>
    <row r="596">
      <c r="A596" s="7">
        <v>595.0</v>
      </c>
      <c r="B596" s="7" t="s">
        <v>1149</v>
      </c>
      <c r="C596" s="7" t="s">
        <v>21</v>
      </c>
      <c r="K596" s="7">
        <v>80.0</v>
      </c>
      <c r="N596" s="8">
        <v>44543.0</v>
      </c>
    </row>
    <row r="597">
      <c r="A597" s="7">
        <v>596.0</v>
      </c>
      <c r="B597" s="7" t="s">
        <v>1150</v>
      </c>
      <c r="C597" s="7" t="s">
        <v>21</v>
      </c>
      <c r="K597" s="7">
        <v>50.0</v>
      </c>
      <c r="N597" s="8">
        <v>44980.0</v>
      </c>
    </row>
    <row r="598">
      <c r="A598" s="7">
        <v>597.0</v>
      </c>
      <c r="B598" s="7" t="s">
        <v>1152</v>
      </c>
      <c r="C598" s="7" t="s">
        <v>21</v>
      </c>
      <c r="N598" s="8">
        <v>45508.0</v>
      </c>
    </row>
    <row r="599">
      <c r="A599" s="7">
        <v>598.0</v>
      </c>
      <c r="B599" s="7" t="s">
        <v>1153</v>
      </c>
      <c r="C599" s="7" t="s">
        <v>21</v>
      </c>
      <c r="K599" s="7">
        <v>20.0</v>
      </c>
      <c r="N599" s="8">
        <v>44540.0</v>
      </c>
    </row>
    <row r="600">
      <c r="A600" s="7">
        <v>599.0</v>
      </c>
      <c r="B600" s="7" t="s">
        <v>184</v>
      </c>
      <c r="C600" s="7" t="s">
        <v>21</v>
      </c>
      <c r="K600" s="7">
        <v>10.0</v>
      </c>
      <c r="N600" s="8">
        <v>45544.0</v>
      </c>
    </row>
    <row r="601">
      <c r="A601" s="7">
        <v>600.0</v>
      </c>
      <c r="B601" s="7" t="s">
        <v>1154</v>
      </c>
      <c r="C601" s="7" t="s">
        <v>21</v>
      </c>
      <c r="K601" s="7">
        <v>20.0</v>
      </c>
      <c r="N601" s="8">
        <v>45797.0</v>
      </c>
    </row>
    <row r="602">
      <c r="A602" s="7">
        <v>601.0</v>
      </c>
      <c r="B602" s="7" t="s">
        <v>1155</v>
      </c>
      <c r="C602" s="7" t="s">
        <v>21</v>
      </c>
      <c r="K602" s="7">
        <v>40.0</v>
      </c>
      <c r="N602" s="8">
        <v>45577.0</v>
      </c>
    </row>
    <row r="603">
      <c r="A603" s="7">
        <v>602.0</v>
      </c>
      <c r="B603" s="7" t="s">
        <v>1157</v>
      </c>
      <c r="C603" s="7" t="s">
        <v>21</v>
      </c>
      <c r="K603" s="7">
        <v>20.0</v>
      </c>
      <c r="N603" s="8">
        <v>43973.0</v>
      </c>
    </row>
    <row r="604">
      <c r="A604" s="7">
        <v>603.0</v>
      </c>
      <c r="B604" s="7" t="s">
        <v>1158</v>
      </c>
      <c r="C604" s="7" t="s">
        <v>21</v>
      </c>
      <c r="D604" s="7">
        <v>67.0</v>
      </c>
      <c r="H604" s="7" t="s">
        <v>1159</v>
      </c>
      <c r="I604" s="9">
        <v>46084.19569444445</v>
      </c>
      <c r="J604" s="7" t="s">
        <v>40</v>
      </c>
      <c r="K604" s="7">
        <v>8700.0</v>
      </c>
      <c r="L604" s="7">
        <v>20.0</v>
      </c>
      <c r="M604" s="7">
        <v>47000.0</v>
      </c>
      <c r="N604" s="8">
        <v>43845.0</v>
      </c>
      <c r="O604" s="7" t="s">
        <v>33</v>
      </c>
      <c r="P604" s="7" t="s">
        <v>25</v>
      </c>
      <c r="S604" s="7" t="s">
        <v>28</v>
      </c>
    </row>
    <row r="605">
      <c r="A605" s="7">
        <v>604.0</v>
      </c>
      <c r="B605" s="7" t="s">
        <v>1161</v>
      </c>
      <c r="C605" s="7" t="s">
        <v>21</v>
      </c>
      <c r="K605" s="7">
        <v>100.0</v>
      </c>
      <c r="N605" s="8">
        <v>42281.0</v>
      </c>
    </row>
    <row r="606">
      <c r="A606" s="7">
        <v>605.0</v>
      </c>
      <c r="B606" s="7" t="s">
        <v>1163</v>
      </c>
      <c r="C606" s="7" t="s">
        <v>21</v>
      </c>
      <c r="K606" s="7">
        <v>7500.0</v>
      </c>
      <c r="N606" s="8">
        <v>42372.0</v>
      </c>
    </row>
    <row r="607">
      <c r="A607" s="7">
        <v>606.0</v>
      </c>
      <c r="B607" s="7" t="s">
        <v>1164</v>
      </c>
      <c r="C607" s="7" t="s">
        <v>21</v>
      </c>
      <c r="K607" s="7">
        <v>5200.0</v>
      </c>
      <c r="N607" s="8">
        <v>43379.0</v>
      </c>
    </row>
    <row r="608">
      <c r="A608" s="7">
        <v>607.0</v>
      </c>
      <c r="B608" s="7" t="s">
        <v>1165</v>
      </c>
      <c r="C608" s="7" t="s">
        <v>21</v>
      </c>
      <c r="N608" s="8">
        <v>44780.0</v>
      </c>
    </row>
    <row r="609">
      <c r="A609" s="7">
        <v>608.0</v>
      </c>
      <c r="B609" s="7" t="s">
        <v>1167</v>
      </c>
      <c r="C609" s="7" t="s">
        <v>21</v>
      </c>
      <c r="K609" s="7">
        <v>250.0</v>
      </c>
      <c r="N609" s="8">
        <v>45470.0</v>
      </c>
    </row>
    <row r="610">
      <c r="A610" s="7">
        <v>609.0</v>
      </c>
      <c r="B610" s="7" t="s">
        <v>1168</v>
      </c>
      <c r="C610" s="7" t="s">
        <v>21</v>
      </c>
      <c r="K610" s="7">
        <v>40.0</v>
      </c>
      <c r="N610" s="8">
        <v>44660.0</v>
      </c>
    </row>
    <row r="611">
      <c r="A611" s="7">
        <v>610.0</v>
      </c>
      <c r="B611" s="7" t="s">
        <v>1170</v>
      </c>
      <c r="C611" s="7" t="s">
        <v>21</v>
      </c>
      <c r="K611" s="7">
        <v>200.0</v>
      </c>
      <c r="N611" s="8">
        <v>44493.0</v>
      </c>
    </row>
    <row r="612">
      <c r="A612" s="7">
        <v>611.0</v>
      </c>
      <c r="B612" s="7" t="s">
        <v>1172</v>
      </c>
      <c r="C612" s="7" t="s">
        <v>21</v>
      </c>
      <c r="K612" s="7">
        <v>200.0</v>
      </c>
      <c r="N612" s="8">
        <v>44265.0</v>
      </c>
    </row>
    <row r="613">
      <c r="A613" s="7">
        <v>612.0</v>
      </c>
      <c r="B613" s="7" t="s">
        <v>1173</v>
      </c>
      <c r="C613" s="7" t="s">
        <v>21</v>
      </c>
      <c r="K613" s="7">
        <v>10.0</v>
      </c>
      <c r="N613" s="8">
        <v>44952.0</v>
      </c>
    </row>
    <row r="614">
      <c r="A614" s="7">
        <v>613.0</v>
      </c>
      <c r="B614" s="7" t="s">
        <v>1175</v>
      </c>
      <c r="C614" s="7" t="s">
        <v>21</v>
      </c>
      <c r="N614" s="8">
        <v>43871.0</v>
      </c>
    </row>
    <row r="615">
      <c r="A615" s="7">
        <v>614.0</v>
      </c>
      <c r="B615" s="7" t="s">
        <v>1176</v>
      </c>
      <c r="C615" s="7" t="s">
        <v>21</v>
      </c>
      <c r="K615" s="7">
        <v>700.0</v>
      </c>
      <c r="N615" s="8">
        <v>44002.0</v>
      </c>
    </row>
    <row r="616">
      <c r="A616" s="7">
        <v>615.0</v>
      </c>
      <c r="B616" s="7" t="s">
        <v>1177</v>
      </c>
      <c r="C616" s="7" t="s">
        <v>21</v>
      </c>
      <c r="K616" s="7">
        <v>20.0</v>
      </c>
      <c r="N616" s="8">
        <v>44034.0</v>
      </c>
    </row>
    <row r="617">
      <c r="A617" s="7">
        <v>616.0</v>
      </c>
      <c r="B617" s="7" t="s">
        <v>1178</v>
      </c>
      <c r="C617" s="7" t="s">
        <v>21</v>
      </c>
      <c r="K617" s="7">
        <v>20.0</v>
      </c>
      <c r="N617" s="8">
        <v>44592.0</v>
      </c>
    </row>
    <row r="618">
      <c r="A618" s="7">
        <v>617.0</v>
      </c>
      <c r="B618" s="7" t="s">
        <v>1180</v>
      </c>
      <c r="C618" s="7" t="s">
        <v>21</v>
      </c>
      <c r="K618" s="7">
        <v>250.0</v>
      </c>
      <c r="N618" s="8">
        <v>44578.0</v>
      </c>
    </row>
    <row r="619">
      <c r="A619" s="7">
        <v>618.0</v>
      </c>
      <c r="B619" s="7" t="s">
        <v>1182</v>
      </c>
      <c r="C619" s="7" t="s">
        <v>21</v>
      </c>
      <c r="N619" s="8">
        <v>44623.0</v>
      </c>
    </row>
    <row r="620">
      <c r="A620" s="7">
        <v>619.0</v>
      </c>
      <c r="B620" s="7" t="s">
        <v>1184</v>
      </c>
      <c r="C620" s="7" t="s">
        <v>21</v>
      </c>
      <c r="K620" s="7">
        <v>200.0</v>
      </c>
      <c r="N620" s="8">
        <v>44169.0</v>
      </c>
      <c r="O620" s="7" t="s">
        <v>41</v>
      </c>
      <c r="P620" s="7" t="s">
        <v>25</v>
      </c>
      <c r="S620" s="7" t="s">
        <v>28</v>
      </c>
    </row>
    <row r="621">
      <c r="A621" s="7">
        <v>620.0</v>
      </c>
      <c r="B621" s="7" t="s">
        <v>1186</v>
      </c>
      <c r="C621" s="7" t="s">
        <v>21</v>
      </c>
      <c r="K621" s="7">
        <v>600.0</v>
      </c>
      <c r="N621" s="8">
        <v>44334.0</v>
      </c>
    </row>
    <row r="622">
      <c r="A622" s="7">
        <v>621.0</v>
      </c>
      <c r="B622" s="7" t="s">
        <v>1187</v>
      </c>
      <c r="C622" s="7" t="s">
        <v>21</v>
      </c>
      <c r="K622" s="7">
        <v>30.0</v>
      </c>
      <c r="N622" s="8">
        <v>44046.0</v>
      </c>
    </row>
    <row r="623">
      <c r="A623" s="7">
        <v>622.0</v>
      </c>
      <c r="B623" s="7" t="s">
        <v>1189</v>
      </c>
      <c r="C623" s="7" t="s">
        <v>21</v>
      </c>
      <c r="K623" s="7">
        <v>20.0</v>
      </c>
      <c r="N623" s="8">
        <v>44821.0</v>
      </c>
    </row>
    <row r="624">
      <c r="A624" s="7">
        <v>623.0</v>
      </c>
      <c r="B624" s="7" t="s">
        <v>1192</v>
      </c>
      <c r="C624" s="7" t="s">
        <v>21</v>
      </c>
      <c r="K624" s="7">
        <v>5200.0</v>
      </c>
      <c r="N624" s="8">
        <v>44726.0</v>
      </c>
    </row>
    <row r="625">
      <c r="A625" s="7">
        <v>624.0</v>
      </c>
      <c r="B625" s="7" t="s">
        <v>1194</v>
      </c>
      <c r="C625" s="7" t="s">
        <v>21</v>
      </c>
      <c r="K625" s="7">
        <v>1400.0</v>
      </c>
      <c r="N625" s="8">
        <v>44217.0</v>
      </c>
    </row>
    <row r="626">
      <c r="A626" s="7">
        <v>625.0</v>
      </c>
      <c r="B626" s="7" t="s">
        <v>1196</v>
      </c>
      <c r="C626" s="7" t="s">
        <v>21</v>
      </c>
      <c r="K626" s="7">
        <v>80.0</v>
      </c>
      <c r="N626" s="8">
        <v>43858.0</v>
      </c>
    </row>
    <row r="627">
      <c r="A627" s="7">
        <v>626.0</v>
      </c>
      <c r="B627" s="7" t="s">
        <v>1197</v>
      </c>
      <c r="C627" s="7" t="s">
        <v>21</v>
      </c>
      <c r="K627" s="7">
        <v>500.0</v>
      </c>
      <c r="N627" s="8">
        <v>44633.0</v>
      </c>
    </row>
    <row r="628">
      <c r="A628" s="7">
        <v>627.0</v>
      </c>
      <c r="B628" s="7" t="s">
        <v>1199</v>
      </c>
      <c r="C628" s="7" t="s">
        <v>21</v>
      </c>
      <c r="K628" s="7">
        <v>500.0</v>
      </c>
      <c r="N628" s="8">
        <v>44899.0</v>
      </c>
    </row>
    <row r="629">
      <c r="A629" s="7">
        <v>628.0</v>
      </c>
      <c r="B629" s="7" t="s">
        <v>1201</v>
      </c>
      <c r="C629" s="7" t="s">
        <v>21</v>
      </c>
      <c r="K629" s="7">
        <v>2100.0</v>
      </c>
      <c r="N629" s="8">
        <v>44853.0</v>
      </c>
    </row>
    <row r="630">
      <c r="A630" s="7">
        <v>629.0</v>
      </c>
      <c r="B630" s="7" t="s">
        <v>1202</v>
      </c>
      <c r="C630" s="7" t="s">
        <v>21</v>
      </c>
      <c r="N630" s="8">
        <v>44602.0</v>
      </c>
    </row>
    <row r="631">
      <c r="A631" s="7">
        <v>630.0</v>
      </c>
      <c r="B631" s="7" t="s">
        <v>1204</v>
      </c>
      <c r="C631" s="7" t="s">
        <v>21</v>
      </c>
      <c r="K631" s="7">
        <v>3200.0</v>
      </c>
      <c r="N631" s="8">
        <v>42382.0</v>
      </c>
    </row>
    <row r="632">
      <c r="A632" s="7">
        <v>631.0</v>
      </c>
      <c r="B632" s="7" t="s">
        <v>1206</v>
      </c>
      <c r="C632" s="7" t="s">
        <v>21</v>
      </c>
      <c r="N632" s="8">
        <v>44730.0</v>
      </c>
    </row>
    <row r="633">
      <c r="A633" s="7">
        <v>632.0</v>
      </c>
      <c r="B633" s="7" t="s">
        <v>1207</v>
      </c>
      <c r="C633" s="7" t="s">
        <v>21</v>
      </c>
      <c r="K633" s="7">
        <v>100.0</v>
      </c>
      <c r="N633" s="8">
        <v>44072.0</v>
      </c>
    </row>
    <row r="634">
      <c r="A634" s="7">
        <v>633.0</v>
      </c>
      <c r="B634" s="7" t="s">
        <v>188</v>
      </c>
      <c r="C634" s="7" t="s">
        <v>21</v>
      </c>
      <c r="K634" s="7">
        <v>150.0</v>
      </c>
      <c r="N634" s="8">
        <v>44317.0</v>
      </c>
    </row>
    <row r="635">
      <c r="A635" s="7">
        <v>634.0</v>
      </c>
      <c r="B635" s="7" t="s">
        <v>1209</v>
      </c>
      <c r="C635" s="7" t="s">
        <v>21</v>
      </c>
      <c r="N635" s="8">
        <v>44041.0</v>
      </c>
    </row>
    <row r="636">
      <c r="A636" s="7">
        <v>635.0</v>
      </c>
      <c r="B636" s="7" t="s">
        <v>1210</v>
      </c>
      <c r="C636" s="7" t="s">
        <v>21</v>
      </c>
      <c r="K636" s="7">
        <v>11000.0</v>
      </c>
      <c r="N636" s="8">
        <v>43925.0</v>
      </c>
    </row>
    <row r="637">
      <c r="A637" s="7">
        <v>636.0</v>
      </c>
      <c r="B637" s="7" t="s">
        <v>1212</v>
      </c>
      <c r="C637" s="7" t="s">
        <v>21</v>
      </c>
      <c r="K637" s="7">
        <v>40.0</v>
      </c>
      <c r="N637" s="8">
        <v>44797.0</v>
      </c>
    </row>
    <row r="638">
      <c r="A638" s="7">
        <v>637.0</v>
      </c>
      <c r="B638" s="7" t="s">
        <v>193</v>
      </c>
      <c r="C638" s="7" t="s">
        <v>21</v>
      </c>
      <c r="N638" s="8">
        <v>44531.0</v>
      </c>
    </row>
    <row r="639">
      <c r="A639" s="7">
        <v>638.0</v>
      </c>
      <c r="B639" s="7" t="s">
        <v>1213</v>
      </c>
      <c r="C639" s="7" t="s">
        <v>21</v>
      </c>
      <c r="K639" s="7">
        <v>250.0</v>
      </c>
      <c r="N639" s="8">
        <v>45056.0</v>
      </c>
    </row>
    <row r="640">
      <c r="A640" s="7">
        <v>639.0</v>
      </c>
      <c r="B640" s="7" t="s">
        <v>1214</v>
      </c>
      <c r="C640" s="7" t="s">
        <v>21</v>
      </c>
      <c r="K640" s="7">
        <v>2800.0</v>
      </c>
      <c r="N640" s="8">
        <v>43991.0</v>
      </c>
    </row>
    <row r="641">
      <c r="A641" s="7">
        <v>640.0</v>
      </c>
      <c r="B641" s="7" t="s">
        <v>89</v>
      </c>
      <c r="C641" s="7" t="s">
        <v>21</v>
      </c>
      <c r="K641" s="7">
        <v>4400.0</v>
      </c>
      <c r="N641" s="8">
        <v>43862.0</v>
      </c>
    </row>
    <row r="642">
      <c r="A642" s="7">
        <v>641.0</v>
      </c>
      <c r="B642" s="7" t="s">
        <v>1216</v>
      </c>
      <c r="C642" s="7" t="s">
        <v>21</v>
      </c>
      <c r="K642" s="7">
        <v>350.0</v>
      </c>
      <c r="N642" s="8">
        <v>44770.0</v>
      </c>
    </row>
    <row r="643">
      <c r="A643" s="7">
        <v>642.0</v>
      </c>
      <c r="B643" s="7" t="s">
        <v>1217</v>
      </c>
      <c r="C643" s="7" t="s">
        <v>21</v>
      </c>
      <c r="K643" s="7">
        <v>3100.0</v>
      </c>
      <c r="N643" s="8">
        <v>45350.0</v>
      </c>
    </row>
    <row r="644">
      <c r="A644" s="7">
        <v>643.0</v>
      </c>
      <c r="B644" s="7" t="s">
        <v>1218</v>
      </c>
      <c r="C644" s="7" t="s">
        <v>21</v>
      </c>
      <c r="K644" s="7">
        <v>800.0</v>
      </c>
      <c r="N644" s="8">
        <v>44000.0</v>
      </c>
    </row>
    <row r="645">
      <c r="A645" s="7">
        <v>644.0</v>
      </c>
      <c r="B645" s="7" t="s">
        <v>1220</v>
      </c>
      <c r="C645" s="7" t="s">
        <v>21</v>
      </c>
      <c r="K645" s="7">
        <v>40.0</v>
      </c>
      <c r="N645" s="8">
        <v>43898.0</v>
      </c>
    </row>
    <row r="646">
      <c r="A646" s="7">
        <v>645.0</v>
      </c>
      <c r="B646" s="7" t="s">
        <v>1221</v>
      </c>
      <c r="C646" s="7" t="s">
        <v>21</v>
      </c>
      <c r="K646" s="7">
        <v>500.0</v>
      </c>
      <c r="N646" s="8">
        <v>43888.0</v>
      </c>
    </row>
    <row r="647">
      <c r="A647" s="7">
        <v>646.0</v>
      </c>
      <c r="B647" s="7" t="s">
        <v>91</v>
      </c>
      <c r="C647" s="7" t="s">
        <v>21</v>
      </c>
      <c r="K647" s="7">
        <v>450.0</v>
      </c>
      <c r="N647" s="8">
        <v>44773.0</v>
      </c>
    </row>
    <row r="648">
      <c r="A648" s="7">
        <v>647.0</v>
      </c>
      <c r="B648" s="7" t="s">
        <v>1223</v>
      </c>
      <c r="C648" s="7" t="s">
        <v>21</v>
      </c>
      <c r="N648" s="8">
        <v>44987.0</v>
      </c>
    </row>
    <row r="649">
      <c r="A649" s="7">
        <v>648.0</v>
      </c>
      <c r="B649" s="7" t="s">
        <v>1224</v>
      </c>
      <c r="C649" s="7" t="s">
        <v>21</v>
      </c>
      <c r="K649" s="7">
        <v>10.0</v>
      </c>
      <c r="N649" s="8">
        <v>45116.0</v>
      </c>
    </row>
    <row r="650">
      <c r="A650" s="7">
        <v>649.0</v>
      </c>
      <c r="B650" s="7" t="s">
        <v>1225</v>
      </c>
      <c r="C650" s="7" t="s">
        <v>21</v>
      </c>
      <c r="K650" s="7">
        <v>70.0</v>
      </c>
      <c r="N650" s="8">
        <v>44038.0</v>
      </c>
    </row>
    <row r="651">
      <c r="A651" s="7">
        <v>650.0</v>
      </c>
      <c r="B651" s="7" t="s">
        <v>198</v>
      </c>
      <c r="C651" s="7" t="s">
        <v>21</v>
      </c>
      <c r="N651" s="8">
        <v>44497.0</v>
      </c>
    </row>
    <row r="652">
      <c r="A652" s="7">
        <v>651.0</v>
      </c>
      <c r="B652" s="7" t="s">
        <v>1227</v>
      </c>
      <c r="C652" s="7" t="s">
        <v>21</v>
      </c>
      <c r="K652" s="7">
        <v>80.0</v>
      </c>
      <c r="N652" s="8">
        <v>44096.0</v>
      </c>
    </row>
    <row r="653">
      <c r="A653" s="7">
        <v>652.0</v>
      </c>
      <c r="B653" s="7" t="s">
        <v>1229</v>
      </c>
      <c r="C653" s="7" t="s">
        <v>21</v>
      </c>
      <c r="K653" s="7">
        <v>2700.0</v>
      </c>
      <c r="N653" s="8">
        <v>45683.0</v>
      </c>
    </row>
    <row r="654">
      <c r="A654" s="7">
        <v>653.0</v>
      </c>
      <c r="B654" s="7" t="s">
        <v>1231</v>
      </c>
      <c r="C654" s="7" t="s">
        <v>21</v>
      </c>
      <c r="K654" s="7">
        <v>450.0</v>
      </c>
      <c r="N654" s="8">
        <v>45160.0</v>
      </c>
    </row>
    <row r="655">
      <c r="A655" s="7">
        <v>654.0</v>
      </c>
      <c r="B655" s="7" t="s">
        <v>93</v>
      </c>
      <c r="C655" s="7" t="s">
        <v>21</v>
      </c>
      <c r="K655" s="7">
        <v>10.0</v>
      </c>
      <c r="N655" s="8">
        <v>45280.0</v>
      </c>
    </row>
    <row r="656">
      <c r="A656" s="7">
        <v>655.0</v>
      </c>
      <c r="B656" s="7" t="s">
        <v>1233</v>
      </c>
      <c r="C656" s="7" t="s">
        <v>21</v>
      </c>
      <c r="K656" s="7">
        <v>300.0</v>
      </c>
      <c r="N656" s="8">
        <v>43970.0</v>
      </c>
    </row>
    <row r="657">
      <c r="A657" s="7">
        <v>656.0</v>
      </c>
      <c r="B657" s="7" t="s">
        <v>1235</v>
      </c>
      <c r="C657" s="7" t="s">
        <v>21</v>
      </c>
      <c r="K657" s="7">
        <v>70.0</v>
      </c>
      <c r="N657" s="8">
        <v>44045.0</v>
      </c>
    </row>
    <row r="658">
      <c r="A658" s="7">
        <v>657.0</v>
      </c>
      <c r="B658" s="7" t="s">
        <v>1236</v>
      </c>
      <c r="C658" s="7" t="s">
        <v>21</v>
      </c>
      <c r="N658" s="8">
        <v>44464.0</v>
      </c>
    </row>
    <row r="659">
      <c r="A659" s="7">
        <v>658.0</v>
      </c>
      <c r="B659" s="7" t="s">
        <v>1238</v>
      </c>
      <c r="C659" s="7" t="s">
        <v>21</v>
      </c>
      <c r="K659" s="7">
        <v>90.0</v>
      </c>
      <c r="N659" s="8">
        <v>44211.0</v>
      </c>
    </row>
    <row r="660">
      <c r="A660" s="7">
        <v>659.0</v>
      </c>
      <c r="B660" s="7" t="s">
        <v>1240</v>
      </c>
      <c r="C660" s="7" t="s">
        <v>21</v>
      </c>
      <c r="K660" s="7">
        <v>50.0</v>
      </c>
      <c r="N660" s="8">
        <v>44400.0</v>
      </c>
    </row>
    <row r="661">
      <c r="A661" s="7">
        <v>660.0</v>
      </c>
      <c r="B661" s="7" t="s">
        <v>1242</v>
      </c>
      <c r="C661" s="7" t="s">
        <v>21</v>
      </c>
      <c r="D661" s="7">
        <v>72.0</v>
      </c>
      <c r="H661" s="7" t="s">
        <v>167</v>
      </c>
      <c r="I661" s="9">
        <v>46143.99753472222</v>
      </c>
      <c r="J661" s="7" t="s">
        <v>40</v>
      </c>
      <c r="K661" s="7">
        <v>2500.0</v>
      </c>
      <c r="L661" s="7">
        <v>3200.0</v>
      </c>
      <c r="M661" s="7">
        <v>59000.0</v>
      </c>
      <c r="N661" s="8">
        <v>43880.0</v>
      </c>
      <c r="O661" s="7" t="s">
        <v>41</v>
      </c>
      <c r="P661" s="7" t="s">
        <v>25</v>
      </c>
      <c r="S661" s="7" t="s">
        <v>28</v>
      </c>
    </row>
    <row r="662">
      <c r="A662" s="7">
        <v>661.0</v>
      </c>
      <c r="B662" s="7" t="s">
        <v>1244</v>
      </c>
      <c r="C662" s="7" t="s">
        <v>21</v>
      </c>
      <c r="K662" s="7">
        <v>20.0</v>
      </c>
      <c r="N662" s="8">
        <v>45324.0</v>
      </c>
    </row>
    <row r="663">
      <c r="A663" s="7">
        <v>662.0</v>
      </c>
      <c r="B663" s="7" t="s">
        <v>1245</v>
      </c>
      <c r="C663" s="7" t="s">
        <v>21</v>
      </c>
      <c r="K663" s="7">
        <v>150.0</v>
      </c>
      <c r="N663" s="8">
        <v>43877.0</v>
      </c>
    </row>
    <row r="664">
      <c r="A664" s="7">
        <v>663.0</v>
      </c>
      <c r="B664" s="7" t="s">
        <v>1247</v>
      </c>
      <c r="C664" s="7" t="s">
        <v>21</v>
      </c>
      <c r="K664" s="7">
        <v>600.0</v>
      </c>
      <c r="N664" s="8">
        <v>44371.0</v>
      </c>
    </row>
    <row r="665">
      <c r="A665" s="7">
        <v>664.0</v>
      </c>
      <c r="B665" s="7" t="s">
        <v>1248</v>
      </c>
      <c r="C665" s="7" t="s">
        <v>21</v>
      </c>
      <c r="N665" s="8">
        <v>44532.0</v>
      </c>
    </row>
    <row r="666">
      <c r="A666" s="7">
        <v>665.0</v>
      </c>
      <c r="B666" s="7" t="s">
        <v>1250</v>
      </c>
      <c r="C666" s="7" t="s">
        <v>21</v>
      </c>
      <c r="K666" s="7">
        <v>100.0</v>
      </c>
      <c r="N666" s="8">
        <v>45186.0</v>
      </c>
    </row>
    <row r="667">
      <c r="A667" s="7">
        <v>666.0</v>
      </c>
      <c r="B667" s="7" t="s">
        <v>1253</v>
      </c>
      <c r="C667" s="7" t="s">
        <v>21</v>
      </c>
      <c r="K667" s="7">
        <v>40.0</v>
      </c>
      <c r="N667" s="8">
        <v>42558.0</v>
      </c>
    </row>
    <row r="668">
      <c r="A668" s="7">
        <v>667.0</v>
      </c>
      <c r="B668" s="7" t="s">
        <v>1254</v>
      </c>
      <c r="C668" s="7" t="s">
        <v>21</v>
      </c>
      <c r="K668" s="7">
        <v>1700.0</v>
      </c>
      <c r="N668" s="8">
        <v>43850.0</v>
      </c>
    </row>
    <row r="669">
      <c r="A669" s="7">
        <v>668.0</v>
      </c>
      <c r="B669" s="7" t="s">
        <v>1255</v>
      </c>
      <c r="C669" s="7" t="s">
        <v>21</v>
      </c>
      <c r="K669" s="7">
        <v>800.0</v>
      </c>
      <c r="N669" s="8">
        <v>44837.0</v>
      </c>
    </row>
    <row r="670">
      <c r="A670" s="7">
        <v>669.0</v>
      </c>
      <c r="B670" s="7" t="s">
        <v>1257</v>
      </c>
      <c r="C670" s="7" t="s">
        <v>21</v>
      </c>
      <c r="K670" s="7">
        <v>20.0</v>
      </c>
      <c r="N670" s="8">
        <v>45583.0</v>
      </c>
    </row>
    <row r="671">
      <c r="A671" s="7">
        <v>670.0</v>
      </c>
      <c r="B671" s="7" t="s">
        <v>1258</v>
      </c>
      <c r="C671" s="7" t="s">
        <v>21</v>
      </c>
      <c r="K671" s="7">
        <v>2900.0</v>
      </c>
      <c r="N671" s="8">
        <v>45874.0</v>
      </c>
    </row>
    <row r="672">
      <c r="A672" s="7">
        <v>671.0</v>
      </c>
      <c r="B672" s="7" t="s">
        <v>1260</v>
      </c>
      <c r="C672" s="7" t="s">
        <v>21</v>
      </c>
      <c r="K672" s="7">
        <v>20.0</v>
      </c>
      <c r="N672" s="8">
        <v>45338.0</v>
      </c>
    </row>
    <row r="673">
      <c r="A673" s="7">
        <v>672.0</v>
      </c>
      <c r="B673" s="7" t="s">
        <v>1262</v>
      </c>
      <c r="C673" s="7" t="s">
        <v>21</v>
      </c>
      <c r="K673" s="7">
        <v>10.0</v>
      </c>
      <c r="N673" s="8">
        <v>44439.0</v>
      </c>
    </row>
    <row r="674">
      <c r="A674" s="7">
        <v>673.0</v>
      </c>
      <c r="B674" s="7" t="s">
        <v>1263</v>
      </c>
      <c r="C674" s="7" t="s">
        <v>21</v>
      </c>
      <c r="N674" s="8">
        <v>44185.0</v>
      </c>
    </row>
    <row r="675">
      <c r="A675" s="7">
        <v>674.0</v>
      </c>
      <c r="B675" s="7" t="s">
        <v>1264</v>
      </c>
      <c r="C675" s="7" t="s">
        <v>21</v>
      </c>
      <c r="K675" s="7">
        <v>800.0</v>
      </c>
      <c r="N675" s="8">
        <v>44553.0</v>
      </c>
    </row>
    <row r="676">
      <c r="A676" s="7">
        <v>675.0</v>
      </c>
      <c r="B676" s="7" t="s">
        <v>202</v>
      </c>
      <c r="C676" s="7" t="s">
        <v>21</v>
      </c>
      <c r="K676" s="7">
        <v>250.0</v>
      </c>
      <c r="N676" s="8">
        <v>44719.0</v>
      </c>
    </row>
    <row r="677">
      <c r="A677" s="7">
        <v>676.0</v>
      </c>
      <c r="B677" s="7" t="s">
        <v>1266</v>
      </c>
      <c r="C677" s="7" t="s">
        <v>21</v>
      </c>
      <c r="K677" s="7">
        <v>3200.0</v>
      </c>
      <c r="N677" s="8">
        <v>43899.0</v>
      </c>
    </row>
    <row r="678">
      <c r="A678" s="7">
        <v>677.0</v>
      </c>
      <c r="B678" s="7" t="s">
        <v>1267</v>
      </c>
      <c r="C678" s="7" t="s">
        <v>21</v>
      </c>
      <c r="K678" s="7">
        <v>30.0</v>
      </c>
      <c r="N678" s="8">
        <v>45751.0</v>
      </c>
    </row>
    <row r="679">
      <c r="A679" s="7">
        <v>678.0</v>
      </c>
      <c r="B679" s="7" t="s">
        <v>1268</v>
      </c>
      <c r="C679" s="7" t="s">
        <v>21</v>
      </c>
      <c r="N679" s="8">
        <v>44301.0</v>
      </c>
    </row>
    <row r="680">
      <c r="A680" s="7">
        <v>679.0</v>
      </c>
      <c r="B680" s="7" t="s">
        <v>206</v>
      </c>
      <c r="C680" s="7" t="s">
        <v>21</v>
      </c>
      <c r="K680" s="7">
        <v>1000.0</v>
      </c>
      <c r="N680" s="8">
        <v>44559.0</v>
      </c>
    </row>
    <row r="681">
      <c r="A681" s="7">
        <v>680.0</v>
      </c>
      <c r="B681" s="7" t="s">
        <v>1270</v>
      </c>
      <c r="C681" s="7" t="s">
        <v>21</v>
      </c>
      <c r="K681" s="7">
        <v>80.0</v>
      </c>
      <c r="N681" s="8">
        <v>43841.0</v>
      </c>
    </row>
    <row r="682">
      <c r="A682" s="7">
        <v>681.0</v>
      </c>
      <c r="B682" s="7" t="s">
        <v>96</v>
      </c>
      <c r="C682" s="7" t="s">
        <v>21</v>
      </c>
      <c r="K682" s="7">
        <v>400.0</v>
      </c>
      <c r="N682" s="8">
        <v>42369.0</v>
      </c>
      <c r="O682" s="7" t="s">
        <v>72</v>
      </c>
      <c r="P682" s="7" t="s">
        <v>25</v>
      </c>
      <c r="S682" s="7" t="s">
        <v>28</v>
      </c>
    </row>
    <row r="683">
      <c r="A683" s="7">
        <v>682.0</v>
      </c>
      <c r="B683" s="7" t="s">
        <v>1272</v>
      </c>
      <c r="C683" s="7" t="s">
        <v>21</v>
      </c>
      <c r="K683" s="7">
        <v>250.0</v>
      </c>
      <c r="N683" s="8">
        <v>43853.0</v>
      </c>
    </row>
    <row r="684">
      <c r="A684" s="7">
        <v>683.0</v>
      </c>
      <c r="B684" s="7" t="s">
        <v>1273</v>
      </c>
      <c r="C684" s="7" t="s">
        <v>21</v>
      </c>
      <c r="K684" s="7">
        <v>80.0</v>
      </c>
      <c r="N684" s="8">
        <v>44041.0</v>
      </c>
    </row>
    <row r="685">
      <c r="A685" s="7">
        <v>684.0</v>
      </c>
      <c r="B685" s="7" t="s">
        <v>1275</v>
      </c>
      <c r="C685" s="7" t="s">
        <v>21</v>
      </c>
      <c r="K685" s="7">
        <v>200.0</v>
      </c>
      <c r="N685" s="8">
        <v>43861.0</v>
      </c>
    </row>
    <row r="686">
      <c r="A686" s="7">
        <v>685.0</v>
      </c>
      <c r="B686" s="7" t="s">
        <v>1276</v>
      </c>
      <c r="C686" s="7" t="s">
        <v>21</v>
      </c>
      <c r="K686" s="7">
        <v>60.0</v>
      </c>
      <c r="N686" s="8">
        <v>44203.0</v>
      </c>
    </row>
    <row r="687">
      <c r="A687" s="7">
        <v>686.0</v>
      </c>
      <c r="B687" s="7" t="s">
        <v>1277</v>
      </c>
      <c r="C687" s="7" t="s">
        <v>21</v>
      </c>
      <c r="N687" s="8">
        <v>44477.0</v>
      </c>
    </row>
    <row r="688">
      <c r="A688" s="7">
        <v>687.0</v>
      </c>
      <c r="B688" s="7" t="s">
        <v>1278</v>
      </c>
      <c r="C688" s="7" t="s">
        <v>21</v>
      </c>
      <c r="K688" s="7">
        <v>30.0</v>
      </c>
      <c r="N688" s="8">
        <v>44059.0</v>
      </c>
    </row>
    <row r="689">
      <c r="A689" s="7">
        <v>688.0</v>
      </c>
      <c r="B689" s="7" t="s">
        <v>1279</v>
      </c>
      <c r="C689" s="7" t="s">
        <v>21</v>
      </c>
      <c r="N689" s="8">
        <v>45014.0</v>
      </c>
    </row>
    <row r="690">
      <c r="A690" s="7">
        <v>689.0</v>
      </c>
      <c r="B690" s="7" t="s">
        <v>1280</v>
      </c>
      <c r="C690" s="7" t="s">
        <v>21</v>
      </c>
      <c r="D690" s="7">
        <v>75.0</v>
      </c>
      <c r="H690" s="7" t="s">
        <v>1281</v>
      </c>
      <c r="I690" s="9">
        <v>46123.456875</v>
      </c>
      <c r="J690" s="7" t="s">
        <v>40</v>
      </c>
      <c r="K690" s="7">
        <v>1500.0</v>
      </c>
      <c r="L690" s="7">
        <v>100.0</v>
      </c>
      <c r="M690" s="7">
        <v>208000.0</v>
      </c>
      <c r="N690" s="8">
        <v>44714.0</v>
      </c>
      <c r="O690" s="7" t="s">
        <v>33</v>
      </c>
      <c r="P690" s="7" t="s">
        <v>25</v>
      </c>
      <c r="S690" s="7" t="s">
        <v>28</v>
      </c>
    </row>
    <row r="691">
      <c r="A691" s="7">
        <v>690.0</v>
      </c>
      <c r="B691" s="7" t="s">
        <v>1284</v>
      </c>
      <c r="C691" s="7" t="s">
        <v>21</v>
      </c>
      <c r="K691" s="7">
        <v>10.0</v>
      </c>
      <c r="N691" s="8">
        <v>43688.0</v>
      </c>
    </row>
    <row r="692">
      <c r="A692" s="7">
        <v>691.0</v>
      </c>
      <c r="B692" s="7" t="s">
        <v>1286</v>
      </c>
      <c r="C692" s="7" t="s">
        <v>21</v>
      </c>
      <c r="K692" s="7">
        <v>10.0</v>
      </c>
      <c r="N692" s="8">
        <v>44602.0</v>
      </c>
    </row>
    <row r="693">
      <c r="A693" s="7">
        <v>692.0</v>
      </c>
      <c r="B693" s="7" t="s">
        <v>1289</v>
      </c>
      <c r="C693" s="7" t="s">
        <v>21</v>
      </c>
      <c r="K693" s="7">
        <v>10.0</v>
      </c>
      <c r="N693" s="8">
        <v>43086.0</v>
      </c>
    </row>
    <row r="694">
      <c r="A694" s="7">
        <v>693.0</v>
      </c>
      <c r="B694" s="7" t="s">
        <v>210</v>
      </c>
      <c r="C694" s="7" t="s">
        <v>21</v>
      </c>
      <c r="N694" s="8">
        <v>44572.0</v>
      </c>
    </row>
    <row r="695">
      <c r="A695" s="7">
        <v>694.0</v>
      </c>
      <c r="B695" s="7" t="s">
        <v>1292</v>
      </c>
      <c r="C695" s="7" t="s">
        <v>21</v>
      </c>
      <c r="K695" s="7">
        <v>250.0</v>
      </c>
      <c r="N695" s="8">
        <v>45198.0</v>
      </c>
    </row>
    <row r="696">
      <c r="A696" s="7">
        <v>695.0</v>
      </c>
      <c r="B696" s="7" t="s">
        <v>1294</v>
      </c>
      <c r="C696" s="7" t="s">
        <v>21</v>
      </c>
      <c r="K696" s="7">
        <v>10.0</v>
      </c>
      <c r="N696" s="8">
        <v>45425.0</v>
      </c>
    </row>
    <row r="697">
      <c r="A697" s="7">
        <v>696.0</v>
      </c>
      <c r="B697" s="7" t="s">
        <v>1295</v>
      </c>
      <c r="C697" s="7" t="s">
        <v>21</v>
      </c>
      <c r="K697" s="7">
        <v>100.0</v>
      </c>
      <c r="N697" s="8">
        <v>45038.0</v>
      </c>
    </row>
    <row r="698">
      <c r="A698" s="7">
        <v>697.0</v>
      </c>
      <c r="B698" s="7" t="s">
        <v>1296</v>
      </c>
      <c r="C698" s="7" t="s">
        <v>21</v>
      </c>
      <c r="K698" s="7">
        <v>200.0</v>
      </c>
      <c r="N698" s="8">
        <v>45085.0</v>
      </c>
    </row>
    <row r="699">
      <c r="A699" s="7">
        <v>698.0</v>
      </c>
      <c r="B699" s="7" t="s">
        <v>1299</v>
      </c>
      <c r="C699" s="7" t="s">
        <v>21</v>
      </c>
      <c r="N699" s="8">
        <v>42297.0</v>
      </c>
    </row>
    <row r="700">
      <c r="A700" s="7">
        <v>699.0</v>
      </c>
      <c r="B700" s="7" t="s">
        <v>1300</v>
      </c>
      <c r="C700" s="7" t="s">
        <v>21</v>
      </c>
      <c r="K700" s="7">
        <v>600.0</v>
      </c>
      <c r="N700" s="8">
        <v>44295.0</v>
      </c>
    </row>
    <row r="701">
      <c r="A701" s="7">
        <v>700.0</v>
      </c>
      <c r="B701" s="7" t="s">
        <v>1302</v>
      </c>
      <c r="C701" s="7" t="s">
        <v>21</v>
      </c>
      <c r="K701" s="7">
        <v>300.0</v>
      </c>
      <c r="N701" s="8">
        <v>45902.0</v>
      </c>
    </row>
    <row r="702">
      <c r="A702" s="7">
        <v>701.0</v>
      </c>
      <c r="B702" s="7" t="s">
        <v>1303</v>
      </c>
      <c r="C702" s="7" t="s">
        <v>21</v>
      </c>
      <c r="K702" s="7">
        <v>150.0</v>
      </c>
      <c r="N702" s="8">
        <v>44845.0</v>
      </c>
    </row>
    <row r="703">
      <c r="A703" s="7">
        <v>702.0</v>
      </c>
      <c r="B703" s="7" t="s">
        <v>1304</v>
      </c>
      <c r="C703" s="7" t="s">
        <v>21</v>
      </c>
      <c r="N703" s="8">
        <v>45164.0</v>
      </c>
    </row>
    <row r="704">
      <c r="A704" s="7">
        <v>703.0</v>
      </c>
      <c r="B704" s="7" t="s">
        <v>1306</v>
      </c>
      <c r="C704" s="7" t="s">
        <v>21</v>
      </c>
      <c r="K704" s="7">
        <v>50.0</v>
      </c>
      <c r="N704" s="8">
        <v>44305.0</v>
      </c>
    </row>
    <row r="705">
      <c r="A705" s="7">
        <v>704.0</v>
      </c>
      <c r="B705" s="7" t="s">
        <v>1307</v>
      </c>
      <c r="C705" s="7" t="s">
        <v>21</v>
      </c>
      <c r="N705" s="8">
        <v>45233.0</v>
      </c>
    </row>
    <row r="706">
      <c r="A706" s="7">
        <v>705.0</v>
      </c>
      <c r="B706" s="7" t="s">
        <v>1308</v>
      </c>
      <c r="C706" s="7" t="s">
        <v>21</v>
      </c>
      <c r="K706" s="7">
        <v>40.0</v>
      </c>
      <c r="N706" s="8">
        <v>44659.0</v>
      </c>
    </row>
    <row r="707">
      <c r="A707" s="7">
        <v>706.0</v>
      </c>
      <c r="B707" s="7" t="s">
        <v>212</v>
      </c>
      <c r="C707" s="7" t="s">
        <v>21</v>
      </c>
      <c r="K707" s="7">
        <v>700.0</v>
      </c>
      <c r="N707" s="8">
        <v>43891.0</v>
      </c>
    </row>
    <row r="708">
      <c r="A708" s="7">
        <v>707.0</v>
      </c>
      <c r="B708" s="7" t="s">
        <v>1310</v>
      </c>
      <c r="C708" s="7" t="s">
        <v>21</v>
      </c>
      <c r="K708" s="7">
        <v>10.0</v>
      </c>
      <c r="N708" s="8">
        <v>45901.0</v>
      </c>
    </row>
    <row r="709">
      <c r="A709" s="7">
        <v>708.0</v>
      </c>
      <c r="B709" s="7" t="s">
        <v>1311</v>
      </c>
      <c r="C709" s="7" t="s">
        <v>21</v>
      </c>
      <c r="N709" s="8">
        <v>44283.0</v>
      </c>
    </row>
    <row r="710">
      <c r="A710" s="7">
        <v>709.0</v>
      </c>
      <c r="B710" s="7" t="s">
        <v>1312</v>
      </c>
      <c r="C710" s="7" t="s">
        <v>21</v>
      </c>
      <c r="N710" s="8">
        <v>44699.0</v>
      </c>
    </row>
    <row r="711">
      <c r="A711" s="7">
        <v>710.0</v>
      </c>
      <c r="B711" s="7" t="s">
        <v>1313</v>
      </c>
      <c r="C711" s="7" t="s">
        <v>21</v>
      </c>
      <c r="K711" s="7">
        <v>20.0</v>
      </c>
      <c r="N711" s="8">
        <v>44135.0</v>
      </c>
    </row>
    <row r="712">
      <c r="A712" s="7">
        <v>711.0</v>
      </c>
      <c r="B712" s="7" t="s">
        <v>1314</v>
      </c>
      <c r="C712" s="7" t="s">
        <v>21</v>
      </c>
      <c r="K712" s="7">
        <v>150.0</v>
      </c>
      <c r="N712" s="8">
        <v>44426.0</v>
      </c>
    </row>
    <row r="713">
      <c r="A713" s="7">
        <v>712.0</v>
      </c>
      <c r="B713" s="7" t="s">
        <v>1316</v>
      </c>
      <c r="C713" s="7" t="s">
        <v>21</v>
      </c>
      <c r="N713" s="8">
        <v>44701.0</v>
      </c>
    </row>
    <row r="714">
      <c r="A714" s="7">
        <v>713.0</v>
      </c>
      <c r="B714" s="7" t="s">
        <v>1317</v>
      </c>
      <c r="C714" s="7" t="s">
        <v>21</v>
      </c>
      <c r="D714" s="7">
        <v>62.0</v>
      </c>
      <c r="H714" s="7" t="s">
        <v>227</v>
      </c>
      <c r="I714" s="9">
        <v>46127.31894675926</v>
      </c>
      <c r="J714" s="7" t="s">
        <v>40</v>
      </c>
      <c r="K714" s="7">
        <v>800.0</v>
      </c>
      <c r="L714" s="7">
        <v>0.0</v>
      </c>
      <c r="M714" s="7">
        <v>8900.0</v>
      </c>
      <c r="N714" s="8">
        <v>43906.0</v>
      </c>
      <c r="O714" s="7" t="s">
        <v>33</v>
      </c>
      <c r="P714" s="7" t="s">
        <v>25</v>
      </c>
      <c r="S714" s="7" t="s">
        <v>28</v>
      </c>
    </row>
    <row r="715">
      <c r="A715" s="7">
        <v>714.0</v>
      </c>
      <c r="B715" s="7" t="s">
        <v>1320</v>
      </c>
      <c r="C715" s="7" t="s">
        <v>21</v>
      </c>
      <c r="N715" s="8">
        <v>44576.0</v>
      </c>
    </row>
    <row r="716">
      <c r="A716" s="7">
        <v>715.0</v>
      </c>
      <c r="B716" s="7" t="s">
        <v>216</v>
      </c>
      <c r="C716" s="7" t="s">
        <v>21</v>
      </c>
      <c r="K716" s="7">
        <v>30.0</v>
      </c>
      <c r="N716" s="8">
        <v>45730.0</v>
      </c>
    </row>
    <row r="717">
      <c r="A717" s="7">
        <v>716.0</v>
      </c>
      <c r="B717" s="7" t="s">
        <v>219</v>
      </c>
      <c r="C717" s="7" t="s">
        <v>21</v>
      </c>
      <c r="N717" s="8">
        <v>44159.0</v>
      </c>
    </row>
    <row r="718">
      <c r="A718" s="7">
        <v>717.0</v>
      </c>
      <c r="B718" s="7" t="s">
        <v>1322</v>
      </c>
      <c r="C718" s="7" t="s">
        <v>21</v>
      </c>
      <c r="K718" s="7">
        <v>150.0</v>
      </c>
      <c r="N718" s="8">
        <v>44705.0</v>
      </c>
    </row>
    <row r="719">
      <c r="A719" s="7">
        <v>718.0</v>
      </c>
      <c r="B719" s="7" t="s">
        <v>1324</v>
      </c>
      <c r="C719" s="7" t="s">
        <v>21</v>
      </c>
      <c r="K719" s="7">
        <v>10.0</v>
      </c>
      <c r="N719" s="8">
        <v>44218.0</v>
      </c>
    </row>
    <row r="720">
      <c r="A720" s="7">
        <v>719.0</v>
      </c>
      <c r="B720" s="7" t="s">
        <v>1325</v>
      </c>
      <c r="C720" s="7" t="s">
        <v>21</v>
      </c>
      <c r="K720" s="7">
        <v>80.0</v>
      </c>
      <c r="N720" s="8">
        <v>42879.0</v>
      </c>
    </row>
    <row r="721">
      <c r="A721" s="7">
        <v>720.0</v>
      </c>
      <c r="B721" s="7" t="s">
        <v>1326</v>
      </c>
      <c r="C721" s="7" t="s">
        <v>21</v>
      </c>
      <c r="N721" s="8">
        <v>45290.0</v>
      </c>
    </row>
    <row r="722">
      <c r="A722" s="7">
        <v>721.0</v>
      </c>
      <c r="B722" s="7" t="s">
        <v>1328</v>
      </c>
      <c r="C722" s="7" t="s">
        <v>21</v>
      </c>
      <c r="K722" s="7">
        <v>1700.0</v>
      </c>
      <c r="N722" s="8">
        <v>42382.0</v>
      </c>
    </row>
    <row r="723">
      <c r="A723" s="7">
        <v>722.0</v>
      </c>
      <c r="B723" s="7" t="s">
        <v>1329</v>
      </c>
      <c r="C723" s="7" t="s">
        <v>21</v>
      </c>
      <c r="K723" s="7">
        <v>40.0</v>
      </c>
      <c r="N723" s="8">
        <v>43879.0</v>
      </c>
    </row>
    <row r="724">
      <c r="A724" s="7">
        <v>723.0</v>
      </c>
      <c r="B724" s="7" t="s">
        <v>1330</v>
      </c>
      <c r="C724" s="7" t="s">
        <v>21</v>
      </c>
      <c r="K724" s="7">
        <v>90.0</v>
      </c>
      <c r="N724" s="8">
        <v>45738.0</v>
      </c>
    </row>
    <row r="725">
      <c r="A725" s="7">
        <v>724.0</v>
      </c>
      <c r="B725" s="7" t="s">
        <v>1331</v>
      </c>
      <c r="C725" s="7" t="s">
        <v>21</v>
      </c>
      <c r="K725" s="7">
        <v>80.0</v>
      </c>
      <c r="N725" s="8">
        <v>44522.0</v>
      </c>
    </row>
    <row r="726">
      <c r="A726" s="7">
        <v>725.0</v>
      </c>
      <c r="B726" s="7" t="s">
        <v>1332</v>
      </c>
      <c r="C726" s="7" t="s">
        <v>21</v>
      </c>
      <c r="K726" s="7">
        <v>100.0</v>
      </c>
      <c r="N726" s="8">
        <v>44572.0</v>
      </c>
    </row>
    <row r="727">
      <c r="A727" s="7">
        <v>726.0</v>
      </c>
      <c r="B727" s="7" t="s">
        <v>1334</v>
      </c>
      <c r="C727" s="7" t="s">
        <v>21</v>
      </c>
      <c r="K727" s="7">
        <v>50.0</v>
      </c>
      <c r="N727" s="8">
        <v>45024.0</v>
      </c>
    </row>
    <row r="728">
      <c r="A728" s="7">
        <v>727.0</v>
      </c>
      <c r="B728" s="7" t="s">
        <v>1335</v>
      </c>
      <c r="C728" s="7" t="s">
        <v>21</v>
      </c>
      <c r="K728" s="7">
        <v>100.0</v>
      </c>
      <c r="N728" s="8">
        <v>45375.0</v>
      </c>
    </row>
    <row r="729">
      <c r="A729" s="7">
        <v>728.0</v>
      </c>
      <c r="B729" s="7" t="s">
        <v>1336</v>
      </c>
      <c r="C729" s="7" t="s">
        <v>21</v>
      </c>
      <c r="K729" s="7">
        <v>90.0</v>
      </c>
      <c r="N729" s="8">
        <v>44540.0</v>
      </c>
      <c r="O729" s="7" t="s">
        <v>33</v>
      </c>
      <c r="P729" s="7" t="s">
        <v>25</v>
      </c>
      <c r="S729" s="7" t="s">
        <v>28</v>
      </c>
    </row>
    <row r="730">
      <c r="A730" s="7">
        <v>729.0</v>
      </c>
      <c r="B730" s="7" t="s">
        <v>1338</v>
      </c>
      <c r="C730" s="7" t="s">
        <v>21</v>
      </c>
      <c r="K730" s="7">
        <v>70.0</v>
      </c>
      <c r="N730" s="8">
        <v>43901.0</v>
      </c>
    </row>
    <row r="731">
      <c r="A731" s="7">
        <v>730.0</v>
      </c>
      <c r="B731" s="7" t="s">
        <v>1340</v>
      </c>
      <c r="C731" s="7" t="s">
        <v>21</v>
      </c>
      <c r="K731" s="7">
        <v>300.0</v>
      </c>
      <c r="N731" s="8">
        <v>44642.0</v>
      </c>
    </row>
    <row r="732">
      <c r="A732" s="7">
        <v>731.0</v>
      </c>
      <c r="B732" s="7" t="s">
        <v>1342</v>
      </c>
      <c r="C732" s="7" t="s">
        <v>21</v>
      </c>
      <c r="K732" s="7">
        <v>350.0</v>
      </c>
      <c r="N732" s="8">
        <v>44561.0</v>
      </c>
    </row>
    <row r="733">
      <c r="A733" s="7">
        <v>732.0</v>
      </c>
      <c r="B733" s="7" t="s">
        <v>222</v>
      </c>
      <c r="C733" s="7" t="s">
        <v>21</v>
      </c>
      <c r="K733" s="7">
        <v>150.0</v>
      </c>
      <c r="N733" s="8">
        <v>44145.0</v>
      </c>
    </row>
    <row r="734">
      <c r="A734" s="7">
        <v>733.0</v>
      </c>
      <c r="B734" s="7" t="s">
        <v>1343</v>
      </c>
      <c r="C734" s="7" t="s">
        <v>21</v>
      </c>
      <c r="K734" s="7">
        <v>150.0</v>
      </c>
      <c r="N734" s="8">
        <v>45116.0</v>
      </c>
    </row>
    <row r="735">
      <c r="A735" s="7">
        <v>734.0</v>
      </c>
      <c r="B735" s="7" t="s">
        <v>1345</v>
      </c>
      <c r="C735" s="7" t="s">
        <v>21</v>
      </c>
      <c r="K735" s="7">
        <v>150.0</v>
      </c>
      <c r="N735" s="8">
        <v>44484.0</v>
      </c>
    </row>
    <row r="736">
      <c r="A736" s="7">
        <v>735.0</v>
      </c>
      <c r="B736" s="7" t="s">
        <v>1346</v>
      </c>
      <c r="C736" s="7" t="s">
        <v>21</v>
      </c>
      <c r="K736" s="7">
        <v>1700.0</v>
      </c>
      <c r="N736" s="8">
        <v>44179.0</v>
      </c>
    </row>
    <row r="737">
      <c r="A737" s="7">
        <v>736.0</v>
      </c>
      <c r="B737" s="7" t="s">
        <v>1347</v>
      </c>
      <c r="C737" s="7" t="s">
        <v>21</v>
      </c>
      <c r="K737" s="7">
        <v>30.0</v>
      </c>
      <c r="N737" s="8">
        <v>45955.0</v>
      </c>
    </row>
    <row r="738">
      <c r="A738" s="7">
        <v>737.0</v>
      </c>
      <c r="B738" s="7" t="s">
        <v>1349</v>
      </c>
      <c r="C738" s="7" t="s">
        <v>21</v>
      </c>
      <c r="K738" s="7">
        <v>10.0</v>
      </c>
      <c r="N738" s="8">
        <v>44242.0</v>
      </c>
    </row>
    <row r="739">
      <c r="A739" s="7">
        <v>738.0</v>
      </c>
      <c r="B739" s="7" t="s">
        <v>1350</v>
      </c>
      <c r="C739" s="7" t="s">
        <v>21</v>
      </c>
      <c r="K739" s="7">
        <v>500.0</v>
      </c>
      <c r="N739" s="8">
        <v>43950.0</v>
      </c>
    </row>
    <row r="740">
      <c r="A740" s="7">
        <v>739.0</v>
      </c>
      <c r="B740" s="7" t="s">
        <v>1351</v>
      </c>
      <c r="C740" s="7" t="s">
        <v>21</v>
      </c>
      <c r="K740" s="7">
        <v>1700.0</v>
      </c>
      <c r="N740" s="8">
        <v>45219.0</v>
      </c>
    </row>
    <row r="741">
      <c r="A741" s="7">
        <v>740.0</v>
      </c>
      <c r="B741" s="7" t="s">
        <v>1353</v>
      </c>
      <c r="C741" s="7" t="s">
        <v>21</v>
      </c>
      <c r="K741" s="7">
        <v>90.0</v>
      </c>
      <c r="N741" s="8">
        <v>44805.0</v>
      </c>
    </row>
    <row r="742">
      <c r="A742" s="7">
        <v>741.0</v>
      </c>
      <c r="B742" s="7" t="s">
        <v>1354</v>
      </c>
      <c r="C742" s="7" t="s">
        <v>21</v>
      </c>
      <c r="K742" s="7">
        <v>350.0</v>
      </c>
      <c r="N742" s="8">
        <v>44596.0</v>
      </c>
    </row>
    <row r="743">
      <c r="A743" s="7">
        <v>742.0</v>
      </c>
      <c r="B743" s="7" t="s">
        <v>1355</v>
      </c>
      <c r="C743" s="7" t="s">
        <v>21</v>
      </c>
      <c r="K743" s="7">
        <v>200.0</v>
      </c>
      <c r="N743" s="8">
        <v>44060.0</v>
      </c>
    </row>
    <row r="744">
      <c r="A744" s="7">
        <v>743.0</v>
      </c>
      <c r="B744" s="7" t="s">
        <v>1357</v>
      </c>
      <c r="C744" s="7" t="s">
        <v>21</v>
      </c>
      <c r="K744" s="7">
        <v>600.0</v>
      </c>
      <c r="N744" s="8">
        <v>44080.0</v>
      </c>
    </row>
    <row r="745">
      <c r="A745" s="7">
        <v>744.0</v>
      </c>
      <c r="B745" s="7" t="s">
        <v>1358</v>
      </c>
      <c r="C745" s="7" t="s">
        <v>21</v>
      </c>
      <c r="K745" s="7">
        <v>200.0</v>
      </c>
      <c r="N745" s="8">
        <v>43942.0</v>
      </c>
    </row>
    <row r="746">
      <c r="A746" s="7">
        <v>745.0</v>
      </c>
      <c r="B746" s="7" t="s">
        <v>230</v>
      </c>
      <c r="C746" s="7" t="s">
        <v>21</v>
      </c>
      <c r="K746" s="7">
        <v>90.0</v>
      </c>
      <c r="N746" s="8">
        <v>44130.0</v>
      </c>
    </row>
    <row r="747">
      <c r="A747" s="7">
        <v>746.0</v>
      </c>
      <c r="B747" s="7" t="s">
        <v>235</v>
      </c>
      <c r="C747" s="7" t="s">
        <v>21</v>
      </c>
      <c r="N747" s="8">
        <v>44217.0</v>
      </c>
    </row>
    <row r="748">
      <c r="A748" s="7">
        <v>747.0</v>
      </c>
      <c r="B748" s="7" t="s">
        <v>1360</v>
      </c>
      <c r="C748" s="7" t="s">
        <v>21</v>
      </c>
      <c r="K748" s="7">
        <v>20.0</v>
      </c>
      <c r="N748" s="8">
        <v>44207.0</v>
      </c>
    </row>
    <row r="749">
      <c r="A749" s="7">
        <v>748.0</v>
      </c>
      <c r="B749" s="7" t="s">
        <v>1361</v>
      </c>
      <c r="C749" s="7" t="s">
        <v>21</v>
      </c>
      <c r="N749" s="8">
        <v>44297.0</v>
      </c>
    </row>
    <row r="750">
      <c r="A750" s="7">
        <v>749.0</v>
      </c>
      <c r="B750" s="7" t="s">
        <v>1363</v>
      </c>
      <c r="C750" s="7" t="s">
        <v>21</v>
      </c>
      <c r="K750" s="7">
        <v>1000.0</v>
      </c>
      <c r="N750" s="8">
        <v>44056.0</v>
      </c>
    </row>
    <row r="751">
      <c r="A751" s="7">
        <v>750.0</v>
      </c>
      <c r="B751" s="7" t="s">
        <v>1364</v>
      </c>
      <c r="C751" s="7" t="s">
        <v>21</v>
      </c>
      <c r="K751" s="7">
        <v>20.0</v>
      </c>
      <c r="N751" s="8">
        <v>45873.0</v>
      </c>
    </row>
    <row r="752">
      <c r="A752" s="7">
        <v>751.0</v>
      </c>
      <c r="B752" s="7" t="s">
        <v>1365</v>
      </c>
      <c r="C752" s="7" t="s">
        <v>21</v>
      </c>
      <c r="K752" s="7">
        <v>1200.0</v>
      </c>
      <c r="N752" s="8">
        <v>44688.0</v>
      </c>
    </row>
    <row r="753">
      <c r="A753" s="7">
        <v>752.0</v>
      </c>
      <c r="B753" s="7" t="s">
        <v>1367</v>
      </c>
      <c r="C753" s="7" t="s">
        <v>21</v>
      </c>
      <c r="K753" s="7">
        <v>400.0</v>
      </c>
      <c r="N753" s="8">
        <v>44925.0</v>
      </c>
    </row>
    <row r="754">
      <c r="A754" s="7">
        <v>753.0</v>
      </c>
      <c r="B754" s="7" t="s">
        <v>1368</v>
      </c>
      <c r="C754" s="7" t="s">
        <v>21</v>
      </c>
      <c r="K754" s="7">
        <v>70.0</v>
      </c>
      <c r="N754" s="8">
        <v>43954.0</v>
      </c>
    </row>
    <row r="755">
      <c r="A755" s="7">
        <v>754.0</v>
      </c>
      <c r="B755" s="7" t="s">
        <v>1370</v>
      </c>
      <c r="C755" s="7" t="s">
        <v>21</v>
      </c>
      <c r="K755" s="7">
        <v>20.0</v>
      </c>
      <c r="N755" s="8">
        <v>44251.0</v>
      </c>
    </row>
    <row r="756">
      <c r="A756" s="7">
        <v>755.0</v>
      </c>
      <c r="B756" s="7" t="s">
        <v>238</v>
      </c>
      <c r="C756" s="7" t="s">
        <v>21</v>
      </c>
      <c r="K756" s="7">
        <v>30.0</v>
      </c>
      <c r="N756" s="8">
        <v>44342.0</v>
      </c>
    </row>
    <row r="757">
      <c r="A757" s="7">
        <v>756.0</v>
      </c>
      <c r="B757" s="7" t="s">
        <v>1372</v>
      </c>
      <c r="C757" s="7" t="s">
        <v>21</v>
      </c>
      <c r="K757" s="7">
        <v>200.0</v>
      </c>
      <c r="N757" s="8">
        <v>45591.0</v>
      </c>
    </row>
    <row r="758">
      <c r="A758" s="7">
        <v>757.0</v>
      </c>
      <c r="B758" s="7" t="s">
        <v>1373</v>
      </c>
      <c r="C758" s="7" t="s">
        <v>21</v>
      </c>
      <c r="K758" s="7">
        <v>60.0</v>
      </c>
      <c r="N758" s="8">
        <v>44265.0</v>
      </c>
    </row>
    <row r="759">
      <c r="A759" s="7">
        <v>758.0</v>
      </c>
      <c r="B759" s="7" t="s">
        <v>1374</v>
      </c>
      <c r="C759" s="7" t="s">
        <v>21</v>
      </c>
      <c r="K759" s="7">
        <v>70.0</v>
      </c>
      <c r="N759" s="8">
        <v>44065.0</v>
      </c>
    </row>
    <row r="760">
      <c r="A760" s="7">
        <v>759.0</v>
      </c>
      <c r="B760" s="7" t="s">
        <v>1375</v>
      </c>
      <c r="C760" s="7" t="s">
        <v>21</v>
      </c>
      <c r="K760" s="7">
        <v>10.0</v>
      </c>
      <c r="N760" s="8">
        <v>44945.0</v>
      </c>
    </row>
    <row r="761">
      <c r="A761" s="7">
        <v>760.0</v>
      </c>
      <c r="B761" s="7" t="s">
        <v>1376</v>
      </c>
      <c r="C761" s="7" t="s">
        <v>21</v>
      </c>
      <c r="K761" s="7">
        <v>300.0</v>
      </c>
      <c r="N761" s="8">
        <v>44139.0</v>
      </c>
    </row>
    <row r="762">
      <c r="A762" s="7">
        <v>761.0</v>
      </c>
      <c r="B762" s="7" t="s">
        <v>1377</v>
      </c>
      <c r="C762" s="7" t="s">
        <v>21</v>
      </c>
      <c r="K762" s="7">
        <v>50.0</v>
      </c>
      <c r="N762" s="8">
        <v>44594.0</v>
      </c>
    </row>
    <row r="763">
      <c r="A763" s="7">
        <v>762.0</v>
      </c>
      <c r="B763" s="7" t="s">
        <v>242</v>
      </c>
      <c r="C763" s="7" t="s">
        <v>21</v>
      </c>
      <c r="K763" s="7">
        <v>40.0</v>
      </c>
      <c r="N763" s="8">
        <v>44938.0</v>
      </c>
    </row>
    <row r="764">
      <c r="A764" s="7">
        <v>763.0</v>
      </c>
      <c r="B764" s="7" t="s">
        <v>1379</v>
      </c>
      <c r="C764" s="7" t="s">
        <v>21</v>
      </c>
      <c r="K764" s="7">
        <v>200.0</v>
      </c>
      <c r="N764" s="8">
        <v>45516.0</v>
      </c>
    </row>
    <row r="765">
      <c r="A765" s="7">
        <v>764.0</v>
      </c>
      <c r="B765" s="7" t="s">
        <v>1380</v>
      </c>
      <c r="C765" s="7" t="s">
        <v>21</v>
      </c>
      <c r="K765" s="7">
        <v>10.0</v>
      </c>
      <c r="N765" s="8">
        <v>44348.0</v>
      </c>
    </row>
    <row r="766">
      <c r="A766" s="7">
        <v>765.0</v>
      </c>
      <c r="B766" s="7" t="s">
        <v>1381</v>
      </c>
      <c r="C766" s="7" t="s">
        <v>21</v>
      </c>
      <c r="K766" s="7">
        <v>1700.0</v>
      </c>
      <c r="N766" s="8">
        <v>45278.0</v>
      </c>
    </row>
    <row r="767">
      <c r="A767" s="7">
        <v>766.0</v>
      </c>
      <c r="B767" s="7" t="s">
        <v>1382</v>
      </c>
      <c r="C767" s="7" t="s">
        <v>21</v>
      </c>
      <c r="K767" s="7">
        <v>700.0</v>
      </c>
      <c r="N767" s="8">
        <v>44119.0</v>
      </c>
    </row>
    <row r="768">
      <c r="A768" s="7">
        <v>767.0</v>
      </c>
      <c r="B768" s="7" t="s">
        <v>1383</v>
      </c>
      <c r="C768" s="7" t="s">
        <v>21</v>
      </c>
      <c r="K768" s="7">
        <v>150.0</v>
      </c>
      <c r="N768" s="8">
        <v>44116.0</v>
      </c>
    </row>
    <row r="769">
      <c r="A769" s="7">
        <v>768.0</v>
      </c>
      <c r="B769" s="7" t="s">
        <v>1384</v>
      </c>
      <c r="C769" s="7" t="s">
        <v>21</v>
      </c>
      <c r="K769" s="7">
        <v>70.0</v>
      </c>
      <c r="N769" s="8">
        <v>44820.0</v>
      </c>
    </row>
    <row r="770">
      <c r="A770" s="7">
        <v>769.0</v>
      </c>
      <c r="B770" s="7" t="s">
        <v>1386</v>
      </c>
      <c r="C770" s="7" t="s">
        <v>21</v>
      </c>
      <c r="K770" s="7">
        <v>5200.0</v>
      </c>
      <c r="N770" s="8">
        <v>44070.0</v>
      </c>
    </row>
    <row r="771">
      <c r="A771" s="7">
        <v>770.0</v>
      </c>
      <c r="B771" s="7" t="s">
        <v>1387</v>
      </c>
      <c r="C771" s="7" t="s">
        <v>21</v>
      </c>
      <c r="N771" s="8">
        <v>44080.0</v>
      </c>
    </row>
    <row r="772">
      <c r="A772" s="7">
        <v>771.0</v>
      </c>
      <c r="B772" s="7" t="s">
        <v>1388</v>
      </c>
      <c r="C772" s="7" t="s">
        <v>21</v>
      </c>
      <c r="K772" s="7">
        <v>700.0</v>
      </c>
      <c r="N772" s="8">
        <v>45335.0</v>
      </c>
    </row>
    <row r="773">
      <c r="A773" s="7">
        <v>772.0</v>
      </c>
      <c r="B773" s="7" t="s">
        <v>1390</v>
      </c>
      <c r="C773" s="7" t="s">
        <v>21</v>
      </c>
      <c r="K773" s="7">
        <v>20.0</v>
      </c>
      <c r="N773" s="8">
        <v>44361.0</v>
      </c>
    </row>
    <row r="774">
      <c r="A774" s="7">
        <v>773.0</v>
      </c>
      <c r="B774" s="7" t="s">
        <v>1391</v>
      </c>
      <c r="C774" s="7" t="s">
        <v>21</v>
      </c>
      <c r="N774" s="8">
        <v>44229.0</v>
      </c>
    </row>
    <row r="775">
      <c r="A775" s="7">
        <v>774.0</v>
      </c>
      <c r="B775" s="7" t="s">
        <v>1392</v>
      </c>
      <c r="C775" s="7" t="s">
        <v>21</v>
      </c>
      <c r="K775" s="7">
        <v>20.0</v>
      </c>
      <c r="N775" s="8">
        <v>44354.0</v>
      </c>
    </row>
    <row r="776">
      <c r="A776" s="7">
        <v>775.0</v>
      </c>
      <c r="B776" s="7" t="s">
        <v>1394</v>
      </c>
      <c r="C776" s="7" t="s">
        <v>21</v>
      </c>
      <c r="K776" s="7">
        <v>500.0</v>
      </c>
      <c r="N776" s="8">
        <v>43860.0</v>
      </c>
    </row>
    <row r="777">
      <c r="A777" s="7">
        <v>776.0</v>
      </c>
      <c r="B777" s="7" t="s">
        <v>1395</v>
      </c>
      <c r="C777" s="7" t="s">
        <v>21</v>
      </c>
      <c r="K777" s="7">
        <v>200.0</v>
      </c>
      <c r="N777" s="8">
        <v>43964.0</v>
      </c>
    </row>
    <row r="778">
      <c r="A778" s="7">
        <v>777.0</v>
      </c>
      <c r="B778" s="7" t="s">
        <v>1397</v>
      </c>
      <c r="C778" s="7" t="s">
        <v>21</v>
      </c>
      <c r="K778" s="7">
        <v>60.0</v>
      </c>
      <c r="N778" s="8">
        <v>44253.0</v>
      </c>
    </row>
    <row r="779">
      <c r="A779" s="7">
        <v>778.0</v>
      </c>
      <c r="B779" s="7" t="s">
        <v>1398</v>
      </c>
      <c r="C779" s="7" t="s">
        <v>21</v>
      </c>
      <c r="K779" s="7">
        <v>1100.0</v>
      </c>
      <c r="N779" s="8">
        <v>44361.0</v>
      </c>
    </row>
    <row r="780">
      <c r="A780" s="7">
        <v>779.0</v>
      </c>
      <c r="B780" s="7" t="s">
        <v>1400</v>
      </c>
      <c r="C780" s="7" t="s">
        <v>21</v>
      </c>
      <c r="K780" s="7">
        <v>30.0</v>
      </c>
      <c r="N780" s="8">
        <v>45075.0</v>
      </c>
    </row>
    <row r="781">
      <c r="A781" s="7">
        <v>780.0</v>
      </c>
      <c r="B781" s="7" t="s">
        <v>1401</v>
      </c>
      <c r="C781" s="7" t="s">
        <v>21</v>
      </c>
      <c r="K781" s="7">
        <v>600.0</v>
      </c>
      <c r="N781" s="8">
        <v>44121.0</v>
      </c>
    </row>
    <row r="782">
      <c r="A782" s="7">
        <v>781.0</v>
      </c>
      <c r="B782" s="7" t="s">
        <v>1402</v>
      </c>
      <c r="C782" s="7" t="s">
        <v>21</v>
      </c>
      <c r="K782" s="7">
        <v>1100.0</v>
      </c>
      <c r="N782" s="8">
        <v>44725.0</v>
      </c>
    </row>
    <row r="783">
      <c r="A783" s="7">
        <v>782.0</v>
      </c>
      <c r="B783" s="7" t="s">
        <v>100</v>
      </c>
      <c r="C783" s="7" t="s">
        <v>21</v>
      </c>
      <c r="K783" s="7">
        <v>500.0</v>
      </c>
      <c r="N783" s="8">
        <v>44579.0</v>
      </c>
    </row>
    <row r="784">
      <c r="A784" s="7">
        <v>783.0</v>
      </c>
      <c r="B784" s="7" t="s">
        <v>102</v>
      </c>
      <c r="C784" s="7" t="s">
        <v>21</v>
      </c>
      <c r="K784" s="7">
        <v>100.0</v>
      </c>
      <c r="N784" s="8">
        <v>45211.0</v>
      </c>
    </row>
    <row r="785">
      <c r="A785" s="7">
        <v>784.0</v>
      </c>
      <c r="B785" s="7" t="s">
        <v>1404</v>
      </c>
      <c r="C785" s="7" t="s">
        <v>21</v>
      </c>
      <c r="K785" s="7">
        <v>100.0</v>
      </c>
      <c r="N785" s="8">
        <v>43988.0</v>
      </c>
    </row>
    <row r="786">
      <c r="A786" s="7">
        <v>785.0</v>
      </c>
      <c r="B786" s="7" t="s">
        <v>1405</v>
      </c>
      <c r="C786" s="7" t="s">
        <v>21</v>
      </c>
      <c r="K786" s="7">
        <v>3000.0</v>
      </c>
      <c r="N786" s="8">
        <v>43921.0</v>
      </c>
    </row>
    <row r="787">
      <c r="A787" s="7">
        <v>786.0</v>
      </c>
      <c r="B787" s="7" t="s">
        <v>1406</v>
      </c>
      <c r="C787" s="7" t="s">
        <v>21</v>
      </c>
      <c r="K787" s="7">
        <v>1300.0</v>
      </c>
      <c r="N787" s="8">
        <v>44328.0</v>
      </c>
    </row>
    <row r="788">
      <c r="A788" s="7">
        <v>787.0</v>
      </c>
      <c r="B788" s="7" t="s">
        <v>1408</v>
      </c>
      <c r="C788" s="7" t="s">
        <v>21</v>
      </c>
      <c r="K788" s="7">
        <v>30.0</v>
      </c>
      <c r="N788" s="8">
        <v>44111.0</v>
      </c>
    </row>
    <row r="789">
      <c r="A789" s="7">
        <v>788.0</v>
      </c>
      <c r="B789" s="7" t="s">
        <v>1409</v>
      </c>
      <c r="C789" s="7" t="s">
        <v>21</v>
      </c>
      <c r="K789" s="7">
        <v>400.0</v>
      </c>
      <c r="N789" s="8">
        <v>43999.0</v>
      </c>
    </row>
    <row r="790">
      <c r="A790" s="7">
        <v>789.0</v>
      </c>
      <c r="B790" s="7" t="s">
        <v>1410</v>
      </c>
      <c r="C790" s="7" t="s">
        <v>21</v>
      </c>
      <c r="K790" s="7">
        <v>30.0</v>
      </c>
      <c r="N790" s="8">
        <v>45546.0</v>
      </c>
    </row>
    <row r="791">
      <c r="A791" s="7">
        <v>790.0</v>
      </c>
      <c r="B791" s="7" t="s">
        <v>1412</v>
      </c>
      <c r="C791" s="7" t="s">
        <v>21</v>
      </c>
      <c r="N791" s="8">
        <v>45469.0</v>
      </c>
    </row>
    <row r="792">
      <c r="A792" s="7">
        <v>791.0</v>
      </c>
      <c r="B792" s="7" t="s">
        <v>1413</v>
      </c>
      <c r="C792" s="7" t="s">
        <v>21</v>
      </c>
      <c r="K792" s="7">
        <v>100.0</v>
      </c>
      <c r="N792" s="8">
        <v>44330.0</v>
      </c>
    </row>
    <row r="793">
      <c r="A793" s="7">
        <v>792.0</v>
      </c>
      <c r="B793" s="7" t="s">
        <v>1414</v>
      </c>
      <c r="C793" s="7" t="s">
        <v>21</v>
      </c>
      <c r="K793" s="7">
        <v>1900.0</v>
      </c>
      <c r="N793" s="8">
        <v>43954.0</v>
      </c>
    </row>
    <row r="794">
      <c r="A794" s="7">
        <v>793.0</v>
      </c>
      <c r="B794" s="7" t="s">
        <v>1416</v>
      </c>
      <c r="C794" s="7" t="s">
        <v>21</v>
      </c>
      <c r="K794" s="7">
        <v>30.0</v>
      </c>
      <c r="N794" s="8">
        <v>44075.0</v>
      </c>
    </row>
    <row r="795">
      <c r="A795" s="7">
        <v>794.0</v>
      </c>
      <c r="B795" s="7" t="s">
        <v>1419</v>
      </c>
      <c r="C795" s="7" t="s">
        <v>21</v>
      </c>
      <c r="N795" s="8">
        <v>43876.0</v>
      </c>
    </row>
    <row r="796">
      <c r="A796" s="7">
        <v>795.0</v>
      </c>
      <c r="B796" s="7" t="s">
        <v>1420</v>
      </c>
      <c r="C796" s="7" t="s">
        <v>21</v>
      </c>
      <c r="K796" s="7">
        <v>90.0</v>
      </c>
      <c r="N796" s="8">
        <v>43880.0</v>
      </c>
    </row>
    <row r="797">
      <c r="A797" s="7">
        <v>796.0</v>
      </c>
      <c r="B797" s="7" t="s">
        <v>1422</v>
      </c>
      <c r="C797" s="7" t="s">
        <v>21</v>
      </c>
      <c r="N797" s="8">
        <v>45873.0</v>
      </c>
    </row>
    <row r="798">
      <c r="A798" s="7">
        <v>797.0</v>
      </c>
      <c r="B798" s="7" t="s">
        <v>1423</v>
      </c>
      <c r="C798" s="7" t="s">
        <v>21</v>
      </c>
      <c r="K798" s="7">
        <v>300.0</v>
      </c>
      <c r="N798" s="8">
        <v>44378.0</v>
      </c>
    </row>
    <row r="799">
      <c r="A799" s="7">
        <v>798.0</v>
      </c>
      <c r="B799" s="7" t="s">
        <v>1425</v>
      </c>
      <c r="C799" s="7" t="s">
        <v>21</v>
      </c>
      <c r="K799" s="7">
        <v>350.0</v>
      </c>
      <c r="N799" s="8">
        <v>43845.0</v>
      </c>
    </row>
    <row r="800">
      <c r="A800" s="7">
        <v>799.0</v>
      </c>
      <c r="B800" s="7" t="s">
        <v>1426</v>
      </c>
      <c r="C800" s="7" t="s">
        <v>21</v>
      </c>
      <c r="K800" s="7">
        <v>40.0</v>
      </c>
      <c r="N800" s="8">
        <v>45325.0</v>
      </c>
    </row>
    <row r="801">
      <c r="A801" s="7">
        <v>800.0</v>
      </c>
      <c r="B801" s="7" t="s">
        <v>1427</v>
      </c>
      <c r="C801" s="7" t="s">
        <v>21</v>
      </c>
      <c r="K801" s="7">
        <v>20.0</v>
      </c>
      <c r="N801" s="8">
        <v>43852.0</v>
      </c>
    </row>
    <row r="802">
      <c r="A802" s="7">
        <v>801.0</v>
      </c>
      <c r="B802" s="7" t="s">
        <v>105</v>
      </c>
      <c r="C802" s="7" t="s">
        <v>21</v>
      </c>
      <c r="K802" s="7">
        <v>250.0</v>
      </c>
      <c r="N802" s="8">
        <v>44370.0</v>
      </c>
    </row>
    <row r="803">
      <c r="A803" s="7">
        <v>802.0</v>
      </c>
      <c r="B803" s="7" t="s">
        <v>107</v>
      </c>
      <c r="C803" s="7" t="s">
        <v>21</v>
      </c>
      <c r="K803" s="7">
        <v>800.0</v>
      </c>
      <c r="N803" s="8">
        <v>45026.0</v>
      </c>
    </row>
    <row r="804">
      <c r="A804" s="7">
        <v>803.0</v>
      </c>
      <c r="B804" s="7" t="s">
        <v>1428</v>
      </c>
      <c r="C804" s="7" t="s">
        <v>21</v>
      </c>
      <c r="K804" s="7">
        <v>900.0</v>
      </c>
      <c r="N804" s="8">
        <v>43275.0</v>
      </c>
    </row>
    <row r="805">
      <c r="A805" s="7">
        <v>804.0</v>
      </c>
      <c r="B805" s="7" t="s">
        <v>1429</v>
      </c>
      <c r="C805" s="7" t="s">
        <v>21</v>
      </c>
      <c r="K805" s="7">
        <v>60.0</v>
      </c>
      <c r="N805" s="8">
        <v>44769.0</v>
      </c>
    </row>
    <row r="806">
      <c r="A806" s="7">
        <v>805.0</v>
      </c>
      <c r="B806" s="7" t="s">
        <v>1431</v>
      </c>
      <c r="C806" s="7" t="s">
        <v>21</v>
      </c>
      <c r="K806" s="7">
        <v>90.0</v>
      </c>
      <c r="N806" s="8">
        <v>45162.0</v>
      </c>
    </row>
    <row r="807">
      <c r="A807" s="7">
        <v>806.0</v>
      </c>
      <c r="B807" s="7" t="s">
        <v>1432</v>
      </c>
      <c r="C807" s="7" t="s">
        <v>21</v>
      </c>
      <c r="K807" s="7">
        <v>10.0</v>
      </c>
      <c r="N807" s="8">
        <v>45049.0</v>
      </c>
    </row>
    <row r="808">
      <c r="A808" s="7">
        <v>807.0</v>
      </c>
      <c r="B808" s="7" t="s">
        <v>1433</v>
      </c>
      <c r="C808" s="7" t="s">
        <v>21</v>
      </c>
      <c r="K808" s="7">
        <v>30.0</v>
      </c>
      <c r="N808" s="8">
        <v>45873.0</v>
      </c>
    </row>
    <row r="809">
      <c r="A809" s="7">
        <v>808.0</v>
      </c>
      <c r="B809" s="7" t="s">
        <v>1434</v>
      </c>
      <c r="C809" s="7" t="s">
        <v>21</v>
      </c>
      <c r="K809" s="7">
        <v>150.0</v>
      </c>
      <c r="N809" s="8">
        <v>44745.0</v>
      </c>
    </row>
    <row r="810">
      <c r="A810" s="7">
        <v>809.0</v>
      </c>
      <c r="B810" s="7" t="s">
        <v>1435</v>
      </c>
      <c r="C810" s="7" t="s">
        <v>21</v>
      </c>
      <c r="K810" s="7">
        <v>600.0</v>
      </c>
      <c r="N810" s="8">
        <v>44361.0</v>
      </c>
    </row>
    <row r="811">
      <c r="A811" s="7">
        <v>810.0</v>
      </c>
      <c r="B811" s="7" t="s">
        <v>1437</v>
      </c>
      <c r="C811" s="7" t="s">
        <v>21</v>
      </c>
      <c r="K811" s="7">
        <v>300.0</v>
      </c>
      <c r="N811" s="8">
        <v>44586.0</v>
      </c>
    </row>
    <row r="812">
      <c r="A812" s="7">
        <v>811.0</v>
      </c>
      <c r="B812" s="7" t="s">
        <v>1438</v>
      </c>
      <c r="C812" s="7" t="s">
        <v>21</v>
      </c>
      <c r="K812" s="7">
        <v>100.0</v>
      </c>
      <c r="N812" s="8">
        <v>43928.0</v>
      </c>
    </row>
    <row r="813">
      <c r="A813" s="7">
        <v>812.0</v>
      </c>
      <c r="B813" s="7" t="s">
        <v>1439</v>
      </c>
      <c r="C813" s="7" t="s">
        <v>21</v>
      </c>
      <c r="K813" s="7">
        <v>100.0</v>
      </c>
      <c r="N813" s="8">
        <v>45216.0</v>
      </c>
    </row>
    <row r="814">
      <c r="A814" s="7">
        <v>813.0</v>
      </c>
      <c r="B814" s="7" t="s">
        <v>1440</v>
      </c>
      <c r="C814" s="7" t="s">
        <v>21</v>
      </c>
      <c r="K814" s="7">
        <v>500.0</v>
      </c>
      <c r="N814" s="8">
        <v>44570.0</v>
      </c>
    </row>
    <row r="815">
      <c r="A815" s="7">
        <v>814.0</v>
      </c>
      <c r="B815" s="7" t="s">
        <v>110</v>
      </c>
      <c r="C815" s="7" t="s">
        <v>21</v>
      </c>
      <c r="K815" s="7">
        <v>3400.0</v>
      </c>
      <c r="N815" s="8">
        <v>43868.0</v>
      </c>
    </row>
    <row r="816">
      <c r="A816" s="7">
        <v>815.0</v>
      </c>
      <c r="B816" s="7" t="s">
        <v>1441</v>
      </c>
      <c r="C816" s="7" t="s">
        <v>21</v>
      </c>
      <c r="K816" s="7">
        <v>90.0</v>
      </c>
      <c r="N816" s="8">
        <v>44641.0</v>
      </c>
    </row>
    <row r="817">
      <c r="A817" s="7">
        <v>816.0</v>
      </c>
      <c r="B817" s="7" t="s">
        <v>1443</v>
      </c>
      <c r="C817" s="7" t="s">
        <v>21</v>
      </c>
      <c r="K817" s="7">
        <v>17000.0</v>
      </c>
      <c r="N817" s="8">
        <v>44147.0</v>
      </c>
      <c r="O817" s="7" t="s">
        <v>41</v>
      </c>
      <c r="P817" s="7" t="s">
        <v>25</v>
      </c>
      <c r="S817" s="7" t="s">
        <v>28</v>
      </c>
    </row>
    <row r="818">
      <c r="A818" s="7">
        <v>817.0</v>
      </c>
      <c r="B818" s="7" t="s">
        <v>1444</v>
      </c>
      <c r="C818" s="7" t="s">
        <v>21</v>
      </c>
      <c r="N818" s="8">
        <v>43840.0</v>
      </c>
    </row>
    <row r="819">
      <c r="A819" s="7">
        <v>818.0</v>
      </c>
      <c r="B819" s="7" t="s">
        <v>1445</v>
      </c>
      <c r="C819" s="7" t="s">
        <v>21</v>
      </c>
      <c r="K819" s="7">
        <v>40.0</v>
      </c>
      <c r="N819" s="8">
        <v>44863.0</v>
      </c>
    </row>
    <row r="820">
      <c r="A820" s="7">
        <v>819.0</v>
      </c>
      <c r="B820" s="7" t="s">
        <v>1446</v>
      </c>
      <c r="C820" s="7" t="s">
        <v>21</v>
      </c>
      <c r="K820" s="7">
        <v>100.0</v>
      </c>
      <c r="N820" s="8">
        <v>44972.0</v>
      </c>
    </row>
    <row r="821">
      <c r="A821" s="7">
        <v>820.0</v>
      </c>
      <c r="B821" s="7" t="s">
        <v>247</v>
      </c>
      <c r="C821" s="7" t="s">
        <v>21</v>
      </c>
      <c r="K821" s="7">
        <v>900.0</v>
      </c>
      <c r="N821" s="8">
        <v>44621.0</v>
      </c>
    </row>
    <row r="822">
      <c r="A822" s="7">
        <v>821.0</v>
      </c>
      <c r="B822" s="7" t="s">
        <v>249</v>
      </c>
      <c r="C822" s="7" t="s">
        <v>21</v>
      </c>
      <c r="K822" s="7">
        <v>40.0</v>
      </c>
      <c r="N822" s="8">
        <v>45381.0</v>
      </c>
    </row>
    <row r="823">
      <c r="A823" s="7">
        <v>822.0</v>
      </c>
      <c r="B823" s="7" t="s">
        <v>1447</v>
      </c>
      <c r="C823" s="7" t="s">
        <v>21</v>
      </c>
      <c r="K823" s="7">
        <v>1000.0</v>
      </c>
      <c r="N823" s="8">
        <v>45873.0</v>
      </c>
    </row>
    <row r="824">
      <c r="A824" s="7">
        <v>823.0</v>
      </c>
      <c r="B824" s="7" t="s">
        <v>1448</v>
      </c>
      <c r="C824" s="7" t="s">
        <v>21</v>
      </c>
      <c r="K824" s="7">
        <v>10.0</v>
      </c>
      <c r="N824" s="8">
        <v>44777.0</v>
      </c>
    </row>
    <row r="825">
      <c r="A825" s="7">
        <v>824.0</v>
      </c>
      <c r="B825" s="7" t="s">
        <v>1449</v>
      </c>
      <c r="C825" s="7" t="s">
        <v>21</v>
      </c>
      <c r="K825" s="7">
        <v>2700.0</v>
      </c>
      <c r="N825" s="8">
        <v>43895.0</v>
      </c>
    </row>
    <row r="826">
      <c r="A826" s="7">
        <v>825.0</v>
      </c>
      <c r="B826" s="7" t="s">
        <v>1451</v>
      </c>
      <c r="C826" s="7" t="s">
        <v>21</v>
      </c>
      <c r="K826" s="7">
        <v>10.0</v>
      </c>
      <c r="N826" s="8">
        <v>45873.0</v>
      </c>
    </row>
    <row r="827">
      <c r="A827" s="7">
        <v>826.0</v>
      </c>
      <c r="B827" s="7" t="s">
        <v>1452</v>
      </c>
      <c r="C827" s="7" t="s">
        <v>21</v>
      </c>
      <c r="K827" s="7">
        <v>400.0</v>
      </c>
      <c r="N827" s="8">
        <v>43855.0</v>
      </c>
    </row>
    <row r="828">
      <c r="A828" s="7">
        <v>827.0</v>
      </c>
      <c r="B828" s="7" t="s">
        <v>1453</v>
      </c>
      <c r="C828" s="7" t="s">
        <v>21</v>
      </c>
      <c r="K828" s="7">
        <v>50.0</v>
      </c>
      <c r="N828" s="8">
        <v>44581.0</v>
      </c>
    </row>
    <row r="829">
      <c r="A829" s="7">
        <v>828.0</v>
      </c>
      <c r="B829" s="7" t="s">
        <v>1454</v>
      </c>
      <c r="C829" s="7" t="s">
        <v>21</v>
      </c>
      <c r="K829" s="7">
        <v>150.0</v>
      </c>
      <c r="N829" s="8">
        <v>44092.0</v>
      </c>
    </row>
    <row r="830">
      <c r="A830" s="7">
        <v>829.0</v>
      </c>
      <c r="B830" s="7" t="s">
        <v>1456</v>
      </c>
      <c r="C830" s="7" t="s">
        <v>21</v>
      </c>
      <c r="K830" s="7">
        <v>150.0</v>
      </c>
      <c r="N830" s="8">
        <v>44917.0</v>
      </c>
    </row>
    <row r="831">
      <c r="A831" s="7">
        <v>830.0</v>
      </c>
      <c r="B831" s="7" t="s">
        <v>1457</v>
      </c>
      <c r="C831" s="7" t="s">
        <v>21</v>
      </c>
      <c r="K831" s="7">
        <v>500.0</v>
      </c>
      <c r="N831" s="8">
        <v>43869.0</v>
      </c>
    </row>
    <row r="832">
      <c r="A832" s="7">
        <v>831.0</v>
      </c>
      <c r="B832" s="7" t="s">
        <v>1458</v>
      </c>
      <c r="C832" s="7" t="s">
        <v>21</v>
      </c>
      <c r="K832" s="7">
        <v>10.0</v>
      </c>
      <c r="N832" s="8">
        <v>44745.0</v>
      </c>
    </row>
    <row r="833">
      <c r="A833" s="7">
        <v>832.0</v>
      </c>
      <c r="B833" s="7" t="s">
        <v>1459</v>
      </c>
      <c r="C833" s="7" t="s">
        <v>21</v>
      </c>
      <c r="K833" s="7">
        <v>700.0</v>
      </c>
      <c r="N833" s="8">
        <v>44645.0</v>
      </c>
    </row>
    <row r="834">
      <c r="A834" s="7">
        <v>833.0</v>
      </c>
      <c r="B834" s="7" t="s">
        <v>1461</v>
      </c>
      <c r="C834" s="7" t="s">
        <v>21</v>
      </c>
      <c r="K834" s="7">
        <v>30.0</v>
      </c>
      <c r="N834" s="8">
        <v>45163.0</v>
      </c>
    </row>
    <row r="835">
      <c r="A835" s="7">
        <v>834.0</v>
      </c>
      <c r="B835" s="7" t="s">
        <v>1462</v>
      </c>
      <c r="C835" s="7" t="s">
        <v>21</v>
      </c>
      <c r="N835" s="8">
        <v>45432.0</v>
      </c>
    </row>
    <row r="836">
      <c r="A836" s="7">
        <v>835.0</v>
      </c>
      <c r="B836" s="7" t="s">
        <v>1464</v>
      </c>
      <c r="C836" s="7" t="s">
        <v>21</v>
      </c>
      <c r="K836" s="7">
        <v>10.0</v>
      </c>
      <c r="N836" s="8">
        <v>44813.0</v>
      </c>
    </row>
    <row r="837">
      <c r="A837" s="7">
        <v>836.0</v>
      </c>
      <c r="B837" s="7" t="s">
        <v>1465</v>
      </c>
      <c r="C837" s="7" t="s">
        <v>21</v>
      </c>
      <c r="K837" s="7">
        <v>10.0</v>
      </c>
      <c r="N837" s="8">
        <v>44033.0</v>
      </c>
    </row>
    <row r="838">
      <c r="A838" s="7">
        <v>837.0</v>
      </c>
      <c r="B838" s="7" t="s">
        <v>1466</v>
      </c>
      <c r="C838" s="7" t="s">
        <v>21</v>
      </c>
      <c r="K838" s="7">
        <v>30.0</v>
      </c>
      <c r="N838" s="8">
        <v>43894.0</v>
      </c>
    </row>
    <row r="839">
      <c r="A839" s="7">
        <v>838.0</v>
      </c>
      <c r="B839" s="7" t="s">
        <v>1467</v>
      </c>
      <c r="C839" s="7" t="s">
        <v>21</v>
      </c>
      <c r="K839" s="7">
        <v>600.0</v>
      </c>
      <c r="N839" s="8">
        <v>44140.0</v>
      </c>
    </row>
    <row r="840">
      <c r="A840" s="7">
        <v>839.0</v>
      </c>
      <c r="B840" s="7" t="s">
        <v>1469</v>
      </c>
      <c r="C840" s="7" t="s">
        <v>21</v>
      </c>
      <c r="K840" s="7">
        <v>1300.0</v>
      </c>
      <c r="N840" s="8">
        <v>44265.0</v>
      </c>
    </row>
    <row r="841">
      <c r="A841" s="7">
        <v>840.0</v>
      </c>
      <c r="B841" s="7" t="s">
        <v>1470</v>
      </c>
      <c r="C841" s="7" t="s">
        <v>21</v>
      </c>
      <c r="K841" s="7">
        <v>8100.0</v>
      </c>
      <c r="N841" s="8">
        <v>44001.0</v>
      </c>
    </row>
    <row r="842">
      <c r="A842" s="7">
        <v>841.0</v>
      </c>
      <c r="B842" s="7" t="s">
        <v>1471</v>
      </c>
      <c r="C842" s="7" t="s">
        <v>21</v>
      </c>
      <c r="K842" s="7">
        <v>60.0</v>
      </c>
      <c r="N842" s="8">
        <v>44607.0</v>
      </c>
    </row>
    <row r="843">
      <c r="A843" s="7">
        <v>842.0</v>
      </c>
      <c r="B843" s="7" t="s">
        <v>1473</v>
      </c>
      <c r="C843" s="7" t="s">
        <v>21</v>
      </c>
      <c r="K843" s="7">
        <v>150.0</v>
      </c>
      <c r="N843" s="8">
        <v>44638.0</v>
      </c>
    </row>
    <row r="844">
      <c r="A844" s="7">
        <v>843.0</v>
      </c>
      <c r="B844" s="7" t="s">
        <v>1474</v>
      </c>
      <c r="C844" s="7" t="s">
        <v>21</v>
      </c>
      <c r="K844" s="7">
        <v>70.0</v>
      </c>
      <c r="N844" s="8">
        <v>44769.0</v>
      </c>
    </row>
    <row r="845">
      <c r="A845" s="7">
        <v>844.0</v>
      </c>
      <c r="B845" s="7" t="s">
        <v>1475</v>
      </c>
      <c r="C845" s="7" t="s">
        <v>21</v>
      </c>
      <c r="K845" s="7">
        <v>500.0</v>
      </c>
      <c r="N845" s="8">
        <v>43166.0</v>
      </c>
    </row>
    <row r="846">
      <c r="A846" s="7">
        <v>845.0</v>
      </c>
      <c r="B846" s="7" t="s">
        <v>1476</v>
      </c>
      <c r="C846" s="7" t="s">
        <v>21</v>
      </c>
      <c r="K846" s="7">
        <v>40.0</v>
      </c>
      <c r="N846" s="8">
        <v>44230.0</v>
      </c>
    </row>
    <row r="847">
      <c r="A847" s="7">
        <v>846.0</v>
      </c>
      <c r="B847" s="7" t="s">
        <v>1478</v>
      </c>
      <c r="C847" s="7" t="s">
        <v>21</v>
      </c>
      <c r="D847" s="7">
        <v>73.0</v>
      </c>
      <c r="H847" s="7" t="s">
        <v>192</v>
      </c>
      <c r="I847" s="9">
        <v>46161.10569444444</v>
      </c>
      <c r="J847" s="7" t="s">
        <v>40</v>
      </c>
      <c r="K847" s="7">
        <v>80.0</v>
      </c>
      <c r="L847" s="7">
        <v>700.0</v>
      </c>
      <c r="M847" s="7">
        <v>349000.0</v>
      </c>
      <c r="N847" s="8">
        <v>42643.0</v>
      </c>
      <c r="O847" s="7" t="s">
        <v>41</v>
      </c>
      <c r="P847" s="7" t="s">
        <v>25</v>
      </c>
      <c r="S847" s="7" t="s">
        <v>28</v>
      </c>
    </row>
    <row r="848">
      <c r="A848" s="7">
        <v>847.0</v>
      </c>
      <c r="B848" s="7" t="s">
        <v>1479</v>
      </c>
      <c r="C848" s="7" t="s">
        <v>21</v>
      </c>
      <c r="K848" s="7">
        <v>70.0</v>
      </c>
      <c r="N848" s="8">
        <v>45361.0</v>
      </c>
    </row>
    <row r="849">
      <c r="A849" s="7">
        <v>848.0</v>
      </c>
      <c r="B849" s="7" t="s">
        <v>1481</v>
      </c>
      <c r="C849" s="7" t="s">
        <v>21</v>
      </c>
      <c r="N849" s="8">
        <v>45714.0</v>
      </c>
    </row>
    <row r="850">
      <c r="A850" s="7">
        <v>849.0</v>
      </c>
      <c r="B850" s="7" t="s">
        <v>1483</v>
      </c>
      <c r="C850" s="7" t="s">
        <v>21</v>
      </c>
      <c r="K850" s="7">
        <v>20.0</v>
      </c>
      <c r="N850" s="8">
        <v>44568.0</v>
      </c>
    </row>
    <row r="851">
      <c r="A851" s="7">
        <v>850.0</v>
      </c>
      <c r="B851" s="7" t="s">
        <v>1484</v>
      </c>
      <c r="C851" s="7" t="s">
        <v>21</v>
      </c>
      <c r="K851" s="7">
        <v>1400.0</v>
      </c>
      <c r="N851" s="8">
        <v>45910.0</v>
      </c>
    </row>
    <row r="852">
      <c r="A852" s="7">
        <v>851.0</v>
      </c>
      <c r="B852" s="7" t="s">
        <v>1486</v>
      </c>
      <c r="C852" s="7" t="s">
        <v>21</v>
      </c>
      <c r="K852" s="7">
        <v>20.0</v>
      </c>
      <c r="N852" s="8">
        <v>43966.0</v>
      </c>
    </row>
    <row r="853">
      <c r="A853" s="7">
        <v>852.0</v>
      </c>
      <c r="B853" s="7" t="s">
        <v>1487</v>
      </c>
      <c r="C853" s="7" t="s">
        <v>21</v>
      </c>
      <c r="K853" s="7">
        <v>10.0</v>
      </c>
      <c r="N853" s="8">
        <v>44771.0</v>
      </c>
    </row>
    <row r="854">
      <c r="A854" s="7">
        <v>853.0</v>
      </c>
      <c r="B854" s="7" t="s">
        <v>1488</v>
      </c>
      <c r="C854" s="7" t="s">
        <v>21</v>
      </c>
      <c r="K854" s="7">
        <v>90.0</v>
      </c>
      <c r="N854" s="8">
        <v>44792.0</v>
      </c>
    </row>
    <row r="855">
      <c r="A855" s="7">
        <v>854.0</v>
      </c>
      <c r="B855" s="7" t="s">
        <v>1489</v>
      </c>
      <c r="C855" s="7" t="s">
        <v>21</v>
      </c>
      <c r="K855" s="7">
        <v>500.0</v>
      </c>
      <c r="N855" s="8">
        <v>44473.0</v>
      </c>
    </row>
    <row r="856">
      <c r="A856" s="7">
        <v>855.0</v>
      </c>
      <c r="B856" s="7" t="s">
        <v>1490</v>
      </c>
      <c r="C856" s="7" t="s">
        <v>21</v>
      </c>
      <c r="N856" s="8">
        <v>42364.0</v>
      </c>
    </row>
    <row r="857">
      <c r="A857" s="7">
        <v>856.0</v>
      </c>
      <c r="B857" s="7" t="s">
        <v>1491</v>
      </c>
      <c r="C857" s="7" t="s">
        <v>21</v>
      </c>
      <c r="N857" s="8">
        <v>44099.0</v>
      </c>
    </row>
    <row r="858">
      <c r="A858" s="7">
        <v>857.0</v>
      </c>
      <c r="B858" s="7" t="s">
        <v>1492</v>
      </c>
      <c r="C858" s="7" t="s">
        <v>21</v>
      </c>
      <c r="K858" s="7">
        <v>80.0</v>
      </c>
      <c r="N858" s="8">
        <v>45105.0</v>
      </c>
    </row>
    <row r="859">
      <c r="A859" s="7">
        <v>858.0</v>
      </c>
      <c r="B859" s="7" t="s">
        <v>1493</v>
      </c>
      <c r="C859" s="7" t="s">
        <v>21</v>
      </c>
      <c r="K859" s="7">
        <v>600.0</v>
      </c>
      <c r="N859" s="8">
        <v>43855.0</v>
      </c>
    </row>
    <row r="860">
      <c r="A860" s="7">
        <v>859.0</v>
      </c>
      <c r="B860" s="7" t="s">
        <v>1495</v>
      </c>
      <c r="C860" s="7" t="s">
        <v>21</v>
      </c>
      <c r="N860" s="8">
        <v>44355.0</v>
      </c>
    </row>
    <row r="861">
      <c r="A861" s="7">
        <v>860.0</v>
      </c>
      <c r="B861" s="7" t="s">
        <v>1496</v>
      </c>
      <c r="C861" s="7" t="s">
        <v>21</v>
      </c>
      <c r="K861" s="7">
        <v>600.0</v>
      </c>
      <c r="N861" s="8">
        <v>43926.0</v>
      </c>
    </row>
    <row r="862">
      <c r="A862" s="7">
        <v>861.0</v>
      </c>
      <c r="B862" s="7" t="s">
        <v>1497</v>
      </c>
      <c r="C862" s="7" t="s">
        <v>21</v>
      </c>
      <c r="K862" s="7">
        <v>10.0</v>
      </c>
      <c r="N862" s="8">
        <v>46077.0</v>
      </c>
    </row>
    <row r="863">
      <c r="A863" s="7">
        <v>862.0</v>
      </c>
      <c r="B863" s="7" t="s">
        <v>1498</v>
      </c>
      <c r="C863" s="7" t="s">
        <v>21</v>
      </c>
      <c r="K863" s="7">
        <v>100.0</v>
      </c>
      <c r="N863" s="8">
        <v>42845.0</v>
      </c>
    </row>
    <row r="864">
      <c r="A864" s="7">
        <v>863.0</v>
      </c>
      <c r="B864" s="7" t="s">
        <v>1500</v>
      </c>
      <c r="C864" s="7" t="s">
        <v>21</v>
      </c>
      <c r="N864" s="8">
        <v>44323.0</v>
      </c>
    </row>
    <row r="865">
      <c r="A865" s="7">
        <v>864.0</v>
      </c>
      <c r="B865" s="7" t="s">
        <v>253</v>
      </c>
      <c r="C865" s="7" t="s">
        <v>21</v>
      </c>
      <c r="K865" s="7">
        <v>900.0</v>
      </c>
      <c r="N865" s="8">
        <v>44233.0</v>
      </c>
    </row>
    <row r="866">
      <c r="A866" s="7">
        <v>865.0</v>
      </c>
      <c r="B866" s="7" t="s">
        <v>1501</v>
      </c>
      <c r="C866" s="7" t="s">
        <v>21</v>
      </c>
      <c r="K866" s="7">
        <v>800.0</v>
      </c>
      <c r="N866" s="8">
        <v>44775.0</v>
      </c>
    </row>
    <row r="867">
      <c r="A867" s="7">
        <v>866.0</v>
      </c>
      <c r="B867" s="7" t="s">
        <v>1503</v>
      </c>
      <c r="C867" s="7" t="s">
        <v>21</v>
      </c>
      <c r="K867" s="7">
        <v>500.0</v>
      </c>
      <c r="N867" s="8">
        <v>42376.0</v>
      </c>
    </row>
    <row r="868">
      <c r="A868" s="7">
        <v>867.0</v>
      </c>
      <c r="B868" s="7" t="s">
        <v>1504</v>
      </c>
      <c r="C868" s="7" t="s">
        <v>21</v>
      </c>
      <c r="K868" s="7">
        <v>1400.0</v>
      </c>
      <c r="N868" s="8">
        <v>44361.0</v>
      </c>
    </row>
    <row r="869">
      <c r="A869" s="7">
        <v>868.0</v>
      </c>
      <c r="B869" s="7" t="s">
        <v>1505</v>
      </c>
      <c r="C869" s="7" t="s">
        <v>21</v>
      </c>
      <c r="K869" s="7">
        <v>1500.0</v>
      </c>
      <c r="N869" s="8">
        <v>44246.0</v>
      </c>
    </row>
    <row r="870">
      <c r="A870" s="7">
        <v>869.0</v>
      </c>
      <c r="B870" s="7" t="s">
        <v>1506</v>
      </c>
      <c r="C870" s="7" t="s">
        <v>21</v>
      </c>
      <c r="K870" s="7">
        <v>700.0</v>
      </c>
      <c r="N870" s="8">
        <v>44207.0</v>
      </c>
    </row>
    <row r="871">
      <c r="A871" s="7">
        <v>870.0</v>
      </c>
      <c r="B871" s="7" t="s">
        <v>1507</v>
      </c>
      <c r="C871" s="7" t="s">
        <v>21</v>
      </c>
      <c r="K871" s="7">
        <v>1700.0</v>
      </c>
      <c r="N871" s="8">
        <v>44799.0</v>
      </c>
    </row>
    <row r="872">
      <c r="A872" s="7">
        <v>871.0</v>
      </c>
      <c r="B872" s="7" t="s">
        <v>1509</v>
      </c>
      <c r="C872" s="7" t="s">
        <v>21</v>
      </c>
      <c r="K872" s="7">
        <v>350.0</v>
      </c>
      <c r="N872" s="8">
        <v>44769.0</v>
      </c>
    </row>
    <row r="873">
      <c r="A873" s="7">
        <v>872.0</v>
      </c>
      <c r="B873" s="7" t="s">
        <v>1511</v>
      </c>
      <c r="C873" s="7" t="s">
        <v>21</v>
      </c>
      <c r="K873" s="7">
        <v>20.0</v>
      </c>
      <c r="N873" s="8">
        <v>44207.0</v>
      </c>
    </row>
    <row r="874">
      <c r="A874" s="7">
        <v>873.0</v>
      </c>
      <c r="B874" s="7" t="s">
        <v>1512</v>
      </c>
      <c r="C874" s="7" t="s">
        <v>21</v>
      </c>
      <c r="D874" s="7">
        <v>76.0</v>
      </c>
      <c r="H874" s="7" t="s">
        <v>167</v>
      </c>
      <c r="I874" s="9">
        <v>46145.163564814815</v>
      </c>
      <c r="J874" s="7" t="s">
        <v>40</v>
      </c>
      <c r="L874" s="7">
        <v>3200.0</v>
      </c>
      <c r="M874" s="7">
        <v>59000.0</v>
      </c>
      <c r="N874" s="8">
        <v>45004.0</v>
      </c>
      <c r="O874" s="7" t="s">
        <v>41</v>
      </c>
      <c r="P874" s="7" t="s">
        <v>25</v>
      </c>
      <c r="S874" s="7" t="s">
        <v>28</v>
      </c>
    </row>
    <row r="875">
      <c r="A875" s="7">
        <v>874.0</v>
      </c>
      <c r="B875" s="7" t="s">
        <v>1513</v>
      </c>
      <c r="C875" s="7" t="s">
        <v>21</v>
      </c>
      <c r="K875" s="7">
        <v>20.0</v>
      </c>
      <c r="N875" s="8">
        <v>44875.0</v>
      </c>
    </row>
    <row r="876">
      <c r="A876" s="7">
        <v>875.0</v>
      </c>
      <c r="B876" s="7" t="s">
        <v>1515</v>
      </c>
      <c r="C876" s="7" t="s">
        <v>21</v>
      </c>
      <c r="K876" s="7">
        <v>10.0</v>
      </c>
      <c r="N876" s="8">
        <v>44995.0</v>
      </c>
    </row>
    <row r="877">
      <c r="A877" s="7">
        <v>876.0</v>
      </c>
      <c r="B877" s="7" t="s">
        <v>1516</v>
      </c>
      <c r="C877" s="7" t="s">
        <v>21</v>
      </c>
      <c r="K877" s="7">
        <v>600.0</v>
      </c>
      <c r="N877" s="8">
        <v>44110.0</v>
      </c>
    </row>
    <row r="878">
      <c r="A878" s="7">
        <v>877.0</v>
      </c>
      <c r="B878" s="7" t="s">
        <v>1517</v>
      </c>
      <c r="C878" s="7" t="s">
        <v>21</v>
      </c>
      <c r="N878" s="8">
        <v>44824.0</v>
      </c>
    </row>
    <row r="879">
      <c r="A879" s="7">
        <v>878.0</v>
      </c>
      <c r="B879" s="7" t="s">
        <v>256</v>
      </c>
      <c r="C879" s="7" t="s">
        <v>21</v>
      </c>
      <c r="K879" s="7">
        <v>20.0</v>
      </c>
      <c r="N879" s="8">
        <v>44493.0</v>
      </c>
    </row>
    <row r="880">
      <c r="A880" s="7">
        <v>879.0</v>
      </c>
      <c r="B880" s="7" t="s">
        <v>1518</v>
      </c>
      <c r="C880" s="7" t="s">
        <v>21</v>
      </c>
      <c r="K880" s="7">
        <v>1100.0</v>
      </c>
      <c r="N880" s="8">
        <v>44038.0</v>
      </c>
    </row>
    <row r="881">
      <c r="A881" s="7">
        <v>880.0</v>
      </c>
      <c r="B881" s="7" t="s">
        <v>1519</v>
      </c>
      <c r="C881" s="7" t="s">
        <v>21</v>
      </c>
      <c r="N881" s="8">
        <v>44267.0</v>
      </c>
    </row>
    <row r="882">
      <c r="A882" s="7">
        <v>881.0</v>
      </c>
      <c r="B882" s="7" t="s">
        <v>1520</v>
      </c>
      <c r="C882" s="7" t="s">
        <v>21</v>
      </c>
      <c r="K882" s="7">
        <v>200.0</v>
      </c>
      <c r="N882" s="8">
        <v>44581.0</v>
      </c>
    </row>
    <row r="883">
      <c r="A883" s="7">
        <v>882.0</v>
      </c>
      <c r="B883" s="7" t="s">
        <v>1521</v>
      </c>
      <c r="C883" s="7" t="s">
        <v>21</v>
      </c>
      <c r="K883" s="7">
        <v>70.0</v>
      </c>
      <c r="N883" s="8">
        <v>45016.0</v>
      </c>
    </row>
    <row r="884">
      <c r="A884" s="7">
        <v>883.0</v>
      </c>
      <c r="B884" s="7" t="s">
        <v>1522</v>
      </c>
      <c r="C884" s="7" t="s">
        <v>21</v>
      </c>
      <c r="K884" s="7">
        <v>10.0</v>
      </c>
      <c r="N884" s="8">
        <v>44952.0</v>
      </c>
    </row>
    <row r="885">
      <c r="A885" s="7">
        <v>884.0</v>
      </c>
      <c r="B885" s="7" t="s">
        <v>1523</v>
      </c>
      <c r="C885" s="7" t="s">
        <v>21</v>
      </c>
      <c r="K885" s="7">
        <v>80.0</v>
      </c>
      <c r="N885" s="8">
        <v>44568.0</v>
      </c>
    </row>
    <row r="886">
      <c r="A886" s="7">
        <v>885.0</v>
      </c>
      <c r="B886" s="7" t="s">
        <v>260</v>
      </c>
      <c r="C886" s="7" t="s">
        <v>21</v>
      </c>
      <c r="K886" s="7">
        <v>20.0</v>
      </c>
      <c r="N886" s="8">
        <v>45537.0</v>
      </c>
    </row>
    <row r="887">
      <c r="A887" s="7">
        <v>886.0</v>
      </c>
      <c r="B887" s="7" t="s">
        <v>1524</v>
      </c>
      <c r="C887" s="7" t="s">
        <v>21</v>
      </c>
      <c r="K887" s="7">
        <v>300.0</v>
      </c>
      <c r="N887" s="8">
        <v>44974.0</v>
      </c>
    </row>
    <row r="888">
      <c r="A888" s="7">
        <v>887.0</v>
      </c>
      <c r="B888" s="7" t="s">
        <v>1525</v>
      </c>
      <c r="C888" s="7" t="s">
        <v>21</v>
      </c>
      <c r="N888" s="8">
        <v>44485.0</v>
      </c>
    </row>
    <row r="889">
      <c r="A889" s="7">
        <v>888.0</v>
      </c>
      <c r="B889" s="7" t="s">
        <v>1526</v>
      </c>
      <c r="C889" s="7" t="s">
        <v>21</v>
      </c>
      <c r="K889" s="7">
        <v>1200.0</v>
      </c>
      <c r="N889" s="8">
        <v>44080.0</v>
      </c>
    </row>
    <row r="890">
      <c r="A890" s="7">
        <v>889.0</v>
      </c>
      <c r="B890" s="7" t="s">
        <v>1527</v>
      </c>
      <c r="C890" s="7" t="s">
        <v>21</v>
      </c>
      <c r="K890" s="7">
        <v>150.0</v>
      </c>
      <c r="N890" s="8">
        <v>44589.0</v>
      </c>
    </row>
    <row r="891">
      <c r="A891" s="7">
        <v>890.0</v>
      </c>
      <c r="B891" s="7" t="s">
        <v>1528</v>
      </c>
      <c r="C891" s="7" t="s">
        <v>21</v>
      </c>
      <c r="K891" s="7">
        <v>40.0</v>
      </c>
      <c r="N891" s="8">
        <v>44227.0</v>
      </c>
    </row>
    <row r="892">
      <c r="A892" s="7">
        <v>891.0</v>
      </c>
      <c r="B892" s="7" t="s">
        <v>1529</v>
      </c>
      <c r="C892" s="7" t="s">
        <v>21</v>
      </c>
      <c r="K892" s="7">
        <v>20.0</v>
      </c>
      <c r="N892" s="8">
        <v>44023.0</v>
      </c>
    </row>
    <row r="893">
      <c r="A893" s="7">
        <v>892.0</v>
      </c>
      <c r="B893" s="7" t="s">
        <v>1530</v>
      </c>
      <c r="C893" s="7" t="s">
        <v>21</v>
      </c>
      <c r="K893" s="7">
        <v>10.0</v>
      </c>
      <c r="N893" s="8">
        <v>44530.0</v>
      </c>
    </row>
    <row r="894">
      <c r="A894" s="7">
        <v>893.0</v>
      </c>
      <c r="B894" s="7" t="s">
        <v>1531</v>
      </c>
      <c r="C894" s="7" t="s">
        <v>21</v>
      </c>
      <c r="K894" s="7">
        <v>80.0</v>
      </c>
      <c r="N894" s="8">
        <v>44164.0</v>
      </c>
    </row>
    <row r="895">
      <c r="A895" s="7">
        <v>894.0</v>
      </c>
      <c r="B895" s="7" t="s">
        <v>1532</v>
      </c>
      <c r="C895" s="7" t="s">
        <v>21</v>
      </c>
      <c r="D895" s="7">
        <v>76.0</v>
      </c>
      <c r="H895" s="7" t="s">
        <v>46</v>
      </c>
      <c r="I895" s="9">
        <v>46148.147939814815</v>
      </c>
      <c r="K895" s="7">
        <v>30.0</v>
      </c>
      <c r="L895" s="7">
        <v>800.0</v>
      </c>
      <c r="M895" s="7">
        <v>194000.0</v>
      </c>
      <c r="N895" s="8">
        <v>42842.0</v>
      </c>
      <c r="O895" s="7" t="s">
        <v>33</v>
      </c>
      <c r="P895" s="7" t="s">
        <v>25</v>
      </c>
      <c r="S895" s="7" t="s">
        <v>28</v>
      </c>
    </row>
    <row r="896">
      <c r="A896" s="7">
        <v>895.0</v>
      </c>
      <c r="B896" s="7" t="s">
        <v>264</v>
      </c>
      <c r="C896" s="7" t="s">
        <v>21</v>
      </c>
      <c r="K896" s="7">
        <v>10.0</v>
      </c>
      <c r="N896" s="8">
        <v>44988.0</v>
      </c>
    </row>
    <row r="897">
      <c r="A897" s="7">
        <v>896.0</v>
      </c>
      <c r="B897" s="7" t="s">
        <v>1533</v>
      </c>
      <c r="C897" s="7" t="s">
        <v>21</v>
      </c>
      <c r="K897" s="7">
        <v>30.0</v>
      </c>
      <c r="N897" s="8">
        <v>44564.0</v>
      </c>
    </row>
    <row r="898">
      <c r="A898" s="7">
        <v>897.0</v>
      </c>
      <c r="B898" s="7" t="s">
        <v>1535</v>
      </c>
      <c r="C898" s="7" t="s">
        <v>21</v>
      </c>
      <c r="K898" s="7">
        <v>60.0</v>
      </c>
      <c r="N898" s="8">
        <v>44418.0</v>
      </c>
    </row>
    <row r="899">
      <c r="A899" s="7">
        <v>898.0</v>
      </c>
      <c r="B899" s="7" t="s">
        <v>1536</v>
      </c>
      <c r="C899" s="7" t="s">
        <v>21</v>
      </c>
      <c r="K899" s="7">
        <v>900.0</v>
      </c>
      <c r="N899" s="8">
        <v>44479.0</v>
      </c>
    </row>
    <row r="900">
      <c r="A900" s="7">
        <v>899.0</v>
      </c>
      <c r="B900" s="7" t="s">
        <v>1537</v>
      </c>
      <c r="C900" s="7" t="s">
        <v>21</v>
      </c>
      <c r="K900" s="7">
        <v>1900.0</v>
      </c>
      <c r="N900" s="8">
        <v>44595.0</v>
      </c>
    </row>
    <row r="901">
      <c r="A901" s="7">
        <v>900.0</v>
      </c>
      <c r="B901" s="7" t="s">
        <v>1538</v>
      </c>
      <c r="C901" s="7" t="s">
        <v>21</v>
      </c>
      <c r="K901" s="7">
        <v>10.0</v>
      </c>
      <c r="N901" s="8">
        <v>44071.0</v>
      </c>
    </row>
    <row r="902">
      <c r="A902" s="7">
        <v>901.0</v>
      </c>
      <c r="B902" s="7" t="s">
        <v>267</v>
      </c>
      <c r="C902" s="7" t="s">
        <v>21</v>
      </c>
      <c r="K902" s="7">
        <v>250.0</v>
      </c>
      <c r="N902" s="8">
        <v>44083.0</v>
      </c>
    </row>
    <row r="903">
      <c r="A903" s="7">
        <v>902.0</v>
      </c>
      <c r="B903" s="7" t="s">
        <v>1540</v>
      </c>
      <c r="C903" s="7" t="s">
        <v>21</v>
      </c>
      <c r="K903" s="7">
        <v>10.0</v>
      </c>
      <c r="N903" s="8">
        <v>45597.0</v>
      </c>
    </row>
    <row r="904">
      <c r="A904" s="7">
        <v>903.0</v>
      </c>
      <c r="B904" s="7" t="s">
        <v>1541</v>
      </c>
      <c r="C904" s="7" t="s">
        <v>21</v>
      </c>
      <c r="K904" s="7">
        <v>450.0</v>
      </c>
      <c r="N904" s="8">
        <v>44272.0</v>
      </c>
    </row>
    <row r="905">
      <c r="A905" s="7">
        <v>904.0</v>
      </c>
      <c r="B905" s="7" t="s">
        <v>1542</v>
      </c>
      <c r="C905" s="7" t="s">
        <v>21</v>
      </c>
      <c r="K905" s="7">
        <v>70.0</v>
      </c>
      <c r="N905" s="8">
        <v>43869.0</v>
      </c>
    </row>
    <row r="906">
      <c r="A906" s="7">
        <v>905.0</v>
      </c>
      <c r="B906" s="7" t="s">
        <v>1543</v>
      </c>
      <c r="C906" s="7" t="s">
        <v>21</v>
      </c>
      <c r="N906" s="8">
        <v>44484.0</v>
      </c>
    </row>
    <row r="907">
      <c r="A907" s="7">
        <v>906.0</v>
      </c>
      <c r="B907" s="7" t="s">
        <v>1544</v>
      </c>
      <c r="C907" s="7" t="s">
        <v>21</v>
      </c>
      <c r="N907" s="8">
        <v>44139.0</v>
      </c>
    </row>
    <row r="908">
      <c r="A908" s="7">
        <v>907.0</v>
      </c>
      <c r="B908" s="7" t="s">
        <v>1546</v>
      </c>
      <c r="C908" s="7" t="s">
        <v>21</v>
      </c>
      <c r="K908" s="7">
        <v>200.0</v>
      </c>
      <c r="N908" s="8">
        <v>43919.0</v>
      </c>
    </row>
    <row r="909">
      <c r="A909" s="7">
        <v>908.0</v>
      </c>
      <c r="B909" s="7" t="s">
        <v>1548</v>
      </c>
      <c r="C909" s="7" t="s">
        <v>21</v>
      </c>
      <c r="K909" s="7">
        <v>20.0</v>
      </c>
      <c r="N909" s="8">
        <v>44206.0</v>
      </c>
    </row>
    <row r="910">
      <c r="A910" s="7">
        <v>909.0</v>
      </c>
      <c r="B910" s="7" t="s">
        <v>1549</v>
      </c>
      <c r="C910" s="7" t="s">
        <v>21</v>
      </c>
      <c r="N910" s="8">
        <v>43903.0</v>
      </c>
    </row>
    <row r="911">
      <c r="A911" s="7">
        <v>910.0</v>
      </c>
      <c r="B911" s="7" t="s">
        <v>1550</v>
      </c>
      <c r="C911" s="7" t="s">
        <v>21</v>
      </c>
      <c r="K911" s="7">
        <v>450.0</v>
      </c>
      <c r="N911" s="8">
        <v>44493.0</v>
      </c>
    </row>
    <row r="912">
      <c r="A912" s="7">
        <v>911.0</v>
      </c>
      <c r="B912" s="7" t="s">
        <v>1551</v>
      </c>
      <c r="C912" s="7" t="s">
        <v>21</v>
      </c>
      <c r="K912" s="7">
        <v>200.0</v>
      </c>
      <c r="N912" s="8">
        <v>44214.0</v>
      </c>
    </row>
    <row r="913">
      <c r="A913" s="7">
        <v>912.0</v>
      </c>
      <c r="B913" s="7" t="s">
        <v>1552</v>
      </c>
      <c r="C913" s="7" t="s">
        <v>21</v>
      </c>
      <c r="K913" s="7">
        <v>150.0</v>
      </c>
      <c r="N913" s="8">
        <v>44091.0</v>
      </c>
    </row>
    <row r="914">
      <c r="A914" s="7">
        <v>913.0</v>
      </c>
      <c r="B914" s="7" t="s">
        <v>1553</v>
      </c>
      <c r="C914" s="7" t="s">
        <v>21</v>
      </c>
      <c r="K914" s="7">
        <v>60.0</v>
      </c>
      <c r="N914" s="8">
        <v>45723.0</v>
      </c>
    </row>
    <row r="915">
      <c r="A915" s="7">
        <v>914.0</v>
      </c>
      <c r="B915" s="7" t="s">
        <v>1554</v>
      </c>
      <c r="C915" s="7" t="s">
        <v>21</v>
      </c>
      <c r="K915" s="7">
        <v>6900.0</v>
      </c>
      <c r="N915" s="8">
        <v>45856.0</v>
      </c>
    </row>
    <row r="916">
      <c r="A916" s="7">
        <v>915.0</v>
      </c>
      <c r="B916" s="7" t="s">
        <v>1556</v>
      </c>
      <c r="C916" s="7" t="s">
        <v>21</v>
      </c>
      <c r="K916" s="7">
        <v>800.0</v>
      </c>
      <c r="N916" s="8">
        <v>44493.0</v>
      </c>
    </row>
    <row r="917">
      <c r="A917" s="7">
        <v>916.0</v>
      </c>
      <c r="B917" s="7" t="s">
        <v>1557</v>
      </c>
      <c r="C917" s="7" t="s">
        <v>21</v>
      </c>
      <c r="K917" s="7">
        <v>450.0</v>
      </c>
      <c r="N917" s="8">
        <v>43991.0</v>
      </c>
    </row>
    <row r="918">
      <c r="A918" s="7">
        <v>917.0</v>
      </c>
      <c r="B918" s="7" t="s">
        <v>1558</v>
      </c>
      <c r="C918" s="7" t="s">
        <v>21</v>
      </c>
      <c r="K918" s="7">
        <v>1000.0</v>
      </c>
      <c r="N918" s="8">
        <v>45788.0</v>
      </c>
    </row>
    <row r="919">
      <c r="A919" s="7">
        <v>918.0</v>
      </c>
      <c r="B919" s="7" t="s">
        <v>1559</v>
      </c>
      <c r="C919" s="7" t="s">
        <v>21</v>
      </c>
      <c r="N919" s="8">
        <v>44855.0</v>
      </c>
    </row>
    <row r="920">
      <c r="A920" s="7">
        <v>919.0</v>
      </c>
      <c r="B920" s="7" t="s">
        <v>1561</v>
      </c>
      <c r="C920" s="7" t="s">
        <v>21</v>
      </c>
      <c r="K920" s="7">
        <v>50.0</v>
      </c>
      <c r="N920" s="8">
        <v>44370.0</v>
      </c>
    </row>
    <row r="921">
      <c r="A921" s="7">
        <v>920.0</v>
      </c>
      <c r="B921" s="7" t="s">
        <v>1562</v>
      </c>
      <c r="C921" s="7" t="s">
        <v>21</v>
      </c>
      <c r="K921" s="7">
        <v>40.0</v>
      </c>
      <c r="N921" s="8">
        <v>44009.0</v>
      </c>
    </row>
    <row r="922">
      <c r="A922" s="7">
        <v>921.0</v>
      </c>
      <c r="B922" s="7" t="s">
        <v>1563</v>
      </c>
      <c r="C922" s="7" t="s">
        <v>21</v>
      </c>
      <c r="K922" s="7">
        <v>1000.0</v>
      </c>
      <c r="N922" s="8">
        <v>45463.0</v>
      </c>
    </row>
    <row r="923">
      <c r="A923" s="7">
        <v>922.0</v>
      </c>
      <c r="B923" s="7" t="s">
        <v>1565</v>
      </c>
      <c r="C923" s="7" t="s">
        <v>21</v>
      </c>
      <c r="K923" s="7">
        <v>50.0</v>
      </c>
      <c r="N923" s="8">
        <v>44184.0</v>
      </c>
    </row>
    <row r="924">
      <c r="A924" s="7">
        <v>923.0</v>
      </c>
      <c r="B924" s="7" t="s">
        <v>1566</v>
      </c>
      <c r="C924" s="7" t="s">
        <v>21</v>
      </c>
      <c r="K924" s="7">
        <v>60.0</v>
      </c>
      <c r="N924" s="8">
        <v>43966.0</v>
      </c>
    </row>
    <row r="925">
      <c r="A925" s="7">
        <v>924.0</v>
      </c>
      <c r="B925" s="7" t="s">
        <v>1567</v>
      </c>
      <c r="C925" s="7" t="s">
        <v>21</v>
      </c>
      <c r="K925" s="7">
        <v>100.0</v>
      </c>
      <c r="N925" s="8">
        <v>44789.0</v>
      </c>
    </row>
    <row r="926">
      <c r="A926" s="7">
        <v>925.0</v>
      </c>
      <c r="B926" s="7" t="s">
        <v>270</v>
      </c>
      <c r="C926" s="7" t="s">
        <v>21</v>
      </c>
      <c r="K926" s="7">
        <v>40.0</v>
      </c>
      <c r="N926" s="8">
        <v>42558.0</v>
      </c>
    </row>
    <row r="927">
      <c r="A927" s="7">
        <v>926.0</v>
      </c>
      <c r="B927" s="7" t="s">
        <v>1569</v>
      </c>
      <c r="C927" s="7" t="s">
        <v>21</v>
      </c>
      <c r="K927" s="7">
        <v>500.0</v>
      </c>
      <c r="N927" s="8">
        <v>45440.0</v>
      </c>
    </row>
    <row r="928">
      <c r="A928" s="7">
        <v>927.0</v>
      </c>
      <c r="B928" s="7" t="s">
        <v>293</v>
      </c>
      <c r="C928" s="7" t="s">
        <v>21</v>
      </c>
      <c r="K928" s="7">
        <v>40.0</v>
      </c>
      <c r="N928" s="8">
        <v>44583.0</v>
      </c>
    </row>
    <row r="929">
      <c r="A929" s="7">
        <v>928.0</v>
      </c>
      <c r="B929" s="7" t="s">
        <v>1570</v>
      </c>
      <c r="C929" s="7" t="s">
        <v>21</v>
      </c>
      <c r="K929" s="7">
        <v>40.0</v>
      </c>
      <c r="N929" s="8">
        <v>45007.0</v>
      </c>
    </row>
    <row r="930">
      <c r="A930" s="7">
        <v>929.0</v>
      </c>
      <c r="B930" s="7" t="s">
        <v>297</v>
      </c>
      <c r="C930" s="7" t="s">
        <v>21</v>
      </c>
      <c r="K930" s="7">
        <v>10.0</v>
      </c>
      <c r="N930" s="8">
        <v>44771.0</v>
      </c>
    </row>
    <row r="931">
      <c r="A931" s="7">
        <v>930.0</v>
      </c>
      <c r="B931" s="7" t="s">
        <v>1571</v>
      </c>
      <c r="C931" s="7" t="s">
        <v>21</v>
      </c>
      <c r="K931" s="7">
        <v>10.0</v>
      </c>
      <c r="N931" s="8">
        <v>45947.0</v>
      </c>
    </row>
    <row r="932">
      <c r="A932" s="7">
        <v>931.0</v>
      </c>
      <c r="B932" s="7" t="s">
        <v>1573</v>
      </c>
      <c r="C932" s="7" t="s">
        <v>21</v>
      </c>
      <c r="K932" s="7">
        <v>90.0</v>
      </c>
      <c r="N932" s="8">
        <v>44080.0</v>
      </c>
    </row>
    <row r="933">
      <c r="A933" s="7">
        <v>932.0</v>
      </c>
      <c r="B933" s="7" t="s">
        <v>1574</v>
      </c>
      <c r="C933" s="7" t="s">
        <v>21</v>
      </c>
      <c r="K933" s="7">
        <v>350.0</v>
      </c>
      <c r="N933" s="8">
        <v>44723.0</v>
      </c>
    </row>
    <row r="934">
      <c r="A934" s="7">
        <v>933.0</v>
      </c>
      <c r="B934" s="7" t="s">
        <v>1575</v>
      </c>
      <c r="C934" s="7" t="s">
        <v>21</v>
      </c>
      <c r="K934" s="7">
        <v>150.0</v>
      </c>
      <c r="N934" s="8">
        <v>44599.0</v>
      </c>
    </row>
    <row r="935">
      <c r="A935" s="7">
        <v>934.0</v>
      </c>
      <c r="B935" s="7" t="s">
        <v>1576</v>
      </c>
      <c r="C935" s="7" t="s">
        <v>21</v>
      </c>
      <c r="K935" s="7">
        <v>40.0</v>
      </c>
      <c r="N935" s="8">
        <v>44600.0</v>
      </c>
    </row>
    <row r="936">
      <c r="A936" s="7">
        <v>935.0</v>
      </c>
      <c r="B936" s="7" t="s">
        <v>1577</v>
      </c>
      <c r="C936" s="7" t="s">
        <v>21</v>
      </c>
      <c r="D936" s="7">
        <v>66.0</v>
      </c>
      <c r="H936" s="7" t="s">
        <v>46</v>
      </c>
      <c r="I936" s="9">
        <v>46142.48783564815</v>
      </c>
      <c r="J936" s="7" t="s">
        <v>40</v>
      </c>
      <c r="K936" s="7">
        <v>200.0</v>
      </c>
      <c r="L936" s="7">
        <v>800.0</v>
      </c>
      <c r="M936" s="7">
        <v>201000.0</v>
      </c>
      <c r="N936" s="8">
        <v>43310.0</v>
      </c>
      <c r="O936" s="7" t="s">
        <v>41</v>
      </c>
      <c r="P936" s="7" t="s">
        <v>25</v>
      </c>
      <c r="S936" s="7" t="s">
        <v>28</v>
      </c>
    </row>
    <row r="937">
      <c r="A937" s="7">
        <v>936.0</v>
      </c>
      <c r="B937" s="7" t="s">
        <v>1579</v>
      </c>
      <c r="C937" s="7" t="s">
        <v>21</v>
      </c>
      <c r="K937" s="7">
        <v>1000.0</v>
      </c>
      <c r="N937" s="8">
        <v>44063.0</v>
      </c>
    </row>
    <row r="938">
      <c r="A938" s="7">
        <v>937.0</v>
      </c>
      <c r="B938" s="7" t="s">
        <v>1580</v>
      </c>
      <c r="C938" s="7" t="s">
        <v>21</v>
      </c>
      <c r="N938" s="8">
        <v>45068.0</v>
      </c>
    </row>
    <row r="939">
      <c r="A939" s="7">
        <v>938.0</v>
      </c>
      <c r="B939" s="7" t="s">
        <v>1581</v>
      </c>
      <c r="C939" s="7" t="s">
        <v>21</v>
      </c>
      <c r="N939" s="8">
        <v>45590.0</v>
      </c>
    </row>
    <row r="940">
      <c r="A940" s="7">
        <v>939.0</v>
      </c>
      <c r="B940" s="7" t="s">
        <v>1583</v>
      </c>
      <c r="C940" s="7" t="s">
        <v>21</v>
      </c>
      <c r="K940" s="7">
        <v>300.0</v>
      </c>
      <c r="N940" s="8">
        <v>43892.0</v>
      </c>
    </row>
    <row r="941">
      <c r="A941" s="7">
        <v>940.0</v>
      </c>
      <c r="B941" s="7" t="s">
        <v>1584</v>
      </c>
      <c r="C941" s="7" t="s">
        <v>21</v>
      </c>
      <c r="N941" s="8">
        <v>45164.0</v>
      </c>
    </row>
    <row r="942">
      <c r="A942" s="7">
        <v>941.0</v>
      </c>
      <c r="B942" s="7" t="s">
        <v>1586</v>
      </c>
      <c r="C942" s="7" t="s">
        <v>21</v>
      </c>
      <c r="K942" s="7">
        <v>10.0</v>
      </c>
      <c r="N942" s="8">
        <v>44653.0</v>
      </c>
    </row>
    <row r="943">
      <c r="A943" s="7">
        <v>942.0</v>
      </c>
      <c r="B943" s="7" t="s">
        <v>300</v>
      </c>
      <c r="C943" s="7" t="s">
        <v>21</v>
      </c>
      <c r="K943" s="7">
        <v>50.0</v>
      </c>
      <c r="N943" s="8">
        <v>45324.0</v>
      </c>
    </row>
    <row r="944">
      <c r="A944" s="7">
        <v>943.0</v>
      </c>
      <c r="B944" s="7" t="s">
        <v>303</v>
      </c>
      <c r="C944" s="7" t="s">
        <v>21</v>
      </c>
      <c r="K944" s="7">
        <v>500.0</v>
      </c>
      <c r="N944" s="8">
        <v>43764.0</v>
      </c>
    </row>
    <row r="945">
      <c r="A945" s="7">
        <v>944.0</v>
      </c>
      <c r="B945" s="7" t="s">
        <v>1587</v>
      </c>
      <c r="C945" s="7" t="s">
        <v>21</v>
      </c>
      <c r="K945" s="7">
        <v>10.0</v>
      </c>
      <c r="N945" s="8">
        <v>43944.0</v>
      </c>
    </row>
    <row r="946">
      <c r="A946" s="7">
        <v>945.0</v>
      </c>
      <c r="B946" s="7" t="s">
        <v>1589</v>
      </c>
      <c r="C946" s="7" t="s">
        <v>21</v>
      </c>
      <c r="K946" s="7">
        <v>150.0</v>
      </c>
      <c r="N946" s="8">
        <v>43889.0</v>
      </c>
    </row>
    <row r="947">
      <c r="A947" s="7">
        <v>946.0</v>
      </c>
      <c r="B947" s="7" t="s">
        <v>1590</v>
      </c>
      <c r="C947" s="7" t="s">
        <v>21</v>
      </c>
      <c r="K947" s="7">
        <v>300.0</v>
      </c>
      <c r="N947" s="8">
        <v>44688.0</v>
      </c>
    </row>
    <row r="948">
      <c r="A948" s="7">
        <v>947.0</v>
      </c>
      <c r="B948" s="7" t="s">
        <v>1592</v>
      </c>
      <c r="C948" s="7" t="s">
        <v>21</v>
      </c>
      <c r="K948" s="7">
        <v>500.0</v>
      </c>
      <c r="N948" s="8">
        <v>44254.0</v>
      </c>
    </row>
    <row r="949">
      <c r="A949" s="7">
        <v>948.0</v>
      </c>
      <c r="B949" s="7" t="s">
        <v>1593</v>
      </c>
      <c r="C949" s="7" t="s">
        <v>21</v>
      </c>
      <c r="K949" s="7">
        <v>1100.0</v>
      </c>
      <c r="N949" s="8">
        <v>44222.0</v>
      </c>
    </row>
    <row r="950">
      <c r="A950" s="7">
        <v>949.0</v>
      </c>
      <c r="B950" s="7" t="s">
        <v>1594</v>
      </c>
      <c r="C950" s="7" t="s">
        <v>21</v>
      </c>
      <c r="K950" s="7">
        <v>80.0</v>
      </c>
      <c r="N950" s="8">
        <v>44836.0</v>
      </c>
    </row>
    <row r="951">
      <c r="A951" s="7">
        <v>950.0</v>
      </c>
      <c r="B951" s="7" t="s">
        <v>1595</v>
      </c>
      <c r="C951" s="7" t="s">
        <v>21</v>
      </c>
      <c r="K951" s="7">
        <v>1100.0</v>
      </c>
      <c r="N951" s="8">
        <v>45069.0</v>
      </c>
    </row>
    <row r="952">
      <c r="A952" s="7">
        <v>951.0</v>
      </c>
      <c r="B952" s="7" t="s">
        <v>1596</v>
      </c>
      <c r="C952" s="7" t="s">
        <v>21</v>
      </c>
      <c r="K952" s="7">
        <v>40.0</v>
      </c>
      <c r="N952" s="8">
        <v>44910.0</v>
      </c>
    </row>
    <row r="953">
      <c r="A953" s="7">
        <v>952.0</v>
      </c>
      <c r="B953" s="7" t="s">
        <v>1597</v>
      </c>
      <c r="C953" s="7" t="s">
        <v>21</v>
      </c>
      <c r="K953" s="7">
        <v>250.0</v>
      </c>
      <c r="N953" s="8">
        <v>44222.0</v>
      </c>
    </row>
    <row r="954">
      <c r="A954" s="7">
        <v>953.0</v>
      </c>
      <c r="B954" s="7" t="s">
        <v>1599</v>
      </c>
      <c r="C954" s="7" t="s">
        <v>21</v>
      </c>
      <c r="K954" s="7">
        <v>50.0</v>
      </c>
      <c r="N954" s="8">
        <v>44337.0</v>
      </c>
    </row>
    <row r="955">
      <c r="A955" s="7">
        <v>954.0</v>
      </c>
      <c r="B955" s="7" t="s">
        <v>1600</v>
      </c>
      <c r="C955" s="7" t="s">
        <v>21</v>
      </c>
      <c r="K955" s="7">
        <v>50.0</v>
      </c>
      <c r="N955" s="8">
        <v>44646.0</v>
      </c>
    </row>
    <row r="956">
      <c r="A956" s="7">
        <v>955.0</v>
      </c>
      <c r="B956" s="7" t="s">
        <v>1602</v>
      </c>
      <c r="C956" s="7" t="s">
        <v>21</v>
      </c>
      <c r="K956" s="7">
        <v>250.0</v>
      </c>
      <c r="N956" s="8">
        <v>44666.0</v>
      </c>
    </row>
    <row r="957">
      <c r="A957" s="7">
        <v>956.0</v>
      </c>
      <c r="B957" s="7" t="s">
        <v>1603</v>
      </c>
      <c r="C957" s="7" t="s">
        <v>21</v>
      </c>
      <c r="K957" s="7">
        <v>700.0</v>
      </c>
      <c r="N957" s="8">
        <v>44519.0</v>
      </c>
    </row>
    <row r="958">
      <c r="A958" s="7">
        <v>957.0</v>
      </c>
      <c r="B958" s="7" t="s">
        <v>1604</v>
      </c>
      <c r="C958" s="7" t="s">
        <v>21</v>
      </c>
      <c r="K958" s="7">
        <v>80.0</v>
      </c>
      <c r="N958" s="8">
        <v>44157.0</v>
      </c>
    </row>
    <row r="959">
      <c r="A959" s="7">
        <v>958.0</v>
      </c>
      <c r="B959" s="7" t="s">
        <v>1605</v>
      </c>
      <c r="C959" s="7" t="s">
        <v>21</v>
      </c>
      <c r="K959" s="7">
        <v>50.0</v>
      </c>
      <c r="N959" s="8">
        <v>44231.0</v>
      </c>
    </row>
    <row r="960">
      <c r="A960" s="7">
        <v>959.0</v>
      </c>
      <c r="B960" s="7" t="s">
        <v>1606</v>
      </c>
      <c r="C960" s="7" t="s">
        <v>21</v>
      </c>
      <c r="K960" s="7">
        <v>100.0</v>
      </c>
      <c r="N960" s="8">
        <v>44291.0</v>
      </c>
    </row>
    <row r="961">
      <c r="A961" s="7">
        <v>960.0</v>
      </c>
      <c r="B961" s="7" t="s">
        <v>1607</v>
      </c>
      <c r="C961" s="7" t="s">
        <v>21</v>
      </c>
      <c r="N961" s="8">
        <v>43856.0</v>
      </c>
    </row>
    <row r="962">
      <c r="A962" s="7">
        <v>961.0</v>
      </c>
      <c r="B962" s="7" t="s">
        <v>307</v>
      </c>
      <c r="C962" s="7" t="s">
        <v>21</v>
      </c>
      <c r="K962" s="7">
        <v>20.0</v>
      </c>
      <c r="N962" s="8">
        <v>44415.0</v>
      </c>
    </row>
    <row r="963">
      <c r="A963" s="7">
        <v>962.0</v>
      </c>
      <c r="B963" s="7" t="s">
        <v>310</v>
      </c>
      <c r="C963" s="7" t="s">
        <v>21</v>
      </c>
      <c r="K963" s="7">
        <v>100.0</v>
      </c>
      <c r="N963" s="8">
        <v>43871.0</v>
      </c>
    </row>
    <row r="964">
      <c r="A964" s="7">
        <v>963.0</v>
      </c>
      <c r="B964" s="7" t="s">
        <v>1610</v>
      </c>
      <c r="C964" s="7" t="s">
        <v>21</v>
      </c>
      <c r="K964" s="7">
        <v>90.0</v>
      </c>
      <c r="N964" s="8">
        <v>45040.0</v>
      </c>
    </row>
    <row r="965">
      <c r="A965" s="7">
        <v>964.0</v>
      </c>
      <c r="B965" s="7" t="s">
        <v>1612</v>
      </c>
      <c r="C965" s="7" t="s">
        <v>21</v>
      </c>
      <c r="D965" s="7">
        <v>60.0</v>
      </c>
      <c r="H965" s="7" t="s">
        <v>1613</v>
      </c>
      <c r="I965" s="9">
        <v>46124.71074074074</v>
      </c>
      <c r="J965" s="7" t="s">
        <v>40</v>
      </c>
      <c r="K965" s="7">
        <v>250.0</v>
      </c>
      <c r="L965" s="7">
        <v>40.0</v>
      </c>
      <c r="M965" s="7">
        <v>1400.0</v>
      </c>
      <c r="N965" s="8">
        <v>43295.0</v>
      </c>
      <c r="O965" s="7" t="s">
        <v>33</v>
      </c>
      <c r="P965" s="7" t="s">
        <v>25</v>
      </c>
      <c r="S965" s="7" t="s">
        <v>28</v>
      </c>
    </row>
    <row r="966">
      <c r="A966" s="7">
        <v>965.0</v>
      </c>
      <c r="B966" s="7" t="s">
        <v>1614</v>
      </c>
      <c r="C966" s="7" t="s">
        <v>21</v>
      </c>
      <c r="K966" s="7">
        <v>150.0</v>
      </c>
      <c r="N966" s="8">
        <v>44257.0</v>
      </c>
    </row>
    <row r="967">
      <c r="A967" s="7">
        <v>966.0</v>
      </c>
      <c r="B967" s="7" t="s">
        <v>1615</v>
      </c>
      <c r="C967" s="7" t="s">
        <v>21</v>
      </c>
      <c r="K967" s="7">
        <v>80.0</v>
      </c>
      <c r="N967" s="8">
        <v>44586.0</v>
      </c>
    </row>
    <row r="968">
      <c r="A968" s="7">
        <v>967.0</v>
      </c>
      <c r="B968" s="7" t="s">
        <v>1616</v>
      </c>
      <c r="C968" s="7" t="s">
        <v>21</v>
      </c>
      <c r="K968" s="7">
        <v>200.0</v>
      </c>
      <c r="N968" s="8">
        <v>44588.0</v>
      </c>
    </row>
    <row r="969">
      <c r="A969" s="7">
        <v>968.0</v>
      </c>
      <c r="B969" s="7" t="s">
        <v>315</v>
      </c>
      <c r="C969" s="7" t="s">
        <v>21</v>
      </c>
      <c r="K969" s="7">
        <v>100.0</v>
      </c>
      <c r="N969" s="8">
        <v>45126.0</v>
      </c>
    </row>
    <row r="970">
      <c r="A970" s="7">
        <v>969.0</v>
      </c>
      <c r="B970" s="7" t="s">
        <v>1618</v>
      </c>
      <c r="C970" s="7" t="s">
        <v>21</v>
      </c>
      <c r="D970" s="7">
        <v>67.0</v>
      </c>
      <c r="H970" s="7" t="s">
        <v>167</v>
      </c>
      <c r="I970" s="9">
        <v>46144.01451388889</v>
      </c>
      <c r="J970" s="7" t="s">
        <v>40</v>
      </c>
      <c r="K970" s="7">
        <v>60.0</v>
      </c>
      <c r="L970" s="7">
        <v>3200.0</v>
      </c>
      <c r="M970" s="7">
        <v>59000.0</v>
      </c>
      <c r="N970" s="8">
        <v>43967.0</v>
      </c>
      <c r="O970" s="7" t="s">
        <v>33</v>
      </c>
      <c r="P970" s="7" t="s">
        <v>25</v>
      </c>
      <c r="S970" s="7" t="s">
        <v>28</v>
      </c>
    </row>
    <row r="971">
      <c r="A971" s="7">
        <v>970.0</v>
      </c>
      <c r="B971" s="7" t="s">
        <v>319</v>
      </c>
      <c r="C971" s="7" t="s">
        <v>21</v>
      </c>
      <c r="K971" s="7">
        <v>40.0</v>
      </c>
      <c r="N971" s="8">
        <v>44192.0</v>
      </c>
    </row>
    <row r="972">
      <c r="A972" s="7">
        <v>971.0</v>
      </c>
      <c r="B972" s="7" t="s">
        <v>1621</v>
      </c>
      <c r="C972" s="7" t="s">
        <v>21</v>
      </c>
      <c r="K972" s="7">
        <v>150.0</v>
      </c>
      <c r="N972" s="8">
        <v>44243.0</v>
      </c>
    </row>
    <row r="973">
      <c r="A973" s="7">
        <v>972.0</v>
      </c>
      <c r="B973" s="7" t="s">
        <v>1623</v>
      </c>
      <c r="C973" s="7" t="s">
        <v>21</v>
      </c>
      <c r="K973" s="7">
        <v>200.0</v>
      </c>
      <c r="N973" s="8">
        <v>45093.0</v>
      </c>
    </row>
    <row r="974">
      <c r="A974" s="7">
        <v>973.0</v>
      </c>
      <c r="B974" s="7" t="s">
        <v>1624</v>
      </c>
      <c r="C974" s="7" t="s">
        <v>21</v>
      </c>
      <c r="K974" s="7">
        <v>2900.0</v>
      </c>
      <c r="N974" s="8">
        <v>44093.0</v>
      </c>
    </row>
    <row r="975">
      <c r="A975" s="7">
        <v>974.0</v>
      </c>
      <c r="B975" s="7" t="s">
        <v>1626</v>
      </c>
      <c r="C975" s="7" t="s">
        <v>21</v>
      </c>
      <c r="N975" s="8">
        <v>44128.0</v>
      </c>
    </row>
    <row r="976">
      <c r="A976" s="7">
        <v>975.0</v>
      </c>
      <c r="B976" s="7" t="s">
        <v>1627</v>
      </c>
      <c r="C976" s="7" t="s">
        <v>21</v>
      </c>
      <c r="K976" s="7">
        <v>1100.0</v>
      </c>
      <c r="N976" s="8">
        <v>44054.0</v>
      </c>
    </row>
    <row r="977">
      <c r="A977" s="7">
        <v>976.0</v>
      </c>
      <c r="B977" s="7" t="s">
        <v>1628</v>
      </c>
      <c r="C977" s="7" t="s">
        <v>21</v>
      </c>
      <c r="K977" s="7">
        <v>60.0</v>
      </c>
      <c r="N977" s="8">
        <v>43954.0</v>
      </c>
    </row>
    <row r="978">
      <c r="A978" s="7">
        <v>977.0</v>
      </c>
      <c r="B978" s="7" t="s">
        <v>1630</v>
      </c>
      <c r="C978" s="7" t="s">
        <v>21</v>
      </c>
      <c r="K978" s="7">
        <v>100.0</v>
      </c>
      <c r="N978" s="8">
        <v>44253.0</v>
      </c>
    </row>
    <row r="979">
      <c r="A979" s="7">
        <v>978.0</v>
      </c>
      <c r="B979" s="7" t="s">
        <v>1631</v>
      </c>
      <c r="C979" s="7" t="s">
        <v>21</v>
      </c>
      <c r="K979" s="7">
        <v>4600.0</v>
      </c>
      <c r="N979" s="8">
        <v>44830.0</v>
      </c>
    </row>
    <row r="980">
      <c r="A980" s="7">
        <v>979.0</v>
      </c>
      <c r="B980" s="7" t="s">
        <v>1633</v>
      </c>
      <c r="C980" s="7" t="s">
        <v>21</v>
      </c>
      <c r="K980" s="7">
        <v>30.0</v>
      </c>
      <c r="N980" s="8">
        <v>44594.0</v>
      </c>
    </row>
    <row r="981">
      <c r="A981" s="7">
        <v>980.0</v>
      </c>
      <c r="B981" s="7" t="s">
        <v>322</v>
      </c>
      <c r="C981" s="7" t="s">
        <v>21</v>
      </c>
      <c r="K981" s="7">
        <v>60.0</v>
      </c>
      <c r="N981" s="8">
        <v>44056.0</v>
      </c>
    </row>
    <row r="982">
      <c r="A982" s="7">
        <v>981.0</v>
      </c>
      <c r="B982" s="7" t="s">
        <v>1636</v>
      </c>
      <c r="C982" s="7" t="s">
        <v>21</v>
      </c>
      <c r="K982" s="7">
        <v>40.0</v>
      </c>
      <c r="N982" s="8">
        <v>44058.0</v>
      </c>
    </row>
    <row r="983">
      <c r="A983" s="7">
        <v>982.0</v>
      </c>
      <c r="B983" s="7" t="s">
        <v>1637</v>
      </c>
      <c r="C983" s="7" t="s">
        <v>21</v>
      </c>
      <c r="K983" s="7">
        <v>200.0</v>
      </c>
      <c r="N983" s="8">
        <v>43919.0</v>
      </c>
    </row>
    <row r="984">
      <c r="A984" s="7">
        <v>983.0</v>
      </c>
      <c r="B984" s="7" t="s">
        <v>1639</v>
      </c>
      <c r="C984" s="7" t="s">
        <v>21</v>
      </c>
      <c r="N984" s="8">
        <v>43984.0</v>
      </c>
    </row>
    <row r="985">
      <c r="A985" s="7">
        <v>984.0</v>
      </c>
      <c r="B985" s="7" t="s">
        <v>1641</v>
      </c>
      <c r="C985" s="7" t="s">
        <v>21</v>
      </c>
      <c r="K985" s="7">
        <v>400.0</v>
      </c>
      <c r="N985" s="8">
        <v>43868.0</v>
      </c>
    </row>
    <row r="986">
      <c r="A986" s="7">
        <v>985.0</v>
      </c>
      <c r="B986" s="7" t="s">
        <v>1642</v>
      </c>
      <c r="C986" s="7" t="s">
        <v>21</v>
      </c>
      <c r="N986" s="8">
        <v>45191.0</v>
      </c>
    </row>
    <row r="987">
      <c r="A987" s="7">
        <v>986.0</v>
      </c>
      <c r="B987" s="7" t="s">
        <v>1643</v>
      </c>
      <c r="C987" s="7" t="s">
        <v>21</v>
      </c>
      <c r="K987" s="7">
        <v>700.0</v>
      </c>
      <c r="N987" s="8">
        <v>44000.0</v>
      </c>
    </row>
    <row r="988">
      <c r="A988" s="7">
        <v>987.0</v>
      </c>
      <c r="B988" s="7" t="s">
        <v>326</v>
      </c>
      <c r="C988" s="7" t="s">
        <v>21</v>
      </c>
      <c r="K988" s="7">
        <v>100.0</v>
      </c>
      <c r="N988" s="8">
        <v>44228.0</v>
      </c>
    </row>
    <row r="989">
      <c r="A989" s="7">
        <v>988.0</v>
      </c>
      <c r="B989" s="7" t="s">
        <v>330</v>
      </c>
      <c r="C989" s="7" t="s">
        <v>21</v>
      </c>
      <c r="N989" s="8">
        <v>44277.0</v>
      </c>
    </row>
    <row r="990">
      <c r="A990" s="7">
        <v>989.0</v>
      </c>
      <c r="B990" s="7" t="s">
        <v>1645</v>
      </c>
      <c r="C990" s="7" t="s">
        <v>21</v>
      </c>
      <c r="K990" s="7">
        <v>30.0</v>
      </c>
      <c r="N990" s="8">
        <v>45182.0</v>
      </c>
    </row>
    <row r="991">
      <c r="A991" s="7">
        <v>990.0</v>
      </c>
      <c r="B991" s="7" t="s">
        <v>1646</v>
      </c>
      <c r="C991" s="7" t="s">
        <v>21</v>
      </c>
      <c r="N991" s="8">
        <v>45130.0</v>
      </c>
    </row>
    <row r="992">
      <c r="A992" s="7">
        <v>991.0</v>
      </c>
      <c r="B992" s="7" t="s">
        <v>1648</v>
      </c>
      <c r="C992" s="7" t="s">
        <v>21</v>
      </c>
      <c r="N992" s="8">
        <v>44030.0</v>
      </c>
    </row>
    <row r="993">
      <c r="A993" s="7">
        <v>992.0</v>
      </c>
      <c r="B993" s="7" t="s">
        <v>1649</v>
      </c>
      <c r="C993" s="7" t="s">
        <v>21</v>
      </c>
      <c r="K993" s="7">
        <v>90.0</v>
      </c>
      <c r="N993" s="8">
        <v>45091.0</v>
      </c>
    </row>
    <row r="994">
      <c r="A994" s="7">
        <v>993.0</v>
      </c>
      <c r="B994" s="7" t="s">
        <v>1650</v>
      </c>
      <c r="C994" s="7" t="s">
        <v>21</v>
      </c>
      <c r="K994" s="7">
        <v>10.0</v>
      </c>
      <c r="N994" s="8">
        <v>43966.0</v>
      </c>
    </row>
    <row r="995">
      <c r="A995" s="7">
        <v>994.0</v>
      </c>
      <c r="B995" s="7" t="s">
        <v>1651</v>
      </c>
      <c r="C995" s="7" t="s">
        <v>21</v>
      </c>
      <c r="K995" s="7">
        <v>60.0</v>
      </c>
      <c r="N995" s="8">
        <v>43985.0</v>
      </c>
    </row>
    <row r="996">
      <c r="A996" s="7">
        <v>995.0</v>
      </c>
      <c r="B996" s="7" t="s">
        <v>1653</v>
      </c>
      <c r="C996" s="7" t="s">
        <v>21</v>
      </c>
      <c r="N996" s="8">
        <v>42388.0</v>
      </c>
    </row>
    <row r="997">
      <c r="A997" s="7">
        <v>996.0</v>
      </c>
      <c r="B997" s="7" t="s">
        <v>1654</v>
      </c>
      <c r="C997" s="7" t="s">
        <v>21</v>
      </c>
      <c r="K997" s="7">
        <v>1200.0</v>
      </c>
      <c r="N997" s="8">
        <v>43892.0</v>
      </c>
    </row>
    <row r="998">
      <c r="A998" s="7">
        <v>997.0</v>
      </c>
      <c r="B998" s="7" t="s">
        <v>1656</v>
      </c>
      <c r="C998" s="7" t="s">
        <v>21</v>
      </c>
      <c r="K998" s="7">
        <v>1000.0</v>
      </c>
      <c r="N998" s="8">
        <v>44277.0</v>
      </c>
    </row>
    <row r="999">
      <c r="A999" s="7">
        <v>998.0</v>
      </c>
      <c r="B999" s="7" t="s">
        <v>1657</v>
      </c>
      <c r="C999" s="7" t="s">
        <v>21</v>
      </c>
      <c r="K999" s="7">
        <v>90.0</v>
      </c>
      <c r="N999" s="8">
        <v>44344.0</v>
      </c>
    </row>
    <row r="1000">
      <c r="A1000" s="7">
        <v>999.0</v>
      </c>
      <c r="B1000" s="7" t="s">
        <v>1658</v>
      </c>
      <c r="C1000" s="7" t="s">
        <v>21</v>
      </c>
      <c r="K1000" s="7">
        <v>70.0</v>
      </c>
      <c r="N1000" s="8">
        <v>44048.0</v>
      </c>
    </row>
    <row r="1001">
      <c r="A1001" s="7">
        <v>1000.0</v>
      </c>
      <c r="B1001" s="7" t="s">
        <v>1660</v>
      </c>
      <c r="C1001" s="7" t="s">
        <v>21</v>
      </c>
      <c r="K1001" s="7">
        <v>10.0</v>
      </c>
      <c r="N1001" s="8">
        <v>45682.0</v>
      </c>
    </row>
    <row r="1002">
      <c r="A1002" s="7">
        <v>1001.0</v>
      </c>
      <c r="B1002" s="7" t="s">
        <v>1661</v>
      </c>
      <c r="C1002" s="7" t="s">
        <v>21</v>
      </c>
      <c r="K1002" s="7">
        <v>20.0</v>
      </c>
      <c r="N1002" s="8">
        <v>44565.0</v>
      </c>
    </row>
    <row r="1003">
      <c r="A1003" s="7">
        <v>1002.0</v>
      </c>
      <c r="B1003" s="7" t="s">
        <v>1662</v>
      </c>
      <c r="C1003" s="7" t="s">
        <v>21</v>
      </c>
      <c r="K1003" s="7">
        <v>30.0</v>
      </c>
      <c r="N1003" s="8">
        <v>45017.0</v>
      </c>
    </row>
    <row r="1004">
      <c r="A1004" s="7">
        <v>1003.0</v>
      </c>
      <c r="B1004" s="7" t="s">
        <v>1664</v>
      </c>
      <c r="C1004" s="7" t="s">
        <v>21</v>
      </c>
      <c r="D1004" s="7">
        <v>65.0</v>
      </c>
      <c r="H1004" s="7" t="s">
        <v>1159</v>
      </c>
      <c r="I1004" s="9">
        <v>46126.87144675926</v>
      </c>
      <c r="J1004" s="7" t="s">
        <v>40</v>
      </c>
      <c r="K1004" s="7">
        <v>10.0</v>
      </c>
      <c r="L1004" s="7">
        <v>20.0</v>
      </c>
      <c r="M1004" s="7">
        <v>44000.0</v>
      </c>
      <c r="N1004" s="8">
        <v>44146.0</v>
      </c>
      <c r="O1004" s="7" t="s">
        <v>41</v>
      </c>
      <c r="P1004" s="7" t="s">
        <v>25</v>
      </c>
      <c r="S1004" s="7" t="s">
        <v>28</v>
      </c>
    </row>
    <row r="1005">
      <c r="A1005" s="7">
        <v>1004.0</v>
      </c>
      <c r="B1005" s="7" t="s">
        <v>1666</v>
      </c>
      <c r="C1005" s="7" t="s">
        <v>21</v>
      </c>
      <c r="K1005" s="7">
        <v>1500.0</v>
      </c>
      <c r="N1005" s="8">
        <v>43924.0</v>
      </c>
    </row>
    <row r="1006">
      <c r="A1006" s="7">
        <v>1005.0</v>
      </c>
      <c r="B1006" s="7" t="s">
        <v>1668</v>
      </c>
      <c r="C1006" s="7" t="s">
        <v>21</v>
      </c>
      <c r="K1006" s="7">
        <v>200.0</v>
      </c>
      <c r="N1006" s="8">
        <v>44625.0</v>
      </c>
    </row>
    <row r="1007">
      <c r="A1007" s="7">
        <v>1006.0</v>
      </c>
      <c r="B1007" s="7" t="s">
        <v>1669</v>
      </c>
      <c r="C1007" s="7" t="s">
        <v>21</v>
      </c>
      <c r="K1007" s="7">
        <v>80.0</v>
      </c>
      <c r="N1007" s="8">
        <v>44303.0</v>
      </c>
    </row>
    <row r="1008">
      <c r="A1008" s="7">
        <v>1007.0</v>
      </c>
      <c r="B1008" s="7" t="s">
        <v>1671</v>
      </c>
      <c r="C1008" s="7" t="s">
        <v>21</v>
      </c>
      <c r="N1008" s="8">
        <v>44093.0</v>
      </c>
    </row>
    <row r="1009">
      <c r="A1009" s="7">
        <v>1008.0</v>
      </c>
      <c r="B1009" s="7" t="s">
        <v>1672</v>
      </c>
      <c r="C1009" s="7" t="s">
        <v>21</v>
      </c>
      <c r="K1009" s="7">
        <v>200.0</v>
      </c>
      <c r="N1009" s="8">
        <v>45480.0</v>
      </c>
    </row>
    <row r="1010">
      <c r="A1010" s="7">
        <v>1009.0</v>
      </c>
      <c r="B1010" s="7" t="s">
        <v>1673</v>
      </c>
      <c r="C1010" s="7" t="s">
        <v>21</v>
      </c>
      <c r="K1010" s="7">
        <v>350.0</v>
      </c>
      <c r="N1010" s="8">
        <v>44271.0</v>
      </c>
    </row>
    <row r="1011">
      <c r="A1011" s="7">
        <v>1010.0</v>
      </c>
      <c r="B1011" s="7" t="s">
        <v>1674</v>
      </c>
      <c r="C1011" s="7" t="s">
        <v>21</v>
      </c>
      <c r="K1011" s="7">
        <v>150.0</v>
      </c>
      <c r="N1011" s="8">
        <v>44479.0</v>
      </c>
    </row>
    <row r="1012">
      <c r="A1012" s="7">
        <v>1011.0</v>
      </c>
      <c r="B1012" s="7" t="s">
        <v>1676</v>
      </c>
      <c r="C1012" s="7" t="s">
        <v>21</v>
      </c>
      <c r="K1012" s="7">
        <v>50.0</v>
      </c>
      <c r="N1012" s="8">
        <v>44723.0</v>
      </c>
      <c r="O1012" s="7" t="s">
        <v>41</v>
      </c>
      <c r="P1012" s="7" t="s">
        <v>25</v>
      </c>
      <c r="S1012" s="7" t="s">
        <v>28</v>
      </c>
    </row>
    <row r="1013">
      <c r="A1013" s="7">
        <v>1012.0</v>
      </c>
      <c r="B1013" s="7" t="s">
        <v>1677</v>
      </c>
      <c r="C1013" s="7" t="s">
        <v>21</v>
      </c>
      <c r="K1013" s="7">
        <v>200.0</v>
      </c>
      <c r="N1013" s="8">
        <v>44618.0</v>
      </c>
    </row>
    <row r="1014">
      <c r="A1014" s="7">
        <v>1013.0</v>
      </c>
      <c r="B1014" s="7" t="s">
        <v>1679</v>
      </c>
      <c r="C1014" s="7" t="s">
        <v>21</v>
      </c>
      <c r="K1014" s="7">
        <v>10.0</v>
      </c>
      <c r="N1014" s="8">
        <v>43998.0</v>
      </c>
    </row>
    <row r="1015">
      <c r="A1015" s="7">
        <v>1014.0</v>
      </c>
      <c r="B1015" s="7" t="s">
        <v>1680</v>
      </c>
      <c r="C1015" s="7" t="s">
        <v>21</v>
      </c>
      <c r="N1015" s="8">
        <v>44059.0</v>
      </c>
    </row>
    <row r="1016">
      <c r="A1016" s="7">
        <v>1015.0</v>
      </c>
      <c r="B1016" s="7" t="s">
        <v>1681</v>
      </c>
      <c r="C1016" s="7" t="s">
        <v>21</v>
      </c>
      <c r="K1016" s="7">
        <v>100.0</v>
      </c>
      <c r="N1016" s="8">
        <v>44722.0</v>
      </c>
    </row>
    <row r="1017">
      <c r="A1017" s="7">
        <v>1016.0</v>
      </c>
      <c r="B1017" s="7" t="s">
        <v>1683</v>
      </c>
      <c r="C1017" s="7" t="s">
        <v>21</v>
      </c>
      <c r="N1017" s="8">
        <v>42797.0</v>
      </c>
    </row>
    <row r="1018">
      <c r="A1018" s="7">
        <v>1017.0</v>
      </c>
      <c r="B1018" s="7" t="s">
        <v>1685</v>
      </c>
      <c r="C1018" s="7" t="s">
        <v>21</v>
      </c>
      <c r="K1018" s="7">
        <v>450.0</v>
      </c>
      <c r="N1018" s="8">
        <v>43849.0</v>
      </c>
    </row>
    <row r="1019">
      <c r="A1019" s="7">
        <v>1018.0</v>
      </c>
      <c r="B1019" s="7" t="s">
        <v>1686</v>
      </c>
      <c r="C1019" s="7" t="s">
        <v>21</v>
      </c>
      <c r="K1019" s="7">
        <v>150.0</v>
      </c>
      <c r="N1019" s="8">
        <v>44188.0</v>
      </c>
    </row>
    <row r="1020">
      <c r="A1020" s="7">
        <v>1019.0</v>
      </c>
      <c r="B1020" s="7" t="s">
        <v>1689</v>
      </c>
      <c r="C1020" s="7" t="s">
        <v>21</v>
      </c>
      <c r="K1020" s="7">
        <v>90.0</v>
      </c>
      <c r="N1020" s="8">
        <v>44148.0</v>
      </c>
    </row>
    <row r="1021">
      <c r="A1021" s="7">
        <v>1020.0</v>
      </c>
      <c r="B1021" s="7" t="s">
        <v>1692</v>
      </c>
      <c r="C1021" s="7" t="s">
        <v>21</v>
      </c>
      <c r="K1021" s="7">
        <v>100.0</v>
      </c>
      <c r="N1021" s="8">
        <v>44717.0</v>
      </c>
    </row>
    <row r="1022">
      <c r="A1022" s="7">
        <v>1021.0</v>
      </c>
      <c r="B1022" s="7" t="s">
        <v>1694</v>
      </c>
      <c r="C1022" s="7" t="s">
        <v>21</v>
      </c>
      <c r="N1022" s="8">
        <v>44599.0</v>
      </c>
    </row>
    <row r="1023">
      <c r="A1023" s="7">
        <v>1022.0</v>
      </c>
      <c r="B1023" s="7" t="s">
        <v>333</v>
      </c>
      <c r="C1023" s="7" t="s">
        <v>21</v>
      </c>
      <c r="K1023" s="7">
        <v>100.0</v>
      </c>
      <c r="N1023" s="8">
        <v>44004.0</v>
      </c>
    </row>
    <row r="1024">
      <c r="A1024" s="7">
        <v>1023.0</v>
      </c>
      <c r="B1024" s="7" t="s">
        <v>1697</v>
      </c>
      <c r="C1024" s="7" t="s">
        <v>21</v>
      </c>
      <c r="D1024" s="7">
        <v>70.0</v>
      </c>
      <c r="H1024" s="7" t="s">
        <v>1699</v>
      </c>
      <c r="I1024" s="9">
        <v>46163.05030092593</v>
      </c>
      <c r="J1024" s="7" t="s">
        <v>40</v>
      </c>
      <c r="K1024" s="7">
        <v>80.0</v>
      </c>
      <c r="L1024" s="7">
        <v>100.0</v>
      </c>
      <c r="M1024" s="7">
        <v>3100.0</v>
      </c>
      <c r="N1024" s="8">
        <v>43228.0</v>
      </c>
      <c r="O1024" s="7" t="s">
        <v>41</v>
      </c>
      <c r="P1024" s="7" t="s">
        <v>25</v>
      </c>
      <c r="S1024" s="7" t="s">
        <v>28</v>
      </c>
    </row>
    <row r="1025">
      <c r="A1025" s="7">
        <v>1024.0</v>
      </c>
      <c r="B1025" s="7" t="s">
        <v>1700</v>
      </c>
      <c r="C1025" s="7" t="s">
        <v>21</v>
      </c>
      <c r="K1025" s="7">
        <v>20.0</v>
      </c>
      <c r="N1025" s="8">
        <v>44158.0</v>
      </c>
    </row>
    <row r="1026">
      <c r="A1026" s="7">
        <v>1025.0</v>
      </c>
      <c r="B1026" s="7" t="s">
        <v>1703</v>
      </c>
      <c r="C1026" s="7" t="s">
        <v>21</v>
      </c>
      <c r="K1026" s="7">
        <v>20.0</v>
      </c>
      <c r="N1026" s="8">
        <v>43090.0</v>
      </c>
    </row>
    <row r="1027">
      <c r="A1027" s="7">
        <v>1026.0</v>
      </c>
      <c r="B1027" s="7" t="s">
        <v>1704</v>
      </c>
      <c r="C1027" s="7" t="s">
        <v>21</v>
      </c>
      <c r="K1027" s="7">
        <v>70.0</v>
      </c>
      <c r="N1027" s="8">
        <v>45754.0</v>
      </c>
    </row>
    <row r="1028">
      <c r="A1028" s="7">
        <v>1027.0</v>
      </c>
      <c r="B1028" s="7" t="s">
        <v>1706</v>
      </c>
      <c r="C1028" s="7" t="s">
        <v>21</v>
      </c>
      <c r="K1028" s="7">
        <v>250.0</v>
      </c>
      <c r="N1028" s="8">
        <v>44615.0</v>
      </c>
    </row>
    <row r="1029">
      <c r="A1029" s="7">
        <v>1028.0</v>
      </c>
      <c r="B1029" s="7" t="s">
        <v>1707</v>
      </c>
      <c r="C1029" s="7" t="s">
        <v>21</v>
      </c>
      <c r="K1029" s="7">
        <v>70.0</v>
      </c>
      <c r="N1029" s="8">
        <v>45319.0</v>
      </c>
    </row>
    <row r="1030">
      <c r="A1030" s="7">
        <v>1029.0</v>
      </c>
      <c r="B1030" s="7" t="s">
        <v>1708</v>
      </c>
      <c r="C1030" s="7" t="s">
        <v>21</v>
      </c>
      <c r="N1030" s="8">
        <v>44925.0</v>
      </c>
      <c r="O1030" s="7" t="s">
        <v>33</v>
      </c>
      <c r="P1030" s="7" t="s">
        <v>25</v>
      </c>
      <c r="S1030" s="7" t="s">
        <v>28</v>
      </c>
    </row>
    <row r="1031">
      <c r="A1031" s="7">
        <v>1030.0</v>
      </c>
      <c r="B1031" s="7" t="s">
        <v>1709</v>
      </c>
      <c r="C1031" s="7" t="s">
        <v>21</v>
      </c>
      <c r="K1031" s="7">
        <v>1700.0</v>
      </c>
      <c r="N1031" s="8">
        <v>43876.0</v>
      </c>
      <c r="O1031" s="7" t="s">
        <v>33</v>
      </c>
      <c r="P1031" s="7" t="s">
        <v>25</v>
      </c>
      <c r="S1031" s="7" t="s">
        <v>28</v>
      </c>
    </row>
    <row r="1032">
      <c r="A1032" s="7">
        <v>1031.0</v>
      </c>
      <c r="B1032" s="7" t="s">
        <v>1710</v>
      </c>
      <c r="C1032" s="7" t="s">
        <v>21</v>
      </c>
      <c r="N1032" s="8">
        <v>44869.0</v>
      </c>
    </row>
    <row r="1033">
      <c r="A1033" s="7">
        <v>1032.0</v>
      </c>
      <c r="B1033" s="7" t="s">
        <v>1711</v>
      </c>
      <c r="C1033" s="7" t="s">
        <v>21</v>
      </c>
      <c r="K1033" s="7">
        <v>30.0</v>
      </c>
      <c r="N1033" s="8">
        <v>44050.0</v>
      </c>
    </row>
    <row r="1034">
      <c r="A1034" s="7">
        <v>1033.0</v>
      </c>
      <c r="B1034" s="7" t="s">
        <v>1712</v>
      </c>
      <c r="C1034" s="7" t="s">
        <v>21</v>
      </c>
      <c r="D1034" s="7">
        <v>66.0</v>
      </c>
      <c r="H1034" s="7" t="s">
        <v>167</v>
      </c>
      <c r="I1034" s="9">
        <v>46125.39165509259</v>
      </c>
      <c r="J1034" s="7" t="s">
        <v>40</v>
      </c>
      <c r="K1034" s="7">
        <v>10.0</v>
      </c>
      <c r="L1034" s="7">
        <v>3100.0</v>
      </c>
      <c r="M1034" s="7">
        <v>62000.0</v>
      </c>
      <c r="N1034" s="8">
        <v>43250.0</v>
      </c>
      <c r="O1034" s="7" t="s">
        <v>41</v>
      </c>
      <c r="P1034" s="7" t="s">
        <v>25</v>
      </c>
      <c r="S1034" s="7" t="s">
        <v>28</v>
      </c>
    </row>
    <row r="1035">
      <c r="A1035" s="7">
        <v>1034.0</v>
      </c>
      <c r="B1035" s="7" t="s">
        <v>1715</v>
      </c>
      <c r="C1035" s="7" t="s">
        <v>21</v>
      </c>
      <c r="K1035" s="7">
        <v>40.0</v>
      </c>
      <c r="N1035" s="8">
        <v>44528.0</v>
      </c>
    </row>
    <row r="1036">
      <c r="A1036" s="7">
        <v>1035.0</v>
      </c>
      <c r="B1036" s="7" t="s">
        <v>1716</v>
      </c>
      <c r="C1036" s="7" t="s">
        <v>21</v>
      </c>
      <c r="K1036" s="7">
        <v>1600.0</v>
      </c>
      <c r="N1036" s="8">
        <v>44561.0</v>
      </c>
    </row>
    <row r="1037">
      <c r="A1037" s="7">
        <v>1036.0</v>
      </c>
      <c r="B1037" s="7" t="s">
        <v>1717</v>
      </c>
      <c r="C1037" s="7" t="s">
        <v>21</v>
      </c>
      <c r="K1037" s="7">
        <v>150.0</v>
      </c>
      <c r="N1037" s="8">
        <v>44216.0</v>
      </c>
    </row>
    <row r="1038">
      <c r="A1038" s="7">
        <v>1037.0</v>
      </c>
      <c r="B1038" s="7" t="s">
        <v>1718</v>
      </c>
      <c r="C1038" s="7" t="s">
        <v>21</v>
      </c>
      <c r="K1038" s="7">
        <v>200.0</v>
      </c>
      <c r="N1038" s="8">
        <v>44582.0</v>
      </c>
    </row>
    <row r="1039">
      <c r="A1039" s="7">
        <v>1038.0</v>
      </c>
      <c r="B1039" s="7" t="s">
        <v>1720</v>
      </c>
      <c r="C1039" s="7" t="s">
        <v>21</v>
      </c>
      <c r="D1039" s="7">
        <v>67.0</v>
      </c>
      <c r="H1039" s="7" t="s">
        <v>1281</v>
      </c>
      <c r="I1039" s="9">
        <v>46127.16616898148</v>
      </c>
      <c r="J1039" s="7" t="s">
        <v>40</v>
      </c>
      <c r="K1039" s="7">
        <v>13000.0</v>
      </c>
      <c r="L1039" s="7">
        <v>100.0</v>
      </c>
      <c r="M1039" s="7">
        <v>187000.0</v>
      </c>
      <c r="N1039" s="8">
        <v>43875.0</v>
      </c>
      <c r="O1039" s="7" t="s">
        <v>41</v>
      </c>
      <c r="P1039" s="7" t="s">
        <v>25</v>
      </c>
      <c r="S1039" s="7" t="s">
        <v>28</v>
      </c>
    </row>
    <row r="1040">
      <c r="A1040" s="7">
        <v>1039.0</v>
      </c>
      <c r="B1040" s="7" t="s">
        <v>1721</v>
      </c>
      <c r="C1040" s="7" t="s">
        <v>21</v>
      </c>
      <c r="K1040" s="7">
        <v>1800.0</v>
      </c>
      <c r="N1040" s="8">
        <v>45054.0</v>
      </c>
    </row>
    <row r="1041">
      <c r="A1041" s="7">
        <v>1040.0</v>
      </c>
      <c r="B1041" s="7" t="s">
        <v>1723</v>
      </c>
      <c r="C1041" s="7" t="s">
        <v>21</v>
      </c>
      <c r="K1041" s="7">
        <v>10.0</v>
      </c>
      <c r="N1041" s="8">
        <v>44301.0</v>
      </c>
    </row>
    <row r="1042">
      <c r="A1042" s="7">
        <v>1041.0</v>
      </c>
      <c r="B1042" s="7" t="s">
        <v>1724</v>
      </c>
      <c r="C1042" s="7" t="s">
        <v>21</v>
      </c>
      <c r="K1042" s="7">
        <v>30.0</v>
      </c>
      <c r="N1042" s="8">
        <v>44538.0</v>
      </c>
    </row>
    <row r="1043">
      <c r="A1043" s="7">
        <v>1042.0</v>
      </c>
      <c r="B1043" s="7" t="s">
        <v>337</v>
      </c>
      <c r="C1043" s="7" t="s">
        <v>21</v>
      </c>
      <c r="K1043" s="7">
        <v>200.0</v>
      </c>
      <c r="N1043" s="8">
        <v>44313.0</v>
      </c>
    </row>
    <row r="1044">
      <c r="A1044" s="7">
        <v>1043.0</v>
      </c>
      <c r="B1044" s="7" t="s">
        <v>1726</v>
      </c>
      <c r="C1044" s="7" t="s">
        <v>21</v>
      </c>
      <c r="K1044" s="7">
        <v>10.0</v>
      </c>
      <c r="N1044" s="8">
        <v>45483.0</v>
      </c>
    </row>
    <row r="1045">
      <c r="A1045" s="7">
        <v>1044.0</v>
      </c>
      <c r="B1045" s="7" t="s">
        <v>1728</v>
      </c>
      <c r="C1045" s="7" t="s">
        <v>21</v>
      </c>
      <c r="K1045" s="7">
        <v>500.0</v>
      </c>
      <c r="N1045" s="8">
        <v>44679.0</v>
      </c>
    </row>
    <row r="1046">
      <c r="A1046" s="7">
        <v>1045.0</v>
      </c>
      <c r="B1046" s="7" t="s">
        <v>1729</v>
      </c>
      <c r="C1046" s="7" t="s">
        <v>21</v>
      </c>
      <c r="K1046" s="7">
        <v>150.0</v>
      </c>
      <c r="N1046" s="8">
        <v>43903.0</v>
      </c>
    </row>
    <row r="1047">
      <c r="A1047" s="7">
        <v>1046.0</v>
      </c>
      <c r="B1047" s="7" t="s">
        <v>1730</v>
      </c>
      <c r="C1047" s="7" t="s">
        <v>21</v>
      </c>
      <c r="K1047" s="7">
        <v>300.0</v>
      </c>
      <c r="N1047" s="8">
        <v>45171.0</v>
      </c>
    </row>
    <row r="1048">
      <c r="A1048" s="7">
        <v>1047.0</v>
      </c>
      <c r="B1048" s="7" t="s">
        <v>339</v>
      </c>
      <c r="C1048" s="7" t="s">
        <v>21</v>
      </c>
      <c r="K1048" s="7">
        <v>40.0</v>
      </c>
      <c r="N1048" s="8">
        <v>43923.0</v>
      </c>
    </row>
    <row r="1049">
      <c r="A1049" s="7">
        <v>1048.0</v>
      </c>
      <c r="B1049" s="7" t="s">
        <v>1731</v>
      </c>
      <c r="C1049" s="7" t="s">
        <v>21</v>
      </c>
      <c r="K1049" s="7">
        <v>10.0</v>
      </c>
      <c r="N1049" s="8">
        <v>45049.0</v>
      </c>
    </row>
    <row r="1050">
      <c r="A1050" s="7">
        <v>1049.0</v>
      </c>
      <c r="B1050" s="7" t="s">
        <v>1732</v>
      </c>
      <c r="C1050" s="7" t="s">
        <v>21</v>
      </c>
      <c r="K1050" s="7">
        <v>200.0</v>
      </c>
      <c r="N1050" s="8">
        <v>43887.0</v>
      </c>
    </row>
    <row r="1051">
      <c r="A1051" s="7">
        <v>1050.0</v>
      </c>
      <c r="B1051" s="7" t="s">
        <v>1734</v>
      </c>
      <c r="C1051" s="7" t="s">
        <v>21</v>
      </c>
      <c r="K1051" s="7">
        <v>20.0</v>
      </c>
      <c r="N1051" s="8">
        <v>44124.0</v>
      </c>
    </row>
    <row r="1052">
      <c r="A1052" s="7">
        <v>1051.0</v>
      </c>
      <c r="B1052" s="7" t="s">
        <v>1735</v>
      </c>
      <c r="C1052" s="7" t="s">
        <v>21</v>
      </c>
      <c r="K1052" s="7">
        <v>200.0</v>
      </c>
      <c r="N1052" s="8">
        <v>44130.0</v>
      </c>
    </row>
    <row r="1053">
      <c r="A1053" s="7">
        <v>1052.0</v>
      </c>
      <c r="B1053" s="7" t="s">
        <v>1737</v>
      </c>
      <c r="C1053" s="7" t="s">
        <v>21</v>
      </c>
      <c r="K1053" s="7">
        <v>40.0</v>
      </c>
      <c r="N1053" s="8">
        <v>44586.0</v>
      </c>
    </row>
    <row r="1054">
      <c r="A1054" s="7">
        <v>1053.0</v>
      </c>
      <c r="B1054" s="7" t="s">
        <v>1739</v>
      </c>
      <c r="C1054" s="7" t="s">
        <v>21</v>
      </c>
      <c r="K1054" s="7">
        <v>90.0</v>
      </c>
      <c r="N1054" s="8">
        <v>43889.0</v>
      </c>
    </row>
    <row r="1055">
      <c r="A1055" s="7">
        <v>1054.0</v>
      </c>
      <c r="B1055" s="7" t="s">
        <v>1741</v>
      </c>
      <c r="C1055" s="7" t="s">
        <v>21</v>
      </c>
      <c r="K1055" s="7">
        <v>40.0</v>
      </c>
      <c r="N1055" s="8">
        <v>44540.0</v>
      </c>
    </row>
    <row r="1056">
      <c r="A1056" s="7">
        <v>1055.0</v>
      </c>
      <c r="B1056" s="7" t="s">
        <v>1742</v>
      </c>
      <c r="C1056" s="7" t="s">
        <v>21</v>
      </c>
      <c r="N1056" s="8">
        <v>44906.0</v>
      </c>
    </row>
    <row r="1057">
      <c r="A1057" s="7">
        <v>1056.0</v>
      </c>
      <c r="B1057" s="7" t="s">
        <v>1743</v>
      </c>
      <c r="C1057" s="7" t="s">
        <v>21</v>
      </c>
      <c r="K1057" s="7">
        <v>80.0</v>
      </c>
      <c r="N1057" s="8">
        <v>44014.0</v>
      </c>
    </row>
    <row r="1058">
      <c r="A1058" s="7">
        <v>1057.0</v>
      </c>
      <c r="B1058" s="7" t="s">
        <v>1744</v>
      </c>
      <c r="C1058" s="7" t="s">
        <v>21</v>
      </c>
      <c r="K1058" s="7">
        <v>20.0</v>
      </c>
      <c r="N1058" s="8">
        <v>45191.0</v>
      </c>
    </row>
    <row r="1059">
      <c r="A1059" s="7">
        <v>1058.0</v>
      </c>
      <c r="B1059" s="7" t="s">
        <v>1746</v>
      </c>
      <c r="C1059" s="7" t="s">
        <v>21</v>
      </c>
      <c r="K1059" s="7">
        <v>200.0</v>
      </c>
      <c r="N1059" s="8">
        <v>45839.0</v>
      </c>
    </row>
    <row r="1060">
      <c r="A1060" s="7">
        <v>1059.0</v>
      </c>
      <c r="B1060" s="7" t="s">
        <v>1747</v>
      </c>
      <c r="C1060" s="7" t="s">
        <v>21</v>
      </c>
      <c r="K1060" s="7">
        <v>20.0</v>
      </c>
      <c r="N1060" s="8">
        <v>44376.0</v>
      </c>
    </row>
    <row r="1061">
      <c r="A1061" s="7">
        <v>1060.0</v>
      </c>
      <c r="B1061" s="7" t="s">
        <v>1748</v>
      </c>
      <c r="C1061" s="7" t="s">
        <v>21</v>
      </c>
      <c r="K1061" s="7">
        <v>20.0</v>
      </c>
      <c r="N1061" s="8">
        <v>44847.0</v>
      </c>
    </row>
    <row r="1062">
      <c r="A1062" s="7">
        <v>1061.0</v>
      </c>
      <c r="B1062" s="7" t="s">
        <v>1750</v>
      </c>
      <c r="C1062" s="7" t="s">
        <v>21</v>
      </c>
      <c r="K1062" s="7">
        <v>10.0</v>
      </c>
      <c r="N1062" s="8">
        <v>44353.0</v>
      </c>
    </row>
    <row r="1063">
      <c r="A1063" s="7">
        <v>1062.0</v>
      </c>
      <c r="B1063" s="7" t="s">
        <v>1751</v>
      </c>
      <c r="C1063" s="7" t="s">
        <v>21</v>
      </c>
      <c r="K1063" s="7">
        <v>150.0</v>
      </c>
      <c r="N1063" s="8">
        <v>45473.0</v>
      </c>
    </row>
    <row r="1064">
      <c r="A1064" s="7">
        <v>1063.0</v>
      </c>
      <c r="B1064" s="7" t="s">
        <v>1753</v>
      </c>
      <c r="C1064" s="7" t="s">
        <v>21</v>
      </c>
      <c r="K1064" s="7">
        <v>200.0</v>
      </c>
      <c r="N1064" s="8">
        <v>44905.0</v>
      </c>
    </row>
    <row r="1065">
      <c r="A1065" s="7">
        <v>1064.0</v>
      </c>
      <c r="B1065" s="7" t="s">
        <v>342</v>
      </c>
      <c r="C1065" s="7" t="s">
        <v>21</v>
      </c>
      <c r="K1065" s="7">
        <v>350.0</v>
      </c>
      <c r="N1065" s="8">
        <v>44822.0</v>
      </c>
    </row>
    <row r="1066">
      <c r="A1066" s="7">
        <v>1065.0</v>
      </c>
      <c r="B1066" s="7" t="s">
        <v>1754</v>
      </c>
      <c r="C1066" s="7" t="s">
        <v>21</v>
      </c>
      <c r="K1066" s="7">
        <v>2000.0</v>
      </c>
      <c r="N1066" s="8">
        <v>44710.0</v>
      </c>
    </row>
    <row r="1067">
      <c r="A1067" s="7">
        <v>1066.0</v>
      </c>
      <c r="B1067" s="7" t="s">
        <v>347</v>
      </c>
      <c r="C1067" s="7" t="s">
        <v>21</v>
      </c>
      <c r="K1067" s="7">
        <v>10.0</v>
      </c>
      <c r="N1067" s="8">
        <v>44262.0</v>
      </c>
    </row>
    <row r="1068">
      <c r="A1068" s="7">
        <v>1067.0</v>
      </c>
      <c r="B1068" s="7" t="s">
        <v>1756</v>
      </c>
      <c r="C1068" s="7" t="s">
        <v>21</v>
      </c>
      <c r="K1068" s="7">
        <v>4400.0</v>
      </c>
      <c r="N1068" s="8">
        <v>43758.0</v>
      </c>
    </row>
    <row r="1069">
      <c r="A1069" s="7">
        <v>1068.0</v>
      </c>
      <c r="B1069" s="7" t="s">
        <v>1757</v>
      </c>
      <c r="C1069" s="7" t="s">
        <v>21</v>
      </c>
      <c r="K1069" s="7">
        <v>60.0</v>
      </c>
      <c r="N1069" s="8">
        <v>44926.0</v>
      </c>
    </row>
    <row r="1070">
      <c r="A1070" s="7">
        <v>1069.0</v>
      </c>
      <c r="B1070" s="7" t="s">
        <v>1759</v>
      </c>
      <c r="C1070" s="7" t="s">
        <v>21</v>
      </c>
      <c r="K1070" s="7">
        <v>150.0</v>
      </c>
      <c r="N1070" s="8">
        <v>45410.0</v>
      </c>
    </row>
    <row r="1071">
      <c r="A1071" s="7">
        <v>1070.0</v>
      </c>
      <c r="B1071" s="7" t="s">
        <v>1761</v>
      </c>
      <c r="C1071" s="7" t="s">
        <v>21</v>
      </c>
      <c r="N1071" s="8">
        <v>44825.0</v>
      </c>
    </row>
    <row r="1072">
      <c r="A1072" s="7">
        <v>1071.0</v>
      </c>
      <c r="B1072" s="7" t="s">
        <v>1763</v>
      </c>
      <c r="C1072" s="7" t="s">
        <v>21</v>
      </c>
      <c r="K1072" s="7">
        <v>40.0</v>
      </c>
      <c r="N1072" s="8">
        <v>44441.0</v>
      </c>
    </row>
    <row r="1073">
      <c r="A1073" s="7">
        <v>1072.0</v>
      </c>
      <c r="B1073" s="7" t="s">
        <v>1764</v>
      </c>
      <c r="C1073" s="7" t="s">
        <v>21</v>
      </c>
      <c r="K1073" s="7">
        <v>4000.0</v>
      </c>
      <c r="N1073" s="8">
        <v>45505.0</v>
      </c>
    </row>
    <row r="1074">
      <c r="A1074" s="7">
        <v>1073.0</v>
      </c>
      <c r="B1074" s="7" t="s">
        <v>1765</v>
      </c>
      <c r="C1074" s="7" t="s">
        <v>21</v>
      </c>
      <c r="K1074" s="7">
        <v>200.0</v>
      </c>
      <c r="N1074" s="8">
        <v>45548.0</v>
      </c>
    </row>
    <row r="1075">
      <c r="A1075" s="7">
        <v>1074.0</v>
      </c>
      <c r="B1075" s="7" t="s">
        <v>1767</v>
      </c>
      <c r="C1075" s="7" t="s">
        <v>21</v>
      </c>
      <c r="K1075" s="7">
        <v>10.0</v>
      </c>
      <c r="N1075" s="8">
        <v>44567.0</v>
      </c>
    </row>
    <row r="1076">
      <c r="A1076" s="7">
        <v>1075.0</v>
      </c>
      <c r="B1076" s="7" t="s">
        <v>1768</v>
      </c>
      <c r="C1076" s="7" t="s">
        <v>21</v>
      </c>
      <c r="K1076" s="7">
        <v>40.0</v>
      </c>
      <c r="N1076" s="8">
        <v>45002.0</v>
      </c>
    </row>
    <row r="1077">
      <c r="A1077" s="7">
        <v>1076.0</v>
      </c>
      <c r="B1077" s="7" t="s">
        <v>1769</v>
      </c>
      <c r="C1077" s="7" t="s">
        <v>21</v>
      </c>
      <c r="N1077" s="8">
        <v>45227.0</v>
      </c>
    </row>
    <row r="1078">
      <c r="A1078" s="7">
        <v>1077.0</v>
      </c>
      <c r="B1078" s="7" t="s">
        <v>1771</v>
      </c>
      <c r="C1078" s="7" t="s">
        <v>21</v>
      </c>
      <c r="K1078" s="7">
        <v>500.0</v>
      </c>
      <c r="N1078" s="8">
        <v>44042.0</v>
      </c>
    </row>
    <row r="1079">
      <c r="A1079" s="7">
        <v>1078.0</v>
      </c>
      <c r="B1079" s="7" t="s">
        <v>1772</v>
      </c>
      <c r="C1079" s="7" t="s">
        <v>21</v>
      </c>
      <c r="K1079" s="7">
        <v>1200.0</v>
      </c>
      <c r="N1079" s="8">
        <v>42523.0</v>
      </c>
    </row>
    <row r="1080">
      <c r="A1080" s="7">
        <v>1079.0</v>
      </c>
      <c r="B1080" s="7" t="s">
        <v>1773</v>
      </c>
      <c r="C1080" s="7" t="s">
        <v>21</v>
      </c>
      <c r="K1080" s="7">
        <v>300.0</v>
      </c>
      <c r="N1080" s="8">
        <v>44068.0</v>
      </c>
    </row>
    <row r="1081">
      <c r="A1081" s="7">
        <v>1080.0</v>
      </c>
      <c r="B1081" s="7" t="s">
        <v>1774</v>
      </c>
      <c r="C1081" s="7" t="s">
        <v>21</v>
      </c>
      <c r="N1081" s="8">
        <v>44862.0</v>
      </c>
    </row>
    <row r="1082">
      <c r="A1082" s="7">
        <v>1081.0</v>
      </c>
      <c r="B1082" s="7" t="s">
        <v>1775</v>
      </c>
      <c r="C1082" s="7" t="s">
        <v>21</v>
      </c>
      <c r="K1082" s="7">
        <v>200.0</v>
      </c>
      <c r="N1082" s="8">
        <v>44639.0</v>
      </c>
    </row>
    <row r="1083">
      <c r="A1083" s="7">
        <v>1082.0</v>
      </c>
      <c r="B1083" s="7" t="s">
        <v>351</v>
      </c>
      <c r="C1083" s="7" t="s">
        <v>21</v>
      </c>
      <c r="N1083" s="8">
        <v>44287.0</v>
      </c>
    </row>
    <row r="1084">
      <c r="A1084" s="7">
        <v>1083.0</v>
      </c>
      <c r="B1084" s="7" t="s">
        <v>1777</v>
      </c>
      <c r="C1084" s="7" t="s">
        <v>21</v>
      </c>
      <c r="K1084" s="7">
        <v>200.0</v>
      </c>
      <c r="N1084" s="8">
        <v>45319.0</v>
      </c>
    </row>
    <row r="1085">
      <c r="A1085" s="7">
        <v>1084.0</v>
      </c>
      <c r="B1085" s="7" t="s">
        <v>1778</v>
      </c>
      <c r="C1085" s="7" t="s">
        <v>21</v>
      </c>
      <c r="K1085" s="7">
        <v>40.0</v>
      </c>
      <c r="N1085" s="8">
        <v>44318.0</v>
      </c>
    </row>
    <row r="1086">
      <c r="A1086" s="7">
        <v>1085.0</v>
      </c>
      <c r="B1086" s="7" t="s">
        <v>1780</v>
      </c>
      <c r="C1086" s="7" t="s">
        <v>21</v>
      </c>
      <c r="K1086" s="7">
        <v>10.0</v>
      </c>
      <c r="N1086" s="8">
        <v>45075.0</v>
      </c>
    </row>
    <row r="1087">
      <c r="A1087" s="7">
        <v>1086.0</v>
      </c>
      <c r="B1087" s="7" t="s">
        <v>1781</v>
      </c>
      <c r="C1087" s="7" t="s">
        <v>21</v>
      </c>
      <c r="K1087" s="7">
        <v>200.0</v>
      </c>
      <c r="N1087" s="8">
        <v>44713.0</v>
      </c>
      <c r="O1087" s="7" t="s">
        <v>33</v>
      </c>
      <c r="P1087" s="7" t="s">
        <v>25</v>
      </c>
      <c r="S1087" s="7" t="s">
        <v>28</v>
      </c>
    </row>
    <row r="1088">
      <c r="A1088" s="7">
        <v>1087.0</v>
      </c>
      <c r="B1088" s="7" t="s">
        <v>1783</v>
      </c>
      <c r="C1088" s="7" t="s">
        <v>21</v>
      </c>
      <c r="D1088" s="7">
        <v>69.0</v>
      </c>
      <c r="H1088" s="7" t="s">
        <v>1784</v>
      </c>
      <c r="I1088" s="9">
        <v>46100.67393518519</v>
      </c>
      <c r="J1088" s="7" t="s">
        <v>40</v>
      </c>
      <c r="K1088" s="7">
        <v>1300.0</v>
      </c>
      <c r="L1088" s="7">
        <v>10.0</v>
      </c>
      <c r="M1088" s="7">
        <v>56000.0</v>
      </c>
      <c r="N1088" s="8">
        <v>43492.0</v>
      </c>
      <c r="O1088" s="7" t="s">
        <v>33</v>
      </c>
      <c r="P1088" s="7" t="s">
        <v>25</v>
      </c>
      <c r="S1088" s="7" t="s">
        <v>28</v>
      </c>
    </row>
    <row r="1089">
      <c r="A1089" s="7">
        <v>1088.0</v>
      </c>
      <c r="B1089" s="7" t="s">
        <v>353</v>
      </c>
      <c r="C1089" s="7" t="s">
        <v>21</v>
      </c>
      <c r="K1089" s="7">
        <v>50.0</v>
      </c>
      <c r="N1089" s="8">
        <v>44544.0</v>
      </c>
    </row>
    <row r="1090">
      <c r="A1090" s="7">
        <v>1089.0</v>
      </c>
      <c r="B1090" s="7" t="s">
        <v>1786</v>
      </c>
      <c r="C1090" s="7" t="s">
        <v>21</v>
      </c>
      <c r="K1090" s="7">
        <v>10.0</v>
      </c>
      <c r="N1090" s="8">
        <v>44346.0</v>
      </c>
    </row>
    <row r="1091">
      <c r="A1091" s="7">
        <v>1090.0</v>
      </c>
      <c r="B1091" s="7" t="s">
        <v>1787</v>
      </c>
      <c r="C1091" s="7" t="s">
        <v>21</v>
      </c>
      <c r="N1091" s="8">
        <v>42622.0</v>
      </c>
    </row>
    <row r="1092">
      <c r="A1092" s="7">
        <v>1091.0</v>
      </c>
      <c r="B1092" s="7" t="s">
        <v>1788</v>
      </c>
      <c r="C1092" s="7" t="s">
        <v>21</v>
      </c>
      <c r="K1092" s="7">
        <v>10.0</v>
      </c>
      <c r="N1092" s="8">
        <v>44041.0</v>
      </c>
    </row>
    <row r="1093">
      <c r="A1093" s="7">
        <v>1092.0</v>
      </c>
      <c r="B1093" s="7" t="s">
        <v>1789</v>
      </c>
      <c r="C1093" s="7" t="s">
        <v>21</v>
      </c>
      <c r="K1093" s="7">
        <v>700.0</v>
      </c>
      <c r="N1093" s="8">
        <v>44835.0</v>
      </c>
    </row>
    <row r="1094">
      <c r="A1094" s="7">
        <v>1093.0</v>
      </c>
      <c r="B1094" s="7" t="s">
        <v>1790</v>
      </c>
      <c r="C1094" s="7" t="s">
        <v>21</v>
      </c>
      <c r="D1094" s="7">
        <v>68.0</v>
      </c>
      <c r="H1094" s="7" t="s">
        <v>192</v>
      </c>
      <c r="I1094" s="9">
        <v>46124.78755787037</v>
      </c>
      <c r="J1094" s="7" t="s">
        <v>40</v>
      </c>
      <c r="K1094" s="7">
        <v>31000.0</v>
      </c>
      <c r="L1094" s="7">
        <v>600.0</v>
      </c>
      <c r="M1094" s="7">
        <v>356000.0</v>
      </c>
      <c r="N1094" s="8">
        <v>42420.0</v>
      </c>
      <c r="O1094" s="7" t="s">
        <v>41</v>
      </c>
      <c r="P1094" s="7" t="s">
        <v>25</v>
      </c>
      <c r="S1094" s="7" t="s">
        <v>28</v>
      </c>
    </row>
    <row r="1095">
      <c r="A1095" s="7">
        <v>1094.0</v>
      </c>
      <c r="B1095" s="7" t="s">
        <v>1791</v>
      </c>
      <c r="C1095" s="7" t="s">
        <v>21</v>
      </c>
      <c r="D1095" s="7">
        <v>64.0</v>
      </c>
      <c r="H1095" s="7" t="s">
        <v>331</v>
      </c>
      <c r="I1095" s="9">
        <v>46123.757314814815</v>
      </c>
      <c r="J1095" s="7" t="s">
        <v>40</v>
      </c>
      <c r="K1095" s="7">
        <v>60.0</v>
      </c>
      <c r="L1095" s="7">
        <v>10.0</v>
      </c>
      <c r="M1095" s="7">
        <v>27000.0</v>
      </c>
      <c r="N1095" s="8">
        <v>44371.0</v>
      </c>
      <c r="O1095" s="7" t="s">
        <v>33</v>
      </c>
      <c r="P1095" s="7" t="s">
        <v>25</v>
      </c>
      <c r="S1095" s="7" t="s">
        <v>28</v>
      </c>
    </row>
    <row r="1096">
      <c r="A1096" s="7">
        <v>1095.0</v>
      </c>
      <c r="B1096" s="7" t="s">
        <v>1793</v>
      </c>
      <c r="C1096" s="7" t="s">
        <v>21</v>
      </c>
      <c r="N1096" s="8">
        <v>45164.0</v>
      </c>
    </row>
    <row r="1097">
      <c r="A1097" s="7">
        <v>1096.0</v>
      </c>
      <c r="B1097" s="7" t="s">
        <v>1795</v>
      </c>
      <c r="C1097" s="7" t="s">
        <v>21</v>
      </c>
      <c r="K1097" s="7">
        <v>250.0</v>
      </c>
      <c r="N1097" s="8">
        <v>44923.0</v>
      </c>
    </row>
    <row r="1098">
      <c r="A1098" s="7">
        <v>1097.0</v>
      </c>
      <c r="B1098" s="7" t="s">
        <v>1796</v>
      </c>
      <c r="C1098" s="7" t="s">
        <v>21</v>
      </c>
      <c r="K1098" s="7">
        <v>60.0</v>
      </c>
      <c r="N1098" s="8">
        <v>44226.0</v>
      </c>
    </row>
    <row r="1099">
      <c r="A1099" s="7">
        <v>1098.0</v>
      </c>
      <c r="B1099" s="7" t="s">
        <v>1798</v>
      </c>
      <c r="C1099" s="7" t="s">
        <v>21</v>
      </c>
      <c r="K1099" s="7">
        <v>20.0</v>
      </c>
      <c r="N1099" s="8">
        <v>44217.0</v>
      </c>
    </row>
    <row r="1100">
      <c r="A1100" s="7">
        <v>1099.0</v>
      </c>
      <c r="B1100" s="7" t="s">
        <v>356</v>
      </c>
      <c r="C1100" s="7" t="s">
        <v>21</v>
      </c>
      <c r="K1100" s="7">
        <v>30.0</v>
      </c>
      <c r="N1100" s="8">
        <v>44165.0</v>
      </c>
    </row>
    <row r="1101">
      <c r="A1101" s="7">
        <v>1100.0</v>
      </c>
      <c r="B1101" s="7" t="s">
        <v>1799</v>
      </c>
      <c r="C1101" s="7" t="s">
        <v>21</v>
      </c>
      <c r="N1101" s="8">
        <v>45228.0</v>
      </c>
    </row>
  </sheetData>
  <autoFilter ref="$A$1:$Z$11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1.0</v>
      </c>
      <c r="B2" s="7" t="s">
        <v>20</v>
      </c>
      <c r="C2" s="7" t="s">
        <v>21</v>
      </c>
      <c r="I2" s="9"/>
      <c r="K2" s="7">
        <v>2000.0</v>
      </c>
      <c r="N2" s="8">
        <v>43849.0</v>
      </c>
    </row>
    <row r="3">
      <c r="A3" s="7">
        <v>2.0</v>
      </c>
      <c r="B3" s="7" t="s">
        <v>23</v>
      </c>
      <c r="C3" s="7" t="s">
        <v>21</v>
      </c>
      <c r="I3" s="9"/>
      <c r="K3" s="7">
        <v>30.0</v>
      </c>
      <c r="N3" s="8">
        <v>43955.0</v>
      </c>
    </row>
    <row r="4">
      <c r="A4" s="7">
        <v>3.0</v>
      </c>
      <c r="B4" s="7" t="s">
        <v>29</v>
      </c>
      <c r="C4" s="7" t="s">
        <v>21</v>
      </c>
      <c r="I4" s="9"/>
      <c r="K4" s="7">
        <v>90.0</v>
      </c>
      <c r="N4" s="8">
        <v>44326.0</v>
      </c>
    </row>
    <row r="5">
      <c r="A5" s="7">
        <v>4.0</v>
      </c>
      <c r="B5" s="7" t="s">
        <v>32</v>
      </c>
      <c r="C5" s="7" t="s">
        <v>21</v>
      </c>
      <c r="K5" s="7">
        <v>2400.0</v>
      </c>
      <c r="N5" s="8">
        <v>44598.0</v>
      </c>
    </row>
    <row r="6">
      <c r="A6" s="7">
        <v>5.0</v>
      </c>
      <c r="B6" s="7" t="s">
        <v>35</v>
      </c>
      <c r="C6" s="7" t="s">
        <v>21</v>
      </c>
      <c r="I6" s="9"/>
      <c r="K6" s="7">
        <v>400.0</v>
      </c>
      <c r="N6" s="8">
        <v>44029.0</v>
      </c>
    </row>
    <row r="7">
      <c r="A7" s="7">
        <v>6.0</v>
      </c>
      <c r="B7" s="7" t="s">
        <v>38</v>
      </c>
      <c r="C7" s="7" t="s">
        <v>21</v>
      </c>
      <c r="I7" s="9"/>
      <c r="K7" s="7">
        <v>10.0</v>
      </c>
      <c r="N7" s="8">
        <v>43955.0</v>
      </c>
    </row>
    <row r="8">
      <c r="A8" s="7">
        <v>7.0</v>
      </c>
      <c r="B8" s="7" t="s">
        <v>42</v>
      </c>
      <c r="C8" s="7" t="s">
        <v>21</v>
      </c>
      <c r="I8" s="9"/>
      <c r="K8" s="7">
        <v>450.0</v>
      </c>
      <c r="N8" s="8">
        <v>44215.0</v>
      </c>
    </row>
    <row r="9">
      <c r="A9" s="7">
        <v>8.0</v>
      </c>
      <c r="B9" s="7" t="s">
        <v>49</v>
      </c>
      <c r="C9" s="7" t="s">
        <v>21</v>
      </c>
      <c r="I9" s="9"/>
      <c r="K9" s="7">
        <v>50.0</v>
      </c>
      <c r="N9" s="8">
        <v>44268.0</v>
      </c>
    </row>
    <row r="10">
      <c r="A10" s="7">
        <v>9.0</v>
      </c>
      <c r="B10" s="7" t="s">
        <v>50</v>
      </c>
      <c r="C10" s="7" t="s">
        <v>21</v>
      </c>
      <c r="I10" s="9"/>
      <c r="K10" s="7">
        <v>40.0</v>
      </c>
      <c r="N10" s="8">
        <v>44958.0</v>
      </c>
    </row>
    <row r="11">
      <c r="A11" s="7">
        <v>10.0</v>
      </c>
      <c r="B11" s="7" t="s">
        <v>55</v>
      </c>
      <c r="C11" s="7" t="s">
        <v>21</v>
      </c>
      <c r="I11" s="9"/>
      <c r="K11" s="7">
        <v>50.0</v>
      </c>
      <c r="N11" s="8">
        <v>44018.0</v>
      </c>
    </row>
    <row r="12">
      <c r="A12" s="7">
        <v>11.0</v>
      </c>
      <c r="B12" s="7" t="s">
        <v>58</v>
      </c>
      <c r="C12" s="7" t="s">
        <v>21</v>
      </c>
      <c r="I12" s="9"/>
      <c r="K12" s="7">
        <v>2200.0</v>
      </c>
      <c r="N12" s="8">
        <v>43871.0</v>
      </c>
    </row>
    <row r="13">
      <c r="A13" s="7">
        <v>12.0</v>
      </c>
      <c r="B13" s="7" t="s">
        <v>59</v>
      </c>
      <c r="C13" s="7" t="s">
        <v>21</v>
      </c>
      <c r="I13" s="9"/>
      <c r="K13" s="7">
        <v>50.0</v>
      </c>
      <c r="N13" s="8">
        <v>45156.0</v>
      </c>
    </row>
    <row r="14">
      <c r="A14" s="7">
        <v>13.0</v>
      </c>
      <c r="B14" s="7" t="s">
        <v>62</v>
      </c>
      <c r="C14" s="7" t="s">
        <v>21</v>
      </c>
      <c r="I14" s="9"/>
      <c r="K14" s="7">
        <v>150.0</v>
      </c>
      <c r="N14" s="8">
        <v>44602.0</v>
      </c>
    </row>
    <row r="15">
      <c r="A15" s="7">
        <v>14.0</v>
      </c>
      <c r="B15" s="7" t="s">
        <v>64</v>
      </c>
      <c r="C15" s="7" t="s">
        <v>21</v>
      </c>
      <c r="I15" s="9"/>
      <c r="K15" s="7">
        <v>70.0</v>
      </c>
      <c r="N15" s="8">
        <v>44204.0</v>
      </c>
    </row>
    <row r="16">
      <c r="A16" s="7">
        <v>15.0</v>
      </c>
      <c r="B16" s="7" t="s">
        <v>66</v>
      </c>
      <c r="C16" s="7" t="s">
        <v>21</v>
      </c>
      <c r="I16" s="9"/>
      <c r="K16" s="7">
        <v>50.0</v>
      </c>
      <c r="N16" s="8">
        <v>43935.0</v>
      </c>
    </row>
    <row r="17">
      <c r="A17" s="7">
        <v>16.0</v>
      </c>
      <c r="B17" s="7" t="s">
        <v>68</v>
      </c>
      <c r="C17" s="7" t="s">
        <v>21</v>
      </c>
      <c r="I17" s="9"/>
      <c r="N17" s="8">
        <v>44709.0</v>
      </c>
    </row>
    <row r="18">
      <c r="A18" s="7">
        <v>17.0</v>
      </c>
      <c r="B18" s="7" t="s">
        <v>70</v>
      </c>
      <c r="C18" s="7" t="s">
        <v>21</v>
      </c>
      <c r="I18" s="9"/>
      <c r="K18" s="7">
        <v>70.0</v>
      </c>
      <c r="N18" s="8">
        <v>44482.0</v>
      </c>
    </row>
    <row r="19">
      <c r="A19" s="7">
        <v>18.0</v>
      </c>
      <c r="B19" s="7" t="s">
        <v>75</v>
      </c>
      <c r="C19" s="7" t="s">
        <v>21</v>
      </c>
      <c r="I19" s="9"/>
      <c r="K19" s="7">
        <v>300.0</v>
      </c>
      <c r="N19" s="8">
        <v>43903.0</v>
      </c>
    </row>
    <row r="20">
      <c r="A20" s="7">
        <v>19.0</v>
      </c>
      <c r="B20" s="7" t="s">
        <v>78</v>
      </c>
      <c r="C20" s="7" t="s">
        <v>21</v>
      </c>
      <c r="I20" s="9"/>
      <c r="K20" s="7">
        <v>200.0</v>
      </c>
      <c r="N20" s="8">
        <v>44311.0</v>
      </c>
    </row>
    <row r="21">
      <c r="A21" s="7">
        <v>20.0</v>
      </c>
      <c r="B21" s="7" t="s">
        <v>81</v>
      </c>
      <c r="C21" s="7" t="s">
        <v>21</v>
      </c>
      <c r="I21" s="9"/>
      <c r="K21" s="7">
        <v>150.0</v>
      </c>
      <c r="N21" s="8">
        <v>45140.0</v>
      </c>
    </row>
    <row r="22">
      <c r="A22" s="7">
        <v>21.0</v>
      </c>
      <c r="B22" s="7" t="s">
        <v>84</v>
      </c>
      <c r="C22" s="7" t="s">
        <v>21</v>
      </c>
      <c r="I22" s="9"/>
      <c r="K22" s="7">
        <v>150.0</v>
      </c>
      <c r="N22" s="8">
        <v>43953.0</v>
      </c>
    </row>
    <row r="23">
      <c r="A23" s="7">
        <v>22.0</v>
      </c>
      <c r="B23" s="7" t="s">
        <v>88</v>
      </c>
      <c r="C23" s="7" t="s">
        <v>21</v>
      </c>
      <c r="I23" s="9"/>
      <c r="K23" s="7">
        <v>300.0</v>
      </c>
      <c r="N23" s="8">
        <v>43939.0</v>
      </c>
    </row>
    <row r="24">
      <c r="A24" s="7">
        <v>23.0</v>
      </c>
      <c r="B24" s="7" t="s">
        <v>90</v>
      </c>
      <c r="C24" s="7" t="s">
        <v>21</v>
      </c>
      <c r="K24" s="7">
        <v>20.0</v>
      </c>
      <c r="N24" s="8">
        <v>44262.0</v>
      </c>
    </row>
    <row r="25">
      <c r="A25" s="7">
        <v>24.0</v>
      </c>
      <c r="B25" s="7" t="s">
        <v>92</v>
      </c>
      <c r="C25" s="7" t="s">
        <v>21</v>
      </c>
      <c r="I25" s="9"/>
      <c r="K25" s="7">
        <v>100.0</v>
      </c>
      <c r="N25" s="8">
        <v>44207.0</v>
      </c>
    </row>
    <row r="26">
      <c r="A26" s="7">
        <v>25.0</v>
      </c>
      <c r="B26" s="7" t="s">
        <v>94</v>
      </c>
      <c r="C26" s="7" t="s">
        <v>21</v>
      </c>
      <c r="I26" s="9"/>
      <c r="K26" s="7">
        <v>70.0</v>
      </c>
      <c r="N26" s="8">
        <v>44891.0</v>
      </c>
    </row>
    <row r="27">
      <c r="A27" s="7">
        <v>26.0</v>
      </c>
      <c r="B27" s="7" t="s">
        <v>97</v>
      </c>
      <c r="C27" s="7" t="s">
        <v>21</v>
      </c>
      <c r="I27" s="9"/>
      <c r="K27" s="7">
        <v>250.0</v>
      </c>
      <c r="N27" s="8">
        <v>44350.0</v>
      </c>
    </row>
    <row r="28">
      <c r="A28" s="7">
        <v>27.0</v>
      </c>
      <c r="B28" s="7" t="s">
        <v>99</v>
      </c>
      <c r="C28" s="7" t="s">
        <v>21</v>
      </c>
      <c r="I28" s="9"/>
      <c r="K28" s="7">
        <v>10.0</v>
      </c>
      <c r="N28" s="8">
        <v>43857.0</v>
      </c>
    </row>
    <row r="29">
      <c r="A29" s="7">
        <v>28.0</v>
      </c>
      <c r="B29" s="7" t="s">
        <v>103</v>
      </c>
      <c r="C29" s="7" t="s">
        <v>21</v>
      </c>
      <c r="I29" s="9"/>
      <c r="K29" s="7">
        <v>150.0</v>
      </c>
      <c r="N29" s="8">
        <v>43932.0</v>
      </c>
    </row>
    <row r="30">
      <c r="A30" s="7">
        <v>29.0</v>
      </c>
      <c r="B30" s="7" t="s">
        <v>106</v>
      </c>
      <c r="C30" s="7" t="s">
        <v>21</v>
      </c>
      <c r="I30" s="9"/>
      <c r="K30" s="7">
        <v>30.0</v>
      </c>
      <c r="N30" s="8">
        <v>45204.0</v>
      </c>
    </row>
    <row r="31">
      <c r="A31" s="7">
        <v>30.0</v>
      </c>
      <c r="B31" s="7" t="s">
        <v>109</v>
      </c>
      <c r="C31" s="7" t="s">
        <v>21</v>
      </c>
      <c r="I31" s="9"/>
      <c r="K31" s="7">
        <v>10.0</v>
      </c>
      <c r="N31" s="8">
        <v>44074.0</v>
      </c>
    </row>
    <row r="32">
      <c r="A32" s="7">
        <v>31.0</v>
      </c>
      <c r="B32" s="7" t="s">
        <v>112</v>
      </c>
      <c r="C32" s="7" t="s">
        <v>21</v>
      </c>
      <c r="I32" s="9"/>
      <c r="K32" s="7">
        <v>200.0</v>
      </c>
      <c r="N32" s="8">
        <v>44528.0</v>
      </c>
    </row>
    <row r="33">
      <c r="A33" s="7">
        <v>32.0</v>
      </c>
      <c r="B33" s="7" t="s">
        <v>114</v>
      </c>
      <c r="C33" s="7" t="s">
        <v>21</v>
      </c>
      <c r="K33" s="7">
        <v>400.0</v>
      </c>
      <c r="N33" s="8">
        <v>44880.0</v>
      </c>
    </row>
    <row r="34">
      <c r="A34" s="7">
        <v>33.0</v>
      </c>
      <c r="B34" s="7" t="s">
        <v>117</v>
      </c>
      <c r="C34" s="7" t="s">
        <v>21</v>
      </c>
      <c r="I34" s="9"/>
      <c r="K34" s="7">
        <v>30.0</v>
      </c>
      <c r="N34" s="8">
        <v>44256.0</v>
      </c>
    </row>
    <row r="35">
      <c r="A35" s="7">
        <v>34.0</v>
      </c>
      <c r="B35" s="7" t="s">
        <v>122</v>
      </c>
      <c r="C35" s="7" t="s">
        <v>21</v>
      </c>
      <c r="I35" s="9"/>
      <c r="K35" s="7">
        <v>400.0</v>
      </c>
      <c r="N35" s="8">
        <v>44182.0</v>
      </c>
    </row>
    <row r="36">
      <c r="A36" s="7">
        <v>35.0</v>
      </c>
      <c r="B36" s="7" t="s">
        <v>126</v>
      </c>
      <c r="C36" s="7" t="s">
        <v>21</v>
      </c>
      <c r="I36" s="9"/>
      <c r="K36" s="7">
        <v>50.0</v>
      </c>
      <c r="N36" s="8">
        <v>44061.0</v>
      </c>
    </row>
    <row r="37">
      <c r="A37" s="7">
        <v>36.0</v>
      </c>
      <c r="B37" s="7" t="s">
        <v>129</v>
      </c>
      <c r="C37" s="7" t="s">
        <v>21</v>
      </c>
      <c r="I37" s="9"/>
      <c r="N37" s="8">
        <v>44545.0</v>
      </c>
    </row>
    <row r="38">
      <c r="A38" s="7">
        <v>37.0</v>
      </c>
      <c r="B38" s="7" t="s">
        <v>133</v>
      </c>
      <c r="C38" s="7" t="s">
        <v>21</v>
      </c>
      <c r="K38" s="7">
        <v>1000.0</v>
      </c>
      <c r="N38" s="8">
        <v>45030.0</v>
      </c>
    </row>
    <row r="39">
      <c r="A39" s="7">
        <v>38.0</v>
      </c>
      <c r="B39" s="7" t="s">
        <v>136</v>
      </c>
      <c r="C39" s="7" t="s">
        <v>21</v>
      </c>
      <c r="I39" s="9"/>
      <c r="K39" s="7">
        <v>10.0</v>
      </c>
      <c r="N39" s="8">
        <v>44671.0</v>
      </c>
    </row>
    <row r="40">
      <c r="A40" s="7">
        <v>39.0</v>
      </c>
      <c r="B40" s="7" t="s">
        <v>141</v>
      </c>
      <c r="C40" s="7" t="s">
        <v>21</v>
      </c>
      <c r="I40" s="9"/>
      <c r="K40" s="7">
        <v>400.0</v>
      </c>
      <c r="N40" s="8">
        <v>44310.0</v>
      </c>
    </row>
    <row r="41">
      <c r="A41" s="7">
        <v>40.0</v>
      </c>
      <c r="B41" s="7" t="s">
        <v>145</v>
      </c>
      <c r="C41" s="7" t="s">
        <v>21</v>
      </c>
      <c r="I41" s="9"/>
      <c r="K41" s="7">
        <v>100.0</v>
      </c>
      <c r="N41" s="8">
        <v>45195.0</v>
      </c>
    </row>
    <row r="42">
      <c r="A42" s="7">
        <v>41.0</v>
      </c>
      <c r="B42" s="7" t="s">
        <v>149</v>
      </c>
      <c r="C42" s="7" t="s">
        <v>21</v>
      </c>
      <c r="K42" s="7">
        <v>30.0</v>
      </c>
      <c r="N42" s="8">
        <v>42376.0</v>
      </c>
    </row>
    <row r="43">
      <c r="A43" s="7">
        <v>42.0</v>
      </c>
      <c r="B43" s="7" t="s">
        <v>152</v>
      </c>
      <c r="C43" s="7" t="s">
        <v>21</v>
      </c>
      <c r="I43" s="9"/>
      <c r="K43" s="7">
        <v>60.0</v>
      </c>
      <c r="N43" s="8">
        <v>44127.0</v>
      </c>
    </row>
    <row r="44">
      <c r="A44" s="7">
        <v>43.0</v>
      </c>
      <c r="B44" s="7" t="s">
        <v>155</v>
      </c>
      <c r="C44" s="7" t="s">
        <v>21</v>
      </c>
      <c r="I44" s="9"/>
      <c r="K44" s="7">
        <v>2800.0</v>
      </c>
      <c r="N44" s="8">
        <v>44453.0</v>
      </c>
    </row>
    <row r="45">
      <c r="A45" s="7">
        <v>44.0</v>
      </c>
      <c r="B45" s="7" t="s">
        <v>159</v>
      </c>
      <c r="C45" s="7" t="s">
        <v>21</v>
      </c>
      <c r="I45" s="9"/>
      <c r="K45" s="7">
        <v>200.0</v>
      </c>
      <c r="N45" s="8">
        <v>44211.0</v>
      </c>
    </row>
    <row r="46">
      <c r="A46" s="7">
        <v>45.0</v>
      </c>
      <c r="B46" s="7" t="s">
        <v>162</v>
      </c>
      <c r="C46" s="7" t="s">
        <v>21</v>
      </c>
      <c r="I46" s="9"/>
      <c r="K46" s="7">
        <v>90.0</v>
      </c>
      <c r="N46" s="8">
        <v>44580.0</v>
      </c>
    </row>
    <row r="47">
      <c r="A47" s="7">
        <v>46.0</v>
      </c>
      <c r="B47" s="7" t="s">
        <v>164</v>
      </c>
      <c r="C47" s="7" t="s">
        <v>21</v>
      </c>
      <c r="I47" s="9"/>
      <c r="K47" s="7">
        <v>1800.0</v>
      </c>
      <c r="N47" s="8">
        <v>45760.0</v>
      </c>
    </row>
    <row r="48">
      <c r="A48" s="7">
        <v>47.0</v>
      </c>
      <c r="B48" s="7" t="s">
        <v>169</v>
      </c>
      <c r="C48" s="7" t="s">
        <v>21</v>
      </c>
      <c r="K48" s="7">
        <v>100.0</v>
      </c>
      <c r="N48" s="8">
        <v>44562.0</v>
      </c>
    </row>
    <row r="49">
      <c r="A49" s="7">
        <v>48.0</v>
      </c>
      <c r="B49" s="7" t="s">
        <v>176</v>
      </c>
      <c r="C49" s="7" t="s">
        <v>21</v>
      </c>
      <c r="I49" s="9"/>
      <c r="K49" s="7">
        <v>80.0</v>
      </c>
      <c r="N49" s="8">
        <v>43900.0</v>
      </c>
    </row>
    <row r="50">
      <c r="A50" s="7">
        <v>49.0</v>
      </c>
      <c r="B50" s="7" t="s">
        <v>180</v>
      </c>
      <c r="C50" s="7" t="s">
        <v>21</v>
      </c>
      <c r="I50" s="9"/>
      <c r="K50" s="7">
        <v>100.0</v>
      </c>
      <c r="N50" s="8">
        <v>44394.0</v>
      </c>
    </row>
    <row r="51">
      <c r="A51" s="7">
        <v>50.0</v>
      </c>
      <c r="B51" s="7" t="s">
        <v>184</v>
      </c>
      <c r="C51" s="7" t="s">
        <v>21</v>
      </c>
      <c r="I51" s="9"/>
      <c r="K51" s="7">
        <v>10.0</v>
      </c>
      <c r="N51" s="8">
        <v>45544.0</v>
      </c>
    </row>
    <row r="52">
      <c r="A52" s="7">
        <v>51.0</v>
      </c>
      <c r="B52" s="7" t="s">
        <v>188</v>
      </c>
      <c r="C52" s="7" t="s">
        <v>21</v>
      </c>
      <c r="K52" s="7">
        <v>150.0</v>
      </c>
      <c r="N52" s="8">
        <v>44317.0</v>
      </c>
    </row>
    <row r="53">
      <c r="A53" s="7">
        <v>52.0</v>
      </c>
      <c r="B53" s="7" t="s">
        <v>193</v>
      </c>
      <c r="C53" s="7" t="s">
        <v>21</v>
      </c>
      <c r="N53" s="8">
        <v>44531.0</v>
      </c>
    </row>
    <row r="54">
      <c r="A54" s="7">
        <v>53.0</v>
      </c>
      <c r="B54" s="7" t="s">
        <v>198</v>
      </c>
      <c r="C54" s="7" t="s">
        <v>21</v>
      </c>
      <c r="N54" s="8">
        <v>44497.0</v>
      </c>
    </row>
    <row r="55">
      <c r="A55" s="7">
        <v>54.0</v>
      </c>
      <c r="B55" s="7" t="s">
        <v>202</v>
      </c>
      <c r="C55" s="7" t="s">
        <v>21</v>
      </c>
      <c r="K55" s="7">
        <v>250.0</v>
      </c>
      <c r="N55" s="8">
        <v>44719.0</v>
      </c>
    </row>
    <row r="56">
      <c r="A56" s="7">
        <v>55.0</v>
      </c>
      <c r="B56" s="7" t="s">
        <v>206</v>
      </c>
      <c r="C56" s="7" t="s">
        <v>21</v>
      </c>
      <c r="K56" s="7">
        <v>1000.0</v>
      </c>
      <c r="N56" s="8">
        <v>44559.0</v>
      </c>
    </row>
    <row r="57">
      <c r="A57" s="7">
        <v>56.0</v>
      </c>
      <c r="B57" s="7" t="s">
        <v>210</v>
      </c>
      <c r="C57" s="7" t="s">
        <v>21</v>
      </c>
      <c r="N57" s="8">
        <v>44572.0</v>
      </c>
    </row>
    <row r="58">
      <c r="A58" s="7">
        <v>57.0</v>
      </c>
      <c r="B58" s="7" t="s">
        <v>212</v>
      </c>
      <c r="C58" s="7" t="s">
        <v>21</v>
      </c>
      <c r="I58" s="9"/>
      <c r="K58" s="7">
        <v>700.0</v>
      </c>
      <c r="N58" s="8">
        <v>43891.0</v>
      </c>
    </row>
    <row r="59">
      <c r="A59" s="7">
        <v>58.0</v>
      </c>
      <c r="B59" s="7" t="s">
        <v>216</v>
      </c>
      <c r="C59" s="7" t="s">
        <v>21</v>
      </c>
      <c r="K59" s="7">
        <v>30.0</v>
      </c>
      <c r="N59" s="8">
        <v>45730.0</v>
      </c>
    </row>
    <row r="60">
      <c r="A60" s="7">
        <v>59.0</v>
      </c>
      <c r="B60" s="7" t="s">
        <v>219</v>
      </c>
      <c r="C60" s="7" t="s">
        <v>21</v>
      </c>
      <c r="I60" s="9"/>
      <c r="N60" s="8">
        <v>44159.0</v>
      </c>
    </row>
    <row r="61">
      <c r="A61" s="7">
        <v>60.0</v>
      </c>
      <c r="B61" s="7" t="s">
        <v>222</v>
      </c>
      <c r="C61" s="7" t="s">
        <v>21</v>
      </c>
      <c r="I61" s="9"/>
      <c r="K61" s="7">
        <v>150.0</v>
      </c>
      <c r="N61" s="8">
        <v>44145.0</v>
      </c>
    </row>
    <row r="62">
      <c r="A62" s="7">
        <v>61.0</v>
      </c>
      <c r="B62" s="7" t="s">
        <v>230</v>
      </c>
      <c r="C62" s="7" t="s">
        <v>21</v>
      </c>
      <c r="K62" s="7">
        <v>90.0</v>
      </c>
      <c r="N62" s="8">
        <v>44130.0</v>
      </c>
    </row>
    <row r="63">
      <c r="A63" s="7">
        <v>62.0</v>
      </c>
      <c r="B63" s="7" t="s">
        <v>235</v>
      </c>
      <c r="C63" s="7" t="s">
        <v>21</v>
      </c>
      <c r="N63" s="8">
        <v>44217.0</v>
      </c>
    </row>
    <row r="64">
      <c r="A64" s="7">
        <v>63.0</v>
      </c>
      <c r="B64" s="7" t="s">
        <v>238</v>
      </c>
      <c r="C64" s="7" t="s">
        <v>21</v>
      </c>
      <c r="I64" s="9"/>
      <c r="K64" s="7">
        <v>30.0</v>
      </c>
      <c r="N64" s="8">
        <v>44342.0</v>
      </c>
    </row>
    <row r="65">
      <c r="A65" s="7">
        <v>64.0</v>
      </c>
      <c r="B65" s="7" t="s">
        <v>242</v>
      </c>
      <c r="C65" s="7" t="s">
        <v>21</v>
      </c>
      <c r="I65" s="9"/>
      <c r="K65" s="7">
        <v>40.0</v>
      </c>
      <c r="N65" s="8">
        <v>44938.0</v>
      </c>
    </row>
    <row r="66">
      <c r="A66" s="7">
        <v>65.0</v>
      </c>
      <c r="B66" s="7" t="s">
        <v>247</v>
      </c>
      <c r="C66" s="7" t="s">
        <v>21</v>
      </c>
      <c r="K66" s="7">
        <v>900.0</v>
      </c>
      <c r="N66" s="8">
        <v>44621.0</v>
      </c>
    </row>
    <row r="67">
      <c r="A67" s="7">
        <v>66.0</v>
      </c>
      <c r="B67" s="7" t="s">
        <v>249</v>
      </c>
      <c r="C67" s="7" t="s">
        <v>21</v>
      </c>
      <c r="K67" s="7">
        <v>40.0</v>
      </c>
      <c r="N67" s="8">
        <v>45381.0</v>
      </c>
    </row>
    <row r="68">
      <c r="A68" s="7">
        <v>67.0</v>
      </c>
      <c r="B68" s="7" t="s">
        <v>253</v>
      </c>
      <c r="C68" s="7" t="s">
        <v>21</v>
      </c>
      <c r="K68" s="7">
        <v>900.0</v>
      </c>
      <c r="N68" s="8">
        <v>44233.0</v>
      </c>
    </row>
    <row r="69">
      <c r="A69" s="7">
        <v>68.0</v>
      </c>
      <c r="B69" s="7" t="s">
        <v>256</v>
      </c>
      <c r="C69" s="7" t="s">
        <v>21</v>
      </c>
      <c r="K69" s="7">
        <v>20.0</v>
      </c>
      <c r="N69" s="8">
        <v>44493.0</v>
      </c>
    </row>
    <row r="70">
      <c r="A70" s="7">
        <v>69.0</v>
      </c>
      <c r="B70" s="7" t="s">
        <v>260</v>
      </c>
      <c r="C70" s="7" t="s">
        <v>21</v>
      </c>
      <c r="K70" s="7">
        <v>20.0</v>
      </c>
      <c r="N70" s="8">
        <v>45537.0</v>
      </c>
    </row>
    <row r="71">
      <c r="A71" s="7">
        <v>70.0</v>
      </c>
      <c r="B71" s="7" t="s">
        <v>264</v>
      </c>
      <c r="C71" s="7" t="s">
        <v>21</v>
      </c>
      <c r="K71" s="7">
        <v>10.0</v>
      </c>
      <c r="N71" s="8">
        <v>44988.0</v>
      </c>
    </row>
    <row r="72">
      <c r="A72" s="7">
        <v>71.0</v>
      </c>
      <c r="B72" s="7" t="s">
        <v>267</v>
      </c>
      <c r="C72" s="7" t="s">
        <v>21</v>
      </c>
      <c r="I72" s="9"/>
      <c r="K72" s="7">
        <v>250.0</v>
      </c>
      <c r="N72" s="8">
        <v>44083.0</v>
      </c>
    </row>
    <row r="73">
      <c r="A73" s="7">
        <v>72.0</v>
      </c>
      <c r="B73" s="7" t="s">
        <v>270</v>
      </c>
      <c r="C73" s="7" t="s">
        <v>21</v>
      </c>
      <c r="I73" s="9"/>
      <c r="K73" s="7">
        <v>40.0</v>
      </c>
      <c r="N73" s="8">
        <v>42558.0</v>
      </c>
    </row>
    <row r="74">
      <c r="A74" s="7">
        <v>73.0</v>
      </c>
      <c r="B74" s="7" t="s">
        <v>293</v>
      </c>
      <c r="C74" s="7" t="s">
        <v>21</v>
      </c>
      <c r="I74" s="9"/>
      <c r="K74" s="7">
        <v>40.0</v>
      </c>
      <c r="N74" s="8">
        <v>44583.0</v>
      </c>
    </row>
    <row r="75">
      <c r="A75" s="7">
        <v>74.0</v>
      </c>
      <c r="B75" s="7" t="s">
        <v>297</v>
      </c>
      <c r="C75" s="7" t="s">
        <v>21</v>
      </c>
      <c r="K75" s="7">
        <v>10.0</v>
      </c>
      <c r="N75" s="8">
        <v>44771.0</v>
      </c>
    </row>
    <row r="76">
      <c r="A76" s="7">
        <v>75.0</v>
      </c>
      <c r="B76" s="7" t="s">
        <v>300</v>
      </c>
      <c r="C76" s="7" t="s">
        <v>21</v>
      </c>
      <c r="K76" s="7">
        <v>50.0</v>
      </c>
      <c r="N76" s="8">
        <v>45324.0</v>
      </c>
    </row>
    <row r="77">
      <c r="A77" s="7">
        <v>76.0</v>
      </c>
      <c r="B77" s="7" t="s">
        <v>303</v>
      </c>
      <c r="C77" s="7" t="s">
        <v>21</v>
      </c>
      <c r="I77" s="9"/>
      <c r="K77" s="7">
        <v>500.0</v>
      </c>
      <c r="N77" s="8">
        <v>43764.0</v>
      </c>
    </row>
    <row r="78">
      <c r="A78" s="7">
        <v>77.0</v>
      </c>
      <c r="B78" s="7" t="s">
        <v>307</v>
      </c>
      <c r="C78" s="7" t="s">
        <v>21</v>
      </c>
      <c r="K78" s="7">
        <v>20.0</v>
      </c>
      <c r="N78" s="8">
        <v>44415.0</v>
      </c>
    </row>
    <row r="79">
      <c r="A79" s="7">
        <v>78.0</v>
      </c>
      <c r="B79" s="7" t="s">
        <v>310</v>
      </c>
      <c r="C79" s="7" t="s">
        <v>21</v>
      </c>
      <c r="I79" s="9"/>
      <c r="K79" s="7">
        <v>100.0</v>
      </c>
      <c r="N79" s="8">
        <v>43871.0</v>
      </c>
    </row>
    <row r="80">
      <c r="A80" s="7">
        <v>79.0</v>
      </c>
      <c r="B80" s="7" t="s">
        <v>315</v>
      </c>
      <c r="C80" s="7" t="s">
        <v>21</v>
      </c>
      <c r="I80" s="9"/>
      <c r="K80" s="7">
        <v>100.0</v>
      </c>
      <c r="N80" s="8">
        <v>45126.0</v>
      </c>
    </row>
    <row r="81">
      <c r="A81" s="7">
        <v>80.0</v>
      </c>
      <c r="B81" s="7" t="s">
        <v>319</v>
      </c>
      <c r="C81" s="7" t="s">
        <v>21</v>
      </c>
      <c r="K81" s="7">
        <v>40.0</v>
      </c>
      <c r="N81" s="8">
        <v>44192.0</v>
      </c>
    </row>
    <row r="82">
      <c r="A82" s="7">
        <v>81.0</v>
      </c>
      <c r="B82" s="7" t="s">
        <v>322</v>
      </c>
      <c r="C82" s="7" t="s">
        <v>21</v>
      </c>
      <c r="I82" s="9"/>
      <c r="K82" s="7">
        <v>60.0</v>
      </c>
      <c r="N82" s="8">
        <v>44056.0</v>
      </c>
    </row>
    <row r="83">
      <c r="A83" s="7">
        <v>82.0</v>
      </c>
      <c r="B83" s="7" t="s">
        <v>326</v>
      </c>
      <c r="C83" s="7" t="s">
        <v>21</v>
      </c>
      <c r="K83" s="7">
        <v>100.0</v>
      </c>
      <c r="N83" s="8">
        <v>44228.0</v>
      </c>
    </row>
    <row r="84">
      <c r="A84" s="7">
        <v>83.0</v>
      </c>
      <c r="B84" s="7" t="s">
        <v>330</v>
      </c>
      <c r="C84" s="7" t="s">
        <v>21</v>
      </c>
      <c r="N84" s="8">
        <v>44277.0</v>
      </c>
    </row>
    <row r="85">
      <c r="A85" s="7">
        <v>84.0</v>
      </c>
      <c r="B85" s="7" t="s">
        <v>333</v>
      </c>
      <c r="C85" s="7" t="s">
        <v>21</v>
      </c>
      <c r="K85" s="7">
        <v>100.0</v>
      </c>
      <c r="N85" s="8">
        <v>44004.0</v>
      </c>
    </row>
    <row r="86">
      <c r="A86" s="7">
        <v>85.0</v>
      </c>
      <c r="B86" s="7" t="s">
        <v>337</v>
      </c>
      <c r="C86" s="7" t="s">
        <v>21</v>
      </c>
      <c r="K86" s="7">
        <v>200.0</v>
      </c>
      <c r="N86" s="8">
        <v>44313.0</v>
      </c>
    </row>
    <row r="87">
      <c r="A87" s="7">
        <v>86.0</v>
      </c>
      <c r="B87" s="7" t="s">
        <v>339</v>
      </c>
      <c r="C87" s="7" t="s">
        <v>21</v>
      </c>
      <c r="I87" s="9"/>
      <c r="K87" s="7">
        <v>40.0</v>
      </c>
      <c r="N87" s="8">
        <v>43923.0</v>
      </c>
    </row>
    <row r="88">
      <c r="A88" s="7">
        <v>87.0</v>
      </c>
      <c r="B88" s="7" t="s">
        <v>342</v>
      </c>
      <c r="C88" s="7" t="s">
        <v>21</v>
      </c>
      <c r="K88" s="7">
        <v>350.0</v>
      </c>
      <c r="N88" s="8">
        <v>44822.0</v>
      </c>
    </row>
    <row r="89">
      <c r="A89" s="7">
        <v>88.0</v>
      </c>
      <c r="B89" s="7" t="s">
        <v>347</v>
      </c>
      <c r="C89" s="7" t="s">
        <v>21</v>
      </c>
      <c r="I89" s="9"/>
      <c r="K89" s="7">
        <v>10.0</v>
      </c>
      <c r="N89" s="8">
        <v>44262.0</v>
      </c>
    </row>
    <row r="90">
      <c r="A90" s="7">
        <v>89.0</v>
      </c>
      <c r="B90" s="7" t="s">
        <v>351</v>
      </c>
      <c r="C90" s="7" t="s">
        <v>21</v>
      </c>
      <c r="N90" s="8">
        <v>44287.0</v>
      </c>
    </row>
    <row r="91">
      <c r="A91" s="7">
        <v>90.0</v>
      </c>
      <c r="B91" s="7" t="s">
        <v>353</v>
      </c>
      <c r="C91" s="7" t="s">
        <v>21</v>
      </c>
      <c r="K91" s="7">
        <v>50.0</v>
      </c>
      <c r="N91" s="8">
        <v>44544.0</v>
      </c>
    </row>
    <row r="92">
      <c r="A92" s="7">
        <v>91.0</v>
      </c>
      <c r="B92" s="7" t="s">
        <v>356</v>
      </c>
      <c r="C92" s="7" t="s">
        <v>21</v>
      </c>
      <c r="I92" s="9"/>
      <c r="K92" s="7">
        <v>30.0</v>
      </c>
      <c r="N92" s="8">
        <v>44165.0</v>
      </c>
    </row>
    <row r="93">
      <c r="I93" s="9"/>
      <c r="N93" s="8"/>
    </row>
    <row r="94">
      <c r="N94" s="8"/>
    </row>
    <row r="95">
      <c r="I95" s="9"/>
      <c r="N95" s="8"/>
    </row>
    <row r="96">
      <c r="N96" s="8"/>
    </row>
    <row r="97">
      <c r="I97" s="9"/>
      <c r="N97" s="8"/>
    </row>
    <row r="98">
      <c r="N98" s="8"/>
    </row>
    <row r="99">
      <c r="N99" s="8"/>
    </row>
    <row r="100">
      <c r="N100" s="8"/>
    </row>
    <row r="101">
      <c r="N101" s="8"/>
    </row>
    <row r="102">
      <c r="I102" s="9"/>
      <c r="N102" s="8"/>
    </row>
    <row r="103">
      <c r="N103" s="8"/>
    </row>
    <row r="104">
      <c r="N104" s="8"/>
    </row>
    <row r="105">
      <c r="N105" s="8"/>
    </row>
    <row r="106">
      <c r="N106" s="8"/>
    </row>
    <row r="107">
      <c r="N107" s="8"/>
    </row>
    <row r="108">
      <c r="N108" s="8"/>
    </row>
    <row r="109">
      <c r="N109" s="8"/>
    </row>
    <row r="110">
      <c r="I110" s="9"/>
      <c r="N110" s="8"/>
    </row>
    <row r="111">
      <c r="N111" s="8"/>
    </row>
    <row r="112">
      <c r="I112" s="9"/>
      <c r="N112" s="8"/>
    </row>
    <row r="113">
      <c r="N113" s="8"/>
    </row>
    <row r="114">
      <c r="I114" s="9"/>
      <c r="N114" s="8"/>
    </row>
    <row r="115">
      <c r="I115" s="9"/>
      <c r="N115" s="8"/>
    </row>
    <row r="116">
      <c r="I116" s="9"/>
      <c r="N116" s="8"/>
    </row>
    <row r="117">
      <c r="N117" s="8"/>
    </row>
    <row r="118">
      <c r="N118" s="8"/>
    </row>
    <row r="119">
      <c r="N119" s="8"/>
    </row>
    <row r="120">
      <c r="N120" s="8"/>
    </row>
    <row r="121">
      <c r="N121" s="8"/>
    </row>
    <row r="122">
      <c r="N122" s="8"/>
    </row>
    <row r="123">
      <c r="N123" s="8"/>
    </row>
    <row r="124">
      <c r="N124" s="8"/>
    </row>
    <row r="125">
      <c r="N125" s="8"/>
    </row>
    <row r="126">
      <c r="N126" s="8"/>
    </row>
    <row r="127">
      <c r="N127" s="8"/>
    </row>
    <row r="128">
      <c r="N128" s="8"/>
    </row>
    <row r="129">
      <c r="N129" s="8"/>
    </row>
    <row r="130">
      <c r="N130" s="8"/>
    </row>
    <row r="131">
      <c r="N131" s="8"/>
    </row>
    <row r="132">
      <c r="N132" s="8"/>
    </row>
    <row r="133">
      <c r="N133" s="8"/>
    </row>
    <row r="134">
      <c r="I134" s="9"/>
      <c r="N134" s="8"/>
    </row>
    <row r="135">
      <c r="N135" s="8"/>
    </row>
    <row r="136">
      <c r="N136" s="8"/>
    </row>
    <row r="137">
      <c r="N137" s="8"/>
    </row>
    <row r="138">
      <c r="N138" s="8"/>
    </row>
    <row r="139">
      <c r="N139" s="8"/>
    </row>
    <row r="140">
      <c r="N140" s="8"/>
    </row>
    <row r="141">
      <c r="N141" s="8"/>
    </row>
    <row r="142">
      <c r="N142" s="8"/>
    </row>
    <row r="143">
      <c r="N143" s="8"/>
    </row>
    <row r="144">
      <c r="N144" s="8"/>
    </row>
    <row r="145">
      <c r="N145" s="8"/>
    </row>
    <row r="146">
      <c r="N146" s="8"/>
    </row>
    <row r="147">
      <c r="N147" s="8"/>
    </row>
    <row r="148">
      <c r="N148" s="8"/>
    </row>
    <row r="149">
      <c r="N149" s="8"/>
    </row>
    <row r="150">
      <c r="N150" s="8"/>
    </row>
    <row r="151">
      <c r="N151" s="8"/>
    </row>
    <row r="152">
      <c r="N152" s="8"/>
    </row>
    <row r="153">
      <c r="N153" s="8"/>
    </row>
    <row r="154">
      <c r="N154" s="8"/>
    </row>
    <row r="155">
      <c r="N155" s="8"/>
    </row>
    <row r="156">
      <c r="N156" s="8"/>
    </row>
    <row r="157">
      <c r="N157" s="8"/>
    </row>
    <row r="158">
      <c r="N158" s="8"/>
    </row>
    <row r="159">
      <c r="N159" s="8"/>
    </row>
    <row r="160">
      <c r="N160" s="8"/>
    </row>
    <row r="161">
      <c r="N161" s="8"/>
    </row>
    <row r="162">
      <c r="N162" s="8"/>
    </row>
    <row r="163">
      <c r="N163" s="8"/>
    </row>
    <row r="164">
      <c r="N164" s="8"/>
    </row>
    <row r="165">
      <c r="N165" s="8"/>
    </row>
    <row r="166">
      <c r="N166" s="8"/>
    </row>
    <row r="167">
      <c r="N167" s="8"/>
    </row>
    <row r="168">
      <c r="N168" s="8"/>
    </row>
    <row r="169">
      <c r="N169" s="8"/>
    </row>
    <row r="170">
      <c r="N170" s="8"/>
    </row>
    <row r="171">
      <c r="N171" s="8"/>
    </row>
    <row r="172">
      <c r="N172" s="8"/>
    </row>
    <row r="173">
      <c r="N173" s="8"/>
    </row>
    <row r="174">
      <c r="N174" s="8"/>
    </row>
    <row r="175">
      <c r="N175" s="8"/>
    </row>
    <row r="176">
      <c r="N176" s="8"/>
    </row>
    <row r="177">
      <c r="N177" s="8"/>
    </row>
    <row r="178">
      <c r="N178" s="8"/>
    </row>
    <row r="179">
      <c r="N179" s="8"/>
    </row>
    <row r="180">
      <c r="N180" s="8"/>
    </row>
    <row r="181">
      <c r="N181" s="8"/>
    </row>
    <row r="182">
      <c r="N182" s="8"/>
    </row>
    <row r="183">
      <c r="N183" s="8"/>
    </row>
    <row r="184">
      <c r="N184" s="8"/>
    </row>
    <row r="185">
      <c r="N185" s="8"/>
    </row>
    <row r="186">
      <c r="N186" s="8"/>
    </row>
    <row r="187">
      <c r="N187" s="8"/>
    </row>
    <row r="188">
      <c r="N188" s="8"/>
    </row>
    <row r="189">
      <c r="N189" s="8"/>
    </row>
    <row r="190">
      <c r="N190" s="8"/>
    </row>
    <row r="191">
      <c r="N191" s="8"/>
    </row>
    <row r="192">
      <c r="N192" s="8"/>
    </row>
    <row r="193">
      <c r="N193" s="8"/>
    </row>
    <row r="194">
      <c r="N194" s="8"/>
    </row>
    <row r="195">
      <c r="N195" s="8"/>
    </row>
    <row r="196">
      <c r="N196" s="8"/>
    </row>
    <row r="197">
      <c r="N197" s="8"/>
    </row>
    <row r="198">
      <c r="N198" s="8"/>
    </row>
    <row r="199">
      <c r="N199" s="8"/>
    </row>
    <row r="200">
      <c r="N200" s="8"/>
    </row>
    <row r="201">
      <c r="N201" s="8"/>
    </row>
    <row r="202">
      <c r="N202" s="8"/>
    </row>
    <row r="203">
      <c r="N203" s="8"/>
    </row>
    <row r="204">
      <c r="N204" s="8"/>
    </row>
    <row r="205">
      <c r="N205" s="8"/>
    </row>
    <row r="206">
      <c r="N206" s="8"/>
    </row>
    <row r="207">
      <c r="N207" s="8"/>
    </row>
    <row r="208">
      <c r="N208" s="8"/>
    </row>
    <row r="209">
      <c r="N209" s="8"/>
    </row>
    <row r="210">
      <c r="N210" s="8"/>
    </row>
    <row r="211">
      <c r="N211" s="8"/>
    </row>
    <row r="212">
      <c r="N212" s="8"/>
    </row>
    <row r="213">
      <c r="N213" s="8"/>
    </row>
    <row r="214">
      <c r="N214" s="8"/>
    </row>
    <row r="215">
      <c r="N215" s="8"/>
    </row>
    <row r="216">
      <c r="N216" s="8"/>
    </row>
    <row r="217">
      <c r="N217" s="8"/>
    </row>
    <row r="218">
      <c r="N218" s="8"/>
    </row>
    <row r="219">
      <c r="N219" s="8"/>
    </row>
    <row r="220">
      <c r="N220" s="8"/>
    </row>
    <row r="221">
      <c r="N221" s="8"/>
    </row>
    <row r="222">
      <c r="N222" s="8"/>
    </row>
    <row r="223">
      <c r="N223" s="8"/>
    </row>
    <row r="224">
      <c r="N224" s="8"/>
    </row>
    <row r="225">
      <c r="N225" s="8"/>
    </row>
    <row r="226">
      <c r="N226" s="8"/>
    </row>
    <row r="227">
      <c r="N227" s="8"/>
    </row>
    <row r="228">
      <c r="N228" s="8"/>
    </row>
    <row r="229">
      <c r="N229" s="8"/>
    </row>
    <row r="230">
      <c r="N230" s="8"/>
    </row>
    <row r="231">
      <c r="N231" s="8"/>
    </row>
    <row r="232">
      <c r="N232" s="8"/>
    </row>
    <row r="233">
      <c r="N233" s="8"/>
    </row>
    <row r="234">
      <c r="N234" s="8"/>
    </row>
    <row r="235">
      <c r="N235" s="8"/>
    </row>
    <row r="236">
      <c r="N236" s="8"/>
    </row>
    <row r="237">
      <c r="N237" s="8"/>
    </row>
    <row r="238">
      <c r="N238" s="8"/>
    </row>
    <row r="239">
      <c r="N239" s="8"/>
    </row>
    <row r="240">
      <c r="N240" s="8"/>
    </row>
    <row r="241"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I254" s="9"/>
      <c r="N254" s="8"/>
    </row>
    <row r="255"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</sheetData>
  <autoFilter ref="$A$1:$Z$99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2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7">
        <v>1.0</v>
      </c>
      <c r="B2" s="7" t="s">
        <v>19</v>
      </c>
      <c r="C2" s="7" t="s">
        <v>21</v>
      </c>
      <c r="D2" s="7">
        <v>77.0</v>
      </c>
      <c r="E2" s="7">
        <v>13000.0</v>
      </c>
      <c r="F2" s="7">
        <v>0.02</v>
      </c>
      <c r="G2" s="7">
        <v>1.1</v>
      </c>
      <c r="H2" s="7" t="s">
        <v>19</v>
      </c>
      <c r="I2" s="9">
        <v>46149.25953703704</v>
      </c>
      <c r="J2" s="7" t="s">
        <v>22</v>
      </c>
      <c r="K2" s="7">
        <v>62000.0</v>
      </c>
      <c r="L2" s="7">
        <v>13000.0</v>
      </c>
      <c r="M2" s="7">
        <v>80000.0</v>
      </c>
      <c r="N2" s="8">
        <v>42249.0</v>
      </c>
      <c r="O2" s="7" t="s">
        <v>24</v>
      </c>
      <c r="P2" s="7" t="s">
        <v>25</v>
      </c>
      <c r="Q2" s="7" t="s">
        <v>26</v>
      </c>
      <c r="R2" s="7" t="s">
        <v>27</v>
      </c>
      <c r="S2" s="7" t="s">
        <v>28</v>
      </c>
    </row>
    <row r="3">
      <c r="A3" s="7">
        <v>2.0</v>
      </c>
      <c r="B3" s="7" t="s">
        <v>46</v>
      </c>
      <c r="C3" s="7" t="s">
        <v>21</v>
      </c>
      <c r="D3" s="7">
        <v>72.0</v>
      </c>
      <c r="E3" s="7">
        <v>4200.0</v>
      </c>
      <c r="F3" s="7">
        <v>0.06</v>
      </c>
      <c r="G3" s="7">
        <v>1.12</v>
      </c>
      <c r="H3" s="7" t="s">
        <v>46</v>
      </c>
      <c r="I3" s="9">
        <v>46149.239907407406</v>
      </c>
      <c r="J3" s="7" t="s">
        <v>719</v>
      </c>
      <c r="K3" s="7">
        <v>591000.0</v>
      </c>
      <c r="L3" s="7">
        <v>900.0</v>
      </c>
      <c r="M3" s="7">
        <v>719000.0</v>
      </c>
      <c r="N3" s="8">
        <v>42251.0</v>
      </c>
      <c r="O3" s="7" t="s">
        <v>41</v>
      </c>
      <c r="P3" s="7" t="s">
        <v>25</v>
      </c>
      <c r="Q3" s="7" t="s">
        <v>721</v>
      </c>
      <c r="R3" s="7" t="s">
        <v>722</v>
      </c>
      <c r="S3" s="7" t="s">
        <v>28</v>
      </c>
    </row>
    <row r="4">
      <c r="A4" s="7">
        <v>3.0</v>
      </c>
      <c r="B4" s="7" t="s">
        <v>53</v>
      </c>
      <c r="C4" s="7" t="s">
        <v>21</v>
      </c>
      <c r="D4" s="7">
        <v>80.0</v>
      </c>
      <c r="E4" s="7">
        <v>3900.0</v>
      </c>
      <c r="H4" s="7" t="s">
        <v>53</v>
      </c>
      <c r="I4" s="9">
        <v>46149.24853009259</v>
      </c>
      <c r="J4" s="7" t="s">
        <v>22</v>
      </c>
      <c r="K4" s="7">
        <v>977000.0</v>
      </c>
      <c r="L4" s="7">
        <v>1500.0</v>
      </c>
      <c r="M4" s="7">
        <v>41000.0</v>
      </c>
      <c r="N4" s="8">
        <v>42255.0</v>
      </c>
      <c r="O4" s="7" t="s">
        <v>24</v>
      </c>
      <c r="P4" s="7" t="s">
        <v>25</v>
      </c>
      <c r="Q4" s="7" t="s">
        <v>728</v>
      </c>
      <c r="R4" s="7" t="s">
        <v>729</v>
      </c>
      <c r="S4" s="7" t="s">
        <v>28</v>
      </c>
    </row>
    <row r="5">
      <c r="A5" s="7">
        <v>4.0</v>
      </c>
      <c r="B5" s="7" t="s">
        <v>167</v>
      </c>
      <c r="C5" s="7" t="s">
        <v>21</v>
      </c>
      <c r="D5" s="7">
        <v>67.0</v>
      </c>
      <c r="E5" s="7">
        <v>2600.0</v>
      </c>
      <c r="G5" s="7">
        <v>1.29</v>
      </c>
      <c r="H5" s="7" t="s">
        <v>167</v>
      </c>
      <c r="I5" s="9">
        <v>46162.51045138889</v>
      </c>
      <c r="J5" s="7" t="s">
        <v>734</v>
      </c>
      <c r="K5" s="7">
        <v>27000.0</v>
      </c>
      <c r="L5" s="7">
        <v>3200.0</v>
      </c>
      <c r="M5" s="7">
        <v>65000.0</v>
      </c>
      <c r="N5" s="8">
        <v>42262.0</v>
      </c>
      <c r="O5" s="7" t="s">
        <v>33</v>
      </c>
      <c r="P5" s="7" t="s">
        <v>25</v>
      </c>
      <c r="Q5" s="7" t="s">
        <v>738</v>
      </c>
      <c r="R5" s="7" t="s">
        <v>739</v>
      </c>
      <c r="S5" s="7" t="s">
        <v>28</v>
      </c>
    </row>
    <row r="6">
      <c r="A6" s="7">
        <v>5.0</v>
      </c>
      <c r="B6" s="7" t="s">
        <v>740</v>
      </c>
      <c r="C6" s="7" t="s">
        <v>21</v>
      </c>
      <c r="D6" s="7">
        <v>80.0</v>
      </c>
      <c r="E6" s="7">
        <v>1900.0</v>
      </c>
      <c r="F6" s="7">
        <v>0.6</v>
      </c>
      <c r="G6" s="7">
        <v>0.95</v>
      </c>
      <c r="H6" s="7" t="s">
        <v>743</v>
      </c>
      <c r="I6" s="9">
        <v>45897.646875</v>
      </c>
      <c r="J6" s="7" t="s">
        <v>745</v>
      </c>
      <c r="K6" s="7">
        <v>48000.0</v>
      </c>
      <c r="L6" s="7">
        <v>26000.0</v>
      </c>
      <c r="M6" s="7">
        <v>27000.0</v>
      </c>
      <c r="N6" s="8">
        <v>42248.0</v>
      </c>
      <c r="O6" s="7" t="s">
        <v>24</v>
      </c>
      <c r="P6" s="7" t="s">
        <v>25</v>
      </c>
      <c r="Q6" s="7" t="s">
        <v>747</v>
      </c>
      <c r="R6" s="7" t="s">
        <v>749</v>
      </c>
      <c r="S6" s="7" t="s">
        <v>28</v>
      </c>
    </row>
    <row r="7">
      <c r="A7" s="7">
        <v>6.0</v>
      </c>
      <c r="B7" s="7" t="s">
        <v>751</v>
      </c>
      <c r="C7" s="7" t="s">
        <v>21</v>
      </c>
      <c r="D7" s="7">
        <v>81.0</v>
      </c>
      <c r="E7" s="7">
        <v>1900.0</v>
      </c>
      <c r="F7" s="7">
        <v>2.5</v>
      </c>
      <c r="H7" s="7" t="s">
        <v>743</v>
      </c>
      <c r="I7" s="9">
        <v>45893.25895833333</v>
      </c>
      <c r="J7" s="7" t="s">
        <v>754</v>
      </c>
      <c r="K7" s="7">
        <v>2300.0</v>
      </c>
      <c r="L7" s="7">
        <v>28000.0</v>
      </c>
      <c r="M7" s="7">
        <v>29000.0</v>
      </c>
      <c r="N7" s="8">
        <v>44401.0</v>
      </c>
      <c r="O7" s="7" t="s">
        <v>24</v>
      </c>
      <c r="P7" s="7" t="s">
        <v>25</v>
      </c>
      <c r="Q7" s="7" t="s">
        <v>757</v>
      </c>
      <c r="R7" s="7" t="s">
        <v>758</v>
      </c>
      <c r="S7" s="7" t="s">
        <v>28</v>
      </c>
    </row>
    <row r="8">
      <c r="A8" s="7">
        <v>7.0</v>
      </c>
      <c r="B8" s="7" t="s">
        <v>760</v>
      </c>
      <c r="C8" s="7" t="s">
        <v>21</v>
      </c>
      <c r="D8" s="7">
        <v>83.0</v>
      </c>
      <c r="E8" s="7">
        <v>1700.0</v>
      </c>
      <c r="F8" s="7">
        <v>0.3</v>
      </c>
      <c r="G8" s="7">
        <v>1.02</v>
      </c>
      <c r="H8" s="7" t="s">
        <v>760</v>
      </c>
      <c r="I8" s="9">
        <v>45978.88162037037</v>
      </c>
      <c r="J8" s="7" t="s">
        <v>763</v>
      </c>
      <c r="K8" s="7">
        <v>4680000.0</v>
      </c>
      <c r="L8" s="7">
        <v>1600.0</v>
      </c>
      <c r="M8" s="7">
        <v>1980000.0</v>
      </c>
      <c r="N8" s="8">
        <v>42256.0</v>
      </c>
      <c r="O8" s="7" t="s">
        <v>54</v>
      </c>
      <c r="P8" s="7" t="s">
        <v>25</v>
      </c>
      <c r="Q8" s="7" t="s">
        <v>766</v>
      </c>
      <c r="R8" s="7" t="s">
        <v>767</v>
      </c>
      <c r="S8" s="7" t="s">
        <v>28</v>
      </c>
    </row>
    <row r="9">
      <c r="A9" s="7">
        <v>8.0</v>
      </c>
      <c r="B9" s="7" t="s">
        <v>769</v>
      </c>
      <c r="C9" s="7" t="s">
        <v>21</v>
      </c>
      <c r="D9" s="7">
        <v>92.0</v>
      </c>
      <c r="E9" s="7">
        <v>1000.0</v>
      </c>
      <c r="G9" s="7">
        <v>0.49</v>
      </c>
      <c r="H9" s="7" t="s">
        <v>19</v>
      </c>
      <c r="I9" s="9">
        <v>45898.187060185184</v>
      </c>
      <c r="J9" s="7" t="s">
        <v>439</v>
      </c>
      <c r="K9" s="7">
        <v>1900000.0</v>
      </c>
      <c r="L9" s="7">
        <v>14000.0</v>
      </c>
      <c r="M9" s="7">
        <v>69000.0</v>
      </c>
      <c r="N9" s="8">
        <v>42278.0</v>
      </c>
      <c r="O9" s="7" t="s">
        <v>24</v>
      </c>
      <c r="P9" s="7" t="s">
        <v>25</v>
      </c>
      <c r="Q9" s="7" t="s">
        <v>774</v>
      </c>
      <c r="R9" s="7" t="s">
        <v>775</v>
      </c>
      <c r="S9" s="7" t="s">
        <v>28</v>
      </c>
    </row>
    <row r="10">
      <c r="A10" s="7">
        <v>9.0</v>
      </c>
      <c r="B10" s="7" t="s">
        <v>30</v>
      </c>
      <c r="C10" s="7" t="s">
        <v>21</v>
      </c>
      <c r="D10" s="7">
        <v>70.0</v>
      </c>
      <c r="E10" s="7">
        <v>1000.0</v>
      </c>
      <c r="H10" s="7" t="s">
        <v>30</v>
      </c>
      <c r="I10" s="9">
        <v>45895.22857638889</v>
      </c>
      <c r="J10" s="7" t="s">
        <v>31</v>
      </c>
      <c r="K10" s="7">
        <v>4200.0</v>
      </c>
      <c r="L10" s="7">
        <v>3100.0</v>
      </c>
      <c r="M10" s="7">
        <v>274000.0</v>
      </c>
      <c r="N10" s="8">
        <v>42248.0</v>
      </c>
      <c r="O10" s="7" t="s">
        <v>33</v>
      </c>
      <c r="P10" s="7" t="s">
        <v>25</v>
      </c>
      <c r="Q10" s="7" t="s">
        <v>34</v>
      </c>
      <c r="R10" s="7" t="s">
        <v>36</v>
      </c>
      <c r="S10" s="7" t="s">
        <v>28</v>
      </c>
    </row>
    <row r="11">
      <c r="A11" s="7">
        <v>10.0</v>
      </c>
      <c r="B11" s="7" t="s">
        <v>781</v>
      </c>
      <c r="C11" s="7" t="s">
        <v>21</v>
      </c>
      <c r="D11" s="7">
        <v>55.0</v>
      </c>
      <c r="E11" s="7">
        <v>900.0</v>
      </c>
      <c r="G11" s="7">
        <v>1.19</v>
      </c>
      <c r="H11" s="7" t="s">
        <v>781</v>
      </c>
      <c r="I11" s="9">
        <v>45882.96428240741</v>
      </c>
      <c r="J11" s="7" t="s">
        <v>719</v>
      </c>
      <c r="K11" s="7">
        <v>295000.0</v>
      </c>
      <c r="L11" s="7">
        <v>700.0</v>
      </c>
      <c r="M11" s="7">
        <v>452000.0</v>
      </c>
      <c r="N11" s="8">
        <v>42249.0</v>
      </c>
      <c r="O11" s="7" t="s">
        <v>33</v>
      </c>
      <c r="P11" s="7" t="s">
        <v>25</v>
      </c>
      <c r="Q11" s="7" t="s">
        <v>785</v>
      </c>
      <c r="R11" s="7" t="s">
        <v>786</v>
      </c>
      <c r="S11" s="7" t="s">
        <v>28</v>
      </c>
    </row>
    <row r="12">
      <c r="A12" s="7">
        <v>11.0</v>
      </c>
      <c r="B12" s="7" t="s">
        <v>788</v>
      </c>
      <c r="C12" s="7" t="s">
        <v>21</v>
      </c>
      <c r="D12" s="7">
        <v>82.0</v>
      </c>
      <c r="E12" s="7">
        <v>800.0</v>
      </c>
      <c r="H12" s="7" t="s">
        <v>19</v>
      </c>
      <c r="I12" s="9">
        <v>45973.91569444445</v>
      </c>
      <c r="J12" s="7" t="s">
        <v>790</v>
      </c>
      <c r="K12" s="7">
        <v>4800.0</v>
      </c>
      <c r="L12" s="7">
        <v>13000.0</v>
      </c>
      <c r="M12" s="7">
        <v>61000.0</v>
      </c>
      <c r="N12" s="8">
        <v>42255.0</v>
      </c>
      <c r="O12" s="7" t="s">
        <v>24</v>
      </c>
      <c r="P12" s="7" t="s">
        <v>25</v>
      </c>
      <c r="Q12" s="7" t="s">
        <v>793</v>
      </c>
      <c r="R12" s="7" t="s">
        <v>794</v>
      </c>
      <c r="S12" s="7" t="s">
        <v>28</v>
      </c>
    </row>
    <row r="13">
      <c r="A13" s="7">
        <v>12.0</v>
      </c>
      <c r="B13" s="7" t="s">
        <v>796</v>
      </c>
      <c r="C13" s="7" t="s">
        <v>21</v>
      </c>
      <c r="D13" s="7">
        <v>77.0</v>
      </c>
      <c r="E13" s="7">
        <v>700.0</v>
      </c>
      <c r="H13" s="7" t="s">
        <v>30</v>
      </c>
      <c r="I13" s="9">
        <v>45897.49208333333</v>
      </c>
      <c r="J13" s="7" t="s">
        <v>798</v>
      </c>
      <c r="K13" s="7">
        <v>200000.0</v>
      </c>
      <c r="L13" s="7">
        <v>3100.0</v>
      </c>
      <c r="M13" s="7">
        <v>268000.0</v>
      </c>
      <c r="N13" s="8">
        <v>42549.0</v>
      </c>
      <c r="O13" s="7" t="s">
        <v>33</v>
      </c>
      <c r="P13" s="7" t="s">
        <v>25</v>
      </c>
      <c r="Q13" s="7" t="s">
        <v>800</v>
      </c>
      <c r="R13" s="7" t="s">
        <v>802</v>
      </c>
      <c r="S13" s="7" t="s">
        <v>28</v>
      </c>
    </row>
    <row r="14">
      <c r="A14" s="7">
        <v>13.0</v>
      </c>
      <c r="B14" s="7" t="s">
        <v>803</v>
      </c>
      <c r="C14" s="7" t="s">
        <v>21</v>
      </c>
      <c r="D14" s="7">
        <v>62.0</v>
      </c>
      <c r="E14" s="7">
        <v>700.0</v>
      </c>
      <c r="H14" s="7" t="s">
        <v>781</v>
      </c>
      <c r="I14" s="9">
        <v>45916.185219907406</v>
      </c>
      <c r="J14" s="7" t="s">
        <v>805</v>
      </c>
      <c r="K14" s="7">
        <v>5500.0</v>
      </c>
      <c r="L14" s="7">
        <v>500.0</v>
      </c>
      <c r="M14" s="7">
        <v>412000.0</v>
      </c>
      <c r="N14" s="8">
        <v>42249.0</v>
      </c>
      <c r="O14" s="7" t="s">
        <v>33</v>
      </c>
      <c r="P14" s="7" t="s">
        <v>25</v>
      </c>
      <c r="Q14" s="7" t="s">
        <v>806</v>
      </c>
      <c r="R14" s="7" t="s">
        <v>807</v>
      </c>
      <c r="S14" s="7" t="s">
        <v>28</v>
      </c>
    </row>
    <row r="15">
      <c r="A15" s="7">
        <v>14.0</v>
      </c>
      <c r="B15" s="7" t="s">
        <v>808</v>
      </c>
      <c r="C15" s="7" t="s">
        <v>21</v>
      </c>
      <c r="D15" s="7">
        <v>81.0</v>
      </c>
      <c r="E15" s="7">
        <v>600.0</v>
      </c>
      <c r="H15" s="7" t="s">
        <v>743</v>
      </c>
      <c r="I15" s="9">
        <v>45896.622615740744</v>
      </c>
      <c r="J15" s="7" t="s">
        <v>745</v>
      </c>
      <c r="K15" s="7">
        <v>700.0</v>
      </c>
      <c r="L15" s="7">
        <v>26000.0</v>
      </c>
      <c r="M15" s="7">
        <v>27000.0</v>
      </c>
      <c r="N15" s="8">
        <v>45132.0</v>
      </c>
      <c r="O15" s="7" t="s">
        <v>24</v>
      </c>
      <c r="P15" s="7" t="s">
        <v>25</v>
      </c>
      <c r="Q15" s="7" t="s">
        <v>813</v>
      </c>
      <c r="R15" s="7">
        <v>489.0</v>
      </c>
      <c r="S15" s="7" t="s">
        <v>28</v>
      </c>
    </row>
    <row r="16">
      <c r="A16" s="7">
        <v>15.0</v>
      </c>
      <c r="B16" s="7" t="s">
        <v>816</v>
      </c>
      <c r="C16" s="7" t="s">
        <v>21</v>
      </c>
      <c r="D16" s="7">
        <v>73.0</v>
      </c>
      <c r="E16" s="7">
        <v>500.0</v>
      </c>
      <c r="G16" s="7">
        <v>1.51</v>
      </c>
      <c r="H16" s="7" t="s">
        <v>816</v>
      </c>
      <c r="I16" s="9">
        <v>45895.18194444444</v>
      </c>
      <c r="J16" s="7" t="s">
        <v>820</v>
      </c>
      <c r="K16" s="7">
        <v>62000.0</v>
      </c>
      <c r="L16" s="7">
        <v>2900.0</v>
      </c>
      <c r="M16" s="7">
        <v>737000.0</v>
      </c>
      <c r="N16" s="8">
        <v>42271.0</v>
      </c>
      <c r="O16" s="7" t="s">
        <v>41</v>
      </c>
      <c r="P16" s="7" t="s">
        <v>25</v>
      </c>
      <c r="Q16" s="7" t="s">
        <v>823</v>
      </c>
      <c r="R16" s="7" t="s">
        <v>824</v>
      </c>
      <c r="S16" s="7" t="s">
        <v>28</v>
      </c>
    </row>
    <row r="17">
      <c r="A17" s="7">
        <v>16.0</v>
      </c>
      <c r="B17" s="7" t="s">
        <v>826</v>
      </c>
      <c r="C17" s="7" t="s">
        <v>21</v>
      </c>
      <c r="D17" s="7">
        <v>54.0</v>
      </c>
      <c r="E17" s="7">
        <v>500.0</v>
      </c>
      <c r="F17" s="7">
        <v>1.0</v>
      </c>
      <c r="H17" s="7" t="s">
        <v>46</v>
      </c>
      <c r="I17" s="9">
        <v>45897.23931712963</v>
      </c>
      <c r="J17" s="7" t="s">
        <v>719</v>
      </c>
      <c r="K17" s="7">
        <v>63000.0</v>
      </c>
      <c r="L17" s="7">
        <v>4500.0</v>
      </c>
      <c r="M17" s="7">
        <v>867000.0</v>
      </c>
      <c r="N17" s="8">
        <v>42248.0</v>
      </c>
      <c r="O17" s="7" t="s">
        <v>41</v>
      </c>
      <c r="P17" s="7" t="s">
        <v>25</v>
      </c>
      <c r="Q17" s="7" t="s">
        <v>832</v>
      </c>
      <c r="R17" s="7" t="s">
        <v>834</v>
      </c>
      <c r="S17" s="7" t="s">
        <v>28</v>
      </c>
    </row>
    <row r="18">
      <c r="A18" s="7">
        <v>17.0</v>
      </c>
      <c r="B18" s="7" t="s">
        <v>836</v>
      </c>
      <c r="C18" s="7" t="s">
        <v>21</v>
      </c>
      <c r="D18" s="7">
        <v>75.0</v>
      </c>
      <c r="E18" s="7">
        <v>350.0</v>
      </c>
      <c r="F18" s="7">
        <v>0.03</v>
      </c>
      <c r="G18" s="7">
        <v>1.24</v>
      </c>
      <c r="H18" s="7" t="s">
        <v>836</v>
      </c>
      <c r="I18" s="9">
        <v>45908.674722222226</v>
      </c>
      <c r="J18" s="7" t="s">
        <v>839</v>
      </c>
      <c r="K18" s="7">
        <v>390000.0</v>
      </c>
      <c r="L18" s="7">
        <v>30.0</v>
      </c>
      <c r="M18" s="7">
        <v>61000.0</v>
      </c>
      <c r="N18" s="8">
        <v>42377.0</v>
      </c>
      <c r="O18" s="7" t="s">
        <v>54</v>
      </c>
      <c r="P18" s="7" t="s">
        <v>25</v>
      </c>
      <c r="Q18" s="7" t="s">
        <v>841</v>
      </c>
      <c r="R18" s="7" t="s">
        <v>843</v>
      </c>
      <c r="S18" s="7" t="s">
        <v>28</v>
      </c>
    </row>
    <row r="19">
      <c r="A19" s="7">
        <v>18.0</v>
      </c>
      <c r="B19" s="7" t="s">
        <v>844</v>
      </c>
      <c r="C19" s="7" t="s">
        <v>21</v>
      </c>
      <c r="D19" s="7">
        <v>80.0</v>
      </c>
      <c r="E19" s="7">
        <v>350.0</v>
      </c>
      <c r="F19" s="7">
        <v>0.15</v>
      </c>
      <c r="H19" s="7" t="s">
        <v>760</v>
      </c>
      <c r="I19" s="9">
        <v>46065.580625</v>
      </c>
      <c r="J19" s="7" t="s">
        <v>847</v>
      </c>
      <c r="K19" s="7">
        <v>175000.0</v>
      </c>
      <c r="L19" s="7">
        <v>1400.0</v>
      </c>
      <c r="M19" s="7">
        <v>4270000.0</v>
      </c>
      <c r="N19" s="8">
        <v>42379.0</v>
      </c>
      <c r="O19" s="7" t="s">
        <v>54</v>
      </c>
      <c r="P19" s="7" t="s">
        <v>25</v>
      </c>
      <c r="Q19" s="7" t="s">
        <v>850</v>
      </c>
      <c r="R19" s="7" t="s">
        <v>851</v>
      </c>
      <c r="S19" s="7" t="s">
        <v>28</v>
      </c>
    </row>
    <row r="20">
      <c r="A20" s="7">
        <v>19.0</v>
      </c>
      <c r="B20" s="7" t="s">
        <v>853</v>
      </c>
      <c r="C20" s="7" t="s">
        <v>21</v>
      </c>
      <c r="D20" s="7">
        <v>71.0</v>
      </c>
      <c r="E20" s="7">
        <v>350.0</v>
      </c>
      <c r="G20" s="7">
        <v>1.4</v>
      </c>
      <c r="H20" s="7" t="s">
        <v>19</v>
      </c>
      <c r="I20" s="9">
        <v>45962.932291666664</v>
      </c>
      <c r="J20" s="7" t="s">
        <v>40</v>
      </c>
      <c r="K20" s="7">
        <v>1000.0</v>
      </c>
      <c r="L20" s="7">
        <v>13000.0</v>
      </c>
      <c r="M20" s="7">
        <v>60000.0</v>
      </c>
      <c r="N20" s="8">
        <v>42248.0</v>
      </c>
      <c r="O20" s="7" t="s">
        <v>72</v>
      </c>
      <c r="P20" s="7" t="s">
        <v>25</v>
      </c>
      <c r="Q20" s="7" t="s">
        <v>857</v>
      </c>
      <c r="R20" s="7" t="s">
        <v>858</v>
      </c>
      <c r="S20" s="7" t="s">
        <v>28</v>
      </c>
    </row>
    <row r="21">
      <c r="A21" s="7">
        <v>20.0</v>
      </c>
      <c r="B21" s="7" t="s">
        <v>104</v>
      </c>
      <c r="C21" s="7" t="s">
        <v>21</v>
      </c>
      <c r="D21" s="7">
        <v>76.0</v>
      </c>
      <c r="E21" s="7">
        <v>300.0</v>
      </c>
      <c r="H21" s="7" t="s">
        <v>861</v>
      </c>
      <c r="I21" s="9">
        <v>45950.71988425926</v>
      </c>
      <c r="J21" s="7" t="s">
        <v>40</v>
      </c>
      <c r="K21" s="7">
        <v>380000.0</v>
      </c>
      <c r="L21" s="7">
        <v>200.0</v>
      </c>
      <c r="M21" s="7">
        <v>162000.0</v>
      </c>
      <c r="N21" s="8">
        <v>42507.0</v>
      </c>
      <c r="O21" s="7" t="s">
        <v>24</v>
      </c>
      <c r="P21" s="7" t="s">
        <v>25</v>
      </c>
      <c r="Q21" s="7" t="s">
        <v>864</v>
      </c>
      <c r="R21" s="7" t="s">
        <v>865</v>
      </c>
      <c r="S21" s="7" t="s">
        <v>28</v>
      </c>
    </row>
    <row r="22">
      <c r="A22" s="7">
        <v>21.0</v>
      </c>
      <c r="B22" s="7" t="s">
        <v>867</v>
      </c>
      <c r="C22" s="7" t="s">
        <v>21</v>
      </c>
      <c r="D22" s="7">
        <v>64.0</v>
      </c>
      <c r="E22" s="7">
        <v>300.0</v>
      </c>
      <c r="H22" s="7" t="s">
        <v>46</v>
      </c>
      <c r="I22" s="9">
        <v>45951.96425925926</v>
      </c>
      <c r="J22" s="7" t="s">
        <v>48</v>
      </c>
      <c r="K22" s="7">
        <v>175000.0</v>
      </c>
      <c r="L22" s="7">
        <v>4500.0</v>
      </c>
      <c r="M22" s="7">
        <v>906000.0</v>
      </c>
      <c r="N22" s="8">
        <v>44000.0</v>
      </c>
      <c r="O22" s="7" t="s">
        <v>41</v>
      </c>
      <c r="P22" s="7" t="s">
        <v>871</v>
      </c>
      <c r="Q22" s="7" t="s">
        <v>872</v>
      </c>
      <c r="R22" s="7" t="s">
        <v>873</v>
      </c>
      <c r="S22" s="7" t="s">
        <v>28</v>
      </c>
    </row>
    <row r="23">
      <c r="A23" s="7">
        <v>22.0</v>
      </c>
      <c r="B23" s="7" t="s">
        <v>37</v>
      </c>
      <c r="C23" s="7" t="s">
        <v>21</v>
      </c>
      <c r="D23" s="7">
        <v>70.0</v>
      </c>
      <c r="E23" s="7">
        <v>250.0</v>
      </c>
      <c r="G23" s="7">
        <v>1.19</v>
      </c>
      <c r="H23" s="7" t="s">
        <v>30</v>
      </c>
      <c r="I23" s="9">
        <v>45891.796168981484</v>
      </c>
      <c r="J23" s="7" t="s">
        <v>40</v>
      </c>
      <c r="K23" s="7">
        <v>23000.0</v>
      </c>
      <c r="L23" s="7">
        <v>3100.0</v>
      </c>
      <c r="M23" s="7">
        <v>276000.0</v>
      </c>
      <c r="N23" s="8">
        <v>42867.0</v>
      </c>
      <c r="O23" s="7" t="s">
        <v>41</v>
      </c>
      <c r="P23" s="7" t="s">
        <v>25</v>
      </c>
      <c r="Q23" s="7" t="s">
        <v>44</v>
      </c>
      <c r="R23" s="7" t="s">
        <v>45</v>
      </c>
      <c r="S23" s="7" t="s">
        <v>28</v>
      </c>
    </row>
    <row r="24">
      <c r="A24" s="7">
        <v>23.0</v>
      </c>
      <c r="B24" s="7" t="s">
        <v>878</v>
      </c>
      <c r="C24" s="7" t="s">
        <v>21</v>
      </c>
      <c r="D24" s="7">
        <v>78.0</v>
      </c>
      <c r="E24" s="7">
        <v>200.0</v>
      </c>
      <c r="H24" s="7" t="s">
        <v>46</v>
      </c>
      <c r="I24" s="9">
        <v>46076.57324074074</v>
      </c>
      <c r="K24" s="7">
        <v>13000.0</v>
      </c>
      <c r="L24" s="7">
        <v>5100.0</v>
      </c>
      <c r="M24" s="7">
        <v>596000.0</v>
      </c>
      <c r="N24" s="8">
        <v>42308.0</v>
      </c>
      <c r="O24" s="7" t="s">
        <v>33</v>
      </c>
      <c r="P24" s="7" t="s">
        <v>25</v>
      </c>
      <c r="S24" s="7" t="s">
        <v>28</v>
      </c>
    </row>
    <row r="25">
      <c r="A25" s="7">
        <v>24.0</v>
      </c>
      <c r="B25" s="7" t="s">
        <v>880</v>
      </c>
      <c r="C25" s="7" t="s">
        <v>21</v>
      </c>
      <c r="D25" s="7">
        <v>74.0</v>
      </c>
      <c r="E25" s="7">
        <v>200.0</v>
      </c>
      <c r="H25" s="7" t="s">
        <v>46</v>
      </c>
      <c r="I25" s="9">
        <v>46089.648935185185</v>
      </c>
      <c r="J25" s="7" t="s">
        <v>40</v>
      </c>
      <c r="K25" s="7">
        <v>13000.0</v>
      </c>
      <c r="L25" s="7">
        <v>600.0</v>
      </c>
      <c r="M25" s="7">
        <v>204000.0</v>
      </c>
      <c r="N25" s="8">
        <v>44463.0</v>
      </c>
      <c r="O25" s="7" t="s">
        <v>33</v>
      </c>
      <c r="P25" s="7" t="s">
        <v>884</v>
      </c>
      <c r="S25" s="7" t="s">
        <v>28</v>
      </c>
    </row>
    <row r="26">
      <c r="A26" s="7">
        <v>25.0</v>
      </c>
      <c r="B26" s="7" t="s">
        <v>886</v>
      </c>
      <c r="C26" s="7" t="s">
        <v>21</v>
      </c>
      <c r="D26" s="7">
        <v>65.0</v>
      </c>
      <c r="E26" s="7">
        <v>200.0</v>
      </c>
      <c r="H26" s="7" t="s">
        <v>886</v>
      </c>
      <c r="I26" s="9">
        <v>45943.41253472222</v>
      </c>
      <c r="J26" s="7" t="s">
        <v>40</v>
      </c>
      <c r="K26" s="7">
        <v>53000.0</v>
      </c>
      <c r="L26" s="7">
        <v>100.0</v>
      </c>
      <c r="M26" s="7">
        <v>166000.0</v>
      </c>
      <c r="N26" s="8">
        <v>44027.0</v>
      </c>
      <c r="O26" s="7" t="s">
        <v>41</v>
      </c>
      <c r="P26" s="7" t="s">
        <v>871</v>
      </c>
      <c r="S26" s="7" t="s">
        <v>28</v>
      </c>
    </row>
    <row r="27">
      <c r="A27" s="7">
        <v>26.0</v>
      </c>
      <c r="B27" s="7" t="s">
        <v>892</v>
      </c>
      <c r="C27" s="7" t="s">
        <v>21</v>
      </c>
      <c r="D27" s="7">
        <v>79.0</v>
      </c>
      <c r="E27" s="7">
        <v>150.0</v>
      </c>
      <c r="H27" s="7" t="s">
        <v>53</v>
      </c>
      <c r="I27" s="9">
        <v>46152.56929398148</v>
      </c>
      <c r="J27" s="7" t="s">
        <v>40</v>
      </c>
      <c r="K27" s="7">
        <v>2700.0</v>
      </c>
      <c r="L27" s="7">
        <v>1500.0</v>
      </c>
      <c r="M27" s="7">
        <v>42000.0</v>
      </c>
      <c r="N27" s="8">
        <v>42820.0</v>
      </c>
      <c r="O27" s="7" t="s">
        <v>24</v>
      </c>
      <c r="P27" s="7" t="s">
        <v>25</v>
      </c>
      <c r="S27" s="7" t="s">
        <v>28</v>
      </c>
    </row>
    <row r="28">
      <c r="A28" s="7">
        <v>27.0</v>
      </c>
      <c r="B28" s="7" t="s">
        <v>896</v>
      </c>
      <c r="C28" s="7" t="s">
        <v>21</v>
      </c>
      <c r="D28" s="7">
        <v>75.0</v>
      </c>
      <c r="E28" s="7">
        <v>150.0</v>
      </c>
      <c r="H28" s="7" t="s">
        <v>46</v>
      </c>
      <c r="I28" s="9">
        <v>46082.52782407407</v>
      </c>
      <c r="K28" s="7">
        <v>150.0</v>
      </c>
      <c r="L28" s="7">
        <v>5100.0</v>
      </c>
      <c r="M28" s="7">
        <v>596000.0</v>
      </c>
      <c r="N28" s="8">
        <v>45173.0</v>
      </c>
      <c r="O28" s="7" t="s">
        <v>33</v>
      </c>
      <c r="P28" s="7" t="s">
        <v>25</v>
      </c>
      <c r="S28" s="7" t="s">
        <v>28</v>
      </c>
    </row>
    <row r="29">
      <c r="A29" s="7">
        <v>28.0</v>
      </c>
      <c r="B29" s="7" t="s">
        <v>901</v>
      </c>
      <c r="C29" s="7" t="s">
        <v>21</v>
      </c>
      <c r="D29" s="7">
        <v>67.0</v>
      </c>
      <c r="E29" s="7">
        <v>150.0</v>
      </c>
      <c r="H29" s="7" t="s">
        <v>903</v>
      </c>
      <c r="I29" s="9">
        <v>46161.2590162037</v>
      </c>
      <c r="K29" s="7">
        <v>12000.0</v>
      </c>
      <c r="L29" s="7">
        <v>150.0</v>
      </c>
      <c r="M29" s="7">
        <v>522000.0</v>
      </c>
      <c r="N29" s="8">
        <v>44771.0</v>
      </c>
      <c r="O29" s="7" t="s">
        <v>33</v>
      </c>
      <c r="P29" s="7" t="s">
        <v>871</v>
      </c>
      <c r="S29" s="7" t="s">
        <v>28</v>
      </c>
    </row>
    <row r="30">
      <c r="A30" s="7">
        <v>29.0</v>
      </c>
      <c r="B30" s="7" t="s">
        <v>906</v>
      </c>
      <c r="C30" s="7" t="s">
        <v>21</v>
      </c>
      <c r="D30" s="7">
        <v>80.0</v>
      </c>
      <c r="E30" s="7">
        <v>150.0</v>
      </c>
      <c r="G30" s="7">
        <v>1.0</v>
      </c>
      <c r="H30" s="7" t="s">
        <v>53</v>
      </c>
      <c r="I30" s="9">
        <v>46099.88267361111</v>
      </c>
      <c r="J30" s="7" t="s">
        <v>908</v>
      </c>
      <c r="K30" s="7">
        <v>1330000.0</v>
      </c>
      <c r="L30" s="7">
        <v>400.0</v>
      </c>
      <c r="M30" s="7">
        <v>1910000.0</v>
      </c>
      <c r="N30" s="8">
        <v>42288.0</v>
      </c>
      <c r="O30" s="7" t="s">
        <v>54</v>
      </c>
      <c r="P30" s="7" t="s">
        <v>25</v>
      </c>
      <c r="S30" s="7" t="s">
        <v>28</v>
      </c>
    </row>
    <row r="31">
      <c r="A31" s="7">
        <v>30.0</v>
      </c>
      <c r="B31" s="7" t="s">
        <v>911</v>
      </c>
      <c r="C31" s="7" t="s">
        <v>21</v>
      </c>
      <c r="D31" s="7">
        <v>76.0</v>
      </c>
      <c r="E31" s="7">
        <v>150.0</v>
      </c>
      <c r="H31" s="7" t="s">
        <v>46</v>
      </c>
      <c r="I31" s="9">
        <v>46148.67591435185</v>
      </c>
      <c r="K31" s="7">
        <v>3600.0</v>
      </c>
      <c r="L31" s="7">
        <v>800.0</v>
      </c>
      <c r="M31" s="7">
        <v>194000.0</v>
      </c>
      <c r="N31" s="8">
        <v>44217.0</v>
      </c>
      <c r="O31" s="7" t="s">
        <v>41</v>
      </c>
      <c r="P31" s="7" t="s">
        <v>884</v>
      </c>
      <c r="S31" s="7" t="s">
        <v>28</v>
      </c>
    </row>
    <row r="32">
      <c r="A32" s="7">
        <v>31.0</v>
      </c>
      <c r="B32" s="7" t="s">
        <v>915</v>
      </c>
      <c r="C32" s="7" t="s">
        <v>21</v>
      </c>
      <c r="D32" s="7">
        <v>76.0</v>
      </c>
      <c r="E32" s="7">
        <v>150.0</v>
      </c>
      <c r="H32" s="7" t="s">
        <v>53</v>
      </c>
      <c r="I32" s="9">
        <v>46155.9793287037</v>
      </c>
      <c r="K32" s="7">
        <v>7400.0</v>
      </c>
      <c r="L32" s="7">
        <v>1300.0</v>
      </c>
      <c r="M32" s="7">
        <v>508000.0</v>
      </c>
      <c r="N32" s="8">
        <v>42794.0</v>
      </c>
      <c r="O32" s="7" t="s">
        <v>33</v>
      </c>
      <c r="P32" s="7" t="s">
        <v>25</v>
      </c>
      <c r="S32" s="7" t="s">
        <v>28</v>
      </c>
    </row>
    <row r="33">
      <c r="A33" s="7">
        <v>32.0</v>
      </c>
      <c r="B33" s="7" t="s">
        <v>918</v>
      </c>
      <c r="C33" s="7" t="s">
        <v>21</v>
      </c>
      <c r="D33" s="7">
        <v>78.0</v>
      </c>
      <c r="E33" s="7">
        <v>150.0</v>
      </c>
      <c r="G33" s="7">
        <v>1.02</v>
      </c>
      <c r="H33" s="7" t="s">
        <v>46</v>
      </c>
      <c r="I33" s="9">
        <v>46124.58810185185</v>
      </c>
      <c r="J33" s="7" t="s">
        <v>754</v>
      </c>
      <c r="K33" s="7">
        <v>39000.0</v>
      </c>
      <c r="L33" s="7">
        <v>5100.0</v>
      </c>
      <c r="M33" s="7">
        <v>607000.0</v>
      </c>
      <c r="N33" s="8">
        <v>42248.0</v>
      </c>
      <c r="O33" s="7" t="s">
        <v>41</v>
      </c>
      <c r="P33" s="7" t="s">
        <v>25</v>
      </c>
      <c r="Q33" s="7" t="s">
        <v>923</v>
      </c>
      <c r="R33" s="7" t="s">
        <v>924</v>
      </c>
      <c r="S33" s="7" t="s">
        <v>28</v>
      </c>
    </row>
    <row r="34">
      <c r="A34" s="7">
        <v>33.0</v>
      </c>
      <c r="B34" s="7" t="s">
        <v>926</v>
      </c>
      <c r="C34" s="7" t="s">
        <v>21</v>
      </c>
      <c r="D34" s="7">
        <v>66.0</v>
      </c>
      <c r="E34" s="7">
        <v>150.0</v>
      </c>
      <c r="H34" s="7" t="s">
        <v>926</v>
      </c>
      <c r="I34" s="9">
        <v>46147.633877314816</v>
      </c>
      <c r="K34" s="7">
        <v>42000.0</v>
      </c>
      <c r="L34" s="7">
        <v>150.0</v>
      </c>
      <c r="M34" s="7">
        <v>212000.0</v>
      </c>
      <c r="N34" s="8">
        <v>44136.0</v>
      </c>
      <c r="O34" s="7" t="s">
        <v>41</v>
      </c>
      <c r="P34" s="7" t="s">
        <v>871</v>
      </c>
      <c r="S34" s="7" t="s">
        <v>28</v>
      </c>
    </row>
    <row r="35">
      <c r="A35" s="7">
        <v>34.0</v>
      </c>
      <c r="B35" s="7" t="s">
        <v>930</v>
      </c>
      <c r="C35" s="7" t="s">
        <v>21</v>
      </c>
      <c r="D35" s="7">
        <v>75.0</v>
      </c>
      <c r="E35" s="7">
        <v>150.0</v>
      </c>
      <c r="H35" s="7" t="s">
        <v>743</v>
      </c>
      <c r="I35" s="9">
        <v>46125.94479166667</v>
      </c>
      <c r="J35" s="7" t="s">
        <v>48</v>
      </c>
      <c r="K35" s="7">
        <v>150.0</v>
      </c>
      <c r="L35" s="7">
        <v>26000.0</v>
      </c>
      <c r="M35" s="7">
        <v>27000.0</v>
      </c>
      <c r="N35" s="8">
        <v>45134.0</v>
      </c>
      <c r="O35" s="7" t="s">
        <v>24</v>
      </c>
      <c r="P35" s="7" t="s">
        <v>25</v>
      </c>
      <c r="S35" s="7" t="s">
        <v>28</v>
      </c>
    </row>
    <row r="36">
      <c r="A36" s="7">
        <v>35.0</v>
      </c>
      <c r="B36" s="7" t="s">
        <v>935</v>
      </c>
      <c r="C36" s="7" t="s">
        <v>21</v>
      </c>
      <c r="D36" s="7">
        <v>76.0</v>
      </c>
      <c r="E36" s="7">
        <v>150.0</v>
      </c>
      <c r="G36" s="7">
        <v>1.1</v>
      </c>
      <c r="H36" s="7" t="s">
        <v>935</v>
      </c>
      <c r="I36" s="9">
        <v>46160.36732638889</v>
      </c>
      <c r="J36" s="7" t="s">
        <v>938</v>
      </c>
      <c r="K36" s="7">
        <v>23000.0</v>
      </c>
      <c r="L36" s="7">
        <v>250.0</v>
      </c>
      <c r="M36" s="7">
        <v>228000.0</v>
      </c>
      <c r="N36" s="8">
        <v>42372.0</v>
      </c>
      <c r="O36" s="7" t="s">
        <v>41</v>
      </c>
      <c r="P36" s="7" t="s">
        <v>25</v>
      </c>
      <c r="S36" s="7" t="s">
        <v>28</v>
      </c>
    </row>
    <row r="37">
      <c r="A37" s="7">
        <v>36.0</v>
      </c>
      <c r="B37" s="7" t="s">
        <v>941</v>
      </c>
      <c r="C37" s="7" t="s">
        <v>21</v>
      </c>
      <c r="D37" s="7">
        <v>67.0</v>
      </c>
      <c r="E37" s="7">
        <v>150.0</v>
      </c>
      <c r="H37" s="7" t="s">
        <v>941</v>
      </c>
      <c r="I37" s="9">
        <v>46149.07802083333</v>
      </c>
      <c r="K37" s="7">
        <v>152000.0</v>
      </c>
      <c r="L37" s="7">
        <v>70.0</v>
      </c>
      <c r="M37" s="7">
        <v>158000.0</v>
      </c>
      <c r="N37" s="8">
        <v>44186.0</v>
      </c>
      <c r="O37" s="7" t="s">
        <v>41</v>
      </c>
      <c r="P37" s="7" t="s">
        <v>871</v>
      </c>
      <c r="S37" s="7" t="s">
        <v>28</v>
      </c>
    </row>
    <row r="38">
      <c r="A38" s="7">
        <v>37.0</v>
      </c>
      <c r="B38" s="7" t="s">
        <v>945</v>
      </c>
      <c r="C38" s="7" t="s">
        <v>21</v>
      </c>
      <c r="D38" s="7">
        <v>68.0</v>
      </c>
      <c r="E38" s="7">
        <v>100.0</v>
      </c>
      <c r="H38" s="7" t="s">
        <v>926</v>
      </c>
      <c r="I38" s="9">
        <v>46155.015381944446</v>
      </c>
      <c r="J38" s="7" t="s">
        <v>48</v>
      </c>
      <c r="K38" s="7">
        <v>46000.0</v>
      </c>
      <c r="L38" s="7">
        <v>150.0</v>
      </c>
      <c r="M38" s="7">
        <v>205000.0</v>
      </c>
      <c r="N38" s="8">
        <v>44735.0</v>
      </c>
      <c r="O38" s="7" t="s">
        <v>33</v>
      </c>
      <c r="P38" s="7" t="s">
        <v>871</v>
      </c>
      <c r="S38" s="7" t="s">
        <v>28</v>
      </c>
    </row>
    <row r="39">
      <c r="A39" s="7">
        <v>38.0</v>
      </c>
      <c r="B39" s="7" t="s">
        <v>950</v>
      </c>
      <c r="C39" s="7" t="s">
        <v>21</v>
      </c>
      <c r="D39" s="7">
        <v>89.0</v>
      </c>
      <c r="E39" s="7">
        <v>100.0</v>
      </c>
      <c r="F39" s="7">
        <v>0.9</v>
      </c>
      <c r="H39" s="7" t="s">
        <v>952</v>
      </c>
      <c r="I39" s="9">
        <v>46131.83893518519</v>
      </c>
      <c r="J39" s="7" t="s">
        <v>48</v>
      </c>
      <c r="K39" s="7">
        <v>34000.0</v>
      </c>
      <c r="L39" s="7">
        <v>90.0</v>
      </c>
      <c r="M39" s="7">
        <v>49000.0</v>
      </c>
      <c r="N39" s="8">
        <v>42350.0</v>
      </c>
      <c r="O39" s="7" t="s">
        <v>24</v>
      </c>
      <c r="P39" s="7" t="s">
        <v>25</v>
      </c>
      <c r="S39" s="7" t="s">
        <v>28</v>
      </c>
    </row>
    <row r="40">
      <c r="A40" s="7">
        <v>39.0</v>
      </c>
      <c r="B40" s="7" t="s">
        <v>955</v>
      </c>
      <c r="C40" s="7" t="s">
        <v>21</v>
      </c>
      <c r="D40" s="7">
        <v>74.0</v>
      </c>
      <c r="E40" s="7">
        <v>100.0</v>
      </c>
      <c r="G40" s="7">
        <v>1.03</v>
      </c>
      <c r="H40" s="7" t="s">
        <v>743</v>
      </c>
      <c r="I40" s="9">
        <v>46146.18368055556</v>
      </c>
      <c r="K40" s="7">
        <v>150.0</v>
      </c>
      <c r="L40" s="7">
        <v>26000.0</v>
      </c>
      <c r="M40" s="7">
        <v>27000.0</v>
      </c>
      <c r="N40" s="8">
        <v>42268.0</v>
      </c>
      <c r="O40" s="7" t="s">
        <v>54</v>
      </c>
      <c r="P40" s="7" t="s">
        <v>25</v>
      </c>
      <c r="Q40" s="7" t="s">
        <v>958</v>
      </c>
      <c r="R40" s="7" t="s">
        <v>959</v>
      </c>
      <c r="S40" s="7" t="s">
        <v>28</v>
      </c>
    </row>
    <row r="41">
      <c r="A41" s="7">
        <v>40.0</v>
      </c>
      <c r="B41" s="7" t="s">
        <v>961</v>
      </c>
      <c r="C41" s="7" t="s">
        <v>21</v>
      </c>
      <c r="D41" s="7">
        <v>64.0</v>
      </c>
      <c r="E41" s="7">
        <v>100.0</v>
      </c>
      <c r="H41" s="7" t="s">
        <v>867</v>
      </c>
      <c r="I41" s="9">
        <v>46061.7503125</v>
      </c>
      <c r="J41" s="7" t="s">
        <v>48</v>
      </c>
      <c r="K41" s="7">
        <v>1900.0</v>
      </c>
      <c r="L41" s="7">
        <v>100.0</v>
      </c>
      <c r="M41" s="7">
        <v>28000.0</v>
      </c>
      <c r="N41" s="8">
        <v>42487.0</v>
      </c>
      <c r="O41" s="7" t="s">
        <v>33</v>
      </c>
      <c r="P41" s="7" t="s">
        <v>871</v>
      </c>
      <c r="S41" s="7" t="s">
        <v>28</v>
      </c>
    </row>
    <row r="42">
      <c r="A42" s="7">
        <v>41.0</v>
      </c>
      <c r="B42" s="7" t="s">
        <v>965</v>
      </c>
      <c r="C42" s="7" t="s">
        <v>21</v>
      </c>
      <c r="D42" s="7">
        <v>81.0</v>
      </c>
      <c r="E42" s="7">
        <v>100.0</v>
      </c>
      <c r="H42" s="7" t="s">
        <v>19</v>
      </c>
      <c r="I42" s="9">
        <v>46100.86599537037</v>
      </c>
      <c r="J42" s="7" t="s">
        <v>754</v>
      </c>
      <c r="K42" s="7">
        <v>2100000.0</v>
      </c>
      <c r="L42" s="7">
        <v>15000.0</v>
      </c>
      <c r="M42" s="7">
        <v>67000.0</v>
      </c>
      <c r="N42" s="8">
        <v>42405.0</v>
      </c>
      <c r="O42" s="7" t="s">
        <v>24</v>
      </c>
      <c r="P42" s="7" t="s">
        <v>25</v>
      </c>
      <c r="S42" s="7" t="s">
        <v>28</v>
      </c>
    </row>
    <row r="43">
      <c r="A43" s="7">
        <v>42.0</v>
      </c>
      <c r="B43" s="7" t="s">
        <v>970</v>
      </c>
      <c r="C43" s="7" t="s">
        <v>21</v>
      </c>
      <c r="D43" s="7">
        <v>78.0</v>
      </c>
      <c r="E43" s="7">
        <v>100.0</v>
      </c>
      <c r="H43" s="7" t="s">
        <v>743</v>
      </c>
      <c r="I43" s="9">
        <v>46156.33909722222</v>
      </c>
      <c r="K43" s="7">
        <v>150.0</v>
      </c>
      <c r="L43" s="7">
        <v>26000.0</v>
      </c>
      <c r="M43" s="7">
        <v>27000.0</v>
      </c>
      <c r="N43" s="8">
        <v>43975.0</v>
      </c>
      <c r="O43" s="7" t="s">
        <v>24</v>
      </c>
      <c r="P43" s="7" t="s">
        <v>25</v>
      </c>
      <c r="S43" s="7" t="s">
        <v>28</v>
      </c>
    </row>
    <row r="44">
      <c r="A44" s="7">
        <v>43.0</v>
      </c>
      <c r="B44" s="7" t="s">
        <v>974</v>
      </c>
      <c r="C44" s="7" t="s">
        <v>21</v>
      </c>
      <c r="D44" s="7">
        <v>79.0</v>
      </c>
      <c r="E44" s="7">
        <v>100.0</v>
      </c>
      <c r="H44" s="7" t="s">
        <v>53</v>
      </c>
      <c r="I44" s="9">
        <v>46161.79056712963</v>
      </c>
      <c r="J44" s="7" t="s">
        <v>754</v>
      </c>
      <c r="K44" s="7">
        <v>135000.0</v>
      </c>
      <c r="L44" s="7">
        <v>1400.0</v>
      </c>
      <c r="M44" s="7">
        <v>470000.0</v>
      </c>
      <c r="N44" s="8">
        <v>43879.0</v>
      </c>
      <c r="O44" s="7" t="s">
        <v>24</v>
      </c>
      <c r="P44" s="7" t="s">
        <v>25</v>
      </c>
      <c r="S44" s="7" t="s">
        <v>28</v>
      </c>
    </row>
    <row r="45">
      <c r="A45" s="7">
        <v>44.0</v>
      </c>
      <c r="B45" s="7" t="s">
        <v>978</v>
      </c>
      <c r="C45" s="7" t="s">
        <v>21</v>
      </c>
      <c r="D45" s="7">
        <v>78.0</v>
      </c>
      <c r="E45" s="7">
        <v>100.0</v>
      </c>
      <c r="H45" s="7" t="s">
        <v>743</v>
      </c>
      <c r="I45" s="9">
        <v>46088.12480324074</v>
      </c>
      <c r="K45" s="7">
        <v>300.0</v>
      </c>
      <c r="L45" s="7">
        <v>33000.0</v>
      </c>
      <c r="M45" s="7">
        <v>34000.0</v>
      </c>
      <c r="N45" s="8">
        <v>44012.0</v>
      </c>
      <c r="O45" s="7" t="s">
        <v>24</v>
      </c>
      <c r="P45" s="7" t="s">
        <v>25</v>
      </c>
      <c r="S45" s="7" t="s">
        <v>28</v>
      </c>
    </row>
    <row r="46">
      <c r="A46" s="7">
        <v>45.0</v>
      </c>
      <c r="B46" s="7" t="s">
        <v>980</v>
      </c>
      <c r="C46" s="7" t="s">
        <v>21</v>
      </c>
      <c r="D46" s="7">
        <v>70.0</v>
      </c>
      <c r="E46" s="7">
        <v>100.0</v>
      </c>
      <c r="H46" s="7" t="s">
        <v>167</v>
      </c>
      <c r="I46" s="9">
        <v>46123.03642361111</v>
      </c>
      <c r="J46" s="7" t="s">
        <v>40</v>
      </c>
      <c r="K46" s="7">
        <v>76000.0</v>
      </c>
      <c r="L46" s="7">
        <v>3100.0</v>
      </c>
      <c r="M46" s="7">
        <v>62000.0</v>
      </c>
      <c r="N46" s="8">
        <v>42284.0</v>
      </c>
      <c r="O46" s="7" t="s">
        <v>33</v>
      </c>
      <c r="P46" s="7" t="s">
        <v>25</v>
      </c>
      <c r="S46" s="7" t="s">
        <v>28</v>
      </c>
    </row>
    <row r="47">
      <c r="A47" s="7">
        <v>46.0</v>
      </c>
      <c r="B47" s="7" t="s">
        <v>952</v>
      </c>
      <c r="C47" s="7" t="s">
        <v>21</v>
      </c>
      <c r="D47" s="7">
        <v>88.0</v>
      </c>
      <c r="E47" s="7">
        <v>100.0</v>
      </c>
      <c r="F47" s="7">
        <v>1.0</v>
      </c>
      <c r="H47" s="7" t="s">
        <v>952</v>
      </c>
      <c r="I47" s="9">
        <v>46152.627962962964</v>
      </c>
      <c r="J47" s="7" t="s">
        <v>48</v>
      </c>
      <c r="K47" s="7">
        <v>15000.0</v>
      </c>
      <c r="L47" s="7">
        <v>100.0</v>
      </c>
      <c r="M47" s="7">
        <v>50000.0</v>
      </c>
      <c r="N47" s="8">
        <v>42351.0</v>
      </c>
      <c r="O47" s="7" t="s">
        <v>24</v>
      </c>
      <c r="P47" s="7" t="s">
        <v>25</v>
      </c>
      <c r="S47" s="7" t="s">
        <v>28</v>
      </c>
    </row>
    <row r="48">
      <c r="A48" s="7">
        <v>47.0</v>
      </c>
      <c r="B48" s="7" t="s">
        <v>861</v>
      </c>
      <c r="C48" s="7" t="s">
        <v>21</v>
      </c>
      <c r="D48" s="7">
        <v>69.0</v>
      </c>
      <c r="E48" s="7">
        <v>100.0</v>
      </c>
      <c r="H48" s="7" t="s">
        <v>861</v>
      </c>
      <c r="I48" s="9">
        <v>46143.99476851852</v>
      </c>
      <c r="K48" s="7">
        <v>21000.0</v>
      </c>
      <c r="L48" s="7">
        <v>250.0</v>
      </c>
      <c r="M48" s="7">
        <v>133000.0</v>
      </c>
      <c r="N48" s="8">
        <v>42819.0</v>
      </c>
      <c r="O48" s="7" t="s">
        <v>41</v>
      </c>
      <c r="P48" s="7" t="s">
        <v>25</v>
      </c>
      <c r="S48" s="7" t="s">
        <v>28</v>
      </c>
    </row>
    <row r="49">
      <c r="A49" s="7">
        <v>48.0</v>
      </c>
      <c r="B49" s="7" t="s">
        <v>990</v>
      </c>
      <c r="C49" s="7" t="s">
        <v>21</v>
      </c>
      <c r="D49" s="7">
        <v>78.0</v>
      </c>
      <c r="E49" s="7">
        <v>100.0</v>
      </c>
      <c r="F49" s="7">
        <v>0.6</v>
      </c>
      <c r="H49" s="7" t="s">
        <v>743</v>
      </c>
      <c r="I49" s="9">
        <v>46089.097291666665</v>
      </c>
      <c r="J49" s="7" t="s">
        <v>48</v>
      </c>
      <c r="K49" s="7">
        <v>5200.0</v>
      </c>
      <c r="L49" s="7">
        <v>33000.0</v>
      </c>
      <c r="M49" s="7">
        <v>34000.0</v>
      </c>
      <c r="N49" s="8">
        <v>42279.0</v>
      </c>
      <c r="O49" s="7" t="s">
        <v>24</v>
      </c>
      <c r="P49" s="7" t="s">
        <v>25</v>
      </c>
      <c r="S49" s="7" t="s">
        <v>28</v>
      </c>
    </row>
    <row r="50">
      <c r="A50" s="7">
        <v>49.0</v>
      </c>
      <c r="B50" s="7" t="s">
        <v>51</v>
      </c>
      <c r="C50" s="7" t="s">
        <v>21</v>
      </c>
      <c r="D50" s="7">
        <v>72.0</v>
      </c>
      <c r="E50" s="7">
        <v>90.0</v>
      </c>
      <c r="H50" s="7" t="s">
        <v>53</v>
      </c>
      <c r="I50" s="9">
        <v>46156.821550925924</v>
      </c>
      <c r="K50" s="7">
        <v>1000.0</v>
      </c>
      <c r="L50" s="7">
        <v>1300.0</v>
      </c>
      <c r="M50" s="7">
        <v>502000.0</v>
      </c>
      <c r="N50" s="8">
        <v>42494.0</v>
      </c>
      <c r="O50" s="7" t="s">
        <v>33</v>
      </c>
      <c r="P50" s="7" t="s">
        <v>25</v>
      </c>
      <c r="S50" s="7" t="s">
        <v>28</v>
      </c>
    </row>
    <row r="51">
      <c r="A51" s="7">
        <v>50.0</v>
      </c>
      <c r="B51" s="7" t="s">
        <v>997</v>
      </c>
      <c r="C51" s="7" t="s">
        <v>21</v>
      </c>
      <c r="D51" s="7">
        <v>65.0</v>
      </c>
      <c r="E51" s="7">
        <v>90.0</v>
      </c>
      <c r="G51" s="7">
        <v>1.13</v>
      </c>
      <c r="H51" s="7" t="s">
        <v>46</v>
      </c>
      <c r="I51" s="9">
        <v>46125.24488425926</v>
      </c>
      <c r="J51" s="7" t="s">
        <v>40</v>
      </c>
      <c r="K51" s="7">
        <v>20000.0</v>
      </c>
      <c r="L51" s="7">
        <v>800.0</v>
      </c>
      <c r="M51" s="7">
        <v>776000.0</v>
      </c>
      <c r="N51" s="8">
        <v>42254.0</v>
      </c>
      <c r="O51" s="7" t="s">
        <v>54</v>
      </c>
      <c r="P51" s="7" t="s">
        <v>25</v>
      </c>
      <c r="Q51" s="7" t="s">
        <v>1000</v>
      </c>
      <c r="R51" s="7" t="s">
        <v>1001</v>
      </c>
      <c r="S51" s="7" t="s">
        <v>28</v>
      </c>
    </row>
    <row r="52">
      <c r="A52" s="7">
        <v>51.0</v>
      </c>
      <c r="B52" s="7" t="s">
        <v>1003</v>
      </c>
      <c r="C52" s="7" t="s">
        <v>21</v>
      </c>
      <c r="D52" s="7">
        <v>76.0</v>
      </c>
      <c r="E52" s="7">
        <v>90.0</v>
      </c>
      <c r="H52" s="7" t="s">
        <v>46</v>
      </c>
      <c r="I52" s="9">
        <v>46161.03939814815</v>
      </c>
      <c r="J52" s="7" t="s">
        <v>40</v>
      </c>
      <c r="K52" s="7">
        <v>17000.0</v>
      </c>
      <c r="L52" s="7">
        <v>1300.0</v>
      </c>
      <c r="M52" s="7">
        <v>168000.0</v>
      </c>
      <c r="N52" s="8">
        <v>44006.0</v>
      </c>
      <c r="O52" s="7" t="s">
        <v>33</v>
      </c>
      <c r="P52" s="7" t="s">
        <v>884</v>
      </c>
      <c r="S52" s="7" t="s">
        <v>28</v>
      </c>
    </row>
    <row r="53">
      <c r="A53" s="7">
        <v>52.0</v>
      </c>
      <c r="B53" s="7" t="s">
        <v>174</v>
      </c>
      <c r="C53" s="7" t="s">
        <v>21</v>
      </c>
      <c r="D53" s="7">
        <v>65.0</v>
      </c>
      <c r="E53" s="7">
        <v>80.0</v>
      </c>
      <c r="H53" s="7" t="s">
        <v>174</v>
      </c>
      <c r="I53" s="9">
        <v>46126.20508101852</v>
      </c>
      <c r="J53" s="7" t="s">
        <v>40</v>
      </c>
      <c r="K53" s="7">
        <v>26000.0</v>
      </c>
      <c r="L53" s="7">
        <v>150.0</v>
      </c>
      <c r="M53" s="7">
        <v>28000.0</v>
      </c>
      <c r="N53" s="8">
        <v>43181.0</v>
      </c>
      <c r="O53" s="7" t="s">
        <v>33</v>
      </c>
      <c r="P53" s="7" t="s">
        <v>25</v>
      </c>
      <c r="Q53" s="7" t="s">
        <v>1009</v>
      </c>
      <c r="R53" s="7" t="s">
        <v>1011</v>
      </c>
      <c r="S53" s="7" t="s">
        <v>28</v>
      </c>
    </row>
    <row r="54">
      <c r="A54" s="7">
        <v>53.0</v>
      </c>
      <c r="B54" s="7" t="s">
        <v>43</v>
      </c>
      <c r="C54" s="7" t="s">
        <v>21</v>
      </c>
      <c r="D54" s="7">
        <v>75.0</v>
      </c>
      <c r="E54" s="7">
        <v>80.0</v>
      </c>
      <c r="H54" s="7" t="s">
        <v>46</v>
      </c>
      <c r="I54" s="9">
        <v>46123.46344907407</v>
      </c>
      <c r="J54" s="7" t="s">
        <v>48</v>
      </c>
      <c r="K54" s="7">
        <v>800.0</v>
      </c>
      <c r="L54" s="7">
        <v>700.0</v>
      </c>
      <c r="M54" s="7">
        <v>205000.0</v>
      </c>
      <c r="N54" s="8">
        <v>42405.0</v>
      </c>
      <c r="O54" s="7" t="s">
        <v>33</v>
      </c>
      <c r="P54" s="7" t="s">
        <v>25</v>
      </c>
      <c r="S54" s="7" t="s">
        <v>28</v>
      </c>
    </row>
    <row r="55">
      <c r="A55" s="7">
        <v>54.0</v>
      </c>
      <c r="B55" s="7" t="s">
        <v>1017</v>
      </c>
      <c r="C55" s="7" t="s">
        <v>21</v>
      </c>
      <c r="D55" s="7">
        <v>86.0</v>
      </c>
      <c r="E55" s="7">
        <v>80.0</v>
      </c>
      <c r="H55" s="7" t="s">
        <v>1017</v>
      </c>
      <c r="I55" s="9">
        <v>46126.19488425926</v>
      </c>
      <c r="K55" s="7">
        <v>4840000.0</v>
      </c>
      <c r="L55" s="7">
        <v>250.0</v>
      </c>
      <c r="M55" s="7">
        <v>109000.0</v>
      </c>
      <c r="N55" s="8">
        <v>42327.0</v>
      </c>
      <c r="O55" s="7" t="s">
        <v>24</v>
      </c>
      <c r="P55" s="7" t="s">
        <v>25</v>
      </c>
      <c r="S55" s="7" t="s">
        <v>28</v>
      </c>
    </row>
    <row r="56">
      <c r="A56" s="7">
        <v>55.0</v>
      </c>
      <c r="B56" s="7" t="s">
        <v>1021</v>
      </c>
      <c r="C56" s="7" t="s">
        <v>21</v>
      </c>
      <c r="D56" s="7">
        <v>75.0</v>
      </c>
      <c r="E56" s="7">
        <v>80.0</v>
      </c>
      <c r="H56" s="7" t="s">
        <v>861</v>
      </c>
      <c r="I56" s="9">
        <v>46127.373923611114</v>
      </c>
      <c r="J56" s="7" t="s">
        <v>48</v>
      </c>
      <c r="K56" s="7">
        <v>8000.0</v>
      </c>
      <c r="L56" s="7">
        <v>200.0</v>
      </c>
      <c r="M56" s="7">
        <v>248000.0</v>
      </c>
      <c r="N56" s="8">
        <v>42639.0</v>
      </c>
      <c r="O56" s="7" t="s">
        <v>41</v>
      </c>
      <c r="P56" s="7" t="s">
        <v>25</v>
      </c>
      <c r="S56" s="7" t="s">
        <v>28</v>
      </c>
    </row>
    <row r="57">
      <c r="A57" s="7">
        <v>56.0</v>
      </c>
      <c r="B57" s="7" t="s">
        <v>61</v>
      </c>
      <c r="C57" s="7" t="s">
        <v>21</v>
      </c>
      <c r="D57" s="7">
        <v>76.0</v>
      </c>
      <c r="E57" s="7">
        <v>80.0</v>
      </c>
      <c r="H57" s="7" t="s">
        <v>46</v>
      </c>
      <c r="I57" s="9">
        <v>46160.00784722222</v>
      </c>
      <c r="K57" s="7">
        <v>200.0</v>
      </c>
      <c r="L57" s="7">
        <v>1300.0</v>
      </c>
      <c r="M57" s="7">
        <v>168000.0</v>
      </c>
      <c r="N57" s="8">
        <v>43937.0</v>
      </c>
      <c r="O57" s="7" t="s">
        <v>33</v>
      </c>
      <c r="P57" s="7" t="s">
        <v>25</v>
      </c>
      <c r="S57" s="7" t="s">
        <v>28</v>
      </c>
    </row>
    <row r="58">
      <c r="A58" s="7">
        <v>57.0</v>
      </c>
      <c r="B58" s="7" t="s">
        <v>1026</v>
      </c>
      <c r="C58" s="7" t="s">
        <v>21</v>
      </c>
      <c r="D58" s="7">
        <v>70.0</v>
      </c>
      <c r="E58" s="7">
        <v>70.0</v>
      </c>
      <c r="H58" s="7" t="s">
        <v>167</v>
      </c>
      <c r="I58" s="9">
        <v>46124.2118287037</v>
      </c>
      <c r="K58" s="7">
        <v>800.0</v>
      </c>
      <c r="L58" s="7">
        <v>3100.0</v>
      </c>
      <c r="M58" s="7">
        <v>62000.0</v>
      </c>
      <c r="N58" s="8">
        <v>42388.0</v>
      </c>
      <c r="O58" s="7" t="s">
        <v>33</v>
      </c>
      <c r="P58" s="7" t="s">
        <v>25</v>
      </c>
      <c r="S58" s="7" t="s">
        <v>28</v>
      </c>
    </row>
    <row r="59">
      <c r="A59" s="7">
        <v>58.0</v>
      </c>
      <c r="B59" s="7" t="s">
        <v>1030</v>
      </c>
      <c r="C59" s="7" t="s">
        <v>21</v>
      </c>
      <c r="D59" s="7">
        <v>62.0</v>
      </c>
      <c r="E59" s="7">
        <v>70.0</v>
      </c>
      <c r="H59" s="7" t="s">
        <v>926</v>
      </c>
      <c r="I59" s="9">
        <v>46106.60425925926</v>
      </c>
      <c r="J59" s="7" t="s">
        <v>439</v>
      </c>
      <c r="K59" s="7">
        <v>23000.0</v>
      </c>
      <c r="L59" s="7">
        <v>60.0</v>
      </c>
      <c r="M59" s="7">
        <v>169000.0</v>
      </c>
      <c r="N59" s="8">
        <v>44366.0</v>
      </c>
      <c r="O59" s="7" t="s">
        <v>41</v>
      </c>
      <c r="P59" s="7" t="s">
        <v>871</v>
      </c>
      <c r="S59" s="7" t="s">
        <v>28</v>
      </c>
    </row>
    <row r="60">
      <c r="A60" s="7">
        <v>59.0</v>
      </c>
      <c r="B60" s="7" t="s">
        <v>65</v>
      </c>
      <c r="C60" s="7" t="s">
        <v>21</v>
      </c>
      <c r="D60" s="7">
        <v>69.0</v>
      </c>
      <c r="E60" s="7">
        <v>70.0</v>
      </c>
      <c r="H60" s="7" t="s">
        <v>53</v>
      </c>
      <c r="I60" s="9">
        <v>46142.60019675926</v>
      </c>
      <c r="J60" s="7" t="s">
        <v>40</v>
      </c>
      <c r="K60" s="7">
        <v>1200.0</v>
      </c>
      <c r="L60" s="7">
        <v>1200.0</v>
      </c>
      <c r="M60" s="7">
        <v>65000.0</v>
      </c>
      <c r="N60" s="8">
        <v>42867.0</v>
      </c>
      <c r="O60" s="7" t="s">
        <v>72</v>
      </c>
      <c r="P60" s="7" t="s">
        <v>25</v>
      </c>
      <c r="S60" s="7" t="s">
        <v>74</v>
      </c>
    </row>
    <row r="61">
      <c r="A61" s="7">
        <v>60.0</v>
      </c>
      <c r="B61" s="7" t="s">
        <v>1039</v>
      </c>
      <c r="C61" s="7" t="s">
        <v>21</v>
      </c>
      <c r="D61" s="7">
        <v>68.0</v>
      </c>
      <c r="E61" s="7">
        <v>70.0</v>
      </c>
      <c r="H61" s="7" t="s">
        <v>926</v>
      </c>
      <c r="I61" s="9">
        <v>46161.75699074074</v>
      </c>
      <c r="K61" s="7">
        <v>32000.0</v>
      </c>
      <c r="L61" s="7">
        <v>150.0</v>
      </c>
      <c r="M61" s="7">
        <v>184000.0</v>
      </c>
      <c r="N61" s="8">
        <v>44492.0</v>
      </c>
      <c r="O61" s="7" t="s">
        <v>41</v>
      </c>
      <c r="P61" s="7" t="s">
        <v>871</v>
      </c>
      <c r="S61" s="7" t="s">
        <v>28</v>
      </c>
    </row>
    <row r="62">
      <c r="A62" s="7">
        <v>61.0</v>
      </c>
      <c r="B62" s="7" t="s">
        <v>1044</v>
      </c>
      <c r="C62" s="7" t="s">
        <v>21</v>
      </c>
      <c r="D62" s="7">
        <v>79.0</v>
      </c>
      <c r="E62" s="7">
        <v>70.0</v>
      </c>
      <c r="H62" s="7" t="s">
        <v>46</v>
      </c>
      <c r="I62" s="9">
        <v>46141.236030092594</v>
      </c>
      <c r="J62" s="7" t="s">
        <v>40</v>
      </c>
      <c r="K62" s="7">
        <v>5600.0</v>
      </c>
      <c r="L62" s="7">
        <v>5400.0</v>
      </c>
      <c r="M62" s="7">
        <v>531000.0</v>
      </c>
      <c r="N62" s="8">
        <v>43870.0</v>
      </c>
      <c r="O62" s="7" t="s">
        <v>54</v>
      </c>
      <c r="P62" s="7" t="s">
        <v>25</v>
      </c>
      <c r="S62" s="7" t="s">
        <v>28</v>
      </c>
    </row>
    <row r="63">
      <c r="A63" s="7">
        <v>62.0</v>
      </c>
      <c r="B63" s="7" t="s">
        <v>1048</v>
      </c>
      <c r="C63" s="7" t="s">
        <v>21</v>
      </c>
      <c r="D63" s="7">
        <v>77.0</v>
      </c>
      <c r="E63" s="7">
        <v>70.0</v>
      </c>
      <c r="H63" s="7" t="s">
        <v>19</v>
      </c>
      <c r="I63" s="9">
        <v>46144.19924768519</v>
      </c>
      <c r="J63" s="7" t="s">
        <v>754</v>
      </c>
      <c r="K63" s="7">
        <v>1460000.0</v>
      </c>
      <c r="L63" s="7">
        <v>15000.0</v>
      </c>
      <c r="M63" s="7">
        <v>72000.0</v>
      </c>
      <c r="N63" s="8">
        <v>42782.0</v>
      </c>
      <c r="O63" s="7" t="s">
        <v>24</v>
      </c>
      <c r="P63" s="7" t="s">
        <v>25</v>
      </c>
      <c r="S63" s="7" t="s">
        <v>28</v>
      </c>
    </row>
    <row r="64">
      <c r="A64" s="7">
        <v>63.0</v>
      </c>
      <c r="B64" s="7" t="s">
        <v>1051</v>
      </c>
      <c r="C64" s="7" t="s">
        <v>21</v>
      </c>
      <c r="D64" s="7">
        <v>54.0</v>
      </c>
      <c r="E64" s="7">
        <v>70.0</v>
      </c>
      <c r="H64" s="7" t="s">
        <v>53</v>
      </c>
      <c r="I64" s="9">
        <v>46124.20795138889</v>
      </c>
      <c r="J64" s="7" t="s">
        <v>40</v>
      </c>
      <c r="K64" s="7">
        <v>500.0</v>
      </c>
      <c r="L64" s="7">
        <v>1000.0</v>
      </c>
      <c r="M64" s="7">
        <v>49000.0</v>
      </c>
      <c r="N64" s="8">
        <v>42308.0</v>
      </c>
      <c r="O64" s="7" t="s">
        <v>54</v>
      </c>
      <c r="P64" s="7" t="s">
        <v>25</v>
      </c>
      <c r="S64" s="7" t="s">
        <v>28</v>
      </c>
    </row>
    <row r="65">
      <c r="A65" s="7">
        <v>64.0</v>
      </c>
      <c r="B65" s="7" t="s">
        <v>1055</v>
      </c>
      <c r="C65" s="7" t="s">
        <v>21</v>
      </c>
      <c r="D65" s="7">
        <v>74.0</v>
      </c>
      <c r="E65" s="7">
        <v>70.0</v>
      </c>
      <c r="H65" s="7" t="s">
        <v>1055</v>
      </c>
      <c r="I65" s="9">
        <v>46118.28269675926</v>
      </c>
      <c r="K65" s="7">
        <v>11000.0</v>
      </c>
      <c r="L65" s="7">
        <v>50.0</v>
      </c>
      <c r="M65" s="7">
        <v>111000.0</v>
      </c>
      <c r="N65" s="8">
        <v>42684.0</v>
      </c>
      <c r="O65" s="7" t="s">
        <v>41</v>
      </c>
      <c r="P65" s="7" t="s">
        <v>25</v>
      </c>
      <c r="S65" s="7" t="s">
        <v>28</v>
      </c>
    </row>
    <row r="66">
      <c r="A66" s="7">
        <v>65.0</v>
      </c>
      <c r="B66" s="7" t="s">
        <v>1059</v>
      </c>
      <c r="C66" s="7" t="s">
        <v>21</v>
      </c>
      <c r="D66" s="7">
        <v>76.0</v>
      </c>
      <c r="E66" s="7">
        <v>70.0</v>
      </c>
      <c r="H66" s="7" t="s">
        <v>1017</v>
      </c>
      <c r="I66" s="9">
        <v>46142.86356481481</v>
      </c>
      <c r="K66" s="7">
        <v>400.0</v>
      </c>
      <c r="L66" s="7">
        <v>250.0</v>
      </c>
      <c r="M66" s="7">
        <v>111000.0</v>
      </c>
      <c r="N66" s="8">
        <v>44019.0</v>
      </c>
      <c r="O66" s="7" t="s">
        <v>41</v>
      </c>
      <c r="P66" s="7" t="s">
        <v>25</v>
      </c>
      <c r="S66" s="7" t="s">
        <v>28</v>
      </c>
    </row>
    <row r="67">
      <c r="A67" s="7">
        <v>66.0</v>
      </c>
      <c r="B67" s="7" t="s">
        <v>1064</v>
      </c>
      <c r="C67" s="7" t="s">
        <v>21</v>
      </c>
      <c r="D67" s="7">
        <v>79.0</v>
      </c>
      <c r="E67" s="7">
        <v>60.0</v>
      </c>
      <c r="H67" s="7" t="s">
        <v>19</v>
      </c>
      <c r="I67" s="9">
        <v>46142.388344907406</v>
      </c>
      <c r="J67" s="7" t="s">
        <v>754</v>
      </c>
      <c r="K67" s="7">
        <v>172000.0</v>
      </c>
      <c r="L67" s="7">
        <v>15000.0</v>
      </c>
      <c r="M67" s="7">
        <v>70000.0</v>
      </c>
      <c r="N67" s="8">
        <v>42249.0</v>
      </c>
      <c r="O67" s="7" t="s">
        <v>24</v>
      </c>
      <c r="P67" s="7" t="s">
        <v>25</v>
      </c>
      <c r="S67" s="7" t="s">
        <v>1066</v>
      </c>
    </row>
    <row r="68">
      <c r="A68" s="7">
        <v>67.0</v>
      </c>
      <c r="B68" s="7" t="s">
        <v>1067</v>
      </c>
      <c r="C68" s="7" t="s">
        <v>21</v>
      </c>
      <c r="D68" s="7">
        <v>77.0</v>
      </c>
      <c r="E68" s="7">
        <v>60.0</v>
      </c>
      <c r="H68" s="7" t="s">
        <v>46</v>
      </c>
      <c r="I68" s="9">
        <v>46155.075474537036</v>
      </c>
      <c r="J68" s="7" t="s">
        <v>40</v>
      </c>
      <c r="K68" s="7">
        <v>9400.0</v>
      </c>
      <c r="L68" s="7">
        <v>1300.0</v>
      </c>
      <c r="M68" s="7">
        <v>164000.0</v>
      </c>
      <c r="N68" s="8">
        <v>44006.0</v>
      </c>
      <c r="O68" s="7" t="s">
        <v>33</v>
      </c>
      <c r="P68" s="7" t="s">
        <v>884</v>
      </c>
      <c r="S68" s="7" t="s">
        <v>28</v>
      </c>
    </row>
    <row r="69">
      <c r="A69" s="7">
        <v>68.0</v>
      </c>
      <c r="B69" s="7" t="s">
        <v>1071</v>
      </c>
      <c r="C69" s="7" t="s">
        <v>21</v>
      </c>
      <c r="D69" s="7">
        <v>77.0</v>
      </c>
      <c r="E69" s="7">
        <v>60.0</v>
      </c>
      <c r="H69" s="7" t="s">
        <v>46</v>
      </c>
      <c r="I69" s="9">
        <v>46141.77211805555</v>
      </c>
      <c r="J69" s="7" t="s">
        <v>40</v>
      </c>
      <c r="K69" s="7">
        <v>11000.0</v>
      </c>
      <c r="L69" s="7">
        <v>5400.0</v>
      </c>
      <c r="M69" s="7">
        <v>531000.0</v>
      </c>
      <c r="N69" s="8">
        <v>42395.0</v>
      </c>
      <c r="O69" s="7" t="s">
        <v>41</v>
      </c>
      <c r="P69" s="7" t="s">
        <v>25</v>
      </c>
      <c r="S69" s="7" t="s">
        <v>28</v>
      </c>
    </row>
    <row r="70">
      <c r="A70" s="7">
        <v>69.0</v>
      </c>
      <c r="B70" s="7" t="s">
        <v>1075</v>
      </c>
      <c r="C70" s="7" t="s">
        <v>21</v>
      </c>
      <c r="D70" s="7">
        <v>77.0</v>
      </c>
      <c r="E70" s="7">
        <v>60.0</v>
      </c>
      <c r="H70" s="7" t="s">
        <v>1075</v>
      </c>
      <c r="I70" s="9">
        <v>46075.54644675926</v>
      </c>
      <c r="J70" s="7" t="s">
        <v>48</v>
      </c>
      <c r="K70" s="7">
        <v>13000.0</v>
      </c>
      <c r="L70" s="7">
        <v>40.0</v>
      </c>
      <c r="M70" s="7">
        <v>141000.0</v>
      </c>
      <c r="N70" s="8">
        <v>42587.0</v>
      </c>
      <c r="O70" s="7" t="s">
        <v>41</v>
      </c>
      <c r="P70" s="7" t="s">
        <v>25</v>
      </c>
      <c r="S70" s="7" t="s">
        <v>28</v>
      </c>
    </row>
    <row r="71">
      <c r="A71" s="7">
        <v>70.0</v>
      </c>
      <c r="B71" s="7" t="s">
        <v>1081</v>
      </c>
      <c r="C71" s="7" t="s">
        <v>21</v>
      </c>
      <c r="D71" s="7">
        <v>79.0</v>
      </c>
      <c r="E71" s="7">
        <v>60.0</v>
      </c>
      <c r="H71" s="7" t="s">
        <v>53</v>
      </c>
      <c r="I71" s="9">
        <v>46162.98672453704</v>
      </c>
      <c r="K71" s="7">
        <v>9800.0</v>
      </c>
      <c r="L71" s="7">
        <v>1400.0</v>
      </c>
      <c r="M71" s="7">
        <v>469000.0</v>
      </c>
      <c r="N71" s="8">
        <v>43088.0</v>
      </c>
      <c r="O71" s="7" t="s">
        <v>41</v>
      </c>
      <c r="P71" s="7" t="s">
        <v>25</v>
      </c>
      <c r="S71" s="7" t="s">
        <v>28</v>
      </c>
    </row>
    <row r="72">
      <c r="A72" s="7">
        <v>71.0</v>
      </c>
      <c r="B72" s="7" t="s">
        <v>1085</v>
      </c>
      <c r="C72" s="7" t="s">
        <v>21</v>
      </c>
      <c r="D72" s="7">
        <v>77.0</v>
      </c>
      <c r="E72" s="7">
        <v>60.0</v>
      </c>
      <c r="H72" s="7" t="s">
        <v>861</v>
      </c>
      <c r="I72" s="9">
        <v>46087.896215277775</v>
      </c>
      <c r="K72" s="7">
        <v>17000.0</v>
      </c>
      <c r="L72" s="7">
        <v>250.0</v>
      </c>
      <c r="M72" s="7">
        <v>170000.0</v>
      </c>
      <c r="N72" s="8">
        <v>44168.0</v>
      </c>
      <c r="O72" s="7" t="s">
        <v>41</v>
      </c>
      <c r="P72" s="7" t="s">
        <v>25</v>
      </c>
      <c r="S72" s="7" t="s">
        <v>28</v>
      </c>
    </row>
    <row r="73">
      <c r="A73" s="7">
        <v>72.0</v>
      </c>
      <c r="B73" s="10" t="s">
        <v>1088</v>
      </c>
      <c r="C73" s="7" t="s">
        <v>21</v>
      </c>
      <c r="D73" s="7">
        <v>59.0</v>
      </c>
      <c r="E73" s="7">
        <v>60.0</v>
      </c>
      <c r="H73" s="7" t="s">
        <v>53</v>
      </c>
      <c r="I73" s="9">
        <v>46124.70407407408</v>
      </c>
      <c r="J73" s="7" t="s">
        <v>40</v>
      </c>
      <c r="K73" s="7">
        <v>800.0</v>
      </c>
      <c r="L73" s="7">
        <v>1000.0</v>
      </c>
      <c r="M73" s="7">
        <v>49000.0</v>
      </c>
      <c r="N73" s="8">
        <v>42357.0</v>
      </c>
      <c r="O73" s="7" t="s">
        <v>72</v>
      </c>
      <c r="S73" s="7" t="s">
        <v>28</v>
      </c>
    </row>
    <row r="74">
      <c r="A74" s="7">
        <v>73.0</v>
      </c>
      <c r="B74" s="7" t="s">
        <v>1098</v>
      </c>
      <c r="C74" s="7" t="s">
        <v>21</v>
      </c>
      <c r="D74" s="7">
        <v>84.0</v>
      </c>
      <c r="E74" s="7">
        <v>60.0</v>
      </c>
      <c r="H74" s="7" t="s">
        <v>19</v>
      </c>
      <c r="I74" s="9">
        <v>46143.34128472222</v>
      </c>
      <c r="K74" s="7">
        <v>5200.0</v>
      </c>
      <c r="L74" s="7">
        <v>15000.0</v>
      </c>
      <c r="M74" s="7">
        <v>71000.0</v>
      </c>
      <c r="N74" s="8">
        <v>42631.0</v>
      </c>
      <c r="O74" s="7" t="s">
        <v>24</v>
      </c>
      <c r="P74" s="7" t="s">
        <v>25</v>
      </c>
      <c r="S74" s="7" t="s">
        <v>28</v>
      </c>
    </row>
    <row r="75">
      <c r="A75" s="7">
        <v>74.0</v>
      </c>
      <c r="B75" s="7" t="s">
        <v>1100</v>
      </c>
      <c r="C75" s="7" t="s">
        <v>21</v>
      </c>
      <c r="D75" s="7">
        <v>78.0</v>
      </c>
      <c r="E75" s="7">
        <v>60.0</v>
      </c>
      <c r="H75" s="7" t="s">
        <v>53</v>
      </c>
      <c r="I75" s="9">
        <v>46160.97094907407</v>
      </c>
      <c r="J75" s="7" t="s">
        <v>1101</v>
      </c>
      <c r="K75" s="7">
        <v>3000.0</v>
      </c>
      <c r="L75" s="7">
        <v>1400.0</v>
      </c>
      <c r="M75" s="7">
        <v>474000.0</v>
      </c>
      <c r="N75" s="8">
        <v>42891.0</v>
      </c>
      <c r="O75" s="7" t="s">
        <v>33</v>
      </c>
      <c r="P75" s="7" t="s">
        <v>25</v>
      </c>
      <c r="S75" s="7" t="s">
        <v>28</v>
      </c>
    </row>
    <row r="76">
      <c r="A76" s="7">
        <v>75.0</v>
      </c>
      <c r="B76" s="7" t="s">
        <v>1104</v>
      </c>
      <c r="C76" s="7" t="s">
        <v>21</v>
      </c>
      <c r="D76" s="7">
        <v>76.0</v>
      </c>
      <c r="E76" s="7">
        <v>60.0</v>
      </c>
      <c r="H76" s="7" t="s">
        <v>46</v>
      </c>
      <c r="I76" s="9">
        <v>46144.548530092594</v>
      </c>
      <c r="J76" s="7" t="s">
        <v>48</v>
      </c>
      <c r="K76" s="7">
        <v>450.0</v>
      </c>
      <c r="L76" s="7">
        <v>800.0</v>
      </c>
      <c r="M76" s="7">
        <v>201000.0</v>
      </c>
      <c r="N76" s="8">
        <v>43868.0</v>
      </c>
      <c r="O76" s="7" t="s">
        <v>33</v>
      </c>
      <c r="P76" s="7" t="s">
        <v>25</v>
      </c>
      <c r="S76" s="7" t="s">
        <v>28</v>
      </c>
    </row>
    <row r="77">
      <c r="A77" s="7">
        <v>76.0</v>
      </c>
      <c r="B77" s="7" t="s">
        <v>1110</v>
      </c>
      <c r="C77" s="7" t="s">
        <v>21</v>
      </c>
      <c r="D77" s="7">
        <v>78.0</v>
      </c>
      <c r="E77" s="7">
        <v>50.0</v>
      </c>
      <c r="H77" s="7" t="s">
        <v>46</v>
      </c>
      <c r="I77" s="9">
        <v>46149.0034375</v>
      </c>
      <c r="K77" s="7">
        <v>60000.0</v>
      </c>
      <c r="L77" s="7">
        <v>900.0</v>
      </c>
      <c r="M77" s="7">
        <v>717000.0</v>
      </c>
      <c r="N77" s="8">
        <v>42248.0</v>
      </c>
      <c r="O77" s="7" t="s">
        <v>41</v>
      </c>
      <c r="P77" s="7" t="s">
        <v>25</v>
      </c>
      <c r="S77" s="7" t="s">
        <v>28</v>
      </c>
    </row>
    <row r="78">
      <c r="A78" s="7">
        <v>77.0</v>
      </c>
      <c r="B78" s="7" t="s">
        <v>1115</v>
      </c>
      <c r="C78" s="7" t="s">
        <v>21</v>
      </c>
      <c r="D78" s="7">
        <v>77.0</v>
      </c>
      <c r="E78" s="7">
        <v>50.0</v>
      </c>
      <c r="H78" s="7" t="s">
        <v>46</v>
      </c>
      <c r="I78" s="9">
        <v>46143.65200231481</v>
      </c>
      <c r="J78" s="7" t="s">
        <v>40</v>
      </c>
      <c r="K78" s="7">
        <v>6900.0</v>
      </c>
      <c r="L78" s="7">
        <v>5400.0</v>
      </c>
      <c r="M78" s="7">
        <v>508000.0</v>
      </c>
      <c r="N78" s="8">
        <v>42516.0</v>
      </c>
      <c r="O78" s="7" t="s">
        <v>41</v>
      </c>
      <c r="P78" s="7" t="s">
        <v>25</v>
      </c>
      <c r="S78" s="7" t="s">
        <v>28</v>
      </c>
    </row>
    <row r="79">
      <c r="A79" s="7">
        <v>78.0</v>
      </c>
      <c r="B79" s="10" t="s">
        <v>1118</v>
      </c>
      <c r="C79" s="7" t="s">
        <v>21</v>
      </c>
      <c r="D79" s="7">
        <v>68.0</v>
      </c>
      <c r="E79" s="7">
        <v>50.0</v>
      </c>
      <c r="H79" s="7" t="s">
        <v>53</v>
      </c>
      <c r="I79" s="9">
        <v>46122.795752314814</v>
      </c>
      <c r="J79" s="7" t="s">
        <v>40</v>
      </c>
      <c r="K79" s="7">
        <v>500.0</v>
      </c>
      <c r="L79" s="7">
        <v>1000.0</v>
      </c>
      <c r="M79" s="7">
        <v>49000.0</v>
      </c>
      <c r="N79" s="8">
        <v>42251.0</v>
      </c>
      <c r="O79" s="7" t="s">
        <v>72</v>
      </c>
      <c r="S79" s="7" t="s">
        <v>28</v>
      </c>
    </row>
    <row r="80">
      <c r="A80" s="7">
        <v>79.0</v>
      </c>
      <c r="B80" s="7" t="s">
        <v>148</v>
      </c>
      <c r="C80" s="7" t="s">
        <v>21</v>
      </c>
      <c r="D80" s="7">
        <v>68.0</v>
      </c>
      <c r="E80" s="7">
        <v>40.0</v>
      </c>
      <c r="H80" s="7" t="s">
        <v>167</v>
      </c>
      <c r="I80" s="9">
        <v>46146.64921296296</v>
      </c>
      <c r="J80" s="7" t="s">
        <v>40</v>
      </c>
      <c r="K80" s="7">
        <v>3500.0</v>
      </c>
      <c r="L80" s="7">
        <v>3200.0</v>
      </c>
      <c r="M80" s="7">
        <v>59000.0</v>
      </c>
      <c r="N80" s="8">
        <v>42269.0</v>
      </c>
      <c r="O80" s="7" t="s">
        <v>33</v>
      </c>
      <c r="P80" s="7" t="s">
        <v>25</v>
      </c>
      <c r="S80" s="7" t="s">
        <v>28</v>
      </c>
    </row>
    <row r="81">
      <c r="A81" s="7">
        <v>80.0</v>
      </c>
      <c r="B81" s="7" t="s">
        <v>1129</v>
      </c>
      <c r="C81" s="7" t="s">
        <v>21</v>
      </c>
      <c r="D81" s="7">
        <v>79.0</v>
      </c>
      <c r="E81" s="7">
        <v>40.0</v>
      </c>
      <c r="F81" s="7">
        <v>0.06</v>
      </c>
      <c r="H81" s="7" t="s">
        <v>760</v>
      </c>
      <c r="I81" s="9">
        <v>46089.8344212963</v>
      </c>
      <c r="J81" s="7" t="s">
        <v>754</v>
      </c>
      <c r="K81" s="7">
        <v>911000.0</v>
      </c>
      <c r="L81" s="7">
        <v>1600.0</v>
      </c>
      <c r="M81" s="7">
        <v>4320000.0</v>
      </c>
      <c r="N81" s="8">
        <v>42278.0</v>
      </c>
      <c r="O81" s="7" t="s">
        <v>54</v>
      </c>
      <c r="P81" s="7" t="s">
        <v>25</v>
      </c>
      <c r="S81" s="7" t="s">
        <v>28</v>
      </c>
    </row>
    <row r="82">
      <c r="A82" s="7">
        <v>81.0</v>
      </c>
      <c r="B82" s="7" t="s">
        <v>1132</v>
      </c>
      <c r="C82" s="7" t="s">
        <v>21</v>
      </c>
      <c r="D82" s="7">
        <v>67.0</v>
      </c>
      <c r="E82" s="7">
        <v>40.0</v>
      </c>
      <c r="H82" s="7" t="s">
        <v>1132</v>
      </c>
      <c r="I82" s="9">
        <v>46150.20730324074</v>
      </c>
      <c r="J82" s="7" t="s">
        <v>40</v>
      </c>
      <c r="K82" s="7">
        <v>1900.0</v>
      </c>
      <c r="L82" s="7">
        <v>10.0</v>
      </c>
      <c r="M82" s="7">
        <v>1200.0</v>
      </c>
      <c r="N82" s="8">
        <v>43870.0</v>
      </c>
      <c r="O82" s="7" t="s">
        <v>54</v>
      </c>
      <c r="P82" s="7" t="s">
        <v>25</v>
      </c>
      <c r="S82" s="7" t="s">
        <v>28</v>
      </c>
    </row>
    <row r="83">
      <c r="A83" s="7">
        <v>82.0</v>
      </c>
      <c r="B83" s="7" t="s">
        <v>1135</v>
      </c>
      <c r="C83" s="7" t="s">
        <v>21</v>
      </c>
      <c r="D83" s="7">
        <v>77.0</v>
      </c>
      <c r="E83" s="7">
        <v>40.0</v>
      </c>
      <c r="H83" s="7" t="s">
        <v>46</v>
      </c>
      <c r="I83" s="9">
        <v>46088.24863425926</v>
      </c>
      <c r="J83" s="7" t="s">
        <v>754</v>
      </c>
      <c r="K83" s="7">
        <v>27000.0</v>
      </c>
      <c r="L83" s="7">
        <v>5100.0</v>
      </c>
      <c r="M83" s="7">
        <v>584000.0</v>
      </c>
      <c r="N83" s="8">
        <v>42253.0</v>
      </c>
      <c r="O83" s="7" t="s">
        <v>24</v>
      </c>
      <c r="P83" s="7" t="s">
        <v>25</v>
      </c>
      <c r="S83" s="7" t="s">
        <v>28</v>
      </c>
    </row>
    <row r="84">
      <c r="A84" s="7">
        <v>83.0</v>
      </c>
      <c r="B84" s="7" t="s">
        <v>1138</v>
      </c>
      <c r="C84" s="7" t="s">
        <v>21</v>
      </c>
      <c r="D84" s="7">
        <v>78.0</v>
      </c>
      <c r="E84" s="7">
        <v>40.0</v>
      </c>
      <c r="H84" s="7" t="s">
        <v>46</v>
      </c>
      <c r="I84" s="9">
        <v>46100.971550925926</v>
      </c>
      <c r="K84" s="7">
        <v>70.0</v>
      </c>
      <c r="L84" s="7">
        <v>5100.0</v>
      </c>
      <c r="M84" s="7">
        <v>588000.0</v>
      </c>
      <c r="N84" s="8">
        <v>43868.0</v>
      </c>
      <c r="O84" s="7" t="s">
        <v>33</v>
      </c>
      <c r="P84" s="7" t="s">
        <v>25</v>
      </c>
      <c r="S84" s="7" t="s">
        <v>28</v>
      </c>
    </row>
    <row r="85">
      <c r="A85" s="7">
        <v>84.0</v>
      </c>
      <c r="B85" s="7" t="s">
        <v>1142</v>
      </c>
      <c r="C85" s="7" t="s">
        <v>21</v>
      </c>
      <c r="D85" s="7">
        <v>79.0</v>
      </c>
      <c r="E85" s="7">
        <v>40.0</v>
      </c>
      <c r="H85" s="7" t="s">
        <v>46</v>
      </c>
      <c r="I85" s="9">
        <v>46142.47016203704</v>
      </c>
      <c r="J85" s="7" t="s">
        <v>40</v>
      </c>
      <c r="K85" s="7">
        <v>11000.0</v>
      </c>
      <c r="L85" s="7">
        <v>5400.0</v>
      </c>
      <c r="M85" s="7">
        <v>529000.0</v>
      </c>
      <c r="N85" s="8">
        <v>42384.0</v>
      </c>
      <c r="O85" s="7" t="s">
        <v>33</v>
      </c>
      <c r="P85" s="7" t="s">
        <v>25</v>
      </c>
      <c r="S85" s="7" t="s">
        <v>28</v>
      </c>
    </row>
    <row r="86">
      <c r="A86" s="7">
        <v>85.0</v>
      </c>
      <c r="B86" s="7" t="s">
        <v>1145</v>
      </c>
      <c r="C86" s="7" t="s">
        <v>21</v>
      </c>
      <c r="D86" s="7">
        <v>76.0</v>
      </c>
      <c r="E86" s="7">
        <v>40.0</v>
      </c>
      <c r="H86" s="7" t="s">
        <v>46</v>
      </c>
      <c r="I86" s="9">
        <v>46162.12650462963</v>
      </c>
      <c r="J86" s="7" t="s">
        <v>1148</v>
      </c>
      <c r="K86" s="7">
        <v>15000.0</v>
      </c>
      <c r="L86" s="7">
        <v>1300.0</v>
      </c>
      <c r="M86" s="7">
        <v>175000.0</v>
      </c>
      <c r="N86" s="8">
        <v>44011.0</v>
      </c>
      <c r="O86" s="7" t="s">
        <v>33</v>
      </c>
      <c r="P86" s="7" t="s">
        <v>25</v>
      </c>
      <c r="S86" s="7" t="s">
        <v>28</v>
      </c>
    </row>
    <row r="87">
      <c r="A87" s="7">
        <v>86.0</v>
      </c>
      <c r="B87" s="7" t="s">
        <v>1151</v>
      </c>
      <c r="C87" s="7" t="s">
        <v>21</v>
      </c>
      <c r="D87" s="7">
        <v>68.0</v>
      </c>
      <c r="E87" s="7">
        <v>40.0</v>
      </c>
      <c r="H87" s="7" t="s">
        <v>941</v>
      </c>
      <c r="I87" s="9">
        <v>46122.90725694445</v>
      </c>
      <c r="J87" s="7" t="s">
        <v>734</v>
      </c>
      <c r="K87" s="7">
        <v>12000.0</v>
      </c>
      <c r="L87" s="7">
        <v>60.0</v>
      </c>
      <c r="M87" s="7">
        <v>96000.0</v>
      </c>
      <c r="N87" s="8">
        <v>44765.0</v>
      </c>
      <c r="O87" s="7" t="s">
        <v>41</v>
      </c>
      <c r="P87" s="7" t="s">
        <v>871</v>
      </c>
      <c r="S87" s="7" t="s">
        <v>28</v>
      </c>
    </row>
    <row r="88">
      <c r="A88" s="7">
        <v>87.0</v>
      </c>
      <c r="B88" s="7" t="s">
        <v>1156</v>
      </c>
      <c r="C88" s="7" t="s">
        <v>21</v>
      </c>
      <c r="D88" s="7">
        <v>73.0</v>
      </c>
      <c r="E88" s="7">
        <v>40.0</v>
      </c>
      <c r="H88" s="7" t="s">
        <v>1156</v>
      </c>
      <c r="I88" s="9">
        <v>46100.57224537037</v>
      </c>
      <c r="J88" s="7" t="s">
        <v>1160</v>
      </c>
      <c r="K88" s="7">
        <v>23000.0</v>
      </c>
      <c r="L88" s="7">
        <v>60.0</v>
      </c>
      <c r="M88" s="7">
        <v>74000.0</v>
      </c>
      <c r="N88" s="8">
        <v>42306.0</v>
      </c>
      <c r="O88" s="7" t="s">
        <v>41</v>
      </c>
      <c r="P88" s="7" t="s">
        <v>25</v>
      </c>
      <c r="S88" s="7" t="s">
        <v>28</v>
      </c>
    </row>
    <row r="89">
      <c r="A89" s="7">
        <v>88.0</v>
      </c>
      <c r="B89" s="7" t="s">
        <v>1162</v>
      </c>
      <c r="C89" s="7" t="s">
        <v>21</v>
      </c>
      <c r="D89" s="7">
        <v>70.0</v>
      </c>
      <c r="E89" s="7">
        <v>40.0</v>
      </c>
      <c r="H89" s="7" t="s">
        <v>167</v>
      </c>
      <c r="I89" s="9">
        <v>46131.329884259256</v>
      </c>
      <c r="K89" s="7">
        <v>500.0</v>
      </c>
      <c r="L89" s="7">
        <v>3200.0</v>
      </c>
      <c r="M89" s="7">
        <v>61000.0</v>
      </c>
      <c r="N89" s="8">
        <v>42595.0</v>
      </c>
      <c r="O89" s="7" t="s">
        <v>33</v>
      </c>
      <c r="P89" s="7" t="s">
        <v>25</v>
      </c>
      <c r="S89" s="7" t="s">
        <v>28</v>
      </c>
    </row>
    <row r="90">
      <c r="A90" s="7">
        <v>89.0</v>
      </c>
      <c r="B90" s="7" t="s">
        <v>1166</v>
      </c>
      <c r="C90" s="7" t="s">
        <v>21</v>
      </c>
      <c r="D90" s="7">
        <v>69.0</v>
      </c>
      <c r="E90" s="7">
        <v>40.0</v>
      </c>
      <c r="H90" s="7" t="s">
        <v>861</v>
      </c>
      <c r="I90" s="9">
        <v>46145.25616898148</v>
      </c>
      <c r="J90" s="7" t="s">
        <v>48</v>
      </c>
      <c r="K90" s="7">
        <v>450.0</v>
      </c>
      <c r="L90" s="7">
        <v>250.0</v>
      </c>
      <c r="M90" s="7">
        <v>132000.0</v>
      </c>
      <c r="N90" s="8">
        <v>43874.0</v>
      </c>
      <c r="O90" s="7" t="s">
        <v>41</v>
      </c>
      <c r="P90" s="7" t="s">
        <v>25</v>
      </c>
      <c r="S90" s="7" t="s">
        <v>28</v>
      </c>
    </row>
    <row r="91">
      <c r="A91" s="7">
        <v>90.0</v>
      </c>
      <c r="B91" s="7" t="s">
        <v>1169</v>
      </c>
      <c r="C91" s="7" t="s">
        <v>21</v>
      </c>
      <c r="D91" s="7">
        <v>69.0</v>
      </c>
      <c r="E91" s="7">
        <v>40.0</v>
      </c>
      <c r="H91" s="7" t="s">
        <v>53</v>
      </c>
      <c r="I91" s="9">
        <v>46160.838275462964</v>
      </c>
      <c r="J91" s="7" t="s">
        <v>1171</v>
      </c>
      <c r="K91" s="7">
        <v>204000.0</v>
      </c>
      <c r="L91" s="7">
        <v>500.0</v>
      </c>
      <c r="M91" s="7">
        <v>4960000.0</v>
      </c>
      <c r="N91" s="8">
        <v>42278.0</v>
      </c>
      <c r="O91" s="7" t="s">
        <v>54</v>
      </c>
      <c r="P91" s="7" t="s">
        <v>25</v>
      </c>
      <c r="S91" s="7" t="s">
        <v>28</v>
      </c>
    </row>
    <row r="92">
      <c r="A92" s="7">
        <v>91.0</v>
      </c>
      <c r="B92" s="7" t="s">
        <v>1174</v>
      </c>
      <c r="C92" s="7" t="s">
        <v>21</v>
      </c>
      <c r="D92" s="7">
        <v>76.0</v>
      </c>
      <c r="E92" s="7">
        <v>40.0</v>
      </c>
      <c r="H92" s="7" t="s">
        <v>46</v>
      </c>
      <c r="I92" s="9">
        <v>46090.05700231482</v>
      </c>
      <c r="K92" s="7">
        <v>13000.0</v>
      </c>
      <c r="L92" s="7">
        <v>5100.0</v>
      </c>
      <c r="M92" s="7">
        <v>584000.0</v>
      </c>
      <c r="N92" s="8">
        <v>44514.0</v>
      </c>
      <c r="O92" s="7" t="s">
        <v>33</v>
      </c>
      <c r="P92" s="7" t="s">
        <v>25</v>
      </c>
      <c r="S92" s="7" t="s">
        <v>28</v>
      </c>
    </row>
    <row r="93">
      <c r="A93" s="7">
        <v>92.0</v>
      </c>
      <c r="B93" s="7" t="s">
        <v>1179</v>
      </c>
      <c r="C93" s="7" t="s">
        <v>21</v>
      </c>
      <c r="D93" s="7">
        <v>67.0</v>
      </c>
      <c r="E93" s="7">
        <v>40.0</v>
      </c>
      <c r="H93" s="7" t="s">
        <v>861</v>
      </c>
      <c r="I93" s="9">
        <v>46145.50053240741</v>
      </c>
      <c r="J93" s="7" t="s">
        <v>1181</v>
      </c>
      <c r="K93" s="7">
        <v>3800.0</v>
      </c>
      <c r="L93" s="7">
        <v>250.0</v>
      </c>
      <c r="M93" s="7">
        <v>132000.0</v>
      </c>
      <c r="N93" s="8">
        <v>42304.0</v>
      </c>
      <c r="O93" s="7" t="s">
        <v>41</v>
      </c>
      <c r="P93" s="7" t="s">
        <v>25</v>
      </c>
      <c r="S93" s="7" t="s">
        <v>28</v>
      </c>
    </row>
    <row r="94">
      <c r="A94" s="7">
        <v>93.0</v>
      </c>
      <c r="B94" s="7" t="s">
        <v>1183</v>
      </c>
      <c r="C94" s="7" t="s">
        <v>21</v>
      </c>
      <c r="D94" s="7">
        <v>54.0</v>
      </c>
      <c r="E94" s="7">
        <v>40.0</v>
      </c>
      <c r="G94" s="7">
        <v>1.29</v>
      </c>
      <c r="H94" s="7" t="s">
        <v>1183</v>
      </c>
      <c r="I94" s="9">
        <v>46137.138020833336</v>
      </c>
      <c r="K94" s="7">
        <v>6200.0</v>
      </c>
      <c r="L94" s="7">
        <v>80.0</v>
      </c>
      <c r="M94" s="7">
        <v>44000.0</v>
      </c>
      <c r="N94" s="8">
        <v>42248.0</v>
      </c>
      <c r="O94" s="7" t="s">
        <v>41</v>
      </c>
      <c r="P94" s="7" t="s">
        <v>25</v>
      </c>
      <c r="S94" s="7" t="s">
        <v>28</v>
      </c>
    </row>
    <row r="95">
      <c r="A95" s="7">
        <v>94.0</v>
      </c>
      <c r="B95" s="7" t="s">
        <v>1185</v>
      </c>
      <c r="C95" s="7" t="s">
        <v>21</v>
      </c>
      <c r="D95" s="7">
        <v>77.0</v>
      </c>
      <c r="E95" s="7">
        <v>30.0</v>
      </c>
      <c r="H95" s="7" t="s">
        <v>1075</v>
      </c>
      <c r="I95" s="9">
        <v>46162.247349537036</v>
      </c>
      <c r="J95" s="7" t="s">
        <v>48</v>
      </c>
      <c r="K95" s="7">
        <v>6500.0</v>
      </c>
      <c r="L95" s="7">
        <v>80.0</v>
      </c>
      <c r="M95" s="7">
        <v>108000.0</v>
      </c>
      <c r="N95" s="8">
        <v>44596.0</v>
      </c>
      <c r="O95" s="7" t="s">
        <v>41</v>
      </c>
      <c r="P95" s="7" t="s">
        <v>25</v>
      </c>
      <c r="S95" s="7" t="s">
        <v>28</v>
      </c>
    </row>
    <row r="96">
      <c r="A96" s="7">
        <v>95.0</v>
      </c>
      <c r="B96" s="7" t="s">
        <v>1188</v>
      </c>
      <c r="C96" s="7" t="s">
        <v>21</v>
      </c>
      <c r="D96" s="7">
        <v>66.0</v>
      </c>
      <c r="E96" s="7">
        <v>30.0</v>
      </c>
      <c r="H96" s="7" t="s">
        <v>1190</v>
      </c>
      <c r="I96" s="9">
        <v>46160.96891203704</v>
      </c>
      <c r="J96" s="7" t="s">
        <v>1191</v>
      </c>
      <c r="K96" s="7">
        <v>14000.0</v>
      </c>
      <c r="L96" s="7">
        <v>30.0</v>
      </c>
      <c r="M96" s="7">
        <v>45000.0</v>
      </c>
      <c r="N96" s="8">
        <v>43918.0</v>
      </c>
      <c r="O96" s="7" t="s">
        <v>33</v>
      </c>
      <c r="P96" s="7" t="s">
        <v>1193</v>
      </c>
      <c r="S96" s="7" t="s">
        <v>28</v>
      </c>
    </row>
    <row r="97">
      <c r="A97" s="7">
        <v>96.0</v>
      </c>
      <c r="B97" s="7" t="s">
        <v>1195</v>
      </c>
      <c r="C97" s="7" t="s">
        <v>21</v>
      </c>
      <c r="D97" s="7">
        <v>82.0</v>
      </c>
      <c r="E97" s="7">
        <v>30.0</v>
      </c>
      <c r="H97" s="7" t="s">
        <v>952</v>
      </c>
      <c r="I97" s="9">
        <v>46100.741736111115</v>
      </c>
      <c r="J97" s="7" t="s">
        <v>48</v>
      </c>
      <c r="K97" s="7">
        <v>17000.0</v>
      </c>
      <c r="L97" s="7">
        <v>80.0</v>
      </c>
      <c r="M97" s="7">
        <v>47000.0</v>
      </c>
      <c r="N97" s="8">
        <v>42612.0</v>
      </c>
      <c r="O97" s="7" t="s">
        <v>24</v>
      </c>
      <c r="P97" s="7" t="s">
        <v>25</v>
      </c>
      <c r="S97" s="7" t="s">
        <v>28</v>
      </c>
    </row>
    <row r="98">
      <c r="A98" s="7">
        <v>97.0</v>
      </c>
      <c r="B98" s="7" t="s">
        <v>1198</v>
      </c>
      <c r="C98" s="7" t="s">
        <v>21</v>
      </c>
      <c r="D98" s="7">
        <v>64.0</v>
      </c>
      <c r="E98" s="7">
        <v>30.0</v>
      </c>
      <c r="H98" s="7" t="s">
        <v>1200</v>
      </c>
      <c r="I98" s="9">
        <v>46144.7100462963</v>
      </c>
      <c r="J98" s="7" t="s">
        <v>40</v>
      </c>
      <c r="K98" s="7">
        <v>4300.0</v>
      </c>
      <c r="L98" s="7">
        <v>20.0</v>
      </c>
      <c r="M98" s="7">
        <v>12000.0</v>
      </c>
      <c r="N98" s="8">
        <v>43878.0</v>
      </c>
      <c r="O98" s="7" t="s">
        <v>33</v>
      </c>
      <c r="P98" s="7" t="s">
        <v>25</v>
      </c>
      <c r="S98" s="7" t="s">
        <v>28</v>
      </c>
    </row>
    <row r="99">
      <c r="A99" s="7">
        <v>98.0</v>
      </c>
      <c r="B99" s="7" t="s">
        <v>1203</v>
      </c>
      <c r="C99" s="7" t="s">
        <v>21</v>
      </c>
      <c r="D99" s="7">
        <v>67.0</v>
      </c>
      <c r="E99" s="7">
        <v>30.0</v>
      </c>
      <c r="H99" s="7" t="s">
        <v>1205</v>
      </c>
      <c r="I99" s="9">
        <v>46145.48711805556</v>
      </c>
      <c r="J99" s="7" t="s">
        <v>40</v>
      </c>
      <c r="K99" s="7">
        <v>3500.0</v>
      </c>
      <c r="L99" s="7">
        <v>100.0</v>
      </c>
      <c r="M99" s="7">
        <v>27000.0</v>
      </c>
      <c r="N99" s="8">
        <v>44677.0</v>
      </c>
      <c r="O99" s="7" t="s">
        <v>33</v>
      </c>
      <c r="P99" s="7" t="s">
        <v>884</v>
      </c>
      <c r="S99" s="7" t="s">
        <v>28</v>
      </c>
    </row>
    <row r="100">
      <c r="A100" s="7">
        <v>99.0</v>
      </c>
      <c r="B100" s="7" t="s">
        <v>1208</v>
      </c>
      <c r="C100" s="7" t="s">
        <v>21</v>
      </c>
      <c r="D100" s="7">
        <v>77.0</v>
      </c>
      <c r="E100" s="7">
        <v>30.0</v>
      </c>
      <c r="F100" s="7">
        <v>0.6</v>
      </c>
      <c r="H100" s="7" t="s">
        <v>743</v>
      </c>
      <c r="I100" s="9">
        <v>46155.123125</v>
      </c>
      <c r="K100" s="7">
        <v>80.0</v>
      </c>
      <c r="L100" s="7">
        <v>26000.0</v>
      </c>
      <c r="M100" s="7">
        <v>27000.0</v>
      </c>
      <c r="N100" s="8">
        <v>44012.0</v>
      </c>
      <c r="O100" s="7" t="s">
        <v>24</v>
      </c>
      <c r="P100" s="7" t="s">
        <v>25</v>
      </c>
      <c r="S100" s="7" t="s">
        <v>28</v>
      </c>
    </row>
    <row r="101">
      <c r="A101" s="7">
        <v>100.0</v>
      </c>
      <c r="B101" s="7" t="s">
        <v>1211</v>
      </c>
      <c r="C101" s="7" t="s">
        <v>21</v>
      </c>
      <c r="D101" s="7">
        <v>80.0</v>
      </c>
      <c r="E101" s="7">
        <v>30.0</v>
      </c>
      <c r="H101" s="7" t="s">
        <v>46</v>
      </c>
      <c r="I101" s="9">
        <v>46150.234976851854</v>
      </c>
      <c r="J101" s="7" t="s">
        <v>40</v>
      </c>
      <c r="K101" s="7">
        <v>4000.0</v>
      </c>
      <c r="L101" s="7">
        <v>5400.0</v>
      </c>
      <c r="M101" s="7">
        <v>504000.0</v>
      </c>
      <c r="N101" s="8">
        <v>42271.0</v>
      </c>
      <c r="O101" s="7" t="s">
        <v>41</v>
      </c>
      <c r="P101" s="7" t="s">
        <v>25</v>
      </c>
      <c r="S101" s="7" t="s">
        <v>28</v>
      </c>
    </row>
    <row r="102">
      <c r="A102" s="7">
        <v>101.0</v>
      </c>
      <c r="B102" s="7" t="s">
        <v>1215</v>
      </c>
      <c r="C102" s="7" t="s">
        <v>21</v>
      </c>
      <c r="D102" s="7">
        <v>73.0</v>
      </c>
      <c r="E102" s="7">
        <v>30.0</v>
      </c>
      <c r="H102" s="7" t="s">
        <v>861</v>
      </c>
      <c r="I102" s="9">
        <v>46100.42932870371</v>
      </c>
      <c r="J102" s="7" t="s">
        <v>48</v>
      </c>
      <c r="K102" s="7">
        <v>300.0</v>
      </c>
      <c r="L102" s="7">
        <v>200.0</v>
      </c>
      <c r="M102" s="7">
        <v>225000.0</v>
      </c>
      <c r="N102" s="8">
        <v>42668.0</v>
      </c>
      <c r="O102" s="7" t="s">
        <v>33</v>
      </c>
      <c r="P102" s="7" t="s">
        <v>25</v>
      </c>
      <c r="S102" s="7" t="s">
        <v>28</v>
      </c>
    </row>
    <row r="103">
      <c r="A103" s="7">
        <v>102.0</v>
      </c>
      <c r="B103" s="7" t="s">
        <v>1219</v>
      </c>
      <c r="C103" s="7" t="s">
        <v>21</v>
      </c>
      <c r="D103" s="7">
        <v>75.0</v>
      </c>
      <c r="E103" s="7">
        <v>30.0</v>
      </c>
      <c r="H103" s="7" t="s">
        <v>46</v>
      </c>
      <c r="I103" s="9">
        <v>46137.09238425926</v>
      </c>
      <c r="J103" s="7" t="s">
        <v>40</v>
      </c>
      <c r="K103" s="7">
        <v>6500.0</v>
      </c>
      <c r="L103" s="7">
        <v>700.0</v>
      </c>
      <c r="M103" s="7">
        <v>211000.0</v>
      </c>
      <c r="N103" s="8">
        <v>43892.0</v>
      </c>
      <c r="O103" s="7" t="s">
        <v>33</v>
      </c>
      <c r="P103" s="7" t="s">
        <v>1193</v>
      </c>
      <c r="S103" s="7" t="s">
        <v>28</v>
      </c>
    </row>
    <row r="104">
      <c r="A104" s="7">
        <v>103.0</v>
      </c>
      <c r="B104" s="7" t="s">
        <v>1222</v>
      </c>
      <c r="C104" s="7" t="s">
        <v>21</v>
      </c>
      <c r="D104" s="7">
        <v>81.0</v>
      </c>
      <c r="E104" s="7">
        <v>30.0</v>
      </c>
      <c r="H104" s="7" t="s">
        <v>53</v>
      </c>
      <c r="I104" s="9">
        <v>46156.72243055556</v>
      </c>
      <c r="J104" s="7" t="s">
        <v>40</v>
      </c>
      <c r="K104" s="7">
        <v>1500.0</v>
      </c>
      <c r="L104" s="7">
        <v>1300.0</v>
      </c>
      <c r="M104" s="7">
        <v>502000.0</v>
      </c>
      <c r="N104" s="8">
        <v>42445.0</v>
      </c>
      <c r="O104" s="7" t="s">
        <v>72</v>
      </c>
      <c r="P104" s="7" t="s">
        <v>25</v>
      </c>
      <c r="S104" s="7" t="s">
        <v>28</v>
      </c>
    </row>
    <row r="105">
      <c r="A105" s="7">
        <v>104.0</v>
      </c>
      <c r="B105" s="7" t="s">
        <v>1226</v>
      </c>
      <c r="C105" s="7" t="s">
        <v>21</v>
      </c>
      <c r="D105" s="7">
        <v>82.0</v>
      </c>
      <c r="E105" s="7">
        <v>30.0</v>
      </c>
      <c r="H105" s="7" t="s">
        <v>46</v>
      </c>
      <c r="I105" s="9">
        <v>46082.69509259259</v>
      </c>
      <c r="K105" s="7">
        <v>34000.0</v>
      </c>
      <c r="L105" s="7">
        <v>5100.0</v>
      </c>
      <c r="M105" s="7">
        <v>596000.0</v>
      </c>
      <c r="N105" s="8">
        <v>42373.0</v>
      </c>
      <c r="O105" s="7" t="s">
        <v>24</v>
      </c>
      <c r="P105" s="7" t="s">
        <v>25</v>
      </c>
      <c r="S105" s="7" t="s">
        <v>28</v>
      </c>
    </row>
    <row r="106">
      <c r="A106" s="7">
        <v>105.0</v>
      </c>
      <c r="B106" s="7" t="s">
        <v>1228</v>
      </c>
      <c r="C106" s="7" t="s">
        <v>21</v>
      </c>
      <c r="D106" s="7">
        <v>75.0</v>
      </c>
      <c r="E106" s="7">
        <v>30.0</v>
      </c>
      <c r="H106" s="7" t="s">
        <v>1219</v>
      </c>
      <c r="I106" s="9">
        <v>46145.514375</v>
      </c>
      <c r="J106" s="7" t="s">
        <v>1230</v>
      </c>
      <c r="K106" s="7">
        <v>3600.0</v>
      </c>
      <c r="L106" s="7">
        <v>10.0</v>
      </c>
      <c r="M106" s="7">
        <v>6800.0</v>
      </c>
      <c r="N106" s="8">
        <v>43870.0</v>
      </c>
      <c r="O106" s="7" t="s">
        <v>33</v>
      </c>
      <c r="P106" s="7" t="s">
        <v>1193</v>
      </c>
      <c r="S106" s="7" t="s">
        <v>28</v>
      </c>
    </row>
    <row r="107">
      <c r="A107" s="7">
        <v>106.0</v>
      </c>
      <c r="B107" s="7" t="s">
        <v>1232</v>
      </c>
      <c r="C107" s="7" t="s">
        <v>21</v>
      </c>
      <c r="D107" s="7">
        <v>79.0</v>
      </c>
      <c r="E107" s="7">
        <v>30.0</v>
      </c>
      <c r="H107" s="7" t="s">
        <v>53</v>
      </c>
      <c r="I107" s="9">
        <v>46162.082337962966</v>
      </c>
      <c r="J107" s="7" t="s">
        <v>439</v>
      </c>
      <c r="K107" s="7">
        <v>31000.0</v>
      </c>
      <c r="L107" s="7">
        <v>1400.0</v>
      </c>
      <c r="M107" s="7">
        <v>470000.0</v>
      </c>
      <c r="N107" s="8">
        <v>44113.0</v>
      </c>
      <c r="O107" s="7" t="s">
        <v>41</v>
      </c>
      <c r="P107" s="7" t="s">
        <v>25</v>
      </c>
      <c r="S107" s="7" t="s">
        <v>28</v>
      </c>
    </row>
    <row r="108">
      <c r="A108" s="7">
        <v>107.0</v>
      </c>
      <c r="B108" s="7" t="s">
        <v>1234</v>
      </c>
      <c r="C108" s="7" t="s">
        <v>21</v>
      </c>
      <c r="D108" s="7">
        <v>73.0</v>
      </c>
      <c r="E108" s="7">
        <v>30.0</v>
      </c>
      <c r="H108" s="7" t="s">
        <v>935</v>
      </c>
      <c r="I108" s="9">
        <v>46162.72712962963</v>
      </c>
      <c r="K108" s="7">
        <v>24000.0</v>
      </c>
      <c r="L108" s="7">
        <v>250.0</v>
      </c>
      <c r="M108" s="7">
        <v>423000.0</v>
      </c>
      <c r="N108" s="8">
        <v>42273.0</v>
      </c>
      <c r="O108" s="7" t="s">
        <v>41</v>
      </c>
      <c r="P108" s="7" t="s">
        <v>25</v>
      </c>
      <c r="S108" s="7" t="s">
        <v>28</v>
      </c>
    </row>
    <row r="109">
      <c r="A109" s="7">
        <v>108.0</v>
      </c>
      <c r="B109" s="7" t="s">
        <v>1237</v>
      </c>
      <c r="C109" s="7" t="s">
        <v>21</v>
      </c>
      <c r="D109" s="7">
        <v>64.0</v>
      </c>
      <c r="E109" s="7">
        <v>20.0</v>
      </c>
      <c r="H109" s="7" t="s">
        <v>1055</v>
      </c>
      <c r="I109" s="9">
        <v>46085.47759259259</v>
      </c>
      <c r="J109" s="7" t="s">
        <v>40</v>
      </c>
      <c r="K109" s="7">
        <v>6400.0</v>
      </c>
      <c r="L109" s="7">
        <v>30.0</v>
      </c>
      <c r="M109" s="7">
        <v>371000.0</v>
      </c>
      <c r="N109" s="8">
        <v>43094.0</v>
      </c>
      <c r="O109" s="7" t="s">
        <v>1239</v>
      </c>
      <c r="P109" s="7" t="s">
        <v>25</v>
      </c>
      <c r="Q109" s="7" t="s">
        <v>1241</v>
      </c>
      <c r="R109" s="7">
        <v>34.0</v>
      </c>
      <c r="S109" s="7" t="s">
        <v>28</v>
      </c>
    </row>
    <row r="110">
      <c r="A110" s="7">
        <v>109.0</v>
      </c>
      <c r="B110" s="7" t="s">
        <v>95</v>
      </c>
      <c r="C110" s="7" t="s">
        <v>21</v>
      </c>
      <c r="D110" s="7">
        <v>76.0</v>
      </c>
      <c r="E110" s="7">
        <v>20.0</v>
      </c>
      <c r="H110" s="7" t="s">
        <v>46</v>
      </c>
      <c r="I110" s="9">
        <v>46145.35853009259</v>
      </c>
      <c r="J110" s="7" t="s">
        <v>40</v>
      </c>
      <c r="K110" s="7">
        <v>1700.0</v>
      </c>
      <c r="L110" s="7">
        <v>800.0</v>
      </c>
      <c r="M110" s="7">
        <v>201000.0</v>
      </c>
      <c r="N110" s="8">
        <v>43967.0</v>
      </c>
      <c r="O110" s="7" t="s">
        <v>33</v>
      </c>
      <c r="P110" s="7" t="s">
        <v>25</v>
      </c>
      <c r="S110" s="7" t="s">
        <v>28</v>
      </c>
    </row>
    <row r="111">
      <c r="A111" s="7">
        <v>110.0</v>
      </c>
      <c r="B111" s="7" t="s">
        <v>1243</v>
      </c>
      <c r="C111" s="7" t="s">
        <v>21</v>
      </c>
      <c r="D111" s="7">
        <v>77.0</v>
      </c>
      <c r="E111" s="7">
        <v>20.0</v>
      </c>
      <c r="H111" s="7" t="s">
        <v>965</v>
      </c>
      <c r="I111" s="9">
        <v>46163.192037037035</v>
      </c>
      <c r="K111" s="7">
        <v>341000.0</v>
      </c>
      <c r="L111" s="7">
        <v>10.0</v>
      </c>
      <c r="M111" s="7">
        <v>1320000.0</v>
      </c>
      <c r="N111" s="8">
        <v>44362.0</v>
      </c>
      <c r="O111" s="7" t="s">
        <v>24</v>
      </c>
      <c r="P111" s="7" t="s">
        <v>25</v>
      </c>
      <c r="S111" s="7" t="s">
        <v>28</v>
      </c>
    </row>
    <row r="112">
      <c r="A112" s="7">
        <v>111.0</v>
      </c>
      <c r="B112" s="7" t="s">
        <v>1246</v>
      </c>
      <c r="C112" s="7" t="s">
        <v>21</v>
      </c>
      <c r="D112" s="7">
        <v>61.0</v>
      </c>
      <c r="E112" s="7">
        <v>20.0</v>
      </c>
      <c r="H112" s="7" t="s">
        <v>1183</v>
      </c>
      <c r="I112" s="9">
        <v>46126.87399305555</v>
      </c>
      <c r="K112" s="7">
        <v>800.0</v>
      </c>
      <c r="L112" s="7">
        <v>70.0</v>
      </c>
      <c r="M112" s="7">
        <v>62000.0</v>
      </c>
      <c r="N112" s="8">
        <v>43077.0</v>
      </c>
      <c r="O112" s="7" t="s">
        <v>41</v>
      </c>
      <c r="P112" s="7" t="s">
        <v>25</v>
      </c>
      <c r="S112" s="7" t="s">
        <v>28</v>
      </c>
    </row>
    <row r="113">
      <c r="A113" s="7">
        <v>112.0</v>
      </c>
      <c r="B113" s="7" t="s">
        <v>1249</v>
      </c>
      <c r="C113" s="7" t="s">
        <v>21</v>
      </c>
      <c r="D113" s="7">
        <v>24.0</v>
      </c>
      <c r="E113" s="7">
        <v>20.0</v>
      </c>
      <c r="H113" s="7" t="s">
        <v>1249</v>
      </c>
      <c r="I113" s="9">
        <v>46045.95991898148</v>
      </c>
      <c r="J113" s="7" t="s">
        <v>1251</v>
      </c>
      <c r="K113" s="7">
        <v>39000.0</v>
      </c>
      <c r="L113" s="7">
        <v>0.0</v>
      </c>
      <c r="M113" s="7">
        <v>17000.0</v>
      </c>
      <c r="N113" s="8">
        <v>42263.0</v>
      </c>
      <c r="O113" s="7" t="s">
        <v>24</v>
      </c>
      <c r="P113" s="7" t="s">
        <v>25</v>
      </c>
      <c r="S113" s="7" t="s">
        <v>1252</v>
      </c>
    </row>
    <row r="114">
      <c r="A114" s="7">
        <v>113.0</v>
      </c>
      <c r="B114" s="7" t="s">
        <v>101</v>
      </c>
      <c r="C114" s="7" t="s">
        <v>21</v>
      </c>
      <c r="D114" s="7">
        <v>69.0</v>
      </c>
      <c r="E114" s="7">
        <v>20.0</v>
      </c>
      <c r="H114" s="7" t="s">
        <v>104</v>
      </c>
      <c r="I114" s="9">
        <v>46052.876238425924</v>
      </c>
      <c r="K114" s="7">
        <v>60.0</v>
      </c>
      <c r="L114" s="7">
        <v>350.0</v>
      </c>
      <c r="M114" s="7">
        <v>239000.0</v>
      </c>
      <c r="N114" s="8">
        <v>42383.0</v>
      </c>
      <c r="O114" s="7" t="s">
        <v>33</v>
      </c>
      <c r="P114" s="7" t="s">
        <v>25</v>
      </c>
      <c r="S114" s="7" t="s">
        <v>28</v>
      </c>
    </row>
    <row r="115">
      <c r="A115" s="7">
        <v>114.0</v>
      </c>
      <c r="B115" s="7" t="s">
        <v>1256</v>
      </c>
      <c r="C115" s="7" t="s">
        <v>21</v>
      </c>
      <c r="D115" s="7">
        <v>76.0</v>
      </c>
      <c r="E115" s="7">
        <v>20.0</v>
      </c>
      <c r="H115" s="7" t="s">
        <v>861</v>
      </c>
      <c r="I115" s="9">
        <v>46107.10548611111</v>
      </c>
      <c r="J115" s="7" t="s">
        <v>439</v>
      </c>
      <c r="K115" s="7">
        <v>20.0</v>
      </c>
      <c r="L115" s="7">
        <v>200.0</v>
      </c>
      <c r="M115" s="7">
        <v>220000.0</v>
      </c>
      <c r="N115" s="8">
        <v>42419.0</v>
      </c>
      <c r="O115" s="7" t="s">
        <v>41</v>
      </c>
      <c r="P115" s="7" t="s">
        <v>25</v>
      </c>
      <c r="S115" s="7" t="s">
        <v>28</v>
      </c>
    </row>
    <row r="116">
      <c r="A116" s="7">
        <v>115.0</v>
      </c>
      <c r="B116" s="7" t="s">
        <v>1259</v>
      </c>
      <c r="C116" s="7" t="s">
        <v>21</v>
      </c>
      <c r="D116" s="7">
        <v>83.0</v>
      </c>
      <c r="E116" s="7">
        <v>20.0</v>
      </c>
      <c r="H116" s="7" t="s">
        <v>19</v>
      </c>
      <c r="I116" s="9">
        <v>46131.96947916667</v>
      </c>
      <c r="K116" s="7">
        <v>7900.0</v>
      </c>
      <c r="L116" s="7">
        <v>15000.0</v>
      </c>
      <c r="M116" s="7">
        <v>69000.0</v>
      </c>
      <c r="N116" s="8">
        <v>42612.0</v>
      </c>
      <c r="O116" s="7" t="s">
        <v>24</v>
      </c>
      <c r="P116" s="7" t="s">
        <v>25</v>
      </c>
      <c r="S116" s="7" t="s">
        <v>28</v>
      </c>
    </row>
    <row r="117">
      <c r="A117" s="7">
        <v>116.0</v>
      </c>
      <c r="B117" s="7" t="s">
        <v>1261</v>
      </c>
      <c r="C117" s="7" t="s">
        <v>21</v>
      </c>
      <c r="D117" s="7">
        <v>73.0</v>
      </c>
      <c r="E117" s="7">
        <v>20.0</v>
      </c>
      <c r="H117" s="7" t="s">
        <v>935</v>
      </c>
      <c r="I117" s="9">
        <v>46148.49435185185</v>
      </c>
      <c r="J117" s="7" t="s">
        <v>48</v>
      </c>
      <c r="K117" s="7">
        <v>2200.0</v>
      </c>
      <c r="L117" s="7">
        <v>250.0</v>
      </c>
      <c r="M117" s="7">
        <v>212000.0</v>
      </c>
      <c r="N117" s="8">
        <v>43195.0</v>
      </c>
      <c r="O117" s="7" t="s">
        <v>41</v>
      </c>
      <c r="P117" s="7" t="s">
        <v>25</v>
      </c>
      <c r="S117" s="7" t="s">
        <v>28</v>
      </c>
    </row>
    <row r="118">
      <c r="A118" s="7">
        <v>117.0</v>
      </c>
      <c r="B118" s="7" t="s">
        <v>1265</v>
      </c>
      <c r="C118" s="7" t="s">
        <v>21</v>
      </c>
      <c r="D118" s="7">
        <v>74.0</v>
      </c>
      <c r="E118" s="7">
        <v>20.0</v>
      </c>
      <c r="H118" s="7" t="s">
        <v>1156</v>
      </c>
      <c r="I118" s="9">
        <v>46143.851018518515</v>
      </c>
      <c r="J118" s="7" t="s">
        <v>48</v>
      </c>
      <c r="K118" s="7">
        <v>12000.0</v>
      </c>
      <c r="L118" s="7">
        <v>50.0</v>
      </c>
      <c r="M118" s="7">
        <v>63000.0</v>
      </c>
      <c r="N118" s="8">
        <v>42349.0</v>
      </c>
      <c r="O118" s="7" t="s">
        <v>41</v>
      </c>
      <c r="P118" s="7" t="s">
        <v>25</v>
      </c>
      <c r="S118" s="7" t="s">
        <v>28</v>
      </c>
    </row>
    <row r="119">
      <c r="A119" s="7">
        <v>118.0</v>
      </c>
      <c r="B119" s="7" t="s">
        <v>63</v>
      </c>
      <c r="C119" s="7" t="s">
        <v>21</v>
      </c>
      <c r="D119" s="7">
        <v>57.0</v>
      </c>
      <c r="E119" s="7">
        <v>20.0</v>
      </c>
      <c r="H119" s="7" t="s">
        <v>19</v>
      </c>
      <c r="I119" s="9">
        <v>46131.94018518519</v>
      </c>
      <c r="J119" s="7" t="s">
        <v>40</v>
      </c>
      <c r="K119" s="7">
        <v>3700.0</v>
      </c>
      <c r="L119" s="7">
        <v>15000.0</v>
      </c>
      <c r="M119" s="7">
        <v>69000.0</v>
      </c>
      <c r="N119" s="8">
        <v>42404.0</v>
      </c>
      <c r="O119" s="7" t="s">
        <v>24</v>
      </c>
      <c r="P119" s="7" t="s">
        <v>25</v>
      </c>
      <c r="S119" s="7" t="s">
        <v>28</v>
      </c>
    </row>
    <row r="120">
      <c r="A120" s="7">
        <v>119.0</v>
      </c>
      <c r="B120" s="7" t="s">
        <v>1269</v>
      </c>
      <c r="C120" s="7" t="s">
        <v>21</v>
      </c>
      <c r="D120" s="7">
        <v>68.0</v>
      </c>
      <c r="E120" s="7">
        <v>20.0</v>
      </c>
      <c r="H120" s="7" t="s">
        <v>926</v>
      </c>
      <c r="I120" s="9">
        <v>46156.84850694444</v>
      </c>
      <c r="K120" s="7">
        <v>61000.0</v>
      </c>
      <c r="L120" s="7">
        <v>150.0</v>
      </c>
      <c r="M120" s="7">
        <v>206000.0</v>
      </c>
      <c r="N120" s="8">
        <v>44631.0</v>
      </c>
      <c r="O120" s="7" t="s">
        <v>54</v>
      </c>
      <c r="P120" s="7" t="s">
        <v>871</v>
      </c>
      <c r="S120" s="7" t="s">
        <v>28</v>
      </c>
    </row>
    <row r="121">
      <c r="A121" s="7">
        <v>120.0</v>
      </c>
      <c r="B121" s="7" t="s">
        <v>1271</v>
      </c>
      <c r="C121" s="7" t="s">
        <v>21</v>
      </c>
      <c r="D121" s="7">
        <v>28.0</v>
      </c>
      <c r="E121" s="7">
        <v>20.0</v>
      </c>
      <c r="H121" s="7" t="s">
        <v>1219</v>
      </c>
      <c r="I121" s="9">
        <v>46144.88951388889</v>
      </c>
      <c r="K121" s="7">
        <v>150.0</v>
      </c>
      <c r="L121" s="7">
        <v>10.0</v>
      </c>
      <c r="M121" s="7">
        <v>6900.0</v>
      </c>
      <c r="N121" s="8">
        <v>44690.0</v>
      </c>
      <c r="O121" s="7" t="s">
        <v>1274</v>
      </c>
      <c r="P121" s="7" t="s">
        <v>25</v>
      </c>
      <c r="S121" s="7" t="s">
        <v>28</v>
      </c>
    </row>
    <row r="122">
      <c r="A122" s="7">
        <v>121.0</v>
      </c>
      <c r="B122" s="7" t="s">
        <v>118</v>
      </c>
      <c r="C122" s="7" t="s">
        <v>21</v>
      </c>
      <c r="D122" s="7">
        <v>72.0</v>
      </c>
      <c r="E122" s="7">
        <v>20.0</v>
      </c>
      <c r="H122" s="7" t="s">
        <v>120</v>
      </c>
      <c r="I122" s="9">
        <v>46100.869363425925</v>
      </c>
      <c r="J122" s="7" t="s">
        <v>40</v>
      </c>
      <c r="K122" s="7">
        <v>1400.0</v>
      </c>
      <c r="L122" s="7">
        <v>150.0</v>
      </c>
      <c r="M122" s="7">
        <v>2800.0</v>
      </c>
      <c r="N122" s="8">
        <v>42396.0</v>
      </c>
      <c r="O122" s="7" t="s">
        <v>33</v>
      </c>
      <c r="P122" s="7" t="s">
        <v>25</v>
      </c>
      <c r="S122" s="7" t="s">
        <v>28</v>
      </c>
    </row>
    <row r="123">
      <c r="A123" s="7">
        <v>122.0</v>
      </c>
      <c r="B123" s="7" t="s">
        <v>1282</v>
      </c>
      <c r="C123" s="7" t="s">
        <v>21</v>
      </c>
      <c r="D123" s="7">
        <v>68.0</v>
      </c>
      <c r="E123" s="7">
        <v>20.0</v>
      </c>
      <c r="H123" s="7" t="s">
        <v>1282</v>
      </c>
      <c r="I123" s="9">
        <v>46040.884351851855</v>
      </c>
      <c r="J123" s="7" t="s">
        <v>1283</v>
      </c>
      <c r="K123" s="7">
        <v>114000.0</v>
      </c>
      <c r="L123" s="7">
        <v>0.0</v>
      </c>
      <c r="M123" s="7">
        <v>4400.0</v>
      </c>
      <c r="N123" s="8">
        <v>42408.0</v>
      </c>
      <c r="O123" s="7" t="s">
        <v>24</v>
      </c>
      <c r="P123" s="7" t="s">
        <v>25</v>
      </c>
      <c r="S123" s="7" t="s">
        <v>1285</v>
      </c>
    </row>
    <row r="124">
      <c r="A124" s="7">
        <v>123.0</v>
      </c>
      <c r="B124" s="7" t="s">
        <v>1287</v>
      </c>
      <c r="C124" s="7" t="s">
        <v>21</v>
      </c>
      <c r="D124" s="7">
        <v>66.0</v>
      </c>
      <c r="E124" s="7">
        <v>20.0</v>
      </c>
      <c r="H124" s="7" t="s">
        <v>1288</v>
      </c>
      <c r="I124" s="9">
        <v>46147.56422453704</v>
      </c>
      <c r="K124" s="7">
        <v>20.0</v>
      </c>
      <c r="L124" s="7">
        <v>150.0</v>
      </c>
      <c r="M124" s="7">
        <v>500.0</v>
      </c>
      <c r="N124" s="8">
        <v>42576.0</v>
      </c>
      <c r="O124" s="7" t="s">
        <v>54</v>
      </c>
      <c r="P124" s="7" t="s">
        <v>25</v>
      </c>
      <c r="S124" s="7" t="s">
        <v>28</v>
      </c>
    </row>
    <row r="125">
      <c r="A125" s="7">
        <v>124.0</v>
      </c>
      <c r="B125" s="7" t="s">
        <v>1290</v>
      </c>
      <c r="C125" s="7" t="s">
        <v>21</v>
      </c>
      <c r="D125" s="7">
        <v>54.0</v>
      </c>
      <c r="E125" s="7">
        <v>20.0</v>
      </c>
      <c r="H125" s="7" t="s">
        <v>1291</v>
      </c>
      <c r="I125" s="9">
        <v>46156.155856481484</v>
      </c>
      <c r="J125" s="7" t="s">
        <v>48</v>
      </c>
      <c r="K125" s="7">
        <v>100.0</v>
      </c>
      <c r="L125" s="7">
        <v>150.0</v>
      </c>
      <c r="M125" s="7">
        <v>300.0</v>
      </c>
      <c r="N125" s="8">
        <v>42706.0</v>
      </c>
      <c r="O125" s="7" t="s">
        <v>54</v>
      </c>
      <c r="P125" s="7" t="s">
        <v>25</v>
      </c>
      <c r="S125" s="7" t="s">
        <v>28</v>
      </c>
    </row>
    <row r="126">
      <c r="A126" s="7">
        <v>125.0</v>
      </c>
      <c r="B126" s="7" t="s">
        <v>1293</v>
      </c>
      <c r="C126" s="7" t="s">
        <v>21</v>
      </c>
      <c r="D126" s="7">
        <v>76.0</v>
      </c>
      <c r="E126" s="7">
        <v>20.0</v>
      </c>
      <c r="H126" s="7" t="s">
        <v>53</v>
      </c>
      <c r="I126" s="9">
        <v>46162.90387731481</v>
      </c>
      <c r="J126" s="7" t="s">
        <v>40</v>
      </c>
      <c r="K126" s="7">
        <v>58000.0</v>
      </c>
      <c r="L126" s="7">
        <v>1400.0</v>
      </c>
      <c r="M126" s="7">
        <v>469000.0</v>
      </c>
      <c r="N126" s="8">
        <v>42496.0</v>
      </c>
      <c r="O126" s="7" t="s">
        <v>41</v>
      </c>
      <c r="P126" s="7" t="s">
        <v>871</v>
      </c>
      <c r="S126" s="7" t="s">
        <v>28</v>
      </c>
    </row>
    <row r="127">
      <c r="A127" s="7">
        <v>126.0</v>
      </c>
      <c r="B127" s="7" t="s">
        <v>1297</v>
      </c>
      <c r="C127" s="7" t="s">
        <v>21</v>
      </c>
      <c r="D127" s="7">
        <v>68.0</v>
      </c>
      <c r="E127" s="7">
        <v>20.0</v>
      </c>
      <c r="H127" s="7" t="s">
        <v>1298</v>
      </c>
      <c r="I127" s="9">
        <v>46125.768113425926</v>
      </c>
      <c r="J127" s="7" t="s">
        <v>754</v>
      </c>
      <c r="K127" s="7">
        <v>13000.0</v>
      </c>
      <c r="L127" s="7">
        <v>80.0</v>
      </c>
      <c r="M127" s="7">
        <v>76000.0</v>
      </c>
      <c r="N127" s="8">
        <v>44268.0</v>
      </c>
      <c r="O127" s="7" t="s">
        <v>54</v>
      </c>
      <c r="P127" s="7" t="s">
        <v>25</v>
      </c>
      <c r="S127" s="7" t="s">
        <v>28</v>
      </c>
    </row>
    <row r="128">
      <c r="A128" s="7">
        <v>127.0</v>
      </c>
      <c r="B128" s="7" t="s">
        <v>1301</v>
      </c>
      <c r="C128" s="7" t="s">
        <v>21</v>
      </c>
      <c r="D128" s="7">
        <v>76.0</v>
      </c>
      <c r="E128" s="7">
        <v>20.0</v>
      </c>
      <c r="H128" s="7" t="s">
        <v>46</v>
      </c>
      <c r="I128" s="9">
        <v>46099.89270833333</v>
      </c>
      <c r="J128" s="7" t="s">
        <v>1160</v>
      </c>
      <c r="K128" s="7">
        <v>37000.0</v>
      </c>
      <c r="L128" s="7">
        <v>5100.0</v>
      </c>
      <c r="M128" s="7">
        <v>587000.0</v>
      </c>
      <c r="N128" s="8">
        <v>42404.0</v>
      </c>
      <c r="O128" s="7" t="s">
        <v>24</v>
      </c>
      <c r="P128" s="7" t="s">
        <v>25</v>
      </c>
      <c r="S128" s="7" t="s">
        <v>28</v>
      </c>
    </row>
    <row r="129">
      <c r="A129" s="7">
        <v>128.0</v>
      </c>
      <c r="B129" s="7" t="s">
        <v>1305</v>
      </c>
      <c r="C129" s="7" t="s">
        <v>21</v>
      </c>
      <c r="D129" s="7">
        <v>75.0</v>
      </c>
      <c r="E129" s="7">
        <v>10.0</v>
      </c>
      <c r="H129" s="7" t="s">
        <v>46</v>
      </c>
      <c r="I129" s="9">
        <v>46125.04585648148</v>
      </c>
      <c r="J129" s="7" t="s">
        <v>48</v>
      </c>
      <c r="K129" s="7">
        <v>60.0</v>
      </c>
      <c r="L129" s="7">
        <v>5100.0</v>
      </c>
      <c r="M129" s="7">
        <v>574000.0</v>
      </c>
      <c r="N129" s="8">
        <v>43870.0</v>
      </c>
      <c r="O129" s="7" t="s">
        <v>33</v>
      </c>
      <c r="P129" s="7" t="s">
        <v>25</v>
      </c>
      <c r="S129" s="7" t="s">
        <v>28</v>
      </c>
    </row>
    <row r="130">
      <c r="A130" s="7">
        <v>129.0</v>
      </c>
      <c r="B130" s="7" t="s">
        <v>1309</v>
      </c>
      <c r="C130" s="7" t="s">
        <v>21</v>
      </c>
      <c r="D130" s="7">
        <v>68.0</v>
      </c>
      <c r="E130" s="7">
        <v>10.0</v>
      </c>
      <c r="H130" s="7" t="s">
        <v>1055</v>
      </c>
      <c r="I130" s="9">
        <v>46083.980578703704</v>
      </c>
      <c r="K130" s="7">
        <v>16000.0</v>
      </c>
      <c r="L130" s="7">
        <v>30.0</v>
      </c>
      <c r="M130" s="7">
        <v>371000.0</v>
      </c>
      <c r="N130" s="8">
        <v>42406.0</v>
      </c>
      <c r="O130" s="7" t="s">
        <v>41</v>
      </c>
      <c r="P130" s="7" t="s">
        <v>25</v>
      </c>
      <c r="S130" s="7" t="s">
        <v>28</v>
      </c>
    </row>
    <row r="131">
      <c r="A131" s="7">
        <v>130.0</v>
      </c>
      <c r="B131" s="7" t="s">
        <v>131</v>
      </c>
      <c r="C131" s="7" t="s">
        <v>21</v>
      </c>
      <c r="D131" s="7">
        <v>72.0</v>
      </c>
      <c r="E131" s="7">
        <v>10.0</v>
      </c>
      <c r="H131" s="7" t="s">
        <v>46</v>
      </c>
      <c r="I131" s="9">
        <v>46142.602106481485</v>
      </c>
      <c r="J131" s="7" t="s">
        <v>40</v>
      </c>
      <c r="K131" s="7">
        <v>10.0</v>
      </c>
      <c r="L131" s="7">
        <v>800.0</v>
      </c>
      <c r="M131" s="7">
        <v>201000.0</v>
      </c>
      <c r="N131" s="8">
        <v>42988.0</v>
      </c>
      <c r="O131" s="7" t="s">
        <v>41</v>
      </c>
      <c r="P131" s="7" t="s">
        <v>25</v>
      </c>
      <c r="S131" s="7" t="s">
        <v>28</v>
      </c>
    </row>
    <row r="132">
      <c r="A132" s="7">
        <v>131.0</v>
      </c>
      <c r="B132" s="7" t="s">
        <v>1315</v>
      </c>
      <c r="C132" s="7" t="s">
        <v>21</v>
      </c>
      <c r="D132" s="7">
        <v>76.0</v>
      </c>
      <c r="E132" s="7">
        <v>10.0</v>
      </c>
      <c r="H132" s="7" t="s">
        <v>104</v>
      </c>
      <c r="I132" s="9">
        <v>46066.33671296296</v>
      </c>
      <c r="K132" s="7">
        <v>6600.0</v>
      </c>
      <c r="L132" s="7">
        <v>400.0</v>
      </c>
      <c r="M132" s="7">
        <v>269000.0</v>
      </c>
      <c r="N132" s="8">
        <v>42248.0</v>
      </c>
      <c r="O132" s="7" t="s">
        <v>41</v>
      </c>
      <c r="P132" s="7" t="s">
        <v>25</v>
      </c>
      <c r="S132" s="7" t="s">
        <v>28</v>
      </c>
    </row>
    <row r="133">
      <c r="A133" s="7">
        <v>132.0</v>
      </c>
      <c r="B133" s="7" t="s">
        <v>1318</v>
      </c>
      <c r="C133" s="7" t="s">
        <v>21</v>
      </c>
      <c r="D133" s="7">
        <v>79.0</v>
      </c>
      <c r="E133" s="7">
        <v>10.0</v>
      </c>
      <c r="H133" s="7" t="s">
        <v>46</v>
      </c>
      <c r="I133" s="9">
        <v>46085.46601851852</v>
      </c>
      <c r="J133" s="7" t="s">
        <v>40</v>
      </c>
      <c r="K133" s="7">
        <v>3200.0</v>
      </c>
      <c r="L133" s="7">
        <v>5100.0</v>
      </c>
      <c r="M133" s="7">
        <v>596000.0</v>
      </c>
      <c r="N133" s="8">
        <v>43871.0</v>
      </c>
      <c r="O133" s="7" t="s">
        <v>41</v>
      </c>
      <c r="P133" s="7" t="s">
        <v>25</v>
      </c>
      <c r="S133" s="7" t="s">
        <v>28</v>
      </c>
    </row>
    <row r="134">
      <c r="A134" s="7">
        <v>133.0</v>
      </c>
      <c r="B134" s="7" t="s">
        <v>1319</v>
      </c>
      <c r="C134" s="7" t="s">
        <v>21</v>
      </c>
      <c r="D134" s="7">
        <v>65.0</v>
      </c>
      <c r="E134" s="7">
        <v>10.0</v>
      </c>
      <c r="H134" s="7" t="s">
        <v>167</v>
      </c>
      <c r="I134" s="9">
        <v>46162.005960648145</v>
      </c>
      <c r="K134" s="7">
        <v>600.0</v>
      </c>
      <c r="L134" s="7">
        <v>3200.0</v>
      </c>
      <c r="M134" s="7">
        <v>65000.0</v>
      </c>
      <c r="N134" s="8">
        <v>42478.0</v>
      </c>
      <c r="O134" s="7" t="s">
        <v>33</v>
      </c>
      <c r="P134" s="7" t="s">
        <v>25</v>
      </c>
      <c r="S134" s="7" t="s">
        <v>28</v>
      </c>
    </row>
    <row r="135">
      <c r="A135" s="7">
        <v>134.0</v>
      </c>
      <c r="B135" s="7" t="s">
        <v>1321</v>
      </c>
      <c r="C135" s="7" t="s">
        <v>21</v>
      </c>
      <c r="D135" s="7">
        <v>76.0</v>
      </c>
      <c r="E135" s="7">
        <v>10.0</v>
      </c>
      <c r="H135" s="7" t="s">
        <v>1075</v>
      </c>
      <c r="I135" s="9">
        <v>46098.989282407405</v>
      </c>
      <c r="J135" s="7" t="s">
        <v>48</v>
      </c>
      <c r="K135" s="7">
        <v>4400.0</v>
      </c>
      <c r="L135" s="7">
        <v>30.0</v>
      </c>
      <c r="M135" s="7">
        <v>142000.0</v>
      </c>
      <c r="N135" s="8">
        <v>44043.0</v>
      </c>
      <c r="O135" s="7" t="s">
        <v>41</v>
      </c>
      <c r="P135" s="7" t="s">
        <v>25</v>
      </c>
      <c r="S135" s="7" t="s">
        <v>28</v>
      </c>
    </row>
    <row r="136">
      <c r="A136" s="7">
        <v>135.0</v>
      </c>
      <c r="B136" s="7" t="s">
        <v>1323</v>
      </c>
      <c r="C136" s="7" t="s">
        <v>21</v>
      </c>
      <c r="D136" s="7">
        <v>74.0</v>
      </c>
      <c r="E136" s="7">
        <v>10.0</v>
      </c>
      <c r="H136" s="7" t="s">
        <v>1055</v>
      </c>
      <c r="I136" s="9">
        <v>46155.81128472222</v>
      </c>
      <c r="K136" s="7">
        <v>700.0</v>
      </c>
      <c r="L136" s="7">
        <v>80.0</v>
      </c>
      <c r="M136" s="7">
        <v>74000.0</v>
      </c>
      <c r="N136" s="8">
        <v>42723.0</v>
      </c>
      <c r="O136" s="7" t="s">
        <v>41</v>
      </c>
      <c r="P136" s="7" t="s">
        <v>25</v>
      </c>
      <c r="S136" s="7" t="s">
        <v>28</v>
      </c>
    </row>
    <row r="137">
      <c r="A137" s="7">
        <v>136.0</v>
      </c>
      <c r="B137" s="7" t="s">
        <v>1327</v>
      </c>
      <c r="C137" s="7" t="s">
        <v>21</v>
      </c>
      <c r="D137" s="7">
        <v>42.0</v>
      </c>
      <c r="E137" s="7">
        <v>10.0</v>
      </c>
      <c r="H137" s="7" t="s">
        <v>1327</v>
      </c>
      <c r="I137" s="9">
        <v>46066.80939814815</v>
      </c>
      <c r="K137" s="7">
        <v>1800.0</v>
      </c>
      <c r="L137" s="7">
        <v>0.0</v>
      </c>
      <c r="M137" s="7">
        <v>39000.0</v>
      </c>
      <c r="N137" s="8">
        <v>43974.0</v>
      </c>
      <c r="O137" s="7" t="s">
        <v>41</v>
      </c>
      <c r="P137" s="7" t="s">
        <v>25</v>
      </c>
      <c r="S137" s="7" t="s">
        <v>28</v>
      </c>
    </row>
    <row r="138">
      <c r="A138" s="7">
        <v>137.0</v>
      </c>
      <c r="B138" s="7" t="s">
        <v>146</v>
      </c>
      <c r="C138" s="7" t="s">
        <v>21</v>
      </c>
      <c r="D138" s="7">
        <v>62.0</v>
      </c>
      <c r="E138" s="7">
        <v>10.0</v>
      </c>
      <c r="H138" s="7" t="s">
        <v>148</v>
      </c>
      <c r="I138" s="9">
        <v>46088.0075462963</v>
      </c>
      <c r="J138" s="7" t="s">
        <v>40</v>
      </c>
      <c r="K138" s="7">
        <v>30.0</v>
      </c>
      <c r="L138" s="7">
        <v>90.0</v>
      </c>
      <c r="M138" s="7">
        <v>43000.0</v>
      </c>
      <c r="N138" s="8">
        <v>43098.0</v>
      </c>
      <c r="O138" s="7" t="s">
        <v>33</v>
      </c>
      <c r="P138" s="7" t="s">
        <v>25</v>
      </c>
      <c r="S138" s="7" t="s">
        <v>28</v>
      </c>
    </row>
    <row r="139">
      <c r="A139" s="7">
        <v>138.0</v>
      </c>
      <c r="B139" s="7" t="s">
        <v>1333</v>
      </c>
      <c r="C139" s="7" t="s">
        <v>21</v>
      </c>
      <c r="D139" s="7">
        <v>72.0</v>
      </c>
      <c r="E139" s="7">
        <v>10.0</v>
      </c>
      <c r="H139" s="7" t="s">
        <v>167</v>
      </c>
      <c r="I139" s="9">
        <v>46146.61467592593</v>
      </c>
      <c r="J139" s="7" t="s">
        <v>40</v>
      </c>
      <c r="K139" s="7">
        <v>250.0</v>
      </c>
      <c r="L139" s="7">
        <v>3200.0</v>
      </c>
      <c r="M139" s="7">
        <v>59000.0</v>
      </c>
      <c r="N139" s="8">
        <v>44041.0</v>
      </c>
      <c r="O139" s="7" t="s">
        <v>33</v>
      </c>
      <c r="P139" s="7" t="s">
        <v>884</v>
      </c>
      <c r="S139" s="7" t="s">
        <v>28</v>
      </c>
    </row>
    <row r="140">
      <c r="A140" s="7">
        <v>139.0</v>
      </c>
      <c r="B140" s="7" t="s">
        <v>1337</v>
      </c>
      <c r="C140" s="7" t="s">
        <v>21</v>
      </c>
      <c r="D140" s="7">
        <v>76.0</v>
      </c>
      <c r="E140" s="7">
        <v>10.0</v>
      </c>
      <c r="H140" s="7" t="s">
        <v>1075</v>
      </c>
      <c r="I140" s="9">
        <v>46125.458402777775</v>
      </c>
      <c r="J140" s="7" t="s">
        <v>439</v>
      </c>
      <c r="K140" s="7">
        <v>2600.0</v>
      </c>
      <c r="L140" s="7">
        <v>30.0</v>
      </c>
      <c r="M140" s="7">
        <v>138000.0</v>
      </c>
      <c r="N140" s="8">
        <v>42884.0</v>
      </c>
      <c r="O140" s="7" t="s">
        <v>41</v>
      </c>
      <c r="P140" s="7" t="s">
        <v>25</v>
      </c>
      <c r="S140" s="7" t="s">
        <v>28</v>
      </c>
    </row>
    <row r="141">
      <c r="A141" s="7">
        <v>140.0</v>
      </c>
      <c r="B141" s="7" t="s">
        <v>1339</v>
      </c>
      <c r="C141" s="7" t="s">
        <v>21</v>
      </c>
      <c r="D141" s="7">
        <v>54.0</v>
      </c>
      <c r="E141" s="7">
        <v>10.0</v>
      </c>
      <c r="H141" s="7" t="s">
        <v>167</v>
      </c>
      <c r="I141" s="9">
        <v>46156.55024305556</v>
      </c>
      <c r="J141" s="7" t="s">
        <v>40</v>
      </c>
      <c r="K141" s="7">
        <v>1100.0</v>
      </c>
      <c r="L141" s="7">
        <v>350.0</v>
      </c>
      <c r="M141" s="7">
        <v>350000.0</v>
      </c>
      <c r="N141" s="8">
        <v>42316.0</v>
      </c>
      <c r="O141" s="7" t="s">
        <v>33</v>
      </c>
      <c r="P141" s="7" t="s">
        <v>25</v>
      </c>
      <c r="S141" s="7" t="s">
        <v>28</v>
      </c>
    </row>
    <row r="142">
      <c r="A142" s="7">
        <v>141.0</v>
      </c>
      <c r="B142" s="7" t="s">
        <v>1341</v>
      </c>
      <c r="C142" s="7" t="s">
        <v>21</v>
      </c>
      <c r="D142" s="7">
        <v>76.0</v>
      </c>
      <c r="E142" s="7">
        <v>10.0</v>
      </c>
      <c r="H142" s="7" t="s">
        <v>1075</v>
      </c>
      <c r="I142" s="9">
        <v>46143.99377314815</v>
      </c>
      <c r="K142" s="7">
        <v>12000.0</v>
      </c>
      <c r="L142" s="7">
        <v>40.0</v>
      </c>
      <c r="M142" s="7">
        <v>121000.0</v>
      </c>
      <c r="N142" s="8">
        <v>44097.0</v>
      </c>
      <c r="O142" s="7" t="s">
        <v>41</v>
      </c>
      <c r="P142" s="7" t="s">
        <v>25</v>
      </c>
      <c r="S142" s="7" t="s">
        <v>28</v>
      </c>
    </row>
    <row r="143">
      <c r="A143" s="7">
        <v>142.0</v>
      </c>
      <c r="B143" s="7" t="s">
        <v>1344</v>
      </c>
      <c r="C143" s="7" t="s">
        <v>21</v>
      </c>
      <c r="D143" s="7">
        <v>78.0</v>
      </c>
      <c r="E143" s="7">
        <v>10.0</v>
      </c>
      <c r="H143" s="7" t="s">
        <v>861</v>
      </c>
      <c r="I143" s="9">
        <v>46088.755844907406</v>
      </c>
      <c r="J143" s="7" t="s">
        <v>48</v>
      </c>
      <c r="K143" s="7">
        <v>4400.0</v>
      </c>
      <c r="L143" s="7">
        <v>250.0</v>
      </c>
      <c r="M143" s="7">
        <v>170000.0</v>
      </c>
      <c r="N143" s="8">
        <v>42577.0</v>
      </c>
      <c r="O143" s="7" t="s">
        <v>24</v>
      </c>
      <c r="P143" s="7" t="s">
        <v>25</v>
      </c>
      <c r="S143" s="7" t="s">
        <v>28</v>
      </c>
    </row>
    <row r="144">
      <c r="A144" s="7">
        <v>143.0</v>
      </c>
      <c r="B144" s="7" t="s">
        <v>1348</v>
      </c>
      <c r="C144" s="7" t="s">
        <v>21</v>
      </c>
      <c r="D144" s="7">
        <v>76.0</v>
      </c>
      <c r="E144" s="7">
        <v>10.0</v>
      </c>
      <c r="H144" s="7" t="s">
        <v>46</v>
      </c>
      <c r="I144" s="9">
        <v>46106.43480324074</v>
      </c>
      <c r="J144" s="7" t="s">
        <v>40</v>
      </c>
      <c r="K144" s="7">
        <v>2000.0</v>
      </c>
      <c r="L144" s="7">
        <v>700.0</v>
      </c>
      <c r="M144" s="7">
        <v>189000.0</v>
      </c>
      <c r="N144" s="8">
        <v>43966.0</v>
      </c>
      <c r="O144" s="7" t="s">
        <v>33</v>
      </c>
      <c r="P144" s="7" t="s">
        <v>884</v>
      </c>
      <c r="S144" s="7" t="s">
        <v>28</v>
      </c>
    </row>
    <row r="145">
      <c r="A145" s="7">
        <v>144.0</v>
      </c>
      <c r="B145" s="7" t="s">
        <v>1352</v>
      </c>
      <c r="C145" s="7" t="s">
        <v>21</v>
      </c>
      <c r="D145" s="7">
        <v>69.0</v>
      </c>
      <c r="E145" s="7">
        <v>10.0</v>
      </c>
      <c r="H145" s="7" t="s">
        <v>167</v>
      </c>
      <c r="I145" s="9">
        <v>46160.50662037037</v>
      </c>
      <c r="K145" s="7">
        <v>700.0</v>
      </c>
      <c r="L145" s="7">
        <v>3200.0</v>
      </c>
      <c r="M145" s="7">
        <v>61000.0</v>
      </c>
      <c r="N145" s="8">
        <v>43572.0</v>
      </c>
      <c r="O145" s="7" t="s">
        <v>33</v>
      </c>
      <c r="P145" s="7" t="s">
        <v>25</v>
      </c>
      <c r="S145" s="7" t="s">
        <v>28</v>
      </c>
    </row>
    <row r="146">
      <c r="A146" s="7">
        <v>145.0</v>
      </c>
      <c r="B146" s="7" t="s">
        <v>1356</v>
      </c>
      <c r="C146" s="7" t="s">
        <v>21</v>
      </c>
      <c r="D146" s="7">
        <v>77.0</v>
      </c>
      <c r="E146" s="7">
        <v>10.0</v>
      </c>
      <c r="H146" s="7" t="s">
        <v>46</v>
      </c>
      <c r="I146" s="9">
        <v>46083.361712962964</v>
      </c>
      <c r="K146" s="7">
        <v>900.0</v>
      </c>
      <c r="L146" s="7">
        <v>600.0</v>
      </c>
      <c r="M146" s="7">
        <v>212000.0</v>
      </c>
      <c r="N146" s="8">
        <v>44021.0</v>
      </c>
      <c r="O146" s="7" t="s">
        <v>33</v>
      </c>
      <c r="P146" s="7" t="s">
        <v>25</v>
      </c>
      <c r="S146" s="7" t="s">
        <v>28</v>
      </c>
    </row>
    <row r="147">
      <c r="A147" s="7">
        <v>146.0</v>
      </c>
      <c r="B147" s="7" t="s">
        <v>165</v>
      </c>
      <c r="C147" s="7" t="s">
        <v>21</v>
      </c>
      <c r="D147" s="7">
        <v>65.0</v>
      </c>
      <c r="E147" s="7">
        <v>10.0</v>
      </c>
      <c r="H147" s="7" t="s">
        <v>167</v>
      </c>
      <c r="I147" s="9">
        <v>46124.06282407408</v>
      </c>
      <c r="J147" s="7" t="s">
        <v>40</v>
      </c>
      <c r="K147" s="7">
        <v>17000.0</v>
      </c>
      <c r="L147" s="7">
        <v>3100.0</v>
      </c>
      <c r="M147" s="7">
        <v>62000.0</v>
      </c>
      <c r="N147" s="8">
        <v>42906.0</v>
      </c>
      <c r="O147" s="7" t="s">
        <v>33</v>
      </c>
      <c r="P147" s="7" t="s">
        <v>25</v>
      </c>
      <c r="S147" s="7" t="s">
        <v>28</v>
      </c>
    </row>
    <row r="148">
      <c r="A148" s="7">
        <v>147.0</v>
      </c>
      <c r="B148" s="7" t="s">
        <v>1359</v>
      </c>
      <c r="C148" s="7" t="s">
        <v>21</v>
      </c>
      <c r="D148" s="7">
        <v>67.0</v>
      </c>
      <c r="E148" s="7">
        <v>10.0</v>
      </c>
      <c r="H148" s="7" t="s">
        <v>1327</v>
      </c>
      <c r="I148" s="9">
        <v>46127.00922453704</v>
      </c>
      <c r="J148" s="7" t="s">
        <v>48</v>
      </c>
      <c r="K148" s="7">
        <v>1700.0</v>
      </c>
      <c r="L148" s="7">
        <v>0.0</v>
      </c>
      <c r="M148" s="7">
        <v>45000.0</v>
      </c>
      <c r="N148" s="8">
        <v>44188.0</v>
      </c>
      <c r="O148" s="7" t="s">
        <v>41</v>
      </c>
      <c r="P148" s="7" t="s">
        <v>25</v>
      </c>
      <c r="S148" s="7" t="s">
        <v>28</v>
      </c>
    </row>
    <row r="149">
      <c r="A149" s="7">
        <v>148.0</v>
      </c>
      <c r="B149" s="7" t="s">
        <v>1362</v>
      </c>
      <c r="C149" s="7" t="s">
        <v>21</v>
      </c>
      <c r="D149" s="7">
        <v>69.0</v>
      </c>
      <c r="E149" s="7">
        <v>10.0</v>
      </c>
      <c r="H149" s="7" t="s">
        <v>167</v>
      </c>
      <c r="I149" s="9">
        <v>46143.16241898148</v>
      </c>
      <c r="K149" s="7">
        <v>900.0</v>
      </c>
      <c r="L149" s="7">
        <v>3200.0</v>
      </c>
      <c r="M149" s="7">
        <v>59000.0</v>
      </c>
      <c r="N149" s="8">
        <v>43868.0</v>
      </c>
      <c r="O149" s="7" t="s">
        <v>33</v>
      </c>
      <c r="P149" s="7" t="s">
        <v>25</v>
      </c>
      <c r="S149" s="7" t="s">
        <v>28</v>
      </c>
    </row>
    <row r="150">
      <c r="A150" s="7">
        <v>149.0</v>
      </c>
      <c r="B150" s="7" t="s">
        <v>1366</v>
      </c>
      <c r="C150" s="7" t="s">
        <v>21</v>
      </c>
      <c r="D150" s="7">
        <v>67.0</v>
      </c>
      <c r="E150" s="7">
        <v>10.0</v>
      </c>
      <c r="H150" s="7" t="s">
        <v>167</v>
      </c>
      <c r="I150" s="9">
        <v>46149.99306712963</v>
      </c>
      <c r="K150" s="7">
        <v>350.0</v>
      </c>
      <c r="L150" s="7">
        <v>3200.0</v>
      </c>
      <c r="M150" s="7">
        <v>64000.0</v>
      </c>
      <c r="N150" s="8">
        <v>42557.0</v>
      </c>
      <c r="O150" s="7" t="s">
        <v>33</v>
      </c>
      <c r="P150" s="7" t="s">
        <v>25</v>
      </c>
      <c r="S150" s="7" t="s">
        <v>28</v>
      </c>
    </row>
    <row r="151">
      <c r="A151" s="7">
        <v>150.0</v>
      </c>
      <c r="B151" s="7" t="s">
        <v>1369</v>
      </c>
      <c r="C151" s="7" t="s">
        <v>21</v>
      </c>
      <c r="D151" s="7">
        <v>69.0</v>
      </c>
      <c r="E151" s="7">
        <v>10.0</v>
      </c>
      <c r="H151" s="7" t="s">
        <v>46</v>
      </c>
      <c r="I151" s="9">
        <v>46085.466574074075</v>
      </c>
      <c r="J151" s="7" t="s">
        <v>439</v>
      </c>
      <c r="K151" s="7">
        <v>1000.0</v>
      </c>
      <c r="L151" s="7">
        <v>600.0</v>
      </c>
      <c r="M151" s="7">
        <v>212000.0</v>
      </c>
      <c r="N151" s="8">
        <v>45044.0</v>
      </c>
      <c r="O151" s="7" t="s">
        <v>41</v>
      </c>
      <c r="P151" s="7" t="s">
        <v>871</v>
      </c>
      <c r="S151" s="7" t="s">
        <v>28</v>
      </c>
    </row>
    <row r="152">
      <c r="A152" s="7">
        <v>151.0</v>
      </c>
      <c r="B152" s="7" t="s">
        <v>1371</v>
      </c>
      <c r="C152" s="7" t="s">
        <v>21</v>
      </c>
      <c r="D152" s="7">
        <v>68.0</v>
      </c>
      <c r="E152" s="7">
        <v>10.0</v>
      </c>
      <c r="H152" s="7" t="s">
        <v>911</v>
      </c>
      <c r="I152" s="9">
        <v>46088.001122685186</v>
      </c>
      <c r="J152" s="7" t="s">
        <v>40</v>
      </c>
      <c r="K152" s="7">
        <v>400.0</v>
      </c>
      <c r="L152" s="7">
        <v>200.0</v>
      </c>
      <c r="M152" s="7">
        <v>76000.0</v>
      </c>
      <c r="N152" s="8">
        <v>44078.0</v>
      </c>
      <c r="O152" s="7" t="s">
        <v>33</v>
      </c>
      <c r="P152" s="7" t="s">
        <v>1193</v>
      </c>
      <c r="S152" s="7" t="s">
        <v>28</v>
      </c>
    </row>
    <row r="153">
      <c r="A153" s="7">
        <v>152.0</v>
      </c>
      <c r="B153" s="7" t="s">
        <v>173</v>
      </c>
      <c r="C153" s="7" t="s">
        <v>21</v>
      </c>
      <c r="D153" s="7">
        <v>48.0</v>
      </c>
      <c r="E153" s="7">
        <v>10.0</v>
      </c>
      <c r="H153" s="7" t="s">
        <v>174</v>
      </c>
      <c r="I153" s="9">
        <v>46076.08335648148</v>
      </c>
      <c r="J153" s="7" t="s">
        <v>40</v>
      </c>
      <c r="K153" s="7">
        <v>1500.0</v>
      </c>
      <c r="L153" s="7">
        <v>90.0</v>
      </c>
      <c r="M153" s="7">
        <v>40000.0</v>
      </c>
      <c r="N153" s="8">
        <v>44225.0</v>
      </c>
      <c r="O153" s="7" t="s">
        <v>33</v>
      </c>
      <c r="P153" s="7" t="s">
        <v>25</v>
      </c>
      <c r="S153" s="7" t="s">
        <v>28</v>
      </c>
    </row>
    <row r="154">
      <c r="A154" s="7">
        <v>153.0</v>
      </c>
      <c r="B154" s="7" t="s">
        <v>178</v>
      </c>
      <c r="C154" s="7" t="s">
        <v>21</v>
      </c>
      <c r="D154" s="7">
        <v>64.0</v>
      </c>
      <c r="E154" s="7">
        <v>10.0</v>
      </c>
      <c r="H154" s="7" t="s">
        <v>181</v>
      </c>
      <c r="I154" s="9">
        <v>46125.77185185185</v>
      </c>
      <c r="J154" s="7" t="s">
        <v>40</v>
      </c>
      <c r="K154" s="7">
        <v>10.0</v>
      </c>
      <c r="L154" s="7">
        <v>70.0</v>
      </c>
      <c r="M154" s="7">
        <v>600.0</v>
      </c>
      <c r="N154" s="8">
        <v>42955.0</v>
      </c>
      <c r="O154" s="7" t="s">
        <v>33</v>
      </c>
      <c r="P154" s="7" t="s">
        <v>25</v>
      </c>
      <c r="S154" s="7" t="s">
        <v>28</v>
      </c>
    </row>
    <row r="155">
      <c r="A155" s="7">
        <v>154.0</v>
      </c>
      <c r="B155" s="7" t="s">
        <v>1378</v>
      </c>
      <c r="C155" s="7" t="s">
        <v>21</v>
      </c>
      <c r="D155" s="7">
        <v>77.0</v>
      </c>
      <c r="E155" s="7">
        <v>10.0</v>
      </c>
      <c r="H155" s="7" t="s">
        <v>46</v>
      </c>
      <c r="I155" s="9">
        <v>46125.95888888889</v>
      </c>
      <c r="J155" s="7" t="s">
        <v>48</v>
      </c>
      <c r="K155" s="7">
        <v>4600.0</v>
      </c>
      <c r="L155" s="7">
        <v>5100.0</v>
      </c>
      <c r="M155" s="7">
        <v>574000.0</v>
      </c>
      <c r="N155" s="8">
        <v>44241.0</v>
      </c>
      <c r="O155" s="7" t="s">
        <v>41</v>
      </c>
      <c r="P155" s="7" t="s">
        <v>25</v>
      </c>
      <c r="S155" s="7" t="s">
        <v>28</v>
      </c>
    </row>
    <row r="156">
      <c r="A156" s="7">
        <v>155.0</v>
      </c>
      <c r="B156" s="7" t="s">
        <v>190</v>
      </c>
      <c r="C156" s="7" t="s">
        <v>21</v>
      </c>
      <c r="D156" s="7">
        <v>68.0</v>
      </c>
      <c r="E156" s="7">
        <v>10.0</v>
      </c>
      <c r="H156" s="7" t="s">
        <v>192</v>
      </c>
      <c r="I156" s="9">
        <v>46125.39135416667</v>
      </c>
      <c r="J156" s="7" t="s">
        <v>40</v>
      </c>
      <c r="K156" s="7">
        <v>21000.0</v>
      </c>
      <c r="L156" s="7">
        <v>600.0</v>
      </c>
      <c r="M156" s="7">
        <v>356000.0</v>
      </c>
      <c r="N156" s="8">
        <v>42327.0</v>
      </c>
      <c r="O156" s="7" t="s">
        <v>41</v>
      </c>
      <c r="P156" s="7" t="s">
        <v>25</v>
      </c>
      <c r="S156" s="7" t="s">
        <v>28</v>
      </c>
    </row>
    <row r="157">
      <c r="A157" s="7">
        <v>156.0</v>
      </c>
      <c r="B157" s="7" t="s">
        <v>1385</v>
      </c>
      <c r="C157" s="7" t="s">
        <v>21</v>
      </c>
      <c r="D157" s="7">
        <v>70.0</v>
      </c>
      <c r="E157" s="7">
        <v>10.0</v>
      </c>
      <c r="H157" s="7" t="s">
        <v>1219</v>
      </c>
      <c r="I157" s="9">
        <v>46144.01509259259</v>
      </c>
      <c r="J157" s="7" t="s">
        <v>1251</v>
      </c>
      <c r="K157" s="7">
        <v>1700.0</v>
      </c>
      <c r="L157" s="7">
        <v>10.0</v>
      </c>
      <c r="M157" s="7">
        <v>7000.0</v>
      </c>
      <c r="N157" s="8">
        <v>44041.0</v>
      </c>
      <c r="O157" s="7" t="s">
        <v>33</v>
      </c>
      <c r="P157" s="7" t="s">
        <v>884</v>
      </c>
      <c r="S157" s="7" t="s">
        <v>28</v>
      </c>
    </row>
    <row r="158">
      <c r="A158" s="7">
        <v>157.0</v>
      </c>
      <c r="B158" s="7" t="s">
        <v>1389</v>
      </c>
      <c r="C158" s="7" t="s">
        <v>21</v>
      </c>
      <c r="D158" s="7">
        <v>72.0</v>
      </c>
      <c r="E158" s="7">
        <v>10.0</v>
      </c>
      <c r="H158" s="7" t="s">
        <v>861</v>
      </c>
      <c r="I158" s="9">
        <v>46162.124930555554</v>
      </c>
      <c r="K158" s="7">
        <v>50.0</v>
      </c>
      <c r="L158" s="7">
        <v>250.0</v>
      </c>
      <c r="M158" s="7">
        <v>121000.0</v>
      </c>
      <c r="N158" s="8">
        <v>42539.0</v>
      </c>
      <c r="O158" s="7" t="s">
        <v>41</v>
      </c>
      <c r="P158" s="7" t="s">
        <v>25</v>
      </c>
      <c r="S158" s="7" t="s">
        <v>28</v>
      </c>
    </row>
    <row r="159">
      <c r="A159" s="7">
        <v>158.0</v>
      </c>
      <c r="B159" s="7" t="s">
        <v>1393</v>
      </c>
      <c r="C159" s="7" t="s">
        <v>21</v>
      </c>
      <c r="D159" s="7">
        <v>65.0</v>
      </c>
      <c r="E159" s="7">
        <v>10.0</v>
      </c>
      <c r="H159" s="7" t="s">
        <v>861</v>
      </c>
      <c r="I159" s="9">
        <v>46144.42722222222</v>
      </c>
      <c r="K159" s="7">
        <v>3700.0</v>
      </c>
      <c r="L159" s="7">
        <v>250.0</v>
      </c>
      <c r="M159" s="7">
        <v>133000.0</v>
      </c>
      <c r="N159" s="8">
        <v>44208.0</v>
      </c>
      <c r="O159" s="7" t="s">
        <v>41</v>
      </c>
      <c r="P159" s="7" t="s">
        <v>25</v>
      </c>
      <c r="S159" s="7" t="s">
        <v>28</v>
      </c>
    </row>
    <row r="160">
      <c r="A160" s="7">
        <v>159.0</v>
      </c>
      <c r="B160" s="7" t="s">
        <v>1396</v>
      </c>
      <c r="C160" s="7" t="s">
        <v>21</v>
      </c>
      <c r="D160" s="7">
        <v>59.0</v>
      </c>
      <c r="E160" s="7">
        <v>10.0</v>
      </c>
      <c r="H160" s="7" t="s">
        <v>1183</v>
      </c>
      <c r="I160" s="9">
        <v>46053.77453703704</v>
      </c>
      <c r="J160" s="7" t="s">
        <v>1101</v>
      </c>
      <c r="K160" s="7">
        <v>2000.0</v>
      </c>
      <c r="L160" s="7">
        <v>150.0</v>
      </c>
      <c r="M160" s="7">
        <v>77000.0</v>
      </c>
      <c r="N160" s="8">
        <v>43052.0</v>
      </c>
      <c r="O160" s="7" t="s">
        <v>33</v>
      </c>
      <c r="P160" s="7" t="s">
        <v>25</v>
      </c>
      <c r="S160" s="7" t="s">
        <v>28</v>
      </c>
    </row>
    <row r="161">
      <c r="A161" s="7">
        <v>160.0</v>
      </c>
      <c r="B161" s="7" t="s">
        <v>1399</v>
      </c>
      <c r="C161" s="7" t="s">
        <v>21</v>
      </c>
      <c r="D161" s="7">
        <v>77.0</v>
      </c>
      <c r="E161" s="7">
        <v>10.0</v>
      </c>
      <c r="H161" s="7" t="s">
        <v>1075</v>
      </c>
      <c r="I161" s="9">
        <v>46098.30616898148</v>
      </c>
      <c r="J161" s="7" t="s">
        <v>48</v>
      </c>
      <c r="K161" s="7">
        <v>7100.0</v>
      </c>
      <c r="L161" s="7">
        <v>30.0</v>
      </c>
      <c r="M161" s="7">
        <v>145000.0</v>
      </c>
      <c r="N161" s="8">
        <v>44819.0</v>
      </c>
      <c r="O161" s="7" t="s">
        <v>41</v>
      </c>
      <c r="P161" s="7" t="s">
        <v>25</v>
      </c>
      <c r="S161" s="7" t="s">
        <v>28</v>
      </c>
    </row>
    <row r="162">
      <c r="A162" s="7">
        <v>161.0</v>
      </c>
      <c r="B162" s="7" t="s">
        <v>1403</v>
      </c>
      <c r="C162" s="7" t="s">
        <v>21</v>
      </c>
      <c r="D162" s="7">
        <v>74.0</v>
      </c>
      <c r="E162" s="7">
        <v>10.0</v>
      </c>
      <c r="H162" s="7" t="s">
        <v>1288</v>
      </c>
      <c r="I162" s="9">
        <v>46122.60019675926</v>
      </c>
      <c r="J162" s="7" t="s">
        <v>40</v>
      </c>
      <c r="K162" s="7">
        <v>30.0</v>
      </c>
      <c r="L162" s="7">
        <v>150.0</v>
      </c>
      <c r="M162" s="7">
        <v>500.0</v>
      </c>
      <c r="N162" s="8">
        <v>44086.0</v>
      </c>
      <c r="O162" s="7" t="s">
        <v>24</v>
      </c>
      <c r="P162" s="7" t="s">
        <v>25</v>
      </c>
      <c r="S162" s="7" t="s">
        <v>28</v>
      </c>
    </row>
    <row r="163">
      <c r="A163" s="7">
        <v>162.0</v>
      </c>
      <c r="B163" s="7" t="s">
        <v>1407</v>
      </c>
      <c r="C163" s="7" t="s">
        <v>21</v>
      </c>
      <c r="D163" s="7">
        <v>79.0</v>
      </c>
      <c r="E163" s="7">
        <v>10.0</v>
      </c>
      <c r="H163" s="7" t="s">
        <v>861</v>
      </c>
      <c r="I163" s="9">
        <v>46122.79576388889</v>
      </c>
      <c r="K163" s="7">
        <v>700.0</v>
      </c>
      <c r="L163" s="7">
        <v>200.0</v>
      </c>
      <c r="M163" s="7">
        <v>240000.0</v>
      </c>
      <c r="N163" s="8">
        <v>42293.0</v>
      </c>
      <c r="O163" s="7" t="s">
        <v>41</v>
      </c>
      <c r="P163" s="7" t="s">
        <v>25</v>
      </c>
      <c r="S163" s="7" t="s">
        <v>28</v>
      </c>
    </row>
    <row r="164">
      <c r="A164" s="7">
        <v>163.0</v>
      </c>
      <c r="B164" s="7" t="s">
        <v>1411</v>
      </c>
      <c r="C164" s="7" t="s">
        <v>21</v>
      </c>
      <c r="D164" s="7">
        <v>56.0</v>
      </c>
      <c r="E164" s="7">
        <v>10.0</v>
      </c>
      <c r="H164" s="7" t="s">
        <v>1288</v>
      </c>
      <c r="I164" s="9">
        <v>46142.385347222225</v>
      </c>
      <c r="K164" s="7">
        <v>30.0</v>
      </c>
      <c r="L164" s="7">
        <v>150.0</v>
      </c>
      <c r="M164" s="7">
        <v>450.0</v>
      </c>
      <c r="N164" s="8">
        <v>42742.0</v>
      </c>
      <c r="O164" s="7" t="s">
        <v>54</v>
      </c>
      <c r="P164" s="7" t="s">
        <v>25</v>
      </c>
      <c r="S164" s="7" t="s">
        <v>28</v>
      </c>
    </row>
    <row r="165">
      <c r="A165" s="7">
        <v>164.0</v>
      </c>
      <c r="B165" s="7" t="s">
        <v>1415</v>
      </c>
      <c r="C165" s="7" t="s">
        <v>21</v>
      </c>
      <c r="D165" s="7">
        <v>78.0</v>
      </c>
      <c r="E165" s="7">
        <v>10.0</v>
      </c>
      <c r="H165" s="7" t="s">
        <v>1415</v>
      </c>
      <c r="I165" s="9">
        <v>45992.28855324074</v>
      </c>
      <c r="J165" s="7" t="s">
        <v>1417</v>
      </c>
      <c r="K165" s="7">
        <v>120000.0</v>
      </c>
      <c r="L165" s="7">
        <v>0.0</v>
      </c>
      <c r="M165" s="7">
        <v>1630000.0</v>
      </c>
      <c r="N165" s="8">
        <v>42263.0</v>
      </c>
      <c r="O165" s="7" t="s">
        <v>24</v>
      </c>
      <c r="P165" s="7" t="s">
        <v>25</v>
      </c>
      <c r="S165" s="7" t="s">
        <v>1418</v>
      </c>
    </row>
    <row r="166">
      <c r="A166" s="7">
        <v>165.0</v>
      </c>
      <c r="B166" s="7" t="s">
        <v>1421</v>
      </c>
      <c r="C166" s="7" t="s">
        <v>21</v>
      </c>
      <c r="D166" s="7">
        <v>75.0</v>
      </c>
      <c r="E166" s="7">
        <v>10.0</v>
      </c>
      <c r="H166" s="7" t="s">
        <v>1424</v>
      </c>
      <c r="I166" s="9">
        <v>46149.37762731482</v>
      </c>
      <c r="K166" s="7">
        <v>1180000.0</v>
      </c>
      <c r="L166" s="7">
        <v>4500.0</v>
      </c>
      <c r="M166" s="7">
        <v>3.061E7</v>
      </c>
      <c r="N166" s="8">
        <v>43876.0</v>
      </c>
      <c r="O166" s="7" t="s">
        <v>24</v>
      </c>
      <c r="P166" s="7" t="s">
        <v>871</v>
      </c>
      <c r="S166" s="7" t="s">
        <v>28</v>
      </c>
    </row>
    <row r="167">
      <c r="A167" s="7">
        <v>166.0</v>
      </c>
      <c r="B167" s="7" t="s">
        <v>208</v>
      </c>
      <c r="C167" s="7" t="s">
        <v>21</v>
      </c>
      <c r="D167" s="7">
        <v>74.0</v>
      </c>
      <c r="E167" s="7">
        <v>10.0</v>
      </c>
      <c r="H167" s="7" t="s">
        <v>46</v>
      </c>
      <c r="I167" s="9">
        <v>46148.482465277775</v>
      </c>
      <c r="J167" s="7" t="s">
        <v>40</v>
      </c>
      <c r="K167" s="7">
        <v>800.0</v>
      </c>
      <c r="L167" s="7">
        <v>800.0</v>
      </c>
      <c r="M167" s="7">
        <v>194000.0</v>
      </c>
      <c r="N167" s="8">
        <v>42394.0</v>
      </c>
      <c r="O167" s="7" t="s">
        <v>41</v>
      </c>
      <c r="P167" s="7" t="s">
        <v>25</v>
      </c>
      <c r="S167" s="7" t="s">
        <v>28</v>
      </c>
    </row>
    <row r="168">
      <c r="A168" s="7">
        <v>167.0</v>
      </c>
      <c r="B168" s="7" t="s">
        <v>1430</v>
      </c>
      <c r="C168" s="7" t="s">
        <v>21</v>
      </c>
      <c r="D168" s="7">
        <v>85.0</v>
      </c>
      <c r="E168" s="7">
        <v>10.0</v>
      </c>
      <c r="H168" s="7" t="s">
        <v>53</v>
      </c>
      <c r="I168" s="9">
        <v>46156.73380787037</v>
      </c>
      <c r="J168" s="7" t="s">
        <v>1160</v>
      </c>
      <c r="K168" s="7">
        <v>96000.0</v>
      </c>
      <c r="L168" s="7">
        <v>1600.0</v>
      </c>
      <c r="M168" s="7">
        <v>58000.0</v>
      </c>
      <c r="N168" s="8">
        <v>42423.0</v>
      </c>
      <c r="O168" s="7" t="s">
        <v>24</v>
      </c>
      <c r="P168" s="7" t="s">
        <v>25</v>
      </c>
      <c r="S168" s="7" t="s">
        <v>28</v>
      </c>
    </row>
    <row r="169">
      <c r="A169" s="7">
        <v>168.0</v>
      </c>
      <c r="B169" s="7" t="s">
        <v>1436</v>
      </c>
      <c r="C169" s="7" t="s">
        <v>21</v>
      </c>
      <c r="D169" s="7">
        <v>82.0</v>
      </c>
      <c r="E169" s="7">
        <v>10.0</v>
      </c>
      <c r="H169" s="7" t="s">
        <v>19</v>
      </c>
      <c r="I169" s="9">
        <v>46123.7937962963</v>
      </c>
      <c r="K169" s="7">
        <v>100.0</v>
      </c>
      <c r="L169" s="7">
        <v>15000.0</v>
      </c>
      <c r="M169" s="7">
        <v>70000.0</v>
      </c>
      <c r="N169" s="8">
        <v>43848.0</v>
      </c>
      <c r="O169" s="7" t="s">
        <v>24</v>
      </c>
      <c r="P169" s="7" t="s">
        <v>25</v>
      </c>
      <c r="S169" s="7" t="s">
        <v>28</v>
      </c>
    </row>
    <row r="170">
      <c r="A170" s="7">
        <v>169.0</v>
      </c>
      <c r="B170" s="7" t="s">
        <v>214</v>
      </c>
      <c r="C170" s="7" t="s">
        <v>21</v>
      </c>
      <c r="D170" s="7">
        <v>72.0</v>
      </c>
      <c r="E170" s="7">
        <v>10.0</v>
      </c>
      <c r="H170" s="7" t="s">
        <v>46</v>
      </c>
      <c r="I170" s="9">
        <v>46085.619467592594</v>
      </c>
      <c r="J170" s="7" t="s">
        <v>40</v>
      </c>
      <c r="K170" s="7">
        <v>30.0</v>
      </c>
      <c r="L170" s="7">
        <v>600.0</v>
      </c>
      <c r="M170" s="7">
        <v>212000.0</v>
      </c>
      <c r="N170" s="8">
        <v>43074.0</v>
      </c>
      <c r="O170" s="7" t="s">
        <v>33</v>
      </c>
      <c r="P170" s="7" t="s">
        <v>25</v>
      </c>
      <c r="S170" s="7" t="s">
        <v>28</v>
      </c>
    </row>
    <row r="171">
      <c r="A171" s="7">
        <v>170.0</v>
      </c>
      <c r="B171" s="7" t="s">
        <v>1442</v>
      </c>
      <c r="C171" s="7" t="s">
        <v>21</v>
      </c>
      <c r="D171" s="7">
        <v>57.0</v>
      </c>
      <c r="E171" s="7">
        <v>10.0</v>
      </c>
      <c r="H171" s="7" t="s">
        <v>1442</v>
      </c>
      <c r="I171" s="9">
        <v>46146.58162037037</v>
      </c>
      <c r="K171" s="7">
        <v>2900.0</v>
      </c>
      <c r="L171" s="7">
        <v>10.0</v>
      </c>
      <c r="M171" s="7">
        <v>20000.0</v>
      </c>
      <c r="N171" s="8">
        <v>42715.0</v>
      </c>
      <c r="O171" s="7" t="s">
        <v>41</v>
      </c>
      <c r="P171" s="7" t="s">
        <v>25</v>
      </c>
      <c r="S171" s="7" t="s">
        <v>28</v>
      </c>
    </row>
    <row r="172">
      <c r="A172" s="7">
        <v>171.0</v>
      </c>
      <c r="B172" s="7" t="s">
        <v>221</v>
      </c>
      <c r="C172" s="7" t="s">
        <v>21</v>
      </c>
      <c r="D172" s="7">
        <v>68.0</v>
      </c>
      <c r="E172" s="7">
        <v>10.0</v>
      </c>
      <c r="H172" s="7" t="s">
        <v>224</v>
      </c>
      <c r="I172" s="9">
        <v>46104.05383101852</v>
      </c>
      <c r="J172" s="7" t="s">
        <v>40</v>
      </c>
      <c r="K172" s="7">
        <v>900.0</v>
      </c>
      <c r="L172" s="7">
        <v>50.0</v>
      </c>
      <c r="M172" s="7">
        <v>2700.0</v>
      </c>
      <c r="N172" s="8">
        <v>43308.0</v>
      </c>
      <c r="O172" s="7" t="s">
        <v>41</v>
      </c>
      <c r="P172" s="7" t="s">
        <v>25</v>
      </c>
      <c r="S172" s="7" t="s">
        <v>28</v>
      </c>
    </row>
    <row r="173">
      <c r="A173" s="7">
        <v>172.0</v>
      </c>
      <c r="B173" s="7" t="s">
        <v>227</v>
      </c>
      <c r="C173" s="7" t="s">
        <v>21</v>
      </c>
      <c r="D173" s="7">
        <v>64.0</v>
      </c>
      <c r="E173" s="7">
        <v>10.0</v>
      </c>
      <c r="H173" s="7" t="s">
        <v>227</v>
      </c>
      <c r="I173" s="9">
        <v>46118.28273148148</v>
      </c>
      <c r="J173" s="7" t="s">
        <v>40</v>
      </c>
      <c r="K173" s="7">
        <v>70.0</v>
      </c>
      <c r="L173" s="7">
        <v>0.0</v>
      </c>
      <c r="M173" s="7">
        <v>9900.0</v>
      </c>
      <c r="N173" s="8">
        <v>44195.0</v>
      </c>
      <c r="O173" s="7" t="s">
        <v>41</v>
      </c>
      <c r="P173" s="7" t="s">
        <v>25</v>
      </c>
      <c r="S173" s="7" t="s">
        <v>28</v>
      </c>
    </row>
    <row r="174">
      <c r="A174" s="7">
        <v>173.0</v>
      </c>
      <c r="B174" s="7" t="s">
        <v>1450</v>
      </c>
      <c r="C174" s="7" t="s">
        <v>21</v>
      </c>
      <c r="D174" s="7">
        <v>73.0</v>
      </c>
      <c r="E174" s="7">
        <v>10.0</v>
      </c>
      <c r="H174" s="7" t="s">
        <v>1298</v>
      </c>
      <c r="I174" s="9">
        <v>46107.23704861111</v>
      </c>
      <c r="J174" s="7" t="s">
        <v>48</v>
      </c>
      <c r="K174" s="7">
        <v>3700.0</v>
      </c>
      <c r="L174" s="7">
        <v>80.0</v>
      </c>
      <c r="M174" s="7">
        <v>78000.0</v>
      </c>
      <c r="N174" s="8">
        <v>44280.0</v>
      </c>
      <c r="O174" s="7" t="s">
        <v>54</v>
      </c>
      <c r="P174" s="7" t="s">
        <v>25</v>
      </c>
      <c r="S174" s="7" t="s">
        <v>28</v>
      </c>
    </row>
    <row r="175">
      <c r="A175" s="7">
        <v>174.0</v>
      </c>
      <c r="B175" s="7" t="s">
        <v>1455</v>
      </c>
      <c r="C175" s="7" t="s">
        <v>21</v>
      </c>
      <c r="D175" s="7">
        <v>73.0</v>
      </c>
      <c r="E175" s="7">
        <v>10.0</v>
      </c>
      <c r="H175" s="7" t="s">
        <v>861</v>
      </c>
      <c r="I175" s="9">
        <v>46123.03325231482</v>
      </c>
      <c r="J175" s="7" t="s">
        <v>48</v>
      </c>
      <c r="K175" s="7">
        <v>500.0</v>
      </c>
      <c r="L175" s="7">
        <v>200.0</v>
      </c>
      <c r="M175" s="7">
        <v>246000.0</v>
      </c>
      <c r="N175" s="8">
        <v>43759.0</v>
      </c>
      <c r="O175" s="7" t="s">
        <v>54</v>
      </c>
      <c r="P175" s="7" t="s">
        <v>25</v>
      </c>
      <c r="S175" s="7" t="s">
        <v>28</v>
      </c>
    </row>
    <row r="176">
      <c r="A176" s="7">
        <v>175.0</v>
      </c>
      <c r="B176" s="7" t="s">
        <v>1460</v>
      </c>
      <c r="C176" s="7" t="s">
        <v>21</v>
      </c>
      <c r="D176" s="7">
        <v>77.0</v>
      </c>
      <c r="E176" s="7">
        <v>10.0</v>
      </c>
      <c r="H176" s="7" t="s">
        <v>1460</v>
      </c>
      <c r="I176" s="9">
        <v>46077.41738425926</v>
      </c>
      <c r="K176" s="7">
        <v>200.0</v>
      </c>
      <c r="L176" s="7">
        <v>10.0</v>
      </c>
      <c r="M176" s="7">
        <v>1700.0</v>
      </c>
      <c r="N176" s="8">
        <v>43871.0</v>
      </c>
      <c r="O176" s="7" t="s">
        <v>41</v>
      </c>
      <c r="P176" s="7" t="s">
        <v>25</v>
      </c>
      <c r="S176" s="7" t="s">
        <v>28</v>
      </c>
    </row>
    <row r="177">
      <c r="A177" s="7">
        <v>176.0</v>
      </c>
      <c r="B177" s="7" t="s">
        <v>1463</v>
      </c>
      <c r="C177" s="7" t="s">
        <v>21</v>
      </c>
      <c r="D177" s="7">
        <v>77.0</v>
      </c>
      <c r="E177" s="7">
        <v>10.0</v>
      </c>
      <c r="H177" s="7" t="s">
        <v>46</v>
      </c>
      <c r="I177" s="9">
        <v>46125.248935185184</v>
      </c>
      <c r="J177" s="7" t="s">
        <v>48</v>
      </c>
      <c r="K177" s="7">
        <v>1600.0</v>
      </c>
      <c r="L177" s="7">
        <v>700.0</v>
      </c>
      <c r="M177" s="7">
        <v>205000.0</v>
      </c>
      <c r="N177" s="8">
        <v>44652.0</v>
      </c>
      <c r="O177" s="7" t="s">
        <v>33</v>
      </c>
      <c r="P177" s="7" t="s">
        <v>884</v>
      </c>
      <c r="S177" s="7" t="s">
        <v>28</v>
      </c>
    </row>
    <row r="178">
      <c r="A178" s="7">
        <v>177.0</v>
      </c>
      <c r="B178" s="7" t="s">
        <v>1468</v>
      </c>
      <c r="C178" s="7" t="s">
        <v>21</v>
      </c>
      <c r="D178" s="7">
        <v>60.0</v>
      </c>
      <c r="E178" s="7">
        <v>10.0</v>
      </c>
      <c r="H178" s="7" t="s">
        <v>1298</v>
      </c>
      <c r="I178" s="9">
        <v>46152.42967592592</v>
      </c>
      <c r="K178" s="7">
        <v>8200.0</v>
      </c>
      <c r="L178" s="7">
        <v>80.0</v>
      </c>
      <c r="M178" s="7">
        <v>70000.0</v>
      </c>
      <c r="N178" s="8">
        <v>42787.0</v>
      </c>
      <c r="O178" s="7" t="s">
        <v>41</v>
      </c>
      <c r="P178" s="7" t="s">
        <v>25</v>
      </c>
      <c r="S178" s="7" t="s">
        <v>28</v>
      </c>
    </row>
    <row r="179">
      <c r="A179" s="7">
        <v>178.0</v>
      </c>
      <c r="B179" s="7" t="s">
        <v>1472</v>
      </c>
      <c r="C179" s="7" t="s">
        <v>21</v>
      </c>
      <c r="D179" s="7">
        <v>75.0</v>
      </c>
      <c r="E179" s="7">
        <v>10.0</v>
      </c>
      <c r="H179" s="7" t="s">
        <v>1298</v>
      </c>
      <c r="I179" s="9">
        <v>46084.00767361111</v>
      </c>
      <c r="J179" s="7" t="s">
        <v>48</v>
      </c>
      <c r="K179" s="7">
        <v>8300.0</v>
      </c>
      <c r="L179" s="7">
        <v>80.0</v>
      </c>
      <c r="M179" s="7">
        <v>78000.0</v>
      </c>
      <c r="N179" s="8">
        <v>44275.0</v>
      </c>
      <c r="O179" s="7" t="s">
        <v>54</v>
      </c>
      <c r="P179" s="7" t="s">
        <v>25</v>
      </c>
      <c r="S179" s="7" t="s">
        <v>28</v>
      </c>
    </row>
    <row r="180">
      <c r="A180" s="7">
        <v>179.0</v>
      </c>
      <c r="B180" s="7" t="s">
        <v>1477</v>
      </c>
      <c r="C180" s="7" t="s">
        <v>21</v>
      </c>
      <c r="D180" s="7">
        <v>36.0</v>
      </c>
      <c r="E180" s="7">
        <v>10.0</v>
      </c>
      <c r="H180" s="7" t="s">
        <v>1477</v>
      </c>
      <c r="I180" s="9">
        <v>46143.20061342593</v>
      </c>
      <c r="J180" s="7" t="s">
        <v>48</v>
      </c>
      <c r="K180" s="7">
        <v>40.0</v>
      </c>
      <c r="L180" s="7">
        <v>0.0</v>
      </c>
      <c r="M180" s="7">
        <v>0.0</v>
      </c>
      <c r="N180" s="8">
        <v>42785.0</v>
      </c>
      <c r="O180" s="7" t="s">
        <v>24</v>
      </c>
      <c r="P180" s="7" t="s">
        <v>25</v>
      </c>
      <c r="S180" s="7" t="s">
        <v>1480</v>
      </c>
    </row>
    <row r="181">
      <c r="A181" s="7">
        <v>180.0</v>
      </c>
      <c r="B181" s="7" t="s">
        <v>1482</v>
      </c>
      <c r="C181" s="7" t="s">
        <v>21</v>
      </c>
      <c r="D181" s="7">
        <v>79.0</v>
      </c>
      <c r="E181" s="7">
        <v>10.0</v>
      </c>
      <c r="H181" s="7" t="s">
        <v>861</v>
      </c>
      <c r="I181" s="9">
        <v>46089.50240740741</v>
      </c>
      <c r="K181" s="7">
        <v>150.0</v>
      </c>
      <c r="L181" s="7">
        <v>250.0</v>
      </c>
      <c r="M181" s="7">
        <v>170000.0</v>
      </c>
      <c r="N181" s="8">
        <v>43862.0</v>
      </c>
      <c r="O181" s="7" t="s">
        <v>41</v>
      </c>
      <c r="P181" s="7" t="s">
        <v>25</v>
      </c>
      <c r="S181" s="7" t="s">
        <v>28</v>
      </c>
    </row>
    <row r="182">
      <c r="A182" s="7">
        <v>181.0</v>
      </c>
      <c r="B182" s="7" t="s">
        <v>1485</v>
      </c>
      <c r="C182" s="7" t="s">
        <v>21</v>
      </c>
      <c r="D182" s="7">
        <v>76.0</v>
      </c>
      <c r="E182" s="7">
        <v>10.0</v>
      </c>
      <c r="H182" s="7" t="s">
        <v>104</v>
      </c>
      <c r="I182" s="9">
        <v>46073.116585648146</v>
      </c>
      <c r="K182" s="7">
        <v>600.0</v>
      </c>
      <c r="L182" s="7">
        <v>350.0</v>
      </c>
      <c r="M182" s="7">
        <v>237000.0</v>
      </c>
      <c r="N182" s="8">
        <v>42485.0</v>
      </c>
      <c r="O182" s="7" t="s">
        <v>54</v>
      </c>
      <c r="P182" s="7" t="s">
        <v>25</v>
      </c>
      <c r="S182" s="7" t="s">
        <v>28</v>
      </c>
    </row>
    <row r="183">
      <c r="A183" s="7">
        <v>182.0</v>
      </c>
      <c r="B183" s="7" t="s">
        <v>244</v>
      </c>
      <c r="C183" s="7" t="s">
        <v>21</v>
      </c>
      <c r="D183" s="7">
        <v>54.0</v>
      </c>
      <c r="E183" s="7">
        <v>10.0</v>
      </c>
      <c r="H183" s="7" t="s">
        <v>246</v>
      </c>
      <c r="I183" s="9">
        <v>46148.7221875</v>
      </c>
      <c r="J183" s="7" t="s">
        <v>40</v>
      </c>
      <c r="K183" s="7">
        <v>3300.0</v>
      </c>
      <c r="L183" s="7">
        <v>30.0</v>
      </c>
      <c r="M183" s="7">
        <v>21000.0</v>
      </c>
      <c r="N183" s="8">
        <v>43952.0</v>
      </c>
      <c r="O183" s="7" t="s">
        <v>33</v>
      </c>
      <c r="P183" s="7" t="s">
        <v>25</v>
      </c>
      <c r="S183" s="7" t="s">
        <v>28</v>
      </c>
    </row>
    <row r="184">
      <c r="A184" s="7">
        <v>183.0</v>
      </c>
      <c r="B184" s="7" t="s">
        <v>1494</v>
      </c>
      <c r="C184" s="7" t="s">
        <v>21</v>
      </c>
      <c r="D184" s="7">
        <v>68.0</v>
      </c>
      <c r="E184" s="7">
        <v>10.0</v>
      </c>
      <c r="H184" s="7" t="s">
        <v>46</v>
      </c>
      <c r="I184" s="9">
        <v>46089.23189814815</v>
      </c>
      <c r="J184" s="7" t="s">
        <v>40</v>
      </c>
      <c r="K184" s="7">
        <v>400.0</v>
      </c>
      <c r="L184" s="7">
        <v>800.0</v>
      </c>
      <c r="M184" s="7">
        <v>774000.0</v>
      </c>
      <c r="N184" s="8">
        <v>43118.0</v>
      </c>
      <c r="O184" s="7" t="s">
        <v>41</v>
      </c>
      <c r="P184" s="7" t="s">
        <v>25</v>
      </c>
      <c r="S184" s="7" t="s">
        <v>28</v>
      </c>
    </row>
    <row r="185">
      <c r="A185" s="7">
        <v>184.0</v>
      </c>
      <c r="B185" s="7" t="s">
        <v>1499</v>
      </c>
      <c r="C185" s="7" t="s">
        <v>21</v>
      </c>
      <c r="D185" s="7">
        <v>78.0</v>
      </c>
      <c r="E185" s="7">
        <v>10.0</v>
      </c>
      <c r="H185" s="7" t="s">
        <v>46</v>
      </c>
      <c r="I185" s="9">
        <v>46131.105474537035</v>
      </c>
      <c r="J185" s="7" t="s">
        <v>40</v>
      </c>
      <c r="K185" s="7">
        <v>70.0</v>
      </c>
      <c r="L185" s="7">
        <v>5300.0</v>
      </c>
      <c r="M185" s="7">
        <v>556000.0</v>
      </c>
      <c r="N185" s="8">
        <v>45238.0</v>
      </c>
      <c r="O185" s="7" t="s">
        <v>24</v>
      </c>
      <c r="P185" s="7" t="s">
        <v>25</v>
      </c>
      <c r="S185" s="7" t="s">
        <v>28</v>
      </c>
    </row>
    <row r="186">
      <c r="A186" s="7">
        <v>185.0</v>
      </c>
      <c r="B186" s="7" t="s">
        <v>1502</v>
      </c>
      <c r="C186" s="7" t="s">
        <v>21</v>
      </c>
      <c r="D186" s="7">
        <v>71.0</v>
      </c>
      <c r="E186" s="7">
        <v>10.0</v>
      </c>
      <c r="H186" s="7" t="s">
        <v>148</v>
      </c>
      <c r="I186" s="9">
        <v>46082.25418981481</v>
      </c>
      <c r="J186" s="7" t="s">
        <v>1101</v>
      </c>
      <c r="K186" s="7">
        <v>200.0</v>
      </c>
      <c r="L186" s="7">
        <v>90.0</v>
      </c>
      <c r="M186" s="7">
        <v>48000.0</v>
      </c>
      <c r="N186" s="8">
        <v>44209.0</v>
      </c>
      <c r="O186" s="7" t="s">
        <v>41</v>
      </c>
      <c r="P186" s="7" t="s">
        <v>25</v>
      </c>
      <c r="S186" s="7" t="s">
        <v>28</v>
      </c>
    </row>
    <row r="187">
      <c r="A187" s="7">
        <v>186.0</v>
      </c>
      <c r="B187" s="7" t="s">
        <v>1508</v>
      </c>
      <c r="C187" s="7" t="s">
        <v>21</v>
      </c>
      <c r="D187" s="7">
        <v>68.0</v>
      </c>
      <c r="H187" s="7" t="s">
        <v>861</v>
      </c>
      <c r="I187" s="9">
        <v>46163.15640046296</v>
      </c>
      <c r="J187" s="7" t="s">
        <v>1510</v>
      </c>
      <c r="K187" s="7">
        <v>2000.0</v>
      </c>
      <c r="L187" s="7">
        <v>250.0</v>
      </c>
      <c r="M187" s="7">
        <v>118000.0</v>
      </c>
      <c r="N187" s="8">
        <v>43868.0</v>
      </c>
      <c r="O187" s="7" t="s">
        <v>41</v>
      </c>
      <c r="P187" s="7" t="s">
        <v>25</v>
      </c>
      <c r="S187" s="7" t="s">
        <v>28</v>
      </c>
    </row>
    <row r="188">
      <c r="A188" s="7">
        <v>187.0</v>
      </c>
      <c r="B188" s="7" t="s">
        <v>265</v>
      </c>
      <c r="C188" s="7" t="s">
        <v>21</v>
      </c>
      <c r="D188" s="7">
        <v>75.0</v>
      </c>
      <c r="H188" s="7" t="s">
        <v>46</v>
      </c>
      <c r="I188" s="9">
        <v>46125.2446412037</v>
      </c>
      <c r="J188" s="7" t="s">
        <v>40</v>
      </c>
      <c r="K188" s="7">
        <v>1800.0</v>
      </c>
      <c r="L188" s="7">
        <v>700.0</v>
      </c>
      <c r="M188" s="7">
        <v>205000.0</v>
      </c>
      <c r="N188" s="8">
        <v>43005.0</v>
      </c>
      <c r="O188" s="7" t="s">
        <v>33</v>
      </c>
      <c r="P188" s="7" t="s">
        <v>25</v>
      </c>
      <c r="S188" s="7" t="s">
        <v>28</v>
      </c>
    </row>
    <row r="189">
      <c r="A189" s="7">
        <v>188.0</v>
      </c>
      <c r="B189" s="7" t="s">
        <v>1514</v>
      </c>
      <c r="C189" s="7" t="s">
        <v>21</v>
      </c>
      <c r="D189" s="7">
        <v>77.0</v>
      </c>
      <c r="H189" s="7" t="s">
        <v>46</v>
      </c>
      <c r="I189" s="9">
        <v>46155.8227662037</v>
      </c>
      <c r="K189" s="7">
        <v>7600.0</v>
      </c>
      <c r="L189" s="7">
        <v>1300.0</v>
      </c>
      <c r="M189" s="7">
        <v>162000.0</v>
      </c>
      <c r="N189" s="8">
        <v>43868.0</v>
      </c>
      <c r="O189" s="7" t="s">
        <v>33</v>
      </c>
      <c r="P189" s="7" t="s">
        <v>25</v>
      </c>
      <c r="S189" s="7" t="s">
        <v>28</v>
      </c>
    </row>
    <row r="190">
      <c r="A190" s="7">
        <v>189.0</v>
      </c>
      <c r="B190" s="7" t="s">
        <v>295</v>
      </c>
      <c r="C190" s="7" t="s">
        <v>21</v>
      </c>
      <c r="D190" s="7">
        <v>79.0</v>
      </c>
      <c r="H190" s="7" t="s">
        <v>46</v>
      </c>
      <c r="I190" s="9">
        <v>46101.228113425925</v>
      </c>
      <c r="J190" s="7" t="s">
        <v>40</v>
      </c>
      <c r="L190" s="7">
        <v>600.0</v>
      </c>
      <c r="M190" s="7">
        <v>187000.0</v>
      </c>
      <c r="N190" s="8">
        <v>42300.0</v>
      </c>
      <c r="O190" s="7" t="s">
        <v>33</v>
      </c>
      <c r="P190" s="7" t="s">
        <v>25</v>
      </c>
      <c r="S190" s="7" t="s">
        <v>28</v>
      </c>
    </row>
    <row r="191">
      <c r="A191" s="7">
        <v>190.0</v>
      </c>
      <c r="B191" s="7" t="s">
        <v>323</v>
      </c>
      <c r="C191" s="7" t="s">
        <v>21</v>
      </c>
      <c r="D191" s="7">
        <v>61.0</v>
      </c>
      <c r="H191" s="7" t="s">
        <v>325</v>
      </c>
      <c r="I191" s="9">
        <v>46161.47378472222</v>
      </c>
      <c r="J191" s="7" t="s">
        <v>40</v>
      </c>
      <c r="K191" s="7">
        <v>50.0</v>
      </c>
      <c r="L191" s="7">
        <v>20.0</v>
      </c>
      <c r="M191" s="7">
        <v>900.0</v>
      </c>
      <c r="N191" s="8">
        <v>44202.0</v>
      </c>
      <c r="O191" s="7" t="s">
        <v>33</v>
      </c>
      <c r="P191" s="7" t="s">
        <v>25</v>
      </c>
      <c r="S191" s="7" t="s">
        <v>28</v>
      </c>
    </row>
    <row r="192">
      <c r="A192" s="7">
        <v>191.0</v>
      </c>
      <c r="B192" s="7" t="s">
        <v>329</v>
      </c>
      <c r="C192" s="7" t="s">
        <v>21</v>
      </c>
      <c r="D192" s="7">
        <v>65.0</v>
      </c>
      <c r="H192" s="7" t="s">
        <v>331</v>
      </c>
      <c r="I192" s="9">
        <v>46082.88574074074</v>
      </c>
      <c r="J192" s="7" t="s">
        <v>40</v>
      </c>
      <c r="K192" s="7">
        <v>4200.0</v>
      </c>
      <c r="L192" s="7">
        <v>10.0</v>
      </c>
      <c r="M192" s="7">
        <v>27000.0</v>
      </c>
      <c r="N192" s="8">
        <v>44231.0</v>
      </c>
      <c r="O192" s="7" t="s">
        <v>41</v>
      </c>
      <c r="P192" s="7" t="s">
        <v>25</v>
      </c>
      <c r="S192" s="7" t="s">
        <v>28</v>
      </c>
    </row>
    <row r="193">
      <c r="A193" s="7">
        <v>192.0</v>
      </c>
      <c r="B193" s="7" t="s">
        <v>354</v>
      </c>
      <c r="C193" s="7" t="s">
        <v>21</v>
      </c>
      <c r="D193" s="7">
        <v>75.0</v>
      </c>
      <c r="H193" s="7" t="s">
        <v>46</v>
      </c>
      <c r="I193" s="9">
        <v>46100.74162037037</v>
      </c>
      <c r="J193" s="7" t="s">
        <v>40</v>
      </c>
      <c r="K193" s="7">
        <v>2800.0</v>
      </c>
      <c r="L193" s="7">
        <v>600.0</v>
      </c>
      <c r="M193" s="7">
        <v>187000.0</v>
      </c>
      <c r="N193" s="8">
        <v>44610.0</v>
      </c>
      <c r="O193" s="7" t="s">
        <v>41</v>
      </c>
      <c r="P193" s="7" t="s">
        <v>25</v>
      </c>
      <c r="S193" s="7" t="s">
        <v>28</v>
      </c>
    </row>
    <row r="194">
      <c r="A194" s="7">
        <v>193.0</v>
      </c>
      <c r="B194" s="7" t="s">
        <v>368</v>
      </c>
      <c r="C194" s="7" t="s">
        <v>21</v>
      </c>
      <c r="D194" s="7">
        <v>67.0</v>
      </c>
      <c r="H194" s="7" t="s">
        <v>369</v>
      </c>
      <c r="I194" s="9">
        <v>46126.4383912037</v>
      </c>
      <c r="J194" s="7" t="s">
        <v>40</v>
      </c>
      <c r="K194" s="7">
        <v>19000.0</v>
      </c>
      <c r="L194" s="7">
        <v>50.0</v>
      </c>
      <c r="M194" s="7">
        <v>156000.0</v>
      </c>
      <c r="N194" s="8">
        <v>43347.0</v>
      </c>
      <c r="O194" s="7" t="s">
        <v>33</v>
      </c>
      <c r="P194" s="7" t="s">
        <v>25</v>
      </c>
      <c r="S194" s="7" t="s">
        <v>28</v>
      </c>
    </row>
    <row r="195">
      <c r="A195" s="7">
        <v>194.0</v>
      </c>
      <c r="B195" s="7" t="s">
        <v>1534</v>
      </c>
      <c r="C195" s="7" t="s">
        <v>21</v>
      </c>
      <c r="D195" s="7">
        <v>76.0</v>
      </c>
      <c r="H195" s="7" t="s">
        <v>1017</v>
      </c>
      <c r="I195" s="9">
        <v>46100.308344907404</v>
      </c>
      <c r="J195" s="7" t="s">
        <v>48</v>
      </c>
      <c r="K195" s="7">
        <v>4600.0</v>
      </c>
      <c r="L195" s="7">
        <v>200.0</v>
      </c>
      <c r="M195" s="7">
        <v>83000.0</v>
      </c>
      <c r="N195" s="8">
        <v>44244.0</v>
      </c>
      <c r="O195" s="7" t="s">
        <v>41</v>
      </c>
      <c r="P195" s="7" t="s">
        <v>25</v>
      </c>
      <c r="S195" s="7" t="s">
        <v>28</v>
      </c>
    </row>
    <row r="196">
      <c r="A196" s="7">
        <v>195.0</v>
      </c>
      <c r="B196" s="7" t="s">
        <v>1539</v>
      </c>
      <c r="C196" s="7" t="s">
        <v>21</v>
      </c>
      <c r="D196" s="7">
        <v>69.0</v>
      </c>
      <c r="H196" s="7" t="s">
        <v>1055</v>
      </c>
      <c r="I196" s="9">
        <v>46152.55337962963</v>
      </c>
      <c r="J196" s="7" t="s">
        <v>40</v>
      </c>
      <c r="K196" s="7">
        <v>10.0</v>
      </c>
      <c r="L196" s="7">
        <v>10.0</v>
      </c>
      <c r="M196" s="7">
        <v>500.0</v>
      </c>
      <c r="N196" s="8">
        <v>43141.0</v>
      </c>
      <c r="O196" s="7" t="s">
        <v>41</v>
      </c>
      <c r="P196" s="7" t="s">
        <v>25</v>
      </c>
      <c r="S196" s="7" t="s">
        <v>1545</v>
      </c>
    </row>
    <row r="197">
      <c r="A197" s="7">
        <v>196.0</v>
      </c>
      <c r="B197" s="7" t="s">
        <v>1547</v>
      </c>
      <c r="C197" s="7" t="s">
        <v>21</v>
      </c>
      <c r="D197" s="7">
        <v>45.0</v>
      </c>
      <c r="H197" s="7" t="s">
        <v>1288</v>
      </c>
      <c r="I197" s="9">
        <v>46148.96171296296</v>
      </c>
      <c r="J197" s="7" t="s">
        <v>48</v>
      </c>
      <c r="L197" s="7">
        <v>150.0</v>
      </c>
      <c r="M197" s="7">
        <v>450.0</v>
      </c>
      <c r="N197" s="8">
        <v>44027.0</v>
      </c>
      <c r="O197" s="7" t="s">
        <v>1274</v>
      </c>
      <c r="P197" s="7" t="s">
        <v>25</v>
      </c>
      <c r="S197" s="7" t="s">
        <v>28</v>
      </c>
    </row>
    <row r="198">
      <c r="A198" s="7">
        <v>197.0</v>
      </c>
      <c r="B198" s="7" t="s">
        <v>436</v>
      </c>
      <c r="C198" s="7" t="s">
        <v>21</v>
      </c>
      <c r="D198" s="7">
        <v>58.0</v>
      </c>
      <c r="H198" s="7" t="s">
        <v>438</v>
      </c>
      <c r="I198" s="9">
        <v>46161.914502314816</v>
      </c>
      <c r="J198" s="7" t="s">
        <v>439</v>
      </c>
      <c r="K198" s="7">
        <v>700.0</v>
      </c>
      <c r="L198" s="7">
        <v>10.0</v>
      </c>
      <c r="M198" s="7">
        <v>15000.0</v>
      </c>
      <c r="N198" s="8">
        <v>43843.0</v>
      </c>
      <c r="O198" s="7" t="s">
        <v>33</v>
      </c>
      <c r="P198" s="7" t="s">
        <v>25</v>
      </c>
      <c r="S198" s="7" t="s">
        <v>28</v>
      </c>
    </row>
    <row r="199">
      <c r="A199" s="7">
        <v>198.0</v>
      </c>
      <c r="B199" s="7" t="s">
        <v>1555</v>
      </c>
      <c r="C199" s="7" t="s">
        <v>21</v>
      </c>
      <c r="D199" s="7">
        <v>79.0</v>
      </c>
      <c r="H199" s="7" t="s">
        <v>19</v>
      </c>
      <c r="I199" s="9">
        <v>46122.45239583333</v>
      </c>
      <c r="K199" s="7">
        <v>300.0</v>
      </c>
      <c r="L199" s="7">
        <v>15000.0</v>
      </c>
      <c r="M199" s="7">
        <v>69000.0</v>
      </c>
      <c r="N199" s="8">
        <v>42249.0</v>
      </c>
      <c r="O199" s="7" t="s">
        <v>24</v>
      </c>
      <c r="P199" s="7" t="s">
        <v>25</v>
      </c>
      <c r="S199" s="7" t="s">
        <v>28</v>
      </c>
    </row>
    <row r="200">
      <c r="A200" s="7">
        <v>199.0</v>
      </c>
      <c r="B200" s="7" t="s">
        <v>1560</v>
      </c>
      <c r="C200" s="7" t="s">
        <v>21</v>
      </c>
      <c r="D200" s="7">
        <v>53.0</v>
      </c>
      <c r="H200" s="7" t="s">
        <v>1190</v>
      </c>
      <c r="I200" s="9">
        <v>46123.45309027778</v>
      </c>
      <c r="J200" s="7" t="s">
        <v>22</v>
      </c>
      <c r="K200" s="7">
        <v>700.0</v>
      </c>
      <c r="L200" s="7">
        <v>50.0</v>
      </c>
      <c r="M200" s="7">
        <v>60000.0</v>
      </c>
      <c r="N200" s="8">
        <v>44016.0</v>
      </c>
      <c r="O200" s="7" t="s">
        <v>41</v>
      </c>
      <c r="P200" s="7" t="s">
        <v>1193</v>
      </c>
      <c r="S200" s="7" t="s">
        <v>28</v>
      </c>
    </row>
    <row r="201">
      <c r="A201" s="7">
        <v>200.0</v>
      </c>
      <c r="B201" s="7" t="s">
        <v>1564</v>
      </c>
      <c r="C201" s="7" t="s">
        <v>21</v>
      </c>
      <c r="D201" s="7">
        <v>75.0</v>
      </c>
      <c r="H201" s="7" t="s">
        <v>46</v>
      </c>
      <c r="I201" s="9">
        <v>46155.658472222225</v>
      </c>
      <c r="J201" s="7" t="s">
        <v>754</v>
      </c>
      <c r="K201" s="7">
        <v>250.0</v>
      </c>
      <c r="L201" s="7">
        <v>4000.0</v>
      </c>
      <c r="M201" s="7">
        <v>694000.0</v>
      </c>
      <c r="N201" s="8">
        <v>43905.0</v>
      </c>
      <c r="O201" s="7" t="s">
        <v>41</v>
      </c>
      <c r="P201" s="7" t="s">
        <v>884</v>
      </c>
      <c r="S201" s="7" t="s">
        <v>28</v>
      </c>
    </row>
    <row r="202">
      <c r="A202" s="7">
        <v>201.0</v>
      </c>
      <c r="B202" s="7" t="s">
        <v>1568</v>
      </c>
      <c r="C202" s="7" t="s">
        <v>21</v>
      </c>
      <c r="D202" s="7">
        <v>34.0</v>
      </c>
      <c r="H202" s="7" t="s">
        <v>1190</v>
      </c>
      <c r="I202" s="9">
        <v>46043.960185185184</v>
      </c>
      <c r="J202" s="7" t="s">
        <v>1230</v>
      </c>
      <c r="K202" s="7">
        <v>10.0</v>
      </c>
      <c r="L202" s="7">
        <v>40.0</v>
      </c>
      <c r="M202" s="7">
        <v>84000.0</v>
      </c>
      <c r="N202" s="8">
        <v>44922.0</v>
      </c>
      <c r="O202" s="7" t="s">
        <v>33</v>
      </c>
      <c r="P202" s="7" t="s">
        <v>1193</v>
      </c>
      <c r="S202" s="7" t="s">
        <v>28</v>
      </c>
    </row>
    <row r="203">
      <c r="A203" s="7">
        <v>202.0</v>
      </c>
      <c r="B203" s="7" t="s">
        <v>495</v>
      </c>
      <c r="C203" s="7" t="s">
        <v>21</v>
      </c>
      <c r="D203" s="7">
        <v>54.0</v>
      </c>
      <c r="H203" s="7" t="s">
        <v>497</v>
      </c>
      <c r="I203" s="9">
        <v>46161.74254629629</v>
      </c>
      <c r="J203" s="7" t="s">
        <v>40</v>
      </c>
      <c r="K203" s="7">
        <v>4300.0</v>
      </c>
      <c r="L203" s="7">
        <v>30.0</v>
      </c>
      <c r="M203" s="7">
        <v>16000.0</v>
      </c>
      <c r="N203" s="8">
        <v>42483.0</v>
      </c>
      <c r="O203" s="7" t="s">
        <v>33</v>
      </c>
      <c r="P203" s="7" t="s">
        <v>25</v>
      </c>
      <c r="Q203" s="7" t="s">
        <v>500</v>
      </c>
      <c r="R203" s="7">
        <v>2.0</v>
      </c>
      <c r="S203" s="7" t="s">
        <v>28</v>
      </c>
    </row>
    <row r="204">
      <c r="A204" s="7">
        <v>203.0</v>
      </c>
      <c r="B204" s="7" t="s">
        <v>1572</v>
      </c>
      <c r="C204" s="7" t="s">
        <v>21</v>
      </c>
      <c r="D204" s="7">
        <v>70.0</v>
      </c>
      <c r="H204" s="7" t="s">
        <v>1055</v>
      </c>
      <c r="I204" s="9">
        <v>46160.84019675926</v>
      </c>
      <c r="K204" s="7">
        <v>150.0</v>
      </c>
      <c r="L204" s="7">
        <v>10.0</v>
      </c>
      <c r="M204" s="7">
        <v>500.0</v>
      </c>
      <c r="N204" s="8">
        <v>43886.0</v>
      </c>
      <c r="O204" s="7" t="s">
        <v>41</v>
      </c>
      <c r="P204" s="7" t="s">
        <v>25</v>
      </c>
      <c r="S204" s="7" t="s">
        <v>28</v>
      </c>
    </row>
    <row r="205">
      <c r="A205" s="7">
        <v>204.0</v>
      </c>
      <c r="B205" s="7" t="s">
        <v>567</v>
      </c>
      <c r="C205" s="7" t="s">
        <v>21</v>
      </c>
      <c r="D205" s="7">
        <v>72.0</v>
      </c>
      <c r="H205" s="7" t="s">
        <v>569</v>
      </c>
      <c r="I205" s="9">
        <v>46144.87880787037</v>
      </c>
      <c r="J205" s="7" t="s">
        <v>40</v>
      </c>
      <c r="K205" s="7">
        <v>10000.0</v>
      </c>
      <c r="L205" s="7">
        <v>10.0</v>
      </c>
      <c r="M205" s="7">
        <v>43000.0</v>
      </c>
      <c r="N205" s="8">
        <v>43952.0</v>
      </c>
      <c r="O205" s="7" t="s">
        <v>41</v>
      </c>
      <c r="P205" s="7" t="s">
        <v>25</v>
      </c>
      <c r="S205" s="7" t="s">
        <v>571</v>
      </c>
    </row>
    <row r="206">
      <c r="A206" s="7">
        <v>205.0</v>
      </c>
      <c r="B206" s="7" t="s">
        <v>1578</v>
      </c>
      <c r="C206" s="7" t="s">
        <v>21</v>
      </c>
      <c r="D206" s="7">
        <v>64.0</v>
      </c>
      <c r="H206" s="7" t="s">
        <v>1183</v>
      </c>
      <c r="I206" s="9">
        <v>46148.70636574074</v>
      </c>
      <c r="J206" s="7" t="s">
        <v>48</v>
      </c>
      <c r="K206" s="7">
        <v>20.0</v>
      </c>
      <c r="L206" s="7">
        <v>70.0</v>
      </c>
      <c r="M206" s="7">
        <v>46000.0</v>
      </c>
      <c r="N206" s="8">
        <v>42599.0</v>
      </c>
      <c r="O206" s="7" t="s">
        <v>41</v>
      </c>
      <c r="P206" s="7" t="s">
        <v>25</v>
      </c>
      <c r="S206" s="7" t="s">
        <v>28</v>
      </c>
    </row>
    <row r="207">
      <c r="A207" s="7">
        <v>206.0</v>
      </c>
      <c r="B207" s="7" t="s">
        <v>1582</v>
      </c>
      <c r="C207" s="7" t="s">
        <v>21</v>
      </c>
      <c r="D207" s="7">
        <v>64.0</v>
      </c>
      <c r="H207" s="7" t="s">
        <v>1183</v>
      </c>
      <c r="I207" s="9">
        <v>46160.84380787037</v>
      </c>
      <c r="K207" s="7">
        <v>70.0</v>
      </c>
      <c r="L207" s="7">
        <v>70.0</v>
      </c>
      <c r="M207" s="7">
        <v>39000.0</v>
      </c>
      <c r="N207" s="8">
        <v>44055.0</v>
      </c>
      <c r="O207" s="7" t="s">
        <v>33</v>
      </c>
      <c r="P207" s="7" t="s">
        <v>25</v>
      </c>
      <c r="S207" s="7" t="s">
        <v>28</v>
      </c>
    </row>
    <row r="208">
      <c r="A208" s="7">
        <v>207.0</v>
      </c>
      <c r="B208" s="7" t="s">
        <v>1585</v>
      </c>
      <c r="C208" s="7" t="s">
        <v>21</v>
      </c>
      <c r="D208" s="7">
        <v>6.0</v>
      </c>
      <c r="H208" s="7" t="s">
        <v>1219</v>
      </c>
      <c r="I208" s="9">
        <v>46157.093564814815</v>
      </c>
      <c r="J208" s="7" t="s">
        <v>1101</v>
      </c>
      <c r="K208" s="7">
        <v>450.0</v>
      </c>
      <c r="L208" s="7">
        <v>40.0</v>
      </c>
      <c r="M208" s="7">
        <v>23000.0</v>
      </c>
      <c r="N208" s="8">
        <v>44380.0</v>
      </c>
      <c r="O208" s="7" t="s">
        <v>41</v>
      </c>
      <c r="P208" s="7" t="s">
        <v>1193</v>
      </c>
      <c r="S208" s="7" t="s">
        <v>28</v>
      </c>
    </row>
    <row r="209">
      <c r="A209" s="7">
        <v>208.0</v>
      </c>
      <c r="B209" s="7" t="s">
        <v>661</v>
      </c>
      <c r="C209" s="7" t="s">
        <v>21</v>
      </c>
      <c r="D209" s="7">
        <v>67.0</v>
      </c>
      <c r="H209" s="7" t="s">
        <v>663</v>
      </c>
      <c r="I209" s="9">
        <v>46127.31517361111</v>
      </c>
      <c r="J209" s="7" t="s">
        <v>40</v>
      </c>
      <c r="K209" s="7">
        <v>6000.0</v>
      </c>
      <c r="L209" s="7">
        <v>30.0</v>
      </c>
      <c r="M209" s="7">
        <v>56000.0</v>
      </c>
      <c r="N209" s="8">
        <v>43074.0</v>
      </c>
      <c r="O209" s="7" t="s">
        <v>33</v>
      </c>
      <c r="P209" s="7" t="s">
        <v>25</v>
      </c>
      <c r="S209" s="7" t="s">
        <v>28</v>
      </c>
    </row>
    <row r="210">
      <c r="A210" s="7">
        <v>209.0</v>
      </c>
      <c r="B210" s="7" t="s">
        <v>1588</v>
      </c>
      <c r="C210" s="7" t="s">
        <v>21</v>
      </c>
      <c r="D210" s="7">
        <v>68.0</v>
      </c>
      <c r="H210" s="7" t="s">
        <v>167</v>
      </c>
      <c r="I210" s="9">
        <v>46142.86859953704</v>
      </c>
      <c r="J210" s="7" t="s">
        <v>40</v>
      </c>
      <c r="K210" s="7">
        <v>20.0</v>
      </c>
      <c r="L210" s="7">
        <v>3200.0</v>
      </c>
      <c r="M210" s="7">
        <v>59000.0</v>
      </c>
      <c r="N210" s="8">
        <v>44803.0</v>
      </c>
      <c r="O210" s="7" t="s">
        <v>41</v>
      </c>
      <c r="P210" s="7" t="s">
        <v>884</v>
      </c>
      <c r="S210" s="7" t="s">
        <v>28</v>
      </c>
    </row>
    <row r="211">
      <c r="A211" s="7">
        <v>210.0</v>
      </c>
      <c r="B211" s="7" t="s">
        <v>1591</v>
      </c>
      <c r="C211" s="7" t="s">
        <v>21</v>
      </c>
      <c r="D211" s="7">
        <v>37.0</v>
      </c>
      <c r="H211" s="7" t="s">
        <v>1190</v>
      </c>
      <c r="I211" s="9">
        <v>46107.37457175926</v>
      </c>
      <c r="J211" s="7" t="s">
        <v>22</v>
      </c>
      <c r="K211" s="7">
        <v>350.0</v>
      </c>
      <c r="L211" s="7">
        <v>50.0</v>
      </c>
      <c r="M211" s="7">
        <v>59000.0</v>
      </c>
      <c r="N211" s="8">
        <v>44348.0</v>
      </c>
      <c r="O211" s="7" t="s">
        <v>41</v>
      </c>
      <c r="P211" s="7" t="s">
        <v>1193</v>
      </c>
      <c r="S211" s="7" t="s">
        <v>28</v>
      </c>
    </row>
    <row r="212">
      <c r="A212" s="7">
        <v>211.0</v>
      </c>
      <c r="B212" s="7" t="s">
        <v>720</v>
      </c>
      <c r="C212" s="7" t="s">
        <v>21</v>
      </c>
      <c r="D212" s="7">
        <v>72.0</v>
      </c>
      <c r="H212" s="7" t="s">
        <v>167</v>
      </c>
      <c r="I212" s="9">
        <v>46148.545277777775</v>
      </c>
      <c r="J212" s="7" t="s">
        <v>40</v>
      </c>
      <c r="K212" s="7">
        <v>40.0</v>
      </c>
      <c r="L212" s="7">
        <v>3200.0</v>
      </c>
      <c r="M212" s="7">
        <v>60000.0</v>
      </c>
      <c r="N212" s="8">
        <v>44079.0</v>
      </c>
      <c r="O212" s="7" t="s">
        <v>33</v>
      </c>
      <c r="P212" s="7" t="s">
        <v>25</v>
      </c>
      <c r="S212" s="7" t="s">
        <v>28</v>
      </c>
    </row>
    <row r="213">
      <c r="A213" s="7">
        <v>212.0</v>
      </c>
      <c r="B213" s="7" t="s">
        <v>1598</v>
      </c>
      <c r="C213" s="7" t="s">
        <v>21</v>
      </c>
      <c r="D213" s="7">
        <v>67.0</v>
      </c>
      <c r="H213" s="7" t="s">
        <v>46</v>
      </c>
      <c r="I213" s="9">
        <v>46160.842199074075</v>
      </c>
      <c r="J213" s="7" t="s">
        <v>40</v>
      </c>
      <c r="K213" s="7">
        <v>10.0</v>
      </c>
      <c r="L213" s="7">
        <v>1300.0</v>
      </c>
      <c r="M213" s="7">
        <v>168000.0</v>
      </c>
      <c r="N213" s="8">
        <v>44812.0</v>
      </c>
      <c r="O213" s="7" t="s">
        <v>41</v>
      </c>
      <c r="P213" s="7" t="s">
        <v>25</v>
      </c>
      <c r="S213" s="7" t="s">
        <v>28</v>
      </c>
    </row>
    <row r="214">
      <c r="A214" s="7">
        <v>213.0</v>
      </c>
      <c r="B214" s="7" t="s">
        <v>1601</v>
      </c>
      <c r="C214" s="7" t="s">
        <v>21</v>
      </c>
      <c r="D214" s="7">
        <v>75.0</v>
      </c>
      <c r="H214" s="7" t="s">
        <v>1075</v>
      </c>
      <c r="I214" s="9">
        <v>46162.00811342592</v>
      </c>
      <c r="J214" s="7" t="s">
        <v>48</v>
      </c>
      <c r="K214" s="7">
        <v>1600.0</v>
      </c>
      <c r="L214" s="7">
        <v>80.0</v>
      </c>
      <c r="M214" s="7">
        <v>108000.0</v>
      </c>
      <c r="N214" s="8">
        <v>44209.0</v>
      </c>
      <c r="O214" s="7" t="s">
        <v>54</v>
      </c>
      <c r="P214" s="7" t="s">
        <v>25</v>
      </c>
      <c r="S214" s="7" t="s">
        <v>28</v>
      </c>
    </row>
    <row r="215">
      <c r="A215" s="7">
        <v>214.0</v>
      </c>
      <c r="B215" s="7" t="s">
        <v>1608</v>
      </c>
      <c r="C215" s="7" t="s">
        <v>21</v>
      </c>
      <c r="D215" s="7">
        <v>55.0</v>
      </c>
      <c r="H215" s="7" t="s">
        <v>19</v>
      </c>
      <c r="I215" s="9">
        <v>46106.99366898148</v>
      </c>
      <c r="J215" s="7" t="s">
        <v>40</v>
      </c>
      <c r="K215" s="7">
        <v>400.0</v>
      </c>
      <c r="L215" s="7">
        <v>15000.0</v>
      </c>
      <c r="M215" s="7">
        <v>69000.0</v>
      </c>
      <c r="N215" s="8">
        <v>42277.0</v>
      </c>
      <c r="O215" s="7" t="s">
        <v>1609</v>
      </c>
      <c r="P215" s="7" t="s">
        <v>25</v>
      </c>
      <c r="S215" s="7" t="s">
        <v>28</v>
      </c>
    </row>
    <row r="216">
      <c r="A216" s="7">
        <v>215.0</v>
      </c>
      <c r="B216" s="7" t="s">
        <v>1611</v>
      </c>
      <c r="C216" s="7" t="s">
        <v>21</v>
      </c>
      <c r="D216" s="7">
        <v>78.0</v>
      </c>
      <c r="H216" s="7" t="s">
        <v>861</v>
      </c>
      <c r="I216" s="9">
        <v>46127.304606481484</v>
      </c>
      <c r="J216" s="7" t="s">
        <v>40</v>
      </c>
      <c r="L216" s="7">
        <v>200.0</v>
      </c>
      <c r="M216" s="7">
        <v>248000.0</v>
      </c>
      <c r="N216" s="8">
        <v>43070.0</v>
      </c>
      <c r="O216" s="7" t="s">
        <v>72</v>
      </c>
      <c r="P216" s="7" t="s">
        <v>25</v>
      </c>
      <c r="S216" s="7" t="s">
        <v>28</v>
      </c>
    </row>
    <row r="217">
      <c r="A217" s="7">
        <v>216.0</v>
      </c>
      <c r="B217" s="7" t="s">
        <v>804</v>
      </c>
      <c r="C217" s="7" t="s">
        <v>21</v>
      </c>
      <c r="D217" s="7">
        <v>63.0</v>
      </c>
      <c r="H217" s="7" t="s">
        <v>181</v>
      </c>
      <c r="I217" s="9">
        <v>46144.021157407406</v>
      </c>
      <c r="J217" s="7" t="s">
        <v>40</v>
      </c>
      <c r="K217" s="7">
        <v>20.0</v>
      </c>
      <c r="L217" s="7">
        <v>80.0</v>
      </c>
      <c r="M217" s="7">
        <v>1500.0</v>
      </c>
      <c r="N217" s="8">
        <v>42587.0</v>
      </c>
      <c r="O217" s="7" t="s">
        <v>33</v>
      </c>
      <c r="P217" s="7" t="s">
        <v>25</v>
      </c>
      <c r="S217" s="7" t="s">
        <v>28</v>
      </c>
    </row>
    <row r="218">
      <c r="A218" s="7">
        <v>217.0</v>
      </c>
      <c r="B218" s="7" t="s">
        <v>1617</v>
      </c>
      <c r="C218" s="7" t="s">
        <v>21</v>
      </c>
      <c r="D218" s="7">
        <v>73.0</v>
      </c>
      <c r="H218" s="7" t="s">
        <v>192</v>
      </c>
      <c r="I218" s="9">
        <v>46148.99791666667</v>
      </c>
      <c r="J218" s="7" t="s">
        <v>439</v>
      </c>
      <c r="L218" s="7">
        <v>700.0</v>
      </c>
      <c r="M218" s="7">
        <v>332000.0</v>
      </c>
      <c r="N218" s="8">
        <v>44688.0</v>
      </c>
      <c r="O218" s="7" t="s">
        <v>41</v>
      </c>
      <c r="P218" s="7" t="s">
        <v>25</v>
      </c>
      <c r="S218" s="7" t="s">
        <v>28</v>
      </c>
    </row>
    <row r="219">
      <c r="A219" s="7">
        <v>218.0</v>
      </c>
      <c r="B219" s="7" t="s">
        <v>1619</v>
      </c>
      <c r="C219" s="7" t="s">
        <v>21</v>
      </c>
      <c r="D219" s="7">
        <v>78.0</v>
      </c>
      <c r="H219" s="7" t="s">
        <v>53</v>
      </c>
      <c r="I219" s="9">
        <v>46162.243993055556</v>
      </c>
      <c r="J219" s="7" t="s">
        <v>40</v>
      </c>
      <c r="K219" s="7">
        <v>1600.0</v>
      </c>
      <c r="L219" s="7">
        <v>1400.0</v>
      </c>
      <c r="M219" s="7">
        <v>470000.0</v>
      </c>
      <c r="N219" s="8">
        <v>44167.0</v>
      </c>
      <c r="O219" s="7" t="s">
        <v>1620</v>
      </c>
      <c r="P219" s="7" t="s">
        <v>25</v>
      </c>
      <c r="S219" s="7" t="s">
        <v>28</v>
      </c>
    </row>
    <row r="220">
      <c r="A220" s="7">
        <v>219.0</v>
      </c>
      <c r="B220" s="7" t="s">
        <v>1622</v>
      </c>
      <c r="C220" s="7" t="s">
        <v>21</v>
      </c>
      <c r="D220" s="7">
        <v>60.0</v>
      </c>
      <c r="H220" s="7" t="s">
        <v>1190</v>
      </c>
      <c r="I220" s="9">
        <v>46126.701006944444</v>
      </c>
      <c r="J220" s="7" t="s">
        <v>22</v>
      </c>
      <c r="K220" s="7">
        <v>150.0</v>
      </c>
      <c r="L220" s="7">
        <v>50.0</v>
      </c>
      <c r="M220" s="7">
        <v>60000.0</v>
      </c>
      <c r="N220" s="8">
        <v>44234.0</v>
      </c>
      <c r="O220" s="7" t="s">
        <v>33</v>
      </c>
      <c r="P220" s="7" t="s">
        <v>1193</v>
      </c>
      <c r="S220" s="7" t="s">
        <v>28</v>
      </c>
    </row>
    <row r="221">
      <c r="A221" s="7">
        <v>220.0</v>
      </c>
      <c r="B221" s="7" t="s">
        <v>1625</v>
      </c>
      <c r="C221" s="7" t="s">
        <v>21</v>
      </c>
      <c r="D221" s="7">
        <v>79.0</v>
      </c>
      <c r="H221" s="7" t="s">
        <v>192</v>
      </c>
      <c r="I221" s="9">
        <v>46098.3028125</v>
      </c>
      <c r="J221" s="7" t="s">
        <v>48</v>
      </c>
      <c r="K221" s="7">
        <v>600.0</v>
      </c>
      <c r="L221" s="7">
        <v>500.0</v>
      </c>
      <c r="M221" s="7">
        <v>344000.0</v>
      </c>
      <c r="N221" s="8">
        <v>44776.0</v>
      </c>
      <c r="O221" s="7" t="s">
        <v>33</v>
      </c>
      <c r="P221" s="7" t="s">
        <v>25</v>
      </c>
      <c r="S221" s="7" t="s">
        <v>28</v>
      </c>
    </row>
    <row r="222">
      <c r="A222" s="7">
        <v>221.0</v>
      </c>
      <c r="B222" s="7" t="s">
        <v>1629</v>
      </c>
      <c r="C222" s="7" t="s">
        <v>21</v>
      </c>
      <c r="D222" s="7">
        <v>76.0</v>
      </c>
      <c r="H222" s="7" t="s">
        <v>46</v>
      </c>
      <c r="I222" s="9">
        <v>46123.887824074074</v>
      </c>
      <c r="K222" s="7">
        <v>700.0</v>
      </c>
      <c r="L222" s="7">
        <v>700.0</v>
      </c>
      <c r="M222" s="7">
        <v>205000.0</v>
      </c>
      <c r="N222" s="8">
        <v>44651.0</v>
      </c>
      <c r="O222" s="7" t="s">
        <v>33</v>
      </c>
      <c r="P222" s="7" t="s">
        <v>884</v>
      </c>
      <c r="S222" s="7" t="s">
        <v>28</v>
      </c>
    </row>
    <row r="223">
      <c r="A223" s="7">
        <v>222.0</v>
      </c>
      <c r="B223" s="7" t="s">
        <v>1632</v>
      </c>
      <c r="C223" s="7" t="s">
        <v>21</v>
      </c>
      <c r="D223" s="7">
        <v>79.0</v>
      </c>
      <c r="H223" s="7" t="s">
        <v>46</v>
      </c>
      <c r="I223" s="9">
        <v>46089.24309027778</v>
      </c>
      <c r="K223" s="7">
        <v>3100.0</v>
      </c>
      <c r="L223" s="7">
        <v>5100.0</v>
      </c>
      <c r="M223" s="7">
        <v>584000.0</v>
      </c>
      <c r="N223" s="8">
        <v>42777.0</v>
      </c>
      <c r="O223" s="7" t="s">
        <v>41</v>
      </c>
      <c r="P223" s="7" t="s">
        <v>25</v>
      </c>
      <c r="S223" s="7" t="s">
        <v>28</v>
      </c>
    </row>
    <row r="224">
      <c r="A224" s="7">
        <v>223.0</v>
      </c>
      <c r="B224" s="7" t="s">
        <v>1634</v>
      </c>
      <c r="C224" s="7" t="s">
        <v>21</v>
      </c>
      <c r="D224" s="7">
        <v>74.0</v>
      </c>
      <c r="H224" s="7" t="s">
        <v>1635</v>
      </c>
      <c r="I224" s="9">
        <v>46163.15954861111</v>
      </c>
      <c r="K224" s="7">
        <v>9000.0</v>
      </c>
      <c r="L224" s="7">
        <v>0.0</v>
      </c>
      <c r="M224" s="7">
        <v>163000.0</v>
      </c>
      <c r="N224" s="8">
        <v>43904.0</v>
      </c>
      <c r="O224" s="7" t="s">
        <v>54</v>
      </c>
      <c r="P224" s="7" t="s">
        <v>25</v>
      </c>
      <c r="S224" s="7" t="s">
        <v>28</v>
      </c>
    </row>
    <row r="225">
      <c r="A225" s="7">
        <v>224.0</v>
      </c>
      <c r="B225" s="7" t="s">
        <v>1638</v>
      </c>
      <c r="C225" s="7" t="s">
        <v>21</v>
      </c>
      <c r="D225" s="7">
        <v>75.0</v>
      </c>
      <c r="H225" s="7" t="s">
        <v>46</v>
      </c>
      <c r="I225" s="9">
        <v>46123.62101851852</v>
      </c>
      <c r="J225" s="7" t="s">
        <v>439</v>
      </c>
      <c r="L225" s="7">
        <v>700.0</v>
      </c>
      <c r="M225" s="7">
        <v>205000.0</v>
      </c>
      <c r="N225" s="8">
        <v>44503.0</v>
      </c>
      <c r="O225" s="7" t="s">
        <v>41</v>
      </c>
      <c r="P225" s="7" t="s">
        <v>25</v>
      </c>
      <c r="S225" s="7" t="s">
        <v>28</v>
      </c>
    </row>
    <row r="226">
      <c r="A226" s="7">
        <v>225.0</v>
      </c>
      <c r="B226" s="7" t="s">
        <v>1640</v>
      </c>
      <c r="C226" s="7" t="s">
        <v>21</v>
      </c>
      <c r="D226" s="7">
        <v>67.0</v>
      </c>
      <c r="H226" s="7" t="s">
        <v>861</v>
      </c>
      <c r="I226" s="9">
        <v>46089.84800925926</v>
      </c>
      <c r="J226" s="7" t="s">
        <v>48</v>
      </c>
      <c r="K226" s="7">
        <v>250.0</v>
      </c>
      <c r="L226" s="7">
        <v>250.0</v>
      </c>
      <c r="M226" s="7">
        <v>170000.0</v>
      </c>
      <c r="N226" s="8">
        <v>44209.0</v>
      </c>
      <c r="O226" s="7" t="s">
        <v>41</v>
      </c>
      <c r="P226" s="7" t="s">
        <v>25</v>
      </c>
      <c r="S226" s="7" t="s">
        <v>28</v>
      </c>
    </row>
    <row r="227">
      <c r="A227" s="7">
        <v>226.0</v>
      </c>
      <c r="B227" s="7" t="s">
        <v>1644</v>
      </c>
      <c r="C227" s="7" t="s">
        <v>21</v>
      </c>
      <c r="D227" s="7">
        <v>68.0</v>
      </c>
      <c r="H227" s="7" t="s">
        <v>167</v>
      </c>
      <c r="I227" s="9">
        <v>46157.31165509259</v>
      </c>
      <c r="J227" s="7" t="s">
        <v>40</v>
      </c>
      <c r="K227" s="7">
        <v>100.0</v>
      </c>
      <c r="L227" s="7">
        <v>3200.0</v>
      </c>
      <c r="M227" s="7">
        <v>59000.0</v>
      </c>
      <c r="N227" s="8">
        <v>43890.0</v>
      </c>
      <c r="O227" s="7" t="s">
        <v>33</v>
      </c>
      <c r="P227" s="7" t="s">
        <v>884</v>
      </c>
      <c r="S227" s="7" t="s">
        <v>28</v>
      </c>
    </row>
    <row r="228">
      <c r="A228" s="7">
        <v>227.0</v>
      </c>
      <c r="B228" s="7" t="s">
        <v>951</v>
      </c>
      <c r="C228" s="7" t="s">
        <v>21</v>
      </c>
      <c r="D228" s="7">
        <v>62.0</v>
      </c>
      <c r="H228" s="7" t="s">
        <v>148</v>
      </c>
      <c r="I228" s="9">
        <v>46090.180914351855</v>
      </c>
      <c r="J228" s="7" t="s">
        <v>40</v>
      </c>
      <c r="K228" s="7">
        <v>600.0</v>
      </c>
      <c r="L228" s="7">
        <v>90.0</v>
      </c>
      <c r="M228" s="7">
        <v>43000.0</v>
      </c>
      <c r="N228" s="8">
        <v>43197.0</v>
      </c>
      <c r="O228" s="7" t="s">
        <v>41</v>
      </c>
      <c r="P228" s="7" t="s">
        <v>25</v>
      </c>
      <c r="S228" s="7" t="s">
        <v>28</v>
      </c>
    </row>
    <row r="229">
      <c r="A229" s="7">
        <v>228.0</v>
      </c>
      <c r="B229" s="7" t="s">
        <v>1647</v>
      </c>
      <c r="C229" s="7" t="s">
        <v>21</v>
      </c>
      <c r="D229" s="7">
        <v>55.0</v>
      </c>
      <c r="H229" s="7" t="s">
        <v>1183</v>
      </c>
      <c r="I229" s="9">
        <v>46042.44681712963</v>
      </c>
      <c r="J229" s="7" t="s">
        <v>40</v>
      </c>
      <c r="K229" s="7">
        <v>15000.0</v>
      </c>
      <c r="L229" s="7">
        <v>100.0</v>
      </c>
      <c r="M229" s="7">
        <v>77000.0</v>
      </c>
      <c r="N229" s="8">
        <v>42640.0</v>
      </c>
      <c r="O229" s="7" t="s">
        <v>41</v>
      </c>
      <c r="P229" s="7" t="s">
        <v>25</v>
      </c>
      <c r="S229" s="7" t="s">
        <v>28</v>
      </c>
    </row>
    <row r="230">
      <c r="A230" s="7">
        <v>229.0</v>
      </c>
      <c r="B230" s="7" t="s">
        <v>995</v>
      </c>
      <c r="C230" s="7" t="s">
        <v>21</v>
      </c>
      <c r="D230" s="7">
        <v>64.0</v>
      </c>
      <c r="H230" s="7" t="s">
        <v>996</v>
      </c>
      <c r="I230" s="9">
        <v>46142.05269675926</v>
      </c>
      <c r="J230" s="7" t="s">
        <v>40</v>
      </c>
      <c r="K230" s="7">
        <v>5200.0</v>
      </c>
      <c r="L230" s="7">
        <v>0.0</v>
      </c>
      <c r="M230" s="7">
        <v>9500.0</v>
      </c>
      <c r="N230" s="8">
        <v>44050.0</v>
      </c>
      <c r="O230" s="7" t="s">
        <v>33</v>
      </c>
      <c r="P230" s="7" t="s">
        <v>25</v>
      </c>
      <c r="S230" s="7" t="s">
        <v>28</v>
      </c>
    </row>
    <row r="231">
      <c r="A231" s="7">
        <v>230.0</v>
      </c>
      <c r="B231" s="7" t="s">
        <v>1652</v>
      </c>
      <c r="C231" s="7" t="s">
        <v>21</v>
      </c>
      <c r="D231" s="7">
        <v>73.0</v>
      </c>
      <c r="H231" s="7" t="s">
        <v>46</v>
      </c>
      <c r="I231" s="9">
        <v>46146.93172453704</v>
      </c>
      <c r="J231" s="7" t="s">
        <v>40</v>
      </c>
      <c r="K231" s="7">
        <v>500.0</v>
      </c>
      <c r="L231" s="7">
        <v>800.0</v>
      </c>
      <c r="M231" s="7">
        <v>197000.0</v>
      </c>
      <c r="N231" s="8">
        <v>43879.0</v>
      </c>
      <c r="O231" s="7" t="s">
        <v>41</v>
      </c>
      <c r="P231" s="7" t="s">
        <v>25</v>
      </c>
      <c r="S231" s="7" t="s">
        <v>28</v>
      </c>
    </row>
    <row r="232">
      <c r="A232" s="7">
        <v>231.0</v>
      </c>
      <c r="B232" s="7" t="s">
        <v>1655</v>
      </c>
      <c r="C232" s="7" t="s">
        <v>21</v>
      </c>
      <c r="D232" s="7">
        <v>76.0</v>
      </c>
      <c r="H232" s="7" t="s">
        <v>46</v>
      </c>
      <c r="I232" s="9">
        <v>46160.231875</v>
      </c>
      <c r="J232" s="7" t="s">
        <v>48</v>
      </c>
      <c r="K232" s="7">
        <v>1400.0</v>
      </c>
      <c r="L232" s="7">
        <v>1300.0</v>
      </c>
      <c r="M232" s="7">
        <v>168000.0</v>
      </c>
      <c r="N232" s="8">
        <v>44757.0</v>
      </c>
      <c r="O232" s="7" t="s">
        <v>33</v>
      </c>
      <c r="P232" s="7" t="s">
        <v>884</v>
      </c>
      <c r="S232" s="7" t="s">
        <v>28</v>
      </c>
    </row>
    <row r="233">
      <c r="A233" s="7">
        <v>232.0</v>
      </c>
      <c r="B233" s="7" t="s">
        <v>1659</v>
      </c>
      <c r="C233" s="7" t="s">
        <v>21</v>
      </c>
      <c r="D233" s="7">
        <v>60.0</v>
      </c>
      <c r="H233" s="7" t="s">
        <v>926</v>
      </c>
      <c r="I233" s="9">
        <v>46162.798993055556</v>
      </c>
      <c r="J233" s="7" t="s">
        <v>734</v>
      </c>
      <c r="K233" s="7">
        <v>600.0</v>
      </c>
      <c r="L233" s="7">
        <v>150.0</v>
      </c>
      <c r="M233" s="7">
        <v>189000.0</v>
      </c>
      <c r="N233" s="8">
        <v>44750.0</v>
      </c>
      <c r="O233" s="7" t="s">
        <v>41</v>
      </c>
      <c r="P233" s="7" t="s">
        <v>871</v>
      </c>
      <c r="S233" s="7" t="s">
        <v>28</v>
      </c>
    </row>
    <row r="234">
      <c r="A234" s="7">
        <v>233.0</v>
      </c>
      <c r="B234" s="7" t="s">
        <v>1663</v>
      </c>
      <c r="C234" s="7" t="s">
        <v>21</v>
      </c>
      <c r="D234" s="7">
        <v>81.0</v>
      </c>
      <c r="H234" s="7" t="s">
        <v>46</v>
      </c>
      <c r="I234" s="9">
        <v>46126.720509259256</v>
      </c>
      <c r="J234" s="7" t="s">
        <v>40</v>
      </c>
      <c r="K234" s="7">
        <v>1800.0</v>
      </c>
      <c r="L234" s="7">
        <v>5300.0</v>
      </c>
      <c r="M234" s="7">
        <v>569000.0</v>
      </c>
      <c r="N234" s="8">
        <v>42769.0</v>
      </c>
      <c r="O234" s="7" t="s">
        <v>41</v>
      </c>
      <c r="P234" s="7" t="s">
        <v>25</v>
      </c>
      <c r="S234" s="7" t="s">
        <v>28</v>
      </c>
    </row>
    <row r="235">
      <c r="A235" s="7">
        <v>234.0</v>
      </c>
      <c r="B235" s="7" t="s">
        <v>1665</v>
      </c>
      <c r="C235" s="7" t="s">
        <v>21</v>
      </c>
      <c r="D235" s="7">
        <v>65.0</v>
      </c>
      <c r="H235" s="7" t="s">
        <v>148</v>
      </c>
      <c r="I235" s="9">
        <v>46088.000613425924</v>
      </c>
      <c r="J235" s="7" t="s">
        <v>40</v>
      </c>
      <c r="K235" s="7">
        <v>90.0</v>
      </c>
      <c r="L235" s="7">
        <v>90.0</v>
      </c>
      <c r="M235" s="7">
        <v>43000.0</v>
      </c>
      <c r="N235" s="8">
        <v>43868.0</v>
      </c>
      <c r="O235" s="7" t="s">
        <v>33</v>
      </c>
      <c r="P235" s="7" t="s">
        <v>25</v>
      </c>
      <c r="S235" s="7" t="s">
        <v>28</v>
      </c>
    </row>
    <row r="236">
      <c r="A236" s="7">
        <v>235.0</v>
      </c>
      <c r="B236" s="7" t="s">
        <v>1667</v>
      </c>
      <c r="C236" s="7" t="s">
        <v>21</v>
      </c>
      <c r="D236" s="7">
        <v>77.0</v>
      </c>
      <c r="H236" s="7" t="s">
        <v>46</v>
      </c>
      <c r="I236" s="9">
        <v>46147.880057870374</v>
      </c>
      <c r="L236" s="7">
        <v>5400.0</v>
      </c>
      <c r="M236" s="7">
        <v>493000.0</v>
      </c>
      <c r="N236" s="8">
        <v>45094.0</v>
      </c>
      <c r="O236" s="7" t="s">
        <v>33</v>
      </c>
      <c r="P236" s="7" t="s">
        <v>25</v>
      </c>
      <c r="S236" s="7" t="s">
        <v>28</v>
      </c>
    </row>
    <row r="237">
      <c r="A237" s="7">
        <v>236.0</v>
      </c>
      <c r="B237" s="7" t="s">
        <v>1670</v>
      </c>
      <c r="C237" s="7" t="s">
        <v>21</v>
      </c>
      <c r="D237" s="7">
        <v>72.0</v>
      </c>
      <c r="H237" s="7" t="s">
        <v>861</v>
      </c>
      <c r="I237" s="9">
        <v>46124.20091435185</v>
      </c>
      <c r="J237" s="7" t="s">
        <v>48</v>
      </c>
      <c r="K237" s="7">
        <v>4500.0</v>
      </c>
      <c r="L237" s="7">
        <v>200.0</v>
      </c>
      <c r="M237" s="7">
        <v>246000.0</v>
      </c>
      <c r="N237" s="8">
        <v>44354.0</v>
      </c>
      <c r="O237" s="7" t="s">
        <v>41</v>
      </c>
      <c r="P237" s="7" t="s">
        <v>25</v>
      </c>
      <c r="S237" s="7" t="s">
        <v>28</v>
      </c>
    </row>
    <row r="238">
      <c r="A238" s="7">
        <v>237.0</v>
      </c>
      <c r="B238" s="7" t="s">
        <v>1675</v>
      </c>
      <c r="C238" s="7" t="s">
        <v>21</v>
      </c>
      <c r="D238" s="7">
        <v>69.0</v>
      </c>
      <c r="H238" s="7" t="s">
        <v>167</v>
      </c>
      <c r="I238" s="9">
        <v>46160.411087962966</v>
      </c>
      <c r="K238" s="7">
        <v>200.0</v>
      </c>
      <c r="L238" s="7">
        <v>3200.0</v>
      </c>
      <c r="M238" s="7">
        <v>61000.0</v>
      </c>
      <c r="N238" s="8">
        <v>43868.0</v>
      </c>
      <c r="O238" s="7" t="s">
        <v>41</v>
      </c>
      <c r="P238" s="7" t="s">
        <v>25</v>
      </c>
      <c r="S238" s="7" t="s">
        <v>28</v>
      </c>
    </row>
    <row r="239">
      <c r="A239" s="7">
        <v>238.0</v>
      </c>
      <c r="B239" s="7" t="s">
        <v>1678</v>
      </c>
      <c r="C239" s="7" t="s">
        <v>21</v>
      </c>
      <c r="D239" s="7">
        <v>77.0</v>
      </c>
      <c r="H239" s="7" t="s">
        <v>46</v>
      </c>
      <c r="I239" s="9">
        <v>46144.90069444444</v>
      </c>
      <c r="J239" s="7" t="s">
        <v>48</v>
      </c>
      <c r="K239" s="7">
        <v>70.0</v>
      </c>
      <c r="L239" s="7">
        <v>5400.0</v>
      </c>
      <c r="M239" s="7">
        <v>479000.0</v>
      </c>
      <c r="N239" s="8">
        <v>42698.0</v>
      </c>
      <c r="O239" s="7" t="s">
        <v>33</v>
      </c>
      <c r="P239" s="7" t="s">
        <v>25</v>
      </c>
      <c r="S239" s="7" t="s">
        <v>28</v>
      </c>
    </row>
    <row r="240">
      <c r="A240" s="7">
        <v>239.0</v>
      </c>
      <c r="B240" s="7" t="s">
        <v>1682</v>
      </c>
      <c r="C240" s="7" t="s">
        <v>21</v>
      </c>
      <c r="D240" s="7">
        <v>76.0</v>
      </c>
      <c r="H240" s="7" t="s">
        <v>46</v>
      </c>
      <c r="I240" s="9">
        <v>46124.79238425926</v>
      </c>
      <c r="J240" s="7" t="s">
        <v>40</v>
      </c>
      <c r="K240" s="7">
        <v>800.0</v>
      </c>
      <c r="L240" s="7">
        <v>700.0</v>
      </c>
      <c r="M240" s="7">
        <v>205000.0</v>
      </c>
      <c r="N240" s="8">
        <v>44724.0</v>
      </c>
      <c r="O240" s="7" t="s">
        <v>33</v>
      </c>
      <c r="P240" s="7" t="s">
        <v>884</v>
      </c>
      <c r="S240" s="7" t="s">
        <v>28</v>
      </c>
    </row>
    <row r="241">
      <c r="A241" s="7">
        <v>240.0</v>
      </c>
      <c r="B241" s="7" t="s">
        <v>1684</v>
      </c>
      <c r="C241" s="7" t="s">
        <v>21</v>
      </c>
      <c r="D241" s="7">
        <v>77.0</v>
      </c>
      <c r="H241" s="7" t="s">
        <v>53</v>
      </c>
      <c r="I241" s="9">
        <v>46149.09587962963</v>
      </c>
      <c r="K241" s="7">
        <v>300.0</v>
      </c>
      <c r="L241" s="7">
        <v>1500.0</v>
      </c>
      <c r="M241" s="7">
        <v>41000.0</v>
      </c>
      <c r="N241" s="8">
        <v>44266.0</v>
      </c>
      <c r="O241" s="7" t="s">
        <v>24</v>
      </c>
      <c r="P241" s="7" t="s">
        <v>25</v>
      </c>
      <c r="S241" s="7" t="s">
        <v>28</v>
      </c>
    </row>
    <row r="242">
      <c r="A242" s="7">
        <v>241.0</v>
      </c>
      <c r="B242" s="7" t="s">
        <v>1687</v>
      </c>
      <c r="C242" s="7" t="s">
        <v>21</v>
      </c>
      <c r="D242" s="7">
        <v>72.0</v>
      </c>
      <c r="H242" s="7" t="s">
        <v>1688</v>
      </c>
      <c r="I242" s="9">
        <v>46149.419907407406</v>
      </c>
      <c r="L242" s="7">
        <v>11000.0</v>
      </c>
      <c r="M242" s="7">
        <v>11000.0</v>
      </c>
      <c r="N242" s="8">
        <v>45207.0</v>
      </c>
      <c r="O242" s="7" t="s">
        <v>54</v>
      </c>
      <c r="P242" s="7" t="s">
        <v>25</v>
      </c>
      <c r="S242" s="7" t="s">
        <v>28</v>
      </c>
    </row>
    <row r="243">
      <c r="A243" s="7">
        <v>242.0</v>
      </c>
      <c r="B243" s="7" t="s">
        <v>1690</v>
      </c>
      <c r="C243" s="7" t="s">
        <v>21</v>
      </c>
      <c r="D243" s="7">
        <v>82.0</v>
      </c>
      <c r="H243" s="7" t="s">
        <v>46</v>
      </c>
      <c r="I243" s="9">
        <v>46088.398935185185</v>
      </c>
      <c r="K243" s="7">
        <v>2600.0</v>
      </c>
      <c r="L243" s="7">
        <v>5100.0</v>
      </c>
      <c r="M243" s="7">
        <v>584000.0</v>
      </c>
      <c r="N243" s="8">
        <v>42249.0</v>
      </c>
      <c r="O243" s="7" t="s">
        <v>1691</v>
      </c>
      <c r="P243" s="7" t="s">
        <v>25</v>
      </c>
      <c r="S243" s="7" t="s">
        <v>28</v>
      </c>
    </row>
    <row r="244">
      <c r="A244" s="7">
        <v>243.0</v>
      </c>
      <c r="B244" s="7" t="s">
        <v>1693</v>
      </c>
      <c r="C244" s="7" t="s">
        <v>21</v>
      </c>
      <c r="D244" s="7">
        <v>67.0</v>
      </c>
      <c r="H244" s="7" t="s">
        <v>19</v>
      </c>
      <c r="I244" s="9">
        <v>46156.5378587963</v>
      </c>
      <c r="J244" s="7" t="s">
        <v>1695</v>
      </c>
      <c r="K244" s="7">
        <v>40.0</v>
      </c>
      <c r="L244" s="7">
        <v>14000.0</v>
      </c>
      <c r="M244" s="7">
        <v>77000.0</v>
      </c>
      <c r="N244" s="8">
        <v>43060.0</v>
      </c>
      <c r="O244" s="7" t="s">
        <v>1696</v>
      </c>
      <c r="P244" s="7" t="s">
        <v>25</v>
      </c>
      <c r="S244" s="7" t="s">
        <v>28</v>
      </c>
    </row>
    <row r="245">
      <c r="A245" s="7">
        <v>244.0</v>
      </c>
      <c r="B245" s="7" t="s">
        <v>1698</v>
      </c>
      <c r="C245" s="7" t="s">
        <v>21</v>
      </c>
      <c r="D245" s="7">
        <v>75.0</v>
      </c>
      <c r="H245" s="7" t="s">
        <v>1055</v>
      </c>
      <c r="I245" s="9">
        <v>46098.4328125</v>
      </c>
      <c r="J245" s="7" t="s">
        <v>48</v>
      </c>
      <c r="K245" s="7">
        <v>7500.0</v>
      </c>
      <c r="L245" s="7">
        <v>50.0</v>
      </c>
      <c r="M245" s="7">
        <v>135000.0</v>
      </c>
      <c r="N245" s="8">
        <v>42867.0</v>
      </c>
      <c r="O245" s="7" t="s">
        <v>33</v>
      </c>
      <c r="P245" s="7" t="s">
        <v>25</v>
      </c>
      <c r="S245" s="7" t="s">
        <v>28</v>
      </c>
    </row>
    <row r="246">
      <c r="A246" s="7">
        <v>245.0</v>
      </c>
      <c r="B246" s="7" t="s">
        <v>1701</v>
      </c>
      <c r="C246" s="7" t="s">
        <v>21</v>
      </c>
      <c r="D246" s="7">
        <v>68.0</v>
      </c>
      <c r="H246" s="7" t="s">
        <v>1702</v>
      </c>
      <c r="I246" s="9">
        <v>46137.22604166667</v>
      </c>
      <c r="J246" s="7" t="s">
        <v>48</v>
      </c>
      <c r="K246" s="7">
        <v>1200.0</v>
      </c>
      <c r="L246" s="7">
        <v>20.0</v>
      </c>
      <c r="M246" s="7">
        <v>272000.0</v>
      </c>
      <c r="N246" s="8">
        <v>42414.0</v>
      </c>
      <c r="O246" s="7" t="s">
        <v>41</v>
      </c>
      <c r="P246" s="7" t="s">
        <v>25</v>
      </c>
      <c r="S246" s="7" t="s">
        <v>28</v>
      </c>
    </row>
    <row r="247">
      <c r="A247" s="7">
        <v>246.0</v>
      </c>
      <c r="B247" s="7" t="s">
        <v>1705</v>
      </c>
      <c r="C247" s="7" t="s">
        <v>21</v>
      </c>
      <c r="D247" s="7">
        <v>70.0</v>
      </c>
      <c r="H247" s="7" t="s">
        <v>1705</v>
      </c>
      <c r="I247" s="9">
        <v>46090.078101851854</v>
      </c>
      <c r="K247" s="7">
        <v>30.0</v>
      </c>
      <c r="L247" s="7">
        <v>0.0</v>
      </c>
      <c r="M247" s="7">
        <v>1400.0</v>
      </c>
      <c r="N247" s="8">
        <v>43991.0</v>
      </c>
      <c r="O247" s="7" t="s">
        <v>41</v>
      </c>
      <c r="P247" s="7" t="s">
        <v>25</v>
      </c>
      <c r="S247" s="7" t="s">
        <v>28</v>
      </c>
    </row>
    <row r="248">
      <c r="A248" s="7">
        <v>247.0</v>
      </c>
      <c r="B248" s="7" t="s">
        <v>1158</v>
      </c>
      <c r="C248" s="7" t="s">
        <v>21</v>
      </c>
      <c r="D248" s="7">
        <v>67.0</v>
      </c>
      <c r="H248" s="7" t="s">
        <v>1159</v>
      </c>
      <c r="I248" s="9">
        <v>46084.19569444445</v>
      </c>
      <c r="J248" s="7" t="s">
        <v>40</v>
      </c>
      <c r="K248" s="7">
        <v>8700.0</v>
      </c>
      <c r="L248" s="7">
        <v>20.0</v>
      </c>
      <c r="M248" s="7">
        <v>47000.0</v>
      </c>
      <c r="N248" s="8">
        <v>43845.0</v>
      </c>
      <c r="O248" s="7" t="s">
        <v>33</v>
      </c>
      <c r="P248" s="7" t="s">
        <v>25</v>
      </c>
      <c r="S248" s="7" t="s">
        <v>28</v>
      </c>
    </row>
    <row r="249">
      <c r="A249" s="7">
        <v>248.0</v>
      </c>
      <c r="B249" s="7" t="s">
        <v>1713</v>
      </c>
      <c r="C249" s="7" t="s">
        <v>21</v>
      </c>
      <c r="D249" s="7">
        <v>80.0</v>
      </c>
      <c r="H249" s="7" t="s">
        <v>53</v>
      </c>
      <c r="I249" s="9">
        <v>46085.46328703704</v>
      </c>
      <c r="J249" s="7" t="s">
        <v>754</v>
      </c>
      <c r="K249" s="7">
        <v>2400.0</v>
      </c>
      <c r="L249" s="7">
        <v>1500.0</v>
      </c>
      <c r="M249" s="7">
        <v>46000.0</v>
      </c>
      <c r="N249" s="8">
        <v>43863.0</v>
      </c>
      <c r="O249" s="7" t="s">
        <v>24</v>
      </c>
      <c r="P249" s="7" t="s">
        <v>25</v>
      </c>
      <c r="S249" s="7" t="s">
        <v>28</v>
      </c>
    </row>
    <row r="250">
      <c r="A250" s="7">
        <v>249.0</v>
      </c>
      <c r="B250" s="7" t="s">
        <v>1714</v>
      </c>
      <c r="C250" s="7" t="s">
        <v>21</v>
      </c>
      <c r="D250" s="7">
        <v>77.0</v>
      </c>
      <c r="H250" s="7" t="s">
        <v>46</v>
      </c>
      <c r="I250" s="9">
        <v>46125.045219907406</v>
      </c>
      <c r="L250" s="7">
        <v>700.0</v>
      </c>
      <c r="M250" s="7">
        <v>205000.0</v>
      </c>
      <c r="N250" s="8">
        <v>42419.0</v>
      </c>
      <c r="O250" s="7" t="s">
        <v>41</v>
      </c>
      <c r="P250" s="7" t="s">
        <v>25</v>
      </c>
      <c r="S250" s="7" t="s">
        <v>28</v>
      </c>
    </row>
    <row r="251">
      <c r="A251" s="7">
        <v>250.0</v>
      </c>
      <c r="B251" s="7" t="s">
        <v>1719</v>
      </c>
      <c r="C251" s="7" t="s">
        <v>21</v>
      </c>
      <c r="D251" s="7">
        <v>81.0</v>
      </c>
      <c r="H251" s="7" t="s">
        <v>46</v>
      </c>
      <c r="I251" s="9">
        <v>46123.453206018516</v>
      </c>
      <c r="J251" s="7" t="s">
        <v>48</v>
      </c>
      <c r="K251" s="7">
        <v>1100.0</v>
      </c>
      <c r="L251" s="7">
        <v>5100.0</v>
      </c>
      <c r="M251" s="7">
        <v>629000.0</v>
      </c>
      <c r="N251" s="8">
        <v>42846.0</v>
      </c>
      <c r="O251" s="7" t="s">
        <v>1691</v>
      </c>
      <c r="P251" s="7" t="s">
        <v>25</v>
      </c>
      <c r="S251" s="7" t="s">
        <v>28</v>
      </c>
    </row>
    <row r="252">
      <c r="A252" s="7">
        <v>251.0</v>
      </c>
      <c r="B252" s="7" t="s">
        <v>1722</v>
      </c>
      <c r="C252" s="7" t="s">
        <v>21</v>
      </c>
      <c r="D252" s="7">
        <v>75.0</v>
      </c>
      <c r="H252" s="7" t="s">
        <v>46</v>
      </c>
      <c r="I252" s="9">
        <v>46072.97603009259</v>
      </c>
      <c r="K252" s="7">
        <v>6000.0</v>
      </c>
      <c r="L252" s="7">
        <v>800.0</v>
      </c>
      <c r="M252" s="7">
        <v>775000.0</v>
      </c>
      <c r="N252" s="8">
        <v>44007.0</v>
      </c>
      <c r="O252" s="7" t="s">
        <v>41</v>
      </c>
      <c r="P252" s="7" t="s">
        <v>884</v>
      </c>
      <c r="S252" s="7" t="s">
        <v>28</v>
      </c>
    </row>
    <row r="253">
      <c r="A253" s="7">
        <v>252.0</v>
      </c>
      <c r="B253" s="7" t="s">
        <v>1725</v>
      </c>
      <c r="C253" s="7" t="s">
        <v>21</v>
      </c>
      <c r="D253" s="7">
        <v>69.0</v>
      </c>
      <c r="H253" s="7" t="s">
        <v>192</v>
      </c>
      <c r="I253" s="9">
        <v>46148.625451388885</v>
      </c>
      <c r="J253" s="7" t="s">
        <v>48</v>
      </c>
      <c r="K253" s="7">
        <v>10.0</v>
      </c>
      <c r="L253" s="7">
        <v>700.0</v>
      </c>
      <c r="M253" s="7">
        <v>332000.0</v>
      </c>
      <c r="N253" s="8">
        <v>44227.0</v>
      </c>
      <c r="O253" s="7" t="s">
        <v>33</v>
      </c>
      <c r="P253" s="7" t="s">
        <v>1193</v>
      </c>
      <c r="S253" s="7" t="s">
        <v>28</v>
      </c>
    </row>
    <row r="254">
      <c r="A254" s="7">
        <v>253.0</v>
      </c>
      <c r="B254" s="7" t="s">
        <v>1727</v>
      </c>
      <c r="C254" s="7" t="s">
        <v>21</v>
      </c>
      <c r="D254" s="7">
        <v>64.0</v>
      </c>
      <c r="H254" s="7" t="s">
        <v>167</v>
      </c>
      <c r="I254" s="9">
        <v>46162.61087962963</v>
      </c>
      <c r="J254" s="7" t="s">
        <v>439</v>
      </c>
      <c r="K254" s="7">
        <v>10.0</v>
      </c>
      <c r="L254" s="7">
        <v>3200.0</v>
      </c>
      <c r="M254" s="7">
        <v>65000.0</v>
      </c>
      <c r="N254" s="8">
        <v>42604.0</v>
      </c>
      <c r="O254" s="7" t="s">
        <v>33</v>
      </c>
      <c r="P254" s="7" t="s">
        <v>25</v>
      </c>
      <c r="S254" s="7" t="s">
        <v>28</v>
      </c>
    </row>
    <row r="255">
      <c r="A255" s="7">
        <v>254.0</v>
      </c>
      <c r="B255" s="7" t="s">
        <v>1242</v>
      </c>
      <c r="C255" s="7" t="s">
        <v>21</v>
      </c>
      <c r="D255" s="7">
        <v>72.0</v>
      </c>
      <c r="H255" s="7" t="s">
        <v>167</v>
      </c>
      <c r="I255" s="9">
        <v>46143.99753472222</v>
      </c>
      <c r="J255" s="7" t="s">
        <v>40</v>
      </c>
      <c r="K255" s="7">
        <v>2500.0</v>
      </c>
      <c r="L255" s="7">
        <v>3200.0</v>
      </c>
      <c r="M255" s="7">
        <v>59000.0</v>
      </c>
      <c r="N255" s="8">
        <v>43880.0</v>
      </c>
      <c r="O255" s="7" t="s">
        <v>41</v>
      </c>
      <c r="P255" s="7" t="s">
        <v>25</v>
      </c>
      <c r="S255" s="7" t="s">
        <v>28</v>
      </c>
    </row>
    <row r="256">
      <c r="A256" s="7">
        <v>255.0</v>
      </c>
      <c r="B256" s="7" t="s">
        <v>1733</v>
      </c>
      <c r="C256" s="7" t="s">
        <v>21</v>
      </c>
      <c r="D256" s="7">
        <v>72.0</v>
      </c>
      <c r="H256" s="7" t="s">
        <v>46</v>
      </c>
      <c r="I256" s="9">
        <v>46085.27780092593</v>
      </c>
      <c r="J256" s="7" t="s">
        <v>439</v>
      </c>
      <c r="K256" s="7">
        <v>10.0</v>
      </c>
      <c r="L256" s="7">
        <v>600.0</v>
      </c>
      <c r="M256" s="7">
        <v>212000.0</v>
      </c>
      <c r="N256" s="8">
        <v>44353.0</v>
      </c>
      <c r="O256" s="7" t="s">
        <v>41</v>
      </c>
      <c r="P256" s="7" t="s">
        <v>25</v>
      </c>
      <c r="S256" s="7" t="s">
        <v>28</v>
      </c>
    </row>
    <row r="257">
      <c r="A257" s="7">
        <v>256.0</v>
      </c>
      <c r="B257" s="7" t="s">
        <v>1736</v>
      </c>
      <c r="C257" s="7" t="s">
        <v>21</v>
      </c>
      <c r="D257" s="7">
        <v>57.0</v>
      </c>
      <c r="H257" s="7" t="s">
        <v>1219</v>
      </c>
      <c r="I257" s="9">
        <v>46156.280810185184</v>
      </c>
      <c r="J257" s="7" t="s">
        <v>1738</v>
      </c>
      <c r="K257" s="7">
        <v>90.0</v>
      </c>
      <c r="L257" s="7">
        <v>30.0</v>
      </c>
      <c r="M257" s="7">
        <v>23000.0</v>
      </c>
      <c r="N257" s="8">
        <v>44503.0</v>
      </c>
      <c r="O257" s="7" t="s">
        <v>33</v>
      </c>
      <c r="P257" s="7" t="s">
        <v>1193</v>
      </c>
      <c r="S257" s="7" t="s">
        <v>28</v>
      </c>
    </row>
    <row r="258">
      <c r="A258" s="7">
        <v>257.0</v>
      </c>
      <c r="B258" s="7" t="s">
        <v>1740</v>
      </c>
      <c r="C258" s="7" t="s">
        <v>21</v>
      </c>
      <c r="D258" s="7">
        <v>55.0</v>
      </c>
      <c r="H258" s="7" t="s">
        <v>167</v>
      </c>
      <c r="I258" s="9">
        <v>46111.686736111114</v>
      </c>
      <c r="J258" s="7" t="s">
        <v>439</v>
      </c>
      <c r="K258" s="7">
        <v>700.0</v>
      </c>
      <c r="L258" s="7">
        <v>300.0</v>
      </c>
      <c r="M258" s="7">
        <v>347000.0</v>
      </c>
      <c r="N258" s="8">
        <v>42448.0</v>
      </c>
      <c r="O258" s="7" t="s">
        <v>41</v>
      </c>
      <c r="P258" s="7" t="s">
        <v>25</v>
      </c>
      <c r="S258" s="7" t="s">
        <v>28</v>
      </c>
    </row>
    <row r="259">
      <c r="A259" s="7">
        <v>258.0</v>
      </c>
      <c r="B259" s="7" t="s">
        <v>1280</v>
      </c>
      <c r="C259" s="7" t="s">
        <v>21</v>
      </c>
      <c r="D259" s="7">
        <v>75.0</v>
      </c>
      <c r="H259" s="7" t="s">
        <v>1281</v>
      </c>
      <c r="I259" s="9">
        <v>46123.456875</v>
      </c>
      <c r="J259" s="7" t="s">
        <v>40</v>
      </c>
      <c r="K259" s="7">
        <v>1500.0</v>
      </c>
      <c r="L259" s="7">
        <v>100.0</v>
      </c>
      <c r="M259" s="7">
        <v>208000.0</v>
      </c>
      <c r="N259" s="8">
        <v>44714.0</v>
      </c>
      <c r="O259" s="7" t="s">
        <v>33</v>
      </c>
      <c r="P259" s="7" t="s">
        <v>25</v>
      </c>
      <c r="S259" s="7" t="s">
        <v>28</v>
      </c>
    </row>
    <row r="260">
      <c r="A260" s="7">
        <v>259.0</v>
      </c>
      <c r="B260" s="7" t="s">
        <v>1745</v>
      </c>
      <c r="C260" s="7" t="s">
        <v>21</v>
      </c>
      <c r="D260" s="7">
        <v>63.0</v>
      </c>
      <c r="H260" s="7" t="s">
        <v>1183</v>
      </c>
      <c r="I260" s="9">
        <v>46126.70863425926</v>
      </c>
      <c r="K260" s="7">
        <v>10.0</v>
      </c>
      <c r="L260" s="7">
        <v>70.0</v>
      </c>
      <c r="M260" s="7">
        <v>62000.0</v>
      </c>
      <c r="N260" s="8">
        <v>43874.0</v>
      </c>
      <c r="O260" s="7" t="s">
        <v>41</v>
      </c>
      <c r="P260" s="7" t="s">
        <v>25</v>
      </c>
      <c r="S260" s="7" t="s">
        <v>28</v>
      </c>
    </row>
    <row r="261">
      <c r="A261" s="7">
        <v>260.0</v>
      </c>
      <c r="B261" s="7" t="s">
        <v>1749</v>
      </c>
      <c r="C261" s="7" t="s">
        <v>21</v>
      </c>
      <c r="D261" s="7">
        <v>82.0</v>
      </c>
      <c r="H261" s="7" t="s">
        <v>46</v>
      </c>
      <c r="I261" s="9">
        <v>46127.162824074076</v>
      </c>
      <c r="J261" s="7" t="s">
        <v>40</v>
      </c>
      <c r="K261" s="7">
        <v>2200.0</v>
      </c>
      <c r="L261" s="7">
        <v>5300.0</v>
      </c>
      <c r="M261" s="7">
        <v>570000.0</v>
      </c>
      <c r="N261" s="8">
        <v>42581.0</v>
      </c>
      <c r="O261" s="7" t="s">
        <v>1691</v>
      </c>
      <c r="P261" s="7" t="s">
        <v>25</v>
      </c>
      <c r="S261" s="7" t="s">
        <v>28</v>
      </c>
    </row>
    <row r="262">
      <c r="A262" s="7">
        <v>261.0</v>
      </c>
      <c r="B262" s="7" t="s">
        <v>1752</v>
      </c>
      <c r="C262" s="7" t="s">
        <v>21</v>
      </c>
      <c r="D262" s="7">
        <v>75.0</v>
      </c>
      <c r="H262" s="7" t="s">
        <v>46</v>
      </c>
      <c r="I262" s="9">
        <v>46163.01877314815</v>
      </c>
      <c r="J262" s="7" t="s">
        <v>40</v>
      </c>
      <c r="K262" s="7">
        <v>80.0</v>
      </c>
      <c r="L262" s="7">
        <v>1200.0</v>
      </c>
      <c r="M262" s="7">
        <v>176000.0</v>
      </c>
      <c r="N262" s="8">
        <v>44666.0</v>
      </c>
      <c r="O262" s="7" t="s">
        <v>33</v>
      </c>
      <c r="P262" s="7" t="s">
        <v>884</v>
      </c>
      <c r="S262" s="7" t="s">
        <v>28</v>
      </c>
    </row>
    <row r="263">
      <c r="A263" s="7">
        <v>262.0</v>
      </c>
      <c r="B263" s="7" t="s">
        <v>1317</v>
      </c>
      <c r="C263" s="7" t="s">
        <v>21</v>
      </c>
      <c r="D263" s="7">
        <v>62.0</v>
      </c>
      <c r="H263" s="7" t="s">
        <v>227</v>
      </c>
      <c r="I263" s="9">
        <v>46127.31894675926</v>
      </c>
      <c r="J263" s="7" t="s">
        <v>40</v>
      </c>
      <c r="K263" s="7">
        <v>800.0</v>
      </c>
      <c r="L263" s="7">
        <v>0.0</v>
      </c>
      <c r="M263" s="7">
        <v>8900.0</v>
      </c>
      <c r="N263" s="8">
        <v>43906.0</v>
      </c>
      <c r="O263" s="7" t="s">
        <v>33</v>
      </c>
      <c r="P263" s="7" t="s">
        <v>25</v>
      </c>
      <c r="S263" s="7" t="s">
        <v>28</v>
      </c>
    </row>
    <row r="264">
      <c r="A264" s="7">
        <v>263.0</v>
      </c>
      <c r="B264" s="7" t="s">
        <v>1755</v>
      </c>
      <c r="C264" s="7" t="s">
        <v>21</v>
      </c>
      <c r="D264" s="7">
        <v>77.0</v>
      </c>
      <c r="H264" s="7" t="s">
        <v>46</v>
      </c>
      <c r="I264" s="9">
        <v>46157.1922337963</v>
      </c>
      <c r="J264" s="7" t="s">
        <v>439</v>
      </c>
      <c r="K264" s="7">
        <v>150.0</v>
      </c>
      <c r="L264" s="7">
        <v>1300.0</v>
      </c>
      <c r="M264" s="7">
        <v>164000.0</v>
      </c>
      <c r="N264" s="8">
        <v>45059.0</v>
      </c>
      <c r="O264" s="7" t="s">
        <v>33</v>
      </c>
      <c r="P264" s="7" t="s">
        <v>1193</v>
      </c>
      <c r="S264" s="7" t="s">
        <v>28</v>
      </c>
    </row>
    <row r="265">
      <c r="A265" s="7">
        <v>264.0</v>
      </c>
      <c r="B265" s="7" t="s">
        <v>1758</v>
      </c>
      <c r="C265" s="7" t="s">
        <v>21</v>
      </c>
      <c r="D265" s="7">
        <v>77.0</v>
      </c>
      <c r="H265" s="7" t="s">
        <v>1760</v>
      </c>
      <c r="I265" s="9">
        <v>46097.652025462965</v>
      </c>
      <c r="K265" s="7">
        <v>20000.0</v>
      </c>
      <c r="L265" s="7">
        <v>0.0</v>
      </c>
      <c r="M265" s="7">
        <v>13000.0</v>
      </c>
      <c r="N265" s="8">
        <v>44104.0</v>
      </c>
      <c r="O265" s="7" t="s">
        <v>54</v>
      </c>
      <c r="P265" s="7" t="s">
        <v>25</v>
      </c>
      <c r="S265" s="7" t="s">
        <v>28</v>
      </c>
    </row>
    <row r="266">
      <c r="A266" s="7">
        <v>265.0</v>
      </c>
      <c r="B266" s="7" t="s">
        <v>1762</v>
      </c>
      <c r="C266" s="7" t="s">
        <v>21</v>
      </c>
      <c r="D266" s="7">
        <v>69.0</v>
      </c>
      <c r="H266" s="7" t="s">
        <v>46</v>
      </c>
      <c r="I266" s="9">
        <v>46088.25898148148</v>
      </c>
      <c r="J266" s="7" t="s">
        <v>40</v>
      </c>
      <c r="K266" s="7">
        <v>2700.0</v>
      </c>
      <c r="L266" s="7">
        <v>800.0</v>
      </c>
      <c r="M266" s="7">
        <v>774000.0</v>
      </c>
      <c r="N266" s="8">
        <v>42271.0</v>
      </c>
      <c r="O266" s="7" t="s">
        <v>1691</v>
      </c>
      <c r="P266" s="7" t="s">
        <v>25</v>
      </c>
      <c r="S266" s="7" t="s">
        <v>28</v>
      </c>
    </row>
    <row r="267">
      <c r="A267" s="7">
        <v>266.0</v>
      </c>
      <c r="B267" s="7" t="s">
        <v>1766</v>
      </c>
      <c r="C267" s="7" t="s">
        <v>21</v>
      </c>
      <c r="D267" s="7">
        <v>79.0</v>
      </c>
      <c r="H267" s="7" t="s">
        <v>743</v>
      </c>
      <c r="I267" s="9">
        <v>46146.99271990741</v>
      </c>
      <c r="L267" s="7">
        <v>26000.0</v>
      </c>
      <c r="M267" s="7">
        <v>27000.0</v>
      </c>
      <c r="N267" s="8">
        <v>45132.0</v>
      </c>
      <c r="O267" s="7" t="s">
        <v>24</v>
      </c>
      <c r="P267" s="7" t="s">
        <v>25</v>
      </c>
      <c r="S267" s="7" t="s">
        <v>28</v>
      </c>
    </row>
    <row r="268">
      <c r="A268" s="7">
        <v>267.0</v>
      </c>
      <c r="B268" s="7" t="s">
        <v>1770</v>
      </c>
      <c r="C268" s="7" t="s">
        <v>21</v>
      </c>
      <c r="D268" s="7">
        <v>76.0</v>
      </c>
      <c r="H268" s="7" t="s">
        <v>861</v>
      </c>
      <c r="I268" s="9">
        <v>46082.88532407407</v>
      </c>
      <c r="J268" s="7" t="s">
        <v>439</v>
      </c>
      <c r="K268" s="7">
        <v>6100.0</v>
      </c>
      <c r="L268" s="7">
        <v>250.0</v>
      </c>
      <c r="M268" s="7">
        <v>241000.0</v>
      </c>
      <c r="N268" s="8">
        <v>44007.0</v>
      </c>
      <c r="O268" s="7" t="s">
        <v>41</v>
      </c>
      <c r="P268" s="7" t="s">
        <v>25</v>
      </c>
      <c r="S268" s="7" t="s">
        <v>28</v>
      </c>
    </row>
    <row r="269">
      <c r="A269" s="7">
        <v>268.0</v>
      </c>
      <c r="B269" s="7" t="s">
        <v>1478</v>
      </c>
      <c r="C269" s="7" t="s">
        <v>21</v>
      </c>
      <c r="D269" s="7">
        <v>73.0</v>
      </c>
      <c r="H269" s="7" t="s">
        <v>192</v>
      </c>
      <c r="I269" s="9">
        <v>46161.10569444444</v>
      </c>
      <c r="J269" s="7" t="s">
        <v>40</v>
      </c>
      <c r="K269" s="7">
        <v>80.0</v>
      </c>
      <c r="L269" s="7">
        <v>700.0</v>
      </c>
      <c r="M269" s="7">
        <v>349000.0</v>
      </c>
      <c r="N269" s="8">
        <v>42643.0</v>
      </c>
      <c r="O269" s="7" t="s">
        <v>41</v>
      </c>
      <c r="P269" s="7" t="s">
        <v>25</v>
      </c>
      <c r="S269" s="7" t="s">
        <v>28</v>
      </c>
    </row>
    <row r="270">
      <c r="A270" s="7">
        <v>269.0</v>
      </c>
      <c r="B270" s="7" t="s">
        <v>1776</v>
      </c>
      <c r="C270" s="7" t="s">
        <v>21</v>
      </c>
      <c r="D270" s="7">
        <v>76.0</v>
      </c>
      <c r="H270" s="7" t="s">
        <v>935</v>
      </c>
      <c r="I270" s="9">
        <v>46155.64912037037</v>
      </c>
      <c r="J270" s="7" t="s">
        <v>48</v>
      </c>
      <c r="K270" s="7">
        <v>2300.0</v>
      </c>
      <c r="L270" s="7">
        <v>250.0</v>
      </c>
      <c r="M270" s="7">
        <v>246000.0</v>
      </c>
      <c r="N270" s="8">
        <v>44245.0</v>
      </c>
      <c r="O270" s="7" t="s">
        <v>41</v>
      </c>
      <c r="P270" s="7" t="s">
        <v>25</v>
      </c>
      <c r="S270" s="7" t="s">
        <v>28</v>
      </c>
    </row>
    <row r="271">
      <c r="A271" s="7">
        <v>270.0</v>
      </c>
      <c r="B271" s="7" t="s">
        <v>1779</v>
      </c>
      <c r="C271" s="7" t="s">
        <v>21</v>
      </c>
      <c r="D271" s="7">
        <v>75.0</v>
      </c>
      <c r="H271" s="7" t="s">
        <v>46</v>
      </c>
      <c r="I271" s="9">
        <v>46147.559641203705</v>
      </c>
      <c r="J271" s="7" t="s">
        <v>40</v>
      </c>
      <c r="K271" s="7">
        <v>450.0</v>
      </c>
      <c r="L271" s="7">
        <v>800.0</v>
      </c>
      <c r="M271" s="7">
        <v>198000.0</v>
      </c>
      <c r="N271" s="8">
        <v>44553.0</v>
      </c>
      <c r="O271" s="7" t="s">
        <v>33</v>
      </c>
      <c r="P271" s="7" t="s">
        <v>871</v>
      </c>
      <c r="S271" s="7" t="s">
        <v>28</v>
      </c>
    </row>
    <row r="272">
      <c r="A272" s="7">
        <v>271.0</v>
      </c>
      <c r="B272" s="7" t="s">
        <v>1782</v>
      </c>
      <c r="C272" s="7" t="s">
        <v>21</v>
      </c>
      <c r="D272" s="7">
        <v>77.0</v>
      </c>
      <c r="H272" s="7" t="s">
        <v>46</v>
      </c>
      <c r="I272" s="9">
        <v>46083.35837962963</v>
      </c>
      <c r="J272" s="7" t="s">
        <v>754</v>
      </c>
      <c r="K272" s="7">
        <v>800.0</v>
      </c>
      <c r="L272" s="7">
        <v>600.0</v>
      </c>
      <c r="M272" s="7">
        <v>212000.0</v>
      </c>
      <c r="N272" s="8">
        <v>44242.0</v>
      </c>
      <c r="O272" s="7" t="s">
        <v>33</v>
      </c>
      <c r="P272" s="7" t="s">
        <v>25</v>
      </c>
      <c r="S272" s="7" t="s">
        <v>28</v>
      </c>
    </row>
    <row r="273">
      <c r="A273" s="7">
        <v>272.0</v>
      </c>
      <c r="B273" s="7" t="s">
        <v>1785</v>
      </c>
      <c r="C273" s="7" t="s">
        <v>21</v>
      </c>
      <c r="D273" s="7">
        <v>79.0</v>
      </c>
      <c r="H273" s="7" t="s">
        <v>46</v>
      </c>
      <c r="I273" s="9">
        <v>46126.917129629626</v>
      </c>
      <c r="K273" s="7">
        <v>70.0</v>
      </c>
      <c r="L273" s="7">
        <v>700.0</v>
      </c>
      <c r="M273" s="7">
        <v>209000.0</v>
      </c>
      <c r="N273" s="8">
        <v>44453.0</v>
      </c>
      <c r="O273" s="7" t="s">
        <v>41</v>
      </c>
      <c r="P273" s="7" t="s">
        <v>25</v>
      </c>
      <c r="S273" s="7" t="s">
        <v>28</v>
      </c>
    </row>
    <row r="274">
      <c r="A274" s="7">
        <v>273.0</v>
      </c>
      <c r="B274" s="7" t="s">
        <v>1512</v>
      </c>
      <c r="C274" s="7" t="s">
        <v>21</v>
      </c>
      <c r="D274" s="7">
        <v>76.0</v>
      </c>
      <c r="H274" s="7" t="s">
        <v>167</v>
      </c>
      <c r="I274" s="9">
        <v>46145.163564814815</v>
      </c>
      <c r="J274" s="7" t="s">
        <v>40</v>
      </c>
      <c r="L274" s="7">
        <v>3200.0</v>
      </c>
      <c r="M274" s="7">
        <v>59000.0</v>
      </c>
      <c r="N274" s="8">
        <v>45004.0</v>
      </c>
      <c r="O274" s="7" t="s">
        <v>41</v>
      </c>
      <c r="P274" s="7" t="s">
        <v>25</v>
      </c>
      <c r="S274" s="7" t="s">
        <v>28</v>
      </c>
    </row>
    <row r="275">
      <c r="A275" s="7">
        <v>274.0</v>
      </c>
      <c r="B275" s="7" t="s">
        <v>1532</v>
      </c>
      <c r="C275" s="7" t="s">
        <v>21</v>
      </c>
      <c r="D275" s="7">
        <v>76.0</v>
      </c>
      <c r="H275" s="7" t="s">
        <v>46</v>
      </c>
      <c r="I275" s="9">
        <v>46148.147939814815</v>
      </c>
      <c r="K275" s="7">
        <v>30.0</v>
      </c>
      <c r="L275" s="7">
        <v>800.0</v>
      </c>
      <c r="M275" s="7">
        <v>194000.0</v>
      </c>
      <c r="N275" s="8">
        <v>42842.0</v>
      </c>
      <c r="O275" s="7" t="s">
        <v>33</v>
      </c>
      <c r="P275" s="7" t="s">
        <v>25</v>
      </c>
      <c r="S275" s="7" t="s">
        <v>28</v>
      </c>
    </row>
    <row r="276">
      <c r="A276" s="7">
        <v>275.0</v>
      </c>
      <c r="B276" s="7" t="s">
        <v>1792</v>
      </c>
      <c r="C276" s="7" t="s">
        <v>21</v>
      </c>
      <c r="D276" s="7">
        <v>68.0</v>
      </c>
      <c r="H276" s="7" t="s">
        <v>861</v>
      </c>
      <c r="I276" s="9">
        <v>46142.33337962963</v>
      </c>
      <c r="K276" s="7">
        <v>1100.0</v>
      </c>
      <c r="L276" s="7">
        <v>30.0</v>
      </c>
      <c r="M276" s="7">
        <v>4600.0</v>
      </c>
      <c r="N276" s="8">
        <v>44081.0</v>
      </c>
      <c r="O276" s="7" t="s">
        <v>41</v>
      </c>
      <c r="P276" s="7" t="s">
        <v>25</v>
      </c>
      <c r="S276" s="7" t="s">
        <v>28</v>
      </c>
    </row>
    <row r="277">
      <c r="A277" s="7">
        <v>276.0</v>
      </c>
      <c r="B277" s="7" t="s">
        <v>1794</v>
      </c>
      <c r="C277" s="7" t="s">
        <v>21</v>
      </c>
      <c r="D277" s="7">
        <v>62.0</v>
      </c>
      <c r="H277" s="7" t="s">
        <v>1183</v>
      </c>
      <c r="I277" s="9">
        <v>46148.393472222226</v>
      </c>
      <c r="K277" s="7">
        <v>1900.0</v>
      </c>
      <c r="L277" s="7">
        <v>70.0</v>
      </c>
      <c r="M277" s="7">
        <v>46000.0</v>
      </c>
      <c r="N277" s="8">
        <v>42619.0</v>
      </c>
      <c r="O277" s="7" t="s">
        <v>41</v>
      </c>
      <c r="P277" s="7" t="s">
        <v>25</v>
      </c>
      <c r="S277" s="7" t="s">
        <v>28</v>
      </c>
    </row>
    <row r="278">
      <c r="A278" s="7">
        <v>277.0</v>
      </c>
      <c r="B278" s="7" t="s">
        <v>1797</v>
      </c>
      <c r="C278" s="7" t="s">
        <v>21</v>
      </c>
      <c r="D278" s="7">
        <v>76.0</v>
      </c>
      <c r="H278" s="7" t="s">
        <v>1281</v>
      </c>
      <c r="I278" s="9">
        <v>46143.86143518519</v>
      </c>
      <c r="J278" s="7" t="s">
        <v>439</v>
      </c>
      <c r="K278" s="7">
        <v>10.0</v>
      </c>
      <c r="L278" s="7">
        <v>100.0</v>
      </c>
      <c r="M278" s="7">
        <v>156000.0</v>
      </c>
      <c r="N278" s="8">
        <v>44879.0</v>
      </c>
      <c r="O278" s="7" t="s">
        <v>41</v>
      </c>
      <c r="P278" s="7" t="s">
        <v>25</v>
      </c>
      <c r="S278" s="7" t="s">
        <v>28</v>
      </c>
    </row>
    <row r="279">
      <c r="A279" s="7">
        <v>278.0</v>
      </c>
      <c r="B279" s="7" t="s">
        <v>1577</v>
      </c>
      <c r="C279" s="7" t="s">
        <v>21</v>
      </c>
      <c r="D279" s="7">
        <v>66.0</v>
      </c>
      <c r="H279" s="7" t="s">
        <v>46</v>
      </c>
      <c r="I279" s="9">
        <v>46142.48783564815</v>
      </c>
      <c r="J279" s="7" t="s">
        <v>40</v>
      </c>
      <c r="K279" s="7">
        <v>200.0</v>
      </c>
      <c r="L279" s="7">
        <v>800.0</v>
      </c>
      <c r="M279" s="7">
        <v>201000.0</v>
      </c>
      <c r="N279" s="8">
        <v>43310.0</v>
      </c>
      <c r="O279" s="7" t="s">
        <v>41</v>
      </c>
      <c r="P279" s="7" t="s">
        <v>25</v>
      </c>
      <c r="S279" s="7" t="s">
        <v>28</v>
      </c>
    </row>
    <row r="280">
      <c r="A280" s="7">
        <v>279.0</v>
      </c>
      <c r="B280" s="7" t="s">
        <v>1800</v>
      </c>
      <c r="C280" s="7" t="s">
        <v>21</v>
      </c>
      <c r="D280" s="7">
        <v>56.0</v>
      </c>
      <c r="H280" s="7" t="s">
        <v>1055</v>
      </c>
      <c r="I280" s="9">
        <v>46089.056666666664</v>
      </c>
      <c r="J280" s="7" t="s">
        <v>40</v>
      </c>
      <c r="K280" s="7">
        <v>70.0</v>
      </c>
      <c r="L280" s="7">
        <v>30.0</v>
      </c>
      <c r="M280" s="7">
        <v>422000.0</v>
      </c>
      <c r="N280" s="8">
        <v>43371.0</v>
      </c>
      <c r="O280" s="7" t="s">
        <v>41</v>
      </c>
      <c r="P280" s="7" t="s">
        <v>25</v>
      </c>
      <c r="S280" s="7" t="s">
        <v>28</v>
      </c>
    </row>
    <row r="281">
      <c r="A281" s="7">
        <v>280.0</v>
      </c>
      <c r="B281" s="7" t="s">
        <v>1801</v>
      </c>
      <c r="C281" s="7" t="s">
        <v>21</v>
      </c>
      <c r="D281" s="7">
        <v>76.0</v>
      </c>
      <c r="H281" s="7" t="s">
        <v>192</v>
      </c>
      <c r="I281" s="9">
        <v>46160.96707175926</v>
      </c>
      <c r="J281" s="7" t="s">
        <v>40</v>
      </c>
      <c r="K281" s="7">
        <v>13000.0</v>
      </c>
      <c r="L281" s="7">
        <v>700.0</v>
      </c>
      <c r="M281" s="7">
        <v>349000.0</v>
      </c>
      <c r="N281" s="8">
        <v>44316.0</v>
      </c>
      <c r="O281" s="7" t="s">
        <v>33</v>
      </c>
      <c r="P281" s="7" t="s">
        <v>25</v>
      </c>
      <c r="S281" s="7" t="s">
        <v>28</v>
      </c>
    </row>
    <row r="282">
      <c r="A282" s="7">
        <v>281.0</v>
      </c>
      <c r="B282" s="7" t="s">
        <v>1802</v>
      </c>
      <c r="C282" s="7" t="s">
        <v>21</v>
      </c>
      <c r="D282" s="7">
        <v>60.0</v>
      </c>
      <c r="H282" s="7" t="s">
        <v>1219</v>
      </c>
      <c r="I282" s="9">
        <v>46148.557025462964</v>
      </c>
      <c r="J282" s="7" t="s">
        <v>1101</v>
      </c>
      <c r="K282" s="7">
        <v>500.0</v>
      </c>
      <c r="L282" s="7">
        <v>30.0</v>
      </c>
      <c r="M282" s="7">
        <v>15000.0</v>
      </c>
      <c r="N282" s="8">
        <v>44534.0</v>
      </c>
      <c r="O282" s="7" t="s">
        <v>41</v>
      </c>
      <c r="P282" s="7" t="s">
        <v>884</v>
      </c>
      <c r="S282" s="7" t="s">
        <v>28</v>
      </c>
    </row>
    <row r="283">
      <c r="A283" s="7">
        <v>282.0</v>
      </c>
      <c r="B283" s="7" t="s">
        <v>1612</v>
      </c>
      <c r="C283" s="7" t="s">
        <v>21</v>
      </c>
      <c r="D283" s="7">
        <v>60.0</v>
      </c>
      <c r="H283" s="7" t="s">
        <v>1613</v>
      </c>
      <c r="I283" s="9">
        <v>46124.71074074074</v>
      </c>
      <c r="J283" s="7" t="s">
        <v>40</v>
      </c>
      <c r="K283" s="7">
        <v>250.0</v>
      </c>
      <c r="L283" s="7">
        <v>40.0</v>
      </c>
      <c r="M283" s="7">
        <v>1400.0</v>
      </c>
      <c r="N283" s="8">
        <v>43295.0</v>
      </c>
      <c r="O283" s="7" t="s">
        <v>33</v>
      </c>
      <c r="P283" s="7" t="s">
        <v>25</v>
      </c>
      <c r="S283" s="7" t="s">
        <v>28</v>
      </c>
    </row>
    <row r="284">
      <c r="A284" s="7">
        <v>283.0</v>
      </c>
      <c r="B284" s="7" t="s">
        <v>1618</v>
      </c>
      <c r="C284" s="7" t="s">
        <v>21</v>
      </c>
      <c r="D284" s="7">
        <v>67.0</v>
      </c>
      <c r="H284" s="7" t="s">
        <v>167</v>
      </c>
      <c r="I284" s="9">
        <v>46144.01451388889</v>
      </c>
      <c r="J284" s="7" t="s">
        <v>40</v>
      </c>
      <c r="K284" s="7">
        <v>60.0</v>
      </c>
      <c r="L284" s="7">
        <v>3200.0</v>
      </c>
      <c r="M284" s="7">
        <v>59000.0</v>
      </c>
      <c r="N284" s="8">
        <v>43967.0</v>
      </c>
      <c r="O284" s="7" t="s">
        <v>33</v>
      </c>
      <c r="P284" s="7" t="s">
        <v>25</v>
      </c>
      <c r="S284" s="7" t="s">
        <v>28</v>
      </c>
    </row>
    <row r="285">
      <c r="A285" s="7">
        <v>284.0</v>
      </c>
      <c r="B285" s="7" t="s">
        <v>1803</v>
      </c>
      <c r="C285" s="7" t="s">
        <v>21</v>
      </c>
      <c r="D285" s="7">
        <v>52.0</v>
      </c>
      <c r="H285" s="7" t="s">
        <v>1442</v>
      </c>
      <c r="I285" s="9">
        <v>46107.10518518519</v>
      </c>
      <c r="J285" s="7" t="s">
        <v>40</v>
      </c>
      <c r="K285" s="7">
        <v>7000.0</v>
      </c>
      <c r="L285" s="7">
        <v>10.0</v>
      </c>
      <c r="M285" s="7">
        <v>49000.0</v>
      </c>
      <c r="N285" s="8">
        <v>42686.0</v>
      </c>
      <c r="O285" s="7" t="s">
        <v>41</v>
      </c>
      <c r="P285" s="7" t="s">
        <v>25</v>
      </c>
      <c r="S285" s="7" t="s">
        <v>28</v>
      </c>
    </row>
    <row r="286">
      <c r="A286" s="7">
        <v>285.0</v>
      </c>
      <c r="B286" s="7" t="s">
        <v>1804</v>
      </c>
      <c r="C286" s="7" t="s">
        <v>21</v>
      </c>
      <c r="D286" s="7">
        <v>51.0</v>
      </c>
      <c r="H286" s="7" t="s">
        <v>1183</v>
      </c>
      <c r="I286" s="9">
        <v>46124.606354166666</v>
      </c>
      <c r="J286" s="7" t="s">
        <v>40</v>
      </c>
      <c r="L286" s="7">
        <v>60.0</v>
      </c>
      <c r="M286" s="7">
        <v>61000.0</v>
      </c>
      <c r="N286" s="8">
        <v>44351.0</v>
      </c>
      <c r="O286" s="7" t="s">
        <v>33</v>
      </c>
      <c r="P286" s="7" t="s">
        <v>25</v>
      </c>
      <c r="S286" s="7" t="s">
        <v>28</v>
      </c>
    </row>
    <row r="287">
      <c r="A287" s="7">
        <v>286.0</v>
      </c>
      <c r="B287" s="7" t="s">
        <v>1805</v>
      </c>
      <c r="C287" s="7" t="s">
        <v>21</v>
      </c>
      <c r="D287" s="7">
        <v>76.0</v>
      </c>
      <c r="H287" s="7" t="s">
        <v>945</v>
      </c>
      <c r="I287" s="9">
        <v>46062.87908564815</v>
      </c>
      <c r="J287" s="7" t="s">
        <v>1181</v>
      </c>
      <c r="K287" s="7">
        <v>60.0</v>
      </c>
      <c r="L287" s="7">
        <v>30.0</v>
      </c>
      <c r="M287" s="7">
        <v>75000.0</v>
      </c>
      <c r="N287" s="8">
        <v>44328.0</v>
      </c>
      <c r="O287" s="7" t="s">
        <v>33</v>
      </c>
      <c r="P287" s="7" t="s">
        <v>25</v>
      </c>
      <c r="S287" s="7" t="s">
        <v>28</v>
      </c>
    </row>
    <row r="288">
      <c r="A288" s="7">
        <v>287.0</v>
      </c>
      <c r="B288" s="7" t="s">
        <v>1664</v>
      </c>
      <c r="C288" s="7" t="s">
        <v>21</v>
      </c>
      <c r="D288" s="7">
        <v>65.0</v>
      </c>
      <c r="H288" s="7" t="s">
        <v>1159</v>
      </c>
      <c r="I288" s="9">
        <v>46126.87144675926</v>
      </c>
      <c r="J288" s="7" t="s">
        <v>40</v>
      </c>
      <c r="K288" s="7">
        <v>10.0</v>
      </c>
      <c r="L288" s="7">
        <v>20.0</v>
      </c>
      <c r="M288" s="7">
        <v>44000.0</v>
      </c>
      <c r="N288" s="8">
        <v>44146.0</v>
      </c>
      <c r="O288" s="7" t="s">
        <v>41</v>
      </c>
      <c r="P288" s="7" t="s">
        <v>25</v>
      </c>
      <c r="S288" s="7" t="s">
        <v>28</v>
      </c>
    </row>
    <row r="289">
      <c r="A289" s="7">
        <v>288.0</v>
      </c>
      <c r="B289" s="7" t="s">
        <v>1697</v>
      </c>
      <c r="C289" s="7" t="s">
        <v>21</v>
      </c>
      <c r="D289" s="7">
        <v>70.0</v>
      </c>
      <c r="H289" s="7" t="s">
        <v>1699</v>
      </c>
      <c r="I289" s="9">
        <v>46163.05030092593</v>
      </c>
      <c r="J289" s="7" t="s">
        <v>40</v>
      </c>
      <c r="K289" s="7">
        <v>80.0</v>
      </c>
      <c r="L289" s="7">
        <v>100.0</v>
      </c>
      <c r="M289" s="7">
        <v>3100.0</v>
      </c>
      <c r="N289" s="8">
        <v>43228.0</v>
      </c>
      <c r="O289" s="7" t="s">
        <v>41</v>
      </c>
      <c r="P289" s="7" t="s">
        <v>25</v>
      </c>
      <c r="S289" s="7" t="s">
        <v>28</v>
      </c>
    </row>
    <row r="290">
      <c r="A290" s="7">
        <v>289.0</v>
      </c>
      <c r="B290" s="7" t="s">
        <v>1712</v>
      </c>
      <c r="C290" s="7" t="s">
        <v>21</v>
      </c>
      <c r="D290" s="7">
        <v>66.0</v>
      </c>
      <c r="H290" s="7" t="s">
        <v>167</v>
      </c>
      <c r="I290" s="9">
        <v>46125.39165509259</v>
      </c>
      <c r="J290" s="7" t="s">
        <v>40</v>
      </c>
      <c r="K290" s="7">
        <v>10.0</v>
      </c>
      <c r="L290" s="7">
        <v>3100.0</v>
      </c>
      <c r="M290" s="7">
        <v>62000.0</v>
      </c>
      <c r="N290" s="8">
        <v>43250.0</v>
      </c>
      <c r="O290" s="7" t="s">
        <v>41</v>
      </c>
      <c r="P290" s="7" t="s">
        <v>25</v>
      </c>
      <c r="S290" s="7" t="s">
        <v>28</v>
      </c>
    </row>
    <row r="291">
      <c r="A291" s="7">
        <v>290.0</v>
      </c>
      <c r="B291" s="7" t="s">
        <v>1720</v>
      </c>
      <c r="C291" s="7" t="s">
        <v>21</v>
      </c>
      <c r="D291" s="7">
        <v>67.0</v>
      </c>
      <c r="H291" s="7" t="s">
        <v>1281</v>
      </c>
      <c r="I291" s="9">
        <v>46127.16616898148</v>
      </c>
      <c r="J291" s="7" t="s">
        <v>40</v>
      </c>
      <c r="K291" s="7">
        <v>13000.0</v>
      </c>
      <c r="L291" s="7">
        <v>100.0</v>
      </c>
      <c r="M291" s="7">
        <v>187000.0</v>
      </c>
      <c r="N291" s="8">
        <v>43875.0</v>
      </c>
      <c r="O291" s="7" t="s">
        <v>41</v>
      </c>
      <c r="P291" s="7" t="s">
        <v>25</v>
      </c>
      <c r="S291" s="7" t="s">
        <v>28</v>
      </c>
    </row>
    <row r="292">
      <c r="A292" s="7">
        <v>291.0</v>
      </c>
      <c r="B292" s="7" t="s">
        <v>1806</v>
      </c>
      <c r="C292" s="7" t="s">
        <v>21</v>
      </c>
      <c r="D292" s="7">
        <v>57.0</v>
      </c>
      <c r="H292" s="7" t="s">
        <v>1219</v>
      </c>
      <c r="I292" s="9">
        <v>46148.17393518519</v>
      </c>
      <c r="J292" s="7" t="s">
        <v>1807</v>
      </c>
      <c r="K292" s="7">
        <v>40.0</v>
      </c>
      <c r="L292" s="7">
        <v>30.0</v>
      </c>
      <c r="M292" s="7">
        <v>15000.0</v>
      </c>
      <c r="N292" s="8">
        <v>44670.0</v>
      </c>
      <c r="O292" s="7" t="s">
        <v>41</v>
      </c>
      <c r="P292" s="7" t="s">
        <v>1808</v>
      </c>
      <c r="S292" s="7" t="s">
        <v>28</v>
      </c>
    </row>
    <row r="293">
      <c r="A293" s="7">
        <v>292.0</v>
      </c>
      <c r="B293" s="7" t="s">
        <v>1809</v>
      </c>
      <c r="C293" s="7" t="s">
        <v>21</v>
      </c>
      <c r="D293" s="7">
        <v>72.0</v>
      </c>
      <c r="H293" s="7" t="s">
        <v>148</v>
      </c>
      <c r="I293" s="9">
        <v>46100.593252314815</v>
      </c>
      <c r="K293" s="7">
        <v>10.0</v>
      </c>
      <c r="L293" s="7">
        <v>90.0</v>
      </c>
      <c r="M293" s="7">
        <v>45000.0</v>
      </c>
      <c r="N293" s="8">
        <v>42756.0</v>
      </c>
      <c r="O293" s="7" t="s">
        <v>33</v>
      </c>
      <c r="P293" s="7" t="s">
        <v>25</v>
      </c>
      <c r="S293" s="7" t="s">
        <v>28</v>
      </c>
    </row>
    <row r="294">
      <c r="A294" s="7">
        <v>293.0</v>
      </c>
      <c r="B294" s="7" t="s">
        <v>1810</v>
      </c>
      <c r="C294" s="7" t="s">
        <v>21</v>
      </c>
      <c r="D294" s="7">
        <v>78.0</v>
      </c>
      <c r="H294" s="7" t="s">
        <v>46</v>
      </c>
      <c r="I294" s="9">
        <v>46085.651030092595</v>
      </c>
      <c r="K294" s="7">
        <v>100.0</v>
      </c>
      <c r="L294" s="7">
        <v>600.0</v>
      </c>
      <c r="M294" s="7">
        <v>212000.0</v>
      </c>
      <c r="N294" s="8">
        <v>43842.0</v>
      </c>
      <c r="O294" s="7" t="s">
        <v>41</v>
      </c>
      <c r="P294" s="7" t="s">
        <v>25</v>
      </c>
      <c r="S294" s="7" t="s">
        <v>28</v>
      </c>
    </row>
    <row r="295">
      <c r="A295" s="7">
        <v>294.0</v>
      </c>
      <c r="B295" s="7" t="s">
        <v>1811</v>
      </c>
      <c r="C295" s="7" t="s">
        <v>21</v>
      </c>
      <c r="D295" s="7">
        <v>65.0</v>
      </c>
      <c r="H295" s="7" t="s">
        <v>861</v>
      </c>
      <c r="I295" s="9">
        <v>46145.18491898148</v>
      </c>
      <c r="K295" s="7">
        <v>3000.0</v>
      </c>
      <c r="L295" s="7">
        <v>250.0</v>
      </c>
      <c r="M295" s="7">
        <v>132000.0</v>
      </c>
      <c r="N295" s="8">
        <v>44106.0</v>
      </c>
      <c r="O295" s="7" t="s">
        <v>41</v>
      </c>
      <c r="P295" s="7" t="s">
        <v>25</v>
      </c>
      <c r="S295" s="7" t="s">
        <v>28</v>
      </c>
    </row>
    <row r="296">
      <c r="A296" s="7">
        <v>295.0</v>
      </c>
      <c r="B296" s="7" t="s">
        <v>1812</v>
      </c>
      <c r="C296" s="7" t="s">
        <v>21</v>
      </c>
      <c r="D296" s="7">
        <v>64.0</v>
      </c>
      <c r="H296" s="7" t="s">
        <v>926</v>
      </c>
      <c r="I296" s="9">
        <v>46118.26530092592</v>
      </c>
      <c r="J296" s="7" t="s">
        <v>439</v>
      </c>
      <c r="K296" s="7">
        <v>200.0</v>
      </c>
      <c r="L296" s="7">
        <v>150.0</v>
      </c>
      <c r="M296" s="7">
        <v>152000.0</v>
      </c>
      <c r="N296" s="8">
        <v>44944.0</v>
      </c>
      <c r="O296" s="7" t="s">
        <v>41</v>
      </c>
      <c r="P296" s="7" t="s">
        <v>871</v>
      </c>
      <c r="S296" s="7" t="s">
        <v>28</v>
      </c>
    </row>
    <row r="297">
      <c r="A297" s="7">
        <v>296.0</v>
      </c>
      <c r="B297" s="7" t="s">
        <v>1783</v>
      </c>
      <c r="C297" s="7" t="s">
        <v>21</v>
      </c>
      <c r="D297" s="7">
        <v>69.0</v>
      </c>
      <c r="H297" s="7" t="s">
        <v>1784</v>
      </c>
      <c r="I297" s="9">
        <v>46100.67393518519</v>
      </c>
      <c r="J297" s="7" t="s">
        <v>40</v>
      </c>
      <c r="K297" s="7">
        <v>1300.0</v>
      </c>
      <c r="L297" s="7">
        <v>10.0</v>
      </c>
      <c r="M297" s="7">
        <v>56000.0</v>
      </c>
      <c r="N297" s="8">
        <v>43492.0</v>
      </c>
      <c r="O297" s="7" t="s">
        <v>33</v>
      </c>
      <c r="P297" s="7" t="s">
        <v>25</v>
      </c>
      <c r="S297" s="7" t="s">
        <v>28</v>
      </c>
    </row>
    <row r="298">
      <c r="A298" s="7">
        <v>297.0</v>
      </c>
      <c r="B298" s="7" t="s">
        <v>1813</v>
      </c>
      <c r="C298" s="7" t="s">
        <v>21</v>
      </c>
      <c r="D298" s="7">
        <v>71.0</v>
      </c>
      <c r="H298" s="7" t="s">
        <v>167</v>
      </c>
      <c r="I298" s="9">
        <v>46143.34991898148</v>
      </c>
      <c r="K298" s="7">
        <v>20.0</v>
      </c>
      <c r="L298" s="7">
        <v>3200.0</v>
      </c>
      <c r="M298" s="7">
        <v>59000.0</v>
      </c>
      <c r="N298" s="8">
        <v>42665.0</v>
      </c>
      <c r="O298" s="7" t="s">
        <v>33</v>
      </c>
      <c r="P298" s="7" t="s">
        <v>25</v>
      </c>
      <c r="S298" s="7" t="s">
        <v>28</v>
      </c>
    </row>
    <row r="299">
      <c r="A299" s="7">
        <v>298.0</v>
      </c>
      <c r="B299" s="7" t="s">
        <v>1814</v>
      </c>
      <c r="C299" s="7" t="s">
        <v>21</v>
      </c>
      <c r="D299" s="7">
        <v>53.0</v>
      </c>
      <c r="H299" s="7" t="s">
        <v>167</v>
      </c>
      <c r="I299" s="9">
        <v>46143.91045138889</v>
      </c>
      <c r="J299" s="7" t="s">
        <v>40</v>
      </c>
      <c r="K299" s="7">
        <v>300.0</v>
      </c>
      <c r="L299" s="7">
        <v>350.0</v>
      </c>
      <c r="M299" s="7">
        <v>375000.0</v>
      </c>
      <c r="N299" s="8">
        <v>44276.0</v>
      </c>
      <c r="O299" s="7" t="s">
        <v>1620</v>
      </c>
      <c r="P299" s="7" t="s">
        <v>25</v>
      </c>
      <c r="S299" s="7" t="s">
        <v>28</v>
      </c>
    </row>
    <row r="300">
      <c r="A300" s="7">
        <v>299.0</v>
      </c>
      <c r="B300" s="7" t="s">
        <v>1790</v>
      </c>
      <c r="C300" s="7" t="s">
        <v>21</v>
      </c>
      <c r="D300" s="7">
        <v>68.0</v>
      </c>
      <c r="H300" s="7" t="s">
        <v>192</v>
      </c>
      <c r="I300" s="9">
        <v>46124.78755787037</v>
      </c>
      <c r="J300" s="7" t="s">
        <v>40</v>
      </c>
      <c r="K300" s="7">
        <v>31000.0</v>
      </c>
      <c r="L300" s="7">
        <v>600.0</v>
      </c>
      <c r="M300" s="7">
        <v>356000.0</v>
      </c>
      <c r="N300" s="8">
        <v>42420.0</v>
      </c>
      <c r="O300" s="7" t="s">
        <v>41</v>
      </c>
      <c r="P300" s="7" t="s">
        <v>25</v>
      </c>
      <c r="S300" s="7" t="s">
        <v>28</v>
      </c>
    </row>
    <row r="301">
      <c r="A301" s="7">
        <v>300.0</v>
      </c>
      <c r="B301" s="7" t="s">
        <v>1791</v>
      </c>
      <c r="C301" s="7" t="s">
        <v>21</v>
      </c>
      <c r="D301" s="7">
        <v>64.0</v>
      </c>
      <c r="H301" s="7" t="s">
        <v>331</v>
      </c>
      <c r="I301" s="9">
        <v>46123.757314814815</v>
      </c>
      <c r="J301" s="7" t="s">
        <v>40</v>
      </c>
      <c r="K301" s="7">
        <v>60.0</v>
      </c>
      <c r="L301" s="7">
        <v>10.0</v>
      </c>
      <c r="M301" s="7">
        <v>27000.0</v>
      </c>
      <c r="N301" s="8">
        <v>44371.0</v>
      </c>
      <c r="O301" s="7" t="s">
        <v>33</v>
      </c>
      <c r="P301" s="7" t="s">
        <v>25</v>
      </c>
      <c r="S301" s="7" t="s">
        <v>28</v>
      </c>
    </row>
    <row r="302">
      <c r="A302" s="7">
        <v>301.0</v>
      </c>
      <c r="B302" s="7" t="s">
        <v>1815</v>
      </c>
      <c r="C302" s="7" t="s">
        <v>21</v>
      </c>
      <c r="D302" s="7">
        <v>81.0</v>
      </c>
      <c r="H302" s="7" t="s">
        <v>1017</v>
      </c>
      <c r="I302" s="9">
        <v>46126.216527777775</v>
      </c>
      <c r="K302" s="7">
        <v>450.0</v>
      </c>
      <c r="L302" s="7">
        <v>250.0</v>
      </c>
      <c r="M302" s="7">
        <v>109000.0</v>
      </c>
      <c r="N302" s="8">
        <v>42596.0</v>
      </c>
      <c r="O302" s="7" t="s">
        <v>1691</v>
      </c>
      <c r="P302" s="7" t="s">
        <v>25</v>
      </c>
      <c r="S302" s="7" t="s">
        <v>28</v>
      </c>
    </row>
    <row r="303">
      <c r="A303" s="7">
        <v>302.0</v>
      </c>
      <c r="B303" s="7" t="s">
        <v>1816</v>
      </c>
      <c r="C303" s="7" t="s">
        <v>21</v>
      </c>
      <c r="D303" s="7">
        <v>64.0</v>
      </c>
      <c r="H303" s="7" t="s">
        <v>1183</v>
      </c>
      <c r="I303" s="9">
        <v>46147.63239583333</v>
      </c>
      <c r="J303" s="7" t="s">
        <v>48</v>
      </c>
      <c r="K303" s="7">
        <v>30.0</v>
      </c>
      <c r="L303" s="7">
        <v>70.0</v>
      </c>
      <c r="M303" s="7">
        <v>46000.0</v>
      </c>
      <c r="N303" s="8">
        <v>43895.0</v>
      </c>
      <c r="O303" s="7" t="s">
        <v>41</v>
      </c>
      <c r="P303" s="7" t="s">
        <v>25</v>
      </c>
      <c r="S303" s="7" t="s">
        <v>28</v>
      </c>
    </row>
  </sheetData>
  <autoFilter ref="$A$1:$Z$999"/>
  <hyperlinks>
    <hyperlink r:id="rId1" ref="B73"/>
    <hyperlink r:id="rId2" ref="B79"/>
  </hyperlinks>
  <drawing r:id="rId3"/>
</worksheet>
</file>