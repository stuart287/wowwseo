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/>
  <calcPr/>
</workbook>
</file>

<file path=xl/sharedStrings.xml><?xml version="1.0" encoding="utf-8"?>
<sst xmlns="http://schemas.openxmlformats.org/spreadsheetml/2006/main" count="17620" uniqueCount="6406">
  <si>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</si>
  <si>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</si>
  <si>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</si>
  <si>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</si>
  <si>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</si>
  <si>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</si>
  <si>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</si>
  <si>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</si>
  <si>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</si>
  <si>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</si>
  <si>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</si>
  <si>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</si>
  <si>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</si>
  <si>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</si>
  <si>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</si>
  <si>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</si>
  <si>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(05-2024 - 04-2026)</t>
  </si>
  <si>
    <t>SV Forecasting trend (05-2026 - 05-2027)</t>
  </si>
  <si>
    <t>Category</t>
  </si>
  <si>
    <t>island luck winning numbers</t>
  </si>
  <si>
    <t>lottery results</t>
  </si>
  <si>
    <t>bs</t>
  </si>
  <si>
    <t>how to figure out lottery numbers</t>
  </si>
  <si>
    <t>Sitelinks,Video preview,People also ask</t>
  </si>
  <si>
    <t>how to predict the lottery numbers</t>
  </si>
  <si>
    <t>Sitelinks,Video preview</t>
  </si>
  <si>
    <t>Informational,Branded,Non-local</t>
  </si>
  <si>
    <t>how to predict 3 digit lottery numbers</t>
  </si>
  <si>
    <t>English</t>
  </si>
  <si>
    <t>25883, 25157, 25167, 20946, 21623, 20237, 19445, 20303, 18332, 19799, 19936, 17579, 19638, 15731, 17813, 18085, 18686, 19680, 17648, 17635, 13262, 12703, 12541, 12163</t>
  </si>
  <si>
    <t>17767, 17639, 19008, 18220, 18943, 19233, 17671, 18711, 18066, 18479, 17477, 17004</t>
  </si>
  <si>
    <t>Informational,Non-branded,Non-local</t>
  </si>
  <si>
    <t>Lottery</t>
  </si>
  <si>
    <t>what is the winning numbers for the powerball</t>
  </si>
  <si>
    <t>3122, 2582, 5063, 4369, 3849, 3516, 4541, 3977, 4344, 3563, 3408, 2962, 3235, 2675, 5246, 4526, 3987, 3642, 4703, 4118, 4498, 3688, 3527, 3065</t>
  </si>
  <si>
    <t>chances winning numbers</t>
  </si>
  <si>
    <t>3348, 2768, 5428, 4683, 4125, 3767, 4864, 4259, 4651, 3814, 3647, 3169, 3461</t>
  </si>
  <si>
    <t>what is the winning number for today</t>
  </si>
  <si>
    <t>winning numbers</t>
  </si>
  <si>
    <t>what are the winning lottery numbers</t>
  </si>
  <si>
    <t>Video preview,Sitelinks</t>
  </si>
  <si>
    <t>how many lottery numbers</t>
  </si>
  <si>
    <t>Top stories,Thumbnail,Video preview</t>
  </si>
  <si>
    <t>6797, 6627, 7013, 7067, 6414, 6614, 6345, 6660, 6622, 7116, 6928, 6668, 6795, 6626, 7012, 7066, 6413, 6613, 6344, 6659, 6621, 7116, 6928, 6667</t>
  </si>
  <si>
    <t>what the winning lottery numbers</t>
  </si>
  <si>
    <t>6795, 6625, 7012, 7066, 6413, 6613, 6344, 6659, 6621, 7116, 6928, 6667, 6795</t>
  </si>
  <si>
    <t>what was the lottery numbers last night</t>
  </si>
  <si>
    <t>1892, 1852, 1924, 1801, 1951, 1972, 1893, 2029, 1916, 1872, 1904, 1803, 1888, 1849, 1921, 1799, 1949, 1971, 1892, 2028, 1915, 1871, 1904, 1802</t>
  </si>
  <si>
    <t>how to guess the lottery numbers</t>
  </si>
  <si>
    <t>how does the lottery machine pick numbers</t>
  </si>
  <si>
    <t>what numbers will win the lottery tonight</t>
  </si>
  <si>
    <t>island luck winning number</t>
  </si>
  <si>
    <t>1888, 1848, 1921, 1799, 1949, 1970, 1892, 2028, 1915, 1871, 1904, 1802, 1888</t>
  </si>
  <si>
    <t>lotto results</t>
  </si>
  <si>
    <t>how to win numbers lottery</t>
  </si>
  <si>
    <t>lottery post</t>
  </si>
  <si>
    <t>when is the green card lottery results</t>
  </si>
  <si>
    <t>3199, 3188, 3377, 3436, 3353, 3385, 3209, 3265, 3086, 3008, 3051, 3054, 3199, 3188, 3377, 3437, 3354, 3386, 3209, 3265, 3086, 3008, 3052, 3055</t>
  </si>
  <si>
    <t>Top stories,Thumbnail</t>
  </si>
  <si>
    <t>3199, 3189, 3377, 3437, 3354, 3386, 3209, 3266, 3086, 3008, 3052, 3055, 3200</t>
  </si>
  <si>
    <t>ultra games winning numbers</t>
  </si>
  <si>
    <t>how to win numbers lottery new york</t>
  </si>
  <si>
    <t>Sitelinks,People also ask</t>
  </si>
  <si>
    <t>when does dv lottery results come out</t>
  </si>
  <si>
    <t>how to predict lottery numbers</t>
  </si>
  <si>
    <t>836, 1075, 1151, 3621, 4850, 4469, 3996, 4006, 4670, 3617, 3389, 2236, 2280, 2240, 2293, 2238, 1824, 2219, 2216, 2232, 2151, 1988, 1960, 1566</t>
  </si>
  <si>
    <t>1702, 1680, 1703, 2460, 2393, 2384, 2139, 2140, 2118, 1964, 1941, 1554, 1692</t>
  </si>
  <si>
    <t>how are lottery numbers drawn</t>
  </si>
  <si>
    <t>lottery results today</t>
  </si>
  <si>
    <t>when is the visa lottery results</t>
  </si>
  <si>
    <t>how do lottery numbers work</t>
  </si>
  <si>
    <t>how many numbers are on a lottery ticket</t>
  </si>
  <si>
    <t>how to predict numbers for lottery</t>
  </si>
  <si>
    <t>winning numbers winning numbers</t>
  </si>
  <si>
    <t>how to predict the next lottery numbers</t>
  </si>
  <si>
    <t>how to get lucky numbers in lottery</t>
  </si>
  <si>
    <t>1791, 1644, 1753, 1778, 1824, 1812, 1758, 1945, 1839, 1795, 1791, 1918, 1915, 1757, 1873, 1899, 1947, 1934, 1876, 2074, 1961, 1914, 1908, 2043</t>
  </si>
  <si>
    <t>how to pick winning lotto numbers</t>
  </si>
  <si>
    <t>2039, 1870, 1993, 2020, 2071, 2056, 1993, 2204, 2082, 2032, 2026, 2168, 2163</t>
  </si>
  <si>
    <t>chances winning number</t>
  </si>
  <si>
    <t>how to play lottery numbers</t>
  </si>
  <si>
    <t>how to pick winning lottery numbers</t>
  </si>
  <si>
    <t>People also ask,Video preview</t>
  </si>
  <si>
    <t>winning number today</t>
  </si>
  <si>
    <t>1090, 1107, 1115, 1674, 1473, 1777, 1653, 1643, 1643, 1351, 1643, 1646, 1667, 1347, 1471, 1351, 1381, 1350, 1349, 1370, 1253, 1201, 1123, 993</t>
  </si>
  <si>
    <t>how to crack lottery numbers</t>
  </si>
  <si>
    <t>939, 855, 754, 803, 738, 837, 817, 914, 867, 765, 753, 600</t>
  </si>
  <si>
    <t>why is 'lotto results uk' trending</t>
  </si>
  <si>
    <t>island luck winning numbers for the day</t>
  </si>
  <si>
    <t>what was the powerball winning numbers last night</t>
  </si>
  <si>
    <t>Sitelinks</t>
  </si>
  <si>
    <t>winning number</t>
  </si>
  <si>
    <t>what is the powerball winning numbers</t>
  </si>
  <si>
    <t>1022, 1153, 1234, 1042, 1459, 1742, 1534, 1447, 838, 1142, 953, 353, 545, 730, 813, 644, 1067, 1368, 1168, 1097, 496, 813, 634, 46</t>
  </si>
  <si>
    <t>how to check lotto results on phone</t>
  </si>
  <si>
    <t>246, 442, 534, 375, 806, 1116, 924, 861, 268, 593, 421, 3, 47</t>
  </si>
  <si>
    <t>People also ask</t>
  </si>
  <si>
    <t>asurewin winning numbers</t>
  </si>
  <si>
    <t>how to play the numbers lottery</t>
  </si>
  <si>
    <t>593, 594, 593, 891, 890, 1084, 1085, 1085, 1085, 1088, 1091, 890, 907, 900, 891, 894, 894, 893, 892, 896, 756, 711, 804, 614</t>
  </si>
  <si>
    <t>what lottery numbers should i play</t>
  </si>
  <si>
    <t>541, 1374, 833, 869, 928, 924, 858, 903, 733, 709, 801, 613, 540</t>
  </si>
  <si>
    <t>lottery numbers</t>
  </si>
  <si>
    <t>new york lottery results</t>
  </si>
  <si>
    <t>what is the fantasy 5 winning numbers</t>
  </si>
  <si>
    <t>Sitelinks,Knowledge panel</t>
  </si>
  <si>
    <t>what is a four way box winning numbers</t>
  </si>
  <si>
    <t>Informational,Non-branded,Local</t>
  </si>
  <si>
    <t>what are the 5 luckiest lottery numbers?</t>
  </si>
  <si>
    <t>543, 467, 572, 706, 538, 568, 738, 747, 603, 661, 786, 618, 572, 546, 541, 699, 683, 880, 953, 774, 724, 723, 811, 736</t>
  </si>
  <si>
    <t>706, 703, 785, 873, 771, 839, 884, 823, 765, 766, 853, 779, 748</t>
  </si>
  <si>
    <t>Lottery; News</t>
  </si>
  <si>
    <t>what were the lottery numbers last night</t>
  </si>
  <si>
    <t>lottery results for today</t>
  </si>
  <si>
    <t>florida lottery results</t>
  </si>
  <si>
    <t>what are the 5 most common lottery numbers</t>
  </si>
  <si>
    <t>miami lottery</t>
  </si>
  <si>
    <t>Sitelinks,Video preview,Knowledge panel</t>
  </si>
  <si>
    <t>how lottery numbers are drawn</t>
  </si>
  <si>
    <t>lottery winning numbers</t>
  </si>
  <si>
    <t>570, 545, 505, 557, 579, 551, 684, 677, 629, 651, 637, 647, 689, 660, 663, 659, 678, 694, 828, 811, 775, 775, 804, 820</t>
  </si>
  <si>
    <t>how to play numbers in the lottery</t>
  </si>
  <si>
    <t>824, 827, 855, 860, 878, 887, 933, 912, 899, 898, 927, 944</t>
  </si>
  <si>
    <t>florida lottery</t>
  </si>
  <si>
    <t>what are the most common numbers in the lottery</t>
  </si>
  <si>
    <t>www.islandluck.com winning numbers</t>
  </si>
  <si>
    <t>how to pick lottery numbers</t>
  </si>
  <si>
    <t>Informational,Navigational,Branded,Non-local</t>
  </si>
  <si>
    <t>601, 489, 600, 953, 762, 763, 597, 597, 598, 598, 598, 599, 730, 602, 603, 599, 494, 746, 601, 598, 588, 619, 644, 585</t>
  </si>
  <si>
    <t>656, 598, 539, 512, 532, 636, 463, 458, 448, 488, 511, 459, 529</t>
  </si>
  <si>
    <t>what are the top 10 luckiest numbers for lottery</t>
  </si>
  <si>
    <t>winning numbers winning numbers today</t>
  </si>
  <si>
    <t>lottery results tonight</t>
  </si>
  <si>
    <t>why is 'lottery results uk' trending</t>
  </si>
  <si>
    <t>winning numbers for today</t>
  </si>
  <si>
    <t>when are dv lottery results announced</t>
  </si>
  <si>
    <t>325, 843, 1038, 2496, 1627, 386, 479, 754, 1411, 1028, 1419, 887, 822, 311, 392, 370, 662, 189, 170, 702, 1089, 323, 718, 480</t>
  </si>
  <si>
    <t>winning numbers chart how to read up cashpot</t>
  </si>
  <si>
    <t>florida lottery winning numbers</t>
  </si>
  <si>
    <t>how to predict lottery numbers mathematically</t>
  </si>
  <si>
    <t>lotto results today</t>
  </si>
  <si>
    <t>what were the lottery numbers for last night</t>
  </si>
  <si>
    <t>how to choose numbers for lottery</t>
  </si>
  <si>
    <t>Sitelinks,Top stories,Thumbnail,People also ask,Video preview</t>
  </si>
  <si>
    <t>lotto numbers</t>
  </si>
  <si>
    <t>how to generate lottery numbers</t>
  </si>
  <si>
    <t>what are the 5 most common lottery numbers?</t>
  </si>
  <si>
    <t>Informational,Branded,Local</t>
  </si>
  <si>
    <t>Top stories,Thumbnail,People also ask</t>
  </si>
  <si>
    <t>610, 693, 643, 722, 593, 591, 588, 592, 559, 463, 450, 449, 444, 401, 418, 642, 638, 477, 467, 618, 581, 556, 573, 547</t>
  </si>
  <si>
    <t>525, 532, 563, 560, 526, 556, 562, 603, 582, 557, 574, 548, 525</t>
  </si>
  <si>
    <t>how to win lottery numbers</t>
  </si>
  <si>
    <t>georgia lottery results</t>
  </si>
  <si>
    <t>georgia lottery</t>
  </si>
  <si>
    <t>how to pick the winning lottery numbers</t>
  </si>
  <si>
    <t>winning numbers island luck</t>
  </si>
  <si>
    <t>how to find lottery numbers</t>
  </si>
  <si>
    <t>143, 224, 199, 300, 243, 243, 248, 301, 247, 258, 365, 380, 376, 367, 340, 328, 374, 440, 477, 454, 403, 442, 436, 405</t>
  </si>
  <si>
    <t>how to know what numbers to pick for the lottery</t>
  </si>
  <si>
    <t>352, 377, 475, 492, 503, 533, 505, 545, 471, 516, 508, 471, 409</t>
  </si>
  <si>
    <t>lotto numbers for today</t>
  </si>
  <si>
    <t>powerball winning numbers</t>
  </si>
  <si>
    <t>lottery how many numbers</t>
  </si>
  <si>
    <t>lottery numbers results</t>
  </si>
  <si>
    <t>how to pick lottery numbers powerball</t>
  </si>
  <si>
    <t>Top stories,Thumbnail,Sitelinks,Knowledge panel,Video preview</t>
  </si>
  <si>
    <t>what is the winning lottery numbers for today</t>
  </si>
  <si>
    <t>lottery winning numbers for today</t>
  </si>
  <si>
    <t>105, 131, 106, 239, 128, 127, 124, 158, 129, 126, 196, 127, 130, 98, 163, 357, 641, 206, 241, 1105, 530, 342, 247, 272</t>
  </si>
  <si>
    <t>how are lottery numbers picked</t>
  </si>
  <si>
    <t>lottery results app</t>
  </si>
  <si>
    <t>224, 219, 280, 249, 267, 271, 494, 448, 603, 388, 279, 306, 252</t>
  </si>
  <si>
    <t>when is the dv lottery results</t>
  </si>
  <si>
    <t>island game winning numbers</t>
  </si>
  <si>
    <t>lotto results tonight</t>
  </si>
  <si>
    <t>what numbers are most likely to win the lottery?</t>
  </si>
  <si>
    <t>winning numbers tonight</t>
  </si>
  <si>
    <t>what dreams mean in lottery numbers?</t>
  </si>
  <si>
    <t>winning numbers chances</t>
  </si>
  <si>
    <t>how to choose winning lottery numbers</t>
  </si>
  <si>
    <t>lottery numbers app</t>
  </si>
  <si>
    <t>281, 282, 282, 518, 421, 417, 425, 432, 523, 346, 418, 344, 341, 348, 348, 346, 346, 345, 286, 348, 325, 268, 282, 243</t>
  </si>
  <si>
    <t>246, 274, 300, 305, 328, 359, 303, 343, 325, 267, 281, 243, 245</t>
  </si>
  <si>
    <t>what are the winning numbers</t>
  </si>
  <si>
    <t>lotto results for today</t>
  </si>
  <si>
    <t>california winning numbers</t>
  </si>
  <si>
    <t>what was last night's florida lottery numbers</t>
  </si>
  <si>
    <t>lottery numbers tonight</t>
  </si>
  <si>
    <t>what are the most winning play 4 numbers?</t>
  </si>
  <si>
    <t>lotto numbers today</t>
  </si>
  <si>
    <t>239, 193, 195, 300, 363, 369, 368, 447, 438, 358, 476, 402, 332, 305, 334, 351, 290, 229, 271, 278, 293, 265, 278, 246</t>
  </si>
  <si>
    <t>250, 232, 227, 261, 266, 273, 255, 279, 293, 265, 278, 246, 250</t>
  </si>
  <si>
    <t>how to play the numbers game lottery</t>
  </si>
  <si>
    <t>lottery numbers today</t>
  </si>
  <si>
    <t>california lottery results</t>
  </si>
  <si>
    <t>what time do lottery results come out</t>
  </si>
  <si>
    <t>draw results</t>
  </si>
  <si>
    <t>179, 140, 140, 133, 178, 210, 164, 148, 179, 173, 254, 197, 237, 240, 263, 253, 212, 246, 310, 245, 273, 252, 272, 257</t>
  </si>
  <si>
    <t>259, 276, 282, 296, 344, 300, 290, 275, 306, 282, 304, 288, 290</t>
  </si>
  <si>
    <t>how to play pick 4 winning numbers</t>
  </si>
  <si>
    <t>winning numbers results</t>
  </si>
  <si>
    <t>island luck winning numbers login</t>
  </si>
  <si>
    <t>what numbers win the lottery the most</t>
  </si>
  <si>
    <t>lottery results latest</t>
  </si>
  <si>
    <t>how to predict winning lottery numbers</t>
  </si>
  <si>
    <t>how to find winning numbers</t>
  </si>
  <si>
    <t>lotto numbers tonight</t>
  </si>
  <si>
    <t>islandluck winning numbers</t>
  </si>
  <si>
    <t>what are the winning numbers for 649 last night</t>
  </si>
  <si>
    <t>winning number tonight</t>
  </si>
  <si>
    <t>winning numbers winning numbers today florida</t>
  </si>
  <si>
    <t>how to calculate winning lottery numbers</t>
  </si>
  <si>
    <t>lottery numbers for today</t>
  </si>
  <si>
    <t>how can i find my lucky lottery numbers?</t>
  </si>
  <si>
    <t>how to play powerball winning numbers</t>
  </si>
  <si>
    <t>lottery winning numbers tonight</t>
  </si>
  <si>
    <t>florida winning numbers</t>
  </si>
  <si>
    <t>what are the winning powerball numbers for today</t>
  </si>
  <si>
    <t>lottery winning numbers today</t>
  </si>
  <si>
    <t>how to pick numbers for lottery</t>
  </si>
  <si>
    <t>lotto numbers results</t>
  </si>
  <si>
    <t>how to calculate lottery winning numbers</t>
  </si>
  <si>
    <t>winning numbers winning numbers yesterday</t>
  </si>
  <si>
    <t>winning number for today</t>
  </si>
  <si>
    <t>what are the florida winning lottery numbers?</t>
  </si>
  <si>
    <t>what are the lottery numbers for tonight</t>
  </si>
  <si>
    <t>lottery results lottery post</t>
  </si>
  <si>
    <t>what are the most common lottery numbers</t>
  </si>
  <si>
    <t>island luck winning numbers island luck winning numbers</t>
  </si>
  <si>
    <t>numbers today</t>
  </si>
  <si>
    <t>what is the winning number</t>
  </si>
  <si>
    <t>winning numbers today</t>
  </si>
  <si>
    <t>what were tonight's winning numbers</t>
  </si>
  <si>
    <t>what are good lottery numbers</t>
  </si>
  <si>
    <t>www. lottery results</t>
  </si>
  <si>
    <t>how to play numbers lottery</t>
  </si>
  <si>
    <t>winning number results</t>
  </si>
  <si>
    <t>indiana lottery results</t>
  </si>
  <si>
    <t>what numbers to play for lottery</t>
  </si>
  <si>
    <t>lottery results live</t>
  </si>
  <si>
    <t>why is 'national lottery results' trending</t>
  </si>
  <si>
    <t>how to pick the best lottery numbers</t>
  </si>
  <si>
    <t>winning numbers ultra games</t>
  </si>
  <si>
    <t>indiana lottery</t>
  </si>
  <si>
    <t>which lottery numbers come up the most</t>
  </si>
  <si>
    <t>winning number island luck</t>
  </si>
  <si>
    <t>how to play fantasy 5 winning numbers</t>
  </si>
  <si>
    <t>nassau games winning numbers</t>
  </si>
  <si>
    <t>when was the last time my lottery numbers came up</t>
  </si>
  <si>
    <t>draw results 3 ball miami</t>
  </si>
  <si>
    <t>draw results 3-ball miami</t>
  </si>
  <si>
    <t>how many numbers do you pick for the lottery</t>
  </si>
  <si>
    <t>91, 66, 69, 69, 50, 84, 110, 169, 174, 177, 178, 153, 91, 66, 69, 69, 49, 84, 109, 168, 173, 176, 177, 152</t>
  </si>
  <si>
    <t>draw results 4 ball</t>
  </si>
  <si>
    <t>90, 65, 68, 68, 49, 83, 109, 168, 173, 176, 177, 152, 90</t>
  </si>
  <si>
    <t>what is the mega millions winning numbers</t>
  </si>
  <si>
    <t>draw results 5 ball</t>
  </si>
  <si>
    <t>what was the lottery numbers on saturday</t>
  </si>
  <si>
    <t>draw results a sure win</t>
  </si>
  <si>
    <t>how lottery numbers work</t>
  </si>
  <si>
    <t>what are the fantasy 5 winning numbers</t>
  </si>
  <si>
    <t>draw results app</t>
  </si>
  <si>
    <t>how are quick pick lottery numbers generated</t>
  </si>
  <si>
    <t>draw results asurewin</t>
  </si>
  <si>
    <t>what were the winning lotto numbers</t>
  </si>
  <si>
    <t>draw results bahamas</t>
  </si>
  <si>
    <t>what was last night's winning lotto numbers</t>
  </si>
  <si>
    <t>draw results caribbean</t>
  </si>
  <si>
    <t>how to select lottery numbers</t>
  </si>
  <si>
    <t>draw results chances</t>
  </si>
  <si>
    <t>how to unlock winning numbers</t>
  </si>
  <si>
    <t>draw results draw time</t>
  </si>
  <si>
    <t>how to choose lottery numbers</t>
  </si>
  <si>
    <t>draw results for the day</t>
  </si>
  <si>
    <t>what was florida lottery winning numbers</t>
  </si>
  <si>
    <t>draw results for today</t>
  </si>
  <si>
    <t>illinois lottery results</t>
  </si>
  <si>
    <t>draw results freeport</t>
  </si>
  <si>
    <t>how to pick winning powerball numbers</t>
  </si>
  <si>
    <t>chicago lottery</t>
  </si>
  <si>
    <t>draw results island luck</t>
  </si>
  <si>
    <t>how to win the pick 3 lottery with 36 numbers</t>
  </si>
  <si>
    <t>draw results jackpot</t>
  </si>
  <si>
    <t>what were tonights winning numbers</t>
  </si>
  <si>
    <t>draw results latest</t>
  </si>
  <si>
    <t>how to pick winning numbers</t>
  </si>
  <si>
    <t>draw results live</t>
  </si>
  <si>
    <t>how to work out lottery numbers</t>
  </si>
  <si>
    <t>draw results login</t>
  </si>
  <si>
    <t>idaho lottery results</t>
  </si>
  <si>
    <t>how to predict lottery numbers trick</t>
  </si>
  <si>
    <t>draw results lottery post</t>
  </si>
  <si>
    <t>draw results miami</t>
  </si>
  <si>
    <t>what are the winning powerball numbers</t>
  </si>
  <si>
    <t>draw results mobile</t>
  </si>
  <si>
    <t>how many numbers in the lottery</t>
  </si>
  <si>
    <t>draw results nassau</t>
  </si>
  <si>
    <t>what lottery numbers come up most</t>
  </si>
  <si>
    <t>draw results official</t>
  </si>
  <si>
    <t>what is the winning powerball numbers</t>
  </si>
  <si>
    <t>draw results paradise games</t>
  </si>
  <si>
    <t>draw results pggames</t>
  </si>
  <si>
    <t>how to pick winning pick 3 numbers</t>
  </si>
  <si>
    <t>draw results stores</t>
  </si>
  <si>
    <t>how to dream about lottery numbers</t>
  </si>
  <si>
    <t>what was the winning powerball number last night</t>
  </si>
  <si>
    <t>draw results today</t>
  </si>
  <si>
    <t>idaho lottery winning numbers</t>
  </si>
  <si>
    <t>draw results tonight</t>
  </si>
  <si>
    <t>how to get winning lottery numbers</t>
  </si>
  <si>
    <t>draw results ultra games</t>
  </si>
  <si>
    <t>what is the powerball winning numbers for tonight</t>
  </si>
  <si>
    <t>lottery numbers 3 ball miami</t>
  </si>
  <si>
    <t>lottery numbers 3-ball miami</t>
  </si>
  <si>
    <t>how many numbers in the irish lottery</t>
  </si>
  <si>
    <t>lottery numbers 4 ball</t>
  </si>
  <si>
    <t>what numbers usually win the lottery</t>
  </si>
  <si>
    <t>how to read lottery numbers</t>
  </si>
  <si>
    <t>lottery numbers 5 ball</t>
  </si>
  <si>
    <t>new jersey lottery results</t>
  </si>
  <si>
    <t>lottery numbers a sure win</t>
  </si>
  <si>
    <t>how to play lottery numbers online</t>
  </si>
  <si>
    <t>lottery numbers asurewin</t>
  </si>
  <si>
    <t>how to guess winning lottery numbers</t>
  </si>
  <si>
    <t>lottery numbers bahamas</t>
  </si>
  <si>
    <t>how to dream of lottery numbers</t>
  </si>
  <si>
    <t>lottery numbers caribbean</t>
  </si>
  <si>
    <t>75, 81, 93, 96, 80, 86, 78, 79, 103, 83, 85, 76, 75, 81, 93, 96, 80, 86, 78, 79, 103, 83, 85, 76</t>
  </si>
  <si>
    <t>75, 81, 93, 96, 80, 87, 78, 79, 103, 83, 85, 76, 75</t>
  </si>
  <si>
    <t>lottery numbers chances</t>
  </si>
  <si>
    <t>what will be the next powerball winning numbers</t>
  </si>
  <si>
    <t>ultra games winning number</t>
  </si>
  <si>
    <t>lottery numbers draw</t>
  </si>
  <si>
    <t>how are lottery numbers generated</t>
  </si>
  <si>
    <t>lottery numbers draw time</t>
  </si>
  <si>
    <t>lottery numbers for the day</t>
  </si>
  <si>
    <t>dream about poop what the lottery numbers</t>
  </si>
  <si>
    <t>lottery numbers freeport</t>
  </si>
  <si>
    <t>california lottery winning numbers</t>
  </si>
  <si>
    <t>lottery numbers island luck</t>
  </si>
  <si>
    <t>what are winning lottery numbers</t>
  </si>
  <si>
    <t>lottery numbers jackpot</t>
  </si>
  <si>
    <t>lottery numbers latest</t>
  </si>
  <si>
    <t>what are mirror numbers in lottery</t>
  </si>
  <si>
    <t>97, 100, 95, 101, 103, 92, 87, 91, 99, 93, 94, 92, 89, 92, 87, 93, 95, 84, 80, 83, 91, 86, 86, 84</t>
  </si>
  <si>
    <t>lottery numbers live</t>
  </si>
  <si>
    <t>82, 85, 80, 86, 88, 77, 73, 76, 84, 79, 80, 78, 76</t>
  </si>
  <si>
    <t>when are green card lottery results released</t>
  </si>
  <si>
    <t>lottery numbers login</t>
  </si>
  <si>
    <t>tennessee lottery results</t>
  </si>
  <si>
    <t>lottery numbers lottery post</t>
  </si>
  <si>
    <t>what is the winning powerball number</t>
  </si>
  <si>
    <t>lottery numbers miami</t>
  </si>
  <si>
    <t>how to get winning numbers</t>
  </si>
  <si>
    <t>lottery numbers mobile</t>
  </si>
  <si>
    <t>how to guess lottery numbers</t>
  </si>
  <si>
    <t>76, 76, 73, 73, 74, 79, 78, 79, 83, 81, 78, 74, 76, 76, 73, 73, 74, 79, 78, 79, 84, 81, 78, 74</t>
  </si>
  <si>
    <t>lottery numbers nassau</t>
  </si>
  <si>
    <t>76, 76, 73, 73, 75, 79, 78, 79, 84, 81, 78, 74, 77</t>
  </si>
  <si>
    <t>miami lottery results</t>
  </si>
  <si>
    <t>what was the florida lottery numbers last night</t>
  </si>
  <si>
    <t>lottery numbers official</t>
  </si>
  <si>
    <t>lottery numbers paradise games</t>
  </si>
  <si>
    <t>how do you play lottery numbers</t>
  </si>
  <si>
    <t>lottery numbers pggames</t>
  </si>
  <si>
    <t>what are the best lottery numbers to play today?</t>
  </si>
  <si>
    <t>lottery numbers stores</t>
  </si>
  <si>
    <t>california lottery past winning numbers</t>
  </si>
  <si>
    <t>what is winning numbers</t>
  </si>
  <si>
    <t>lottery numbers ultra games</t>
  </si>
  <si>
    <t>california winning number</t>
  </si>
  <si>
    <t>how to pick 5 lottery numbers</t>
  </si>
  <si>
    <t>lottery results 3 ball miami</t>
  </si>
  <si>
    <t>what are the lottery numbers</t>
  </si>
  <si>
    <t>lottery results 3-ball miami</t>
  </si>
  <si>
    <t>lottery results 4 ball</t>
  </si>
  <si>
    <t>how many numbers are in the lottery</t>
  </si>
  <si>
    <t>lottery results 5 ball</t>
  </si>
  <si>
    <t>illinois winning numbers</t>
  </si>
  <si>
    <t>what fall winning numbers</t>
  </si>
  <si>
    <t>lottery results a sure win</t>
  </si>
  <si>
    <t>what is the lottery numbers for tonight</t>
  </si>
  <si>
    <t>lottery results asurewin</t>
  </si>
  <si>
    <t>lottery results bahamas</t>
  </si>
  <si>
    <t>what are the powerball winning numbers</t>
  </si>
  <si>
    <t>lottery results caribbean</t>
  </si>
  <si>
    <t>lottery results for today please</t>
  </si>
  <si>
    <t>how are the lottery numbers picked</t>
  </si>
  <si>
    <t>lottery results chances</t>
  </si>
  <si>
    <t>how many lottery numbers are there</t>
  </si>
  <si>
    <t>island luck winning numbers for today</t>
  </si>
  <si>
    <t>lottery results draw</t>
  </si>
  <si>
    <t>how to study lottery numbers</t>
  </si>
  <si>
    <t>lottery results draw time</t>
  </si>
  <si>
    <t>winning number island luck winning numbers</t>
  </si>
  <si>
    <t>lottery results for the day</t>
  </si>
  <si>
    <t>new york winning numbers</t>
  </si>
  <si>
    <t>lottery results freeport</t>
  </si>
  <si>
    <t>new york lottery</t>
  </si>
  <si>
    <t>lottery results island luck</t>
  </si>
  <si>
    <t>lottery results jackpot</t>
  </si>
  <si>
    <t>flalottery winning numbers</t>
  </si>
  <si>
    <t>lottery results login</t>
  </si>
  <si>
    <t>lottery results miami</t>
  </si>
  <si>
    <t>lottery results mobile</t>
  </si>
  <si>
    <t>lottery results nassau</t>
  </si>
  <si>
    <t>illinois lottery winning numbers</t>
  </si>
  <si>
    <t>lottery results official</t>
  </si>
  <si>
    <t>lottery results paradise games</t>
  </si>
  <si>
    <t>lottery results pggames</t>
  </si>
  <si>
    <t>lottery results stores</t>
  </si>
  <si>
    <t>lottery results ultra games</t>
  </si>
  <si>
    <t>lottery winning numbers 3 ball miami</t>
  </si>
  <si>
    <t>lottery winning numbers 3-ball miami</t>
  </si>
  <si>
    <t>lottery winning numbers 4 ball</t>
  </si>
  <si>
    <t>lottery winning numbers 5 ball</t>
  </si>
  <si>
    <t>lottery winning numbers a sure win</t>
  </si>
  <si>
    <t>florida lotto winning numbers</t>
  </si>
  <si>
    <t>lottery winning numbers app</t>
  </si>
  <si>
    <t>lottery winning numbers asurewin</t>
  </si>
  <si>
    <t>lottery winning numbers bahamas</t>
  </si>
  <si>
    <t>islandluck.com winning numbers</t>
  </si>
  <si>
    <t>lottery winning numbers caribbean</t>
  </si>
  <si>
    <t>lottery winning numbers chances</t>
  </si>
  <si>
    <t>lottery winning numbers draw</t>
  </si>
  <si>
    <t>lottery winning numbers draw time</t>
  </si>
  <si>
    <t>michigan winning numbers</t>
  </si>
  <si>
    <t>lottery winning numbers for the day</t>
  </si>
  <si>
    <t>ohio lottery results</t>
  </si>
  <si>
    <t>lottery winning numbers freeport</t>
  </si>
  <si>
    <t>lottery winning numbers island luck</t>
  </si>
  <si>
    <t>lottery winning numbers jackpot</t>
  </si>
  <si>
    <t>lottery winning numbers latest</t>
  </si>
  <si>
    <t>florida lotto results</t>
  </si>
  <si>
    <t>lottery winning numbers live</t>
  </si>
  <si>
    <t>lottery winning numbers login</t>
  </si>
  <si>
    <t>lottery winning numbers lottery post</t>
  </si>
  <si>
    <t>us lottery results</t>
  </si>
  <si>
    <t>lottery winning numbers miami</t>
  </si>
  <si>
    <t>lottery winning numbers mobile</t>
  </si>
  <si>
    <t>lottery winning numbers nassau</t>
  </si>
  <si>
    <t>lottery winning numbers official</t>
  </si>
  <si>
    <t>island island luck winning numbers</t>
  </si>
  <si>
    <t>lottery winning numbers paradise games</t>
  </si>
  <si>
    <t>lottery winning numbers pggames</t>
  </si>
  <si>
    <t>lottery winning numbers results</t>
  </si>
  <si>
    <t>lottery winning numbers stores</t>
  </si>
  <si>
    <t>florida winning number</t>
  </si>
  <si>
    <t>lottery winning numbers ultra games</t>
  </si>
  <si>
    <t>lotto numbers 3 ball miami</t>
  </si>
  <si>
    <t>Video preview</t>
  </si>
  <si>
    <t>lotto numbers 3-ball miami</t>
  </si>
  <si>
    <t>florida winning lotto number</t>
  </si>
  <si>
    <t>lotto numbers 4 ball</t>
  </si>
  <si>
    <t>lotto numbers 5 ball</t>
  </si>
  <si>
    <t>lotto numbers a sure win</t>
  </si>
  <si>
    <t>lotto numbers app</t>
  </si>
  <si>
    <t>lotto numbers asurewin</t>
  </si>
  <si>
    <t>island luck winning numbers login account</t>
  </si>
  <si>
    <t>lotto numbers bahamas</t>
  </si>
  <si>
    <t>lotto numbers caribbean</t>
  </si>
  <si>
    <t>winning numbers winning numbers today florida pick 3</t>
  </si>
  <si>
    <t>lotto numbers chances</t>
  </si>
  <si>
    <t>new hampshire lottery winning numbers</t>
  </si>
  <si>
    <t>lotto numbers draw</t>
  </si>
  <si>
    <t>lotto numbers draw time</t>
  </si>
  <si>
    <t>new mexico lottery results</t>
  </si>
  <si>
    <t>lotto numbers for the day</t>
  </si>
  <si>
    <t>lotto numbers freeport</t>
  </si>
  <si>
    <t>new mexico lottery</t>
  </si>
  <si>
    <t>lotto numbers island luck</t>
  </si>
  <si>
    <t>lotto numbers jackpot</t>
  </si>
  <si>
    <t>lotto numbers latest</t>
  </si>
  <si>
    <t>paradise games winning numbers</t>
  </si>
  <si>
    <t>lotto numbers live</t>
  </si>
  <si>
    <t>paradise games winning number</t>
  </si>
  <si>
    <t>Video preview,People also ask</t>
  </si>
  <si>
    <t>lotto numbers login</t>
  </si>
  <si>
    <t>fl lottery winning numbers</t>
  </si>
  <si>
    <t>lotto numbers lottery post</t>
  </si>
  <si>
    <t>lotto numbers miami</t>
  </si>
  <si>
    <t>lotto numbers mobile</t>
  </si>
  <si>
    <t>tennessee lottery winning numbers</t>
  </si>
  <si>
    <t>lotto numbers nassau</t>
  </si>
  <si>
    <t>morning tennessee lottery</t>
  </si>
  <si>
    <t>lotto numbers official</t>
  </si>
  <si>
    <t>ultra game winning numbers</t>
  </si>
  <si>
    <t>lotto numbers paradise games</t>
  </si>
  <si>
    <t>lotto numbers pggames</t>
  </si>
  <si>
    <t>lotto numbers stores</t>
  </si>
  <si>
    <t>lotto numbers ultra games</t>
  </si>
  <si>
    <t>island luck winning numbers login account login</t>
  </si>
  <si>
    <t>lotto results 3 ball miami</t>
  </si>
  <si>
    <t>lotto results 3-ball miami</t>
  </si>
  <si>
    <t>mega millions winning numbers</t>
  </si>
  <si>
    <t>lotto results 4 ball</t>
  </si>
  <si>
    <t>lotto results 5 ball</t>
  </si>
  <si>
    <t>lotto results a sure win</t>
  </si>
  <si>
    <t>lotto results app</t>
  </si>
  <si>
    <t>chicago lottery results</t>
  </si>
  <si>
    <t>lotto results asurewin</t>
  </si>
  <si>
    <t>lotto results bahamas</t>
  </si>
  <si>
    <t>quick draw winning numbers</t>
  </si>
  <si>
    <t>lotto results caribbean</t>
  </si>
  <si>
    <t>lotto results chances</t>
  </si>
  <si>
    <t>lotto results draw</t>
  </si>
  <si>
    <t>lotto results draw time</t>
  </si>
  <si>
    <t>lotto results for the day</t>
  </si>
  <si>
    <t>miami winning numbers</t>
  </si>
  <si>
    <t>lotto results freeport</t>
  </si>
  <si>
    <t>lotto results island luck</t>
  </si>
  <si>
    <t>lotto results jackpot</t>
  </si>
  <si>
    <t>new york winning lotto number</t>
  </si>
  <si>
    <t>lotto results latest</t>
  </si>
  <si>
    <t>lotto results live</t>
  </si>
  <si>
    <t>lotto results login</t>
  </si>
  <si>
    <t>florida lottery numbers</t>
  </si>
  <si>
    <t>lotto results lottery post</t>
  </si>
  <si>
    <t>lotto results miami</t>
  </si>
  <si>
    <t>lotto results mobile</t>
  </si>
  <si>
    <t>ny lottery results</t>
  </si>
  <si>
    <t>lotto results nassau</t>
  </si>
  <si>
    <t>lotto results official</t>
  </si>
  <si>
    <t>lotto results paradise games</t>
  </si>
  <si>
    <t>island luck winning number for today</t>
  </si>
  <si>
    <t>lotto results pggames</t>
  </si>
  <si>
    <t>lotto results stores</t>
  </si>
  <si>
    <t>lottery results.</t>
  </si>
  <si>
    <t>lotto results ultra games</t>
  </si>
  <si>
    <t>numbers today 3 ball miami</t>
  </si>
  <si>
    <t>tennessee winning numbers</t>
  </si>
  <si>
    <t>numbers today 3-ball miami</t>
  </si>
  <si>
    <t>numbers today 4 ball</t>
  </si>
  <si>
    <t>numbers today 5 ball</t>
  </si>
  <si>
    <t>chances winning numbers for today</t>
  </si>
  <si>
    <t>numbers today a sure win</t>
  </si>
  <si>
    <t>numbers today app</t>
  </si>
  <si>
    <t>numbers today asurewin</t>
  </si>
  <si>
    <t>new york winning number</t>
  </si>
  <si>
    <t>numbers today bahamas</t>
  </si>
  <si>
    <t>numbers today caribbean</t>
  </si>
  <si>
    <t>numbers today chances</t>
  </si>
  <si>
    <t>numbers today draw</t>
  </si>
  <si>
    <t>chances winning lottery random numbers</t>
  </si>
  <si>
    <t>numbers today draw time</t>
  </si>
  <si>
    <t>People also ask,Sitelinks</t>
  </si>
  <si>
    <t>numbers today for the day</t>
  </si>
  <si>
    <t>maryland lottery results</t>
  </si>
  <si>
    <t>numbers today for today</t>
  </si>
  <si>
    <t>maryland lottery</t>
  </si>
  <si>
    <t>numbers today freeport</t>
  </si>
  <si>
    <t>numbers today island luck</t>
  </si>
  <si>
    <t>kansas winning numbers</t>
  </si>
  <si>
    <t>numbers today jackpot</t>
  </si>
  <si>
    <t>numbers today latest</t>
  </si>
  <si>
    <t>numbers today live</t>
  </si>
  <si>
    <t>numbers today login</t>
  </si>
  <si>
    <t>georgia lottery winning numbers</t>
  </si>
  <si>
    <t>numbers today lottery post</t>
  </si>
  <si>
    <t>numbers today miami</t>
  </si>
  <si>
    <t>numbers today mobile</t>
  </si>
  <si>
    <t>powerball winning numbers last night</t>
  </si>
  <si>
    <t>numbers today nassau</t>
  </si>
  <si>
    <t>numbers today official</t>
  </si>
  <si>
    <t>lottery post results all states</t>
  </si>
  <si>
    <t>numbers today paradise games</t>
  </si>
  <si>
    <t>island luck winning numbers list</t>
  </si>
  <si>
    <t>numbers today pggames</t>
  </si>
  <si>
    <t>numbers today results</t>
  </si>
  <si>
    <t>ontario lottery results</t>
  </si>
  <si>
    <t>canada lottery</t>
  </si>
  <si>
    <t>numbers today stores</t>
  </si>
  <si>
    <t>numbers today tonight</t>
  </si>
  <si>
    <t>numbers today ultra games</t>
  </si>
  <si>
    <t>winning number winning number</t>
  </si>
  <si>
    <t>winning number 3 ball miami</t>
  </si>
  <si>
    <t>winning number 3-ball miami</t>
  </si>
  <si>
    <t>winning number 4 ball</t>
  </si>
  <si>
    <t>winning number 5 ball</t>
  </si>
  <si>
    <t>kansas winning number</t>
  </si>
  <si>
    <t>winning number a sure win</t>
  </si>
  <si>
    <t>winning number app</t>
  </si>
  <si>
    <t>winning number asurewin</t>
  </si>
  <si>
    <t>winning numbers winning numbers nassau</t>
  </si>
  <si>
    <t>winning number bahamas</t>
  </si>
  <si>
    <t>winning number caribbean</t>
  </si>
  <si>
    <t>ohio lottery winning numbers</t>
  </si>
  <si>
    <t>winning number chances</t>
  </si>
  <si>
    <t>winning number draw</t>
  </si>
  <si>
    <t>winning number draw time</t>
  </si>
  <si>
    <t>illinois winning numbers for today</t>
  </si>
  <si>
    <t>winning number for the day</t>
  </si>
  <si>
    <t>winning number freeport</t>
  </si>
  <si>
    <t>tennessee lottery numbers today</t>
  </si>
  <si>
    <t>winning number jackpot</t>
  </si>
  <si>
    <t>www.flalottery.com winning numbers</t>
  </si>
  <si>
    <t>winning number latest</t>
  </si>
  <si>
    <t>winning number live</t>
  </si>
  <si>
    <t>winning number login</t>
  </si>
  <si>
    <t>winning number lottery post</t>
  </si>
  <si>
    <t>kentucky lottery results</t>
  </si>
  <si>
    <t>winning number miami</t>
  </si>
  <si>
    <t>winning number mobile</t>
  </si>
  <si>
    <t>nba draft lottery results</t>
  </si>
  <si>
    <t>winning number nassau</t>
  </si>
  <si>
    <t>winning number official</t>
  </si>
  <si>
    <t>bet vegas winning numbers</t>
  </si>
  <si>
    <t>winning number paradise games</t>
  </si>
  <si>
    <t>winning number pggames</t>
  </si>
  <si>
    <t>winning number stores</t>
  </si>
  <si>
    <t>lucky winning numbers today</t>
  </si>
  <si>
    <t>winning number ultra games</t>
  </si>
  <si>
    <t>winning numbers 3 ball miami</t>
  </si>
  <si>
    <t>winning numbers 3-ball miami</t>
  </si>
  <si>
    <t>winning numbers 4 ball</t>
  </si>
  <si>
    <t>florida lottery results last night</t>
  </si>
  <si>
    <t>winning numbers 5 ball</t>
  </si>
  <si>
    <t>winning numbers a sure win</t>
  </si>
  <si>
    <t>lotto winning numbers</t>
  </si>
  <si>
    <t>winning numbers app</t>
  </si>
  <si>
    <t>winning numbers asurewin</t>
  </si>
  <si>
    <t>winning numbers bahamas</t>
  </si>
  <si>
    <t>ny lottery numbers</t>
  </si>
  <si>
    <t>winning numbers caribbean</t>
  </si>
  <si>
    <t>winning numbers draw</t>
  </si>
  <si>
    <t>sure win winning numbers</t>
  </si>
  <si>
    <t>winning numbers draw time</t>
  </si>
  <si>
    <t>winning numbers for the day</t>
  </si>
  <si>
    <t>winning numbers freeport</t>
  </si>
  <si>
    <t>winning numbers jackpot</t>
  </si>
  <si>
    <t>winning numbers latest</t>
  </si>
  <si>
    <t>connecticut lottery results</t>
  </si>
  <si>
    <t>winning numbers live</t>
  </si>
  <si>
    <t>winning numbers login</t>
  </si>
  <si>
    <t>everybody wins winning numbers</t>
  </si>
  <si>
    <t>winning numbers lottery post</t>
  </si>
  <si>
    <t>winning numbers miami</t>
  </si>
  <si>
    <t>winning numbers mobile</t>
  </si>
  <si>
    <t>winning numbers nassau</t>
  </si>
  <si>
    <t>florida lottery - winning numbers by date</t>
  </si>
  <si>
    <t>winning numbers official</t>
  </si>
  <si>
    <t>winning numbers paradise games</t>
  </si>
  <si>
    <t>winning numbers pggames</t>
  </si>
  <si>
    <t>winning numbers stores</t>
  </si>
  <si>
    <t>winning numbers today 3 ball miami</t>
  </si>
  <si>
    <t>california lotto winning numbers</t>
  </si>
  <si>
    <t>winning numbers today 3-ball miami</t>
  </si>
  <si>
    <t>winning numbers today 4 ball</t>
  </si>
  <si>
    <t>winning numbers today 5 ball</t>
  </si>
  <si>
    <t>island luck login winning numbers</t>
  </si>
  <si>
    <t>winning numbers today a sure win</t>
  </si>
  <si>
    <t>winning numbers today app</t>
  </si>
  <si>
    <t>winning numbers today asurewin</t>
  </si>
  <si>
    <t>lottery post winning number</t>
  </si>
  <si>
    <t>winning numbers today bahamas</t>
  </si>
  <si>
    <t>winning numbers today caribbean</t>
  </si>
  <si>
    <t>winning numbers today chances</t>
  </si>
  <si>
    <t>winning numbers today draw</t>
  </si>
  <si>
    <t>miami lottery winning numbers</t>
  </si>
  <si>
    <t>winning numbers today draw time</t>
  </si>
  <si>
    <t>winning numbers today for the day</t>
  </si>
  <si>
    <t>winning numbers today for today</t>
  </si>
  <si>
    <t>maine lottery results</t>
  </si>
  <si>
    <t>winning numbers today freeport</t>
  </si>
  <si>
    <t>winning numbers today island luck</t>
  </si>
  <si>
    <t>island luck winning numbers q</t>
  </si>
  <si>
    <t>winning numbers today jackpot</t>
  </si>
  <si>
    <t>winning numbers today latest</t>
  </si>
  <si>
    <t>pennsylvania lottery results</t>
  </si>
  <si>
    <t>winning numbers today live</t>
  </si>
  <si>
    <t>ultra games winning numbers bahamas</t>
  </si>
  <si>
    <t>winning numbers today login</t>
  </si>
  <si>
    <t>winning numbers today lottery post</t>
  </si>
  <si>
    <t>michigan lottery results</t>
  </si>
  <si>
    <t>winning numbers today miami</t>
  </si>
  <si>
    <t>michigan lottery</t>
  </si>
  <si>
    <t>winning numbers today mobile</t>
  </si>
  <si>
    <t>winning numbers today nassau</t>
  </si>
  <si>
    <t>winning numbers today official</t>
  </si>
  <si>
    <t>winning numbers today paradise games</t>
  </si>
  <si>
    <t>maryland winning numbers</t>
  </si>
  <si>
    <t>winning numbers today pggames</t>
  </si>
  <si>
    <t>winning numbers today results</t>
  </si>
  <si>
    <t>chance winning numbers</t>
  </si>
  <si>
    <t>winning numbers today stores</t>
  </si>
  <si>
    <t>winning numbers today tonight</t>
  </si>
  <si>
    <t>winning numbers today ultra games</t>
  </si>
  <si>
    <t>lottery post winning numbers</t>
  </si>
  <si>
    <t>the lottery post results</t>
  </si>
  <si>
    <t>delaware lottery results</t>
  </si>
  <si>
    <t>island luck winning numbers today show</t>
  </si>
  <si>
    <t>ultra winning numbers</t>
  </si>
  <si>
    <t>usa lottery results</t>
  </si>
  <si>
    <t>ny lottery winning numbers</t>
  </si>
  <si>
    <t>new york (ny) lottery - winning numbers &amp; results</t>
  </si>
  <si>
    <t>michigan winning number</t>
  </si>
  <si>
    <t>florida powerball winning numbers</t>
  </si>
  <si>
    <t>florida powerball</t>
  </si>
  <si>
    <t>new mexico winning numbers</t>
  </si>
  <si>
    <t>lottery post results</t>
  </si>
  <si>
    <t>georgia winning numbers</t>
  </si>
  <si>
    <t>loteria georgia</t>
  </si>
  <si>
    <t>island luck winning numbers for the day today and tomorrow</t>
  </si>
  <si>
    <t>www florida lottery winning numbers</t>
  </si>
  <si>
    <t>chances winning numbers today</t>
  </si>
  <si>
    <t>chances winning numbers for today winning numbers</t>
  </si>
  <si>
    <t>chances games winning numbers</t>
  </si>
  <si>
    <t>south carolina lottery results</t>
  </si>
  <si>
    <t>tci lotto winning numbers</t>
  </si>
  <si>
    <t>lotto max winning numbers</t>
  </si>
  <si>
    <t>virginia lottery post results</t>
  </si>
  <si>
    <t>flowers winning numbers</t>
  </si>
  <si>
    <t>california.lottery winning numbers</t>
  </si>
  <si>
    <t>ultra game winning number</t>
  </si>
  <si>
    <t>show winning numbers</t>
  </si>
  <si>
    <t>www island luck winning numbers</t>
  </si>
  <si>
    <t>north carolina lottery results</t>
  </si>
  <si>
    <t>nc lottery</t>
  </si>
  <si>
    <t>arkansas lottery results</t>
  </si>
  <si>
    <t>fantasy 5 winning numbers</t>
  </si>
  <si>
    <t>fantasy 5</t>
  </si>
  <si>
    <t>asure winning numbers</t>
  </si>
  <si>
    <t>winning lottery numbers</t>
  </si>
  <si>
    <t>virginia lottery results</t>
  </si>
  <si>
    <t>virginia lottery</t>
  </si>
  <si>
    <t>california winning lottery numbers</t>
  </si>
  <si>
    <t>chances winning number chances winning number</t>
  </si>
  <si>
    <t>AI Overview,People also ask</t>
  </si>
  <si>
    <t>new york lottery winning numbers</t>
  </si>
  <si>
    <t>idaho winning numbers</t>
  </si>
  <si>
    <t>new york winning numbers for today</t>
  </si>
  <si>
    <t>paradise winning numbers</t>
  </si>
  <si>
    <t>pgweb winning numbers</t>
  </si>
  <si>
    <t>island luck winning number island luck winning number</t>
  </si>
  <si>
    <t>n y lottery results</t>
  </si>
  <si>
    <t>north carolina winning lottery number</t>
  </si>
  <si>
    <t>lottery dream numbers for today</t>
  </si>
  <si>
    <t>texas winning numbers</t>
  </si>
  <si>
    <t>lottery winning number</t>
  </si>
  <si>
    <t>ultra games winning numbers yesterday</t>
  </si>
  <si>
    <t>florida past winning numbers</t>
  </si>
  <si>
    <t>georgia lotto results</t>
  </si>
  <si>
    <t>asurewin winning number</t>
  </si>
  <si>
    <t>georgia winning number</t>
  </si>
  <si>
    <t>island luck</t>
  </si>
  <si>
    <t>island luck the winning number</t>
  </si>
  <si>
    <t>160714, 177862, 171505, 185714, 158268, 159536, 139864, 154355, 125618, 133033, 152471, 137629, 148816, 127680, 143139, 159114, 162147, 147401, 118019, 125924, 99497, 102484, 129085, 129767</t>
  </si>
  <si>
    <t>131750, 129278, 135576, 139268, 134368, 133228, 130161, 141387, 127320, 124520, 122517, 123136, 124990</t>
  </si>
  <si>
    <t>Lottery; Sports betting</t>
  </si>
  <si>
    <t>missouri lottery winning numbers</t>
  </si>
  <si>
    <t>island luck winning numbers for today youtube</t>
  </si>
  <si>
    <t>chance games winning numbers</t>
  </si>
  <si>
    <t>idaho lottery check my numbers</t>
  </si>
  <si>
    <t>13637, 14610, 12600, 13110, 13657, 14445, 14003, 13460, 12988, 14103, 12931, 11957, 13123, 11332, 13159, 13379, 13266, 13062, 13838, 13279, 12039, 14133, 14043, 14041</t>
  </si>
  <si>
    <t>14821, 14191, 14418, 15054, 14825, 14939, 14062, 14420, 14780, 14465, 14376, 14374, 15154</t>
  </si>
  <si>
    <t>chances</t>
  </si>
  <si>
    <t>islandluck winning number</t>
  </si>
  <si>
    <t>island luck winning numbers for yesterday</t>
  </si>
  <si>
    <t>9782, 9700, 9887, 9445, 9487, 9621, 9105, 9414, 9382, 9538, 9537, 9607, 9815, 9728, 9911, 9464, 9503, 9635, 9116, 9424, 9390, 9545, 9543, 9613</t>
  </si>
  <si>
    <t>9820, 9732, 9914, 9467, 9506, 9637, 9118, 9425, 9391, 9546, 9544, 9613, 9820</t>
  </si>
  <si>
    <t>delaware lottery winning numbers</t>
  </si>
  <si>
    <t>asurewin</t>
  </si>
  <si>
    <t>sure win</t>
  </si>
  <si>
    <t>florida lottery winning numbers today</t>
  </si>
  <si>
    <t>6804, 7884, 7724, 9213, 9593, 9325, 9746, 11159, 9772, 9187, 9957, 9280, 9913, 8124, 8550, 9128, 8598, 10503, 10770, 10697, 7252, 9291, 10196, 9538</t>
  </si>
  <si>
    <t>9701, 9351, 9446, 9229, 9659, 9860, 10183, 10557, 9114, 9394, 10299, 9641</t>
  </si>
  <si>
    <t>Hospitality industry; Gambling</t>
  </si>
  <si>
    <t>island</t>
  </si>
  <si>
    <t>national lottery results</t>
  </si>
  <si>
    <t>Thumbnail,People also ask,Top stories,Bottom ads,Video preview</t>
  </si>
  <si>
    <t>florida lottery winning numbers last night</t>
  </si>
  <si>
    <t>9802, 9493, 10307, 9921, 8875, 9332, 8301, 8971, 7801, 8758, 9051, 8594, 9025, 8629, 9522, 9085, 8091, 8517, 7521, 8175, 7029, 7978, 8287, 7827</t>
  </si>
  <si>
    <t>rhode island lottery results</t>
  </si>
  <si>
    <t>8271, 7876, 8779, 8344, 7359, 7788, 6800, 7457, 6318, 7271, 7587, 7131, 7581</t>
  </si>
  <si>
    <t>Encyclopedias; Educational</t>
  </si>
  <si>
    <t>www.illinois lottery results</t>
  </si>
  <si>
    <t>florida lottery winning number</t>
  </si>
  <si>
    <t>chance games</t>
  </si>
  <si>
    <t>lottery archive results</t>
  </si>
  <si>
    <t>island luck winning numbers for last night</t>
  </si>
  <si>
    <t>7555, 7224, 6837, 7926, 7682, 6543, 6670, 6516, 6369, 6727, 6008, 5418, 5709, 5603, 5768, 6489, 6505, 6709, 6666, 6513, 6367, 6726, 6006, 5416</t>
  </si>
  <si>
    <t>5708, 5602, 5767, 6489, 6504, 6708, 6666, 6513, 6367, 6725, 6006, 5416, 5708</t>
  </si>
  <si>
    <t>Gambling</t>
  </si>
  <si>
    <t>islandluck</t>
  </si>
  <si>
    <t>chances winning numbers login</t>
  </si>
  <si>
    <t>6526, 6535, 6530, 6846, 6932, 6697, 5759, 6182, 5801, 4811, 3528, 3849, 4637, 5117, 5511, 4792, 7519, 7933, 6823, 5429, 4510, 3793, 3438, 4235</t>
  </si>
  <si>
    <t>6920, 7359, 5496, 4793, 7519, 7933, 6823, 5429, 4510, 3793, 3438, 4235, 6920</t>
  </si>
  <si>
    <t>fml games winning numbers</t>
  </si>
  <si>
    <t>winning numbers new york</t>
  </si>
  <si>
    <t>Sitelinks,People also ask,Video preview</t>
  </si>
  <si>
    <t>unlock winning numbers</t>
  </si>
  <si>
    <t>2876, 2628, 3191, 4988, 4796, 4793, 5809, 5050, 5192, 4927, 5412, 3522, 3617, 4452, 3973, 5050, 5387, 7148, 5650, 4975, 5213, 5198, 5104, 4885</t>
  </si>
  <si>
    <t>4923, 4991, 4946, 5148, 5160, 5171, 5172, 5078, 5160, 5150, 5052, 4836, 4871</t>
  </si>
  <si>
    <t>Drama films</t>
  </si>
  <si>
    <t>island luck login</t>
  </si>
  <si>
    <t>maryland lottery winning numbers</t>
  </si>
  <si>
    <t>Navigational,Transactional,Branded,Non-local</t>
  </si>
  <si>
    <t>4643, 4436, 5551, 8965, 7570, 7755, 6986, 6973, 5187, 4841, 5014, 4827, 5119, 4593, 4495, 4959, 4742, 4886, 4738, 4878, 4343, 4220, 4222, 4193</t>
  </si>
  <si>
    <t>paradise game winning number</t>
  </si>
  <si>
    <t>4161, 3981, 4418, 4775, 4550, 4702, 4548, 4693, 4156, 4036, 4037, 4010, 3978</t>
  </si>
  <si>
    <t>Sports betting</t>
  </si>
  <si>
    <t>chances login</t>
  </si>
  <si>
    <t>tennessee lottery numbers</t>
  </si>
  <si>
    <t>Navigational,Branded,Non-local</t>
  </si>
  <si>
    <t>island luck login winning numbers island luck</t>
  </si>
  <si>
    <t>3621, 3728, 4046, 4350, 4166, 4942, 5002, 4132, 4099, 3873, 4018, 3169, 3951, 4064, 4409, 4737, 4534, 5375, 5437, 4489, 4450, 4202, 4358, 3435</t>
  </si>
  <si>
    <t>4280, 4400, 4771, 5123, 4901, 5808, 5872, 4846, 4801, 4532, 4698, 3701, 4609</t>
  </si>
  <si>
    <t>fantasy 5 winning numbers california</t>
  </si>
  <si>
    <t>island luck winning numbers bahamas</t>
  </si>
  <si>
    <t>Sitelinks,Top stories,Thumbnail,Video preview</t>
  </si>
  <si>
    <t>4088, 3963, 4550, 4517, 4263, 4475, 4362, 4073, 4714, 4036, 3963, 3706, 4031, 3908, 4486, 4454, 4203, 4412, 4300, 4016, 4647, 3979, 3907, 3654</t>
  </si>
  <si>
    <t>results illinois lottery</t>
  </si>
  <si>
    <t>3974, 3852, 4423, 4391, 4144, 4349, 4239, 3959, 4581, 3922, 3851, 3602, 3917</t>
  </si>
  <si>
    <t>chances of winning the lottery</t>
  </si>
  <si>
    <t>winning numbers florida</t>
  </si>
  <si>
    <t>florida lotto winning numbers last night</t>
  </si>
  <si>
    <t>powerball winning numbers tonight</t>
  </si>
  <si>
    <t>3716, 4545, 4452, 4032, 3577, 4243, 4327, 4763, 4529, 3956, 3812, 3901, 3641, 4471, 4394, 3990, 3547, 4214, 4303, 4742, 4513, 3944, 3804, 3894</t>
  </si>
  <si>
    <t>3635, 4466, 4390, 3987, 3545, 4212, 4301, 4741, 4512, 3943, 3803, 3893, 3635</t>
  </si>
  <si>
    <t>login island luck winning numbers</t>
  </si>
  <si>
    <t>florida winning lottery numbers</t>
  </si>
  <si>
    <t>chicago lottery winning numbers</t>
  </si>
  <si>
    <t>nlcb lotto results</t>
  </si>
  <si>
    <t>island luck winning</t>
  </si>
  <si>
    <t>florida lottery pick 3 results</t>
  </si>
  <si>
    <t>island luck - nassau winning numbers</t>
  </si>
  <si>
    <t>chances casino winning numbers</t>
  </si>
  <si>
    <t>3715, 3631, 3730, 3578, 3846, 3919, 3679, 3880, 3634, 3767, 3929, 3655, 3715, 3631, 3730, 3578, 3846, 3919, 3679, 3880, 3634, 3767, 3929, 3655</t>
  </si>
  <si>
    <t>3715, 3631, 3730, 3578, 3846, 3919, 3679, 3880, 3634, 3767, 3929, 3655</t>
  </si>
  <si>
    <t>california lottery winning numbers results</t>
  </si>
  <si>
    <t>florida lottery winning numbers by date</t>
  </si>
  <si>
    <t>all lotto results</t>
  </si>
  <si>
    <t>ultra games</t>
  </si>
  <si>
    <t>Sitelinks,Video preview,Thumbnail</t>
  </si>
  <si>
    <t>florida results lottery</t>
  </si>
  <si>
    <t>2569, 2820, 2913, 2846, 2989, 2996, 3252, 3901, 2628, 2413, 2568, 2539, 2575, 2825, 2918, 2851, 2994, 2999, 3256, 3904, 2630, 2415, 2570, 2541</t>
  </si>
  <si>
    <t>2576, 2827, 2919, 2852, 2995, 3000, 3257, 3906, 2631, 2416, 2571, 2541, 2576</t>
  </si>
  <si>
    <t>Casino games; Gambling</t>
  </si>
  <si>
    <t>island game</t>
  </si>
  <si>
    <t>pennsylvania lottery winning numbers</t>
  </si>
  <si>
    <t>2729, 2780, 2879, 2751, 2893, 2795, 2761, 2964, 2767, 2739, 2650, 2574, 2728, 2780, 2879, 2751, 2893, 2795, 2761, 2964, 2766, 2739, 2650, 2574</t>
  </si>
  <si>
    <t>2728, 2780, 2879, 2751, 2893, 2795, 2761, 2964, 2766, 2739, 2650, 2574, 2728</t>
  </si>
  <si>
    <t>dv lottery 2026 results</t>
  </si>
  <si>
    <t>Sandbox games</t>
  </si>
  <si>
    <t>miami lotto winning numbers</t>
  </si>
  <si>
    <t>2545, 2189, 2769, 2683, 2357, 2735, 2848, 2751, 2840, 2380, 2845, 2361, 2330, 2131, 2436, 2407, 1838, 2306, 3146, 2945, 2926, 2911, 3002, 2860</t>
  </si>
  <si>
    <t>2795, 2751, 2838, 2847, 2864, 3023, 3160, 2940, 2928, 2914, 3004, 2862, 2797</t>
  </si>
  <si>
    <t>ultra game</t>
  </si>
  <si>
    <t>www chances winning numbers</t>
  </si>
  <si>
    <t>Informational,Navigational,Commercial,Branded,Non-local</t>
  </si>
  <si>
    <t>dc lottery results</t>
  </si>
  <si>
    <t>2209, 934, 1035, 2401, 1550, 1469, 1427, 1516, 1457, 1443, 1894, 1601, 1504, 1468, 1453, 1784, 3654, 4247, 2901, 1816, 1445, 1726, 1532, 1376</t>
  </si>
  <si>
    <t>1343, 1015, 1105, 1350, 1349, 1534, 1396, 1530, 1068, 1142, 1195, 1011, 1053</t>
  </si>
  <si>
    <t>cash 4 life winning numbers</t>
  </si>
  <si>
    <t>florida lottery results post</t>
  </si>
  <si>
    <t>island luck games winning numbers</t>
  </si>
  <si>
    <t>chances winning numbers island luck</t>
  </si>
  <si>
    <t>powerball</t>
  </si>
  <si>
    <t>Sitelinks,Top stories,Thumbnail,People also ask,Video preview,Knowledge panel</t>
  </si>
  <si>
    <t>nassau games winning numbers today</t>
  </si>
  <si>
    <t>1070, 889, 778, 938, 922, 885, 742, 856, 869, 701, 894, 705, 687, 559, 1103, 2038, 2935, 1025, 1199, 3704, 2171, 1612, 1425, 1366</t>
  </si>
  <si>
    <t>1145, 1185, 1496, 1462, 1725, 1909, 2452, 2070, 2302, 1709, 1510, 1447, 1212</t>
  </si>
  <si>
    <t>chances casino</t>
  </si>
  <si>
    <t>missouri lottery results</t>
  </si>
  <si>
    <t>new york winning lottery number</t>
  </si>
  <si>
    <t>1724, 1627, 1922, 1595, 1663, 1493, 1361, 1561, 1549, 1816, 1561, 1604, 1721, 1625, 1919, 1592, 1661, 1492, 1360, 1559, 1548, 1815, 1560, 1602</t>
  </si>
  <si>
    <t>www georgia lottery results</t>
  </si>
  <si>
    <t>1720, 1624, 1918, 1591, 1660, 1491, 1359, 1559, 1547, 1814, 1559, 1602, 1719</t>
  </si>
  <si>
    <t>asure win</t>
  </si>
  <si>
    <t>everybody wins live winning numbers</t>
  </si>
  <si>
    <t>Sitelinks,Local teaser pack,Video preview</t>
  </si>
  <si>
    <t>884, 721, 885, 895, 890, 722, 908, 892, 887, 886, 891, 907, 1237, 1171, 1099, 1394, 1761, 2131, 1606, 1814, 1728, 1619, 1631, 1619</t>
  </si>
  <si>
    <t>1632, 1657, 1570, 1525, 1604, 1636, 1646, 1747, 1652, 1549, 1557, 1548, 1559</t>
  </si>
  <si>
    <t>nassau winning numbers</t>
  </si>
  <si>
    <t>chances games</t>
  </si>
  <si>
    <t>powerball past winning numbers</t>
  </si>
  <si>
    <t>2409, 2137, 2253, 2206, 2524, 2365, 2091, 1997, 2045, 2148, 2011, 1807, 1311, 1646, 1843, 1946, 1615, 1638, 1210, 1210, 1009, 1555, 1460, 1476</t>
  </si>
  <si>
    <t>1474, 1466, 1616, 1676, 1680, 1675, 1530, 1636, 1610, 1554, 1460, 1475, 1473</t>
  </si>
  <si>
    <t>lotto max results</t>
  </si>
  <si>
    <t>chicago winning numbers</t>
  </si>
  <si>
    <t>lottery dream interpretation numbers</t>
  </si>
  <si>
    <t>islandluck.com</t>
  </si>
  <si>
    <t>california lottery daily 3 evening results</t>
  </si>
  <si>
    <t>chances game winning numbers</t>
  </si>
  <si>
    <t>ontario lottery post results</t>
  </si>
  <si>
    <t>Informational,Navigational,Transactional,Branded,Non-local</t>
  </si>
  <si>
    <t>1789, 1746, 1721, 1631, 1791, 1733, 1712, 1739, 1491, 1459, 1477, 1393, 1525, 1485, 1464, 1377, 1541, 1487, 1468, 1499, 1254, 1225, 1247, 1166</t>
  </si>
  <si>
    <t>1300, 1264, 1245, 1162, 1328, 1277, 1261, 1295, 1052, 1027, 1051, 972, 1109</t>
  </si>
  <si>
    <t>chances winning numbers chances</t>
  </si>
  <si>
    <t>ultra games nassau</t>
  </si>
  <si>
    <t>1099, 857, 819, 1318, 744, 1002, 770, 678, 676, 1002, 1035, 723, 844, 654, 889, 1134, 1367, 1388, 1598, 1501, 1531, 1588, 1672, 1599</t>
  </si>
  <si>
    <t>paradise winning number</t>
  </si>
  <si>
    <t>1651, 1612, 1700, 1833, 1768, 1795, 1845, 1817, 1847, 1904, 1988, 1915, 1967</t>
  </si>
  <si>
    <t>www-islandluck-com</t>
  </si>
  <si>
    <t>raven's lucky lottery numbers for pisces</t>
  </si>
  <si>
    <t>1550, 1238, 1295, 1029, 964, 1019, 1011, 1142, 1031, 1151, 1259, 1169, 1607, 1284, 1343, 1067, 999, 1056, 1048, 1184, 1068, 1192, 1304, 1211</t>
  </si>
  <si>
    <t>1665, 1330, 1391, 1105, 1035, 1093, 1085, 1226, 1105, 1234, 1350, 1253, 1722</t>
  </si>
  <si>
    <t>virginia lottery winning numbers</t>
  </si>
  <si>
    <t>the island game</t>
  </si>
  <si>
    <t>florida lotto winning numbers for saturday</t>
  </si>
  <si>
    <t>1243, 1237, 1267, 1181, 1356, 1211, 1196, 1379, 1218, 1095, 1125, 1145, 1251, 1244, 1273, 1185, 1360, 1215, 1199, 1382, 1220, 1096, 1126, 1146</t>
  </si>
  <si>
    <t>1252, 1245, 1274, 1186, 1361, 1215, 1199, 1382, 1221, 1097, 1127, 1146, 1252</t>
  </si>
  <si>
    <t>tennessee lottery cash 3 winning numbers</t>
  </si>
  <si>
    <t>649 winning numbers</t>
  </si>
  <si>
    <t>623, 478, 475, 459, 536, 717, 593, 856, 928, 796, 899, 975, 909, 1006, 1177, 1200, 1265, 1380, 1008, 1019, 1029, 1014, 972, 949</t>
  </si>
  <si>
    <t>958, 957, 1004, 1000, 1012, 1046, 993, 1025, 1019, 1005, 962, 939, 948</t>
  </si>
  <si>
    <t>lottery new york</t>
  </si>
  <si>
    <t>olg winning numbers</t>
  </si>
  <si>
    <t>florida lotto winning numbers by date</t>
  </si>
  <si>
    <t>1018, 819, 912, 1219, 924, 1241, 1099, 1106, 1079, 956, 1181, 920, 1014, 983, 1022, 999, 990, 986, 1256, 1308, 1181, 1139, 1234, 1119</t>
  </si>
  <si>
    <t>1231, 1204, 1168, 1214, 1230, 1195, 1253, 1252, 1182, 1140, 1235, 1120, 1232</t>
  </si>
  <si>
    <t>va lottery results</t>
  </si>
  <si>
    <t>everybody wins</t>
  </si>
  <si>
    <t>pick 4 winning numbers</t>
  </si>
  <si>
    <t>Sitelinks,Local pack,Video preview</t>
  </si>
  <si>
    <t>1351, 1319, 1320, 1111, 1161, 1096, 1227, 1413, 1221, 1254, 1333, 1184, 1229, 1202, 1201, 995, 1044, 981, 1112, 1300, 1108, 1143, 1222, 1074</t>
  </si>
  <si>
    <t>1120, 1094, 1093, 889, 939, 877, 1008, 1198, 1006, 1041, 1122, 975, 1021</t>
  </si>
  <si>
    <t>cash pot winning numbers for today</t>
  </si>
  <si>
    <t>california lottery</t>
  </si>
  <si>
    <t>island luck mobile winning numbers</t>
  </si>
  <si>
    <t>1172, 1167, 1162, 1157, 1151, 1146, 1141, 1136, 1131, 1126, 1122, 1117, 1112, 1107, 1102, 1097, 1092, 1088, 1083, 1078, 1073, 1069, 1064, 1059</t>
  </si>
  <si>
    <t>1055, 1050, 1045, 1041, 1036, 1032, 1027, 1023, 1018, 1014, 1009, 1005, 1001</t>
  </si>
  <si>
    <t>surewin</t>
  </si>
  <si>
    <t>www lottery results</t>
  </si>
  <si>
    <t>pg games winning numbers</t>
  </si>
  <si>
    <t>Informational,Commercial,Branded,Non-local</t>
  </si>
  <si>
    <t>485, 404, 481, 703, 680, 672, 830, 701, 730, 791, 943, 748, 861, 1005, 841, 1127, 1041, 1263, 1181, 1118, 1053, 1066, 1089, 1087</t>
  </si>
  <si>
    <t>1087, 1050, 1002, 1038, 1020, 1081, 1090, 1069, 990, 1007, 1027, 1029, 1027</t>
  </si>
  <si>
    <t>island luck demo</t>
  </si>
  <si>
    <t>winning number new york</t>
  </si>
  <si>
    <t>casino demo</t>
  </si>
  <si>
    <t>lucky winning numbers for today</t>
  </si>
  <si>
    <t>973, 970, 1117, 1581, 2213, 1192, 978, 925, 885, 839, 1120, 828, 849, 1045, 1252, 1121, 1244, 863, 966, 825, 959, 918, 986, 926</t>
  </si>
  <si>
    <t>914, 963, 1017, 1055, 1137, 1042, 929, 936, 996, 956, 1024, 964, 952</t>
  </si>
  <si>
    <t>Casino games</t>
  </si>
  <si>
    <t>lotería new york</t>
  </si>
  <si>
    <t>lotto 649 winning numbers</t>
  </si>
  <si>
    <t>texas lottery results</t>
  </si>
  <si>
    <t>Spanish</t>
  </si>
  <si>
    <t>texas pick 3</t>
  </si>
  <si>
    <t>740, 770, 754, 759, 616, 614, 630, 738, 632, 732, 624, 628, 767, 852, 1113, 880, 874, 854, 1098, 1123, 1293, 1007, 968, 1055</t>
  </si>
  <si>
    <t>1034, 921, 899, 945, 738, 689, 722, 1364, 1366, 1063, 1022, 1114, 1091</t>
  </si>
  <si>
    <t>lottery</t>
  </si>
  <si>
    <t>login login island luck winning numbers</t>
  </si>
  <si>
    <t>asurewin winning numbers today</t>
  </si>
  <si>
    <t>761, 662, 776, 785, 766, 763, 1010, 768, 769, 747, 795, 778, 768, 661, 681, 764, 954, 1447, 933, 1404, 1248, 1111, 1186, 1203</t>
  </si>
  <si>
    <t>1164, 1042, 1255, 1250, 1107, 1217, 1132, 1242, 1284, 1136, 1207, 1220, 1178</t>
  </si>
  <si>
    <t>island luck number</t>
  </si>
  <si>
    <t>flowers winning number</t>
  </si>
  <si>
    <t>313, 369, 358, 582, 427, 414, 372, 389, 371, 452, 551, 688, 745, 853, 859, 1204, 1359, 1177, 1014, 1028, 960, 887, 876, 885</t>
  </si>
  <si>
    <t>915, 879, 809, 796, 740, 747, 753, 785, 701, 646, 632, 654, 685</t>
  </si>
  <si>
    <t>chances demo</t>
  </si>
  <si>
    <t>florida lottery results tonight</t>
  </si>
  <si>
    <t>800, 946, 760, 742, 816, 752, 767, 745, 791, 736, 909, 830, 1138, 1081, 1077, 1017, 896, 1065, 990, 1042, 1070, 1055, 1105, 1078</t>
  </si>
  <si>
    <t>1098, 1110, 1069, 1073, 1074, 1134, 1103, 1080, 1124, 1109, 1159</t>
  </si>
  <si>
    <t>fml winning numbers</t>
  </si>
  <si>
    <t>Sitelinks,People also ask,Video preview,Knowledge panel</t>
  </si>
  <si>
    <t>wisconsin lottery winning numbers</t>
  </si>
  <si>
    <t>929, 864, 913, 913, 975, 907, 1534, 968, 931, 790, 971, 1025, 978, 882, 900, 1193, 943, 929, 945, 1263, 1023, 883, 909, 908</t>
  </si>
  <si>
    <t>1058, 1089, 1092, 969, 1034, 989, 1053, 1006, 1035, 894, 920, 920, 1071</t>
  </si>
  <si>
    <t>island luck mobile</t>
  </si>
  <si>
    <t>florida lotto results winning numbers</t>
  </si>
  <si>
    <t>www-islandluck-com winning numbers</t>
  </si>
  <si>
    <t>992, 850, 829, 794, 744, 822, 954, 996, 776, 952, 1056, 919, 957, 812, 794, 757, 709, 786, 919, 960, 741, 916, 1021, 884</t>
  </si>
  <si>
    <t>922, 777, 760, 722, 674, 752, 885, 926, 707, 882, 987, 850, 888</t>
  </si>
  <si>
    <t>lottery dream numbers</t>
  </si>
  <si>
    <t>convert dreams to numbers</t>
  </si>
  <si>
    <t>vermont lottery results</t>
  </si>
  <si>
    <t>casino lobby demo</t>
  </si>
  <si>
    <t>winning numbers illinois lottery</t>
  </si>
  <si>
    <t>1207, 1252, 1241, 989, 888, 1021, 1008, 847, 798, 690, 640, 650, 813, 561, 956, 1076, 955, 798, 805, 802, 776, 784, 791, 836</t>
  </si>
  <si>
    <t>889, 798, 911, 854, 882, 892, 801, 798, 776, 784, 791, 836, 889</t>
  </si>
  <si>
    <t>island luck winning numbers today</t>
  </si>
  <si>
    <t>chances of winning</t>
  </si>
  <si>
    <t>mega million winning numbers</t>
  </si>
  <si>
    <t>1116, 1169, 967, 1399, 1124, 1075, 1077, 1110, 1080, 1076, 881, 1127, 1076, 899, 888, 730, 841, 731, 605, 692, 804, 831, 813, 718</t>
  </si>
  <si>
    <t>869, 788, 728, 711, 784, 956, 930, 966, 1078, 1105, 1087, 992, 1143</t>
  </si>
  <si>
    <t>flowers games winning numbers</t>
  </si>
  <si>
    <t>lotto post</t>
  </si>
  <si>
    <t>Sitelinks,People also ask,Thumbnail</t>
  </si>
  <si>
    <t>tenn lotto results</t>
  </si>
  <si>
    <t>589, 654, 659, 944, 856, 918, 862, 728, 589, 577, 709, 752, 849, 842, 840, 854, 708, 645, 905, 723, 771, 705, 706, 694</t>
  </si>
  <si>
    <t>692, 680, 704, 760, 738, 721, 691, 712, 737, 665, 671, 656, 657</t>
  </si>
  <si>
    <t>lottery results illinois</t>
  </si>
  <si>
    <t>california winning lottery number</t>
  </si>
  <si>
    <t>today today island luck winning numbers</t>
  </si>
  <si>
    <t>nassau games</t>
  </si>
  <si>
    <t>759, 744, 768, 763, 772, 770, 772, 805, 739, 709, 701, 659, 660, 648, 671, 667, 677, 677, 680, 711, 653, 628, 623, 586</t>
  </si>
  <si>
    <t>georgia lottery results post</t>
  </si>
  <si>
    <t>589, 579, 601, 599, 609, 610, 614, 643, 592, 571, 567, 535, 538</t>
  </si>
  <si>
    <t>Casino games; Video games; Lottery; Sports betting</t>
  </si>
  <si>
    <t>florida lottery numbers for last night</t>
  </si>
  <si>
    <t>island luck winning numbers please</t>
  </si>
  <si>
    <t>mega millions</t>
  </si>
  <si>
    <t>www chances games com winning numbers</t>
  </si>
  <si>
    <t>900, 743, 720, 1095, 1042, 647, 806, 1850, 777, 513, 670, 437, 455, 523, 469, 541, 653, 815, 941, 653, 805, 617, 699, 643</t>
  </si>
  <si>
    <t>646, 639, 814, 752, 668, 594, 606, 814, 806, 620, 699, 646, 647</t>
  </si>
  <si>
    <t>asure login</t>
  </si>
  <si>
    <t>mississippi lottery winning numbers</t>
  </si>
  <si>
    <t>10 dimes winning numbers</t>
  </si>
  <si>
    <t>109, 434, 440, 806, 602, 75, 823, 600, 491, 563, 674, 761, 416, 578, 416, 538, 464, 835, 637, 343, 409, 884, 744, 530</t>
  </si>
  <si>
    <t>623, 788, 616, 589, 673, 577, 750, 722, 685, 656, 755, 737, 660</t>
  </si>
  <si>
    <t>Human</t>
  </si>
  <si>
    <t>usa lottery winning numbers</t>
  </si>
  <si>
    <t>www.islandluck.com winning numbers island</t>
  </si>
  <si>
    <t>ny lottery</t>
  </si>
  <si>
    <t>florida lottery - winning numbers last night</t>
  </si>
  <si>
    <t>769, 469, 548, 465, 557, 476, 551, 466, 568, 473, 535, 450, 406, 488, 499, 489, 463, 470, 613, 587, 532, 483, 524, 475</t>
  </si>
  <si>
    <t>456, 428, 432, 433, 514, 502, 531, 511, 479, 435, 471, 427, 408</t>
  </si>
  <si>
    <t>everybodywinslive</t>
  </si>
  <si>
    <t>556, 902, 405, 461, 461, 472, 583, 695, 737, 462, 461, 461, 574, 461, 477, 465, 612, 542, 567, 603, 496, 430, 462, 428</t>
  </si>
  <si>
    <t>473, 508, 504, 510, 513, 516, 549, 585, 478, 412, 444, 410, 455</t>
  </si>
  <si>
    <t>lottery georgia results</t>
  </si>
  <si>
    <t>lottery florida</t>
  </si>
  <si>
    <t>island luck nassau winning numbers</t>
  </si>
  <si>
    <t>310, 338, 326, 310, 417, 407, 393, 412, 421, 416, 491, 410, 399, 400, 413, 403, 527, 558, 559, 633, 611, 579, 615, 601</t>
  </si>
  <si>
    <t>603, 608, 625, 620, 623, 624, 612, 624, 615, 583, 618, 604, 606</t>
  </si>
  <si>
    <t>assure win</t>
  </si>
  <si>
    <t>305, 664, 509, 687, 511, 520, 473, 518, 729, 529, 608, 509, 563, 311, 365, 415, 515, 477, 588, 523, 504, 466, 519, 532</t>
  </si>
  <si>
    <t>586, 725, 675, 608, 629, 596, 557, 599, 582, 537, 597, 610, 671</t>
  </si>
  <si>
    <t>islandluck mobile</t>
  </si>
  <si>
    <t>flowers winning numbers history</t>
  </si>
  <si>
    <t>Informational,Navigational,Commercial,Transactional,Branded,Non-local</t>
  </si>
  <si>
    <t>colorado lottery results</t>
  </si>
  <si>
    <t>640, 521, 583, 421, 360, 581, 522, 786, 478, 478, 507, 523, 568, 465, 521, 360, 301, 529, 461, 739, 420, 423, 452, 468</t>
  </si>
  <si>
    <t>513, 412, 467, 309, 251, 477, 410, 685, 371, 374, 403, 419, 464</t>
  </si>
  <si>
    <t>sure win games</t>
  </si>
  <si>
    <t>new york lotto results</t>
  </si>
  <si>
    <t>Informational,Commercial,Non-branded,Non-local</t>
  </si>
  <si>
    <t>382, 347, 301, 428, 335, 308, 303, 369, 273, 337, 592, 320, 439, 501, 558, 546, 454, 613, 308, 431, 443, 473, 482, 436</t>
  </si>
  <si>
    <t>439, 469, 457, 486, 421, 421, 414, 473, 444, 473, 482, 436, 439</t>
  </si>
  <si>
    <t>casino demo games</t>
  </si>
  <si>
    <t>Thumbnail</t>
  </si>
  <si>
    <t>www.chances winning numbers</t>
  </si>
  <si>
    <t>Non-branded,Non-local</t>
  </si>
  <si>
    <t>226, 241, 357, 359, 367, 416, 339, 352, 356, 360, 353, 360, 501, 497, 491, 415, 433, 364, 348, 430, 423, 399, 374, 372</t>
  </si>
  <si>
    <t>420, 427, 452, 401, 380, 400, 426, 397, 423, 399, 374, 372, 420</t>
  </si>
  <si>
    <t>sure wins</t>
  </si>
  <si>
    <t>new york lottery numbers</t>
  </si>
  <si>
    <t>278, 252, 284, 373, 338, 329, 428, 348, 337, 343, 421, 355, 340, 433, 347, 419, 410, 501, 422, 391, 381, 370, 365, 369</t>
  </si>
  <si>
    <t>365, 409, 366, 361, 385, 465, 441, 400, 380, 370, 365, 369, 365</t>
  </si>
  <si>
    <t>new jersey winning numbers</t>
  </si>
  <si>
    <t>island luck games</t>
  </si>
  <si>
    <t>lottery predictor dream numbers</t>
  </si>
  <si>
    <t>343, 610, 812, 798, 567, 448, 444, 628, 663, 474, 486, 258, 254, 276, 289, 311, 489, 437, 545, 419, 425, 396, 438, 410</t>
  </si>
  <si>
    <t>georgia winning lottery number</t>
  </si>
  <si>
    <t>466, 448, 459, 437, 433, 486, 461, 432, 434, 404, 447, 419, 475</t>
  </si>
  <si>
    <t>lottery chicago results</t>
  </si>
  <si>
    <t>ultra games winning numbers today</t>
  </si>
  <si>
    <t>island luck.com</t>
  </si>
  <si>
    <t>chances winning numbers island luck winning numbers</t>
  </si>
  <si>
    <t>393, 442, 421, 385, 397, 350, 437, 376, 352, 307, 383, 303, 399, 448, 427, 389, 400, 352, 440, 378, 354, 309, 385, 304</t>
  </si>
  <si>
    <t>400, 449, 427, 389, 401, 353, 440, 378, 354, 309, 385, 304, 400</t>
  </si>
  <si>
    <t>chances games demo</t>
  </si>
  <si>
    <t>florida lottery results winning numbers</t>
  </si>
  <si>
    <t>pick 3 nj pick 4 nj winning numbers</t>
  </si>
  <si>
    <t>381, 359, 238, 584, 257, 259, 208, 206, 507, 998, 651, 216, 361, 342, 227, 559, 247, 250, 201, 199, 493, 971, 635, 211</t>
  </si>
  <si>
    <t>353, 335, 223, 550, 243, 246, 199, 197, 487, 961, 629, 209, 350</t>
  </si>
  <si>
    <t>nj lottery results</t>
  </si>
  <si>
    <t>islandluck login</t>
  </si>
  <si>
    <t>european lottery results</t>
  </si>
  <si>
    <t>286, 287, 351, 527, 433, 432, 442, 607, 704, 544, 585, 398, 361, 373, 355, 353, 351, 350, 352, 351, 303, 311, 288, 269</t>
  </si>
  <si>
    <t>268, 246, 238, 225, 199, 197, 198, 226, 182, 193, 177, 164, 167</t>
  </si>
  <si>
    <t>powerball jackpot</t>
  </si>
  <si>
    <t>login winning numbers login island luck</t>
  </si>
  <si>
    <t>Sitelinks,Top stories,Thumbnail,Video preview,People also ask</t>
  </si>
  <si>
    <t>georgia lottery post results</t>
  </si>
  <si>
    <t>42, 44, 35, 72, 53, 45, 45, 65, 44, 66, 52, 68, 64, 53, 83, 210, 1158, 132, 156, 1549, 293, 132, 168, 194</t>
  </si>
  <si>
    <t>113, 115, 286, 138, 440, 968, 809, 763, 391, 175, 222, 255, 148</t>
  </si>
  <si>
    <t>winning powerball numbers</t>
  </si>
  <si>
    <t>www.islandluck.com</t>
  </si>
  <si>
    <t>island luck winning numbers chances</t>
  </si>
  <si>
    <t>numbers winning numbers</t>
  </si>
  <si>
    <t>florida lottery results live</t>
  </si>
  <si>
    <t>colorado lottery winning numbers</t>
  </si>
  <si>
    <t>island luck winning numbers login bahamas</t>
  </si>
  <si>
    <t>iowa lottery results post</t>
  </si>
  <si>
    <t>391, 364, 375, 323, 301, 363, 371, 377, 333, 340, 342, 354, 386, 360, 371, 321, 299, 361, 369, 376, 332, 339, 342, 354</t>
  </si>
  <si>
    <t>new jersey winning lottery number</t>
  </si>
  <si>
    <t>385, 360, 371, 321, 299, 361, 369, 376, 332, 339, 342, 354, 385</t>
  </si>
  <si>
    <t>island luck winning numbers for today show</t>
  </si>
  <si>
    <t>lotterypost</t>
  </si>
  <si>
    <t>island luck winning number for the day</t>
  </si>
  <si>
    <t>294, 311, 357, 352, 505, 405, 380, 368, 402, 371, 312, 326, 292, 309, 356, 351, 504, 404, 379, 367, 401, 371, 312, 326</t>
  </si>
  <si>
    <t>292, 309, 355, 351, 504, 404, 379, 367, 401, 371, 312, 326, 292</t>
  </si>
  <si>
    <t>no limit lottery results today</t>
  </si>
  <si>
    <t>island luck new york</t>
  </si>
  <si>
    <t>puerto rico lottery results</t>
  </si>
  <si>
    <t>island luck island luck winning number</t>
  </si>
  <si>
    <t>86, 86, 111, 150, 97, 61, 64, 81, 63, 41, 62, 131, 208, 196, 503, 403, 207, 206, 385, 469, 397, 410, 428, 415</t>
  </si>
  <si>
    <t>403, 409, 514, 498, 368, 341, 409, 415, 362, 356, 392, 417, 420</t>
  </si>
  <si>
    <t>ultra games web cafe</t>
  </si>
  <si>
    <t>past powerball winning numbers</t>
  </si>
  <si>
    <t>oregon lottery results</t>
  </si>
  <si>
    <t>19, 10, 7, 4, 1, 0, 41, 0, 111, 209, 90, 330, 209, 14, 26, 6, 4, 16, 7, 162, 695, 1009, 1094, 135</t>
  </si>
  <si>
    <t>Video games</t>
  </si>
  <si>
    <t>nassau game</t>
  </si>
  <si>
    <t>encore winning numbers</t>
  </si>
  <si>
    <t>asure win winning numbers</t>
  </si>
  <si>
    <t>past lottery results</t>
  </si>
  <si>
    <t>332, 294, 361, 283, 308, 316, 268, 312, 279, 288, 296, 324, 331, 293, 360, 283, 307, 316, 267, 312, 278, 288, 296, 324</t>
  </si>
  <si>
    <t>331, 293, 360, 283, 307, 316, 267, 312, 278, 288, 296, 324, 331</t>
  </si>
  <si>
    <t>lottery ny results today</t>
  </si>
  <si>
    <t>island luck full site</t>
  </si>
  <si>
    <t>give me the winning number</t>
  </si>
  <si>
    <t>past lotto max winning numbers</t>
  </si>
  <si>
    <t>207, 218, 252, 920, 499, 411, 404, 456, 450, 246, 261, 180, 241, 210, 430, 370, 254, 201, 260, 364, 300, 258, 306, 266</t>
  </si>
  <si>
    <t>243, 233, 237, 302, 249, 219, 202, 247, 222, 184, 232, 195</t>
  </si>
  <si>
    <t>illinois lottery latest results</t>
  </si>
  <si>
    <t>fantasy 5 winning numbers california today</t>
  </si>
  <si>
    <t>florida lottery raffle winning numbers</t>
  </si>
  <si>
    <t>nba lottery results</t>
  </si>
  <si>
    <t>flowers games</t>
  </si>
  <si>
    <t>240, 197, 205, 388, 372, 379, 435, 360, 359, 285, 289, 243, 286, 285, 285, 286, 290, 363, 296, 363, 333, 321, 305, 256</t>
  </si>
  <si>
    <t>284, 282, 291, 277, 310, 306, 306, 315, 298, 291, 272, 225</t>
  </si>
  <si>
    <t>Casual games; Educational games; Family-oriented games</t>
  </si>
  <si>
    <t>north carolina winning number</t>
  </si>
  <si>
    <t>chancesgames.com</t>
  </si>
  <si>
    <t>past florida lottery winning numbers</t>
  </si>
  <si>
    <t>latest lottery results</t>
  </si>
  <si>
    <t>222, 127, 189, 238, 209, 261, 276, 370, 326, 316, 332, 275, 283, 238, 365, 251, 309, 354, 304, 336, 294, 274, 270, 236</t>
  </si>
  <si>
    <t>242, 246, 275, 273, 243, 291, 277, 282, 248, 228, 225, 191</t>
  </si>
  <si>
    <t>49ers results lotto</t>
  </si>
  <si>
    <t>powerball powerplay winning numbers</t>
  </si>
  <si>
    <t>florida lottery post</t>
  </si>
  <si>
    <t>powerball jackpot winning numbers today</t>
  </si>
  <si>
    <t>betvegas winning numbers</t>
  </si>
  <si>
    <t>215, 212, 310, 218, 259, 265, 259, 212, 211, 212, 213, 262, 259, 212, 258, 321, 321, 259, 258, 258, 255, 235, 240, 277</t>
  </si>
  <si>
    <t>277, 263, 279, 259, 240, 234, 205, 197, 201, 178, 188, 223, 226</t>
  </si>
  <si>
    <t>national lottery results march 25 2026</t>
  </si>
  <si>
    <t>ultra games login</t>
  </si>
  <si>
    <t>Sitelinks,People also ask,Top stories</t>
  </si>
  <si>
    <t>michigan lottery daily 3 evening results</t>
  </si>
  <si>
    <t>121, 100, 151, 232, 284, 265, 216, 212, 157, 127, 121, 150, 171, 262, 275, 272, 209, 428, 354, 138, 255, 244, 233, 234</t>
  </si>
  <si>
    <t>239, 236, 239, 245, 252, 273, 258, 236, 255, 244, 233, 234</t>
  </si>
  <si>
    <t>island luck mobile login</t>
  </si>
  <si>
    <t>irish lottery results ie</t>
  </si>
  <si>
    <t>5, 9, 28, 35, 3, 5, 5, 126, 1260, 450, 16, 10, 700, 14, 25, 942, 742, 31, 46, 23, 11, 11, 11, 203</t>
  </si>
  <si>
    <t>asure</t>
  </si>
  <si>
    <t>sa lotto results history</t>
  </si>
  <si>
    <t>best winning numbers for powerball</t>
  </si>
  <si>
    <t>258, 158, 118, 205, 239, 121, 180, 142, 179, 219, 172, 235, 273, 162, 344, 245, 272, 245, 247, 260, 166, 189, 159, 187</t>
  </si>
  <si>
    <t>197, 162, 174, 171, 235, 210, 218, 218, 150, 171, 143, 178</t>
  </si>
  <si>
    <t>Pasta; Sports betting</t>
  </si>
  <si>
    <t>chance games online</t>
  </si>
  <si>
    <t>florida mega millions winning numbers by date</t>
  </si>
  <si>
    <t>newyork lottery winning numbers</t>
  </si>
  <si>
    <t>ca lottery fantasy 5 winning numbers history</t>
  </si>
  <si>
    <t>theislandgame</t>
  </si>
  <si>
    <t>pick 3 new york lottery results</t>
  </si>
  <si>
    <t>Sitelinks,Video preview,Local pack</t>
  </si>
  <si>
    <t>304, 298, 367, 284, 193, 237, 229, 272, 205, 227, 216, 232, 259, 247, 322, 236, 149, 192, 186, 228, 162, 185, 175, 191</t>
  </si>
  <si>
    <t>219, 207, 284, 198, 112, 155, 150, 192, 127, 150, 141, 158, 186</t>
  </si>
  <si>
    <t>florida lottery winning results</t>
  </si>
  <si>
    <t>island luck nassau</t>
  </si>
  <si>
    <t>Sitelinks,Local teaser pack,People also ask</t>
  </si>
  <si>
    <t>ñagaland state lottery results today</t>
  </si>
  <si>
    <t>609, 686, 766, 1042, 382, 361, 370, 334, 380, 545, 330, 240, 200, 173, 245, 363, 203, 204, 246, 143, 179, 189, 194, 171</t>
  </si>
  <si>
    <t>194, 207, 208, 303, 199, 198, 199, 251, 199, 211, 216, 190, 215</t>
  </si>
  <si>
    <t>lotto florida</t>
  </si>
  <si>
    <t>lotto max winning numbers alberta</t>
  </si>
  <si>
    <t>casino lobby</t>
  </si>
  <si>
    <t>island luck winning numbers history</t>
  </si>
  <si>
    <t>winning ohio lottery results</t>
  </si>
  <si>
    <t>345, 355, 295, 246, 244, 293, 197, 202, 197, 236, 190, 198, 296, 231, 242, 230, 249, 231, 124, 166, 144, 145, 150, 156</t>
  </si>
  <si>
    <t>162, 150, 164, 145, 134, 176, 157, 154, 131, 132, 137, 144, 149</t>
  </si>
  <si>
    <t>island luck island luck</t>
  </si>
  <si>
    <t>florida lottery lotto results by date</t>
  </si>
  <si>
    <t>nassau games winning numbers everbodywins</t>
  </si>
  <si>
    <t>242, 255, 256, 338, 304, 208, 229, 257, 194, 193, 196, 195, 194, 202, 206, 204, 194, 193, 193, 241, 232, 218, 222, 214</t>
  </si>
  <si>
    <t>213, 204, 214, 192, 201, 192, 224, 241, 235, 221, 225, 217</t>
  </si>
  <si>
    <t>résultat lottery florida</t>
  </si>
  <si>
    <t>powerball winning number for monday night</t>
  </si>
  <si>
    <t>.lottery results</t>
  </si>
  <si>
    <t>French</t>
  </si>
  <si>
    <t>best 5 digit lottery numbers</t>
  </si>
  <si>
    <t>florida pick 3 midday winning numbers for today</t>
  </si>
  <si>
    <t>results of florida lottery</t>
  </si>
  <si>
    <t>lotería florida noche</t>
  </si>
  <si>
    <t>repeated powerball winning numbers</t>
  </si>
  <si>
    <t>island luck winning numbers last night</t>
  </si>
  <si>
    <t>irish lotto winning numbers</t>
  </si>
  <si>
    <t>fruity fortune demo</t>
  </si>
  <si>
    <t>demo casino</t>
  </si>
  <si>
    <t>gold lotto results qld saturday night</t>
  </si>
  <si>
    <t>fantasy 5 lotto results</t>
  </si>
  <si>
    <t>Branded,Non-local</t>
  </si>
  <si>
    <t>164, 136, 161, 104, 161, 146, 106, 84, 65, 66, 128, 165, 131, 166, 258, 248, 250, 306, 201, 168, 183, 174, 182, 176</t>
  </si>
  <si>
    <t>179, 184, 185, 182, 188, 193, 170, 163, 168, 160, 168, 163, 166</t>
  </si>
  <si>
    <t>best winning numbers</t>
  </si>
  <si>
    <t>island luck casino demo play 2</t>
  </si>
  <si>
    <t>lottery ga numbers</t>
  </si>
  <si>
    <t>free lottery dream numbers for today</t>
  </si>
  <si>
    <t>chance casino login</t>
  </si>
  <si>
    <t>winning powerball powerplay numbers</t>
  </si>
  <si>
    <t>chicago illinois lottery numbers</t>
  </si>
  <si>
    <t>www.lottery results</t>
  </si>
  <si>
    <t>florida lottery results today</t>
  </si>
  <si>
    <t>lucky lottery numbers based on birthday</t>
  </si>
  <si>
    <t>new york lottery pick 3 evening numbers</t>
  </si>
  <si>
    <t>fantasy winning numbers</t>
  </si>
  <si>
    <t>ultragames web cafe</t>
  </si>
  <si>
    <t>yesterday winning numbers</t>
  </si>
  <si>
    <t>lottery florida post results</t>
  </si>
  <si>
    <t>island lock</t>
  </si>
  <si>
    <t>puerto rico lotto results</t>
  </si>
  <si>
    <t>178, 173, 181, 189, 184, 173, 171, 164, 155, 163, 156, 150, 150, 148, 155, 164, 158, 149, 146, 140, 131, 139, 133, 127</t>
  </si>
  <si>
    <t>128, 126, 133, 143, 137, 128, 125, 119, 111, 119, 113, 107, 109</t>
  </si>
  <si>
    <t>Lottery; Home safety</t>
  </si>
  <si>
    <t>ri lottery winning numbers</t>
  </si>
  <si>
    <t>chances games login</t>
  </si>
  <si>
    <t>lottery. post results</t>
  </si>
  <si>
    <t>georgia winning number today</t>
  </si>
  <si>
    <t>mirror numbers lottery</t>
  </si>
  <si>
    <t>powerball numbers</t>
  </si>
  <si>
    <t>Top stories,Thumbnail,Sitelinks</t>
  </si>
  <si>
    <t>oz winning numbers</t>
  </si>
  <si>
    <t>lottery number results</t>
  </si>
  <si>
    <t>island games</t>
  </si>
  <si>
    <t>lottery missouri winning numbers</t>
  </si>
  <si>
    <t>lottery last night numbers</t>
  </si>
  <si>
    <t>109, 92, 110, 149, 136, 111, 114, 111, 111, 173, 293, 204, 304, 220, 156, 111, 120, 125, 146, 150, 84, 85, 100, 83</t>
  </si>
  <si>
    <t>powerball california lottery winning numbers</t>
  </si>
  <si>
    <t>Gambling; International sports competitions</t>
  </si>
  <si>
    <t>island luck demo games</t>
  </si>
  <si>
    <t>us lottery results all states</t>
  </si>
  <si>
    <t>multi slots demo</t>
  </si>
  <si>
    <t>georgia (ga) lottery results | lottery post</t>
  </si>
  <si>
    <t>ct lotto results</t>
  </si>
  <si>
    <t>ultra games.com</t>
  </si>
  <si>
    <t>florida lottery pick 4 midday winning numbers</t>
  </si>
  <si>
    <t>national uk lottery results</t>
  </si>
  <si>
    <t>resultat borlette florida</t>
  </si>
  <si>
    <t>lottery numbers new york</t>
  </si>
  <si>
    <t>winning number for</t>
  </si>
  <si>
    <t>dv lottery check results</t>
  </si>
  <si>
    <t>winning pick 5 numbers</t>
  </si>
  <si>
    <t>casino lobby - demo</t>
  </si>
  <si>
    <t>lottery numbers for friday</t>
  </si>
  <si>
    <t>freeport winning number</t>
  </si>
  <si>
    <t>chance casino</t>
  </si>
  <si>
    <t>today's illinois winning lottery numbers</t>
  </si>
  <si>
    <t>florida lottery - winning numbers by date 2022</t>
  </si>
  <si>
    <t>Local teaser pack</t>
  </si>
  <si>
    <t>results for the irish lottery</t>
  </si>
  <si>
    <t>florida lotto</t>
  </si>
  <si>
    <t>tennessee lottery winning numbers and results</t>
  </si>
  <si>
    <t>287, 296, 283, 290, 283, 231, 257, 261, 251, 189, 213, 175, 180, 141, 168, 208, 163, 146, 141, 176, 171, 169, 163, 166</t>
  </si>
  <si>
    <t>lottery florida results</t>
  </si>
  <si>
    <t>137, 137, 162, 150, 142, 137, 262, 313, 186, 184, 177, 180, 149</t>
  </si>
  <si>
    <t>lotería florida día</t>
  </si>
  <si>
    <t>fl lottery results winning numbers</t>
  </si>
  <si>
    <t>uk lottery winning numbers</t>
  </si>
  <si>
    <t>arkansas lotto results</t>
  </si>
  <si>
    <t>lotto america winning numbers</t>
  </si>
  <si>
    <t>Sitelinks,Top stories,Thumbnail</t>
  </si>
  <si>
    <t>idaho cash winning numbers tonight</t>
  </si>
  <si>
    <t>qld lottery results</t>
  </si>
  <si>
    <t>florida noche</t>
  </si>
  <si>
    <t>last 10 fantasy 5 winning numbers</t>
  </si>
  <si>
    <t>paradise lotto winning numbers</t>
  </si>
  <si>
    <t>loteka new york</t>
  </si>
  <si>
    <t>island luck winning numbers please google</t>
  </si>
  <si>
    <t>megadice winning number</t>
  </si>
  <si>
    <t>island game online</t>
  </si>
  <si>
    <t>new york lottery pick 3 results</t>
  </si>
  <si>
    <t>euromillions results national lottery</t>
  </si>
  <si>
    <t>lotto results south africa</t>
  </si>
  <si>
    <t>89, 96, 53, 113, 106, 152, 127, 140, 121, 88, 167, 118, 124, 149, 213, 158, 106, 131, 78, 90, 97, 91, 98, 88</t>
  </si>
  <si>
    <t>86, 96, 85, 89, 88, 89, 83, 91, 96, 90, 97, 87, 86</t>
  </si>
  <si>
    <t>Adventure games; Simulation games</t>
  </si>
  <si>
    <t>island luck freeport</t>
  </si>
  <si>
    <t>free lottery bible numbers for today</t>
  </si>
  <si>
    <t>california lottery fantasy 5 past winning numbers</t>
  </si>
  <si>
    <t>137, 116, 152, 163, 215, 214, 131, 188, 148, 93, 94, 107, 127, 143, 171, 120, 63, 52, 76, 104, 77, 73, 70, 67</t>
  </si>
  <si>
    <t>lottery max results</t>
  </si>
  <si>
    <t>75, 76, 83, 82, 81, 95, 89, 89, 75, 71, 69, 66, 74</t>
  </si>
  <si>
    <t>new york lotto</t>
  </si>
  <si>
    <t>florida cash 3 evening winning numbers</t>
  </si>
  <si>
    <t>can god give you lottery numbers</t>
  </si>
  <si>
    <t>pa lottery pick 5 winning numbers</t>
  </si>
  <si>
    <t>island luck bahamas</t>
  </si>
  <si>
    <t>today lottery winning numbers</t>
  </si>
  <si>
    <t>Sitelinks,Local teaser pack,People also ask,Video preview</t>
  </si>
  <si>
    <t>lotto results for tonight</t>
  </si>
  <si>
    <t>my lotto results</t>
  </si>
  <si>
    <t>29, 28, 35, 80, 46, 54, 57, 142, 156, 96, 84, 87, 77, 77, 117, 77, 78, 97, 95, 118, 103, 108, 108, 102</t>
  </si>
  <si>
    <t>94, 87, 88, 105, 110, 92, 100, 113, 103, 108, 108, 102, 94</t>
  </si>
  <si>
    <t>lottery usa</t>
  </si>
  <si>
    <t>fl lottery winning numbers by date</t>
  </si>
  <si>
    <t>us lottery</t>
  </si>
  <si>
    <t>quick draw winning numbers ny</t>
  </si>
  <si>
    <t>mich lottery results</t>
  </si>
  <si>
    <t>islandluck demo</t>
  </si>
  <si>
    <t>www florida lotto winning numbers</t>
  </si>
  <si>
    <t>swiss lottery results</t>
  </si>
  <si>
    <t>illinois pick 3 lottery results</t>
  </si>
  <si>
    <t>117, 131, 121, 112, 107, 140, 157, 147, 132, 116, 148, 130, 119, 115, 120, 129, 126, 111, 138, 121, 128, 120, 128, 131</t>
  </si>
  <si>
    <t>126, 127, 121, 125, 120, 127, 131, 121, 128, 120, 128, 131, 126</t>
  </si>
  <si>
    <t>island game demo</t>
  </si>
  <si>
    <t>nassau game winning number</t>
  </si>
  <si>
    <t>saturdays lottery numbers</t>
  </si>
  <si>
    <t>florida winning lotto numbers from last night</t>
  </si>
  <si>
    <t>pennsylvania</t>
  </si>
  <si>
    <t>fla lottery results</t>
  </si>
  <si>
    <t>Knowledge panel,Top stories,Thumbnail,People also ask</t>
  </si>
  <si>
    <t>lottery results national</t>
  </si>
  <si>
    <t>last night's lottery numbers please</t>
  </si>
  <si>
    <t>128, 127, 191, 185, 157, 159, 358, 131, 159, 122, 158, 126, 123, 123, 145, 103, 125, 97, 122, 103, 108, 101, 108, 107</t>
  </si>
  <si>
    <t>112, 112, 116, 122, 108, 110, 166, 97, 106, 100, 107, 106, 111</t>
  </si>
  <si>
    <t>Encyclopedias</t>
  </si>
  <si>
    <t>www.theislandgame.com bahamas</t>
  </si>
  <si>
    <t>lotto pick 3 winning numbers</t>
  </si>
  <si>
    <t>winning lottery numbers powerball</t>
  </si>
  <si>
    <t>Informational,Navigational,Branded,Local</t>
  </si>
  <si>
    <t>sa lotto results</t>
  </si>
  <si>
    <t>tenn lotto winning numbers</t>
  </si>
  <si>
    <t>libra lottery numbers</t>
  </si>
  <si>
    <t>ghana lotto results</t>
  </si>
  <si>
    <t>island look</t>
  </si>
  <si>
    <t>oz lotto results melbourne</t>
  </si>
  <si>
    <t>lottery tennessee results</t>
  </si>
  <si>
    <t>the island games winning numbers</t>
  </si>
  <si>
    <t>www.islandluck.com mobile</t>
  </si>
  <si>
    <t>tenn lottery results post</t>
  </si>
  <si>
    <t>irish lotto results jackpotjoy</t>
  </si>
  <si>
    <t>www.chancesgames.com casino casino games</t>
  </si>
  <si>
    <t>va lottery pick 4 winning numbers day</t>
  </si>
  <si>
    <t>gold lotto results qld</t>
  </si>
  <si>
    <t>georgia fantasy 5 winning numbers for last night</t>
  </si>
  <si>
    <t>62, 62, 63, 79, 79, 63, 63, 77, 57, 129, 137, 122, 133, 147, 113, 104, 64, 82, 89, 95, 92, 104, 105, 91</t>
  </si>
  <si>
    <t>93, 109, 102, 95, 94, 105, 99, 90, 90, 101, 102, 89, 90</t>
  </si>
  <si>
    <t>miami florida lottery results</t>
  </si>
  <si>
    <t>winnings numbers</t>
  </si>
  <si>
    <t>lotto results wednesday 2023</t>
  </si>
  <si>
    <t>lottery california lottery results</t>
  </si>
  <si>
    <t>florida lottery cash for life winning numbers</t>
  </si>
  <si>
    <t>chances casino demo</t>
  </si>
  <si>
    <t>lottery new jersey results</t>
  </si>
  <si>
    <t>new york lottery winning numbers results</t>
  </si>
  <si>
    <t>nys lottery numbers</t>
  </si>
  <si>
    <t>florida lottery results mega millions</t>
  </si>
  <si>
    <t>flowers winning numbers tonight</t>
  </si>
  <si>
    <t>sunday international lotto results</t>
  </si>
  <si>
    <t>most winning lottery numbers pick 4</t>
  </si>
  <si>
    <t>pick 3 winning numbers for today texas</t>
  </si>
  <si>
    <t>island.luck</t>
  </si>
  <si>
    <t>yesterday winning numbers lotto</t>
  </si>
  <si>
    <t>florida lottery cash 3 results history</t>
  </si>
  <si>
    <t>full moon lottery numbers 2022</t>
  </si>
  <si>
    <t>114, 214, 210, 153, 138, 172, 133, 180, 105, 132, 228, 157, 86, 104, 103, 86, 87, 86, 86, 108, 94, 93, 103, 101</t>
  </si>
  <si>
    <t>108, 115, 105, 98, 100, 102, 101, 105, 94, 93, 103, 101, 108</t>
  </si>
  <si>
    <t>today's winning lotto numbers</t>
  </si>
  <si>
    <t>florida pick 3</t>
  </si>
  <si>
    <t>ky lottery winning numbers</t>
  </si>
  <si>
    <t>betfred irish lottery results</t>
  </si>
  <si>
    <t>california winning lottery results</t>
  </si>
  <si>
    <t>florida lottery powerball winning numbers</t>
  </si>
  <si>
    <t>fantasy 5 winning numbers florida lottery</t>
  </si>
  <si>
    <t>www island luck</t>
  </si>
  <si>
    <t>kentucky winning numbers</t>
  </si>
  <si>
    <t>chicago winning lottery numbers</t>
  </si>
  <si>
    <t>109, 124, 138, 252, 137, 113, 136, 124, 159, 127, 113, 70, 37, 92, 145, 49, 226, 145, 85, 85, 91, 90, 97, 101</t>
  </si>
  <si>
    <t>www asue draw winning numbers com</t>
  </si>
  <si>
    <t>115, 127, 127, 113, 101, 88, 85, 86, 92, 91, 98, 102, 116</t>
  </si>
  <si>
    <t>lottery miami</t>
  </si>
  <si>
    <t>megadice winning numbers</t>
  </si>
  <si>
    <t>georgia cash 3 winning numbers</t>
  </si>
  <si>
    <t>ultra games - nassau</t>
  </si>
  <si>
    <t>california fantasy 5 winning numbers today</t>
  </si>
  <si>
    <t>winning numbers in new york</t>
  </si>
  <si>
    <t>Informational,Navigational,Commercial,Branded,Local</t>
  </si>
  <si>
    <t>47, 47, 55, 126, 76, 66, 80, 78, 79, 70, 140, 98, 96, 90, 81, 99, 75, 65, 79, 77, 78, 69, 139, 97</t>
  </si>
  <si>
    <t>95, 89, 80, 98, 74, 65, 78, 76, 77, 68, 137, 96, 94</t>
  </si>
  <si>
    <t>Lottery; Sports betting; Promotional giveaways; Business</t>
  </si>
  <si>
    <t>world lottery results</t>
  </si>
  <si>
    <t>winning lottery numbers for tonight</t>
  </si>
  <si>
    <t>ga lottery</t>
  </si>
  <si>
    <t>ghana lotto results yesterday</t>
  </si>
  <si>
    <t>flalottery</t>
  </si>
  <si>
    <t>power ball winning number</t>
  </si>
  <si>
    <t>most common winning numbers</t>
  </si>
  <si>
    <t>keno winning numbers</t>
  </si>
  <si>
    <t>80, 64, 68, 80, 75, 75, 112, 92, 68, 99, 71, 100, 69, 53, 99, 147, 127, 132, 79, 112, 94, 67, 74, 78</t>
  </si>
  <si>
    <t>74, 69, 83, 77, 71, 88, 114, 95, 78, 58, 60, 68, 61</t>
  </si>
  <si>
    <t>www.ultragames</t>
  </si>
  <si>
    <t>daily lottery results</t>
  </si>
  <si>
    <t>fl lottery winning numbers results</t>
  </si>
  <si>
    <t>florida lottery results for today</t>
  </si>
  <si>
    <t>resultat lottery florida</t>
  </si>
  <si>
    <t>sa lotto keno results</t>
  </si>
  <si>
    <t>mini lotto results</t>
  </si>
  <si>
    <t>most drawn lottery numbers</t>
  </si>
  <si>
    <t>altura games</t>
  </si>
  <si>
    <t>quick draw winning numbers today</t>
  </si>
  <si>
    <t>Sitelinks,People also ask,Knowledge panel</t>
  </si>
  <si>
    <t>winning number for tonight</t>
  </si>
  <si>
    <t>frequent lotto winning numbers</t>
  </si>
  <si>
    <t>co lottery results</t>
  </si>
  <si>
    <t>winning lottery numbers mega millions</t>
  </si>
  <si>
    <t>new york lottery result</t>
  </si>
  <si>
    <t>winning play 4 numbers</t>
  </si>
  <si>
    <t>lucky for life winning numbers</t>
  </si>
  <si>
    <t>oz lottery results</t>
  </si>
  <si>
    <t>north carolina winning lottery numbers pick 3</t>
  </si>
  <si>
    <t>lottery california results</t>
  </si>
  <si>
    <t>georgia winning lotto numbers</t>
  </si>
  <si>
    <t>new york lottery results today</t>
  </si>
  <si>
    <t>ohio lottery numbers for today</t>
  </si>
  <si>
    <t>ca lottery</t>
  </si>
  <si>
    <t>island luck com winning numbers</t>
  </si>
  <si>
    <t>virginia lottery results for today</t>
  </si>
  <si>
    <t>pirate revenge demo</t>
  </si>
  <si>
    <t>oklahoma lottery numbers</t>
  </si>
  <si>
    <t>winning numbers for friday</t>
  </si>
  <si>
    <t>jumbo bucks lotto ga results</t>
  </si>
  <si>
    <t>ultra games locations</t>
  </si>
  <si>
    <t>mass lottery daily numbers game</t>
  </si>
  <si>
    <t>dc winning lottery numbers</t>
  </si>
  <si>
    <t>Sports betting; Business</t>
  </si>
  <si>
    <t>list of lottery winning numbers</t>
  </si>
  <si>
    <t>ohio lottery pick 3 &amp; 4 results</t>
  </si>
  <si>
    <t>winning number for powerball</t>
  </si>
  <si>
    <t>florida lottery winning numbers tonight</t>
  </si>
  <si>
    <t>island luck - nassau</t>
  </si>
  <si>
    <t>hit 5 winning numbers tonight</t>
  </si>
  <si>
    <t>2025 diversity visa lottery results</t>
  </si>
  <si>
    <t>english lotto results for tonight</t>
  </si>
  <si>
    <t>tirage new york</t>
  </si>
  <si>
    <t>florida lottery post results</t>
  </si>
  <si>
    <t>lotto</t>
  </si>
  <si>
    <t>louisiana lotto winning numbers</t>
  </si>
  <si>
    <t>conn lottery results</t>
  </si>
  <si>
    <t>island luck casino demo</t>
  </si>
  <si>
    <t>alc.ca winning numbers</t>
  </si>
  <si>
    <t>florida fantasy 5 winning numbers last night</t>
  </si>
  <si>
    <t>idaho lottery numbers powerball</t>
  </si>
  <si>
    <t>island luck numbers</t>
  </si>
  <si>
    <t>tennessee pick 4 midday winning numbers</t>
  </si>
  <si>
    <t>lotto max winning numbers today</t>
  </si>
  <si>
    <t>english lottery numbers</t>
  </si>
  <si>
    <t>florida lottery pick 3</t>
  </si>
  <si>
    <t>va lottery post results</t>
  </si>
  <si>
    <t>bahamas games winning number</t>
  </si>
  <si>
    <t>island luck webcafe nassau</t>
  </si>
  <si>
    <t>lost lottery ticket numbers</t>
  </si>
  <si>
    <t>Sitelinks,Local teaser pack</t>
  </si>
  <si>
    <t>island luck winning number island luck</t>
  </si>
  <si>
    <t>new jersey lottery results mega millions</t>
  </si>
  <si>
    <t>38, 35, 33, 25, 137, 82, 77, 74, 70, 56, 64, 54, 50, 46, 42, 32, 174, 104, 96, 93, 87, 69, 79, 66</t>
  </si>
  <si>
    <t>62, 56, 52, 39, 211, 126, 116, 112, 105, 83, 94, 79, 73</t>
  </si>
  <si>
    <t>Lottery; Web services</t>
  </si>
  <si>
    <t>pennsylvania lottery</t>
  </si>
  <si>
    <t>past winning numbers california lottery</t>
  </si>
  <si>
    <t>fla lottery post results</t>
  </si>
  <si>
    <t>Sitelinks,Top stories,Video preview</t>
  </si>
  <si>
    <t>cash4life winning numbers</t>
  </si>
  <si>
    <t>miami lottery result</t>
  </si>
  <si>
    <t>pennsylvania past winning lottery numbers</t>
  </si>
  <si>
    <t>winning number lottery</t>
  </si>
  <si>
    <t>winning numbers ny</t>
  </si>
  <si>
    <t>island luck game</t>
  </si>
  <si>
    <t>numbers for the irish lottery</t>
  </si>
  <si>
    <t>www.new york lottery results</t>
  </si>
  <si>
    <t>lotto new york</t>
  </si>
  <si>
    <t>ohio state lottery results</t>
  </si>
  <si>
    <t>betfred lotto irish results</t>
  </si>
  <si>
    <t>arkansas mega millions lottery numbers</t>
  </si>
  <si>
    <t>islandluck.com login</t>
  </si>
  <si>
    <t>lottery results missouri</t>
  </si>
  <si>
    <t>the lottery winning numbers</t>
  </si>
  <si>
    <t>2, 2, 37, 15, 9, 6, 1, 73, 574, 544, 1046, 185, 5, 317, 28, 19, 36, 48, 110, 76, 19, 21, 59, 14</t>
  </si>
  <si>
    <t>hot and cold lottery numbers</t>
  </si>
  <si>
    <t>ilan luck</t>
  </si>
  <si>
    <t>past winning pick 3 numbers</t>
  </si>
  <si>
    <t>lotto results usa</t>
  </si>
  <si>
    <t>chances web</t>
  </si>
  <si>
    <t>lottery ny numbers results</t>
  </si>
  <si>
    <t>winning classic lotto numbers</t>
  </si>
  <si>
    <t>georgia lottery results and winning numbers</t>
  </si>
  <si>
    <t>island demo</t>
  </si>
  <si>
    <t>irish lottery latest results</t>
  </si>
  <si>
    <t>nys winning numbers</t>
  </si>
  <si>
    <t>Animation; Music; Online media; TV; Adventure games; Simulation games</t>
  </si>
  <si>
    <t>chances numbers</t>
  </si>
  <si>
    <t>dreaming of lottery numbers meaning</t>
  </si>
  <si>
    <t>latest winning numbers</t>
  </si>
  <si>
    <t>powerball winning numbers for wednesday night</t>
  </si>
  <si>
    <t>asurewin demo</t>
  </si>
  <si>
    <t>generate lottery numbers</t>
  </si>
  <si>
    <t>texas pick 3 winning numbers midday</t>
  </si>
  <si>
    <t>44, 43, 55, 91, 60, 71, 68, 57, 55, 53, 53, 69, 53, 65, 89, 89, 72, 71, 66, 72, 70, 63, 68, 68</t>
  </si>
  <si>
    <t>59, 75, 66, 70, 63, 74, 64, 72, 70, 63, 68, 68, 59</t>
  </si>
  <si>
    <t>today lucky lottery numbers for scorpio</t>
  </si>
  <si>
    <t>resultat borlette new york</t>
  </si>
  <si>
    <t>florida mega millions lottery numbers</t>
  </si>
  <si>
    <t>florida lottery results past winning numbers</t>
  </si>
  <si>
    <t>nylottery</t>
  </si>
  <si>
    <t>check past lottery numbers</t>
  </si>
  <si>
    <t>colorado lottery powerball numbers</t>
  </si>
  <si>
    <t>dv lottery results 2025 winners list</t>
  </si>
  <si>
    <t>102, 58, 69, 56, 74, 62, 73, 58, 70, 58, 69, 58, 56, 68, 69, 70, 70, 69, 78, 69, 62, 62, 65, 60</t>
  </si>
  <si>
    <t>57, 54, 56, 56, 61, 66, 73, 71, 59, 59, 63, 58, 56</t>
  </si>
  <si>
    <t>lottery numbers florida winning lottery numbers</t>
  </si>
  <si>
    <t>lottery ny</t>
  </si>
  <si>
    <t>6 49 lotto results</t>
  </si>
  <si>
    <t>surewin casino</t>
  </si>
  <si>
    <t>check winning number</t>
  </si>
  <si>
    <t>dc winning lottery number</t>
  </si>
  <si>
    <t>results for the ohio lottery</t>
  </si>
  <si>
    <t>illinois lottery winning number</t>
  </si>
  <si>
    <t>new york lottery daily numbers</t>
  </si>
  <si>
    <t>post lottery</t>
  </si>
  <si>
    <t>kansas lottery results</t>
  </si>
  <si>
    <t>mn lottery results</t>
  </si>
  <si>
    <t>Lottery; Communities</t>
  </si>
  <si>
    <t>island luck cable beach</t>
  </si>
  <si>
    <t>florida raffle winning numbers</t>
  </si>
  <si>
    <t>island luck winning numbers island luck</t>
  </si>
  <si>
    <t>Informational,Commercial,Branded,Local</t>
  </si>
  <si>
    <t>post code lottery results</t>
  </si>
  <si>
    <t>florida día</t>
  </si>
  <si>
    <t>lottery post lucky numbers daily</t>
  </si>
  <si>
    <t>tennessee lotto results</t>
  </si>
  <si>
    <t>ky lottery pick 3 past winning numbers</t>
  </si>
  <si>
    <t>old lottery numbers</t>
  </si>
  <si>
    <t>lotto results online</t>
  </si>
  <si>
    <t>mobile island luck</t>
  </si>
  <si>
    <t>n.m. lottery results</t>
  </si>
  <si>
    <t>olg 649 winning numbers</t>
  </si>
  <si>
    <t>lottery result</t>
  </si>
  <si>
    <t>new york past lottery results</t>
  </si>
  <si>
    <t>fl lottery results</t>
  </si>
  <si>
    <t>lottopost</t>
  </si>
  <si>
    <t>island luck winning numbers island luck winning</t>
  </si>
  <si>
    <t>pick 3 prediction for today ny</t>
  </si>
  <si>
    <t>wednesday tonight national lottery results lotto</t>
  </si>
  <si>
    <t>florida lottery lotto results</t>
  </si>
  <si>
    <t>lucky numbers for 2024 lottery</t>
  </si>
  <si>
    <t>new york lottery results winning numbers today</t>
  </si>
  <si>
    <t>pick 3 prediction for today evening</t>
  </si>
  <si>
    <t>chart flip and mirror numbers lottery</t>
  </si>
  <si>
    <t>north carolina lottery past results</t>
  </si>
  <si>
    <t>california past winning numbers</t>
  </si>
  <si>
    <t>the lottery results</t>
  </si>
  <si>
    <t>lottery mega millions jackpot winning numbers</t>
  </si>
  <si>
    <t>new york lottery results pick 4</t>
  </si>
  <si>
    <t>illinois evening lottery results</t>
  </si>
  <si>
    <t>florida lotto pick 3 winning numbers</t>
  </si>
  <si>
    <t>i lottery results</t>
  </si>
  <si>
    <t>lotto miami</t>
  </si>
  <si>
    <t>mega lottery results</t>
  </si>
  <si>
    <t>florida lottery pick 3 winning numbers history</t>
  </si>
  <si>
    <t>united states lottery results</t>
  </si>
  <si>
    <t>winning cash pot number for today</t>
  </si>
  <si>
    <t>nassau games winning number home page</t>
  </si>
  <si>
    <t>pa lottery pick 3 past winning numbers</t>
  </si>
  <si>
    <t>rte lotto results</t>
  </si>
  <si>
    <t>ill winning lottery numbers</t>
  </si>
  <si>
    <t>tirage florida</t>
  </si>
  <si>
    <t>ca lottery fantasy 5 winning numbers</t>
  </si>
  <si>
    <t>arizona winning lottery numbers</t>
  </si>
  <si>
    <t>colombia lottery results</t>
  </si>
  <si>
    <t>the numbers winning numbers</t>
  </si>
  <si>
    <t>lottery results canada</t>
  </si>
  <si>
    <t>chance game</t>
  </si>
  <si>
    <t>florida lottery winning numbers and results today</t>
  </si>
  <si>
    <t>jamaica lottery results</t>
  </si>
  <si>
    <t>full moon lottery numbers 2023</t>
  </si>
  <si>
    <t>winning numbers mega millions</t>
  </si>
  <si>
    <t>illinois lottery winning numbers for today</t>
  </si>
  <si>
    <t>aland luck</t>
  </si>
  <si>
    <t>lottery results california</t>
  </si>
  <si>
    <t>results euro lotto</t>
  </si>
  <si>
    <t>louisiana lottery winning numbers</t>
  </si>
  <si>
    <t>tennessee winning lottery numbers</t>
  </si>
  <si>
    <t>50, 39, 52, 1467, 43, 46, 49, 35, 18, 11, 16, 0, 0, 21, 96, 89, 40, 86, 71, 50, 35, 39, 99, 83</t>
  </si>
  <si>
    <t>island luck winning numbers ultra game</t>
  </si>
  <si>
    <t>trinidad lottery play whe results</t>
  </si>
  <si>
    <t>lotto 6/49 winning numbers</t>
  </si>
  <si>
    <t>atlantic winning numbers</t>
  </si>
  <si>
    <t>cash 5 winning numbers</t>
  </si>
  <si>
    <t>illinois lottery post winning numbers</t>
  </si>
  <si>
    <t>island luck web cafe</t>
  </si>
  <si>
    <t>paradise lottery winning numbers</t>
  </si>
  <si>
    <t>google island luck winning number</t>
  </si>
  <si>
    <t>island game winning number</t>
  </si>
  <si>
    <t>85, 87, 111, 118, 78, 55, 44, 44, 38, 41, 53, 49, 59, 45, 55, 48, 36, 47, 57, 60, 48, 93, 125, 76</t>
  </si>
  <si>
    <t>ireland lottery numbers</t>
  </si>
  <si>
    <t>michigan fantasy 5 winning numbers</t>
  </si>
  <si>
    <t>n.y. lottery results</t>
  </si>
  <si>
    <t>pick 3 winning numbers for tonight</t>
  </si>
  <si>
    <t>diversity lottery 2025 results</t>
  </si>
  <si>
    <t>txlottery winning numbers</t>
  </si>
  <si>
    <t>lottery euromillions results</t>
  </si>
  <si>
    <t>chances login in</t>
  </si>
  <si>
    <t>chancesgames winning numbers</t>
  </si>
  <si>
    <t>past lottery results ny</t>
  </si>
  <si>
    <t>national lotto results for today</t>
  </si>
  <si>
    <t>pick 3 florida lottery results</t>
  </si>
  <si>
    <t>the winning numbers for today</t>
  </si>
  <si>
    <t>washington dc lottery</t>
  </si>
  <si>
    <t>island luck winning numbers island game</t>
  </si>
  <si>
    <t>national lottery results wednesday</t>
  </si>
  <si>
    <t>dc lottery</t>
  </si>
  <si>
    <t>florida pick 4</t>
  </si>
  <si>
    <t>colorado lottery past winning numbers</t>
  </si>
  <si>
    <t>tuesday night oz lotto results</t>
  </si>
  <si>
    <t>todays winning numbers</t>
  </si>
  <si>
    <t>id lottery winning numbers</t>
  </si>
  <si>
    <t>jamaica lotto results history</t>
  </si>
  <si>
    <t>today's florida lottery numbers</t>
  </si>
  <si>
    <t>molottery winning numbers</t>
  </si>
  <si>
    <t>lotto results powerball australia</t>
  </si>
  <si>
    <t>a sure win</t>
  </si>
  <si>
    <t>sat x lotto results</t>
  </si>
  <si>
    <t>caribbean super lotto results</t>
  </si>
  <si>
    <t>st patrick's day lottery numbers</t>
  </si>
  <si>
    <t>lottery results wednesday night</t>
  </si>
  <si>
    <t>Sports betting; Sports</t>
  </si>
  <si>
    <t>results of oz lotto</t>
  </si>
  <si>
    <t>pa lottery</t>
  </si>
  <si>
    <t>tonight fantasy 5 winning numbers</t>
  </si>
  <si>
    <t>texas lottery winning results</t>
  </si>
  <si>
    <t>capricorn winning numbers</t>
  </si>
  <si>
    <t>florida lotto winning numbers and payouts</t>
  </si>
  <si>
    <t>florida lottery - pick 3</t>
  </si>
  <si>
    <t>us green card lottery results</t>
  </si>
  <si>
    <t>mega millions winning number</t>
  </si>
  <si>
    <t>take 5 winning numbers</t>
  </si>
  <si>
    <t>illinois lottery pick 3 evening winning numbers</t>
  </si>
  <si>
    <t>betfred irish lottery results all 3 draws tonight</t>
  </si>
  <si>
    <t>lotterypost.com</t>
  </si>
  <si>
    <t>texas lottery numbers for wednesday</t>
  </si>
  <si>
    <t>winning fla lotto numbers</t>
  </si>
  <si>
    <t>lucky lottery numbers today</t>
  </si>
  <si>
    <t>ladbrokes irish lottery results checker</t>
  </si>
  <si>
    <t>lotto historical results</t>
  </si>
  <si>
    <t>results lottery florida today</t>
  </si>
  <si>
    <t>dv lottery results 2024</t>
  </si>
  <si>
    <t>spiritual lottery numbers</t>
  </si>
  <si>
    <t>cash pot winning number</t>
  </si>
  <si>
    <t>tonight winning number</t>
  </si>
  <si>
    <t>postcode lottery results today</t>
  </si>
  <si>
    <t>pick 3 evening pick 3 new york lottery results</t>
  </si>
  <si>
    <t>winning numbers for the powerball</t>
  </si>
  <si>
    <t>new york city winning numbers</t>
  </si>
  <si>
    <t>island luck demo game</t>
  </si>
  <si>
    <t>ohio pick 3 past winning numbers</t>
  </si>
  <si>
    <t>Videos</t>
  </si>
  <si>
    <t>tonight winning lottery numbers</t>
  </si>
  <si>
    <t>lottery pick 3 numbers</t>
  </si>
  <si>
    <t>lottery results for florida</t>
  </si>
  <si>
    <t>lotería new york hoy</t>
  </si>
  <si>
    <t>loteria</t>
  </si>
  <si>
    <t>dv lottery 2025 results</t>
  </si>
  <si>
    <t>ca lottery results</t>
  </si>
  <si>
    <t>best numbers to win the lottery</t>
  </si>
  <si>
    <t>georgia lottery winning results</t>
  </si>
  <si>
    <t>ga lottery winning numbers post</t>
  </si>
  <si>
    <t>illinois pick 3 evening winning number</t>
  </si>
  <si>
    <t>asure win login</t>
  </si>
  <si>
    <t>good friday lottery numbers</t>
  </si>
  <si>
    <t>new york state winning numbers for today</t>
  </si>
  <si>
    <t>chances winning lottery: random numbers</t>
  </si>
  <si>
    <t>Navigational,Commercial,Branded,Non-local</t>
  </si>
  <si>
    <t>1, 2, 5, 0, 1, 0, 47, 1, 0, 0, 0, 0, 0, 0, 0, 9, 125, 33, 8, 19, 26, 76, 109, 201</t>
  </si>
  <si>
    <t>pa powerball winning numbers</t>
  </si>
  <si>
    <t>island luck web</t>
  </si>
  <si>
    <t>winning numbers for keno</t>
  </si>
  <si>
    <t>diversity visa lottery results</t>
  </si>
  <si>
    <t>61, 73, 92, 92, 51, 49, 60, 49, 49, 45, 49, 49, 49, 49, 61, 50, 38, 50, 60, 62, 51, 46, 37, 35</t>
  </si>
  <si>
    <t>ca lottery lucky numbers</t>
  </si>
  <si>
    <t>36, 30, 34, 29, 29, 31, 32, 27, 21, 17, 13, 11, 9</t>
  </si>
  <si>
    <t>island luck paradise island</t>
  </si>
  <si>
    <t>quebec lottery winning numbers</t>
  </si>
  <si>
    <t>People also ask,Knowledge panel,Sitelinks</t>
  </si>
  <si>
    <t>new york lottery results for wednesday</t>
  </si>
  <si>
    <t>island luck collins avenue</t>
  </si>
  <si>
    <t>new mexico lottery results and winning numbers</t>
  </si>
  <si>
    <t>lotto winning numbers canada</t>
  </si>
  <si>
    <t>Lottery; Business</t>
  </si>
  <si>
    <t>fl lottery</t>
  </si>
  <si>
    <t>maryland lottery winning number</t>
  </si>
  <si>
    <t>lotto america iowa winning numbers</t>
  </si>
  <si>
    <t>winning numbers for lotto 649</t>
  </si>
  <si>
    <t>ny lotto</t>
  </si>
  <si>
    <t>island luck lottery numbers</t>
  </si>
  <si>
    <t>new york lottery win 4 hot and cold numbers</t>
  </si>
  <si>
    <t>casino lobby demo play</t>
  </si>
  <si>
    <t>michigan lottery results post</t>
  </si>
  <si>
    <t>latest powerball winning numbers</t>
  </si>
  <si>
    <t>irish lottery results for tonight</t>
  </si>
  <si>
    <t>last night's lotto results</t>
  </si>
  <si>
    <t>fireball winning numbers</t>
  </si>
  <si>
    <t>island luck carmichael road</t>
  </si>
  <si>
    <t>coral new york lottery results</t>
  </si>
  <si>
    <t>island luck southwest plaza</t>
  </si>
  <si>
    <t>florida lottery florida lottery winning numbers</t>
  </si>
  <si>
    <t>minnesota lottery</t>
  </si>
  <si>
    <t>washington lottery results</t>
  </si>
  <si>
    <t>nc winning lottery numbers</t>
  </si>
  <si>
    <t>lotto new york lottery results</t>
  </si>
  <si>
    <t>keno lottery results</t>
  </si>
  <si>
    <t>kentucky lottery</t>
  </si>
  <si>
    <t>powerball winning numbers nsw</t>
  </si>
  <si>
    <t>lottery results jamaica</t>
  </si>
  <si>
    <t>florida lotto.com winning numbers</t>
  </si>
  <si>
    <t>aries lottery numbers</t>
  </si>
  <si>
    <t>powerball winning numbers texas</t>
  </si>
  <si>
    <t>fantasy 5 winning numbers for yesterday</t>
  </si>
  <si>
    <t>www.lotterypost.com</t>
  </si>
  <si>
    <t>mississippi winning numbers</t>
  </si>
  <si>
    <t>winning numbers for last night's powerball</t>
  </si>
  <si>
    <t>florida mega millions winning numbers history</t>
  </si>
  <si>
    <t>florida past lottery numbers</t>
  </si>
  <si>
    <t>best pick 3 lottery numbers to play</t>
  </si>
  <si>
    <t>arizona powerball winning numbers</t>
  </si>
  <si>
    <t>illinois past lottery numbers</t>
  </si>
  <si>
    <t>pennsylvania winning number</t>
  </si>
  <si>
    <t>lotto 649 canada results</t>
  </si>
  <si>
    <t>national lottery results uk</t>
  </si>
  <si>
    <t>chances web shop</t>
  </si>
  <si>
    <t>kansas cash winning numbers</t>
  </si>
  <si>
    <t>mon lotto results</t>
  </si>
  <si>
    <t>winning numbers horoscope</t>
  </si>
  <si>
    <t>chances freeport</t>
  </si>
  <si>
    <t>new mexico pick 3 winning numbers</t>
  </si>
  <si>
    <t>florida lottery winning number for today</t>
  </si>
  <si>
    <t>ladbrokes lottery results</t>
  </si>
  <si>
    <t>loterie new york</t>
  </si>
  <si>
    <t>lottery numbers canada</t>
  </si>
  <si>
    <t>last night's winning lottery numbers</t>
  </si>
  <si>
    <t>fantasy 5 california</t>
  </si>
  <si>
    <t>lottery numbers in dream</t>
  </si>
  <si>
    <t>lotto winning results</t>
  </si>
  <si>
    <t>lottery numbers lucky</t>
  </si>
  <si>
    <t>green card lottery results date</t>
  </si>
  <si>
    <t>islandluck.com winning numbers island game l</t>
  </si>
  <si>
    <t>georgia lottery cash 3</t>
  </si>
  <si>
    <t>gold lotto results wednesday qld</t>
  </si>
  <si>
    <t>washington dc lottery winning numbers</t>
  </si>
  <si>
    <t>island login</t>
  </si>
  <si>
    <t>georgia lottery numbers for today</t>
  </si>
  <si>
    <t>lotto max winning numbers encore</t>
  </si>
  <si>
    <t>Navigational,Non-branded,Non-local</t>
  </si>
  <si>
    <t>arizona pick 3 winning numbers</t>
  </si>
  <si>
    <t>powerball results</t>
  </si>
  <si>
    <t>lotri nouyok</t>
  </si>
  <si>
    <t>mega million last night winning numbers</t>
  </si>
  <si>
    <t>california lottery past winning numbers download</t>
  </si>
  <si>
    <t>www island</t>
  </si>
  <si>
    <t>georgia keno past winning numbers</t>
  </si>
  <si>
    <t>www.northcarolinalottery.com winning-numbers</t>
  </si>
  <si>
    <t>Informational,Navigational,Non-branded,Non-local</t>
  </si>
  <si>
    <t>Business; Education; Islands</t>
  </si>
  <si>
    <t>borlette new york</t>
  </si>
  <si>
    <t>carolina winning numbers</t>
  </si>
  <si>
    <t>lotto plus results trinidad</t>
  </si>
  <si>
    <t>island luck marsh harbour</t>
  </si>
  <si>
    <t>florida lottery winning numbers results archives</t>
  </si>
  <si>
    <t>winning numbers asue draw</t>
  </si>
  <si>
    <t>irish lottery results checker 3 draws tonight</t>
  </si>
  <si>
    <t>lottery corner</t>
  </si>
  <si>
    <t>bowes games winning numbers</t>
  </si>
  <si>
    <t>5 numbers lottery</t>
  </si>
  <si>
    <t>postcode lottery results for today please</t>
  </si>
  <si>
    <t>7 lucky numbers today for lottery</t>
  </si>
  <si>
    <t>powerball jackpot winning numbers</t>
  </si>
  <si>
    <t>fantasy 5 winning numbers for last night</t>
  </si>
  <si>
    <t>puerto rico winning numbers</t>
  </si>
  <si>
    <t>polish lottery results</t>
  </si>
  <si>
    <t>nassaugame nonmember winning numbers</t>
  </si>
  <si>
    <t>top pick lotto results</t>
  </si>
  <si>
    <t>lottery results tonight saturday checker</t>
  </si>
  <si>
    <t>mega millions arkansas lottery winning numbers</t>
  </si>
  <si>
    <t>island luck hours</t>
  </si>
  <si>
    <t>past winning number new york</t>
  </si>
  <si>
    <t>idaho lottery past winning numbers</t>
  </si>
  <si>
    <t>www.ohiolottery.com winning numbers</t>
  </si>
  <si>
    <t>florida lottery numbers mega millions</t>
  </si>
  <si>
    <t>florida lotto results today</t>
  </si>
  <si>
    <t>www.illinois lottery numbers</t>
  </si>
  <si>
    <t>flip and mirror numbers lottery</t>
  </si>
  <si>
    <t>casino lobby - demo multi slots</t>
  </si>
  <si>
    <t>oklahoma lottery winning numbers</t>
  </si>
  <si>
    <t>ladbrokes lotto results</t>
  </si>
  <si>
    <t>daily lotto results for today</t>
  </si>
  <si>
    <t>irish lotto results saturday</t>
  </si>
  <si>
    <t>lottery numbers for saturday</t>
  </si>
  <si>
    <t>borlette florida</t>
  </si>
  <si>
    <t>lottery mirror numbers</t>
  </si>
  <si>
    <t>Sitelinks,Image pack</t>
  </si>
  <si>
    <t>winning pick 4 numbers for today</t>
  </si>
  <si>
    <t>results checker lotto</t>
  </si>
  <si>
    <t>ontario 49 winning numbers encore</t>
  </si>
  <si>
    <t>lottery nsw results</t>
  </si>
  <si>
    <t>loteria florida noche</t>
  </si>
  <si>
    <t>pick 4 winning numbers for tonight</t>
  </si>
  <si>
    <t>new york lottery evening numbers</t>
  </si>
  <si>
    <t>louisiana lottery</t>
  </si>
  <si>
    <t>winning numbers new york lottery winning numbers</t>
  </si>
  <si>
    <t>lottery numbers uk</t>
  </si>
  <si>
    <t>chances of winning winning numbers</t>
  </si>
  <si>
    <t>florida mega millions</t>
  </si>
  <si>
    <t>find lottery results</t>
  </si>
  <si>
    <t>minnesota gopher 5 winning numbers</t>
  </si>
  <si>
    <t>www.california lottery.com</t>
  </si>
  <si>
    <t>lottery results for</t>
  </si>
  <si>
    <t>play winning number</t>
  </si>
  <si>
    <t>fantasy 5 winning numbers california lottery</t>
  </si>
  <si>
    <t>winner take chances</t>
  </si>
  <si>
    <t>raven's lucky lottery numbers for cancer</t>
  </si>
  <si>
    <t>mega sena lottery results</t>
  </si>
  <si>
    <t>new york lottery numbers results post</t>
  </si>
  <si>
    <t>wv lottery results</t>
  </si>
  <si>
    <t>betfred irish lottery numbers</t>
  </si>
  <si>
    <t>winning lottery numbers ga</t>
  </si>
  <si>
    <t>irish lottery results saturday</t>
  </si>
  <si>
    <t>powerball lottery winning numbers</t>
  </si>
  <si>
    <t>florida lottery cash 3 winning numbers history</t>
  </si>
  <si>
    <t>h1b visa lottery results</t>
  </si>
  <si>
    <t>megamillion past winning numbers</t>
  </si>
  <si>
    <t>mississippi lottery numbers</t>
  </si>
  <si>
    <t>texas pick 3 winning numbers for tonight</t>
  </si>
  <si>
    <t>britain lotto results</t>
  </si>
  <si>
    <t>fl lotto pick 3</t>
  </si>
  <si>
    <t>california lottery winning numbers today</t>
  </si>
  <si>
    <t>mega million latest winning numbers</t>
  </si>
  <si>
    <t>daily 3 lottery results</t>
  </si>
  <si>
    <t>il lottery numbers</t>
  </si>
  <si>
    <t>illinois lottery past winning numbers pick 4</t>
  </si>
  <si>
    <t>pick 3 winning numbers</t>
  </si>
  <si>
    <t>powerball winner</t>
  </si>
  <si>
    <t>Top stories,Thumbnail,Sitelinks,People also ask,Video preview</t>
  </si>
  <si>
    <t>2025 nba draft lottery results</t>
  </si>
  <si>
    <t>island luck prince charles</t>
  </si>
  <si>
    <t>il winning numbers</t>
  </si>
  <si>
    <t>Sitelinks,Knowledge panel,People also ask</t>
  </si>
  <si>
    <t>lottery usa results</t>
  </si>
  <si>
    <t>winners take chances</t>
  </si>
  <si>
    <t>friday's winning numbers</t>
  </si>
  <si>
    <t>lottery numbers prediction for today</t>
  </si>
  <si>
    <t>english lottery results</t>
  </si>
  <si>
    <t>indiana hoosier lottery winning numbers</t>
  </si>
  <si>
    <t>lottery, florida</t>
  </si>
  <si>
    <t>arizona lottery powerball numbers</t>
  </si>
  <si>
    <t>lottery results 21st april 2021</t>
  </si>
  <si>
    <t>assurance winning numbers</t>
  </si>
  <si>
    <t>florida cash 3</t>
  </si>
  <si>
    <t>new york lottery post powerball results</t>
  </si>
  <si>
    <t>lotto results florida</t>
  </si>
  <si>
    <t>ct lottery numbers</t>
  </si>
  <si>
    <t>today's pick 3 winning numbers</t>
  </si>
  <si>
    <t>florida winning lotto numbers last night</t>
  </si>
  <si>
    <t>california mega millions past winning numbers</t>
  </si>
  <si>
    <t>today florida lotto winning numbers</t>
  </si>
  <si>
    <t>florida lottery - pick 3 play 4</t>
  </si>
  <si>
    <t>tennessee lottery winning number</t>
  </si>
  <si>
    <t>lottery post results daily</t>
  </si>
  <si>
    <t>arizona lottery</t>
  </si>
  <si>
    <t>florida lottery tv results</t>
  </si>
  <si>
    <t>usa lottery</t>
  </si>
  <si>
    <t>green card lottery 2023 results date</t>
  </si>
  <si>
    <t>michigan winning lottery numbers</t>
  </si>
  <si>
    <t>michigan lottery daily 3 &amp; 4 digit results today</t>
  </si>
  <si>
    <t>florida lottery - winning numbers by date 2021</t>
  </si>
  <si>
    <t>lottery results mega millions</t>
  </si>
  <si>
    <t>new york lottery latest results</t>
  </si>
  <si>
    <t>tuesday lotto results time</t>
  </si>
  <si>
    <t>tirage tennessee</t>
  </si>
  <si>
    <t>best lucky numbers for lottery</t>
  </si>
  <si>
    <t>usa lottery results 2023</t>
  </si>
  <si>
    <t>last winning lotto numbers</t>
  </si>
  <si>
    <t>chicago winning lotto number</t>
  </si>
  <si>
    <t>chances casinos</t>
  </si>
  <si>
    <t>pick 4 illinois lottery results</t>
  </si>
  <si>
    <t>island games winning number</t>
  </si>
  <si>
    <t>sat night lotto results</t>
  </si>
  <si>
    <t>fla lottery</t>
  </si>
  <si>
    <t>latest oz lotto results wa</t>
  </si>
  <si>
    <t>north carolina education lottery results</t>
  </si>
  <si>
    <t>national lottery</t>
  </si>
  <si>
    <t>google island luck winning numbers</t>
  </si>
  <si>
    <t>oh lotto winning numbers</t>
  </si>
  <si>
    <t>results new york lottery</t>
  </si>
  <si>
    <t>usa lotto results</t>
  </si>
  <si>
    <t>powerball last winning numbers</t>
  </si>
  <si>
    <t>miami pick 3</t>
  </si>
  <si>
    <t>canada winning lottery numbers</t>
  </si>
  <si>
    <t>all state lottery results</t>
  </si>
  <si>
    <t>rhode island lottery</t>
  </si>
  <si>
    <t>new york lottery results today midday</t>
  </si>
  <si>
    <t>winning number pick 3</t>
  </si>
  <si>
    <t>island luck winning numbers tonight</t>
  </si>
  <si>
    <t>island luck casino</t>
  </si>
  <si>
    <t>irish main draw lottery results</t>
  </si>
  <si>
    <t>de lottery results</t>
  </si>
  <si>
    <t>15, 84, 111, 55, 32, 32, 35, 46, 45, 41, 43, 34, 34, 35, 42, 32, 25, 24, 28, 40, 40, 38, 39, 32</t>
  </si>
  <si>
    <t>hoosier lottery numbers</t>
  </si>
  <si>
    <t>32, 42, 47, 32, 25, 24, 29, 41, 42, 39, 41, 33, 33</t>
  </si>
  <si>
    <t>ca lottery fantasy 5</t>
  </si>
  <si>
    <t>fish dream lottery numbers</t>
  </si>
  <si>
    <t>florida lottery results evening</t>
  </si>
  <si>
    <t>lottery numbers to win</t>
  </si>
  <si>
    <t>lottery results united kingdom</t>
  </si>
  <si>
    <t>national lottery lotto results</t>
  </si>
  <si>
    <t>island luck robinson road</t>
  </si>
  <si>
    <t>winning numbers for fantasy 5</t>
  </si>
  <si>
    <t>in lottery results</t>
  </si>
  <si>
    <t>south carolina winning lottery numbers</t>
  </si>
  <si>
    <t>island luck customer service number</t>
  </si>
  <si>
    <t>convert dreams into lottery numbers</t>
  </si>
  <si>
    <t>lotto results tonight saturday</t>
  </si>
  <si>
    <t>island luck app</t>
  </si>
  <si>
    <t>mega millions jackpot winning numbers tonight</t>
  </si>
  <si>
    <t>florida winning numbers for tonight</t>
  </si>
  <si>
    <t>lotto 6/49 winning numbers today</t>
  </si>
  <si>
    <t>number winning number</t>
  </si>
  <si>
    <t>wednesday lotto results checker</t>
  </si>
  <si>
    <t>lottery results last night</t>
  </si>
  <si>
    <t>tennessee pick 3 winning numbers</t>
  </si>
  <si>
    <t>ct lottery results</t>
  </si>
  <si>
    <t>tirage georgia</t>
  </si>
  <si>
    <t>dv lottery 2022 results release date</t>
  </si>
  <si>
    <t>winning lottery numbers for michigan</t>
  </si>
  <si>
    <t>49s lotto results</t>
  </si>
  <si>
    <t>saturday gold lotto results</t>
  </si>
  <si>
    <t>island luck demo login</t>
  </si>
  <si>
    <t>lottery results winning numbers</t>
  </si>
  <si>
    <t>lottery bible associate numbers</t>
  </si>
  <si>
    <t>lottery results tn</t>
  </si>
  <si>
    <t>sc pick 4 midday winning numbers</t>
  </si>
  <si>
    <t>powerball winning numbers for tuesday</t>
  </si>
  <si>
    <t>new york lottery past results</t>
  </si>
  <si>
    <t>nassaugame</t>
  </si>
  <si>
    <t>powerball winning numbers today</t>
  </si>
  <si>
    <t>triple lottery numbers</t>
  </si>
  <si>
    <t>fml</t>
  </si>
  <si>
    <t>florida lottery most common winning numbers</t>
  </si>
  <si>
    <t>tennessee lottery cash 3 winning numbers history</t>
  </si>
  <si>
    <t>34, 22, 28, 44, 1, 11, 19, 67, 28, 37, 41, 4, 34, 22, 28, 44, 1, 11, 19, 67, 28, 37, 41, 4</t>
  </si>
  <si>
    <t>34, 22, 28, 44, 1, 11, 19, 67, 28, 37, 41, 4, 34</t>
  </si>
  <si>
    <t>florida lotto numbers results</t>
  </si>
  <si>
    <t>new mexico lotto results</t>
  </si>
  <si>
    <t>winning keno numbers</t>
  </si>
  <si>
    <t>chances games and casino</t>
  </si>
  <si>
    <t>i luck winning numbers</t>
  </si>
  <si>
    <t>46, 45, 56, 45, 37, 37, 38, 37, 33, 26, 25, 22, 25, 24, 25, 25, 38, 48, 38, 25, 27, 24, 23, 19</t>
  </si>
  <si>
    <t>16, 16, 18, 15, 47, 41, 33, 32, 26, 24, 22, 18, 16</t>
  </si>
  <si>
    <t>rezilta bolet florida</t>
  </si>
  <si>
    <t>lottery results wednesday</t>
  </si>
  <si>
    <t>bolet florida</t>
  </si>
  <si>
    <t>today's tonight national lottery results lotto</t>
  </si>
  <si>
    <t>Haitian</t>
  </si>
  <si>
    <t>lottery numbers past winning numbers</t>
  </si>
  <si>
    <t>illinois state lottery winning numbers</t>
  </si>
  <si>
    <t>monday night lotto results</t>
  </si>
  <si>
    <t>oz lotto results nsw lotteries</t>
  </si>
  <si>
    <t>isluck luck</t>
  </si>
  <si>
    <t>a lottery results</t>
  </si>
  <si>
    <t>ghana international lotto results</t>
  </si>
  <si>
    <t>ultra game cafe</t>
  </si>
  <si>
    <t>winning numbers ca lottery</t>
  </si>
  <si>
    <t>Sitelinks,People also ask,Local teaser pack</t>
  </si>
  <si>
    <t>texas lottery results winning numbers</t>
  </si>
  <si>
    <t>lottery illinois lottery results</t>
  </si>
  <si>
    <t>powerball florida</t>
  </si>
  <si>
    <t>the national lottery results uk</t>
  </si>
  <si>
    <t>delaware lottery winning number</t>
  </si>
  <si>
    <t>island luck login account login</t>
  </si>
  <si>
    <t>florida lottery - powerball winning numbers</t>
  </si>
  <si>
    <t>lottery massachusetts results</t>
  </si>
  <si>
    <t>freeport games winning numbers</t>
  </si>
  <si>
    <t>california lottery daily 3</t>
  </si>
  <si>
    <t>new york pick 3 past winning numbers</t>
  </si>
  <si>
    <t>california pick 3</t>
  </si>
  <si>
    <t>supreme ventures lotto results</t>
  </si>
  <si>
    <t>taxes lottery results</t>
  </si>
  <si>
    <t>island luck near me</t>
  </si>
  <si>
    <t>powerball winning numbers for wednesday</t>
  </si>
  <si>
    <t>golden casket results oz lotto</t>
  </si>
  <si>
    <t>Local teaser pack,Sitelinks,People also ask</t>
  </si>
  <si>
    <t>lotto winning number today</t>
  </si>
  <si>
    <t>island luck phone number</t>
  </si>
  <si>
    <t>lotto results history 2021</t>
  </si>
  <si>
    <t>Knowledge card,People also ask,Knowledge panel</t>
  </si>
  <si>
    <t>florida lottery pick 5 evening winning numbers</t>
  </si>
  <si>
    <t>bolet new york</t>
  </si>
  <si>
    <t>north carolina education lottery numbers</t>
  </si>
  <si>
    <t>cash pop winning numbers</t>
  </si>
  <si>
    <t>Informational,Navigational,Transactional,Branded,Local</t>
  </si>
  <si>
    <t>maryland lottery results pick 3 pick 4</t>
  </si>
  <si>
    <t>lottery florida post</t>
  </si>
  <si>
    <t>new mexico winning lottery numbers</t>
  </si>
  <si>
    <t>lottery numbers for last night</t>
  </si>
  <si>
    <t>lotto result today</t>
  </si>
  <si>
    <t>new york state lotto winning numbers</t>
  </si>
  <si>
    <t>lottery numbers for dreams</t>
  </si>
  <si>
    <t>lottery ny results post</t>
  </si>
  <si>
    <t>mass lottery</t>
  </si>
  <si>
    <t>numbers ny lottery</t>
  </si>
  <si>
    <t>florida lottery results cash for life</t>
  </si>
  <si>
    <t>Sitelinks,Top stories,Thumbnail,People also ask</t>
  </si>
  <si>
    <t>super lotto results</t>
  </si>
  <si>
    <t>illinois lottery past winning numbers</t>
  </si>
  <si>
    <t>island luck free demo games</t>
  </si>
  <si>
    <t>island luck crack the code winning numbers</t>
  </si>
  <si>
    <t>asurewin.com winning numbers</t>
  </si>
  <si>
    <t>island mobile</t>
  </si>
  <si>
    <t>national lottery set for life results</t>
  </si>
  <si>
    <t>ontario pick 3 winning numbers</t>
  </si>
  <si>
    <t>Digital wallets; Lottery; Sports betting; Veterinarians</t>
  </si>
  <si>
    <t>calottery winning numbers</t>
  </si>
  <si>
    <t>asurewin number</t>
  </si>
  <si>
    <t>most common lottery numbers</t>
  </si>
  <si>
    <t>saturday irish lottery results</t>
  </si>
  <si>
    <t>miami lottery pick 3</t>
  </si>
  <si>
    <t>texas lottery post results</t>
  </si>
  <si>
    <t>pick 3</t>
  </si>
  <si>
    <t>chances of winning lottery</t>
  </si>
  <si>
    <t>wi lottery results</t>
  </si>
  <si>
    <t>islan</t>
  </si>
  <si>
    <t>lucky numbers for 2023 - lottery</t>
  </si>
  <si>
    <t>Image pack,People also ask</t>
  </si>
  <si>
    <t>most frequent lottery numbers</t>
  </si>
  <si>
    <t>Entertainment news; Music; Society</t>
  </si>
  <si>
    <t>florida mega ball winning numbers</t>
  </si>
  <si>
    <t>miami 3 ball</t>
  </si>
  <si>
    <t>lotto winning numbers today</t>
  </si>
  <si>
    <t>mexico lotto results</t>
  </si>
  <si>
    <t>what's the winning number</t>
  </si>
  <si>
    <t>calottery</t>
  </si>
  <si>
    <t>sc lottery winning numbers</t>
  </si>
  <si>
    <t>ny lottery latest results</t>
  </si>
  <si>
    <t>pick3 winning numbers</t>
  </si>
  <si>
    <t>horoscope lottery numbers</t>
  </si>
  <si>
    <t>maryland lottery pick 3 numbers</t>
  </si>
  <si>
    <t>resultat lottery new york</t>
  </si>
  <si>
    <t>6 winning numbers</t>
  </si>
  <si>
    <t>georgia lottery winning numbers for tonight</t>
  </si>
  <si>
    <t>island luck closing time</t>
  </si>
  <si>
    <t>good lottery numbers to play</t>
  </si>
  <si>
    <t>d c lottery results</t>
  </si>
  <si>
    <t>lottery results nsw</t>
  </si>
  <si>
    <t>lottery beast winning numbers</t>
  </si>
  <si>
    <t>georgia lotto</t>
  </si>
  <si>
    <t>colorado pick 3 midday winning numbers</t>
  </si>
  <si>
    <t>georgia pick 3</t>
  </si>
  <si>
    <t>tci lotto results</t>
  </si>
  <si>
    <t>superlotto winning number today</t>
  </si>
  <si>
    <t>www.chances</t>
  </si>
  <si>
    <t>winning numbers for tennessee lottery</t>
  </si>
  <si>
    <t>history lottery results</t>
  </si>
  <si>
    <t>supreme ventures super lotto results</t>
  </si>
  <si>
    <t>island luck casino lobby - demo play</t>
  </si>
  <si>
    <t>missouri lottery results stl</t>
  </si>
  <si>
    <t>best lottery numbers to pick 2020</t>
  </si>
  <si>
    <t>winning numbers va lottery</t>
  </si>
  <si>
    <t>island luck website</t>
  </si>
  <si>
    <t>florida lottery numbers history</t>
  </si>
  <si>
    <t>old german lotto results 1974</t>
  </si>
  <si>
    <t>results new jersey lottery</t>
  </si>
  <si>
    <t>island luck number nassau</t>
  </si>
  <si>
    <t>lottery new york results florida</t>
  </si>
  <si>
    <t>fla lotto results</t>
  </si>
  <si>
    <t>encore winning numbers lotto max</t>
  </si>
  <si>
    <t>all lotto winning numbers history</t>
  </si>
  <si>
    <t>lotto florida winning numbers</t>
  </si>
  <si>
    <t>mega millions drawing tonight</t>
  </si>
  <si>
    <t>keno lottery numbers</t>
  </si>
  <si>
    <t>lottery post results ny</t>
  </si>
  <si>
    <t>current florida lottery numbers</t>
  </si>
  <si>
    <t>lotería new york día</t>
  </si>
  <si>
    <t>lotería new york tarde</t>
  </si>
  <si>
    <t>lotto results winner</t>
  </si>
  <si>
    <t>mega millions florida</t>
  </si>
  <si>
    <t>irish lotto results 3 draws</t>
  </si>
  <si>
    <t>lotto results monday</t>
  </si>
  <si>
    <t>island luck login in</t>
  </si>
  <si>
    <t>new york state midday winning numbers</t>
  </si>
  <si>
    <t>newyork lotto results</t>
  </si>
  <si>
    <t>dream numbers lottery</t>
  </si>
  <si>
    <t>www california lottery winning numbers</t>
  </si>
  <si>
    <t>california lottery winning numbers fantasy 5</t>
  </si>
  <si>
    <t>winning numbers for new york lotto</t>
  </si>
  <si>
    <t>nj state lottery results</t>
  </si>
  <si>
    <t>powerball winning numbers for tonight</t>
  </si>
  <si>
    <t>california lotto</t>
  </si>
  <si>
    <t>www.new york lotto results</t>
  </si>
  <si>
    <t>vegas winning numbers</t>
  </si>
  <si>
    <t>north dakota lottery results</t>
  </si>
  <si>
    <t>casino lobby - demo pirate revenge</t>
  </si>
  <si>
    <t>arkansas winning numbers</t>
  </si>
  <si>
    <t>dream chart dream lottery numbers book</t>
  </si>
  <si>
    <t>island luck cafe</t>
  </si>
  <si>
    <t>florida florida lottery winning numbers</t>
  </si>
  <si>
    <t>lottery results nevada</t>
  </si>
  <si>
    <t>Restaurants; Web services</t>
  </si>
  <si>
    <t>chances winning numbers island luck winning</t>
  </si>
  <si>
    <t>florida lottery - winning numbers by date 2023</t>
  </si>
  <si>
    <t>new york lotto cash 3</t>
  </si>
  <si>
    <t>florida lotto results by date</t>
  </si>
  <si>
    <t>n york lottery results</t>
  </si>
  <si>
    <t>dv lottery 2020 results by country</t>
  </si>
  <si>
    <t>bahamadreams winning numbers</t>
  </si>
  <si>
    <t>olgc.ca winning numbers</t>
  </si>
  <si>
    <t>florida dia</t>
  </si>
  <si>
    <t>lottery results arkansas</t>
  </si>
  <si>
    <t>st louis lottery results</t>
  </si>
  <si>
    <t>lottery rapid</t>
  </si>
  <si>
    <t>tennessee (tn) lottery results | lottery post</t>
  </si>
  <si>
    <t>euro lottery results friday</t>
  </si>
  <si>
    <t>mega millions numbers</t>
  </si>
  <si>
    <t>powerball winning numbers ny</t>
  </si>
  <si>
    <t>past cashpot winning numbers</t>
  </si>
  <si>
    <t>lucky lottery numbers</t>
  </si>
  <si>
    <t>california cash 3</t>
  </si>
  <si>
    <t>irish lottery betfred results</t>
  </si>
  <si>
    <t>winning lottery number</t>
  </si>
  <si>
    <t>california lottery post</t>
  </si>
  <si>
    <t>nj lottery pick 6 results</t>
  </si>
  <si>
    <t>u.k. lotto results today</t>
  </si>
  <si>
    <t>florida. lottery results</t>
  </si>
  <si>
    <t>island l</t>
  </si>
  <si>
    <t>florida lottery mega millions winning numbers</t>
  </si>
  <si>
    <t>louisiana winning lottery numbers</t>
  </si>
  <si>
    <t>island luck fantasy 5 winning numbers</t>
  </si>
  <si>
    <t>Islands</t>
  </si>
  <si>
    <t>island luck cowpen road</t>
  </si>
  <si>
    <t>powerball winning numbers dec 30 2020</t>
  </si>
  <si>
    <t>green card lottery 2022 results date</t>
  </si>
  <si>
    <t>florida fantasy 5 lottery results</t>
  </si>
  <si>
    <t>mega millions winning numbers tonight live</t>
  </si>
  <si>
    <t>washington lotto winning numbers tonight</t>
  </si>
  <si>
    <t>kansas lottery winning numbers</t>
  </si>
  <si>
    <t>island luck coral harbour</t>
  </si>
  <si>
    <t>cal lotto results</t>
  </si>
  <si>
    <t>california lottery mega millions winning numbers</t>
  </si>
  <si>
    <t>raven daily pick</t>
  </si>
  <si>
    <t>dv lottery results 2023 winners list</t>
  </si>
  <si>
    <t>raven lucky pick</t>
  </si>
  <si>
    <t>have these numbers ever won the lottery</t>
  </si>
  <si>
    <t>massachusetts state lottery winning numbers</t>
  </si>
  <si>
    <t>www.chancesgames.com</t>
  </si>
  <si>
    <t>virginia lotto results</t>
  </si>
  <si>
    <t>missouri pick 3 winning numbers</t>
  </si>
  <si>
    <t>tonight national lottery results lotto saturday</t>
  </si>
  <si>
    <t>lottery results for georgia</t>
  </si>
  <si>
    <t>do computer generated lottery numbers win</t>
  </si>
  <si>
    <t>previous irish lottery results</t>
  </si>
  <si>
    <t>113, 124, 134, 91, 108, 80, 61, 49, 38, 59, 26, 24, 22, 23, 27, 25, 13, 23, 24, 20, 16, 18, 23, 21</t>
  </si>
  <si>
    <t>20, 23, 21, 23, 25, 26, 24, 20, 16, 18, 23, 21, 20</t>
  </si>
  <si>
    <t>loteria florida</t>
  </si>
  <si>
    <t>nm lottery results</t>
  </si>
  <si>
    <t>mass lottery numbers game</t>
  </si>
  <si>
    <t>ca superlotto plus winning numbers</t>
  </si>
  <si>
    <t>lott lottery results today</t>
  </si>
  <si>
    <t>california lottery wining numbers</t>
  </si>
  <si>
    <t>national lottery results lotto saturday</t>
  </si>
  <si>
    <t>lottery numbers chart</t>
  </si>
  <si>
    <t>winning numbers on mega millions</t>
  </si>
  <si>
    <t>florida mega millions past winning numbers</t>
  </si>
  <si>
    <t>résultat lottery new york</t>
  </si>
  <si>
    <t>georgia lottery results winning numbers</t>
  </si>
  <si>
    <t>pick three lottery numbers</t>
  </si>
  <si>
    <t>chances website</t>
  </si>
  <si>
    <t>the latest lottery results</t>
  </si>
  <si>
    <t>mexico lotto results history</t>
  </si>
  <si>
    <t>lottery wednesday results</t>
  </si>
  <si>
    <t>florida lottery - pick 3 results</t>
  </si>
  <si>
    <t>louisiana pick 4 winning numbers</t>
  </si>
  <si>
    <t>arkansas lottery winning numbers and results</t>
  </si>
  <si>
    <t>ny lottery past numbers</t>
  </si>
  <si>
    <t>lottery post results new york</t>
  </si>
  <si>
    <t>usa lottery results 2021</t>
  </si>
  <si>
    <t>asure win nassau</t>
  </si>
  <si>
    <t>new york post lotto results</t>
  </si>
  <si>
    <t>lotto results uk tonight o</t>
  </si>
  <si>
    <t>islandluck.com winning numbers island</t>
  </si>
  <si>
    <t>south carolina winning numbers</t>
  </si>
  <si>
    <t>powerball lotto results</t>
  </si>
  <si>
    <t>florida (fl) lottery results | lottery post</t>
  </si>
  <si>
    <t>ga lottery cash 3 results for today</t>
  </si>
  <si>
    <t>georgia lottery result</t>
  </si>
  <si>
    <t>florida. lottery winning numbers</t>
  </si>
  <si>
    <t>latest lotto results</t>
  </si>
  <si>
    <t>atlantic lotto max winning numbers</t>
  </si>
  <si>
    <t>powerball previous winning numbers</t>
  </si>
  <si>
    <t>tirage borlette new york</t>
  </si>
  <si>
    <t>uk lotto winning numbers</t>
  </si>
  <si>
    <t>lottery new york winning numbers result</t>
  </si>
  <si>
    <t>past winning new york lottery numbers</t>
  </si>
  <si>
    <t>powerball results winning numbers</t>
  </si>
  <si>
    <t>gemini lucky lottery numbers</t>
  </si>
  <si>
    <t>irish lotto tonight results</t>
  </si>
  <si>
    <t>mega ball winning numbers tonight</t>
  </si>
  <si>
    <t>h1b lottery 2024 results date</t>
  </si>
  <si>
    <t>lottery results 2021</t>
  </si>
  <si>
    <t>texas lottery mega millions winning numbers</t>
  </si>
  <si>
    <t>lotto results today saturday</t>
  </si>
  <si>
    <t>mass lottery winners numbers</t>
  </si>
  <si>
    <t>chicago lottery results pick 3</t>
  </si>
  <si>
    <t>lottery numbers for death</t>
  </si>
  <si>
    <t>irish lotto results history</t>
  </si>
  <si>
    <t>wed irish lottery results</t>
  </si>
  <si>
    <t>www.island</t>
  </si>
  <si>
    <t>island luck nassau winning numbers island</t>
  </si>
  <si>
    <t>winning lottery numbers tennessee</t>
  </si>
  <si>
    <t>lotto georgia results</t>
  </si>
  <si>
    <t>lottery post miami</t>
  </si>
  <si>
    <t>florida lottery powerball numbers</t>
  </si>
  <si>
    <t>florida lottery cash 3</t>
  </si>
  <si>
    <t>pick 3 missouri lottery numbers</t>
  </si>
  <si>
    <t>national lottery results tonight uk</t>
  </si>
  <si>
    <t>quick draw results past winning numbers</t>
  </si>
  <si>
    <t>mega millions jackpot winning numbers</t>
  </si>
  <si>
    <t>florida lotto winning numbers history</t>
  </si>
  <si>
    <t>florida cash 3 winning number</t>
  </si>
  <si>
    <t>the island luck</t>
  </si>
  <si>
    <t>australia lottery results</t>
  </si>
  <si>
    <t>lottery results for saturday</t>
  </si>
  <si>
    <t>philadelphia lottery numbers</t>
  </si>
  <si>
    <t>florida pick 4 evening</t>
  </si>
  <si>
    <t>winning florida lottery numbers</t>
  </si>
  <si>
    <t>world lotto results</t>
  </si>
  <si>
    <t>irish lottery results checker</t>
  </si>
  <si>
    <t>new york lottery archives</t>
  </si>
  <si>
    <t>pick4 winning numbers</t>
  </si>
  <si>
    <t>winning pick 3, pick 4 lottery numbers</t>
  </si>
  <si>
    <t>lottery new york soir</t>
  </si>
  <si>
    <t>today winning lottery numbers</t>
  </si>
  <si>
    <t>past ontario 49 winning numbers</t>
  </si>
  <si>
    <t>ny lotto results today</t>
  </si>
  <si>
    <t>fantasy 5 past winning numbers</t>
  </si>
  <si>
    <t>lotto results wednesday night</t>
  </si>
  <si>
    <t>florida pick 5</t>
  </si>
  <si>
    <t>tonight's irish lottery numbers</t>
  </si>
  <si>
    <t>lottery results qld</t>
  </si>
  <si>
    <t>tennessee lottery winning results</t>
  </si>
  <si>
    <t>lotto results january 2021</t>
  </si>
  <si>
    <t>florida fantasy 5 winning numbers</t>
  </si>
  <si>
    <t>green card lottery 2026 results</t>
  </si>
  <si>
    <t>www.georgia lottery winning numbers</t>
  </si>
  <si>
    <t>allstate lottery results</t>
  </si>
  <si>
    <t>island luck exuma</t>
  </si>
  <si>
    <t>keno winning numbers last 10 draws</t>
  </si>
  <si>
    <t>lottery ball numbers</t>
  </si>
  <si>
    <t>us visa lottery 2025 results date</t>
  </si>
  <si>
    <t>isluck luck winning numbers</t>
  </si>
  <si>
    <t>island luck customer service</t>
  </si>
  <si>
    <t>cancer lottery numbers</t>
  </si>
  <si>
    <t>idaho lottery winning numbers by date</t>
  </si>
  <si>
    <t>powerball lottery numbers</t>
  </si>
  <si>
    <t>california fantasy 5 results</t>
  </si>
  <si>
    <t>pick 4 winning number today</t>
  </si>
  <si>
    <t>california fantasy 5</t>
  </si>
  <si>
    <t>wwwflalottery.com winning numbers</t>
  </si>
  <si>
    <t>Top stories</t>
  </si>
  <si>
    <t>yesterday's winning numbers</t>
  </si>
  <si>
    <t>bet365 lotto results</t>
  </si>
  <si>
    <t>california daily 3 midday winning numbers</t>
  </si>
  <si>
    <t>swiss lotto results</t>
  </si>
  <si>
    <t>california lottery winning number</t>
  </si>
  <si>
    <t>dv lottery results 2024 winners list by country</t>
  </si>
  <si>
    <t>chicago lottery post</t>
  </si>
  <si>
    <t>national lottery lotto results wednesday</t>
  </si>
  <si>
    <t>island luck games winning numbers bahamas</t>
  </si>
  <si>
    <t>lotto results england</t>
  </si>
  <si>
    <t>tri state winning numbers</t>
  </si>
  <si>
    <t>resultat lottery chicago</t>
  </si>
  <si>
    <t>uk lotto results today</t>
  </si>
  <si>
    <t>washington dc lottery numbers</t>
  </si>
  <si>
    <t>north carolina lotto results</t>
  </si>
  <si>
    <t>early california winning numbers</t>
  </si>
  <si>
    <t>florida lottery pick 4</t>
  </si>
  <si>
    <t>last night's irish lottery numbers</t>
  </si>
  <si>
    <t>tv lottery results</t>
  </si>
  <si>
    <t>show me the cash 5 winning numbers</t>
  </si>
  <si>
    <t>irish 49s lotto results</t>
  </si>
  <si>
    <t>florida lottery results pick 4</t>
  </si>
  <si>
    <t>fantasy 5 winning numbers history</t>
  </si>
  <si>
    <t>florida lottery - pick 4</t>
  </si>
  <si>
    <t>lotto 649 canada results yesterday</t>
  </si>
  <si>
    <t>bahamas lottery results</t>
  </si>
  <si>
    <t>lucky lottery numbers for capricorn today</t>
  </si>
  <si>
    <t>new york lottery cash 3</t>
  </si>
  <si>
    <t>my lucky lottery numbers for today</t>
  </si>
  <si>
    <t>maryland lottery numbers</t>
  </si>
  <si>
    <t>lotto results prizes</t>
  </si>
  <si>
    <t>lottery pick 3</t>
  </si>
  <si>
    <t>russia lotto results</t>
  </si>
  <si>
    <t>lottery results delaware</t>
  </si>
  <si>
    <t>alc lotto max winning numbers</t>
  </si>
  <si>
    <t>lottery florida soir</t>
  </si>
  <si>
    <t>abc lottery results</t>
  </si>
  <si>
    <t>illinois post lottery results</t>
  </si>
  <si>
    <t>oregon lottery post results</t>
  </si>
  <si>
    <t>island luck login full site</t>
  </si>
  <si>
    <t>lottery mirror and flip numbers</t>
  </si>
  <si>
    <t>pa lottery post results</t>
  </si>
  <si>
    <t>www.californialottery.com winning numbers</t>
  </si>
  <si>
    <t>power balls winning numbers</t>
  </si>
  <si>
    <t>latest france lotto results</t>
  </si>
  <si>
    <t>ky lottery numbers</t>
  </si>
  <si>
    <t>chances winning</t>
  </si>
  <si>
    <t>island luck lotto winning numbers</t>
  </si>
  <si>
    <t>what's the winning number for today</t>
  </si>
  <si>
    <t>AI Overview</t>
  </si>
  <si>
    <t>miami. winning. numbers</t>
  </si>
  <si>
    <t>27, 14, 6, 13, 10, 13, 20, 18, 9, 11, 18, 19, 9, 10, 17, 11, 21, 12, 11, 16, 14, 15, 13, 19</t>
  </si>
  <si>
    <t>gemini winning numbers</t>
  </si>
  <si>
    <t>21, 18, 15, 15, 17, 15, 13, 13, 14, 15, 13, 20, 22</t>
  </si>
  <si>
    <t>dv lottery 2025 results date</t>
  </si>
  <si>
    <t>island luck southwest plaza number</t>
  </si>
  <si>
    <t>powerball winning numbers monday</t>
  </si>
  <si>
    <t>Knowledge card,Knowledge panel</t>
  </si>
  <si>
    <t>florida lotto winning numbers by date today</t>
  </si>
  <si>
    <t>texas pick 4 past winning numbers</t>
  </si>
  <si>
    <t>ohio past winning lottery numbers</t>
  </si>
  <si>
    <t>georgia lottery results cash 3</t>
  </si>
  <si>
    <t>mass state lottery results</t>
  </si>
  <si>
    <t>florida pick 3 evening winning numbers</t>
  </si>
  <si>
    <t>lotto past winning numbers</t>
  </si>
  <si>
    <t>fla lottery numbers</t>
  </si>
  <si>
    <t>new york midday winning numbers</t>
  </si>
  <si>
    <t>www.galottery.com winning numbers</t>
  </si>
  <si>
    <t>illinois lottery post</t>
  </si>
  <si>
    <t>kansas winning lottery numbers</t>
  </si>
  <si>
    <t>fantasy 5 winning numbers georgia</t>
  </si>
  <si>
    <t>rock crusher</t>
  </si>
  <si>
    <t>lotto winning numbers history</t>
  </si>
  <si>
    <t>3 lottery numbers</t>
  </si>
  <si>
    <t>Thumbnail,People also ask,Video preview,Local teaser pack</t>
  </si>
  <si>
    <t>winning numbers calottery</t>
  </si>
  <si>
    <t>Heavy machinery</t>
  </si>
  <si>
    <t>pisces lucky numbers lottery prediction</t>
  </si>
  <si>
    <t>bolette new york</t>
  </si>
  <si>
    <t>mega million winning number</t>
  </si>
  <si>
    <t>poker lotto olg winning numbers</t>
  </si>
  <si>
    <t>florida lottery - pick 5</t>
  </si>
  <si>
    <t>lottery lucky numbers for today</t>
  </si>
  <si>
    <t>florida lottery winning numbers for tonight</t>
  </si>
  <si>
    <t>surewin today</t>
  </si>
  <si>
    <t>tennessee lottery cash 4 winning numbers</t>
  </si>
  <si>
    <t>california state lottery results</t>
  </si>
  <si>
    <t>lottery hot numbers for today</t>
  </si>
  <si>
    <t>mass lottery winning numbers</t>
  </si>
  <si>
    <t>lottery numbers florida powerball</t>
  </si>
  <si>
    <t>pick 4 lottery numbers</t>
  </si>
  <si>
    <t>georgia winning lotto number</t>
  </si>
  <si>
    <t>maryland bonus match 5 winning numbers</t>
  </si>
  <si>
    <t>number houses in the bahamas</t>
  </si>
  <si>
    <t>lottery post il results</t>
  </si>
  <si>
    <t>fantasy 5 past winning numbers ca</t>
  </si>
  <si>
    <t>past winning numbers pick 3</t>
  </si>
  <si>
    <t>Residential sales</t>
  </si>
  <si>
    <t>lottery raffle numbers</t>
  </si>
  <si>
    <t>tiraj florida midi</t>
  </si>
  <si>
    <t>fantasy winning number</t>
  </si>
  <si>
    <t>quick draw lottery results</t>
  </si>
  <si>
    <t>national lottery checker results</t>
  </si>
  <si>
    <t>lottery winning numbers california</t>
  </si>
  <si>
    <t>h1b lottery results 2024</t>
  </si>
  <si>
    <t>pick 5 lottery numbers strategy</t>
  </si>
  <si>
    <t>ga winning numbers</t>
  </si>
  <si>
    <t>fantasy 5 last 10 winning numbers</t>
  </si>
  <si>
    <t>tennessee lottery post</t>
  </si>
  <si>
    <t>uk lotto results</t>
  </si>
  <si>
    <t>ultra games winning number nassau</t>
  </si>
  <si>
    <t>florida lotto results posted</t>
  </si>
  <si>
    <t>lottery post idaho</t>
  </si>
  <si>
    <t>dark web lottery numbers</t>
  </si>
  <si>
    <t>tennessee lottery results pick 3</t>
  </si>
  <si>
    <t>lottery bible winning numbers</t>
  </si>
  <si>
    <t>georgia lottery cash 4</t>
  </si>
  <si>
    <t>latest winning powerball numbers</t>
  </si>
  <si>
    <t>winning powerball numbers last night</t>
  </si>
  <si>
    <t>lottery results washington dc</t>
  </si>
  <si>
    <t>island luck freeport number</t>
  </si>
  <si>
    <t>winning florida state lottery numbers</t>
  </si>
  <si>
    <t>daily 3 california winning numbers</t>
  </si>
  <si>
    <t>florida lottery numbers for saturday</t>
  </si>
  <si>
    <t>tiraj georgia</t>
  </si>
  <si>
    <t>pick lottery numbers</t>
  </si>
  <si>
    <t>lotto results qld</t>
  </si>
  <si>
    <t>ks lottery numbers</t>
  </si>
  <si>
    <t>Bosnian</t>
  </si>
  <si>
    <t>cash pot winning numbers</t>
  </si>
  <si>
    <t>western 649 winning numbers</t>
  </si>
  <si>
    <t>lotto winning numbers south africa</t>
  </si>
  <si>
    <t>winning numbers island luck winning numbers</t>
  </si>
  <si>
    <t>island luck island luck island luck</t>
  </si>
  <si>
    <t>luck winning number</t>
  </si>
  <si>
    <t>paradise games winning numbers tonight live</t>
  </si>
  <si>
    <t>Sitelinks,Video preview,Local teaser pack,People also ask</t>
  </si>
  <si>
    <t>lottery winning numbers ca</t>
  </si>
  <si>
    <t>island luck fox hill</t>
  </si>
  <si>
    <t>health lottery results prize breakdown</t>
  </si>
  <si>
    <t>fantasy five winning numbers last night</t>
  </si>
  <si>
    <t>lottery fl results</t>
  </si>
  <si>
    <t>ny lottery post</t>
  </si>
  <si>
    <t>georgia 5 evening winning numbers</t>
  </si>
  <si>
    <t>lottery results all states</t>
  </si>
  <si>
    <t>lotto results wednesday</t>
  </si>
  <si>
    <t>chances web cafe</t>
  </si>
  <si>
    <t>rhode island lucky for life winning numbers</t>
  </si>
  <si>
    <t>pdf dream lottery numbers book</t>
  </si>
  <si>
    <t>Gambling; Web services</t>
  </si>
  <si>
    <t>powerball winning numbers tonight 2022</t>
  </si>
  <si>
    <t>maryland lottery results post</t>
  </si>
  <si>
    <t>oz lotto winning numbers</t>
  </si>
  <si>
    <t>guyana lottery results for super six 2021 today</t>
  </si>
  <si>
    <t>newyork lottery</t>
  </si>
  <si>
    <t>irish lottery numbers last night</t>
  </si>
  <si>
    <t>florida lottery winning numbers from last night</t>
  </si>
  <si>
    <t>cash 3 miami</t>
  </si>
  <si>
    <t>florida powerball past winning numbers</t>
  </si>
  <si>
    <t>diversity visa lottery 2022 results</t>
  </si>
  <si>
    <t>pick 3 florida lottery</t>
  </si>
  <si>
    <t>usa lottery results 2022</t>
  </si>
  <si>
    <t>florida lotto x winning numbers</t>
  </si>
  <si>
    <t>oz lotto results latest</t>
  </si>
  <si>
    <t>resulta lottery new york</t>
  </si>
  <si>
    <t>raven online lucky numbers</t>
  </si>
  <si>
    <t>ravens lucky picks</t>
  </si>
  <si>
    <t>nc lottery winning numbers</t>
  </si>
  <si>
    <t>irish lottery results main draw tonight</t>
  </si>
  <si>
    <t>florida lottery - pick 4 3</t>
  </si>
  <si>
    <t>oregon winning numbers</t>
  </si>
  <si>
    <t>lottery 4 numbers</t>
  </si>
  <si>
    <t>tennessee cash 4 winning numbers</t>
  </si>
  <si>
    <t>pick 3 lottery numbers</t>
  </si>
  <si>
    <t>winning lottery numbers last night</t>
  </si>
  <si>
    <t>florida lotto cash 3</t>
  </si>
  <si>
    <t>iowa lottery post results</t>
  </si>
  <si>
    <t>www new york lottery com results</t>
  </si>
  <si>
    <t>new york city winning lottery numbers</t>
  </si>
  <si>
    <t>super lotto draw results jamaica today</t>
  </si>
  <si>
    <t>past lottery winning numbers</t>
  </si>
  <si>
    <t>island luck contact number</t>
  </si>
  <si>
    <t>winning numbers in florida</t>
  </si>
  <si>
    <t>simpsons lottery numbers 2023</t>
  </si>
  <si>
    <t>new york city lotto results</t>
  </si>
  <si>
    <t>usa mega</t>
  </si>
  <si>
    <t>washington lottery winning numbers</t>
  </si>
  <si>
    <t>lotto winning numbers for today</t>
  </si>
  <si>
    <t>island island</t>
  </si>
  <si>
    <t>ny pick 3 winning numbers</t>
  </si>
  <si>
    <t>Thumbnail,People also ask</t>
  </si>
  <si>
    <t>chinese lottery numbers</t>
  </si>
  <si>
    <t>georgia past winning numbers</t>
  </si>
  <si>
    <t>resultat borlette georgia</t>
  </si>
  <si>
    <t>new york lottery results pick 3</t>
  </si>
  <si>
    <t>hey you never know ny lottery results today</t>
  </si>
  <si>
    <t>winning numbers for florida lottery</t>
  </si>
  <si>
    <t>ontario lottery pick 3 winning numbers</t>
  </si>
  <si>
    <t>all states lotto results</t>
  </si>
  <si>
    <t>island luck head office</t>
  </si>
  <si>
    <t>lotto winning numbers uk</t>
  </si>
  <si>
    <t>lottery numbers that have won multiple times</t>
  </si>
  <si>
    <t>Games</t>
  </si>
  <si>
    <t>h1b lottery results 2023</t>
  </si>
  <si>
    <t>island luck winning numbers p</t>
  </si>
  <si>
    <t>maryland pick 3 winning numbers</t>
  </si>
  <si>
    <t>fantasy 5 ca</t>
  </si>
  <si>
    <t>lotto max and extra winning numbers</t>
  </si>
  <si>
    <t>lotto 649 results ontario</t>
  </si>
  <si>
    <t>most winning numbers in roulette</t>
  </si>
  <si>
    <t>ny lottery results daily numbers</t>
  </si>
  <si>
    <t>lotto 649 ontario winning numbers</t>
  </si>
  <si>
    <t>pick 4 lottery results</t>
  </si>
  <si>
    <t>florida post lottery</t>
  </si>
  <si>
    <t>south carolina lottery winning number</t>
  </si>
  <si>
    <t>georgia lottery winning number</t>
  </si>
  <si>
    <t>cash 4 winning numbers</t>
  </si>
  <si>
    <t>atlantic lottery winning numbers and payout</t>
  </si>
  <si>
    <t>number winning</t>
  </si>
  <si>
    <t>winning lucky numbers</t>
  </si>
  <si>
    <t>winning lottery results</t>
  </si>
  <si>
    <t>ultra game demo</t>
  </si>
  <si>
    <t>youtube lottery results</t>
  </si>
  <si>
    <t>lottario winning numbers</t>
  </si>
  <si>
    <t>thursday winning numbers</t>
  </si>
  <si>
    <t>irish lotto results main draw</t>
  </si>
  <si>
    <t>miami lottery post</t>
  </si>
  <si>
    <t>oz lotto results qld tuesday</t>
  </si>
  <si>
    <t>new york powerball past winning numbers</t>
  </si>
  <si>
    <t>nassau games lotto winning numbers</t>
  </si>
  <si>
    <t>daily angel lottery numbers</t>
  </si>
  <si>
    <t>texas lottery commission results</t>
  </si>
  <si>
    <t>www.island luck web cafe.com</t>
  </si>
  <si>
    <t>nebraska pick 5 winning numbers</t>
  </si>
  <si>
    <t>the winning numbers for tonight</t>
  </si>
  <si>
    <t>poop lottery post winning numbers today</t>
  </si>
  <si>
    <t>chicago lottery post results</t>
  </si>
  <si>
    <t>ca lottery post</t>
  </si>
  <si>
    <t>texas lottery daily 4 results</t>
  </si>
  <si>
    <t>ny lottery quick draw results posted</t>
  </si>
  <si>
    <t>lottery post results ga</t>
  </si>
  <si>
    <t>georgia fantasy 5 winning numbers</t>
  </si>
  <si>
    <t>georgia lottery pick 3 results</t>
  </si>
  <si>
    <t>wisconsin lottery pick 3 results</t>
  </si>
  <si>
    <t>texas winning lottery numbers</t>
  </si>
  <si>
    <t>winning raffle numbers</t>
  </si>
  <si>
    <t>california lottery daily 4</t>
  </si>
  <si>
    <t>ohiolottery.com winning numbers</t>
  </si>
  <si>
    <t>california pick 4</t>
  </si>
  <si>
    <t>idaho pick 3 winning numbers</t>
  </si>
  <si>
    <t>chances chances</t>
  </si>
  <si>
    <t>powerball winning numbers for saturday night</t>
  </si>
  <si>
    <t>lotto 649 winning numbers ontario</t>
  </si>
  <si>
    <t>fantasy 5 winning number</t>
  </si>
  <si>
    <t>lottery post puerto rico</t>
  </si>
  <si>
    <t>pa lottery numbers today</t>
  </si>
  <si>
    <t>florida lottery pick 4 evening winning numbers</t>
  </si>
  <si>
    <t>thunderball lotto results</t>
  </si>
  <si>
    <t>fantasy 5 numbers today</t>
  </si>
  <si>
    <t>switzerland lotto results</t>
  </si>
  <si>
    <t>miami lottery results today</t>
  </si>
  <si>
    <t>flalottery winning numbers mega millions</t>
  </si>
  <si>
    <t>flalottery pick 3</t>
  </si>
  <si>
    <t>h1b visa lottery results 2023</t>
  </si>
  <si>
    <t>popular winning lottery numbers</t>
  </si>
  <si>
    <t>lotería nueva york noche</t>
  </si>
  <si>
    <t>new york noche</t>
  </si>
  <si>
    <t>lotto draw results jamaica today</t>
  </si>
  <si>
    <t>west virginia lottery winning numbers</t>
  </si>
  <si>
    <t>dv green card lottery results</t>
  </si>
  <si>
    <t>florida lottery archives</t>
  </si>
  <si>
    <t>health lottery results history</t>
  </si>
  <si>
    <t>ny lottery numbers today results</t>
  </si>
  <si>
    <t>arkansas winning lottery numbers</t>
  </si>
  <si>
    <t>new york midi</t>
  </si>
  <si>
    <t>ny lottery numbers payout</t>
  </si>
  <si>
    <t>Image pack</t>
  </si>
  <si>
    <t>green card lottery 2022 results</t>
  </si>
  <si>
    <t>Luxury goods</t>
  </si>
  <si>
    <t>florida fantasy 5</t>
  </si>
  <si>
    <t>irish lottery results 1 2 3 draws</t>
  </si>
  <si>
    <t>can you predict lottery numbers</t>
  </si>
  <si>
    <t>indiana winning lottery numbers</t>
  </si>
  <si>
    <t>fantasy 5 numbers</t>
  </si>
  <si>
    <t>paradise games winning numbers tonight</t>
  </si>
  <si>
    <t>mega millions results</t>
  </si>
  <si>
    <t>dreams and lottery numbers</t>
  </si>
  <si>
    <t>lottery lottery results lottery co uk</t>
  </si>
  <si>
    <t>chances casino login</t>
  </si>
  <si>
    <t>north carolina winning lottery numbers</t>
  </si>
  <si>
    <t>and winning numbers</t>
  </si>
  <si>
    <t>lottery blog</t>
  </si>
  <si>
    <t>lottery post california results</t>
  </si>
  <si>
    <t>louisiana lottery numbers</t>
  </si>
  <si>
    <t>Blogging resources</t>
  </si>
  <si>
    <t>canadian lottery results</t>
  </si>
  <si>
    <t>today's lottery numbers</t>
  </si>
  <si>
    <t>florida lottery live drawing</t>
  </si>
  <si>
    <t>ohio winning numbers</t>
  </si>
  <si>
    <t>philippine lottery results</t>
  </si>
  <si>
    <t>lotto max winning numbers; encore</t>
  </si>
  <si>
    <t>asue</t>
  </si>
  <si>
    <t>historical lottery results</t>
  </si>
  <si>
    <t>asue contract</t>
  </si>
  <si>
    <t>powerball winning numbers kansas</t>
  </si>
  <si>
    <t>Informational,Commercial,Transactional,Branded,Non-local</t>
  </si>
  <si>
    <t>Savings accounts; Lottery</t>
  </si>
  <si>
    <t>check results lotto</t>
  </si>
  <si>
    <t>resultat new york</t>
  </si>
  <si>
    <t>new lottery results new york</t>
  </si>
  <si>
    <t>arkansas state lottery results</t>
  </si>
  <si>
    <t>lottery numbers for tonight please</t>
  </si>
  <si>
    <t>miami pick 3 winning numbers</t>
  </si>
  <si>
    <t>us lotto results</t>
  </si>
  <si>
    <t>islandluck.com login account login</t>
  </si>
  <si>
    <t>paradise game winning numbers tonight</t>
  </si>
  <si>
    <t>green card lottery results</t>
  </si>
  <si>
    <t>cash for life winning numbers</t>
  </si>
  <si>
    <t>dv lottery 2024 results</t>
  </si>
  <si>
    <t>new york lottery pick 3</t>
  </si>
  <si>
    <t>quick pick winning numbers</t>
  </si>
  <si>
    <t>fla cash 3</t>
  </si>
  <si>
    <t>luckiest lottery numbers</t>
  </si>
  <si>
    <t>wednesday lotto results check my ticket</t>
  </si>
  <si>
    <t>ny winning numbers</t>
  </si>
  <si>
    <t>texas lottery post</t>
  </si>
  <si>
    <t>irish lottery results main draw</t>
  </si>
  <si>
    <t>fantasy 5 lottery results</t>
  </si>
  <si>
    <t>va lottery pick 4 hot numbers</t>
  </si>
  <si>
    <t>canada lotto results</t>
  </si>
  <si>
    <t>chancegame</t>
  </si>
  <si>
    <t>tennessee winning lottery number</t>
  </si>
  <si>
    <t>ohio lottery pick 3 &amp; 4 results for today</t>
  </si>
  <si>
    <t>lottery georgia post results</t>
  </si>
  <si>
    <t>winning lotto numbers history</t>
  </si>
  <si>
    <t>miami lotto</t>
  </si>
  <si>
    <t>fla.lottery winning numbers</t>
  </si>
  <si>
    <t>latest irish lottery results</t>
  </si>
  <si>
    <t>lottery flo</t>
  </si>
  <si>
    <t>us lottery winning numbers</t>
  </si>
  <si>
    <t>new york winning number tonight</t>
  </si>
  <si>
    <t>go to full site winning numbers</t>
  </si>
  <si>
    <t>kentucky lottery pick 3</t>
  </si>
  <si>
    <t>fantasy 5 winning number today</t>
  </si>
  <si>
    <t>haiti lottery results</t>
  </si>
  <si>
    <t>lotto results, check</t>
  </si>
  <si>
    <t>florida pick 3 evening</t>
  </si>
  <si>
    <t>lotto results saturday</t>
  </si>
  <si>
    <t>People also ask,Image pack</t>
  </si>
  <si>
    <t>new jersey lottery powerball numbers</t>
  </si>
  <si>
    <t>lottery ny post results</t>
  </si>
  <si>
    <t>florida lottery winning numbers for saturday</t>
  </si>
  <si>
    <t>paris lottery results</t>
  </si>
  <si>
    <t>irish lottery results all 3 draws</t>
  </si>
  <si>
    <t>ilandluck</t>
  </si>
  <si>
    <t>florida lotto winning number</t>
  </si>
  <si>
    <t>six lucky numbers to win the lottery today</t>
  </si>
  <si>
    <t>www.tennessee lottery winning numbers</t>
  </si>
  <si>
    <t>florida's lottery results</t>
  </si>
  <si>
    <t>ohio lottery pick 4 results</t>
  </si>
  <si>
    <t>island.luck winning numbers</t>
  </si>
  <si>
    <t>www.theislandgame.com</t>
  </si>
  <si>
    <t>winning lottery numbers for last night</t>
  </si>
  <si>
    <t>lotto draw results tonight</t>
  </si>
  <si>
    <t>algorithm to predict lottery numbers pdf</t>
  </si>
  <si>
    <t>powerball latest winning numbers</t>
  </si>
  <si>
    <t>iowa lottery numbers</t>
  </si>
  <si>
    <t>evening ny lottery results</t>
  </si>
  <si>
    <t>lotto max winning numbers last night</t>
  </si>
  <si>
    <t>ny lottery post results mega million</t>
  </si>
  <si>
    <t>lotto lotto results</t>
  </si>
  <si>
    <t>past winning lottery numbers ny</t>
  </si>
  <si>
    <t>mississippi (ms) lottery results | lottery post</t>
  </si>
  <si>
    <t>texas pick 3 winning number</t>
  </si>
  <si>
    <t>vermont lottery post</t>
  </si>
  <si>
    <t>vermont lottery</t>
  </si>
  <si>
    <t>wednesday lotto results qld</t>
  </si>
  <si>
    <t>winning numbers for tonight's powerball</t>
  </si>
  <si>
    <t>dc lottery post</t>
  </si>
  <si>
    <t>ga lottery results fantasy 5</t>
  </si>
  <si>
    <t>las vegas lottery results</t>
  </si>
  <si>
    <t>lottery numbers to play</t>
  </si>
  <si>
    <t>dv lottery 2024 results date</t>
  </si>
  <si>
    <t>mega millions florida lottery results</t>
  </si>
  <si>
    <t>the numbers game winning numbers</t>
  </si>
  <si>
    <t>lotto results new</t>
  </si>
  <si>
    <t>island lick</t>
  </si>
  <si>
    <t>set for life lottery results</t>
  </si>
  <si>
    <t>ct winning numbers</t>
  </si>
  <si>
    <t>york lottery results</t>
  </si>
  <si>
    <t>new jersey lottery post</t>
  </si>
  <si>
    <t>irish national lottery results daily millions</t>
  </si>
  <si>
    <t>new york winning number today</t>
  </si>
  <si>
    <t>florida lotto x</t>
  </si>
  <si>
    <t>ohio lottery pick 4 midday results</t>
  </si>
  <si>
    <t>illinois lottery pick 3 &amp; 4 results</t>
  </si>
  <si>
    <t>florida winning numbers for today</t>
  </si>
  <si>
    <t>lucky pick for today</t>
  </si>
  <si>
    <t>dream book lottery numbers</t>
  </si>
  <si>
    <t>lucky numbers for today</t>
  </si>
  <si>
    <t>dv lottery 2021 results by country</t>
  </si>
  <si>
    <t>healthy lottery results</t>
  </si>
  <si>
    <t>loteria de new york de hoy</t>
  </si>
  <si>
    <t>today lottery numbers</t>
  </si>
  <si>
    <t>american lottery results</t>
  </si>
  <si>
    <t>lotto winning numbers results</t>
  </si>
  <si>
    <t>tci world lucky dreams</t>
  </si>
  <si>
    <t>fl lotto winning numbers today</t>
  </si>
  <si>
    <t>u.s. lottery results 2023</t>
  </si>
  <si>
    <t>www.marylandlottery.com winning number</t>
  </si>
  <si>
    <t>dv lottery 2025 results by country</t>
  </si>
  <si>
    <t>latest winning lottery numbers</t>
  </si>
  <si>
    <t>kansas lottery post</t>
  </si>
  <si>
    <t>daily lotto winning numbers</t>
  </si>
  <si>
    <t>pcso lottery results</t>
  </si>
  <si>
    <t>new york lottery.org</t>
  </si>
  <si>
    <t>kentucky winning lottery numbers</t>
  </si>
  <si>
    <t>lottery results today florida</t>
  </si>
  <si>
    <t>georgia new york lottery results post</t>
  </si>
  <si>
    <t>all lotto</t>
  </si>
  <si>
    <t>green card lottery 2023 results</t>
  </si>
  <si>
    <t>lottery florida lottery winning numbers</t>
  </si>
  <si>
    <t>lotterie florida</t>
  </si>
  <si>
    <t>pennsylvania lottery winning number</t>
  </si>
  <si>
    <t>winning number history</t>
  </si>
  <si>
    <t>sa lotto results wednesday</t>
  </si>
  <si>
    <t>lotterie new york soir</t>
  </si>
  <si>
    <t>powerball winning numbers tonight 2023</t>
  </si>
  <si>
    <t>sc lottery results</t>
  </si>
  <si>
    <t>chances gaming</t>
  </si>
  <si>
    <t>maryland lottery post results today</t>
  </si>
  <si>
    <t>new jersey lottery results for today</t>
  </si>
  <si>
    <t>lottery results thunderball</t>
  </si>
  <si>
    <t>ohio lottery post</t>
  </si>
  <si>
    <t>tennessee state lottery results</t>
  </si>
  <si>
    <t>winning numbers for florida powerball</t>
  </si>
  <si>
    <t>0, 2, 0, 0, 0, 0, 0, 0, 0, 0, 0, 1, 0, 0, 4, 4, 1, 6, 3, 1, 5, 1, 3, 1</t>
  </si>
  <si>
    <t>tn lottery results</t>
  </si>
  <si>
    <t>cali lotto</t>
  </si>
  <si>
    <t>illinois lottery winning numbers history</t>
  </si>
  <si>
    <t>the national lottery euromillions results</t>
  </si>
  <si>
    <t>island luck opening hours</t>
  </si>
  <si>
    <t>florida lottery numbers lotto</t>
  </si>
  <si>
    <t>island luck application form</t>
  </si>
  <si>
    <t>island luck careers</t>
  </si>
  <si>
    <t>az lottery winning numbers</t>
  </si>
  <si>
    <t>Job</t>
  </si>
  <si>
    <t>new york lottery florida lottery winning numbers</t>
  </si>
  <si>
    <t>island luck account</t>
  </si>
  <si>
    <t>nla grenada winning numbers</t>
  </si>
  <si>
    <t>connecticut lottery post</t>
  </si>
  <si>
    <t>connecticut lottery</t>
  </si>
  <si>
    <t>mega ball winning numbers for last night</t>
  </si>
  <si>
    <t>Lottery; Communities; Public records</t>
  </si>
  <si>
    <t>florida lottery winning numbers history</t>
  </si>
  <si>
    <t>code to predict lottery numbers</t>
  </si>
  <si>
    <t>island luck abaco</t>
  </si>
  <si>
    <t>ny lottery results florida</t>
  </si>
  <si>
    <t>is there any way to predict lottery numbers</t>
  </si>
  <si>
    <t>current powerball winning numbers</t>
  </si>
  <si>
    <t>island luck log in</t>
  </si>
  <si>
    <t>dv lottery 2022 results</t>
  </si>
  <si>
    <t>lotto max winning numbers ontario</t>
  </si>
  <si>
    <t>lottery results please</t>
  </si>
  <si>
    <t>chances account login</t>
  </si>
  <si>
    <t>guide lottery free dream book numbers</t>
  </si>
  <si>
    <t>ny lottery post results</t>
  </si>
  <si>
    <t>islandluck customer service</t>
  </si>
  <si>
    <t>island luck webcafe</t>
  </si>
  <si>
    <t>winning numbers friday</t>
  </si>
  <si>
    <t>yesterday's lotto results</t>
  </si>
  <si>
    <t>Lottery; Sports betting; Web services</t>
  </si>
  <si>
    <t>island luck numbers winning numbers</t>
  </si>
  <si>
    <t>lottery new york midi</t>
  </si>
  <si>
    <t>new york winning lottery results</t>
  </si>
  <si>
    <t>ky powerball winning numbers</t>
  </si>
  <si>
    <t>new york cash 3</t>
  </si>
  <si>
    <t>mdlottery winning numbers</t>
  </si>
  <si>
    <t>maryland lottery post</t>
  </si>
  <si>
    <t>max lotto results</t>
  </si>
  <si>
    <t>most frequent lottery winning numbers</t>
  </si>
  <si>
    <t>super lotto plus winning numbers</t>
  </si>
  <si>
    <t>www.island.com</t>
  </si>
  <si>
    <t>lottery numbers fantasy 5</t>
  </si>
  <si>
    <t>pennsylvania lottery results post</t>
  </si>
  <si>
    <t>google winning numbers</t>
  </si>
  <si>
    <t>paradisegames paradise games winning numbers</t>
  </si>
  <si>
    <t>flalottery florida lottery winning numbers</t>
  </si>
  <si>
    <t>iland lok</t>
  </si>
  <si>
    <t>6 42 lotto results</t>
  </si>
  <si>
    <t>illinois lottery pick 3 and pick 4 results today</t>
  </si>
  <si>
    <t>ca fantasy 5 past winning numbers</t>
  </si>
  <si>
    <t>winning numbers irish lotto</t>
  </si>
  <si>
    <t>illinois lottery results history</t>
  </si>
  <si>
    <t>uk lottery past results</t>
  </si>
  <si>
    <t>resultat borlette chicago</t>
  </si>
  <si>
    <t>cash for life winning numbers last night</t>
  </si>
  <si>
    <t>boston lottery numbers</t>
  </si>
  <si>
    <t>calculate lottery numbers</t>
  </si>
  <si>
    <t>powerball winning numbers tonight 2021</t>
  </si>
  <si>
    <t>powerball lotto results nsw</t>
  </si>
  <si>
    <t>newyork winning number</t>
  </si>
  <si>
    <t>lottery nouyok</t>
  </si>
  <si>
    <t>new york lottery results for tonight</t>
  </si>
  <si>
    <t>national lottery authority results</t>
  </si>
  <si>
    <t>floridalotterypost</t>
  </si>
  <si>
    <t>islandluck.com winning numbers bahamas</t>
  </si>
  <si>
    <t>mass lottery results</t>
  </si>
  <si>
    <t>florida pick 3 midday winning numbers</t>
  </si>
  <si>
    <t>wi powerball past winning numbers</t>
  </si>
  <si>
    <t>fl pick 4</t>
  </si>
  <si>
    <t>hoosier lottery winning numbers</t>
  </si>
  <si>
    <t>h1b lottery 2022 results date</t>
  </si>
  <si>
    <t>prediction for lottery numbers tonight</t>
  </si>
  <si>
    <t>dc pick 3</t>
  </si>
  <si>
    <t>illinois lottery pick three results</t>
  </si>
  <si>
    <t>saturdays irish lottery results</t>
  </si>
  <si>
    <t>results uk lotto</t>
  </si>
  <si>
    <t>four winning numbers</t>
  </si>
  <si>
    <t>www.lotterypost.com results</t>
  </si>
  <si>
    <t>the most popular lottery numbers</t>
  </si>
  <si>
    <t>florida winning numbers today</t>
  </si>
  <si>
    <t>calottery daily 3</t>
  </si>
  <si>
    <t>n j lottery results</t>
  </si>
  <si>
    <t>powerball most winning numbers</t>
  </si>
  <si>
    <t>island luck contact numbers</t>
  </si>
  <si>
    <t>Local teaser pack,People also ask</t>
  </si>
  <si>
    <t>california lottery fantasy 5 winning numbers</t>
  </si>
  <si>
    <t>www.floridalottery.com pick 3</t>
  </si>
  <si>
    <t>kentucky pick 3 past winning numbers</t>
  </si>
  <si>
    <t>idaho lottery post</t>
  </si>
  <si>
    <t>ny lottery 3 numbers</t>
  </si>
  <si>
    <t>www irish lottery results</t>
  </si>
  <si>
    <t>early new york 3 ball</t>
  </si>
  <si>
    <t>lottery bible numbers</t>
  </si>
  <si>
    <t>lotto results for saturday the 1st of may</t>
  </si>
  <si>
    <t>hot lottery numbers</t>
  </si>
  <si>
    <t>georgia's winning numbers</t>
  </si>
  <si>
    <t>powerball california winning numbers</t>
  </si>
  <si>
    <t>gold lotto results saturday night qld</t>
  </si>
  <si>
    <t>paradise games winning number luck winning number</t>
  </si>
  <si>
    <t>green card lottery 2021 results by country</t>
  </si>
  <si>
    <t>rhode island winning numbers</t>
  </si>
  <si>
    <t>www florida lottery</t>
  </si>
  <si>
    <t>libra winning numbers</t>
  </si>
  <si>
    <t>daily 3 evening past winning numbers</t>
  </si>
  <si>
    <t>Informational,Navigational,Non-branded,Local</t>
  </si>
  <si>
    <t>william hill irish lottery results 3 draw</t>
  </si>
  <si>
    <t>chances casino locations</t>
  </si>
  <si>
    <t>lottery massachusetts winning numbers</t>
  </si>
  <si>
    <t>new york pick 4 past winning numbers</t>
  </si>
  <si>
    <t>past winning numbers florida</t>
  </si>
  <si>
    <t>chances head office</t>
  </si>
  <si>
    <t>Local pack</t>
  </si>
  <si>
    <t>florida lotto winning numbers pick 3</t>
  </si>
  <si>
    <t>lotto results tonight live</t>
  </si>
  <si>
    <t>Business services</t>
  </si>
  <si>
    <t>georgia cash 3</t>
  </si>
  <si>
    <t>pisces lucky numbers lottery prediction 2020</t>
  </si>
  <si>
    <t>lotto oz results</t>
  </si>
  <si>
    <t>nassau nassau island luck winning numbers</t>
  </si>
  <si>
    <t>georgia past winning lottery numbers</t>
  </si>
  <si>
    <t>lottery florida new york</t>
  </si>
  <si>
    <t>pennsylvania winning lottery number</t>
  </si>
  <si>
    <t>michigan 3 &amp; 4 digit lottery results</t>
  </si>
  <si>
    <t>tirage florida soir</t>
  </si>
  <si>
    <t>betfred irish lottery results betfred</t>
  </si>
  <si>
    <t>all winning numbers</t>
  </si>
  <si>
    <t>lotto and raffle results</t>
  </si>
  <si>
    <t>island luck multi demo</t>
  </si>
  <si>
    <t>lottery tennessee winning numbers</t>
  </si>
  <si>
    <t>island luck results</t>
  </si>
  <si>
    <t>california lottery winning numbers and results</t>
  </si>
  <si>
    <t>new jersey lottery results pick 3</t>
  </si>
  <si>
    <t>lottery numbers saturday</t>
  </si>
  <si>
    <t>florida lotto result</t>
  </si>
  <si>
    <t>results of the irish lottery</t>
  </si>
  <si>
    <t>pennsylvania lottery pick 3 results</t>
  </si>
  <si>
    <t>powerball results yesterday</t>
  </si>
  <si>
    <t>daily lottery numbers</t>
  </si>
  <si>
    <t>lotto monthly</t>
  </si>
  <si>
    <t>super lotto winning numbers</t>
  </si>
  <si>
    <t>borlette miami</t>
  </si>
  <si>
    <t>winning 649 numbers</t>
  </si>
  <si>
    <t>irish lottery results plus 1 and 2</t>
  </si>
  <si>
    <t>california fantasy 5 winning numbers</t>
  </si>
  <si>
    <t>oz lotto results tuesday</t>
  </si>
  <si>
    <t>paradise games winning numbers bahamas</t>
  </si>
  <si>
    <t>mobile islandluck</t>
  </si>
  <si>
    <t>lottery prediction numbers</t>
  </si>
  <si>
    <t>island luck winning login</t>
  </si>
  <si>
    <t>everybody wins winning numbers today live</t>
  </si>
  <si>
    <t>islande luck</t>
  </si>
  <si>
    <t>raven lucky number online</t>
  </si>
  <si>
    <t>dv lottery 2024 results by country</t>
  </si>
  <si>
    <t>florida winning lottery number</t>
  </si>
  <si>
    <t>lottery post illinois</t>
  </si>
  <si>
    <t>florida lottery raffle results</t>
  </si>
  <si>
    <t>tonight lottery results</t>
  </si>
  <si>
    <t>sa lottery results</t>
  </si>
  <si>
    <t>chance hoy</t>
  </si>
  <si>
    <t>loteria de hoy</t>
  </si>
  <si>
    <t>49 lottery results</t>
  </si>
  <si>
    <t>florida lottery winning numbers and results</t>
  </si>
  <si>
    <t>theislandgame.com</t>
  </si>
  <si>
    <t>pa lottery pick 4 past winning numbers</t>
  </si>
  <si>
    <t>new jersey winning number</t>
  </si>
  <si>
    <t>play lottery numbers</t>
  </si>
  <si>
    <t>ontario lotto results</t>
  </si>
  <si>
    <t>florida lottery pick 4 winning numbers history</t>
  </si>
  <si>
    <t>lottery florida numbers</t>
  </si>
  <si>
    <t>chicago lottery past winning numbers</t>
  </si>
  <si>
    <t>ontario 649 winning numbers</t>
  </si>
  <si>
    <t>island luck eleuthera</t>
  </si>
  <si>
    <t>dominican lottery results leidsa</t>
  </si>
  <si>
    <t>chances winning numbers for yesterday</t>
  </si>
  <si>
    <t>winning numbers for lotto today</t>
  </si>
  <si>
    <t>lotería nueva york de hoy</t>
  </si>
  <si>
    <t>www islandluck com winning numbers for today</t>
  </si>
  <si>
    <t>max lottery winning numbers</t>
  </si>
  <si>
    <t>www.everybodywinslive.com</t>
  </si>
  <si>
    <t>aries lucky numbers for lottery</t>
  </si>
  <si>
    <t>canadian lotto results</t>
  </si>
  <si>
    <t>odds of winning 7 number lottery</t>
  </si>
  <si>
    <t>island luck cafe winning numbers</t>
  </si>
  <si>
    <t>lotto max extra results</t>
  </si>
  <si>
    <t>lotto winning numbers for tonight</t>
  </si>
  <si>
    <t>fml group of companies</t>
  </si>
  <si>
    <t>betfred irish lottery results checker</t>
  </si>
  <si>
    <t>delaware lottery post</t>
  </si>
  <si>
    <t>www.txlottery.org winning numbers</t>
  </si>
  <si>
    <t>delaware lottery</t>
  </si>
  <si>
    <t>md lottery results</t>
  </si>
  <si>
    <t>fla lotto post</t>
  </si>
  <si>
    <t>chances winning numbers chances winning</t>
  </si>
  <si>
    <t>dv lottery results check</t>
  </si>
  <si>
    <t>tirage florida aujourd'hui</t>
  </si>
  <si>
    <t>keno lottery winning numbers</t>
  </si>
  <si>
    <t>tennessee lottery results and winning numbers</t>
  </si>
  <si>
    <t>i don't like winning numbers</t>
  </si>
  <si>
    <t>new york loteria</t>
  </si>
  <si>
    <t>ny lottery results yesterday</t>
  </si>
  <si>
    <t>irish lottery winning numbers</t>
  </si>
  <si>
    <t>ca lottery results today</t>
  </si>
  <si>
    <t>florida fantasy 5 past winning numbers</t>
  </si>
  <si>
    <t>florida lottery winning</t>
  </si>
  <si>
    <t>minnesota state lottery winning numbers</t>
  </si>
  <si>
    <t>florida winning number for today</t>
  </si>
  <si>
    <t>lotto raffle results</t>
  </si>
  <si>
    <t>new york lottery results uk</t>
  </si>
  <si>
    <t>illinois lotto post</t>
  </si>
  <si>
    <t>lottery post results georgia</t>
  </si>
  <si>
    <t>thursday lotto results</t>
  </si>
  <si>
    <t>california lottery results for today</t>
  </si>
  <si>
    <t>pick 3 lottery winning numbers</t>
  </si>
  <si>
    <t>florida's winning lottery numbers</t>
  </si>
  <si>
    <t>winning number today florida</t>
  </si>
  <si>
    <t>latest lotto results australia</t>
  </si>
  <si>
    <t>ny lottery results past winning numbers</t>
  </si>
  <si>
    <t>cash pop lottery numbers</t>
  </si>
  <si>
    <t>ny lottery live drawing</t>
  </si>
  <si>
    <t>winning lotto numbers for tonight</t>
  </si>
  <si>
    <t>new york lottery live drawing</t>
  </si>
  <si>
    <t>sat night lotto results nsw</t>
  </si>
  <si>
    <t>spanish lotto results</t>
  </si>
  <si>
    <t>canada bc lotto results</t>
  </si>
  <si>
    <t>lottery new york post</t>
  </si>
  <si>
    <t>powerball numbers winning numbers</t>
  </si>
  <si>
    <t>evening lottery results</t>
  </si>
  <si>
    <t>ga lottery winning number</t>
  </si>
  <si>
    <t>island luck winning numbers 2021</t>
  </si>
  <si>
    <t>florida lottery pick 3 evening</t>
  </si>
  <si>
    <t>ultra lotto 6/58 results</t>
  </si>
  <si>
    <t>hollywood winning numbers</t>
  </si>
  <si>
    <t>winning numbers today lottery</t>
  </si>
  <si>
    <t>new york lottery numbers pick 3</t>
  </si>
  <si>
    <t>miami lotto results</t>
  </si>
  <si>
    <t>irish lottery tonight results</t>
  </si>
  <si>
    <t>ohio mega millions past winning numbers</t>
  </si>
  <si>
    <t>ga past lottery results</t>
  </si>
  <si>
    <t>washington dc lottery post results</t>
  </si>
  <si>
    <t>powerball florida lotto winning numbers</t>
  </si>
  <si>
    <t>résultat lottery florida aujourd'hui</t>
  </si>
  <si>
    <t>florida lottery numbers today</t>
  </si>
  <si>
    <t>today winning numbers</t>
  </si>
  <si>
    <t>lotto results winning numbers saturday</t>
  </si>
  <si>
    <t>florida winning numbers last night</t>
  </si>
  <si>
    <t>www.lottery results today</t>
  </si>
  <si>
    <t>calottery.com/win/winning-numbers</t>
  </si>
  <si>
    <t>island game number</t>
  </si>
  <si>
    <t>tennessee lottery numbers results</t>
  </si>
  <si>
    <t>johnson's winning number</t>
  </si>
  <si>
    <t>wa lotto results</t>
  </si>
  <si>
    <t>new york lottery winning numbers for today</t>
  </si>
  <si>
    <t>results california lottery</t>
  </si>
  <si>
    <t>fantasy 5 california winning numbers</t>
  </si>
  <si>
    <t>alc ca winning numbers 649</t>
  </si>
  <si>
    <t>winning numbers nc lottery lucky for life</t>
  </si>
  <si>
    <t>thailand lottery numbers</t>
  </si>
  <si>
    <t>649 encore winning numbers</t>
  </si>
  <si>
    <t>euro millions winning numbers</t>
  </si>
  <si>
    <t>floridalottery</t>
  </si>
  <si>
    <t>2026 green card lottery results</t>
  </si>
  <si>
    <t>649 winning numbers today</t>
  </si>
  <si>
    <t>win 3 evening</t>
  </si>
  <si>
    <t>new york pick 3</t>
  </si>
  <si>
    <t>florida lottery pick 3 winning numbers</t>
  </si>
  <si>
    <t>lotto max winning numbers last night ontario</t>
  </si>
  <si>
    <t>island luck contact</t>
  </si>
  <si>
    <t>ez match winning numbers</t>
  </si>
  <si>
    <t>caribbean lottery results</t>
  </si>
  <si>
    <t>chances sign up</t>
  </si>
  <si>
    <t>oz lotto results nsw</t>
  </si>
  <si>
    <t>lottery new york lottery results</t>
  </si>
  <si>
    <t>pick 5 winning numbers louisiana</t>
  </si>
  <si>
    <t>chanses</t>
  </si>
  <si>
    <t>alc winning 649 numbers</t>
  </si>
  <si>
    <t>lottery numbers for snakes</t>
  </si>
  <si>
    <t>new york winning powerball numbers</t>
  </si>
  <si>
    <t>dream lottery numbers</t>
  </si>
  <si>
    <t>lottery monthly</t>
  </si>
  <si>
    <t>fantasy five winning numbers</t>
  </si>
  <si>
    <t>ca lottery winning numbers today</t>
  </si>
  <si>
    <t>Informational,Commercial,Transactional,Non-branded,Non-local</t>
  </si>
  <si>
    <t>new york lottery past winning numbers results</t>
  </si>
  <si>
    <t>islandluck.com web cafe</t>
  </si>
  <si>
    <t>irish lottery results history</t>
  </si>
  <si>
    <t>islandluck number</t>
  </si>
  <si>
    <t>winning. numbers</t>
  </si>
  <si>
    <t>island luck.</t>
  </si>
  <si>
    <t>florida lotto winning results</t>
  </si>
  <si>
    <t>new york past winning numbers</t>
  </si>
  <si>
    <t>ísland luck</t>
  </si>
  <si>
    <t>winning pick 3 lottery numbers</t>
  </si>
  <si>
    <t>Local teaser pack,Video preview,Sitelinks</t>
  </si>
  <si>
    <t>mega millions mega millions winning numbers</t>
  </si>
  <si>
    <t>jamaica lotto</t>
  </si>
  <si>
    <t>afiyu kent</t>
  </si>
  <si>
    <t>spain lotto results</t>
  </si>
  <si>
    <t>winning numbers archive</t>
  </si>
  <si>
    <t>tiraj chicago</t>
  </si>
  <si>
    <t>www.asuedraw.com/winning numbers</t>
  </si>
  <si>
    <t>mirror numbers in lottery</t>
  </si>
  <si>
    <t>island luck fantasy 5</t>
  </si>
  <si>
    <t>ca lottery numbers</t>
  </si>
  <si>
    <t>www.islandluck mobile .com</t>
  </si>
  <si>
    <t>login island luck winning number</t>
  </si>
  <si>
    <t>jersey lotto results</t>
  </si>
  <si>
    <t>Navigational,Commercial,Transactional,Branded,Non-local</t>
  </si>
  <si>
    <t>pennsylvania lottery post</t>
  </si>
  <si>
    <t>www.dc lottery results</t>
  </si>
  <si>
    <t>island luck winning numbers for today is</t>
  </si>
  <si>
    <t>pa pick 5 past winning numbers</t>
  </si>
  <si>
    <t>georgia mega millions</t>
  </si>
  <si>
    <t>wednesday lotto winning numbers</t>
  </si>
  <si>
    <t>winning number winning number nassau</t>
  </si>
  <si>
    <t>lottery results usa</t>
  </si>
  <si>
    <t>mass lottery results today</t>
  </si>
  <si>
    <t>lotto uk results</t>
  </si>
  <si>
    <t>649 lotto winning numbers</t>
  </si>
  <si>
    <t>late miami winning numbers</t>
  </si>
  <si>
    <t>florida lottery current winning numbers</t>
  </si>
  <si>
    <t>california lottery past winning numbers pick 3</t>
  </si>
  <si>
    <t>lsland luck</t>
  </si>
  <si>
    <t>past illinois lottery results</t>
  </si>
  <si>
    <t>tomorrow lottery winning numbers</t>
  </si>
  <si>
    <t>lottery results today live</t>
  </si>
  <si>
    <t>www.floridalottery.com winning numbers</t>
  </si>
  <si>
    <t>monday lottery results</t>
  </si>
  <si>
    <t>lotto results ireland</t>
  </si>
  <si>
    <t>loterie florida</t>
  </si>
  <si>
    <t>florida pick 5 most winning numbers</t>
  </si>
  <si>
    <t>new york state winning lottery numbers</t>
  </si>
  <si>
    <t>fantasy 5 california past winning numbers</t>
  </si>
  <si>
    <t>borlette new york soir haiti</t>
  </si>
  <si>
    <t>ne lottery numbers</t>
  </si>
  <si>
    <t>mississippi lottery pick 4 winning numbers</t>
  </si>
  <si>
    <t>www.ultra</t>
  </si>
  <si>
    <t>new.jersey lottery results</t>
  </si>
  <si>
    <t>nc education lottery results</t>
  </si>
  <si>
    <t>paradise game winning numbers</t>
  </si>
  <si>
    <t>florida winning numbers lottery numbers</t>
  </si>
  <si>
    <t>california lotto fantasy 5 results</t>
  </si>
  <si>
    <t>flalottery lottery winning numbers</t>
  </si>
  <si>
    <t>winning numbers from the bible</t>
  </si>
  <si>
    <t>island luck wulff road number</t>
  </si>
  <si>
    <t>irish lotto results saturday night</t>
  </si>
  <si>
    <t>ny lottery pick 3 winning numbers</t>
  </si>
  <si>
    <t>6/49 winning numbers</t>
  </si>
  <si>
    <t>www everybodywinslive.com</t>
  </si>
  <si>
    <t>irish lottery results all three draws</t>
  </si>
  <si>
    <t>dv lottery results 2026</t>
  </si>
  <si>
    <t>www.new york lottery</t>
  </si>
  <si>
    <t>winning numbers lottery florida</t>
  </si>
  <si>
    <t>california lottery results powerball</t>
  </si>
  <si>
    <t>pick 3 puerto rico midday winning numbers</t>
  </si>
  <si>
    <t>illinois lottery post results</t>
  </si>
  <si>
    <t>yesterday's winning lottery numbers</t>
  </si>
  <si>
    <t>nassaugame winning number</t>
  </si>
  <si>
    <t>pick 10 winning numbers</t>
  </si>
  <si>
    <t>early miami 3 ball</t>
  </si>
  <si>
    <t>fantasy 5 past winning numbers california</t>
  </si>
  <si>
    <t>49ers lottery numbers</t>
  </si>
  <si>
    <t>ny pick 3</t>
  </si>
  <si>
    <t>new york lottery winning numbers and results</t>
  </si>
  <si>
    <t>florida mega million winning numbers</t>
  </si>
  <si>
    <t>tx lottery results</t>
  </si>
  <si>
    <t>lottery georgia post</t>
  </si>
  <si>
    <t>evening mass lottery numbers game</t>
  </si>
  <si>
    <t>chances phone number</t>
  </si>
  <si>
    <t>lotto texas results</t>
  </si>
  <si>
    <t>new hampshire winning lottery numbers</t>
  </si>
  <si>
    <t>late georgia lottery</t>
  </si>
  <si>
    <t>florida pick 5 winning numbers history</t>
  </si>
  <si>
    <t>powerball winning number today</t>
  </si>
  <si>
    <t>lotto lotto winning numbers</t>
  </si>
  <si>
    <t>floridalottery.com winning numbers</t>
  </si>
  <si>
    <t>green card lottery results 2023</t>
  </si>
  <si>
    <t>illinois lottery winning numbers and results</t>
  </si>
  <si>
    <t>results lottery nj</t>
  </si>
  <si>
    <t>florida mega millions winning numbers</t>
  </si>
  <si>
    <t>résultat borlette florida</t>
  </si>
  <si>
    <t>aries lottery lucky numbers</t>
  </si>
  <si>
    <t>puerto rico lottery post</t>
  </si>
  <si>
    <t>wednesday lotto draw results</t>
  </si>
  <si>
    <t>pick winning lotto numbers</t>
  </si>
  <si>
    <t>dc winning numbers</t>
  </si>
  <si>
    <t>rezultat bolet florida</t>
  </si>
  <si>
    <t>new.york lottery results</t>
  </si>
  <si>
    <t>lotto results for yesterday</t>
  </si>
  <si>
    <t>winning cash 4 numbers</t>
  </si>
  <si>
    <t>search past winning lottery numbers</t>
  </si>
  <si>
    <t>hey you never know</t>
  </si>
  <si>
    <t>new york winning numbers pick 3 pick 4</t>
  </si>
  <si>
    <t>maryland lottery winning numbers pick 3 &amp; 4</t>
  </si>
  <si>
    <t>smart pick lottery numbers</t>
  </si>
  <si>
    <t>midday pick 3 and pick 4 winning numbers</t>
  </si>
  <si>
    <t>Pop music; Lottery</t>
  </si>
  <si>
    <t>chances casino online</t>
  </si>
  <si>
    <t>ai lottery numbers</t>
  </si>
  <si>
    <t>mega dice winning numbers</t>
  </si>
  <si>
    <t>florida lottery past winning numbers</t>
  </si>
  <si>
    <t>who's winning number</t>
  </si>
  <si>
    <t>pick 3 results</t>
  </si>
  <si>
    <t>japan lotto 7 results</t>
  </si>
  <si>
    <t>morning texas lottery</t>
  </si>
  <si>
    <t>powerball ny winning numbers</t>
  </si>
  <si>
    <t>georgia state lottery results</t>
  </si>
  <si>
    <t>lottery new york results</t>
  </si>
  <si>
    <t>lotto 649 winning numbers today</t>
  </si>
  <si>
    <t>florida lottery play 4 and cash 3 winning results</t>
  </si>
  <si>
    <t>svg lotto results</t>
  </si>
  <si>
    <t>irish lottery results twitter</t>
  </si>
  <si>
    <t>minnesota lottery results</t>
  </si>
  <si>
    <t>the pick winning numbers</t>
  </si>
  <si>
    <t>worldwide lottery results</t>
  </si>
  <si>
    <t>free lottery numbers</t>
  </si>
  <si>
    <t>chancesgame</t>
  </si>
  <si>
    <t>winning numbers for mega million</t>
  </si>
  <si>
    <t>cash pot winning number for today</t>
  </si>
  <si>
    <t>results for new york lotto</t>
  </si>
  <si>
    <t>philadelphia winning numbers</t>
  </si>
  <si>
    <t>california daily 3 midday</t>
  </si>
  <si>
    <t>results florida lottery</t>
  </si>
  <si>
    <t>past winning numbers for pick 3</t>
  </si>
  <si>
    <t>lottery 2 numbers</t>
  </si>
  <si>
    <t>paradise games winning numbers yesterday</t>
  </si>
  <si>
    <t>winning numbers powerball winning numbers</t>
  </si>
  <si>
    <t>new york lotto results 2022</t>
  </si>
  <si>
    <t>cash for life lottery results</t>
  </si>
  <si>
    <t>powerball winning numbers for monday night</t>
  </si>
  <si>
    <t>island luck winning number please</t>
  </si>
  <si>
    <t>island luck winning numbers yesterday</t>
  </si>
  <si>
    <t>green card lottery 2022 results by country</t>
  </si>
  <si>
    <t>md lottery winning numbers results</t>
  </si>
  <si>
    <t>late chicago 3 ball</t>
  </si>
  <si>
    <t>lotto latest results today</t>
  </si>
  <si>
    <t>illinois pick 3</t>
  </si>
  <si>
    <t>latest irish lotto results</t>
  </si>
  <si>
    <t>mega millions winning numbers florida</t>
  </si>
  <si>
    <t>connecticut lotto results</t>
  </si>
  <si>
    <t>island luck sportsbook</t>
  </si>
  <si>
    <t>h1b lottery results</t>
  </si>
  <si>
    <t>powerball winning numbers tonight 2023 time</t>
  </si>
  <si>
    <t>most common winning lotto numbers nz</t>
  </si>
  <si>
    <t>irish lotto results today</t>
  </si>
  <si>
    <t>www.florida lottery</t>
  </si>
  <si>
    <t>gopher 5 winning numbers</t>
  </si>
  <si>
    <t>lotto nz results</t>
  </si>
  <si>
    <t>connecticut winning lottery number</t>
  </si>
  <si>
    <t>six lucky numbers to win the lottery 2023</t>
  </si>
  <si>
    <t>winning cash 3 numbers</t>
  </si>
  <si>
    <t>everybodywinslive winning numbers</t>
  </si>
  <si>
    <t>galottery.com winning numbers</t>
  </si>
  <si>
    <t>illinois winning lottery number</t>
  </si>
  <si>
    <t>0, 0, 0, 0, 0, 0, 0, 2, 0, 6, 4, 1, 0, 1, 0, 0, 14, 11, 3, 5, 2, 0, 0, 0</t>
  </si>
  <si>
    <t>va lottery winning numbers</t>
  </si>
  <si>
    <t>winning number today live</t>
  </si>
  <si>
    <t>ny lottery 4 numbers evening</t>
  </si>
  <si>
    <t>french lotto latest results</t>
  </si>
  <si>
    <t>resultat georgia</t>
  </si>
  <si>
    <t>powerball winning numbers ma</t>
  </si>
  <si>
    <t>new york lottery today results</t>
  </si>
  <si>
    <t>lottery new york résultats</t>
  </si>
  <si>
    <t>lotto plus winning numbers</t>
  </si>
  <si>
    <t>free lottery dream book numbers</t>
  </si>
  <si>
    <t>florida pick 3 midday</t>
  </si>
  <si>
    <t>national lottery lotto results checker</t>
  </si>
  <si>
    <t>tenn lottery results tennessee lottery</t>
  </si>
  <si>
    <t>california lottery pick 3</t>
  </si>
  <si>
    <t>lottery numbers for kentucky</t>
  </si>
  <si>
    <t>postcode lottery winning numbers</t>
  </si>
  <si>
    <t>cash pop winning numbers for tonight</t>
  </si>
  <si>
    <t>chances games locations</t>
  </si>
  <si>
    <t>spanish lottery results latest</t>
  </si>
  <si>
    <t>Local teaser pack,People also ask,Sitelinks</t>
  </si>
  <si>
    <t>california lottery past winning numbers powerball</t>
  </si>
  <si>
    <t>ky lottery</t>
  </si>
  <si>
    <t>national lottery latest results</t>
  </si>
  <si>
    <t>we'd lotto results</t>
  </si>
  <si>
    <t>california lottery fantasy 5</t>
  </si>
  <si>
    <t>aussie lottery results</t>
  </si>
  <si>
    <t>nebraska lottery winning numbers by date</t>
  </si>
  <si>
    <t>all winning lotto numbers</t>
  </si>
  <si>
    <t>lottery post new york</t>
  </si>
  <si>
    <t>winning mega million numbers for today</t>
  </si>
  <si>
    <t>new york lottery winning numbers post</t>
  </si>
  <si>
    <t>island game winning numbers for the day</t>
  </si>
  <si>
    <t>florida powerball winning numbers by date</t>
  </si>
  <si>
    <t>winning numbers winning numbers nassau yesterday</t>
  </si>
  <si>
    <t>fantasy 5 past winning numbers 2020</t>
  </si>
  <si>
    <t>fla lottery winning numbers results today</t>
  </si>
  <si>
    <t>islandluckdemo</t>
  </si>
  <si>
    <t>florida lottery winning numbers today only</t>
  </si>
  <si>
    <t>lottery results texas</t>
  </si>
  <si>
    <t>lottery results for tonight please</t>
  </si>
  <si>
    <t>resulta borlette florida</t>
  </si>
  <si>
    <t>lottery florida post results new york</t>
  </si>
  <si>
    <t>six lucky numbers to win the lottery 2021</t>
  </si>
  <si>
    <t>island luck sign in</t>
  </si>
  <si>
    <t>california lottery fantasy 5 results</t>
  </si>
  <si>
    <t>lotto max winning numbers bc</t>
  </si>
  <si>
    <t>100 powerball winning numbers</t>
  </si>
  <si>
    <t>island luck web cafe login</t>
  </si>
  <si>
    <t>new hampshire lottery past winning numbers</t>
  </si>
  <si>
    <t>georgia pick 3 lottery results</t>
  </si>
  <si>
    <t>florida lotto x past winning numbers</t>
  </si>
  <si>
    <t>results lottery florida</t>
  </si>
  <si>
    <t>north carolina mega million winning numbers</t>
  </si>
  <si>
    <t>latest gold lotto results for saturday</t>
  </si>
  <si>
    <t>florida lottery cash 3 and play 4</t>
  </si>
  <si>
    <t>island luck web cafe winning numbers</t>
  </si>
  <si>
    <t>philadelphia lottery results</t>
  </si>
  <si>
    <t>georgia five winning numbers</t>
  </si>
  <si>
    <t>ohio state lottery numbers</t>
  </si>
  <si>
    <t>lottery results for tonight</t>
  </si>
  <si>
    <t>lotto results tonight saturday prize breakdown</t>
  </si>
  <si>
    <t>ultra games kemp road</t>
  </si>
  <si>
    <t>ga past winning numbers</t>
  </si>
  <si>
    <t>Lottery; Sports betting; Business</t>
  </si>
  <si>
    <t>illinois lottery post results today results today</t>
  </si>
  <si>
    <t>list of all winning powerball numbers</t>
  </si>
  <si>
    <t>everybody wins live winning numbers today</t>
  </si>
  <si>
    <t>lottery miami results</t>
  </si>
  <si>
    <t>french lotto results for today</t>
  </si>
  <si>
    <t>ny lottery results post</t>
  </si>
  <si>
    <t>best lottery numbers to pick</t>
  </si>
  <si>
    <t>tci lotto new york</t>
  </si>
  <si>
    <t>tonight winning numbers</t>
  </si>
  <si>
    <t>uk lottery results uk</t>
  </si>
  <si>
    <t>results lottery georgia</t>
  </si>
  <si>
    <t>california lottery daily 3 winning numbers</t>
  </si>
  <si>
    <t>florida lottery results posted</t>
  </si>
  <si>
    <t>pgwebcafe winning numbers</t>
  </si>
  <si>
    <t>florida cash 3 evening</t>
  </si>
  <si>
    <t>paradise games</t>
  </si>
  <si>
    <t>mega million winning numbers last night</t>
  </si>
  <si>
    <t>max lotto winning numbers</t>
  </si>
  <si>
    <t>island winning numbers</t>
  </si>
  <si>
    <t>today's lotto results</t>
  </si>
  <si>
    <t>new york lottery past results archives</t>
  </si>
  <si>
    <t>ny lottery pick 3</t>
  </si>
  <si>
    <t>island number</t>
  </si>
  <si>
    <t>the illinois lottery results</t>
  </si>
  <si>
    <t>canada lotto max results</t>
  </si>
  <si>
    <t>bahamas lottery</t>
  </si>
  <si>
    <t>h1b 2023 lottery results date</t>
  </si>
  <si>
    <t>georgia florida lottery</t>
  </si>
  <si>
    <t>winning fantasy 5 numbers</t>
  </si>
  <si>
    <t>winning lotto number</t>
  </si>
  <si>
    <t>lotto gold results</t>
  </si>
  <si>
    <t>iland luck</t>
  </si>
  <si>
    <t>lotto history results 2024</t>
  </si>
  <si>
    <t>new york winning numbers results</t>
  </si>
  <si>
    <t>winning number florida</t>
  </si>
  <si>
    <t>lottery post florida</t>
  </si>
  <si>
    <t>california pick 3 past winning numbers</t>
  </si>
  <si>
    <t>connecticut lottery results for today</t>
  </si>
  <si>
    <t>lotto winning numbers philippines</t>
  </si>
  <si>
    <t>ultra games number</t>
  </si>
  <si>
    <t>lotto florida lottery results</t>
  </si>
  <si>
    <t>nh lottery results</t>
  </si>
  <si>
    <t>late new york 3 ball</t>
  </si>
  <si>
    <t>last night's winning powerball numbers</t>
  </si>
  <si>
    <t>lottery new york florida</t>
  </si>
  <si>
    <t>diversity visa lottery 2023 results</t>
  </si>
  <si>
    <t>animal lottery numbers</t>
  </si>
  <si>
    <t>angel lottery numbers</t>
  </si>
  <si>
    <t>tiraj florida swa</t>
  </si>
  <si>
    <t>nebraska lotto results</t>
  </si>
  <si>
    <t>ca.lottery winning numbers post</t>
  </si>
  <si>
    <t>new york numbers</t>
  </si>
  <si>
    <t>mega millions lottery numbers</t>
  </si>
  <si>
    <t>winning fl lotto numbers</t>
  </si>
  <si>
    <t>chances com</t>
  </si>
  <si>
    <t>monday x lotto results</t>
  </si>
  <si>
    <t>florida pick 4 most winning numbers</t>
  </si>
  <si>
    <t>ca fantasy 5</t>
  </si>
  <si>
    <t>lotto results 6/49</t>
  </si>
  <si>
    <t>florida lotto powerball results</t>
  </si>
  <si>
    <t>island luck please</t>
  </si>
  <si>
    <t>everybody wins lottery winning numbers yesterday</t>
  </si>
  <si>
    <t>mississippi lottery results</t>
  </si>
  <si>
    <t>illinois pick 3 winning numbers</t>
  </si>
  <si>
    <t>california lottery results today</t>
  </si>
  <si>
    <t>new mexico lottery post</t>
  </si>
  <si>
    <t>fantasy 5 florida lottery winning numbers today</t>
  </si>
  <si>
    <t>flalottery winning numbers search</t>
  </si>
  <si>
    <t>flottery lottery results</t>
  </si>
  <si>
    <t>lottery chicago post</t>
  </si>
  <si>
    <t>pick 3 pick 4 illinois lottery results</t>
  </si>
  <si>
    <t>rhode island winning lottery numbers</t>
  </si>
  <si>
    <t>california state lottery winning numbers</t>
  </si>
  <si>
    <t>resultat lottery georgia</t>
  </si>
  <si>
    <t>flottery lottery winning numbers</t>
  </si>
  <si>
    <t>ravens free lottery numbers</t>
  </si>
  <si>
    <t>winning numbers for the lotto</t>
  </si>
  <si>
    <t>new york result</t>
  </si>
  <si>
    <t>spanish lottery results checker william hill</t>
  </si>
  <si>
    <t>daily numbers lottery</t>
  </si>
  <si>
    <t>georgia results lottery</t>
  </si>
  <si>
    <t>lotto results uk checker</t>
  </si>
  <si>
    <t>lotto california winning numbers</t>
  </si>
  <si>
    <t>cali fantasy 5</t>
  </si>
  <si>
    <t>australian lotto results</t>
  </si>
  <si>
    <t>Top stories,People also ask</t>
  </si>
  <si>
    <t>florida lottery powerball winning numbers today</t>
  </si>
  <si>
    <t>maine pick 3 winning numbers</t>
  </si>
  <si>
    <t>jamaica lottery numbers</t>
  </si>
  <si>
    <t>pisces lucky numbers lottery prediction 2021</t>
  </si>
  <si>
    <t>cash pop past winning numbers</t>
  </si>
  <si>
    <t>lottery post pennsylvania</t>
  </si>
  <si>
    <t>maine pick 4 winning numbers</t>
  </si>
  <si>
    <t>dreams and numbers for lottery pdf</t>
  </si>
  <si>
    <t>ny lottery results today</t>
  </si>
  <si>
    <t>lottery numbers from last night</t>
  </si>
  <si>
    <t>current winning numbers</t>
  </si>
  <si>
    <t>illinois pick 3 most winning numbers</t>
  </si>
  <si>
    <t>lotterie new york</t>
  </si>
  <si>
    <t>nj lottery past results</t>
  </si>
  <si>
    <t>island. luck</t>
  </si>
  <si>
    <t>greencard lottery results 2025</t>
  </si>
  <si>
    <t>lottery post california</t>
  </si>
  <si>
    <t>search lottery numbers history</t>
  </si>
  <si>
    <t>chances games.com</t>
  </si>
  <si>
    <t>guyana lottery daily million results</t>
  </si>
  <si>
    <t>islandluck web cafe</t>
  </si>
  <si>
    <t>betfred lotto results checker</t>
  </si>
  <si>
    <t>lottery post chicago</t>
  </si>
  <si>
    <t>most common winning lottery numbers</t>
  </si>
  <si>
    <t>super lotto draw results jamaica</t>
  </si>
  <si>
    <t>early california lottery</t>
  </si>
  <si>
    <t>guyana lotto results</t>
  </si>
  <si>
    <t>georgia lottery post</t>
  </si>
  <si>
    <t>lotto new york results today</t>
  </si>
  <si>
    <t>super lotto results today</t>
  </si>
  <si>
    <t>the island games</t>
  </si>
  <si>
    <t>text winning numbers</t>
  </si>
  <si>
    <t>gold lotto results australia</t>
  </si>
  <si>
    <t>Lottery; Sports betting; International sports competitions</t>
  </si>
  <si>
    <t>winning numbers of mega million</t>
  </si>
  <si>
    <t>island luck sports betting</t>
  </si>
  <si>
    <t>ca lottery past winning numbers strategies</t>
  </si>
  <si>
    <t>results nj lottery</t>
  </si>
  <si>
    <t>island luck locations in nassau</t>
  </si>
  <si>
    <t>georgia lottery results for friday</t>
  </si>
  <si>
    <t>lottery numbers post</t>
  </si>
  <si>
    <t>freeport games</t>
  </si>
  <si>
    <t>ca fantasy 5 winning numbers</t>
  </si>
  <si>
    <t>nebraska lottery numbers</t>
  </si>
  <si>
    <t>illinois lottery post results today results</t>
  </si>
  <si>
    <t>florida lottery cash 3 play 4</t>
  </si>
  <si>
    <t>national lottery results latest</t>
  </si>
  <si>
    <t>pick 3 winning numbers florida</t>
  </si>
  <si>
    <t>florida lottery winning numbers results</t>
  </si>
  <si>
    <t>fl pick 3</t>
  </si>
  <si>
    <t>winning pick 3 / pick 4 lottery numbers</t>
  </si>
  <si>
    <t>wisconsin winning numbers</t>
  </si>
  <si>
    <t>islandluck mobile login</t>
  </si>
  <si>
    <t>mega ball winning numbers last night</t>
  </si>
  <si>
    <t>florida lottery winning numbers post today</t>
  </si>
  <si>
    <t>lottery results for illinois</t>
  </si>
  <si>
    <t>north carolina lottery post</t>
  </si>
  <si>
    <t>nassau game winning numbers</t>
  </si>
  <si>
    <t>lotto results april 8 2026</t>
  </si>
  <si>
    <t>chicago lotto winning numbers</t>
  </si>
  <si>
    <t>lucky winning number</t>
  </si>
  <si>
    <t>www new york lottery results</t>
  </si>
  <si>
    <t>new york lottery post</t>
  </si>
  <si>
    <t>kentucky lottery results post</t>
  </si>
  <si>
    <t>play lottery numbers online</t>
  </si>
  <si>
    <t>lottery post dc</t>
  </si>
  <si>
    <t>island luck winning numbers login app</t>
  </si>
  <si>
    <t>numbers in lottery</t>
  </si>
  <si>
    <t>today's winning numbers</t>
  </si>
  <si>
    <t>www.florida lotto</t>
  </si>
  <si>
    <t>irish results lotto</t>
  </si>
  <si>
    <t>delaware lotto results</t>
  </si>
  <si>
    <t>chicago cash 3</t>
  </si>
  <si>
    <t>illinois midday winning numbers</t>
  </si>
  <si>
    <t>winning powerball numbers from last night</t>
  </si>
  <si>
    <t>gorgia lottery</t>
  </si>
  <si>
    <t>washington lotto winning numbers</t>
  </si>
  <si>
    <t>nj jersey lottery results</t>
  </si>
  <si>
    <t>whats the lottery numbers</t>
  </si>
  <si>
    <t>lucky lottery numbers for today</t>
  </si>
  <si>
    <t>diversity visa lottery 2026 results</t>
  </si>
  <si>
    <t>the island luck winning numbers</t>
  </si>
  <si>
    <t>washington state lottery winning numbers</t>
  </si>
  <si>
    <t>georgia powerball winning numbers tonight</t>
  </si>
  <si>
    <t>uk lottery numbers</t>
  </si>
  <si>
    <t>pa pick 3 evening winning numbers</t>
  </si>
  <si>
    <t>us visa lottery results date</t>
  </si>
  <si>
    <t>mega ball winning number</t>
  </si>
  <si>
    <t>irish lotto 49 results</t>
  </si>
  <si>
    <t>iowa lottery winning numbers</t>
  </si>
  <si>
    <t>cancer lucky lottery numbers</t>
  </si>
  <si>
    <t>nys lottery winning numbers</t>
  </si>
  <si>
    <t>us winning lottery numbers</t>
  </si>
  <si>
    <t>power lottery numbers</t>
  </si>
  <si>
    <t>florida lotto past winning numbers</t>
  </si>
  <si>
    <t>most common winning powerball numbers</t>
  </si>
  <si>
    <t>latest wednesday lotto results</t>
  </si>
  <si>
    <t>spanish lottery results primitiva</t>
  </si>
  <si>
    <t>new york numbers winning numbers</t>
  </si>
  <si>
    <t>new york lottery winning number for today</t>
  </si>
  <si>
    <t>winning numbers for mega millions</t>
  </si>
  <si>
    <t>california fantasy five winning numbers</t>
  </si>
  <si>
    <t>new lotto results</t>
  </si>
  <si>
    <t>colorado lottery pick 3 results</t>
  </si>
  <si>
    <t>ca lottery fantasy 5 past winning numbers</t>
  </si>
  <si>
    <t>winning numbers for the florida lottery</t>
  </si>
  <si>
    <t>pennsylvania lottery numbers</t>
  </si>
  <si>
    <t>cash4life past winning numbers florida</t>
  </si>
  <si>
    <t>fl lotto winning numbers</t>
  </si>
  <si>
    <t>ontario winning numbers</t>
  </si>
  <si>
    <t>lotto ie results</t>
  </si>
  <si>
    <t>predicted winning lottery numbers</t>
  </si>
  <si>
    <t>winning-numbers winning-numbers today florida</t>
  </si>
  <si>
    <t>lottery results kentucky</t>
  </si>
  <si>
    <t>lottery numbers and meanings</t>
  </si>
  <si>
    <t>lottery results dc</t>
  </si>
  <si>
    <t>anguilla lottery results</t>
  </si>
  <si>
    <t>lotto supa 6 results</t>
  </si>
  <si>
    <t>uk lotto results history</t>
  </si>
  <si>
    <t>give me six lottery numbers</t>
  </si>
  <si>
    <t>lottery results new jersey</t>
  </si>
  <si>
    <t>friday lottery results</t>
  </si>
  <si>
    <t>florida powerball powerplay winning numbers</t>
  </si>
  <si>
    <t>island luck winning numbers for tonight</t>
  </si>
  <si>
    <t>indiana winning lottery number</t>
  </si>
  <si>
    <t>winning number prediction</t>
  </si>
  <si>
    <t>irish lottery numbers betfred</t>
  </si>
  <si>
    <t>predict lottery numbers for tonight</t>
  </si>
  <si>
    <t>irish lottery 3 numbers</t>
  </si>
  <si>
    <t>lottery numbers.</t>
  </si>
  <si>
    <t>last night winning lottery numbers</t>
  </si>
  <si>
    <t>health lottery results today</t>
  </si>
  <si>
    <t>winning lottery numbers pa</t>
  </si>
  <si>
    <t>is winning numbers</t>
  </si>
  <si>
    <t>irish lottery results checker 3 draws betfred</t>
  </si>
  <si>
    <t>pick 3 winning numbers history</t>
  </si>
  <si>
    <t>saturday lotto results uk</t>
  </si>
  <si>
    <t>megabucks winning numbers</t>
  </si>
  <si>
    <t>florida pick 4 winning numbers history</t>
  </si>
  <si>
    <t>virginia lottery results and winning numbers</t>
  </si>
  <si>
    <t>lotto results thunderball</t>
  </si>
  <si>
    <t>flip numbers in lottery</t>
  </si>
  <si>
    <t>island luck winning numbers winning numbers today</t>
  </si>
  <si>
    <t>lotto 649 atlantic 49 winning numbers</t>
  </si>
  <si>
    <t>winning numbers winning numbers nassau today</t>
  </si>
  <si>
    <t>winning florida powerball numbers</t>
  </si>
  <si>
    <t>calottery.com winning numbers</t>
  </si>
  <si>
    <t>fantasy 5 winning numbers in florida</t>
  </si>
  <si>
    <t>tri state megabucks winning numbers</t>
  </si>
  <si>
    <t>english lotto results</t>
  </si>
  <si>
    <t>michigan lottery results for tonight</t>
  </si>
  <si>
    <t>lottery archives winning numbers</t>
  </si>
  <si>
    <t>pa lottery powerball winning numbers</t>
  </si>
  <si>
    <t>lottery new york winning numbers</t>
  </si>
  <si>
    <t>mega million winning numbers for friday</t>
  </si>
  <si>
    <t>lottery results saturday night</t>
  </si>
  <si>
    <t>lotto winning numbers golden chance lotto result</t>
  </si>
  <si>
    <t>birthday lucky lottery numbers</t>
  </si>
  <si>
    <t>illinois lottery pick 3 and pick 4 results</t>
  </si>
  <si>
    <t>florida lottery midday results</t>
  </si>
  <si>
    <t>ohio lottery results for today</t>
  </si>
  <si>
    <t>washington winning numbers</t>
  </si>
  <si>
    <t>pick 3 winning numbers new york</t>
  </si>
  <si>
    <t>maryland winning number</t>
  </si>
  <si>
    <t>mega millions winning numbers yesterday</t>
  </si>
  <si>
    <t>lotto texas results today</t>
  </si>
  <si>
    <t>chances games winning number</t>
  </si>
  <si>
    <t>hong kong lottery results</t>
  </si>
  <si>
    <t>greek lottery results betfred</t>
  </si>
  <si>
    <t>winning cash pot number</t>
  </si>
  <si>
    <t>ny lottery.org ny lottery results</t>
  </si>
  <si>
    <t>lottery dream numbers generator</t>
  </si>
  <si>
    <t>last night's irish lottery results</t>
  </si>
  <si>
    <t>lotto results checker ireland</t>
  </si>
  <si>
    <t>winning numbers last night</t>
  </si>
  <si>
    <t>island luck winning number new york</t>
  </si>
  <si>
    <t>fantasy 5 winning numbers arizona</t>
  </si>
  <si>
    <t>tn powerball winning numbers</t>
  </si>
  <si>
    <t>national lotto results</t>
  </si>
  <si>
    <t>atlantic 49 winning numbers</t>
  </si>
  <si>
    <t>paradise game winning numbers yesterday</t>
  </si>
  <si>
    <t>lottery results new mexico</t>
  </si>
  <si>
    <t>new york pick 3 lottery results</t>
  </si>
  <si>
    <t>lottery results ireland</t>
  </si>
  <si>
    <t>my lucky lottery numbers numerology</t>
  </si>
  <si>
    <t>lottery results md</t>
  </si>
  <si>
    <t>lottery numbers results new york</t>
  </si>
  <si>
    <t>indiana lottery winning numbers</t>
  </si>
  <si>
    <t>mega ball winning numbers</t>
  </si>
  <si>
    <t>current winning lottery numbers</t>
  </si>
  <si>
    <t>ohio lottery winning numbers today</t>
  </si>
  <si>
    <t>irish lotto results for tonight</t>
  </si>
  <si>
    <t>lotto results 9th jan 2016</t>
  </si>
  <si>
    <t>best 5 numbers for lottery</t>
  </si>
  <si>
    <t>georgia lottery cash 4 midday winning numbers</t>
  </si>
  <si>
    <t>ghana lotto results today</t>
  </si>
  <si>
    <t>ny lotto past winning numbers</t>
  </si>
  <si>
    <t>lottery winners pick their own numbers</t>
  </si>
  <si>
    <t>chances.com winning numbers</t>
  </si>
  <si>
    <t>0, 0, 1, 11, 0, 0, 0, 0, 0, 0, 0, 1, 1, 1, 1, 4, 1, 0, 3, 0, 1, 0, 0, 0</t>
  </si>
  <si>
    <t>uk winning numbers today</t>
  </si>
  <si>
    <t>pa lottery past winning numbers</t>
  </si>
  <si>
    <t>all states lottery results</t>
  </si>
  <si>
    <t>texas winning number</t>
  </si>
  <si>
    <t>wv lottery numbers</t>
  </si>
  <si>
    <t>illinoislottery winning numbers</t>
  </si>
  <si>
    <t>maryland winning lotto numbers</t>
  </si>
  <si>
    <t>winning lotto numbers last night</t>
  </si>
  <si>
    <t>pennsylvania winning lottery results</t>
  </si>
  <si>
    <t>www.bclc.com winning numbers</t>
  </si>
  <si>
    <t>michigan mega millions winning numbers</t>
  </si>
  <si>
    <t>il lottery pick 3 past winning numbers</t>
  </si>
  <si>
    <t>all lotto results today</t>
  </si>
  <si>
    <t>illinois lottery pick 4 results</t>
  </si>
  <si>
    <t>most popular irish lottery numbers</t>
  </si>
  <si>
    <t>saturday x lotto results</t>
  </si>
  <si>
    <t>paradise lotto results today live</t>
  </si>
  <si>
    <t>cancer lottery numbers today</t>
  </si>
  <si>
    <t>france lotto results for yesterday</t>
  </si>
  <si>
    <t>last lottery winning numbers</t>
  </si>
  <si>
    <t>www.lotterypost.com › lottery results</t>
  </si>
  <si>
    <t>saturday lottery results</t>
  </si>
  <si>
    <t>new york lotto results for today</t>
  </si>
  <si>
    <t>nys lotto results</t>
  </si>
  <si>
    <t>winning numbers for lotto max</t>
  </si>
  <si>
    <t>national lotto results checker</t>
  </si>
  <si>
    <t>kerala lottery results</t>
  </si>
  <si>
    <t>give me the winning numbers</t>
  </si>
  <si>
    <t>denver lottery results</t>
  </si>
  <si>
    <t>fantasy 5 winning numbers last night</t>
  </si>
  <si>
    <t>tonight lotto results</t>
  </si>
  <si>
    <t>past lotto winning numbers</t>
  </si>
  <si>
    <t>lotto results today wednesday night 2021</t>
  </si>
  <si>
    <t>irish lotto results 3 draws please</t>
  </si>
  <si>
    <t>arkansas lottery results post</t>
  </si>
  <si>
    <t>illinois lottery numbers tonight</t>
  </si>
  <si>
    <t>lottery miami numbers</t>
  </si>
  <si>
    <t>texas past winning numbers</t>
  </si>
  <si>
    <t>pick 3 daily 3 lottery results</t>
  </si>
  <si>
    <t>mass lottery numbers</t>
  </si>
  <si>
    <t>game winning numbers</t>
  </si>
  <si>
    <t>4d winning numbers</t>
  </si>
  <si>
    <t>my lucky lottery numbers</t>
  </si>
  <si>
    <t>wild money winning numbers</t>
  </si>
  <si>
    <t>florida lottery mega millions results</t>
  </si>
  <si>
    <t>theislandgame com winning numbers aspx</t>
  </si>
  <si>
    <t>irish lottery results for yesterday</t>
  </si>
  <si>
    <t>dreaming lottery numbers</t>
  </si>
  <si>
    <t>alllotto winning numbers</t>
  </si>
  <si>
    <t>dream of dead mother lottery numbers</t>
  </si>
  <si>
    <t>lottery results checker</t>
  </si>
  <si>
    <t>florida lottery - pick 3 play 4 winning numbers</t>
  </si>
  <si>
    <t>everybodywinslive winning number</t>
  </si>
  <si>
    <t>azlottery winning numbers</t>
  </si>
  <si>
    <t>winning numbers nc lottery pick 4</t>
  </si>
  <si>
    <t>state winning numbers</t>
  </si>
  <si>
    <t>nassau games winning numbers com</t>
  </si>
  <si>
    <t>paradise lotto results</t>
  </si>
  <si>
    <t>ca lotto winning numbers</t>
  </si>
  <si>
    <t>florida lottery past results</t>
  </si>
  <si>
    <t>texas lottery results post</t>
  </si>
  <si>
    <t>most popular lottery numbers</t>
  </si>
  <si>
    <t>michigan daily lottery numbers</t>
  </si>
  <si>
    <t>lotto lottery results</t>
  </si>
  <si>
    <t>indiana lottery post results</t>
  </si>
  <si>
    <t>six lucky numbers to win the lottery</t>
  </si>
  <si>
    <t>florida lottox winning numbers</t>
  </si>
  <si>
    <t>cash 3 past winning numbers</t>
  </si>
  <si>
    <t>lottery results maine</t>
  </si>
  <si>
    <t>last night lotto results</t>
  </si>
  <si>
    <t>illinois pick 4 past winning numbers</t>
  </si>
  <si>
    <t>lottery ticket numbers from last night</t>
  </si>
  <si>
    <t>va lottery results winning numbers</t>
  </si>
  <si>
    <t>uk lottery results</t>
  </si>
  <si>
    <t>pick 3 winning lottery numbers</t>
  </si>
  <si>
    <t>new york lottery 4 numbers</t>
  </si>
  <si>
    <t>florida lottery winning lottery numbers</t>
  </si>
  <si>
    <t>pick 3 lottery results</t>
  </si>
  <si>
    <t>lottery lucky numbers</t>
  </si>
  <si>
    <t>super lotto winning numbers tonight</t>
  </si>
  <si>
    <t>powerball ky winning numbers</t>
  </si>
  <si>
    <t>powerball winning numbers florida</t>
  </si>
  <si>
    <t>texas pick 3 winning numbers for today</t>
  </si>
  <si>
    <t>tennessee lottery past winning numbers</t>
  </si>
  <si>
    <t>most winning lotto numbers</t>
  </si>
  <si>
    <t>toronto lottery results</t>
  </si>
  <si>
    <t>mega million winning number today</t>
  </si>
  <si>
    <t>good lottery numbers</t>
  </si>
  <si>
    <t>check lottery winning numbers</t>
  </si>
  <si>
    <t>florida lottery pick 5 midday winning numbers</t>
  </si>
  <si>
    <t>early chicago winning numbers</t>
  </si>
  <si>
    <t>jersey lottery results</t>
  </si>
  <si>
    <t>the winning number for today</t>
  </si>
  <si>
    <t>jackpot winning number</t>
  </si>
  <si>
    <t>lottery results for 2024</t>
  </si>
  <si>
    <t>what's the winning lottery numbers</t>
  </si>
  <si>
    <t>oregon winning lottery numbers</t>
  </si>
  <si>
    <t>galottery winning numbers</t>
  </si>
  <si>
    <t>winning number yesterday</t>
  </si>
  <si>
    <t>lucky numbers for today lottery</t>
  </si>
  <si>
    <t>pick 3 winning numbers louisiana tonight</t>
  </si>
  <si>
    <t>olg.ca winning numbers</t>
  </si>
  <si>
    <t>gold lotto saturday results</t>
  </si>
  <si>
    <t>connecticut winning lottery numbers</t>
  </si>
  <si>
    <t>betfred com lottery results</t>
  </si>
  <si>
    <t>quick draw indiana winning numbers</t>
  </si>
  <si>
    <t>guyana lottery results for tonight</t>
  </si>
  <si>
    <t>callotto winning numbers</t>
  </si>
  <si>
    <t>flalottery powerball winning numbers</t>
  </si>
  <si>
    <t>new york lottery results win 4 midday</t>
  </si>
  <si>
    <t>lottery numbers for today please</t>
  </si>
  <si>
    <t>richard lustig winning numbers</t>
  </si>
  <si>
    <t>fl pick 5 winning numbers</t>
  </si>
  <si>
    <t>luckiest lottery numbers 2021</t>
  </si>
  <si>
    <t>islandluck.com winning numbers island luck winning numbers</t>
  </si>
  <si>
    <t>can ai predict lottery numbers</t>
  </si>
  <si>
    <t>illinois lottery pick 3 past results</t>
  </si>
  <si>
    <t>winning pick 3 number</t>
  </si>
  <si>
    <t>california lottery pick 4 results</t>
  </si>
  <si>
    <t>florida lotto winning numbers florida</t>
  </si>
  <si>
    <t>last nights lottery numbers</t>
  </si>
  <si>
    <t>california lottery daily 3 results</t>
  </si>
  <si>
    <t>lottery past numbers</t>
  </si>
  <si>
    <t>florida lottery pick 3 pick 4 results</t>
  </si>
  <si>
    <t>the winning powerball numbers</t>
  </si>
  <si>
    <t>superlotto winning numbers</t>
  </si>
  <si>
    <t>florida lotto results mega millions</t>
  </si>
  <si>
    <t>wisconsin winning lottery numbers</t>
  </si>
  <si>
    <t>ohio winning lottery number</t>
  </si>
  <si>
    <t>olg keno past winning numbers</t>
  </si>
  <si>
    <t>powerball winning numbers history</t>
  </si>
  <si>
    <t>lottery numbers dream book</t>
  </si>
  <si>
    <t>idaho winning lotto numbers</t>
  </si>
  <si>
    <t>bbc lottery results</t>
  </si>
  <si>
    <t>last night winning powerball number</t>
  </si>
  <si>
    <t>daily 3 midday winning numbers for today</t>
  </si>
  <si>
    <t>fl lottery post results</t>
  </si>
  <si>
    <t>wral daytime lottery results for today</t>
  </si>
  <si>
    <t>florida lottery pick 4 winning numbers evening</t>
  </si>
  <si>
    <t>vi lottery winning numbers</t>
  </si>
  <si>
    <t>winning numbers ny lottery</t>
  </si>
  <si>
    <t>cash for life winning number</t>
  </si>
  <si>
    <t>today's lottery winning numbers</t>
  </si>
  <si>
    <t>roulette winning numbers</t>
  </si>
  <si>
    <t>the pick 3 winning numbers</t>
  </si>
  <si>
    <t>lottery florida results post</t>
  </si>
  <si>
    <t>lotto results checker</t>
  </si>
  <si>
    <t>saturday night lotto results</t>
  </si>
  <si>
    <t>lottery results michigan</t>
  </si>
  <si>
    <t>evening lottery numbers</t>
  </si>
  <si>
    <t>florida lottery past winning numbers by date</t>
  </si>
  <si>
    <t>winning 4 digit numbers</t>
  </si>
  <si>
    <t>virginia (va) lottery results | lottery post</t>
  </si>
  <si>
    <t>tennessee winning lotto numbers</t>
  </si>
  <si>
    <t>powerball winning numbers chances</t>
  </si>
  <si>
    <t>pick 3 illinois lottery results</t>
  </si>
  <si>
    <t>daily 4 lottery results</t>
  </si>
  <si>
    <t>new york lottery win 4 results midday today</t>
  </si>
  <si>
    <t>winning numbers for</t>
  </si>
  <si>
    <t>lucky numbers lottery</t>
  </si>
  <si>
    <t>tonight's lottery results</t>
  </si>
  <si>
    <t>florida pick 3 evening most winning numbers</t>
  </si>
  <si>
    <t>lottery results yesterday</t>
  </si>
  <si>
    <t>lotto results sat night</t>
  </si>
  <si>
    <t>mega lotto results</t>
  </si>
  <si>
    <t>flowers games winning numbers bahamas local</t>
  </si>
  <si>
    <t>lottery results today 8 pm</t>
  </si>
  <si>
    <t>lotto sat results</t>
  </si>
  <si>
    <t>michigan lottery winning number</t>
  </si>
  <si>
    <t>ga lottery post results winning numbers</t>
  </si>
  <si>
    <t>cash4life winning number</t>
  </si>
  <si>
    <t>mass lottery numbers game evening drawing</t>
  </si>
  <si>
    <t>mega millions winning numbers last night</t>
  </si>
  <si>
    <t>pick 3 lottery dream lottery numbers book</t>
  </si>
  <si>
    <t>life winning numbers</t>
  </si>
  <si>
    <t>mega millions california winning numbers</t>
  </si>
  <si>
    <t>mich lottery results today</t>
  </si>
  <si>
    <t>freeport games winning number</t>
  </si>
  <si>
    <t>florida winning lotto numbers</t>
  </si>
  <si>
    <t>www.sceducationlottery.com winning numbers</t>
  </si>
  <si>
    <t>euromillions winning number</t>
  </si>
  <si>
    <t>pick 3 winning numbers last night</t>
  </si>
  <si>
    <t>ca lotto results winning numbers</t>
  </si>
  <si>
    <t>tennessee winning number</t>
  </si>
  <si>
    <t>lottery most winning numbers</t>
  </si>
  <si>
    <t>pick 3 winning number</t>
  </si>
  <si>
    <t>missouri lottery past winning numbers</t>
  </si>
  <si>
    <t>ga fantasy 5 winning numbers frequency</t>
  </si>
  <si>
    <t>pa lottery numbers for today</t>
  </si>
  <si>
    <t>sat lotto results sa</t>
  </si>
  <si>
    <t>frequent lottery numbers</t>
  </si>
  <si>
    <t>mississippi cash 3 winning numbers</t>
  </si>
  <si>
    <t>oregon lottery past winning numbers</t>
  </si>
  <si>
    <t>irish lotto results all 3 draws</t>
  </si>
  <si>
    <t>french lottery results</t>
  </si>
  <si>
    <t>fla lottery pick 3 results</t>
  </si>
  <si>
    <t>dominica national lottery big 4 results</t>
  </si>
  <si>
    <t>new york lotto results today</t>
  </si>
  <si>
    <t>lottery numbers chicago</t>
  </si>
  <si>
    <t>irish lottery results irish</t>
  </si>
  <si>
    <t>lotto numbers winning numbers</t>
  </si>
  <si>
    <t>florida lottery mega millions past results</t>
  </si>
  <si>
    <t>ohio lottery results post</t>
  </si>
  <si>
    <t>jamaica lotto past winning numbers</t>
  </si>
  <si>
    <t>lottery winning numbers list</t>
  </si>
  <si>
    <t>most winning lottery numbers 2021</t>
  </si>
  <si>
    <t>mass mega millions past winning numbers</t>
  </si>
  <si>
    <t>asuedraw.com winning numbers</t>
  </si>
  <si>
    <t>vegas lottery results</t>
  </si>
  <si>
    <t>download lottery results excel</t>
  </si>
  <si>
    <t>new jersey lotto results</t>
  </si>
  <si>
    <t>uk lotto results today saturday</t>
  </si>
  <si>
    <t>full moon lottery numbers</t>
  </si>
  <si>
    <t>latest results lottery</t>
  </si>
  <si>
    <t>new york lottery winning number post</t>
  </si>
  <si>
    <t>florida lottery cash 3 numbers</t>
  </si>
  <si>
    <t>spain lottery results</t>
  </si>
  <si>
    <t>fantasy 5 winning numbers today</t>
  </si>
  <si>
    <t>euro million lottery results</t>
  </si>
  <si>
    <t>new york lottery past winning numbers</t>
  </si>
  <si>
    <t>visa lottery results</t>
  </si>
  <si>
    <t>winning powerball number</t>
  </si>
  <si>
    <t>lottery post results today</t>
  </si>
  <si>
    <t>winning lottery numbers fantasy 5</t>
  </si>
  <si>
    <t>gold lotto results saturday</t>
  </si>
  <si>
    <t>western canada lottery results</t>
  </si>
  <si>
    <t>lottery winning numbers history</t>
  </si>
  <si>
    <t>georgia powerball winning numbers</t>
  </si>
  <si>
    <t>give me some winning lottery numbers</t>
  </si>
  <si>
    <t>cash 3 calendar 2025 winning numbers</t>
  </si>
  <si>
    <t>irish lottery numbers for all 3 draws</t>
  </si>
  <si>
    <t>h1b visa 2022 lottery results</t>
  </si>
  <si>
    <t>health lottery numbers</t>
  </si>
  <si>
    <t>lottery dream numbers for car</t>
  </si>
  <si>
    <t>florida lottery results winning numbers today</t>
  </si>
  <si>
    <t>iowa state lottery results</t>
  </si>
  <si>
    <t>keno past winning numbers</t>
  </si>
  <si>
    <t>dc lottery results post</t>
  </si>
  <si>
    <t>roma lotto results</t>
  </si>
  <si>
    <t>lotto florida results</t>
  </si>
  <si>
    <t>lotto 47 winning numbers</t>
  </si>
  <si>
    <t>il lotto winning numbers</t>
  </si>
  <si>
    <t>illinois mega millions winning numbers</t>
  </si>
  <si>
    <t>lottery numbers for tomorrow</t>
  </si>
  <si>
    <t>results florida lotto</t>
  </si>
  <si>
    <t>aries lucky lottery numbers</t>
  </si>
  <si>
    <t>idaho lottery pick 3 results</t>
  </si>
  <si>
    <t>florida fantasy 5 winning numbers history</t>
  </si>
  <si>
    <t>kerala lottery results today live</t>
  </si>
  <si>
    <t>all lotto results history</t>
  </si>
  <si>
    <t>chicago lotto results</t>
  </si>
  <si>
    <t>quickdraw winning numbers</t>
  </si>
  <si>
    <t>sure win winning numbers for today</t>
  </si>
  <si>
    <t>idaho cash lottery winning numbers</t>
  </si>
  <si>
    <t>florida lottery payout results</t>
  </si>
  <si>
    <t>www islandluck com winning numbers</t>
  </si>
  <si>
    <t>olg past winning numbers</t>
  </si>
  <si>
    <t>fantasy 5 winning numbers tonight</t>
  </si>
  <si>
    <t>bet365 irish lotto results</t>
  </si>
  <si>
    <t>florida lottery results calendar</t>
  </si>
  <si>
    <t>winning numbers for pick 5</t>
  </si>
  <si>
    <t>gold lotto results queensland</t>
  </si>
  <si>
    <t>lotto results betfred</t>
  </si>
  <si>
    <t>usa powerball winning numbers</t>
  </si>
  <si>
    <t>pick four winning numbers</t>
  </si>
  <si>
    <t>national lottery results lotto results</t>
  </si>
  <si>
    <t>lottomax winning numbers</t>
  </si>
  <si>
    <t>az winning numbers</t>
  </si>
  <si>
    <t>i luck winning number</t>
  </si>
  <si>
    <t>new york lottery results history</t>
  </si>
  <si>
    <t>national lottery check results</t>
  </si>
  <si>
    <t>lottery numbers for today pick 3</t>
  </si>
  <si>
    <t>florida lottery results for saturday</t>
  </si>
  <si>
    <t>free lotto results</t>
  </si>
  <si>
    <t>ny lottery past winning numbers</t>
  </si>
  <si>
    <t>iowa winning numbers</t>
  </si>
  <si>
    <t>canada lottery results</t>
  </si>
  <si>
    <t>latest irish lottery numbers</t>
  </si>
  <si>
    <t>has lottery numbers ever repeated</t>
  </si>
  <si>
    <t>florida lotto winning numbers for tonight</t>
  </si>
  <si>
    <t>winning lotto numbers for today</t>
  </si>
  <si>
    <t>w628 lottery results</t>
  </si>
  <si>
    <t>top lottery numbers</t>
  </si>
  <si>
    <t>california lottery post results</t>
  </si>
  <si>
    <t>latest lottery results uk</t>
  </si>
  <si>
    <t>latest uk lotto results</t>
  </si>
  <si>
    <t>lottery daily results</t>
  </si>
  <si>
    <t>fantasy 5 winning numbers ga</t>
  </si>
  <si>
    <t>lottery results today kerala</t>
  </si>
  <si>
    <t>ga mega millions past winning numbers</t>
  </si>
  <si>
    <t>winning irish lotto numbers</t>
  </si>
  <si>
    <t>florida pick 3 midday evening winning numbers</t>
  </si>
  <si>
    <t>powerball winning numbers march 28 2026</t>
  </si>
  <si>
    <t>ny lottery winning results</t>
  </si>
  <si>
    <t>lottery numbers for saturday night</t>
  </si>
  <si>
    <t>fl powerball winning numbers history</t>
  </si>
  <si>
    <t>michigan winning lottery number</t>
  </si>
  <si>
    <t>ny lottery numbers results</t>
  </si>
  <si>
    <t>lottery pick 4 numbers</t>
  </si>
  <si>
    <t>florida lottery numbers for today</t>
  </si>
  <si>
    <t>aus lotto results</t>
  </si>
  <si>
    <t>n.y lottery results</t>
  </si>
  <si>
    <t>login winning numbers island luck</t>
  </si>
  <si>
    <t>powerball winning numbers nov 7</t>
  </si>
  <si>
    <t>winning new york lottery numbers</t>
  </si>
  <si>
    <t>lottery numbers that always win</t>
  </si>
  <si>
    <t>what's winning numbers</t>
  </si>
  <si>
    <t>pa lottery pick 3 most winning numbers</t>
  </si>
  <si>
    <t>texas lottery numbers for today</t>
  </si>
  <si>
    <t>are you winning numbers</t>
  </si>
  <si>
    <t>lottery pick 4 results</t>
  </si>
  <si>
    <t>yesterday powerball winning numbers</t>
  </si>
  <si>
    <t>wisconsin lottery results</t>
  </si>
  <si>
    <t>top keno winning numbers</t>
  </si>
  <si>
    <t>new york winning lottery number results post</t>
  </si>
  <si>
    <t>lottery numbers today new york</t>
  </si>
  <si>
    <t>new york state lottery numbers results</t>
  </si>
  <si>
    <t>wvlottery winning numbers</t>
  </si>
  <si>
    <t>irish lottery results for tonight all 3 draws</t>
  </si>
  <si>
    <t>sc education lottery results</t>
  </si>
  <si>
    <t>cash 4 life winning numbers tonight</t>
  </si>
  <si>
    <t>florida lottery lotto winning numbers</t>
  </si>
  <si>
    <t>new york lottery winning number</t>
  </si>
  <si>
    <t>last nights irish lottery results</t>
  </si>
  <si>
    <t>pick 3 winning number for today</t>
  </si>
  <si>
    <t>louisiana lotto winning numbers today</t>
  </si>
  <si>
    <t>ohio past lottery results</t>
  </si>
  <si>
    <t>powerball winning numbers for last night</t>
  </si>
  <si>
    <t>king lottery results</t>
  </si>
  <si>
    <t>random numbers lottery</t>
  </si>
  <si>
    <t>lotto florida lotto winning numbers</t>
  </si>
  <si>
    <t>winning 49 numbers</t>
  </si>
  <si>
    <t>california fantasy 5 past winning numbers</t>
  </si>
  <si>
    <t>all about the benjamins lottery numbers</t>
  </si>
  <si>
    <t>ontario lotto max winning numbers</t>
  </si>
  <si>
    <t>winning tennessee lottery numbers</t>
  </si>
  <si>
    <t>lotto results breakdown</t>
  </si>
  <si>
    <t>florida winning numbers fantasy 5</t>
  </si>
  <si>
    <t>all lotto results 2022</t>
  </si>
  <si>
    <t>lottery winning number today</t>
  </si>
  <si>
    <t>new york lottery win 4 evening results today</t>
  </si>
  <si>
    <t>ohio lottery results ohio lottery results</t>
  </si>
  <si>
    <t>full moon lottery numbers 2021</t>
  </si>
  <si>
    <t>lottery numbers pa</t>
  </si>
  <si>
    <t>pennsylvania lottery past winning numbers</t>
  </si>
  <si>
    <t>fantasy 5 winning numbers for tonight</t>
  </si>
  <si>
    <t>lotto 49 winning numbers</t>
  </si>
  <si>
    <t>saturday winning numbers</t>
  </si>
  <si>
    <t>md lottery numbers</t>
  </si>
  <si>
    <t>3 digit winning numbers</t>
  </si>
  <si>
    <t>lottery results nc</t>
  </si>
  <si>
    <t>daily grand winning numbers</t>
  </si>
  <si>
    <t>fllotto winning numbers</t>
  </si>
  <si>
    <t>the irish lottery results</t>
  </si>
  <si>
    <t>ga lottery winning numbers</t>
  </si>
  <si>
    <t>manitoba lotteries winning numbers</t>
  </si>
  <si>
    <t>uk health lottery results</t>
  </si>
  <si>
    <t>nj lottery numbers results</t>
  </si>
  <si>
    <t>past mega ball winning numbers</t>
  </si>
  <si>
    <t>last year winning lottery numbers</t>
  </si>
  <si>
    <t>florida lotto x results</t>
  </si>
  <si>
    <t>winning numbers for georgia</t>
  </si>
  <si>
    <t>lottery results '' new york</t>
  </si>
  <si>
    <t>wednesday lottery results</t>
  </si>
  <si>
    <t>fl lotto results</t>
  </si>
  <si>
    <t>lottery florida winning number</t>
  </si>
  <si>
    <t>texas lotto winning numbers</t>
  </si>
  <si>
    <t>uk national lottery results</t>
  </si>
  <si>
    <t>lotto winning numbers for saturday</t>
  </si>
  <si>
    <t>winning numbers lotto 649</t>
  </si>
  <si>
    <t>illinois lottery results lotto</t>
  </si>
  <si>
    <t>asuedraw winning numbers</t>
  </si>
  <si>
    <t>florida lottery (fl) - winning numbers &amp; results</t>
  </si>
  <si>
    <t>most winning keno numbers</t>
  </si>
  <si>
    <t>lottery 3 numbers</t>
  </si>
  <si>
    <t>island luck winning numbers island luck winning number</t>
  </si>
  <si>
    <t>www flalottery com winning numbers</t>
  </si>
  <si>
    <t>olg winning numbers 649</t>
  </si>
  <si>
    <t>tennessee lottery results winning numbers</t>
  </si>
  <si>
    <t>cash4life past winning numbers</t>
  </si>
  <si>
    <t>winning mega millions number</t>
  </si>
  <si>
    <t>illinoislottery.com winning numbers</t>
  </si>
  <si>
    <t>chance winning number</t>
  </si>
  <si>
    <t>dream numbers for lottery</t>
  </si>
  <si>
    <t>florida lottery results live today</t>
  </si>
  <si>
    <t>illinois lottery results winning numbers</t>
  </si>
  <si>
    <t>massachusetts lottery winning numbers</t>
  </si>
  <si>
    <t>fantasy five winning numbers california</t>
  </si>
  <si>
    <t>www nassaugame.com winning numbers</t>
  </si>
  <si>
    <t>powerball winning numbers tonight 2022 time</t>
  </si>
  <si>
    <t>www.irish lottery results</t>
  </si>
  <si>
    <t>lottery post lottery results</t>
  </si>
  <si>
    <t>state lottery winning numbers</t>
  </si>
  <si>
    <t>winning numbers for the lottery</t>
  </si>
  <si>
    <t>miami winning lottery numbers</t>
  </si>
  <si>
    <t>convert words to lottery numbers</t>
  </si>
  <si>
    <t>new york lottery win 4 results</t>
  </si>
  <si>
    <t>michigan lottery numbers</t>
  </si>
  <si>
    <t>most common lottery numbers drawn together</t>
  </si>
  <si>
    <t>the new york lottery results</t>
  </si>
  <si>
    <t>florida lottery live results</t>
  </si>
  <si>
    <t>florida lottery results please</t>
  </si>
  <si>
    <t>kentucky lotto results</t>
  </si>
  <si>
    <t>lucky 7 most winning numbers today</t>
  </si>
  <si>
    <t>pick3 pick4 winning numbers</t>
  </si>
  <si>
    <t>roulette winning numbers history</t>
  </si>
  <si>
    <t>lottery numbers horoscope</t>
  </si>
  <si>
    <t>island luck winning numbers miami</t>
  </si>
  <si>
    <t>winning maryland lottery numbers</t>
  </si>
  <si>
    <t>keno winning numbers for tonight</t>
  </si>
  <si>
    <t>lottery numbers idaho</t>
  </si>
  <si>
    <t>florida pick 5 winning numbers</t>
  </si>
  <si>
    <t>lottery quick pick numbers</t>
  </si>
  <si>
    <t>new york lottery win 3 numbers</t>
  </si>
  <si>
    <t>mn lottery winning numbers</t>
  </si>
  <si>
    <t>most winning powerball numbers</t>
  </si>
  <si>
    <t>late california winning numbers</t>
  </si>
  <si>
    <t>lottery results tennessee</t>
  </si>
  <si>
    <t>winning powerball numbers tonight</t>
  </si>
  <si>
    <t>fl lottery numbers</t>
  </si>
  <si>
    <t>5 winning numbers</t>
  </si>
  <si>
    <t>lotto 649 winning numbers quebec</t>
  </si>
  <si>
    <t>the irish lottery numbers</t>
  </si>
  <si>
    <t>chances winning numbers winning numbers</t>
  </si>
  <si>
    <t>free winning numbers</t>
  </si>
  <si>
    <t>winning lottery numbers for yesterday</t>
  </si>
  <si>
    <t>illinois lottery search past winning numbers</t>
  </si>
  <si>
    <t>illinois lottery results today</t>
  </si>
  <si>
    <t>dreams and numbers for lottery</t>
  </si>
  <si>
    <t>california lottery past winning numbers fantasy 5</t>
  </si>
  <si>
    <t>tci lotto game winning numbers</t>
  </si>
  <si>
    <t>fl lottery results today</t>
  </si>
  <si>
    <t>olg pick-3 winning numbers</t>
  </si>
  <si>
    <t>mega millions maryland winning numbers</t>
  </si>
  <si>
    <t>paradise lottery results</t>
  </si>
  <si>
    <t>powerball winning numbers for</t>
  </si>
  <si>
    <t>lotto max winning number today</t>
  </si>
  <si>
    <t>lotto winning number</t>
  </si>
  <si>
    <t>texas pick 3 night winning numbers</t>
  </si>
  <si>
    <t>new york winning numbers pick 3</t>
  </si>
  <si>
    <t>todays lotto results</t>
  </si>
  <si>
    <t>euro lottery results for tuesday</t>
  </si>
  <si>
    <t>lottery results maryland</t>
  </si>
  <si>
    <t>megabucks winning numbers for saturday</t>
  </si>
  <si>
    <t>island luck nassau winning numbers island luck</t>
  </si>
  <si>
    <t>az lottery results</t>
  </si>
  <si>
    <t>florida lottery powerball past winning numbers</t>
  </si>
  <si>
    <t>lotto quebec 649 results</t>
  </si>
  <si>
    <t>all lotto results for yesterday</t>
  </si>
  <si>
    <t>winning numbers for today lotto</t>
  </si>
  <si>
    <t>new york state lottery numbers</t>
  </si>
  <si>
    <t>lotto canada results</t>
  </si>
  <si>
    <t>tnlottery winning numbers</t>
  </si>
  <si>
    <t>mi lottery results</t>
  </si>
  <si>
    <t>lotto new york results</t>
  </si>
  <si>
    <t>649 lottery results</t>
  </si>
  <si>
    <t>mega millions lottery winning numbers</t>
  </si>
  <si>
    <t>florida pick 5 winning numbers midday</t>
  </si>
  <si>
    <t>illinois lottery results post</t>
  </si>
  <si>
    <t>virginia winning lottery number</t>
  </si>
  <si>
    <t>i love winning numbers</t>
  </si>
  <si>
    <t>thanksgiving lottery numbers</t>
  </si>
  <si>
    <t>florida winning numbers pick 3 midday last year</t>
  </si>
  <si>
    <t>mega million winning numbers for last night</t>
  </si>
  <si>
    <t>h1b lottery 2025 results date</t>
  </si>
  <si>
    <t>atlanta winning numbers</t>
  </si>
  <si>
    <t>winning pick 3 numbers</t>
  </si>
  <si>
    <t>ohio lottery winning results</t>
  </si>
  <si>
    <t>mega millions winning numbers georgia</t>
  </si>
  <si>
    <t>winning lotto 649 numbers</t>
  </si>
  <si>
    <t>florida pick 3 winning numbers</t>
  </si>
  <si>
    <t>winning pick 4 numbers</t>
  </si>
  <si>
    <t>georgia lottery results 2024</t>
  </si>
  <si>
    <t>thailand lottery results</t>
  </si>
  <si>
    <t>california winning lotto number</t>
  </si>
  <si>
    <t>vermont lottery past winning numbers</t>
  </si>
  <si>
    <t>lotto results new york</t>
  </si>
  <si>
    <t>belgium lottery results</t>
  </si>
  <si>
    <t>lucky day lotto winning numbers</t>
  </si>
  <si>
    <t>mega millions past winning numbers florida</t>
  </si>
  <si>
    <t>florida lottery winning numbers for today</t>
  </si>
  <si>
    <t>tci winning numbers</t>
  </si>
  <si>
    <t>my lotto winning numbers</t>
  </si>
  <si>
    <t>theislandgame winning numbers</t>
  </si>
  <si>
    <t>new york lottery results nylottery.org</t>
  </si>
  <si>
    <t>new york lottery numbers tonight</t>
  </si>
  <si>
    <t>ma state lottery winning numbers</t>
  </si>
  <si>
    <t>powerball winning numbers, last night</t>
  </si>
  <si>
    <t>texas two step winning numbers</t>
  </si>
  <si>
    <t>luck winning numbers</t>
  </si>
  <si>
    <t>lottery results euromillions</t>
  </si>
  <si>
    <t>checking lotto results</t>
  </si>
  <si>
    <t>lottery sa results</t>
  </si>
  <si>
    <t>lucky lottery results</t>
  </si>
  <si>
    <t>california super lottery results</t>
  </si>
  <si>
    <t>texas pick 3 winning numbers</t>
  </si>
  <si>
    <t>lotto results today wednesday</t>
  </si>
  <si>
    <t>betfred lottery results checker</t>
  </si>
  <si>
    <t>lotto winning numbers florida</t>
  </si>
  <si>
    <t>latest new york lottery results</t>
  </si>
  <si>
    <t>irish lottery 49ers results</t>
  </si>
  <si>
    <t>coral irish lottery latest results</t>
  </si>
  <si>
    <t>fantasy 5 most winning numbers</t>
  </si>
  <si>
    <t>florida cash 4 winning numbers</t>
  </si>
  <si>
    <t>saturday powerball winning numbers</t>
  </si>
  <si>
    <t>florida winning number today</t>
  </si>
  <si>
    <t>irish lottery latest results betfred</t>
  </si>
  <si>
    <t>illinois lottery numbers</t>
  </si>
  <si>
    <t>best numbers to play lottery</t>
  </si>
  <si>
    <t>powerball winning numbers payout</t>
  </si>
  <si>
    <t>fl lottery lotto winning numbers</t>
  </si>
  <si>
    <t>australia lotto results</t>
  </si>
  <si>
    <t>lottery winning numbers new york</t>
  </si>
  <si>
    <t>lottery md results</t>
  </si>
  <si>
    <t>canada 649 winning numbers</t>
  </si>
  <si>
    <t>virginia lottery results post</t>
  </si>
  <si>
    <t>uk lottery results tonight</t>
  </si>
  <si>
    <t>the florida lottery winning numbers</t>
  </si>
  <si>
    <t>georgia state lottery winning numbers</t>
  </si>
  <si>
    <t>us dv lottery results</t>
  </si>
  <si>
    <t>mega past winning numbers</t>
  </si>
  <si>
    <t>fl lottery numbers by date</t>
  </si>
  <si>
    <t>green card lottery results by country</t>
  </si>
  <si>
    <t>aseda lotto results</t>
  </si>
  <si>
    <t>h1b 2021 lottery results</t>
  </si>
  <si>
    <t>france lotto results history</t>
  </si>
  <si>
    <t>tci games winning numbers</t>
  </si>
  <si>
    <t>vt lottery results</t>
  </si>
  <si>
    <t>winning numbers georgia</t>
  </si>
  <si>
    <t>lotto max ontario winning numbers</t>
  </si>
  <si>
    <t>new york lottery winning numbers archive</t>
  </si>
  <si>
    <t>play 4 winning numbers</t>
  </si>
  <si>
    <t>lotto results south africa history</t>
  </si>
  <si>
    <t>daily million irish lotto results</t>
  </si>
  <si>
    <t>www hoosier lottery com winning numbers</t>
  </si>
  <si>
    <t>jackpot triple play winning numbers</t>
  </si>
  <si>
    <t>lotto 649 results today</t>
  </si>
  <si>
    <t>st vincent lottery results today</t>
  </si>
  <si>
    <t>lottery animal numbers</t>
  </si>
  <si>
    <t>lotto results queensland</t>
  </si>
  <si>
    <t>south carolina lottery winning numbers</t>
  </si>
  <si>
    <t>dream lottery numbers book pdf</t>
  </si>
  <si>
    <t>chicago winning number</t>
  </si>
  <si>
    <t>lottery dream numbers for snakes</t>
  </si>
  <si>
    <t>winning florida lottery numbers history</t>
  </si>
  <si>
    <t>pick winning lottery numbers</t>
  </si>
  <si>
    <t>winning dreams and lotto number partners</t>
  </si>
  <si>
    <t>winning lotto numbers</t>
  </si>
  <si>
    <t>florida lottery results cash 3</t>
  </si>
  <si>
    <t>your lucky lottery numbers</t>
  </si>
  <si>
    <t>pega 3 winning numbers</t>
  </si>
  <si>
    <t>winning number for today lotto</t>
  </si>
  <si>
    <t>betfred results lottery</t>
  </si>
  <si>
    <t>missouri winning numbers</t>
  </si>
  <si>
    <t>island lotto results</t>
  </si>
  <si>
    <t>daily fantasy 5 ca lottery winning numbers</t>
  </si>
  <si>
    <t>island luck winning numbers login account sign up</t>
  </si>
  <si>
    <t>yesterdays irish lotto results</t>
  </si>
  <si>
    <t>new york state lottery midday numbers</t>
  </si>
  <si>
    <t>lottery virginia results</t>
  </si>
  <si>
    <t>cancer winning numbers</t>
  </si>
  <si>
    <t>austria lottery results</t>
  </si>
  <si>
    <t>nc state lottery results</t>
  </si>
  <si>
    <t>new york lotto winning number</t>
  </si>
  <si>
    <t>island luck winning numbers winning numbers</t>
  </si>
  <si>
    <t>nc winning numbers</t>
  </si>
  <si>
    <t>new york lotto post results</t>
  </si>
  <si>
    <t>lotto max winning numbers extra</t>
  </si>
  <si>
    <t>pisces winning numbers</t>
  </si>
  <si>
    <t>minnesota powerball past winning numbers</t>
  </si>
  <si>
    <t>www.maryland lottery results</t>
  </si>
  <si>
    <t>wednesday hoosier lottery numbers</t>
  </si>
  <si>
    <t>nys lottery results</t>
  </si>
  <si>
    <t>winning numbers for the tennessee lottery</t>
  </si>
  <si>
    <t>winning numbers prediction</t>
  </si>
  <si>
    <t>lottery flip numbers</t>
  </si>
  <si>
    <t>draft lottery results</t>
  </si>
  <si>
    <t>winning 3 numbers in lotto</t>
  </si>
  <si>
    <t>maryland state lottery winning numbers</t>
  </si>
  <si>
    <t>nyc winning numbers</t>
  </si>
  <si>
    <t>sri lanka lottery results</t>
  </si>
  <si>
    <t>wed lotto results</t>
  </si>
  <si>
    <t>lotto yesterday results</t>
  </si>
  <si>
    <t>results lotto</t>
  </si>
  <si>
    <t>lottery numbers yesterday</t>
  </si>
  <si>
    <t>lottery america winning numbers</t>
  </si>
  <si>
    <t>idaho powerball winning numbers</t>
  </si>
  <si>
    <t>international lotto results today</t>
  </si>
  <si>
    <t>ga lottery past winning numbers</t>
  </si>
  <si>
    <t>lottery results for last night</t>
  </si>
  <si>
    <t>florida pick 4 evening winning numbers</t>
  </si>
  <si>
    <t>lotto results australia</t>
  </si>
  <si>
    <t>649 past winning numbers</t>
  </si>
  <si>
    <t>lotto results georgia</t>
  </si>
  <si>
    <t>new york lottery results yesterday</t>
  </si>
  <si>
    <t>va lottery numbers</t>
  </si>
  <si>
    <t>ny lottery results pick 3</t>
  </si>
  <si>
    <t>delottery winning numbers</t>
  </si>
  <si>
    <t>sydney lotto results</t>
  </si>
  <si>
    <t>friday winning numbers</t>
  </si>
  <si>
    <t>green card lottery 2020 results by country</t>
  </si>
  <si>
    <t>www.islandluck winning numbers</t>
  </si>
  <si>
    <t>winning numbers for lottery</t>
  </si>
  <si>
    <t>spanish lottery results</t>
  </si>
  <si>
    <t>winning numbers olg</t>
  </si>
  <si>
    <t>numbers generator for lottery</t>
  </si>
  <si>
    <t>new hampshire lottery results</t>
  </si>
  <si>
    <t>wi lottery numbers</t>
  </si>
  <si>
    <t>tonight's winning number</t>
  </si>
  <si>
    <t>mega millions winning numbers history</t>
  </si>
  <si>
    <t>florida's winning numbers</t>
  </si>
  <si>
    <t>www-islandluck-com winning numbers island</t>
  </si>
  <si>
    <t>powerball jackpot lottery numbers</t>
  </si>
  <si>
    <t>florida powerball previous winning numbers</t>
  </si>
  <si>
    <t>tonight's winning powerball numbers</t>
  </si>
  <si>
    <t>lotto results ny</t>
  </si>
  <si>
    <t>online lottery results</t>
  </si>
  <si>
    <t>powerball winning number last night</t>
  </si>
  <si>
    <t>mo lottery numbers</t>
  </si>
  <si>
    <t>most popular winning lottery numbers</t>
  </si>
  <si>
    <t>louisiana lottery pick 3 results</t>
  </si>
  <si>
    <t>spanish lottery results checker</t>
  </si>
  <si>
    <t>new york (ny) lottery results | lotterypost</t>
  </si>
  <si>
    <t>pick 4 winning numbers sc</t>
  </si>
  <si>
    <t>saturday lotto results nsw</t>
  </si>
  <si>
    <t>official lotto results</t>
  </si>
  <si>
    <t>guide pdf lottery free dream book numbers</t>
  </si>
  <si>
    <t>betfred results irish lottery</t>
  </si>
  <si>
    <t>oz lotto results</t>
  </si>
  <si>
    <t>ga lottery results today</t>
  </si>
  <si>
    <t>daily millions lotto results</t>
  </si>
  <si>
    <t>international lottery results</t>
  </si>
  <si>
    <t>last winning numbers</t>
  </si>
  <si>
    <t>ca lottery powerball winning numbers</t>
  </si>
  <si>
    <t>new lottery numbers</t>
  </si>
  <si>
    <t>pick 4 evening winning numbers</t>
  </si>
  <si>
    <t>pick 3 '' past winning numbers</t>
  </si>
  <si>
    <t>most winning lottery numbers powerball</t>
  </si>
  <si>
    <t>winning numbers florida lotto</t>
  </si>
  <si>
    <t>powerball winning numbers from last night</t>
  </si>
  <si>
    <t>lottery results ny</t>
  </si>
  <si>
    <t>indiana winning numbers</t>
  </si>
  <si>
    <t>del lottery results</t>
  </si>
  <si>
    <t>numbers for the florida lottery</t>
  </si>
  <si>
    <t>lotto results wa</t>
  </si>
  <si>
    <t>lottery uk results</t>
  </si>
  <si>
    <t>i love winning number</t>
  </si>
  <si>
    <t>lottery numbers for today evening</t>
  </si>
  <si>
    <t>maryland mega millions winning numbers</t>
  </si>
  <si>
    <t>today daily 3 lottery results</t>
  </si>
  <si>
    <t>minnesota lottery numbers</t>
  </si>
  <si>
    <t>the winning lotto number</t>
  </si>
  <si>
    <t>ill lottery numbers results</t>
  </si>
  <si>
    <t>winning numbers lotto america numbers</t>
  </si>
  <si>
    <t>kansas city lottery results</t>
  </si>
  <si>
    <t>lotto texas winning numbers</t>
  </si>
  <si>
    <t>fla lotto winning numbers</t>
  </si>
  <si>
    <t>taurus lucky horoscope lottery numbers for today</t>
  </si>
  <si>
    <t>florida lottery fantasy 5 winning numbers</t>
  </si>
  <si>
    <t>dream lottery numbers book</t>
  </si>
  <si>
    <t>florida lottery - winning numbers mega millions</t>
  </si>
  <si>
    <t>4 winning numbers</t>
  </si>
  <si>
    <t>3 draw irish lottery results</t>
  </si>
  <si>
    <t>connecticut lottery past winning numbers</t>
  </si>
  <si>
    <t>free lottery numbers book</t>
  </si>
  <si>
    <t>www islandluck com winning numbers bahamas</t>
  </si>
  <si>
    <t>new jersey lottery numbers for last night</t>
  </si>
  <si>
    <t>kentucky lottery winning numbers</t>
  </si>
  <si>
    <t>georgia lottery results post results today</t>
  </si>
  <si>
    <t>pa lottery pick 3 past winning numbers history</t>
  </si>
  <si>
    <t>north carolina lottery past winning numbers</t>
  </si>
  <si>
    <t>asue draw winning numbers</t>
  </si>
  <si>
    <t>winning numbers game</t>
  </si>
  <si>
    <t>finland lotto results</t>
  </si>
  <si>
    <t>powerball raffle winning numbers</t>
  </si>
  <si>
    <t>everybody wins lottery winning numbers</t>
  </si>
  <si>
    <t>the florida lottery results</t>
  </si>
  <si>
    <t>saturday new york lottery results</t>
  </si>
  <si>
    <t>lucky numbers for 2021 lottery</t>
  </si>
  <si>
    <t>maine winning lottery numbers</t>
  </si>
  <si>
    <t>florida lottery results by date</t>
  </si>
  <si>
    <t>saturday lotto winning numbers</t>
  </si>
  <si>
    <t>island luck winning numbers app</t>
  </si>
  <si>
    <t>lottery results chicago</t>
  </si>
  <si>
    <t>winning numbers today ny</t>
  </si>
  <si>
    <t>daily 4 winning numbers</t>
  </si>
  <si>
    <t>maine state lottery winning numbers</t>
  </si>
  <si>
    <t>lotto results checker uk</t>
  </si>
  <si>
    <t>islandluck.com winning numbers island game</t>
  </si>
  <si>
    <t>new york winning evening numbers</t>
  </si>
  <si>
    <t>new york lottery 3 numbers</t>
  </si>
  <si>
    <t>pennsylvania winning numbers</t>
  </si>
  <si>
    <t>today's lottery results</t>
  </si>
  <si>
    <t>florida state lottery winning numbers</t>
  </si>
  <si>
    <t>calotto winning numbers</t>
  </si>
  <si>
    <t>www pick 3 winning numbers</t>
  </si>
  <si>
    <t>nj lottery post results today</t>
  </si>
  <si>
    <t>colorado lotto winning numbers</t>
  </si>
  <si>
    <t>florida fl lottery results-winning numbers</t>
  </si>
  <si>
    <t>lucky numbers for the lottery tonight</t>
  </si>
  <si>
    <t>pick 4 missouri lottery winning numbers</t>
  </si>
  <si>
    <t>lottery results illinois lottery results</t>
  </si>
  <si>
    <t>california lottery results daily 3</t>
  </si>
  <si>
    <t>winning numbers for island luck</t>
  </si>
  <si>
    <t>florida jackpot winning numbers</t>
  </si>
  <si>
    <t>lottery numbers illinois</t>
  </si>
  <si>
    <t>yesterday's winning lotto numbers</t>
  </si>
  <si>
    <t>fantasy 5 winning numbers florida</t>
  </si>
  <si>
    <t>lottery post.com results</t>
  </si>
  <si>
    <t>fl lottery winning number</t>
  </si>
  <si>
    <t>49 lottery numbers</t>
  </si>
  <si>
    <t>have my numbers ever won the lottery</t>
  </si>
  <si>
    <t>lotto extra results</t>
  </si>
  <si>
    <t>match 6 winning numbers</t>
  </si>
  <si>
    <t>florida jackpot triple play winning numbers</t>
  </si>
  <si>
    <t>guyana lottery results</t>
  </si>
  <si>
    <t>big game winning numbers</t>
  </si>
  <si>
    <t>nassau games winning numbers are even</t>
  </si>
  <si>
    <t>is there a way to predict lottery numbers</t>
  </si>
  <si>
    <t>texas pick 3 lottery results</t>
  </si>
  <si>
    <t>florida lottery ticket numbers</t>
  </si>
  <si>
    <t>winning powerball numbers for last night</t>
  </si>
  <si>
    <t>lotto plus results today</t>
  </si>
  <si>
    <t>predicting lottery numbers from past draws</t>
  </si>
  <si>
    <t>idaho lottery powerball winning numbers</t>
  </si>
  <si>
    <t>lottery results lotto</t>
  </si>
  <si>
    <t>cash 5 winning numbers for tonight</t>
  </si>
  <si>
    <t>win on numbers irish lottery</t>
  </si>
  <si>
    <t>betfred irish lotto results</t>
  </si>
  <si>
    <t>rhode island lottery numbers</t>
  </si>
  <si>
    <t>winning ny lottery numbers</t>
  </si>
  <si>
    <t>new jersey lottery results tonight</t>
  </si>
  <si>
    <t>georgia powerball previous winning numbers</t>
  </si>
  <si>
    <t>new york winning numbers today</t>
  </si>
  <si>
    <t>daily 4 past winning numbers</t>
  </si>
  <si>
    <t>miami lottery numbers</t>
  </si>
  <si>
    <t>winning number today pick 3</t>
  </si>
  <si>
    <t>pick 3 winning numbers strategy</t>
  </si>
  <si>
    <t>molottery.com winning numbers</t>
  </si>
  <si>
    <t>tn lottery past winning numbers</t>
  </si>
  <si>
    <t>florida lottery pick 3 results for today</t>
  </si>
  <si>
    <t>florida winning lottery results</t>
  </si>
  <si>
    <t>wednesday night lotto results</t>
  </si>
  <si>
    <t>saturday night lottery numbers</t>
  </si>
  <si>
    <t>mass daily lottery numbers</t>
  </si>
  <si>
    <t>lucky day lotto evening winning numbers</t>
  </si>
  <si>
    <t>lotto results canada</t>
  </si>
  <si>
    <t>supreme ventures lotto results for wednesday</t>
  </si>
  <si>
    <t>lotto results in germany</t>
  </si>
  <si>
    <t>michigan lottery past winning numbers</t>
  </si>
  <si>
    <t>lotto results philippines</t>
  </si>
  <si>
    <t>march lottery numbers</t>
  </si>
  <si>
    <t>todays lottery results</t>
  </si>
  <si>
    <t>lotto max winning numbers september 27</t>
  </si>
  <si>
    <t>lotto results powerball results</t>
  </si>
  <si>
    <t>fl powerball winning numbers</t>
  </si>
  <si>
    <t>pick 4 lottery winning numbers</t>
  </si>
  <si>
    <t>winning lottery numbers idaho</t>
  </si>
  <si>
    <t>california state lottery numbers</t>
  </si>
  <si>
    <t>mega millions jackpot lottery numbers</t>
  </si>
  <si>
    <t>lottery results sa</t>
  </si>
  <si>
    <t>hoosier lottery results</t>
  </si>
  <si>
    <t>lucky for life ct winning numbers</t>
  </si>
  <si>
    <t>jamaica cash pot winning number</t>
  </si>
  <si>
    <t>atlantic keno winning numbers</t>
  </si>
  <si>
    <t>ok lottery powerball numbers</t>
  </si>
  <si>
    <t>new york lottery pick 3 evening results</t>
  </si>
  <si>
    <t>winning numbers for last night</t>
  </si>
  <si>
    <t>chances of winning lottery playing same numbers</t>
  </si>
  <si>
    <t>5 lucky numbers for lottery</t>
  </si>
  <si>
    <t>pick 3 most frequent winning numbers</t>
  </si>
  <si>
    <t>pick 3 lotto results</t>
  </si>
  <si>
    <t>lotto numbers national lottery results</t>
  </si>
  <si>
    <t>ny lotto past results</t>
  </si>
  <si>
    <t>lottery numbers for december</t>
  </si>
  <si>
    <t>winning lotto numbers for yesterday</t>
  </si>
  <si>
    <t>last powerball winning numbers</t>
  </si>
  <si>
    <t>dc lottery results pick 3</t>
  </si>
  <si>
    <t>belgium lotto results today</t>
  </si>
  <si>
    <t>scorpio lottery numbers</t>
  </si>
  <si>
    <t>raven lottery numbers</t>
  </si>
  <si>
    <t>numbers lottery</t>
  </si>
  <si>
    <t>lottery numbers california</t>
  </si>
  <si>
    <t>win 3 evening 2023 winning numbers</t>
  </si>
  <si>
    <t>winning illinois lottery results</t>
  </si>
  <si>
    <t>latest saturday lotto results</t>
  </si>
  <si>
    <t>florida.lottery winning numbers</t>
  </si>
  <si>
    <t>winning number florida lottery</t>
  </si>
  <si>
    <t>new york lotto results pick 3 pick 4</t>
  </si>
  <si>
    <t>alabama lottery results</t>
  </si>
  <si>
    <t>greek lotto results</t>
  </si>
  <si>
    <t>ca lottery results and winners</t>
  </si>
  <si>
    <t>check lottery numbers uk</t>
  </si>
  <si>
    <t>49 winning numbers</t>
  </si>
  <si>
    <t>islandluck island luck winning numbers</t>
  </si>
  <si>
    <t>lotto winning numbers from last night</t>
  </si>
  <si>
    <t>michigan powerball past winning numbers</t>
  </si>
  <si>
    <t>ar lottery results</t>
  </si>
  <si>
    <t>tuesday lotto results</t>
  </si>
  <si>
    <t>lotto results history 2022</t>
  </si>
  <si>
    <t>gemini lottery numbers</t>
  </si>
  <si>
    <t>saturday night lotto results qld</t>
  </si>
  <si>
    <t>pick 3 ontario lottery results</t>
  </si>
  <si>
    <t>ga lottery results winning numbers</t>
  </si>
  <si>
    <t>pa lottery pick 5 past winning numbers</t>
  </si>
  <si>
    <t>illinois past winning numbers</t>
  </si>
  <si>
    <t>lotto powerball results today</t>
  </si>
  <si>
    <t>powerball winning numbers december 2018</t>
  </si>
  <si>
    <t>today lotto results</t>
  </si>
  <si>
    <t>california lottery - winning numbers</t>
  </si>
  <si>
    <t>maryland lotto results</t>
  </si>
  <si>
    <t>ny lottery results post numbers for today</t>
  </si>
  <si>
    <t>euro lotto results uk</t>
  </si>
  <si>
    <t>powerball past winning numbers florida</t>
  </si>
  <si>
    <t>lotto results wednesday 2022</t>
  </si>
  <si>
    <t>nh lottery past winning numbers</t>
  </si>
  <si>
    <t>649 winning numbers payout</t>
  </si>
  <si>
    <t>nj lottery results post</t>
  </si>
  <si>
    <t>new york (ny) lottery results</t>
  </si>
  <si>
    <t>powerball florida winning numbers</t>
  </si>
  <si>
    <t>2022 lottery numbers</t>
  </si>
  <si>
    <t>past winning illinois lottery numbers</t>
  </si>
  <si>
    <t>lottery florida results today</t>
  </si>
  <si>
    <t>lottery results idaho</t>
  </si>
  <si>
    <t>past winning numbers</t>
  </si>
  <si>
    <t>bahamas lottery winning numbers</t>
  </si>
  <si>
    <t>powerball winning number for tonight</t>
  </si>
  <si>
    <t>lost lottery numbers</t>
  </si>
  <si>
    <t>trinidad and tobago lotto results</t>
  </si>
  <si>
    <t>jackpot lottery winning numbers</t>
  </si>
  <si>
    <t>golden lotto results qld</t>
  </si>
  <si>
    <t>next lottery numbers</t>
  </si>
  <si>
    <t>illinois lottery lotto numbers</t>
  </si>
  <si>
    <t>winning florida lotto numbers for last night</t>
  </si>
  <si>
    <t>lottery missouri results</t>
  </si>
  <si>
    <t>jersey lottery numbers</t>
  </si>
  <si>
    <t>results national lottery</t>
  </si>
  <si>
    <t>oregon megabucks winning numbers</t>
  </si>
  <si>
    <t>powerball winning numbers march 2 2026</t>
  </si>
  <si>
    <t>wednesday lottery numbers</t>
  </si>
  <si>
    <t>tchalam new york winning numbers</t>
  </si>
  <si>
    <t>diversity visa lottery 2018 results</t>
  </si>
  <si>
    <t>results lottery new jersey</t>
  </si>
  <si>
    <t>nassaugame winning numbers</t>
  </si>
  <si>
    <t>pisces winning numbers for today</t>
  </si>
  <si>
    <t>california lottery daily 4 winning numbers</t>
  </si>
  <si>
    <t>tennessee lottery cash 4 evening winning numbers</t>
  </si>
  <si>
    <t>best lottery numbers to play</t>
  </si>
  <si>
    <t>pa lottery numbers</t>
  </si>
  <si>
    <t>quebec lottery results</t>
  </si>
  <si>
    <t>check lottery numbers</t>
  </si>
  <si>
    <t>flowers web winning numbers</t>
  </si>
  <si>
    <t>chicago lottery numbers</t>
  </si>
  <si>
    <t>sat lotto results</t>
  </si>
  <si>
    <t>past fantasy 5 winning numbers</t>
  </si>
  <si>
    <t>powerball winning numbers check</t>
  </si>
  <si>
    <t>winning lottery numbers tonight</t>
  </si>
  <si>
    <t>new new york lottery results</t>
  </si>
  <si>
    <t>past winning numbers new york</t>
  </si>
  <si>
    <t>hot lotto winning numbers</t>
  </si>
  <si>
    <t>calottery fantasy 5 winning numbers</t>
  </si>
  <si>
    <t>show me the winning numbers</t>
  </si>
  <si>
    <t>michigan lotto results</t>
  </si>
  <si>
    <t>california lottery past results</t>
  </si>
  <si>
    <t>new york lottery results take 5</t>
  </si>
  <si>
    <t>illinois winning numbers today</t>
  </si>
  <si>
    <t>diversity visa lottery 2024 results</t>
  </si>
  <si>
    <t>the winning lottery numbers for last night</t>
  </si>
  <si>
    <t>winning numbers pick 4</t>
  </si>
  <si>
    <t>jamaica super lotto results</t>
  </si>
  <si>
    <t>virginia pick 5 winning numbers</t>
  </si>
  <si>
    <t>winning numbers colorado lottery</t>
  </si>
  <si>
    <t>florida (fl) lottery results lottery post</t>
  </si>
  <si>
    <t>lottery winning numbers last night</t>
  </si>
  <si>
    <t>dv lottery results</t>
  </si>
  <si>
    <t>national lotto results today</t>
  </si>
  <si>
    <t>virginia pick 3 calendar 2025 winning numbers</t>
  </si>
  <si>
    <t>convert dreams to lottery numbers</t>
  </si>
  <si>
    <t>oklahoma pick 3 winning numbers</t>
  </si>
  <si>
    <t>oz lotto results qld</t>
  </si>
  <si>
    <t>olg winning numbers wheel of fortune</t>
  </si>
  <si>
    <t>olg pick 4 winning numbers</t>
  </si>
  <si>
    <t>winning cash 3 numbers for today</t>
  </si>
  <si>
    <t>2023 dv lottery results</t>
  </si>
  <si>
    <t>newyork lottery numbers</t>
  </si>
  <si>
    <t>lottery results latest numbers</t>
  </si>
  <si>
    <t>lottery fantasy 5 results</t>
  </si>
  <si>
    <t>sagittarius lucky numbers for lottery</t>
  </si>
  <si>
    <t>florida florida lottery numbers</t>
  </si>
  <si>
    <t>sagittarius lucky lottery numbers</t>
  </si>
  <si>
    <t>nebraska lottery results</t>
  </si>
  <si>
    <t>lotto results today philippines</t>
  </si>
  <si>
    <t>lottery results today uk tonight</t>
  </si>
  <si>
    <t>latest lotto results nsw australia</t>
  </si>
  <si>
    <t>illinois lottery past archive winning numbers</t>
  </si>
  <si>
    <t>past pick 4 winning numbers</t>
  </si>
  <si>
    <t>island luck winning numbers for</t>
  </si>
  <si>
    <t>past lotto results</t>
  </si>
  <si>
    <t>illinois lottery pick 3 winning numbers</t>
  </si>
  <si>
    <t>lottery dream book numbers</t>
  </si>
  <si>
    <t>check lotto results online</t>
  </si>
  <si>
    <t>florida powerball winning numbers for last night</t>
  </si>
  <si>
    <t>illinois lottery results powerball</t>
  </si>
  <si>
    <t>georgia lottery results today</t>
  </si>
  <si>
    <t>nc lottery results post</t>
  </si>
  <si>
    <t>powerball winning numbers, tonight</t>
  </si>
  <si>
    <t>golden chance lotto results</t>
  </si>
  <si>
    <t>late chicago winning numbers</t>
  </si>
  <si>
    <t>lottery dream book numbers free download pdf</t>
  </si>
  <si>
    <t>new york lottery results checker</t>
  </si>
  <si>
    <t>sa national lottery daily lotto results</t>
  </si>
  <si>
    <t>lotto results vic</t>
  </si>
  <si>
    <t>www lottery numbers</t>
  </si>
  <si>
    <t>lottery numbers for new york</t>
  </si>
  <si>
    <t>aries winning numbers</t>
  </si>
  <si>
    <t>british lotto results</t>
  </si>
  <si>
    <t>predict lottery numbers</t>
  </si>
  <si>
    <t>lottery numbers texas</t>
  </si>
  <si>
    <t>lottery numbers winning numbers</t>
  </si>
  <si>
    <t>lotto results, lotto plus 1 and 2</t>
  </si>
  <si>
    <t>www betfred irish lottery results</t>
  </si>
  <si>
    <t>winning numbers for lucky for life</t>
  </si>
  <si>
    <t>lotto max canada results</t>
  </si>
  <si>
    <t>florida pick 3 winning number</t>
  </si>
  <si>
    <t>newyorklottery.org winning numbers</t>
  </si>
  <si>
    <t>california fantasy 5 winning number</t>
  </si>
  <si>
    <t>daily 3 evening winning numbers</t>
  </si>
  <si>
    <t>lottery post results california</t>
  </si>
  <si>
    <t>bclc keno winning numbers</t>
  </si>
  <si>
    <t>keno philippines winning numbers</t>
  </si>
  <si>
    <t>fantasy 5 winning number last night</t>
  </si>
  <si>
    <t>florida pick 3 past winning numbers</t>
  </si>
  <si>
    <t>news york lottery results</t>
  </si>
  <si>
    <t>lottery illinois results</t>
  </si>
  <si>
    <t>fl lotto results today</t>
  </si>
  <si>
    <t>delaware winning numbers</t>
  </si>
  <si>
    <t>ultra games winning numbers history</t>
  </si>
  <si>
    <t>monday winning numbers</t>
  </si>
  <si>
    <t>nebraska lottery winning numbers</t>
  </si>
  <si>
    <t>tonight's irish lotto results</t>
  </si>
  <si>
    <t>lottery numbers meaning</t>
  </si>
  <si>
    <t>lottery 5 numbers</t>
  </si>
  <si>
    <t>most repeated lottery numbers</t>
  </si>
  <si>
    <t>most winning lottery numbers pick 3</t>
  </si>
  <si>
    <t>last night powerball winning number</t>
  </si>
  <si>
    <t>winning number for mega</t>
  </si>
  <si>
    <t>irish lottery results</t>
  </si>
  <si>
    <t>results of illinois lottery</t>
  </si>
  <si>
    <t>german lotto results betfred</t>
  </si>
  <si>
    <t>florida pick 3 most frequent winning numbers</t>
  </si>
  <si>
    <t>florida lottery results live tonight</t>
  </si>
  <si>
    <t>tennessee cash 3 evening winning numbers</t>
  </si>
  <si>
    <t>best numbers for lottery</t>
  </si>
  <si>
    <t>fantasy 5 past winning numbers 2022</t>
  </si>
  <si>
    <t>new jersey lottery winning results</t>
  </si>
  <si>
    <t>new york cash 3 winning numbers</t>
  </si>
  <si>
    <t>new york lottery numbers results</t>
  </si>
  <si>
    <t>pick5 lottery winning numbers</t>
  </si>
  <si>
    <t>national lottery winning numbers</t>
  </si>
  <si>
    <t>betfred lottery results</t>
  </si>
  <si>
    <t>french lotto results history</t>
  </si>
  <si>
    <t>tuesday winning numbers</t>
  </si>
  <si>
    <t>dv lottery 2026 results date</t>
  </si>
  <si>
    <t>winning number for powerball last night</t>
  </si>
  <si>
    <t>thailand lottery winning number</t>
  </si>
  <si>
    <t>simpson lottery numbers</t>
  </si>
  <si>
    <t>florida lottery results history</t>
  </si>
  <si>
    <t>irish lottery results uk</t>
  </si>
  <si>
    <t>missouri lotto results</t>
  </si>
  <si>
    <t>jackpotjoy irish lottery results</t>
  </si>
  <si>
    <t>green card lottery 2021 results</t>
  </si>
  <si>
    <t>nh lottery numbers</t>
  </si>
  <si>
    <t>lotto results 2010</t>
  </si>
  <si>
    <t>people postcode lottery results</t>
  </si>
  <si>
    <t>lottery winning results</t>
  </si>
  <si>
    <t>massachusetts lottery results</t>
  </si>
  <si>
    <t>lottery number winning number</t>
  </si>
  <si>
    <t>lottery numbers fl</t>
  </si>
  <si>
    <t>coral.co.uk irish lottery results</t>
  </si>
  <si>
    <t>dog dream lottery numbers</t>
  </si>
  <si>
    <t>florida lottery - winning numbers pick 3</t>
  </si>
  <si>
    <t>x lotto powerball results</t>
  </si>
  <si>
    <t>saturday lotto superdraw results</t>
  </si>
  <si>
    <t>ca winning lottery numbers</t>
  </si>
  <si>
    <t>mo lottery numbers check tickets</t>
  </si>
  <si>
    <t>orlando lottery results</t>
  </si>
  <si>
    <t>new york cash 3 lottery results</t>
  </si>
  <si>
    <t>usa lottery results today</t>
  </si>
  <si>
    <t>latest health lottery results</t>
  </si>
  <si>
    <t>is it possible to predict lottery numbers</t>
  </si>
  <si>
    <t>venezuela lottery results</t>
  </si>
  <si>
    <t>lottery results for connecticut</t>
  </si>
  <si>
    <t>everybody wins winning numbers today</t>
  </si>
  <si>
    <t>past encore winning numbers</t>
  </si>
  <si>
    <t>results new york state lottery</t>
  </si>
  <si>
    <t>fla lottery winning numbers</t>
  </si>
  <si>
    <t>today island luck winning numbers</t>
  </si>
  <si>
    <t>kerala lottery results today</t>
  </si>
  <si>
    <t>illinois lottery results for today</t>
  </si>
  <si>
    <t>past pick 4 lottery numbers</t>
  </si>
  <si>
    <t>south dakota lottery results</t>
  </si>
  <si>
    <t>6 45 lotto results</t>
  </si>
  <si>
    <t>fantasy 5 winning numbers florida yesterday</t>
  </si>
  <si>
    <t>arizona lottery results</t>
  </si>
  <si>
    <t>florida lotto winning numbers for saturday pick 4</t>
  </si>
  <si>
    <t>irish national lottery results</t>
  </si>
  <si>
    <t>florida lottery fantasy 5 winning numbers history</t>
  </si>
  <si>
    <t>i don't know winning numbers</t>
  </si>
  <si>
    <t>cash 5 winning number</t>
  </si>
  <si>
    <t>usa lotto results history</t>
  </si>
  <si>
    <t>virginia lottery numbers</t>
  </si>
  <si>
    <t>lotto number results</t>
  </si>
  <si>
    <t>www lotto results</t>
  </si>
  <si>
    <t>tuesday lottery results</t>
  </si>
  <si>
    <t>winning pick 2 numbers</t>
  </si>
  <si>
    <t>babyshane swertres lotto results</t>
  </si>
  <si>
    <t>uk lotto results euromillions</t>
  </si>
  <si>
    <t>ny winning numbers today</t>
  </si>
  <si>
    <t>6 49 lottery results</t>
  </si>
  <si>
    <t>winning numbers for the florida lotto</t>
  </si>
  <si>
    <t>lottery results australia</t>
  </si>
  <si>
    <t>winning numbers cash 3 florida lottery pick 3</t>
  </si>
  <si>
    <t>new york midday lottery results</t>
  </si>
  <si>
    <t>virginia lottery winning number</t>
  </si>
  <si>
    <t>new york lottery results florida</t>
  </si>
  <si>
    <t>irish lotto results tonight</t>
  </si>
  <si>
    <t>florida cash 3 winning numbers history</t>
  </si>
  <si>
    <t>dice winning number</t>
  </si>
  <si>
    <t>winning numbers mega million</t>
  </si>
  <si>
    <t>new york lottery results archives</t>
  </si>
  <si>
    <t>oklahoma lottery results</t>
  </si>
  <si>
    <t>find my lottery numbers</t>
  </si>
  <si>
    <t>lottery numbers prediction</t>
  </si>
  <si>
    <t>nh lottery winning numbers</t>
  </si>
  <si>
    <t>oz lotto results tas</t>
  </si>
  <si>
    <t>connecticut winning number</t>
  </si>
  <si>
    <t>dream winning numbers</t>
  </si>
  <si>
    <t>winning pick 3/pick 4 lottery numbers</t>
  </si>
  <si>
    <t>winning florida lotto number</t>
  </si>
  <si>
    <t>france lotto results</t>
  </si>
  <si>
    <t>florida pick 4 winning numbers</t>
  </si>
  <si>
    <t>nc lottery results</t>
  </si>
  <si>
    <t>the irish lottery results please</t>
  </si>
  <si>
    <t>florida lottery pick 4 winning numbers</t>
  </si>
  <si>
    <t>new york pick 3 midday winning numbers</t>
  </si>
  <si>
    <t>florida lottery numbers last night</t>
  </si>
  <si>
    <t>pennsylvania pick 4 past winning numbers</t>
  </si>
  <si>
    <t>irish lottery numbers today</t>
  </si>
  <si>
    <t>fantasy 5 ca lottery winning numbers</t>
  </si>
  <si>
    <t>ga lottery results post</t>
  </si>
  <si>
    <t>x lotto results check ticket</t>
  </si>
  <si>
    <t>mega millions winning numbers for tonight</t>
  </si>
  <si>
    <t>google lottery results</t>
  </si>
  <si>
    <t>national lottery results tonight live</t>
  </si>
  <si>
    <t>wy lottery results</t>
  </si>
  <si>
    <t>pick 2 winning numbers</t>
  </si>
  <si>
    <t>lottery history numbers</t>
  </si>
  <si>
    <t>the uk lottery results</t>
  </si>
  <si>
    <t>calif lotto results</t>
  </si>
  <si>
    <t>most won lottery numbers</t>
  </si>
  <si>
    <t>tn lottery winning numbers</t>
  </si>
  <si>
    <t>lotto results florida lottery</t>
  </si>
  <si>
    <t>north carolina lottery numbers</t>
  </si>
  <si>
    <t>new york lottery lotto results</t>
  </si>
  <si>
    <t>winning numbers today lotto</t>
  </si>
  <si>
    <t>new york lottery winning numbers today</t>
  </si>
  <si>
    <t>winning numbers for ny lottery</t>
  </si>
  <si>
    <t>florida lottery winning numbers fantasy 5</t>
  </si>
  <si>
    <t>lotto winning numbers jamaica</t>
  </si>
  <si>
    <t>lottery nj results</t>
  </si>
  <si>
    <t>supreme ventures lotto results for saturday</t>
  </si>
  <si>
    <t>euro lottery results</t>
  </si>
  <si>
    <t>texas mega millions winning numbers</t>
  </si>
  <si>
    <t>libra lucky lottery numbers</t>
  </si>
  <si>
    <t>lottery new york past results</t>
  </si>
  <si>
    <t>set life lotto results</t>
  </si>
  <si>
    <t>predictions simpsons lottery numbers 2021</t>
  </si>
  <si>
    <t>ok google florida lottery winning numbers</t>
  </si>
  <si>
    <t>irish lotto bet results</t>
  </si>
  <si>
    <t>florida lottery latest results</t>
  </si>
  <si>
    <t>dv lottery 2022 results by country</t>
  </si>
  <si>
    <t>louisiana lottery results post</t>
  </si>
  <si>
    <t>results irish lotto</t>
  </si>
  <si>
    <t>texas pick 4 past winning numbers for today</t>
  </si>
  <si>
    <t>powerball lottery results</t>
  </si>
  <si>
    <t>ny winning lottery numbers</t>
  </si>
  <si>
    <t>the lottery results for last night</t>
  </si>
  <si>
    <t>georgia powerball 2023 winning numbers</t>
  </si>
  <si>
    <t>lottery numbers ny</t>
  </si>
  <si>
    <t>islandluck.com winning numbers island game winning numbers</t>
  </si>
  <si>
    <t>illinois lottery pick 4 evening winning numbers</t>
  </si>
  <si>
    <t>dragon lotto results</t>
  </si>
  <si>
    <t>irish lotto 3 draw results</t>
  </si>
  <si>
    <t>irish lottery results tonight</t>
  </si>
  <si>
    <t>daily winning numbers</t>
  </si>
  <si>
    <t>betfred com irish lottery results</t>
  </si>
  <si>
    <t>california lottery numbers today</t>
  </si>
  <si>
    <t>all or nothing past winning numbers</t>
  </si>
  <si>
    <t>ontario winning lottery numbers</t>
  </si>
  <si>
    <t>www.illinoislottery.com past winning numbers</t>
  </si>
  <si>
    <t>latest nsw lotto results</t>
  </si>
  <si>
    <t>leidsa dominican lottery results</t>
  </si>
  <si>
    <t>49ers lottery results</t>
  </si>
  <si>
    <t>dream book numbers for lottery</t>
  </si>
  <si>
    <t>win 4 winning numbers</t>
  </si>
  <si>
    <t>florida mega millions winning numbers last night</t>
  </si>
  <si>
    <t>winning cash pot numbers</t>
  </si>
  <si>
    <t>winning numbers winning numbers today california</t>
  </si>
  <si>
    <t>hot numbers lottery</t>
  </si>
  <si>
    <t>winning mega millions numbers for last night</t>
  </si>
  <si>
    <t>check dv lottery results</t>
  </si>
  <si>
    <t>lotto check results</t>
  </si>
  <si>
    <t>winning mega million numbers</t>
  </si>
  <si>
    <t>winning numbers for florida lotto</t>
  </si>
  <si>
    <t>all states winning lottery numbers</t>
  </si>
  <si>
    <t>winning mass cash numbers</t>
  </si>
  <si>
    <t>georgia lottery past results</t>
  </si>
  <si>
    <t>most drawn numbers in lottery</t>
  </si>
  <si>
    <t>kansas powerball winning numbers</t>
  </si>
  <si>
    <t>h1b lottery results date</t>
  </si>
  <si>
    <t>ontario lottery numbers</t>
  </si>
  <si>
    <t>lottery post results illinois</t>
  </si>
  <si>
    <t>oz lotto qld results</t>
  </si>
  <si>
    <t>ohio winning lottery numbers</t>
  </si>
  <si>
    <t>canadian lottery numbers</t>
  </si>
  <si>
    <t>south carolina winning lottery number</t>
  </si>
  <si>
    <t>generate lucky lottery numbers</t>
  </si>
  <si>
    <t>greencard lottery results</t>
  </si>
  <si>
    <t>island luck game winning numbers</t>
  </si>
  <si>
    <t>cash 3 winning number</t>
  </si>
  <si>
    <t>californialottery.com winning numbers</t>
  </si>
  <si>
    <t>africa lotto results</t>
  </si>
  <si>
    <t>south carolina lotto results</t>
  </si>
  <si>
    <t>ca lottery daily 3 past winning numbers</t>
  </si>
  <si>
    <t>oz lotto results time</t>
  </si>
  <si>
    <t>lotto results check my numbers</t>
  </si>
  <si>
    <t>veterans lottery results</t>
  </si>
  <si>
    <t>pa lottery numbers past winning number</t>
  </si>
  <si>
    <t>new york lottery live results today</t>
  </si>
  <si>
    <t>hoosier lottery past winning numbers</t>
  </si>
  <si>
    <t>winning number last night</t>
  </si>
  <si>
    <t>winning lotto max numbers</t>
  </si>
  <si>
    <t>sat gold lotto results</t>
  </si>
  <si>
    <t>new york lotto lottery results</t>
  </si>
  <si>
    <t>ny lottery post results today</t>
  </si>
  <si>
    <t>irish daily million lotto results</t>
  </si>
  <si>
    <t>theislandgame lottery numbers</t>
  </si>
  <si>
    <t>bahama dreams winning numbers</t>
  </si>
  <si>
    <t>ny lottery pick 4 results</t>
  </si>
  <si>
    <t>new jersey results lottery</t>
  </si>
  <si>
    <t>national lottery results tonight</t>
  </si>
  <si>
    <t>new york state past winning numbers</t>
  </si>
  <si>
    <t>winning number georgia</t>
  </si>
  <si>
    <t>lottery numbers florida</t>
  </si>
  <si>
    <t>lottery numbers today pick 3</t>
  </si>
  <si>
    <t>cleveland lottery results</t>
  </si>
  <si>
    <t>pick 4 winning numbers pa</t>
  </si>
  <si>
    <t>lotto results tonight uk</t>
  </si>
  <si>
    <t>lottery results for virginia</t>
  </si>
  <si>
    <t>random lottery numbers</t>
  </si>
  <si>
    <t>the lotto winning numbers</t>
  </si>
  <si>
    <t>floridalottery com winning numbers</t>
  </si>
  <si>
    <t>convert dream to lottery numbers</t>
  </si>
  <si>
    <t>island luck lottery results</t>
  </si>
  <si>
    <t>florida powerball winning number</t>
  </si>
  <si>
    <t>fantasy 5 winning numbers michigan</t>
  </si>
  <si>
    <t>nsw lotto results</t>
  </si>
  <si>
    <t>idaho winning lottery numbers</t>
  </si>
  <si>
    <t>lotto animal numbers for lottery</t>
  </si>
  <si>
    <t>mi lottery post results daily 4</t>
  </si>
  <si>
    <t>friday lotto results</t>
  </si>
  <si>
    <t>check winning lottery numbers</t>
  </si>
  <si>
    <t>il lottery results</t>
  </si>
  <si>
    <t>connecticut state lottery results</t>
  </si>
  <si>
    <t>49ers lotto results today</t>
  </si>
  <si>
    <t>new york.lottery winning numbers</t>
  </si>
  <si>
    <t>lotto results uk tonight</t>
  </si>
  <si>
    <t>new mexico lottery winning numbers</t>
  </si>
  <si>
    <t>fantasy 5 past winning numbers 2023 california</t>
  </si>
  <si>
    <t>irish lotto results tonight 3 draws</t>
  </si>
  <si>
    <t>saturday lotto results australia</t>
  </si>
  <si>
    <t>www.calottery.com winning number</t>
  </si>
  <si>
    <t>www island luck winning number</t>
  </si>
  <si>
    <t>quick draw with bullseye winning numbers</t>
  </si>
  <si>
    <t>lottery results uk tonight</t>
  </si>
  <si>
    <t>lucky pick 3 winning numbers</t>
  </si>
  <si>
    <t>tonight's winning lotto numbers</t>
  </si>
  <si>
    <t>www.california lottery winning numbers</t>
  </si>
  <si>
    <t>lottery post dream numbers</t>
  </si>
  <si>
    <t>winning roulette numbers</t>
  </si>
  <si>
    <t>common winning lottery numbers</t>
  </si>
  <si>
    <t>pick winning numbers</t>
  </si>
  <si>
    <t>lotto 649 results</t>
  </si>
  <si>
    <t>virginia winning number</t>
  </si>
  <si>
    <t>winning powerball numbers for tonight</t>
  </si>
  <si>
    <t>california winning lottery ticket numbers</t>
  </si>
  <si>
    <t>wednesday lotto results australia</t>
  </si>
  <si>
    <t>winning numbers for new york lottery</t>
  </si>
  <si>
    <t>new lottery results</t>
  </si>
  <si>
    <t>winning number for lotto</t>
  </si>
  <si>
    <t>pick 3 florida lottery winning numbers today</t>
  </si>
  <si>
    <t>lottery powerball results</t>
  </si>
  <si>
    <t>winning lottery numbers new york</t>
  </si>
  <si>
    <t>today's winning lottery numbers</t>
  </si>
  <si>
    <t>ñagaland state lottery results</t>
  </si>
  <si>
    <t>new jersey lotto winning numbers</t>
  </si>
  <si>
    <t>tri state megabucks past winning numbers</t>
  </si>
  <si>
    <t>state lottery results</t>
  </si>
  <si>
    <t>lottery results west virginia</t>
  </si>
  <si>
    <t>winning lottery numbers for today</t>
  </si>
  <si>
    <t>cash for life winning numbers florida</t>
  </si>
  <si>
    <t>louisiana lotto results</t>
  </si>
  <si>
    <t>missouri lottery pick 3 numbers</t>
  </si>
  <si>
    <t>new york lottery pick 10 results</t>
  </si>
  <si>
    <t>algorithm to predict lottery numbers</t>
  </si>
  <si>
    <t>chicago illinois lottery results</t>
  </si>
  <si>
    <t>results oz lotto</t>
  </si>
  <si>
    <t>alllotto com lottery results</t>
  </si>
  <si>
    <t>monday and wednesday lotto results</t>
  </si>
  <si>
    <t>lotto ny results</t>
  </si>
  <si>
    <t>the irish lottery results for tonight</t>
  </si>
  <si>
    <t>looking for lotto results for yesterday</t>
  </si>
  <si>
    <t>florida winning numbers pick 3</t>
  </si>
  <si>
    <t>illinois lottery results pick 3</t>
  </si>
  <si>
    <t>powerball winning numbers for saturday</t>
  </si>
  <si>
    <t>lotto max results quebec</t>
  </si>
  <si>
    <t>green card lottery results date 2023</t>
  </si>
  <si>
    <t>arkansas lotto winning numbers</t>
  </si>
  <si>
    <t>winning lottery numbers florida</t>
  </si>
  <si>
    <t>use ai to predict lottery numbers</t>
  </si>
  <si>
    <t>alc ca winning numbers 649 yesterday</t>
  </si>
  <si>
    <t>new york lottery past numbers</t>
  </si>
  <si>
    <t>florida powerball lottery results</t>
  </si>
  <si>
    <t>winning ny numbers</t>
  </si>
  <si>
    <t>atlanta lotto results</t>
  </si>
  <si>
    <t>wednesday night gold lotto results</t>
  </si>
  <si>
    <t>france lotto results 2021 today</t>
  </si>
  <si>
    <t>florida pick 4 midday winning numbers</t>
  </si>
  <si>
    <t>texas mega millions past winning numbers</t>
  </si>
  <si>
    <t>florida lotto winning numbers for last night</t>
  </si>
  <si>
    <t>island luck demo winning numbers</t>
  </si>
  <si>
    <t>powerball winning numbers history 2019</t>
  </si>
  <si>
    <t>mass winning numbers</t>
  </si>
  <si>
    <t>florida winning lottery numbers for today</t>
  </si>
  <si>
    <t>playing numbers lottery</t>
  </si>
  <si>
    <t>go lotto results</t>
  </si>
  <si>
    <t>winning numbers of powerball</t>
  </si>
  <si>
    <t>atlantic lottery winning numbers</t>
  </si>
  <si>
    <t>mega millions florida winning numbers</t>
  </si>
  <si>
    <t>ithuba lotto results</t>
  </si>
  <si>
    <t>national lottery uk results</t>
  </si>
  <si>
    <t>indiana state lottery results</t>
  </si>
  <si>
    <t>sure winning numbers for today</t>
  </si>
  <si>
    <t>today lottery results</t>
  </si>
  <si>
    <t>today winning numbers lotto</t>
  </si>
  <si>
    <t>canada lotto max winning numbers</t>
  </si>
  <si>
    <t>www. lotto results</t>
  </si>
  <si>
    <t>www.tnlottery.com winning numbers</t>
  </si>
  <si>
    <t>florida powerball winning numbers history</t>
  </si>
  <si>
    <t>check lottery results</t>
  </si>
  <si>
    <t>powerball california lottery results</t>
  </si>
  <si>
    <t>green card lottery results 2025</t>
  </si>
  <si>
    <t>iowa lotto results</t>
  </si>
  <si>
    <t>georgia lotto cash 3 results</t>
  </si>
  <si>
    <t>florida lottery post results live drawing</t>
  </si>
  <si>
    <t>lottery numbers probability calculator</t>
  </si>
  <si>
    <t>show me winning numbers</t>
  </si>
  <si>
    <t>winning numbers pennsylvania lottery</t>
  </si>
  <si>
    <t>winning numbers on the lottery tonight</t>
  </si>
  <si>
    <t>past winning powerball numbers</t>
  </si>
  <si>
    <t>tonight's english lottery results</t>
  </si>
  <si>
    <t>most common 3 digit lottery numbers</t>
  </si>
  <si>
    <t>new york state lottery results</t>
  </si>
  <si>
    <t>florida lottery latest winning numbers</t>
  </si>
  <si>
    <t>spanish lottery results betfred</t>
  </si>
  <si>
    <t>polish lotto results</t>
  </si>
  <si>
    <t>florida lottery post winning numbers</t>
  </si>
  <si>
    <t>ca lotto results</t>
  </si>
  <si>
    <t>dreams interpretation and lottery numbers</t>
  </si>
  <si>
    <t>astrology lottery numbers</t>
  </si>
  <si>
    <t>megamillion winning numbers</t>
  </si>
  <si>
    <t>tennesse lottery results</t>
  </si>
  <si>
    <t>latest oz lotto results</t>
  </si>
  <si>
    <t>jackpot triple play winning numbers history</t>
  </si>
  <si>
    <t>winning ohio lottery numbers</t>
  </si>
  <si>
    <t>illinois lottery illinois lottery results</t>
  </si>
  <si>
    <t>green card lottery 2020 results</t>
  </si>
  <si>
    <t>florida lotto winning numbers for today</t>
  </si>
  <si>
    <t>chicago lotto post results</t>
  </si>
  <si>
    <t>lottery numbers irish</t>
  </si>
  <si>
    <t>kentucky mega millions winning numbers</t>
  </si>
  <si>
    <t>lotto max past winning numbers</t>
  </si>
  <si>
    <t>california results lottery</t>
  </si>
  <si>
    <t>newyork lottery results</t>
  </si>
  <si>
    <t>new york winning numbers and results</t>
  </si>
  <si>
    <t>florida fantasy 5 winning numbers for tonight</t>
  </si>
  <si>
    <t>powerball lottery results last night</t>
  </si>
  <si>
    <t>german lottery results</t>
  </si>
  <si>
    <t>mhada lottery 2024 results</t>
  </si>
  <si>
    <t>california (ca) lottery results | lottery post</t>
  </si>
  <si>
    <t>state lottery: pick 3 results</t>
  </si>
  <si>
    <t>chicago lottery results for today</t>
  </si>
  <si>
    <t>ai winning lottery numbers</t>
  </si>
  <si>
    <t>powerball winning numbers 2020</t>
  </si>
  <si>
    <t>kentucky powerball winning numbers</t>
  </si>
  <si>
    <t>california lottery fantasy 5 past results</t>
  </si>
  <si>
    <t>arkansas lottery results pick 3</t>
  </si>
  <si>
    <t>idaho lottery pick 3 winning numbers</t>
  </si>
  <si>
    <t>powerball winning numbers new york</t>
  </si>
  <si>
    <t>pick 3 lottery bible numbers for today</t>
  </si>
  <si>
    <t>florida powerball winning numbers last night</t>
  </si>
  <si>
    <t>raffle winning numbers</t>
  </si>
  <si>
    <t>qld lotto results</t>
  </si>
  <si>
    <t>today lotto results in ghana</t>
  </si>
  <si>
    <t>lottery ireland results</t>
  </si>
  <si>
    <t>winning numbers winning numbers tonight</t>
  </si>
  <si>
    <t>lotto results nsw wednesday</t>
  </si>
  <si>
    <t>lotto results uk</t>
  </si>
  <si>
    <t>nsw lottery results lucky lotteries</t>
  </si>
  <si>
    <t>california lottery numbers for today</t>
  </si>
  <si>
    <t>ny lottery today's winning numbers</t>
  </si>
  <si>
    <t>win 4 evening pick 3 evening ny lottery results</t>
  </si>
  <si>
    <t>florida powerball winning numbers saturday</t>
  </si>
  <si>
    <t>florida lottery results florida lottery results</t>
  </si>
  <si>
    <t>mass lottery winning numbers evening</t>
  </si>
  <si>
    <t>georgia lottery winning numbers post results</t>
  </si>
  <si>
    <t>michigan lottery winning numbers</t>
  </si>
  <si>
    <t>cash 4 life winning numbers history</t>
  </si>
  <si>
    <t>tonights lottery numbers</t>
  </si>
  <si>
    <t>best lottery numbers</t>
  </si>
  <si>
    <t>post code lottery results today</t>
  </si>
  <si>
    <t>georgia lottery results for tonight</t>
  </si>
  <si>
    <t>tattslotto results oz lotto</t>
  </si>
  <si>
    <t>winning mega ball numbers</t>
  </si>
  <si>
    <t>winning pick 3 pick 4 lottery numbers</t>
  </si>
  <si>
    <t>h1b visa lottery results 2024</t>
  </si>
  <si>
    <t>irish lottery 49s latest results</t>
  </si>
  <si>
    <t>new york pick 10 winning numbers</t>
  </si>
  <si>
    <t>new york (ny) lottery results | lottery post</t>
  </si>
  <si>
    <t>oregon lottery numbers</t>
  </si>
  <si>
    <t>illinois lottery pick 4 hot numbers</t>
  </si>
  <si>
    <t>daily 3 winning numbers california</t>
  </si>
  <si>
    <t>ohio lottery past winning numbers</t>
  </si>
  <si>
    <t>national lottery results checker</t>
  </si>
  <si>
    <t>maine lottery winning numbers</t>
  </si>
  <si>
    <t>ny lottery payout for 4 numbers</t>
  </si>
  <si>
    <t>the pick 3 winning numbers today</t>
  </si>
  <si>
    <t>lottery 49s latest results</t>
  </si>
  <si>
    <t>nc lottery numbers</t>
  </si>
  <si>
    <t>lotto results irish</t>
  </si>
  <si>
    <t>lucky dream lottery numbers book</t>
  </si>
  <si>
    <t>cash for life winning numbers today</t>
  </si>
  <si>
    <t>california lotto results</t>
  </si>
  <si>
    <t>co lottery winning numbers</t>
  </si>
  <si>
    <t>latest betfred lotto results</t>
  </si>
  <si>
    <t>irish lottery results today</t>
  </si>
  <si>
    <t>six lucky numbers to win the lottery uk</t>
  </si>
  <si>
    <t>flalottery winning number</t>
  </si>
  <si>
    <t>www lottery results today</t>
  </si>
  <si>
    <t>last year winning numbers</t>
  </si>
  <si>
    <t>florida lottery winning numbers powerball</t>
  </si>
  <si>
    <t>best winning lottery numbers</t>
  </si>
  <si>
    <t>winning take 5 numbers</t>
  </si>
  <si>
    <t>kerala lottery guessing tomorrow last 3 numbers</t>
  </si>
  <si>
    <t>lottery georgia results today</t>
  </si>
  <si>
    <t>everybody wins winning number</t>
  </si>
  <si>
    <t>chances winning numbers login app</t>
  </si>
  <si>
    <t>va lottery results today</t>
  </si>
  <si>
    <t>thunderball lottery results tonight</t>
  </si>
  <si>
    <t>saturday cross lotto results</t>
  </si>
  <si>
    <t>virginia lottery winning numbers for today</t>
  </si>
  <si>
    <t>islandluck winning numbers island</t>
  </si>
  <si>
    <t>west virginia winning lottery numbers</t>
  </si>
  <si>
    <t>new jersey lottery post results</t>
  </si>
  <si>
    <t>daily lotto results</t>
  </si>
  <si>
    <t>superball keno winning numbers</t>
  </si>
  <si>
    <t>new mexico lottery post results</t>
  </si>
  <si>
    <t>olg ca winning numbers</t>
  </si>
  <si>
    <t>lottery post florida results</t>
  </si>
  <si>
    <t>florida lotto 6/53 results</t>
  </si>
  <si>
    <t>oh lottery results</t>
  </si>
  <si>
    <t>mega millions lottery results history</t>
  </si>
  <si>
    <t>irish lottery results please</t>
  </si>
  <si>
    <t>illinois lottery results for saturday</t>
  </si>
  <si>
    <t>louisiana lottery winning numbers post</t>
  </si>
  <si>
    <t>world wide lottery results</t>
  </si>
  <si>
    <t>national winning numbers</t>
  </si>
  <si>
    <t>pick-3 pick-4 winning numbers</t>
  </si>
  <si>
    <t>pcso lotto results</t>
  </si>
  <si>
    <t>most winning lottery numbers 2020</t>
  </si>
  <si>
    <t>florida lottery numbers pick 3</t>
  </si>
  <si>
    <t>last nights irish lottery numbers</t>
  </si>
  <si>
    <t>winning numbers for new york state lottery</t>
  </si>
  <si>
    <t>most common lottery numbers drawn together 2020</t>
  </si>
  <si>
    <t>last night florida lotto winning numbers</t>
  </si>
  <si>
    <t>daily irish lottery results</t>
  </si>
  <si>
    <t>indiana lottery results post</t>
  </si>
  <si>
    <t>next winning numbers</t>
  </si>
  <si>
    <t>numbers to win the lottery</t>
  </si>
  <si>
    <t>lotto america idaho winning numbers</t>
  </si>
  <si>
    <t>lottery results irish</t>
  </si>
  <si>
    <t>december lottery numbers</t>
  </si>
  <si>
    <t>arizona lottery winning numbers</t>
  </si>
  <si>
    <t>google lotto results</t>
  </si>
  <si>
    <t>nassau games winning numbers url</t>
  </si>
  <si>
    <t>lotto nsw results</t>
  </si>
  <si>
    <t>winning numbers for yesterday</t>
  </si>
  <si>
    <t>my winning lottery numbers</t>
  </si>
  <si>
    <t>uk lotto results today live</t>
  </si>
  <si>
    <t>lottery numbers to play today</t>
  </si>
  <si>
    <t>pa lottery winning numbers</t>
  </si>
  <si>
    <t>illinois state lottery numbers</t>
  </si>
  <si>
    <t>lotto results today wednesday night</t>
  </si>
  <si>
    <t>winning numbers california</t>
  </si>
  <si>
    <t>missouri lottery results and winning numbers</t>
  </si>
  <si>
    <t>dv lottery 2022 results check</t>
  </si>
  <si>
    <t>pa past winning numbers</t>
  </si>
  <si>
    <t>georgia lottery past winning numbers</t>
  </si>
  <si>
    <t>649 winning numbers history</t>
  </si>
  <si>
    <t>florida lottery results pick 3</t>
  </si>
  <si>
    <t>winning numbers for the lottery tonight</t>
  </si>
  <si>
    <t>california lottery ticket numbers</t>
  </si>
  <si>
    <t>winning numbers for yesterday in ghana</t>
  </si>
  <si>
    <t>florida lotto winning number today</t>
  </si>
  <si>
    <t>texas lottery results daily 4</t>
  </si>
  <si>
    <t>colorado winning lottery numbers</t>
  </si>
  <si>
    <t>winning lottery ticket numbers</t>
  </si>
  <si>
    <t>minnesota winning lottery numbers</t>
  </si>
  <si>
    <t>hotspot winning numbers</t>
  </si>
  <si>
    <t>maryland lottery pick 3 results</t>
  </si>
  <si>
    <t>pennsylvania lottery results winning numbers</t>
  </si>
  <si>
    <t>tonight's irish lottery results 3 draws</t>
  </si>
  <si>
    <t>lotto results euromillions uk</t>
  </si>
  <si>
    <t>lucky numbers for 2023 lottery today</t>
  </si>
  <si>
    <t>illinois lottery pick 3 and pick 4 results post</t>
  </si>
  <si>
    <t>tri state lottery results</t>
  </si>
  <si>
    <t>the powerball winning number</t>
  </si>
  <si>
    <t>calottery.com winning number</t>
  </si>
  <si>
    <t>pick 3 lotto results today</t>
  </si>
  <si>
    <t>pick 4 past winning numbers</t>
  </si>
  <si>
    <t>mo lottery winning numbers</t>
  </si>
  <si>
    <t>lottery past results</t>
  </si>
  <si>
    <t>ny winning number</t>
  </si>
  <si>
    <t>greek lottery results</t>
  </si>
  <si>
    <t>keno lotto winning numbers</t>
  </si>
  <si>
    <t>winning california lottery numbers</t>
  </si>
  <si>
    <t>lottery new jersey lottery results</t>
  </si>
  <si>
    <t>florida lottery winning numbers search</t>
  </si>
  <si>
    <t>national winning number</t>
  </si>
  <si>
    <t>iowa lottery results</t>
  </si>
  <si>
    <t>lottery numbers new york lottery numbers</t>
  </si>
  <si>
    <t>nc education lottery winning numbers</t>
  </si>
  <si>
    <t>new york pick 4 winning numbers</t>
  </si>
  <si>
    <t>nassau games com winning numbers</t>
  </si>
  <si>
    <t>florida powerball winning numbers tonight</t>
  </si>
  <si>
    <t>nassau winning number</t>
  </si>
  <si>
    <t>keno olg winning numbers</t>
  </si>
  <si>
    <t>last night's irish lotto results</t>
  </si>
  <si>
    <t>last night lottery numbers</t>
  </si>
  <si>
    <t>island luck winning number for</t>
  </si>
  <si>
    <t>pennsylvania lottery pick 4 results</t>
  </si>
  <si>
    <t>ohio lottery pick 3 4 results</t>
  </si>
  <si>
    <t>lotteries winning numbers</t>
  </si>
  <si>
    <t>give me the winning powerball numbers</t>
  </si>
  <si>
    <t>ny state lottery results</t>
  </si>
  <si>
    <t>pick 3 triples chart winning numbers</t>
  </si>
  <si>
    <t>arkansas cash 4 winning numbers</t>
  </si>
  <si>
    <t>winning lucky numbers for today</t>
  </si>
  <si>
    <t>most recurring lottery numbers</t>
  </si>
  <si>
    <t>connecticut lottery winning numbers</t>
  </si>
  <si>
    <t>nj lottery post results</t>
  </si>
  <si>
    <t>florida lottery winning numbers pick 3</t>
  </si>
  <si>
    <t>north carolina lottery winning numbers</t>
  </si>
  <si>
    <t>what's the winning numbers</t>
  </si>
  <si>
    <t>freeport winning numbers</t>
  </si>
  <si>
    <t>english lotto numbers results</t>
  </si>
  <si>
    <t>island luck bahamas winning numbers</t>
  </si>
  <si>
    <t>powerball winning numbers california</t>
  </si>
  <si>
    <t>www nassau games winning numbers com</t>
  </si>
  <si>
    <t>illinois lottery past winning numbers pick 3</t>
  </si>
  <si>
    <t>us visa lottery 2023 results</t>
  </si>
  <si>
    <t>florida winning fantasy 5 numbers</t>
  </si>
  <si>
    <t>winning numbers please</t>
  </si>
  <si>
    <t>ny past winning numbers</t>
  </si>
  <si>
    <t>649 lottery winning numbers</t>
  </si>
  <si>
    <t>la lottery results</t>
  </si>
  <si>
    <t>nassau games winning numbers island luck winning</t>
  </si>
  <si>
    <t>diversity lottery results</t>
  </si>
  <si>
    <t>lottery pick 3 winning numbers</t>
  </si>
  <si>
    <t>powerball winning number for saturday night</t>
  </si>
  <si>
    <t>cross lotto results</t>
  </si>
  <si>
    <t>i don't luck winning numbers</t>
  </si>
  <si>
    <t>pcso lotto results today</t>
  </si>
  <si>
    <t>lottario winning numbers last night</t>
  </si>
  <si>
    <t>new jersey lottery winning numbers</t>
  </si>
  <si>
    <t>lottery and raffle results</t>
  </si>
  <si>
    <t>tennessee lottery results today</t>
  </si>
  <si>
    <t>maryland lottery number results</t>
  </si>
  <si>
    <t>winning numbers winning numbers today florida evening</t>
  </si>
  <si>
    <t>florida lotto double play winning numbers</t>
  </si>
  <si>
    <t>lotto latest results</t>
  </si>
  <si>
    <t>best lottery numbers to pick 2023</t>
  </si>
  <si>
    <t>pick 5 past winning numbers</t>
  </si>
  <si>
    <t>new york lottery results for today midday</t>
  </si>
  <si>
    <t>past daily 4 winning numbers</t>
  </si>
  <si>
    <t>pa lottery results post</t>
  </si>
  <si>
    <t>florida winning lottery numbers results</t>
  </si>
  <si>
    <t>coral irish lottery results 3 draws</t>
  </si>
  <si>
    <t>texas lottery winning numbers</t>
  </si>
  <si>
    <t>pa lottery cash 5 results today</t>
  </si>
  <si>
    <t>super lotto winning number</t>
  </si>
  <si>
    <t>winning number please</t>
  </si>
  <si>
    <t>good luck winning numbers</t>
  </si>
  <si>
    <t>florida lottery results pick 3 pick 4</t>
  </si>
  <si>
    <t>winning numbers lottery</t>
  </si>
  <si>
    <t>daily lotto results 2021</t>
  </si>
  <si>
    <t>winning numbers tennessee lottery</t>
  </si>
  <si>
    <t>tonights lotto results</t>
  </si>
  <si>
    <t>island game winning numbers today</t>
  </si>
  <si>
    <t>pick 6 winning numbers</t>
  </si>
  <si>
    <t>nlcb lotto plus results</t>
  </si>
  <si>
    <t>last night winning numbers</t>
  </si>
  <si>
    <t>fantasy five california winning number</t>
  </si>
  <si>
    <t>north carolina winning numbers</t>
  </si>
  <si>
    <t>new york state lottery winnings and results</t>
  </si>
  <si>
    <t>jamaica lottery winning numbers</t>
  </si>
  <si>
    <t>minnesota lottery winning numbers</t>
  </si>
  <si>
    <t>fla winning numbers</t>
  </si>
  <si>
    <t>results lottery ny</t>
  </si>
  <si>
    <t>oregon lotto results</t>
  </si>
  <si>
    <t>quick draw lottery numbers</t>
  </si>
  <si>
    <t>49ers lotto results</t>
  </si>
  <si>
    <t>florida lottery results for yesterday</t>
  </si>
  <si>
    <t>results lottery chicago</t>
  </si>
  <si>
    <t>florida pick 3 midday winning numbers pick 4</t>
  </si>
  <si>
    <t>lotto powerball results</t>
  </si>
  <si>
    <t>il winning lottery numbers</t>
  </si>
  <si>
    <t>super lotto past winning numbers</t>
  </si>
  <si>
    <t>angel numbers for winning lottery</t>
  </si>
  <si>
    <t>asurewin winning numbers today show</t>
  </si>
  <si>
    <t>irish lottery results all draws</t>
  </si>
  <si>
    <t>call winning number</t>
  </si>
  <si>
    <t>dominican lottery numbers</t>
  </si>
  <si>
    <t>euro lottery numbers</t>
  </si>
  <si>
    <t>dream about lottery numbers</t>
  </si>
  <si>
    <t>indiana pick 4 midday winning numbers</t>
  </si>
  <si>
    <t>california lottery post winning numbers</t>
  </si>
  <si>
    <t>lottery results for yesterday</t>
  </si>
  <si>
    <t>island luck login winning numbers today</t>
  </si>
  <si>
    <t>49s lottery latest results</t>
  </si>
  <si>
    <t>illinois lotto results</t>
  </si>
  <si>
    <t>lottery posts wrong numbers</t>
  </si>
  <si>
    <t>spanish lottery results for saturday</t>
  </si>
  <si>
    <t>islandluck login winning numbers island luck</t>
  </si>
  <si>
    <t>powerball history winning numbers</t>
  </si>
  <si>
    <t>ontario 49 winning numbers</t>
  </si>
  <si>
    <t>france lottery results</t>
  </si>
  <si>
    <t>colorado pick 3 winning numbers</t>
  </si>
  <si>
    <t>washington dc lottery results</t>
  </si>
  <si>
    <t>florida lotto cash 3 play 4 results</t>
  </si>
  <si>
    <t>ca lottery pick 3 and 4 results</t>
  </si>
  <si>
    <t>last night's florida lottery numbers</t>
  </si>
  <si>
    <t>winning number for yesterday</t>
  </si>
  <si>
    <t>numbers to play for lottery</t>
  </si>
  <si>
    <t>ca lottery winning numbers post</t>
  </si>
  <si>
    <t>tiraj rapid florida winning numbers</t>
  </si>
  <si>
    <t>winning numbers for cash4life</t>
  </si>
  <si>
    <t>new york lottery latest winning numbers</t>
  </si>
  <si>
    <t>649 lotto results</t>
  </si>
  <si>
    <t>alc winning numbers</t>
  </si>
  <si>
    <t>today pick 3 va lottery results</t>
  </si>
  <si>
    <t>winning numbers lotto</t>
  </si>
  <si>
    <t>idaho lottery numbers</t>
  </si>
  <si>
    <t>washington keno winning numbers</t>
  </si>
  <si>
    <t>winning number for new york lottery</t>
  </si>
  <si>
    <t>b island luck winning numbers /b</t>
  </si>
  <si>
    <t>camelot lottery results</t>
  </si>
  <si>
    <t>flowers winning numbers today live</t>
  </si>
  <si>
    <t>lotto results lottery results</t>
  </si>
  <si>
    <t>de lottery past winning numbers</t>
  </si>
  <si>
    <t>results of illinois state lottery</t>
  </si>
  <si>
    <t>winning ohio lottery number</t>
  </si>
  <si>
    <t>new york state lottery winning results</t>
  </si>
  <si>
    <t>el gordo lottery results</t>
  </si>
  <si>
    <t>postcode lottery results</t>
  </si>
  <si>
    <t>lucky lotto winning numbers</t>
  </si>
  <si>
    <t>new jersey winning lottery numbers</t>
  </si>
  <si>
    <t>scorpio lucky lottery numbers</t>
  </si>
  <si>
    <t>pa lottery pick 3 evening past results</t>
  </si>
  <si>
    <t>nj lottery winning numbers</t>
  </si>
  <si>
    <t>ghana lottery results</t>
  </si>
  <si>
    <t>the national lottery results</t>
  </si>
  <si>
    <t>florida winning numbers by date</t>
  </si>
  <si>
    <t>florida winning numbers results</t>
  </si>
  <si>
    <t>colorado lottery numbers</t>
  </si>
  <si>
    <t>ohio lottery powerball numbers</t>
  </si>
  <si>
    <t>lottery florida past results</t>
  </si>
  <si>
    <t>powerball results florida lottery</t>
  </si>
  <si>
    <t>google lottery winning numbers</t>
  </si>
  <si>
    <t>lucky winning numbers</t>
  </si>
  <si>
    <t>florida lottery pick 3 past winning numbers</t>
  </si>
  <si>
    <t>fl winning numbers</t>
  </si>
  <si>
    <t>golden chance winning numbers</t>
  </si>
  <si>
    <t>simpsons lottery numbers 2022</t>
  </si>
  <si>
    <t>illinois winning lottery numbers for today</t>
  </si>
  <si>
    <t>saturday night cross lotto results</t>
  </si>
  <si>
    <t>co lottery numbers</t>
  </si>
  <si>
    <t>winning numbers florida lottery winning numbers</t>
  </si>
  <si>
    <t>todays winning lottery numbers</t>
  </si>
  <si>
    <t>winning pick 3 &amp; pick 4 lottery numbers</t>
  </si>
  <si>
    <t>new york lottery pick 3 past winning numbers</t>
  </si>
  <si>
    <t>today's winning number</t>
  </si>
  <si>
    <t>fantasy 5 california lottery results</t>
  </si>
  <si>
    <t>ny. lottery results</t>
  </si>
  <si>
    <t>ultra game winning numbers today</t>
  </si>
  <si>
    <t>ultra lotto winning numbers</t>
  </si>
  <si>
    <t>powerball past winning numbers pa</t>
  </si>
  <si>
    <t>irish lottery plus 1+2 results</t>
  </si>
  <si>
    <t>virginia powerball winning numbers</t>
  </si>
  <si>
    <t>paradise lotto winning numbers yesterday</t>
  </si>
  <si>
    <t>lotto winning numbers yesterday</t>
  </si>
  <si>
    <t>lottery ticket winning numbers</t>
  </si>
  <si>
    <t>top winning lottery numbers</t>
  </si>
  <si>
    <t>gimme 5 winning numbers nh</t>
  </si>
  <si>
    <t>quebec lotto results</t>
  </si>
  <si>
    <t>michigan daily lottery results</t>
  </si>
  <si>
    <t>ontario 49 winning numbers lotto lore</t>
  </si>
  <si>
    <t>aries lucky lottery numbers for today</t>
  </si>
  <si>
    <t>nylottery.ny.gov/past-winning-numbers</t>
  </si>
  <si>
    <t>maryland winning lottery number</t>
  </si>
  <si>
    <t>lottery numbers for june 12th</t>
  </si>
  <si>
    <t>lotto california results</t>
  </si>
  <si>
    <t>new york pick 4 midday winning numbers</t>
  </si>
  <si>
    <t>olg winning number</t>
  </si>
  <si>
    <t>5 numbers on pick 10 ny lottery</t>
  </si>
  <si>
    <t>pick 2 lottery winning numbers</t>
  </si>
  <si>
    <t>florida lottery winning numbers pick 4</t>
  </si>
  <si>
    <t>florida lottery winning number history pdf</t>
  </si>
  <si>
    <t>california past winning lottery numbers</t>
  </si>
  <si>
    <t>ga lottery winning numbers archive</t>
  </si>
  <si>
    <t>superlotto plus past winning numbers</t>
  </si>
  <si>
    <t>fantasy 5 ca winning numbers</t>
  </si>
  <si>
    <t>lottery numbers 3 digit</t>
  </si>
  <si>
    <t>ct lottery winning numbers</t>
  </si>
  <si>
    <t>winning numbers island luck winning numbers today</t>
  </si>
  <si>
    <t>lotto winning numbers california</t>
  </si>
  <si>
    <t>tonight's winning lottery numbers</t>
  </si>
  <si>
    <t>texas lottery pick 3 winning numbers</t>
  </si>
  <si>
    <t>winning lottery numbers in new york</t>
  </si>
  <si>
    <t>pa past winning lottery numbers</t>
  </si>
  <si>
    <t>lotto results for sa</t>
  </si>
  <si>
    <t>play 5 winning numbers</t>
  </si>
  <si>
    <t>lucky lottery numbers for pisces</t>
  </si>
  <si>
    <t>winning horoscope numbers</t>
  </si>
  <si>
    <t>lotto plus results history</t>
  </si>
  <si>
    <t>do lottery numbers have to be in order</t>
  </si>
  <si>
    <t>puerto rico lottery numbers</t>
  </si>
  <si>
    <t>betfred irish lottery results tonight</t>
  </si>
  <si>
    <t>results for florida lottery</t>
  </si>
  <si>
    <t>florida lottery numbers winning numbers</t>
  </si>
  <si>
    <t>results georgia lottery</t>
  </si>
  <si>
    <t>new york lottery winning numbers history</t>
  </si>
  <si>
    <t>n y lottery numbers</t>
  </si>
  <si>
    <t>most hit lottery numbers</t>
  </si>
  <si>
    <t>us lotto winning numbers</t>
  </si>
  <si>
    <t>lottery uk results checker</t>
  </si>
  <si>
    <t>lottery results new york lottery results</t>
  </si>
  <si>
    <t>winning numbers south carolina</t>
  </si>
  <si>
    <t>show me cash winning numbers</t>
  </si>
  <si>
    <t>illinois winning lottery results</t>
  </si>
  <si>
    <t>euromillions lotto results</t>
  </si>
  <si>
    <t>arizona lotto results</t>
  </si>
  <si>
    <t>winning lottery powerball numbers</t>
  </si>
  <si>
    <t>illinois lotto past winning numbers</t>
  </si>
  <si>
    <t>lottery post numbers</t>
  </si>
  <si>
    <t>us lottery numbers</t>
  </si>
  <si>
    <t>monday lotto results</t>
  </si>
  <si>
    <t>n c lottery results</t>
  </si>
  <si>
    <t>lottery california numbers</t>
  </si>
  <si>
    <t>wednesday winning lotto numbers</t>
  </si>
  <si>
    <t>fantasy 5 lottery numbers</t>
  </si>
  <si>
    <t>florida lotteries winning numbers</t>
  </si>
  <si>
    <t>ga lottery results</t>
  </si>
  <si>
    <t>south carolina winning number</t>
  </si>
  <si>
    <t>lottery texas results</t>
  </si>
  <si>
    <t>florida mega millions winning numbers tonight</t>
  </si>
  <si>
    <t>winning numbers for powerball</t>
  </si>
  <si>
    <t>super jackpot lottery results</t>
  </si>
  <si>
    <t>lottery america results</t>
  </si>
  <si>
    <t>dv lottery 2017 results by country</t>
  </si>
  <si>
    <t>last lottery numbers</t>
  </si>
  <si>
    <t>the winning numbers</t>
  </si>
  <si>
    <t>6/49 winning number</t>
  </si>
  <si>
    <t>paradise games winning numbers history</t>
  </si>
  <si>
    <t>louisiana winning numbers</t>
  </si>
  <si>
    <t>fl lottery results post</t>
  </si>
  <si>
    <t>jackpot winning numbers</t>
  </si>
  <si>
    <t>texas lottery results today</t>
  </si>
  <si>
    <t>ny past lottery results</t>
  </si>
  <si>
    <t>national lottery numbers for saturday</t>
  </si>
  <si>
    <t>www illinois lottery com results</t>
  </si>
  <si>
    <t>texas lotto results</t>
  </si>
  <si>
    <t>all lottery results today</t>
  </si>
  <si>
    <t>lottery dream book numbers free download</t>
  </si>
  <si>
    <t>daily lotto results history</t>
  </si>
  <si>
    <t>fl mega millions winning numbers</t>
  </si>
  <si>
    <t>sat gold lotto results qld</t>
  </si>
  <si>
    <t>free lottery results</t>
  </si>
  <si>
    <t>new york lottery results post</t>
  </si>
  <si>
    <t>past pick 3 winning numbers</t>
  </si>
  <si>
    <t>premium bonds winning numbers</t>
  </si>
  <si>
    <t>ca lottery mega millions past winning numbers</t>
  </si>
  <si>
    <t>lottery winning number for today</t>
  </si>
  <si>
    <t>florida lottery pick 4 results</t>
  </si>
  <si>
    <t>most used lottery numbers</t>
  </si>
  <si>
    <t>www national lottery co uk results</t>
  </si>
  <si>
    <t>pick 3 winning numbers louisiana</t>
  </si>
  <si>
    <t>take 5 past winning numbers payout</t>
  </si>
  <si>
    <t>tonight's irish lottery results</t>
  </si>
  <si>
    <t>texas lottery pick 3 daily 4 results</t>
  </si>
  <si>
    <t>oz lotto results history</t>
  </si>
  <si>
    <t>lotto post results</t>
  </si>
  <si>
    <t>lotto max winning numbers manitoba</t>
  </si>
  <si>
    <t>ct lottery check numbers</t>
  </si>
  <si>
    <t>island lottery results</t>
  </si>
  <si>
    <t>lottery numbers lottery numbers</t>
  </si>
  <si>
    <t>lotto 49 results</t>
  </si>
  <si>
    <t>lotto plus 1 results</t>
  </si>
  <si>
    <t>cash 5 winning numbers for today</t>
  </si>
  <si>
    <t>powerball number winning number</t>
  </si>
  <si>
    <t>latest french lotto results</t>
  </si>
  <si>
    <t>oz lotto victoria results</t>
  </si>
  <si>
    <t>illinois lottery winning results</t>
  </si>
  <si>
    <t>lottery florida winning numbers</t>
  </si>
  <si>
    <t>new mexico lottery numbers</t>
  </si>
  <si>
    <t>lottery numbers with highest probability</t>
  </si>
  <si>
    <t>gold lotto oz lotto results</t>
  </si>
  <si>
    <t>irish lottery results tonight 3 draws</t>
  </si>
  <si>
    <t>florida lottery history numbers</t>
  </si>
  <si>
    <t>winning illinois lottery numbers</t>
  </si>
  <si>
    <t>evening pick 3 evening ny lottery results</t>
  </si>
  <si>
    <t>google florida lottery winning numbers</t>
  </si>
  <si>
    <t>michigan lottery club keno past winning numbers</t>
  </si>
  <si>
    <t>lottery ticket numbers for tonight</t>
  </si>
  <si>
    <t>mega millions winning numbers for friday</t>
  </si>
  <si>
    <t>irish lotto results twitter</t>
  </si>
  <si>
    <t>georgia mega million winning numbers</t>
  </si>
  <si>
    <t>california winning lotto numbers</t>
  </si>
  <si>
    <t>mdlottery.com winning numbers</t>
  </si>
  <si>
    <t>new york quick draw winning numbers</t>
  </si>
  <si>
    <t>most common pick 3 lottery numbers</t>
  </si>
  <si>
    <t>lottery maryland winning numbers</t>
  </si>
  <si>
    <t>atlanta lottery winning numbers</t>
  </si>
  <si>
    <t>irish lotto results 49s</t>
  </si>
  <si>
    <t>florida lottery.com winning numbers</t>
  </si>
  <si>
    <t>powerball florida lottery results</t>
  </si>
  <si>
    <t>lotto max jackpot winning numbers</t>
  </si>
  <si>
    <t>oz lotto results brisbane</t>
  </si>
  <si>
    <t>play four winning numbers</t>
  </si>
  <si>
    <t>dv lottery 2016 results by country</t>
  </si>
  <si>
    <t>florida lottery winning number today</t>
  </si>
  <si>
    <t>powerball georgia past winning numbers</t>
  </si>
  <si>
    <t>chicago lottery results winning numbers</t>
  </si>
  <si>
    <t>illinois lottery past numbers</t>
  </si>
  <si>
    <t>nassau games winning number</t>
  </si>
  <si>
    <t>sc lottery results winning numbers</t>
  </si>
  <si>
    <t>fantasy 5 past winning numbers mi</t>
  </si>
  <si>
    <t>nyc numbers lottery</t>
  </si>
  <si>
    <t>l lottery results</t>
  </si>
  <si>
    <t>illinois (il) lottery results | lottery post</t>
  </si>
  <si>
    <t>irish lottery results i</t>
  </si>
  <si>
    <t>post lottery results</t>
  </si>
  <si>
    <t>carolina lottery numbers</t>
  </si>
  <si>
    <t>thunderball lotto results tonight</t>
  </si>
  <si>
    <t>lottery results south carolina</t>
  </si>
  <si>
    <t>past florida lottery numbers</t>
  </si>
  <si>
    <t>nevada lottery winning numbers</t>
  </si>
  <si>
    <t>irish euro lottery results</t>
  </si>
  <si>
    <t>lottery results hot picks</t>
  </si>
  <si>
    <t>lottery georgia lottery results</t>
  </si>
  <si>
    <t>lottery winners numbers</t>
  </si>
  <si>
    <t>lottery 6 numbers</t>
  </si>
  <si>
    <t>lucky 5 winning numbers</t>
  </si>
  <si>
    <t>daily winning number</t>
  </si>
  <si>
    <t>lottery results florida</t>
  </si>
  <si>
    <t>green card lottery results for 2022</t>
  </si>
  <si>
    <t>surewin winning numbers</t>
  </si>
  <si>
    <t>play winning numbers</t>
  </si>
  <si>
    <t>irish lottery numbers all 3 draws</t>
  </si>
  <si>
    <t>illinois lotto winning number</t>
  </si>
  <si>
    <t>quick draw evening winning numbers</t>
  </si>
  <si>
    <t>lottery lottery results</t>
  </si>
  <si>
    <t>new jersey lottery numbers for today</t>
  </si>
  <si>
    <t>montana lottery results</t>
  </si>
  <si>
    <t>fla.lotto winning numbers</t>
  </si>
  <si>
    <t>mega millions ca lottery winning numbers</t>
  </si>
  <si>
    <t>winning powerball lottery numbers</t>
  </si>
  <si>
    <t>indiana lottery numbers for today</t>
  </si>
  <si>
    <t>past winning ohio lottery numbers</t>
  </si>
  <si>
    <t>new jersey state lottery results</t>
  </si>
  <si>
    <t>illinois lottery results post pick 3</t>
  </si>
  <si>
    <t>betfred spanish lottery results checker</t>
  </si>
  <si>
    <t>lottery results for nj</t>
  </si>
  <si>
    <t>yesterday lotto results</t>
  </si>
  <si>
    <t>pa winning numbers</t>
  </si>
  <si>
    <t>powerball winning numbers tonight 2024</t>
  </si>
  <si>
    <t>lotto max winning numbers atlantic canada</t>
  </si>
  <si>
    <t>lottery number winning numbers</t>
  </si>
  <si>
    <t>the spanish lottery results</t>
  </si>
  <si>
    <t>31st lotto results</t>
  </si>
  <si>
    <t>mahzooz winning number today</t>
  </si>
  <si>
    <t>sure winning numbers</t>
  </si>
  <si>
    <t>7, 20, 5, 3, 2, 2, 2, 4, 2, 2, 2, 3, 7, 20, 5, 3, 2, 2, 2, 4, 2, 2, 2, 3</t>
  </si>
  <si>
    <t>7, 20, 5, 3, 2, 2, 2, 4, 2, 2, 2, 3</t>
  </si>
  <si>
    <t>idaho cash winning numbers</t>
  </si>
  <si>
    <t>past new york lottery results</t>
  </si>
  <si>
    <t>wednesday gold lotto results</t>
  </si>
  <si>
    <t>jamaica lotto winning numbers</t>
  </si>
  <si>
    <t>daily lotto results for yesterday</t>
  </si>
  <si>
    <t>lotto nz results 2025</t>
  </si>
  <si>
    <t>dc past winning lottery numbers</t>
  </si>
  <si>
    <t>daily 3 midday past winning numbers</t>
  </si>
  <si>
    <t>lottery numbers that win</t>
  </si>
  <si>
    <t>new york lottery numbers for saturday</t>
  </si>
  <si>
    <t>puerto rico lottery winning numbers</t>
  </si>
  <si>
    <t>lottery game winning numbers</t>
  </si>
  <si>
    <t>lotto results friday</t>
  </si>
  <si>
    <t>texas lottery mega millions check numbers</t>
  </si>
  <si>
    <t>winning numbers yesterday</t>
  </si>
  <si>
    <t>puerto rico lottery results post</t>
  </si>
  <si>
    <t>ks lottery results</t>
  </si>
  <si>
    <t>florida lottery winning number history</t>
  </si>
  <si>
    <t>lottery results virginia</t>
  </si>
  <si>
    <t>lotto draw results</t>
  </si>
  <si>
    <t>latest florida lottery winning numbers</t>
  </si>
  <si>
    <t>lucky numbers for the lottery</t>
  </si>
  <si>
    <t>roulette most winning numbers</t>
  </si>
  <si>
    <t>winning number florida lotto</t>
  </si>
  <si>
    <t>lottery post lucky numbers</t>
  </si>
  <si>
    <t>irish lottery results three draws</t>
  </si>
  <si>
    <t>flalottery winning numbers results</t>
  </si>
  <si>
    <t>dc lottery past winning numbers</t>
  </si>
  <si>
    <t>theislandgame.com winning numbers</t>
  </si>
  <si>
    <t>forty niners lottery results</t>
  </si>
  <si>
    <t>supreme venture winning numbers</t>
  </si>
  <si>
    <t>past lottery numbers california</t>
  </si>
  <si>
    <t>florida pick 4 past winning numbers</t>
  </si>
  <si>
    <t>florida winning lottery numbers post</t>
  </si>
  <si>
    <t>the most winning lottery numbers</t>
  </si>
  <si>
    <t>florida lottery past numbers</t>
  </si>
  <si>
    <t>lottery results 2019</t>
  </si>
  <si>
    <t>new york lottery post win 4 evening results</t>
  </si>
  <si>
    <t>new mexico lottery pick 4 results</t>
  </si>
  <si>
    <t>lotto national lottery results</t>
  </si>
  <si>
    <t>www islande com winning numbers</t>
  </si>
  <si>
    <t>ontario lotto max results</t>
  </si>
  <si>
    <t>nevada lottery results</t>
  </si>
  <si>
    <t>daily keno winning numbers</t>
  </si>
  <si>
    <t>new york lottery pick 4 results</t>
  </si>
  <si>
    <t>lottery michigan results</t>
  </si>
  <si>
    <t>irish lotto results wednesday</t>
  </si>
  <si>
    <t>mega lottery numbers</t>
  </si>
  <si>
    <t>maryland lottery numbers for today</t>
  </si>
  <si>
    <t>bclc winning numbers</t>
  </si>
  <si>
    <t>france lotto latest results</t>
  </si>
  <si>
    <t>saturday lottery numbers</t>
  </si>
  <si>
    <t>cal winning numbers</t>
  </si>
  <si>
    <t>west virginia lottery post results</t>
  </si>
  <si>
    <t>indiana lottery numbers</t>
  </si>
  <si>
    <t>past lottery numbers</t>
  </si>
  <si>
    <t>dice winning numbers</t>
  </si>
  <si>
    <t>ny lottery live winning numbers</t>
  </si>
  <si>
    <t>all lottery results</t>
  </si>
  <si>
    <t>jamaican lottery numbers</t>
  </si>
  <si>
    <t>lotto 649 past winning numbers</t>
  </si>
  <si>
    <t>dc lottery post results</t>
  </si>
  <si>
    <t>florida lottery pick 3 and pick 4 winning numbers</t>
  </si>
  <si>
    <t>mega millions winning numbers tonight</t>
  </si>
  <si>
    <t>new york lottery results for today</t>
  </si>
  <si>
    <t>winning numbers fantasy 5</t>
  </si>
  <si>
    <t>washington lottery numbers</t>
  </si>
  <si>
    <t>lottery national results</t>
  </si>
  <si>
    <t>euromillions lottery results</t>
  </si>
  <si>
    <t>dream of winning lottery numbers</t>
  </si>
  <si>
    <t>ms lottery results</t>
  </si>
  <si>
    <t>fantasy 5 past winning numbers 2023</t>
  </si>
  <si>
    <t>lotto strike results</t>
  </si>
  <si>
    <t>florida power ball winning numbers</t>
  </si>
  <si>
    <t>west australian lotto results</t>
  </si>
  <si>
    <t>past lottery winners numbers</t>
  </si>
  <si>
    <t>lott lottery results</t>
  </si>
  <si>
    <t>winning numbers lotto max</t>
  </si>
  <si>
    <t>www oz lotto results</t>
  </si>
  <si>
    <t>multi match winning numbers</t>
  </si>
  <si>
    <t>illinois winning number</t>
  </si>
  <si>
    <t>florida pick 4 evening winning numbers history</t>
  </si>
  <si>
    <t>california powerball past winning numbers</t>
  </si>
  <si>
    <t>daily game winning numbers</t>
  </si>
  <si>
    <t>winning numbers 649</t>
  </si>
  <si>
    <t>lottery numbers north carolina</t>
  </si>
  <si>
    <t>www.olg.ca winning numbers</t>
  </si>
  <si>
    <t>arizona lottery numbers</t>
  </si>
  <si>
    <t>supreme ventures winning numbers</t>
  </si>
  <si>
    <t>lotto results powerball</t>
  </si>
  <si>
    <t>fl. lottery winning numbers</t>
  </si>
  <si>
    <t>island game winning numbers history</t>
  </si>
  <si>
    <t>call winning numbers</t>
  </si>
  <si>
    <t>ny lottery live results</t>
  </si>
  <si>
    <t>most winning lottery numbers</t>
  </si>
  <si>
    <t>lottery results uk history</t>
  </si>
  <si>
    <t>lotto results yesterday</t>
  </si>
  <si>
    <t>five winning numbers</t>
  </si>
  <si>
    <t>mary lottery results</t>
  </si>
  <si>
    <t>winning lotto numbers florida lotto</t>
  </si>
  <si>
    <t>flip numbers lottery</t>
  </si>
  <si>
    <t>irish lotto plus 1 and 2 latest results</t>
  </si>
  <si>
    <t>today's illinois lottery results</t>
  </si>
  <si>
    <t>idaho pick 4 winning numbers</t>
  </si>
  <si>
    <t>tenn lottery results winning numbers</t>
  </si>
  <si>
    <t>new york state lotto results</t>
  </si>
  <si>
    <t>florida lotto play 4 results</t>
  </si>
  <si>
    <t>florida fantasy 5 winning numbers past 30 days</t>
  </si>
  <si>
    <t>2021 dv lottery results</t>
  </si>
  <si>
    <t>canada lotto results history</t>
  </si>
  <si>
    <t>florida lottery results live stream</t>
  </si>
  <si>
    <t>islandluck com winning numbers</t>
  </si>
  <si>
    <t>nj lottery results today</t>
  </si>
  <si>
    <t>fantasy 5 past winning numbers georgia</t>
  </si>
  <si>
    <t>my winning numbers</t>
  </si>
  <si>
    <t>fantasy 5 california winning numbers tonight</t>
  </si>
  <si>
    <t>coral irish lottery results</t>
  </si>
  <si>
    <t>pick 3 winning numbers for today</t>
  </si>
  <si>
    <t>lottery idaho numbers</t>
  </si>
  <si>
    <t>ladbrokes irish lotto results</t>
  </si>
  <si>
    <t>florida lottery - pick 4 winning numbers</t>
  </si>
  <si>
    <t>irish lottery results ladbrokes</t>
  </si>
  <si>
    <t>louisiana lottery pick 3 pick 4 winning numbers</t>
  </si>
  <si>
    <t>irish lotto latest results</t>
  </si>
  <si>
    <t>sa daily lotto results</t>
  </si>
  <si>
    <t>mass cash past winning numbers</t>
  </si>
  <si>
    <t>missouri lottery winning numbers by date</t>
  </si>
  <si>
    <t>lottery ticket numbers</t>
  </si>
  <si>
    <t>winning number california lottery</t>
  </si>
  <si>
    <t>france lotto results for today</t>
  </si>
  <si>
    <t>lucky for life winning numbers ohio</t>
  </si>
  <si>
    <t>tennessee lottery winning numbers pick 3</t>
  </si>
  <si>
    <t>california fantasy 5 winning numbers history</t>
  </si>
  <si>
    <t>lucky numbers to win the lottery</t>
  </si>
  <si>
    <t>new york state lottery winning numbers</t>
  </si>
  <si>
    <t>euro winning numbers</t>
  </si>
  <si>
    <t>atlantic canada lottery results</t>
  </si>
  <si>
    <t>connecticut lottery numbers</t>
  </si>
  <si>
    <t>national lotto results yesterday</t>
  </si>
  <si>
    <t>louisiana lottery post results</t>
  </si>
  <si>
    <t>powerball winning number for last night</t>
  </si>
  <si>
    <t>maryland lottery numbers winning numbers</t>
  </si>
  <si>
    <t>georgia mega millions past winning numbers</t>
  </si>
  <si>
    <t>ñew york lottery results</t>
  </si>
  <si>
    <t>betfred lottery numbers</t>
  </si>
  <si>
    <t>maine lottery past winning numbers</t>
  </si>
  <si>
    <t>island luck winning number open now</t>
  </si>
  <si>
    <t>florida lottery cash 3 play 4 winning numbers</t>
  </si>
  <si>
    <t>florida lottery powerball results</t>
  </si>
  <si>
    <t>who's winning numbers</t>
  </si>
  <si>
    <t>the irish lotto results</t>
  </si>
  <si>
    <t>last night's lottery numbers</t>
  </si>
  <si>
    <t>lottery results florida today</t>
  </si>
  <si>
    <t>dream book for lottery numbers online</t>
  </si>
  <si>
    <t>new jersey lottery results post</t>
  </si>
  <si>
    <t>can you predict the winning lottery numbers</t>
  </si>
  <si>
    <t>tonight's lotto results</t>
  </si>
  <si>
    <t>lotto results uk trending</t>
  </si>
  <si>
    <t>i like winning numbers</t>
  </si>
  <si>
    <t>arizona winning numbers</t>
  </si>
  <si>
    <t>post lottery numbers</t>
  </si>
  <si>
    <t>lotto results for wednesday</t>
  </si>
  <si>
    <t>saturday lotto draw results</t>
  </si>
  <si>
    <t>lottery results 49s</t>
  </si>
  <si>
    <t>thailand lotto results</t>
  </si>
  <si>
    <t>winning numbers island luck winning</t>
  </si>
  <si>
    <t>today morning winning number for lotto</t>
  </si>
  <si>
    <t>thunderball lottery results</t>
  </si>
  <si>
    <t>latest results lotto</t>
  </si>
  <si>
    <t>lotto results philippines today</t>
  </si>
  <si>
    <t>lotto 6 aus 49 results</t>
  </si>
  <si>
    <t>lottery numbers powerball</t>
  </si>
  <si>
    <t>show winning lottery numbers</t>
  </si>
  <si>
    <t>lotto results winning numbers</t>
  </si>
  <si>
    <t>jackpot lottery results</t>
  </si>
  <si>
    <t>virginia winning lottery numbers</t>
  </si>
  <si>
    <t>bible lottery numbers</t>
  </si>
  <si>
    <t>powerball winning numbers yesterday</t>
  </si>
  <si>
    <t>daily 3 evening winning numbers ny</t>
  </si>
  <si>
    <t>island luck winning numbers for the day today</t>
  </si>
  <si>
    <t>49 lotto results</t>
  </si>
  <si>
    <t>illinois lottery past results</t>
  </si>
  <si>
    <t>nz lotto results</t>
  </si>
  <si>
    <t>winning numbers pick 3</t>
  </si>
  <si>
    <t>ia lottery winning numbers</t>
  </si>
  <si>
    <t>ga lottery fantasy 5 results</t>
  </si>
  <si>
    <t>island luck winning numbers app download</t>
  </si>
  <si>
    <t>lottery results today michigan</t>
  </si>
  <si>
    <t>most frequent winning powerball numbers</t>
  </si>
  <si>
    <t>california lottery powerball winning numbers</t>
  </si>
  <si>
    <t>mega million winning number last night</t>
  </si>
  <si>
    <t>irish lottery results checker all 3 draws</t>
  </si>
  <si>
    <t>iowa winning lottery numbers</t>
  </si>
  <si>
    <t>today winning number</t>
  </si>
  <si>
    <t>florida lottery results today show</t>
  </si>
  <si>
    <t>us visa lottery results</t>
  </si>
  <si>
    <t>rhode island lottery winning numbers</t>
  </si>
  <si>
    <t>dc lottery winning numbers</t>
  </si>
  <si>
    <t>give me a winning number</t>
  </si>
  <si>
    <t>georgia lottery numbers</t>
  </si>
  <si>
    <t>winning numbers florida powerball</t>
  </si>
  <si>
    <t>chinese lucky lottery numbers</t>
  </si>
  <si>
    <t>mega millions winning numbers today</t>
  </si>
  <si>
    <t>lottery florida results winning numbers</t>
  </si>
  <si>
    <t>japan lotto 3 results today</t>
  </si>
  <si>
    <t>arkansas lottery winning numbers</t>
  </si>
  <si>
    <t>lottery history results</t>
  </si>
  <si>
    <t>fla powerball winning numbers</t>
  </si>
  <si>
    <t>oregon lottery winning numbers</t>
  </si>
  <si>
    <t>new york lotto results history</t>
  </si>
  <si>
    <t>ga lottery numbers</t>
  </si>
  <si>
    <t>lotto. ie results</t>
  </si>
  <si>
    <t>south carolina pick 3 winning numbers</t>
  </si>
  <si>
    <t>ny pick 4 winning numbers</t>
  </si>
  <si>
    <t>lottery results saturday</t>
  </si>
  <si>
    <t>predict winning lottery numbers</t>
  </si>
  <si>
    <t>florida cash for life past winning numbers</t>
  </si>
  <si>
    <t>kansas lottery numbers</t>
  </si>
  <si>
    <t>win for life winning numbers</t>
  </si>
  <si>
    <t>pick 4 winning number for today</t>
  </si>
  <si>
    <t>florida fantasy five winning numbers</t>
  </si>
  <si>
    <t>winning numbers georgia lottery</t>
  </si>
  <si>
    <t>lottery bible 2025 winning numbers</t>
  </si>
  <si>
    <t>nassau game nonmember winning numbers</t>
  </si>
  <si>
    <t>fl lottery winning numbers post</t>
  </si>
  <si>
    <t>california lottery numbers</t>
  </si>
  <si>
    <t>kentucky lottery results pick 3 pick 4</t>
  </si>
  <si>
    <t>mass lotto results</t>
  </si>
  <si>
    <t>ohio pick 4 winning numbers</t>
  </si>
  <si>
    <t>pick 5 lottery numbers</t>
  </si>
  <si>
    <t>new york lotto results betfred</t>
  </si>
  <si>
    <t>german lotto results</t>
  </si>
  <si>
    <t>william hill irish lottery results</t>
  </si>
  <si>
    <t>paradise games winning numbers today</t>
  </si>
  <si>
    <t>french lotto results</t>
  </si>
  <si>
    <t>michigan state lottery results</t>
  </si>
  <si>
    <t>results checker national lottery</t>
  </si>
  <si>
    <t>cash 4 past winning numbers</t>
  </si>
  <si>
    <t>lottery results check</t>
  </si>
  <si>
    <t>dv lottery 2023 results date</t>
  </si>
  <si>
    <t>new york winning lottery numbers</t>
  </si>
  <si>
    <t>florida lottery results powerball</t>
  </si>
  <si>
    <t>california lottery pick 3 winning numbers</t>
  </si>
  <si>
    <t>virginia lottery pick 4 results</t>
  </si>
  <si>
    <t>powerball winning number for wednesday</t>
  </si>
  <si>
    <t>dream of lottery numbers</t>
  </si>
  <si>
    <t>mega millions fantasy 5 winning numbers</t>
  </si>
  <si>
    <t>today's florida winning lottery numbers</t>
  </si>
  <si>
    <t>california fantasy 5 past winning numbers tonight</t>
  </si>
  <si>
    <t>talking to the dead in a dream lottery numbers</t>
  </si>
  <si>
    <t>past winning lotto numbers</t>
  </si>
  <si>
    <t>last night's lottery results</t>
  </si>
  <si>
    <t>powerball mega millions winning numbers</t>
  </si>
  <si>
    <t>idaho winning powerball numbers</t>
  </si>
  <si>
    <t>ohio lottery numbers</t>
  </si>
  <si>
    <t>olg mega dice winning numbers</t>
  </si>
  <si>
    <t>jamaica supreme ventures lotto results</t>
  </si>
  <si>
    <t>winning numbers lottery results</t>
  </si>
  <si>
    <t>diversity visa lottery 2025 results</t>
  </si>
  <si>
    <t>lotto spot winning numbers</t>
  </si>
  <si>
    <t>49er lotto results</t>
  </si>
  <si>
    <t>islandluck.com winning numbers island luck</t>
  </si>
  <si>
    <t>lucky lotto results</t>
  </si>
  <si>
    <t>philippine lotto results</t>
  </si>
  <si>
    <t>kentucky lottery numbers</t>
  </si>
  <si>
    <t>florida lottery cash 3 play 4 midday results</t>
  </si>
  <si>
    <t>lottery numbers mega millions</t>
  </si>
  <si>
    <t>youtube lotto results</t>
  </si>
  <si>
    <t>island luck winning number today</t>
  </si>
  <si>
    <t>winning numbers for california lottery</t>
  </si>
  <si>
    <t>fl powerball past winning numbers</t>
  </si>
  <si>
    <t>winning numbers today powerball</t>
  </si>
  <si>
    <t>washington winning lottery numbers</t>
  </si>
  <si>
    <t>pa lottery results today pick 3</t>
  </si>
  <si>
    <t>florida lottery post results winning numbers</t>
  </si>
  <si>
    <t>powerball winning number tonight</t>
  </si>
  <si>
    <t>florida cash 3 winning numbers</t>
  </si>
  <si>
    <t>western canada lottery winning numbers</t>
  </si>
  <si>
    <t>tonights irish lottery results twitter</t>
  </si>
  <si>
    <t>pick 4 winning numbers for today</t>
  </si>
  <si>
    <t>nifty fifty lotto results</t>
  </si>
  <si>
    <t>ny lottery past results</t>
  </si>
  <si>
    <t>lottery numbers for florida</t>
  </si>
  <si>
    <t>irish lotto results uk</t>
  </si>
  <si>
    <t>2 numbers on lottery</t>
  </si>
  <si>
    <t>lottery 2021 results</t>
  </si>
  <si>
    <t>pick 4 winning numbers louisiana</t>
  </si>
  <si>
    <t>the simpsons lottery numbers</t>
  </si>
  <si>
    <t>horoscope winning lottery numbers</t>
  </si>
  <si>
    <t>lottery results iowa</t>
  </si>
  <si>
    <t>mississippi winning lottery numbers</t>
  </si>
  <si>
    <t>sagittarius winning numbers</t>
  </si>
  <si>
    <t>illinois lottery pick 3 results</t>
  </si>
  <si>
    <t>lotto results for saturday</t>
  </si>
  <si>
    <t>last year lotto results</t>
  </si>
  <si>
    <t>texas powerball winning numbers</t>
  </si>
  <si>
    <t>horoscope winning numbers</t>
  </si>
  <si>
    <t>irish lottery results 49s</t>
  </si>
  <si>
    <t>multi state lottery results</t>
  </si>
  <si>
    <t>daily pick 3 winning numbers</t>
  </si>
  <si>
    <t>new york state winning numbers</t>
  </si>
  <si>
    <t>monday night lotto results nsw</t>
  </si>
  <si>
    <t>post lotto results</t>
  </si>
  <si>
    <t>x lotto results</t>
  </si>
  <si>
    <t>winning boledo number for today</t>
  </si>
  <si>
    <t>past illinois lottery numbers</t>
  </si>
  <si>
    <t>cuban lottery numbers</t>
  </si>
  <si>
    <t>rsa powerball lottery results 2025</t>
  </si>
  <si>
    <t>dream interpretation lottery numbers</t>
  </si>
  <si>
    <t>dreambook numbers for lottery</t>
  </si>
  <si>
    <t>ultra games winning number l</t>
  </si>
  <si>
    <t>betfred lotto results</t>
  </si>
  <si>
    <t>ca lottery ca lottery winning numbers</t>
  </si>
  <si>
    <t>lottery results washington</t>
  </si>
  <si>
    <t>lottery results pennsylvania</t>
  </si>
  <si>
    <t>irish lottery results betfred</t>
  </si>
  <si>
    <t>lottery numbers pick 3</t>
  </si>
  <si>
    <t>illinois il lottery results lottery post</t>
  </si>
  <si>
    <t>tn lottery numbers</t>
  </si>
  <si>
    <t>dv lottery 2018 results</t>
  </si>
  <si>
    <t>numbers island luck winning numbers</t>
  </si>
  <si>
    <t>nj winning numbers</t>
  </si>
  <si>
    <t>florida lottery winning numbers yesterday</t>
  </si>
  <si>
    <t>missouri winning lottery numbers</t>
  </si>
  <si>
    <t>winning numbers super lotto plus</t>
  </si>
  <si>
    <t>texas winning lotto numbers</t>
  </si>
  <si>
    <t>lottery florida winning numbers and results</t>
  </si>
  <si>
    <t>west virginia lottery results</t>
  </si>
  <si>
    <t>cali lotto winning numbers</t>
  </si>
  <si>
    <t>best lottery numbers to pick 2022</t>
  </si>
  <si>
    <t>lottery results ohio</t>
  </si>
  <si>
    <t>lottery results in illinois</t>
  </si>
  <si>
    <t>i don't know winning number</t>
  </si>
  <si>
    <t>nj results lottery</t>
  </si>
  <si>
    <t>all 3 irish lottery results</t>
  </si>
  <si>
    <t>jamaica lotto results</t>
  </si>
  <si>
    <t>islandgame.com winning numbers</t>
  </si>
  <si>
    <t>winning florida mega millions numbers</t>
  </si>
  <si>
    <t>today's new york winning lottery numbers</t>
  </si>
  <si>
    <t>tci lotto games winning numbers</t>
  </si>
  <si>
    <t>past michigan lottery results</t>
  </si>
  <si>
    <t>colorado winning numbers</t>
  </si>
  <si>
    <t>wednesday lotto results</t>
  </si>
  <si>
    <t>floridalottery winning numbers</t>
  </si>
  <si>
    <t>florida lottery powerball results by date</t>
  </si>
  <si>
    <t>florida lottery pick 3 pick 4 winning numbers</t>
  </si>
  <si>
    <t>md lottery winning numbers</t>
  </si>
  <si>
    <t>cash five winning numbers</t>
  </si>
  <si>
    <t>super lotto past winning numbers 2023</t>
  </si>
  <si>
    <t>ireland lotto results</t>
  </si>
  <si>
    <t>winning number island luck winning number</t>
  </si>
  <si>
    <t>irish lottery results checker 3 draws</t>
  </si>
  <si>
    <t>new york state lottery results for today</t>
  </si>
  <si>
    <t>new york results lottery</t>
  </si>
  <si>
    <t>new york lottery results for last night</t>
  </si>
  <si>
    <t>last night's winning lotto numbers</t>
  </si>
  <si>
    <t>mexican lottery results</t>
  </si>
  <si>
    <t>winning number for florida lottery</t>
  </si>
  <si>
    <t>evening winning numbers</t>
  </si>
  <si>
    <t>gol lottery results</t>
  </si>
  <si>
    <t>numbers to play in lottery</t>
  </si>
  <si>
    <t>lotto results nsw</t>
  </si>
  <si>
    <t>new zealand lotto results</t>
  </si>
  <si>
    <t>irish lottery numbers please</t>
  </si>
  <si>
    <t>chances winning number asrs</t>
  </si>
  <si>
    <t>irish lotto betfred results</t>
  </si>
  <si>
    <t>formula to predict lottery numbers</t>
  </si>
  <si>
    <t>tenn lottery results</t>
  </si>
  <si>
    <t>johnson's winning numbers</t>
  </si>
  <si>
    <t>lottery winning numbers florida</t>
  </si>
  <si>
    <t>lottery trigger numbers</t>
  </si>
  <si>
    <t>pick 4 olg winning numbers</t>
  </si>
  <si>
    <t>tonights oz lotto results</t>
  </si>
  <si>
    <t>repeated lottery numbers</t>
  </si>
  <si>
    <t>ca winning numbers</t>
  </si>
  <si>
    <t>results lottery new york</t>
  </si>
  <si>
    <t>florida lottery numbers for tonight</t>
  </si>
  <si>
    <t>power ball winning numbers</t>
  </si>
  <si>
    <t>brazil lotto results</t>
  </si>
  <si>
    <t>powerball past winning number</t>
  </si>
  <si>
    <t>quick pick lottery winning numbers</t>
  </si>
  <si>
    <t>florida lotto post results</t>
  </si>
  <si>
    <t>new jersey lottery numbers</t>
  </si>
  <si>
    <t>powerball winning lottery numbers</t>
  </si>
  <si>
    <t>chicago winning numbers today</t>
  </si>
  <si>
    <t>d.c. lottery results</t>
  </si>
  <si>
    <t>pass new york lottery results</t>
  </si>
  <si>
    <t>lottery pick numbers</t>
  </si>
  <si>
    <t>daily 3 winning numbers</t>
  </si>
  <si>
    <t>london lottery results</t>
  </si>
  <si>
    <t>www fl lottery winning numbers</t>
  </si>
  <si>
    <t>2 lottery numbers</t>
  </si>
  <si>
    <t>c a lottery winning numbers</t>
  </si>
  <si>
    <t>most popular powerball winning numbers</t>
  </si>
  <si>
    <t>virginia cash 5 winning numbers</t>
  </si>
  <si>
    <t>missouri lotto winning numbers</t>
  </si>
  <si>
    <t>tuesday oz lotto results</t>
  </si>
  <si>
    <t>all lotto winning numbers</t>
  </si>
  <si>
    <t>sa lottery numbers</t>
  </si>
  <si>
    <t>sunday winning numbers</t>
  </si>
  <si>
    <t>lotto results history</t>
  </si>
  <si>
    <t>the lotto results</t>
  </si>
  <si>
    <t>florida fantasy five past winning numbers</t>
  </si>
  <si>
    <t>lottery prize for 3 numbers</t>
  </si>
  <si>
    <t>check winning numbers</t>
  </si>
  <si>
    <t>www.california lottery results</t>
  </si>
  <si>
    <t>lotto results tonight (saturday)</t>
  </si>
  <si>
    <t>chances winning numbers winning number</t>
  </si>
  <si>
    <t>early miami winning numbers</t>
  </si>
  <si>
    <t>lotto max canada winning numbers</t>
  </si>
  <si>
    <t>lottery ny results</t>
  </si>
  <si>
    <t>49rs lotto results</t>
  </si>
  <si>
    <t>florida midday lottery results</t>
  </si>
  <si>
    <t>vic lotto results</t>
  </si>
  <si>
    <t>powerball lottery past winning numbers</t>
  </si>
  <si>
    <t>play 3 winning numbers</t>
  </si>
  <si>
    <t>health lottery results raffle</t>
  </si>
  <si>
    <t>calottery winning number</t>
  </si>
  <si>
    <t>lottery results powerball</t>
  </si>
  <si>
    <t>take 5 lottery results</t>
  </si>
  <si>
    <t>lottery numbers for tonight</t>
  </si>
  <si>
    <t>maine lottery numbers</t>
  </si>
  <si>
    <t>florida lottery numbers results</t>
  </si>
  <si>
    <t>illinois lotto winning numbers</t>
  </si>
  <si>
    <t>last night powerball winning numbers</t>
  </si>
  <si>
    <t>florida lottery play 4 winning numbers</t>
  </si>
  <si>
    <t>illinois lottery numbers for today</t>
  </si>
  <si>
    <t>lottery results louisiana</t>
  </si>
  <si>
    <t>dv lottery results 2025</t>
  </si>
  <si>
    <t>lottery lottery latest results</t>
  </si>
  <si>
    <t>pick3 lottery results</t>
  </si>
  <si>
    <t>oregon lottery past results by date</t>
  </si>
  <si>
    <t>www florida lottery com winning numbers</t>
  </si>
  <si>
    <t>lotto max winning number</t>
  </si>
  <si>
    <t>ìsland luck winning numbers</t>
  </si>
  <si>
    <t>uk lotto results checker</t>
  </si>
  <si>
    <t>new york daily lottery results</t>
  </si>
  <si>
    <t>bingo at home'' app winning numbers</t>
  </si>
  <si>
    <t>atlanta lottery results</t>
  </si>
  <si>
    <t>lottery post mobile results</t>
  </si>
  <si>
    <t>best lottery numbers to pick 2021</t>
  </si>
  <si>
    <t>irish lottery results 3 lines</t>
  </si>
  <si>
    <t>florida lottery winning numbers cash 3</t>
  </si>
  <si>
    <t>florida powerball winning numbers by date today</t>
  </si>
  <si>
    <t>island luck island luck winning numbers</t>
  </si>
  <si>
    <t>lotto results national lottery results</t>
  </si>
  <si>
    <t>michigan lottery results for today</t>
  </si>
  <si>
    <t>new jersey lottery winning number</t>
  </si>
  <si>
    <t>pick 3 winning number last night</t>
  </si>
  <si>
    <t>quick pick 3 winning numbers</t>
  </si>
  <si>
    <t>new jersey lottery past winning numbers</t>
  </si>
  <si>
    <t>pgwebcafe winning number</t>
  </si>
  <si>
    <t>irish lottery draw results</t>
  </si>
  <si>
    <t>cash 5 winning numbers last night</t>
  </si>
  <si>
    <t>illinois lottery results illinois lottery results</t>
  </si>
  <si>
    <t>dominican republic lottery numbers leidsa</t>
  </si>
  <si>
    <t>new york lottery results posted</t>
  </si>
  <si>
    <t>irish lottery results for tonight please</t>
  </si>
  <si>
    <t>wisconsin lottery numbers</t>
  </si>
  <si>
    <t>lottery numbers for</t>
  </si>
  <si>
    <t>ky lottery results</t>
  </si>
  <si>
    <t>new york lottery winning numbers past results</t>
  </si>
  <si>
    <t>arkansas powerball winning numbers</t>
  </si>
  <si>
    <t>new york winning lotto numbers</t>
  </si>
  <si>
    <t>haitian lottery numbers</t>
  </si>
  <si>
    <t>flalottery.com winning numbers</t>
  </si>
  <si>
    <t>florida lottery - winning numbers</t>
  </si>
  <si>
    <t>daily lotto results: 15</t>
  </si>
  <si>
    <t>ohio winning number</t>
  </si>
  <si>
    <t>www.paradise games winning numbers</t>
  </si>
  <si>
    <t>iowa powerball winning numbers</t>
  </si>
  <si>
    <t>lotto winning number for today</t>
  </si>
  <si>
    <t>ny lottery pick 3 past winning numbers</t>
  </si>
  <si>
    <t>florida mega million winning number</t>
  </si>
  <si>
    <t>tennessee morning cash 4 winning numbers</t>
  </si>
  <si>
    <t>south carolina lottery numbers</t>
  </si>
  <si>
    <t>new york lottery results for saturday</t>
  </si>
  <si>
    <t>lotto irish results</t>
  </si>
  <si>
    <t>mega winning numbers</t>
  </si>
  <si>
    <t>tennessee lottery numbers for today</t>
  </si>
  <si>
    <t>viking lotto results</t>
  </si>
  <si>
    <t>atlantic lotto 649 winning numbers</t>
  </si>
  <si>
    <t>results lottery new york today</t>
  </si>
  <si>
    <t>lotto results jamaica</t>
  </si>
  <si>
    <t>my lottery results</t>
  </si>
  <si>
    <t>mega game winning numbers</t>
  </si>
  <si>
    <t>future lottery numbers</t>
  </si>
  <si>
    <t>flowers winning numbers today</t>
  </si>
  <si>
    <t>island games winning numbers</t>
  </si>
  <si>
    <t>texas pick 3 winning numbers evening</t>
  </si>
  <si>
    <t>georgia lottery winning numbers post</t>
  </si>
  <si>
    <t>south africa lotto results today</t>
  </si>
  <si>
    <t>six lucky numbers to win the lottery 2022</t>
  </si>
  <si>
    <t>olg lotto max winning numbers</t>
  </si>
  <si>
    <t>greece lotto results</t>
  </si>
  <si>
    <t>lotto 649 winning numbers history</t>
  </si>
  <si>
    <t>louisiana lottery results</t>
  </si>
  <si>
    <t>usa lottery results new york</t>
  </si>
  <si>
    <t>louisiana lottery results and winning numbers</t>
  </si>
  <si>
    <t>belgium lotto results</t>
  </si>
  <si>
    <t>national lottery results today</t>
  </si>
  <si>
    <t>lucky money winning numbers</t>
  </si>
  <si>
    <t>winning lottery numbers for florida</t>
  </si>
  <si>
    <t>missouri lottery numbers</t>
  </si>
  <si>
    <t>california lottery numbers winning numbers</t>
  </si>
  <si>
    <t>island luck winning numbers island</t>
  </si>
  <si>
    <t>irish lottery results 3 draws</t>
  </si>
  <si>
    <t>fml winning numbers today</t>
  </si>
  <si>
    <t>check lotto results</t>
  </si>
  <si>
    <t>georgia powerball winning number</t>
  </si>
  <si>
    <t>649 winning number today</t>
  </si>
  <si>
    <t>winning lotto secret key numbers</t>
  </si>
  <si>
    <t>past california lottery results</t>
  </si>
  <si>
    <t>fla lottery winning numbers post</t>
  </si>
  <si>
    <t>betfred new york lottery results</t>
  </si>
  <si>
    <t>winning numbers ohio lottery</t>
  </si>
  <si>
    <t>new york lottery winning results</t>
  </si>
  <si>
    <t>irish lottery results 49's</t>
  </si>
  <si>
    <t>winning florida lottery numbers from last night</t>
  </si>
  <si>
    <t>lotto winning numbers last night</t>
  </si>
  <si>
    <t>lucky 6 winning numbers</t>
  </si>
  <si>
    <t>today powerball winning numbers</t>
  </si>
  <si>
    <t>winning lotto results</t>
  </si>
  <si>
    <t>results for florida lotto</t>
  </si>
  <si>
    <t>alllotto winning numbers today</t>
  </si>
  <si>
    <t>texas pick 3 past winning numbers</t>
  </si>
  <si>
    <t>lottery numbers book</t>
  </si>
  <si>
    <t>grand lotto results</t>
  </si>
  <si>
    <t>lotto miami results</t>
  </si>
  <si>
    <t>national lottery numbers</t>
  </si>
  <si>
    <t>powerball winning numbers may 22nd 2021</t>
  </si>
  <si>
    <t>wa lottery results</t>
  </si>
  <si>
    <t>win 4 past winning numbers</t>
  </si>
  <si>
    <t>illinois lottery pick 3 results for today</t>
  </si>
  <si>
    <t>ohio lottery winning number</t>
  </si>
  <si>
    <t>winning numbers for tonight</t>
  </si>
  <si>
    <t>search my lottery numbers</t>
  </si>
  <si>
    <t>irish lottery numbers</t>
  </si>
  <si>
    <t>miami lottery pick 3 results</t>
  </si>
  <si>
    <t>3 numbers on irish lottery</t>
  </si>
  <si>
    <t>superlotto california winning numbers</t>
  </si>
  <si>
    <t>super lotto winning numbers jamaica</t>
  </si>
  <si>
    <t>dv lottery results 2024 winners list</t>
  </si>
  <si>
    <t>irish lotto daily draw results</t>
  </si>
  <si>
    <t>latest lotto max winning numbers</t>
  </si>
  <si>
    <t>missouri lotto winning numbers for saturday</t>
  </si>
  <si>
    <t>betfred irish lottery results 3 draws</t>
  </si>
  <si>
    <t>check the lottery results</t>
  </si>
  <si>
    <t>wilottery winning numbers</t>
  </si>
  <si>
    <t>florida lottery pick 3 evening winning numbers</t>
  </si>
  <si>
    <t>florida lottery winning numbers post</t>
  </si>
  <si>
    <t>carolina lottery results</t>
  </si>
  <si>
    <t>dv lottery 2023 results</t>
  </si>
  <si>
    <t>new. york lottery results</t>
  </si>
  <si>
    <t>new york lotto past winning numbers</t>
  </si>
  <si>
    <t>fantasy 5 winning numbers last night florida</t>
  </si>
  <si>
    <t>lottery results tonight lotto</t>
  </si>
  <si>
    <t>powerball winning numbers last night florida</t>
  </si>
  <si>
    <t>pcso lotto results history</t>
  </si>
  <si>
    <t>sat gold lotto qld results</t>
  </si>
  <si>
    <t>check winning lotto numbers</t>
  </si>
  <si>
    <t>florida lottery results play 4 midday</t>
  </si>
  <si>
    <t>michigan powerball winning numbers</t>
  </si>
  <si>
    <t>olg winning numbers lotto max</t>
  </si>
  <si>
    <t>irish lotto results</t>
  </si>
  <si>
    <t>popular lottery numbers</t>
  </si>
  <si>
    <t>nassau game members winning numbers</t>
  </si>
  <si>
    <t>winning pa lottery numbers</t>
  </si>
  <si>
    <t>lottery tonight numbers</t>
  </si>
  <si>
    <t>florida lottery raffle ticket winning numbers</t>
  </si>
  <si>
    <t>www.georgia lottery results</t>
  </si>
  <si>
    <t>mass cash winning numbers</t>
  </si>
  <si>
    <t>gold lotto australia results</t>
  </si>
  <si>
    <t>california lottery results post</t>
  </si>
  <si>
    <t>florida lotto winning numbers mega millions</t>
  </si>
  <si>
    <t>georgia winning numbers today</t>
  </si>
  <si>
    <t>www.georgialottery.com winning numbers</t>
  </si>
  <si>
    <t>results lottery tennessee</t>
  </si>
  <si>
    <t>alc winning numbers 649</t>
  </si>
  <si>
    <t>mega millions lottery results</t>
  </si>
  <si>
    <t>ri lottery numbers</t>
  </si>
  <si>
    <t>winning numbers for tomorrow</t>
  </si>
  <si>
    <t>lucky for life winning numbers last night</t>
  </si>
  <si>
    <t>winning numbers for florida mega millions</t>
  </si>
  <si>
    <t>paradise winning numbers today</t>
  </si>
  <si>
    <t>everybodywins winning numbers</t>
  </si>
  <si>
    <t>nlcb lottery results</t>
  </si>
  <si>
    <t>wi lottery winning numbers</t>
  </si>
  <si>
    <t>va lottery results for pick 3 4</t>
  </si>
  <si>
    <t>maryland lottery results today</t>
  </si>
  <si>
    <t>formula to predict lottery numbers pdf</t>
  </si>
  <si>
    <t>powerball michigan winning numbers history</t>
  </si>
  <si>
    <t>simpsons lottery numbers</t>
  </si>
  <si>
    <t>lottery results georgia</t>
  </si>
  <si>
    <t>winning number lotto max</t>
  </si>
  <si>
    <t>fl lottery results winning numbers fantasy 5</t>
  </si>
  <si>
    <t>results lottery tonight</t>
  </si>
  <si>
    <t>winning lottery numbers today</t>
  </si>
  <si>
    <t>last night winning powerball numbers</t>
  </si>
  <si>
    <t>new york pick 3 midday winning numbers pick 4</t>
  </si>
  <si>
    <t>irish daily lotto results</t>
  </si>
  <si>
    <t>the powerball winning numbers</t>
  </si>
  <si>
    <t>keno winning number</t>
  </si>
  <si>
    <t>florida mega million lottery numbers</t>
  </si>
  <si>
    <t>cash4life past winning numbers for today</t>
  </si>
  <si>
    <t>pa lottery results</t>
  </si>
  <si>
    <t>mass lottery keno numbers</t>
  </si>
  <si>
    <t>dclottery winning numbers</t>
  </si>
  <si>
    <t>texas lotto winning numbers last night</t>
  </si>
  <si>
    <t>www illinois lottery results</t>
  </si>
  <si>
    <t>set for life lotto results today</t>
  </si>
  <si>
    <t>new york lottery numbers for last night</t>
  </si>
  <si>
    <t>pick 3 and pick 4 lottery numbers</t>
  </si>
  <si>
    <t>saturday night's lotto results</t>
  </si>
  <si>
    <t>sc lottery results posts</t>
  </si>
  <si>
    <t>florida lottery winning numbers mega millions</t>
  </si>
  <si>
    <t>irish lottery main draw results</t>
  </si>
  <si>
    <t>winning numbers history</t>
  </si>
  <si>
    <t>lottery numbers check</t>
  </si>
  <si>
    <t>in lottery numbers</t>
  </si>
  <si>
    <t>winning florida lotto numbers</t>
  </si>
  <si>
    <t>il lottery winning numbers</t>
  </si>
  <si>
    <t>vermont winning lottery numbers</t>
  </si>
  <si>
    <t>number winning numbers</t>
  </si>
  <si>
    <t>winning numbers keno</t>
  </si>
  <si>
    <t>florida lottery winning numbers results today</t>
  </si>
  <si>
    <t>lottery results check my numbers</t>
  </si>
  <si>
    <t>results for new jersey lottery</t>
  </si>
  <si>
    <t>fantasy five winning numbers florida</t>
  </si>
  <si>
    <t>n carolina lottery results</t>
  </si>
  <si>
    <t>island luck winning numbers bahamas today</t>
  </si>
  <si>
    <t>649 winning number</t>
  </si>
  <si>
    <t>lottery winning numbers powerball</t>
  </si>
  <si>
    <t>2025 new york numbers lottery results</t>
  </si>
  <si>
    <t>lottery florida lotto results</t>
  </si>
  <si>
    <t>saturday lotto results qld</t>
  </si>
  <si>
    <t>powerball drawing winning numbers</t>
  </si>
  <si>
    <t>check my lottery numbers</t>
  </si>
  <si>
    <t>la lottery winning numbers</t>
  </si>
  <si>
    <t>lottery georgia numbers</t>
  </si>
  <si>
    <t>winning lotto numbers powerball</t>
  </si>
  <si>
    <t>prediction lottery numbers for today</t>
  </si>
  <si>
    <t>lottery powerball numbers for last night</t>
  </si>
  <si>
    <t>florida lotto winning numbers today</t>
  </si>
  <si>
    <t>illinois pick 3 winning number</t>
  </si>
  <si>
    <t>cash 4 life winning numbers florida</t>
  </si>
  <si>
    <t>lotto hotpicks results</t>
  </si>
  <si>
    <t>new york lottery numbers for today</t>
  </si>
  <si>
    <t>algorithm for lottery numbers</t>
  </si>
  <si>
    <t>canada lottery numbers</t>
  </si>
  <si>
    <t>winning numbers saturday</t>
  </si>
  <si>
    <t>nyc winning lottery numbers</t>
  </si>
  <si>
    <t>past winning numbers new york lottery</t>
  </si>
  <si>
    <t>australian lottery results</t>
  </si>
  <si>
    <t>cash 4 winning numbers for georgia</t>
  </si>
  <si>
    <t>london lotto results</t>
  </si>
  <si>
    <t>georgia lottery evening results</t>
  </si>
  <si>
    <t>capricorn lucky lottery numbers</t>
  </si>
  <si>
    <t>tn lotto winning numbers</t>
  </si>
  <si>
    <t>gold lotto results for saturday night</t>
  </si>
  <si>
    <t>nassau winning numbers games</t>
  </si>
  <si>
    <t>lotto results winners</t>
  </si>
  <si>
    <t>florida lottery pick 3 numbers</t>
  </si>
  <si>
    <t>last night florida lottery numbers</t>
  </si>
  <si>
    <t>lottery results uk today</t>
  </si>
  <si>
    <t>lottery post results florida</t>
  </si>
  <si>
    <t>a sure win winning numbers</t>
  </si>
  <si>
    <t>tennessee cash winning numbers</t>
  </si>
  <si>
    <t>have my lottery numbers ever won</t>
  </si>
  <si>
    <t>irish lottery 3 draw results</t>
  </si>
  <si>
    <t>md lottery results winning numbers</t>
  </si>
  <si>
    <t>hit 5 past winning numbers</t>
  </si>
  <si>
    <t>lucky numbers for lottery</t>
  </si>
  <si>
    <t>tennessee lottery post results</t>
  </si>
  <si>
    <t>gold lotto results queensland saturday</t>
  </si>
  <si>
    <t>lottery numbers that follow each other</t>
  </si>
  <si>
    <t>leo lucky lottery numbers</t>
  </si>
  <si>
    <t>lotto winning numbers new york</t>
  </si>
  <si>
    <t>past winning numbers for lotto max</t>
  </si>
  <si>
    <t>play 3 night winning numbers</t>
  </si>
  <si>
    <t>md lottery results for pick 3 4</t>
  </si>
  <si>
    <t>ny lotto results</t>
  </si>
  <si>
    <t>cash 3 winning numbers</t>
  </si>
  <si>
    <t>island luck.com winning numbers</t>
  </si>
  <si>
    <t>tonight lotto winning numbers</t>
  </si>
  <si>
    <t>national lottery results yesterday uk</t>
  </si>
  <si>
    <t>ga lottery fantasy 5 winning numbers</t>
  </si>
  <si>
    <t>euro lottery results tonight</t>
  </si>
  <si>
    <t>last night's winning florida lotto numbers</t>
  </si>
  <si>
    <t>saturday lotto results</t>
  </si>
  <si>
    <t>ca lotto past winning numbers</t>
  </si>
  <si>
    <t>winning powerball numbers for saturday</t>
  </si>
  <si>
    <t>asure winning number</t>
  </si>
  <si>
    <t>megamillions winning numbers</t>
  </si>
  <si>
    <t>mega millions winning numbers ga</t>
  </si>
  <si>
    <t>lotto florida results today</t>
  </si>
  <si>
    <t>west virginia lottery daily 4 winning numbers</t>
  </si>
  <si>
    <t>secret winning lotto numbers</t>
  </si>
  <si>
    <t>qld gold lotto results</t>
  </si>
  <si>
    <t>az lottery numbers</t>
  </si>
  <si>
    <t>greencard lottery results 2023</t>
  </si>
  <si>
    <t>lottery results lottery results</t>
  </si>
  <si>
    <t>lottery results irish lottery results</t>
  </si>
  <si>
    <t>nc lottery cash 5 results</t>
  </si>
  <si>
    <t>lotto results saturday uk tonight</t>
  </si>
  <si>
    <t>florida lottery cash 3 results</t>
  </si>
  <si>
    <t>mobile island luck winning numbers</t>
  </si>
  <si>
    <t>florida lottery winning number search</t>
  </si>
  <si>
    <t>ca lottery winning numbers</t>
  </si>
  <si>
    <t>tonights irish lottery results</t>
  </si>
  <si>
    <t>washington dc winning lottery numbers</t>
  </si>
  <si>
    <t>california daily 3 winning numbers</t>
  </si>
  <si>
    <t>fl winning lottery numbers</t>
  </si>
  <si>
    <t>new york state lottery numbers and results</t>
  </si>
  <si>
    <t>dominican lottery results</t>
  </si>
  <si>
    <t>florida lottery winning numbers pick 3 pick 4</t>
  </si>
  <si>
    <t>irish lottery numbers for last night</t>
  </si>
  <si>
    <t>common lottery winning numbers</t>
  </si>
  <si>
    <t>tax lotto results</t>
  </si>
  <si>
    <t>atlantic lotto winning numbers</t>
  </si>
  <si>
    <t>play lottery results</t>
  </si>
  <si>
    <t>winning lotto numbers today</t>
  </si>
  <si>
    <t>monday gold lotto results</t>
  </si>
  <si>
    <t>caribbean lottery winning numbers</t>
  </si>
  <si>
    <t>georgia fantasy 5 winning numbers last night</t>
  </si>
  <si>
    <t>check iowa lottery numbers</t>
  </si>
  <si>
    <t>winning numbers new york lottery</t>
  </si>
  <si>
    <t>visa lottery 2022 results</t>
  </si>
  <si>
    <t>new york pick 4 winning number</t>
  </si>
  <si>
    <t>lucky seven lottery results</t>
  </si>
  <si>
    <t>national weekly lotto results</t>
  </si>
  <si>
    <t>lottery numbers new mexico</t>
  </si>
  <si>
    <t>connecticut night lucky links winning numbers</t>
  </si>
  <si>
    <t>texaslottery.com winning numbers</t>
  </si>
  <si>
    <t>new york lottery past numbers results</t>
  </si>
  <si>
    <t>california fantasy 5 winning numbers last night</t>
  </si>
  <si>
    <t>florida lottery cash 3 winning number</t>
  </si>
  <si>
    <t>prediction winning numbers for today</t>
  </si>
  <si>
    <t>illinois state lottery results</t>
  </si>
  <si>
    <t>nsw oz lotto results</t>
  </si>
  <si>
    <t>nifty fifty lotto results today</t>
  </si>
  <si>
    <t>mega millions lotto winning numbers</t>
  </si>
  <si>
    <t>asue draw winning number</t>
  </si>
  <si>
    <t>dreams lottery numbers</t>
  </si>
  <si>
    <t>ga lottery past results</t>
  </si>
  <si>
    <t>lottery numbers for yesterday</t>
  </si>
  <si>
    <t>lottery results for new york</t>
  </si>
  <si>
    <t>mega winning number last night</t>
  </si>
  <si>
    <t>winning number for last night</t>
  </si>
  <si>
    <t>ga fantasy 5 winning numbers</t>
  </si>
  <si>
    <t>georgia lottery powerball results</t>
  </si>
  <si>
    <t>michigan lottery evening results</t>
  </si>
  <si>
    <t>florida lottery cash 3 play 4 evening results</t>
  </si>
  <si>
    <t>mega millions latest winning numbers</t>
  </si>
  <si>
    <t>pick 5 lottery results</t>
  </si>
  <si>
    <t>global lotto results</t>
  </si>
  <si>
    <t>lottery new york today results</t>
  </si>
  <si>
    <t>history lotto results</t>
  </si>
  <si>
    <t>tennessee lotto winning numbers</t>
  </si>
  <si>
    <t>ri lottery results</t>
  </si>
  <si>
    <t>lottery new york results archive past</t>
  </si>
  <si>
    <t>connecticut lotto winning numbers</t>
  </si>
  <si>
    <t>south african lotto results</t>
  </si>
  <si>
    <t>euro millions lotto results</t>
  </si>
  <si>
    <t>lottery results 2022</t>
  </si>
  <si>
    <t>texas lotto pick 3 results</t>
  </si>
  <si>
    <t>georgia lotto winning numbers</t>
  </si>
  <si>
    <t>lottery new york results today</t>
  </si>
  <si>
    <t>id lottery results</t>
  </si>
  <si>
    <t>lotto 6/49 results</t>
  </si>
  <si>
    <t>island luck winning number island luck winning</t>
  </si>
  <si>
    <t>take 5 winning numbers today</t>
  </si>
  <si>
    <t>last night florida lottery winning numbers</t>
  </si>
  <si>
    <t>new york lottery results william hill</t>
  </si>
  <si>
    <t>connecticut winning numbers</t>
  </si>
  <si>
    <t>ny lottery winning numbers and results</t>
  </si>
  <si>
    <t>right hand itching lottery numbers</t>
  </si>
  <si>
    <t>lottery results quebec</t>
  </si>
  <si>
    <t>mega millions florida past winning numbers</t>
  </si>
  <si>
    <t>the lottery numbers</t>
  </si>
  <si>
    <t>todays florida lottery numbers</t>
  </si>
  <si>
    <t>today's daily lotto results today</t>
  </si>
  <si>
    <t>new york lottery post results</t>
  </si>
  <si>
    <t>new york winning number for today</t>
  </si>
  <si>
    <t>new york lottery results last night</t>
  </si>
  <si>
    <t>new york lottery results winning numbers</t>
  </si>
  <si>
    <t>fantasy 5 florida past winning numbers</t>
  </si>
  <si>
    <t>michigan lottery hot and cold numbers</t>
  </si>
  <si>
    <t>georgia powerball past winning numbers</t>
  </si>
  <si>
    <t>idaho lottery post results</t>
  </si>
  <si>
    <t>results of new jersey lottery</t>
  </si>
  <si>
    <t>ny lottery results new york</t>
  </si>
  <si>
    <t>florida mega lottery results</t>
  </si>
  <si>
    <t>winning georgia lottery numbers</t>
  </si>
  <si>
    <t>lotto hotpick results</t>
  </si>
  <si>
    <t>5 digit lottery winning numbers</t>
  </si>
  <si>
    <t>new york lottery results win 4</t>
  </si>
  <si>
    <t>ontario 49 winning numbers tonight</t>
  </si>
  <si>
    <t>dream book lottery numbers free</t>
  </si>
  <si>
    <t>www lottery com results</t>
  </si>
  <si>
    <t>lottery bible numbers for today</t>
  </si>
  <si>
    <t>monday lotto winning numbers</t>
  </si>
  <si>
    <t>www.calottery.com winning numbers</t>
  </si>
  <si>
    <t>jackpot triple play with combo winning numbers</t>
  </si>
  <si>
    <t>winning numbers for florida</t>
  </si>
  <si>
    <t>lottery results indiana</t>
  </si>
  <si>
    <t>latest lotto results uk</t>
  </si>
  <si>
    <t>florida lotto pick 3 results</t>
  </si>
  <si>
    <t>lottery results history</t>
  </si>
  <si>
    <t>mega millions past winning numbers</t>
  </si>
  <si>
    <t>gold lotto wednesday results</t>
  </si>
  <si>
    <t>pick 4 midday past winning numbers</t>
  </si>
  <si>
    <t>powerball winning numbers history excel</t>
  </si>
  <si>
    <t>bowes winning numbers</t>
  </si>
  <si>
    <t>trinidad lotto results</t>
  </si>
  <si>
    <t>dv lottery 2020 results</t>
  </si>
  <si>
    <t>national lottery results for tonight</t>
  </si>
  <si>
    <t>past winning lottery numbers</t>
  </si>
  <si>
    <t>lottery free dream book numbers</t>
  </si>
  <si>
    <t>winning numbers for powerball last night</t>
  </si>
  <si>
    <t>results of irish lottery</t>
  </si>
  <si>
    <t>mirror numbers for lottery</t>
  </si>
  <si>
    <t>bc 49 winning numbers</t>
  </si>
  <si>
    <t>aries winning numbers today</t>
  </si>
  <si>
    <t>winning numbers for today 590</t>
  </si>
  <si>
    <t>ca lottery past winning numbers</t>
  </si>
  <si>
    <t>illinois lottery past winning numbers search</t>
  </si>
  <si>
    <t>florida lottery cash 3 winning numbers</t>
  </si>
  <si>
    <t>md lottery post results</t>
  </si>
  <si>
    <t>paradise lotto results today</t>
  </si>
  <si>
    <t>dream about mice lottery numbers</t>
  </si>
  <si>
    <t>lucky animal numbers for lottery</t>
  </si>
  <si>
    <t>tonight's lottery numbers</t>
  </si>
  <si>
    <t>iowa lottery past winning numbers</t>
  </si>
  <si>
    <t>lotto max past winning numbers 2019</t>
  </si>
  <si>
    <t>virginia winning numbers</t>
  </si>
  <si>
    <t>louisiana lottery pick 3, pick 4 winning numbers</t>
  </si>
  <si>
    <t>tennessee powerball winning numbers</t>
  </si>
  <si>
    <t>i saw lottery numbers in my dream</t>
  </si>
  <si>
    <t>winning number today lotto</t>
  </si>
  <si>
    <t>last night winning numbers lottery</t>
  </si>
  <si>
    <t>nj lottery results new jersey</t>
  </si>
  <si>
    <t>saturday yesterday lotto results</t>
  </si>
  <si>
    <t>lottery results uk</t>
  </si>
  <si>
    <t>lotto max winning numbers history</t>
  </si>
  <si>
    <t>mega ball winning numbers for tonight</t>
  </si>
  <si>
    <t>winning numbers for lotto</t>
  </si>
  <si>
    <t>barbados results lottery results</t>
  </si>
  <si>
    <t>post lottery results ny</t>
  </si>
  <si>
    <t>lotto x winning numbers</t>
  </si>
  <si>
    <t>chicago winning lottery number</t>
  </si>
  <si>
    <t>new york lotto winning numbers</t>
  </si>
  <si>
    <t>new york lottery win 4 winning numbers</t>
  </si>
  <si>
    <t>nc lottery results winning numbers</t>
  </si>
  <si>
    <t>unlock winning number</t>
  </si>
  <si>
    <t>spanish lottery results william hill</t>
  </si>
  <si>
    <t>irish lotto results for last night</t>
  </si>
  <si>
    <t>irish lotto results betfred</t>
  </si>
  <si>
    <t>lotto winning numbers prediction</t>
  </si>
  <si>
    <t>rhode island daily numbers winning numbers</t>
  </si>
  <si>
    <t>idaho powerball past winning numbers</t>
  </si>
  <si>
    <t>lotto quebec results</t>
  </si>
  <si>
    <t>north carolina powerball winning numbers</t>
  </si>
  <si>
    <t>florida winning numbers for last night</t>
  </si>
  <si>
    <t>connecticut (ct) lottery results | lottery post</t>
  </si>
  <si>
    <t>island luck winning numbers for the night</t>
  </si>
  <si>
    <t>google lottery numbers</t>
  </si>
  <si>
    <t>wednesday lotto results nsw</t>
  </si>
  <si>
    <t>palmetto cash 5 winning numbers</t>
  </si>
  <si>
    <t>fl pick 3 midday past 30 days winning numbers</t>
  </si>
  <si>
    <t>dallas lottery results</t>
  </si>
  <si>
    <t>lottery powerball winning numbers</t>
  </si>
  <si>
    <t>lottery canada results</t>
  </si>
  <si>
    <t>u.s. lottery results 2020</t>
  </si>
  <si>
    <t>oh lottery winning numbers</t>
  </si>
  <si>
    <t>florida cash for life winning numbers</t>
  </si>
  <si>
    <t>georgia winning lottery numbers</t>
  </si>
  <si>
    <t>new york lottery results live</t>
  </si>
  <si>
    <t>illinois lottery powerball results</t>
  </si>
  <si>
    <t>results the national lottery</t>
  </si>
  <si>
    <t>texas cash 4 winning numbers</t>
  </si>
  <si>
    <t>649 lottario winning numbers</t>
  </si>
  <si>
    <t>texas lottery pick 3 results</t>
  </si>
  <si>
    <t>new jersey lottery results for tonight</t>
  </si>
  <si>
    <t>lottery past winning numbers</t>
  </si>
  <si>
    <t>pick 3 past winning numbers</t>
  </si>
  <si>
    <t>tonight lottery winning numbers</t>
  </si>
  <si>
    <t>irish lottery numbers for last night please</t>
  </si>
  <si>
    <t>daily millions irish lottery results</t>
  </si>
  <si>
    <t>florida lottery results from last night</t>
  </si>
  <si>
    <t>national lottery results yesterday</t>
  </si>
  <si>
    <t>fantasy 5 florida winning numbers</t>
  </si>
  <si>
    <t>texas winning lottery number</t>
  </si>
  <si>
    <t>aquarius lucky numbers lottery predictions</t>
  </si>
  <si>
    <t>racetrax winning numbers please</t>
  </si>
  <si>
    <t>indiana lottery past winning numbers</t>
  </si>
  <si>
    <t>winning numbers for new york</t>
  </si>
  <si>
    <t>golden casket results lotto</t>
  </si>
  <si>
    <t>carolina powerball winning numbers</t>
  </si>
  <si>
    <t>lotto max results today</t>
  </si>
  <si>
    <t>uk lottery results history</t>
  </si>
  <si>
    <t>on lottery winning numbers</t>
  </si>
  <si>
    <t>california lottery winning results</t>
  </si>
  <si>
    <t>oklahoma winning lottery numbers</t>
  </si>
  <si>
    <t>fantasy 5 past winning numbers florida</t>
  </si>
  <si>
    <t>today's irish lotto results</t>
  </si>
  <si>
    <t>animal numbers for lottery</t>
  </si>
  <si>
    <t>lottario winning numbers olg</t>
  </si>
  <si>
    <t>new york winning numbers for tonight</t>
  </si>
  <si>
    <t>hot lottery numbers for today</t>
  </si>
  <si>
    <t>todays lottery winning numbers</t>
  </si>
  <si>
    <t>new york pick 3 evening winning numbers</t>
  </si>
  <si>
    <t>ny pick 3 past winning numbers</t>
  </si>
  <si>
    <t>ohio lottery archive results</t>
  </si>
  <si>
    <t>www.island luck winning numbers</t>
  </si>
  <si>
    <t>ri lottery daily numbers</t>
  </si>
  <si>
    <t>winning numbers florida lottery</t>
  </si>
  <si>
    <t>lottery numbers history</t>
  </si>
  <si>
    <t>today's winning florida lottery numbers</t>
  </si>
  <si>
    <t>spanish lotto results betfred</t>
  </si>
  <si>
    <t>halloween lottery numbers</t>
  </si>
  <si>
    <t>tonight's national lottery numbers</t>
  </si>
  <si>
    <t>can you predict the next lottery numbers</t>
  </si>
  <si>
    <t>arkansas lottery numbers</t>
  </si>
  <si>
    <t>oz lotto results last night</t>
  </si>
  <si>
    <t>lottery results today new york</t>
  </si>
  <si>
    <t>spanish lotto betfred results</t>
  </si>
  <si>
    <t>power lottery winning numbers</t>
  </si>
  <si>
    <t>latest irish lottery results all 3 draws</t>
  </si>
  <si>
    <t>louisiana lottery pick 3 winning numbers</t>
  </si>
  <si>
    <t>all lotto results for today</t>
  </si>
  <si>
    <t>fantasy 5 ca past winning numbers</t>
  </si>
  <si>
    <t>winning numbers california lottery</t>
  </si>
  <si>
    <t>ohio lottery pick 3 results</t>
  </si>
  <si>
    <t>lottery book numbers</t>
  </si>
  <si>
    <t>lottery results in nj</t>
  </si>
  <si>
    <t>ohio past winning numbers</t>
  </si>
  <si>
    <t>results lotto nsw</t>
  </si>
  <si>
    <t>dv lottery 2023 results by country</t>
  </si>
  <si>
    <t>lottery numbers generator</t>
  </si>
  <si>
    <t>pick five winning numbers</t>
  </si>
  <si>
    <t>last winning powerball numbers</t>
  </si>
  <si>
    <t>south africa lotto results</t>
  </si>
  <si>
    <t>h1b lottery 2024 results</t>
  </si>
  <si>
    <t>prediction lottery numbers</t>
  </si>
  <si>
    <t>california lottery daily 3 midday results</t>
  </si>
  <si>
    <t>lotto results nz</t>
  </si>
  <si>
    <t>lottery ny numbers</t>
  </si>
  <si>
    <t>lotto 649 winning numbers encore</t>
  </si>
  <si>
    <t>tonight's lotto results please</t>
  </si>
  <si>
    <t>birthday lottery numbers</t>
  </si>
  <si>
    <t>winning numbers login winning login island luck</t>
  </si>
  <si>
    <t>oregon lottery past results</t>
  </si>
  <si>
    <t>keno lotto results</t>
  </si>
  <si>
    <t>florida state lottery results</t>
  </si>
  <si>
    <t>arizona lottery post results</t>
  </si>
  <si>
    <t>oz lotto results today</t>
  </si>
  <si>
    <t>lotto results guyana</t>
  </si>
  <si>
    <t>chances of winning numbers</t>
  </si>
  <si>
    <t>winning numbers of lotto</t>
  </si>
  <si>
    <t>ny lottery powerball results</t>
  </si>
  <si>
    <t>georgia lottery results pick 3</t>
  </si>
  <si>
    <t>tn lottery winning numbers results</t>
  </si>
  <si>
    <t>pennsylvania winning lottery numbers</t>
  </si>
  <si>
    <t>euromillions winning numbers</t>
  </si>
  <si>
    <t>results lottery</t>
  </si>
  <si>
    <t>tonight's winning numbers</t>
  </si>
  <si>
    <t>lotto results check</t>
  </si>
  <si>
    <t>florida lotto past results</t>
  </si>
  <si>
    <t>north carolina lottery pick 3 results</t>
  </si>
  <si>
    <t>kapruka lottery results</t>
  </si>
  <si>
    <t>florida lotto fantasy 5 winning numbers</t>
  </si>
  <si>
    <t>georgia lottery cash 3 results</t>
  </si>
  <si>
    <t>ohio lottery winning numbers archive</t>
  </si>
  <si>
    <t>tennessee lottery post winning numbers</t>
  </si>
  <si>
    <t>ny lottery results today show</t>
  </si>
  <si>
    <t>winning lottery numbers for tennessee</t>
  </si>
  <si>
    <t>winning mega millions numbers</t>
  </si>
  <si>
    <t>lottery florida winner numbers</t>
  </si>
  <si>
    <t>lottery results post</t>
  </si>
  <si>
    <t>daily 3 evening winning numbers mi</t>
  </si>
  <si>
    <t>powerball winning numbers nj</t>
  </si>
  <si>
    <t>nsw lottery results</t>
  </si>
  <si>
    <t>irish lottery daily results</t>
  </si>
  <si>
    <t>il lotto results</t>
  </si>
  <si>
    <t>friday the 13th lottery numbers</t>
  </si>
  <si>
    <t>winning numbers fantasy 5 california</t>
  </si>
  <si>
    <t>dv lottery results 2025 winners list by country</t>
  </si>
  <si>
    <t>lottery ticket results checker</t>
  </si>
  <si>
    <t>lottery results new york</t>
  </si>
  <si>
    <t>georgia mega millions winning numbers</t>
  </si>
  <si>
    <t>lottery relative numbers</t>
  </si>
  <si>
    <t>euro dreams lottery results</t>
  </si>
  <si>
    <t>latest lottery numbers</t>
  </si>
  <si>
    <t>aries lucky numbers lottery predictions</t>
  </si>
  <si>
    <t>lotto 4d results today</t>
  </si>
  <si>
    <t>ar lottery numbers</t>
  </si>
  <si>
    <t>fl lottery winning numbers mega millions</t>
  </si>
  <si>
    <t>island luck winning numbers nassau bahamas</t>
  </si>
  <si>
    <t>md winning lottery numbers</t>
  </si>
  <si>
    <t>pick three winning numbers</t>
  </si>
  <si>
    <t>winning numbers.</t>
  </si>
  <si>
    <t>dv lottery 2021 results</t>
  </si>
  <si>
    <t>lottery ohio results</t>
  </si>
  <si>
    <t>california winning numbers lottery</t>
  </si>
  <si>
    <t>pick 5 winning numbers</t>
  </si>
  <si>
    <t>evening pick 3 new york lottery results</t>
  </si>
  <si>
    <t>lotto results last night</t>
  </si>
  <si>
    <t>sc lottery numbers</t>
  </si>
  <si>
    <t>lottery results for california</t>
  </si>
  <si>
    <t>national lottery euromillions results</t>
  </si>
  <si>
    <t>winning numbers powerball</t>
  </si>
  <si>
    <t>nc powerball winning numbers</t>
  </si>
  <si>
    <t>stl lottery results today</t>
  </si>
  <si>
    <t>lottery results l</t>
  </si>
  <si>
    <t>megaball winning numbers</t>
  </si>
  <si>
    <t>results for the texas lottery</t>
  </si>
  <si>
    <t>latest saturday gold lotto results</t>
  </si>
  <si>
    <t>wyoming lottery numbers</t>
  </si>
  <si>
    <t>winning quick draw numbers</t>
  </si>
  <si>
    <t>euro lotto results</t>
  </si>
  <si>
    <t>daily 3 winning numbers ca</t>
  </si>
  <si>
    <t>49s irish lotto results</t>
  </si>
  <si>
    <t>illinois winning lottery numbers</t>
  </si>
  <si>
    <t>powerball lucky winning numbers</t>
  </si>
  <si>
    <t>ill lottery results</t>
  </si>
  <si>
    <t>gold lotto results</t>
  </si>
  <si>
    <t>idaho lotto results</t>
  </si>
  <si>
    <t>winning number lotto</t>
  </si>
  <si>
    <t>lottery results nj</t>
  </si>
  <si>
    <t>s carolina lottery results</t>
  </si>
  <si>
    <t>the mega ball winning numbers</t>
  </si>
  <si>
    <t>superlotto plus past winning numbers 30 days</t>
  </si>
  <si>
    <t>new york lottery numbers new york lottery numbers</t>
  </si>
  <si>
    <t>spanish lottery results main draw</t>
  </si>
  <si>
    <t>mega winning numbers last night</t>
  </si>
  <si>
    <t>irish lottery results daily millions</t>
  </si>
  <si>
    <t>texas lottery numbers</t>
  </si>
  <si>
    <t>super winning numbers</t>
  </si>
  <si>
    <t>texas lottery results pick 3</t>
  </si>
  <si>
    <t>sat lottery results</t>
  </si>
  <si>
    <t>georgia lottery results for today</t>
  </si>
  <si>
    <t>california lottery results winning numbers</t>
  </si>
  <si>
    <t>lottery numbers strategy</t>
  </si>
  <si>
    <t>bc 50/50 winning numbers</t>
  </si>
  <si>
    <t>mexico lottery results</t>
  </si>
  <si>
    <t>fantasy 5 winning numbers 2023</t>
  </si>
  <si>
    <t>tennessee lottery results post</t>
  </si>
  <si>
    <t>powerball lotto results australia</t>
  </si>
  <si>
    <t>max winning numbers</t>
  </si>
  <si>
    <t>lottery georgia winning numbers</t>
  </si>
  <si>
    <t>the winning number</t>
  </si>
  <si>
    <t>new york lotto results post</t>
  </si>
  <si>
    <t>florida lotto winning numbers for saturday pick 3</t>
  </si>
  <si>
    <t>lotto plus results</t>
  </si>
  <si>
    <t>assure win winning numbers</t>
  </si>
  <si>
    <t>national lottery results checker uk</t>
  </si>
  <si>
    <t>todays lottery numbers</t>
  </si>
  <si>
    <t>chicago lottery winning number</t>
  </si>
  <si>
    <t>pick 4 winning numbers history</t>
  </si>
  <si>
    <t>jamaica lotto results today</t>
  </si>
  <si>
    <t>ontario lottery winning numbers</t>
  </si>
  <si>
    <t>mega jackpot lottery results</t>
  </si>
  <si>
    <t>can lottery numbers be predicted</t>
  </si>
  <si>
    <t>bc lottery winning numbers</t>
  </si>
  <si>
    <t>california lottery results fantasy 5</t>
  </si>
  <si>
    <t>lotto results for saturday jamaica</t>
  </si>
  <si>
    <t>maryland winning lottery numbers</t>
  </si>
  <si>
    <t>austria lotto 6/45 results</t>
  </si>
  <si>
    <t>michigan lottery daily 4 results</t>
  </si>
  <si>
    <t>winning numbers cash 4 life results</t>
  </si>
  <si>
    <t>oklahoma lottery past winning numbers</t>
  </si>
  <si>
    <t>powerball winning numbers monday night</t>
  </si>
  <si>
    <t>island luck winning numbers l</t>
  </si>
  <si>
    <t>lottery nj results today</t>
  </si>
  <si>
    <t>florida lotto cash 3 winning numbers</t>
  </si>
  <si>
    <t>new york pick 3 winning number</t>
  </si>
  <si>
    <t>south carolina lottery results pick 3 and pick 4</t>
  </si>
  <si>
    <t>lotto 649 winning numbers; encore</t>
  </si>
  <si>
    <t>the island game winning numbers</t>
  </si>
  <si>
    <t>49 winning number</t>
  </si>
  <si>
    <t>powerball winning number</t>
  </si>
  <si>
    <t>www new york lottery winning numbers</t>
  </si>
  <si>
    <t>dc past winning numbers</t>
  </si>
  <si>
    <t>ny lotto winning numbers</t>
  </si>
  <si>
    <t>oz lotto australia results</t>
  </si>
  <si>
    <t>new york pick 3 winning 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</si>
</sst>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3" numFmtId="0" xfId="0" applyFont="1"/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alottery.com/win/winning-numbers" TargetMode="External"/><Relationship Id="rId2" Type="http://schemas.openxmlformats.org/officeDocument/2006/relationships/hyperlink" Target="http://nylottery.ny.gov/past-winning-numbers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islandluck.com" TargetMode="External"/><Relationship Id="rId2" Type="http://schemas.openxmlformats.org/officeDocument/2006/relationships/hyperlink" Target="http://www.islandluck.com" TargetMode="External"/><Relationship Id="rId3" Type="http://schemas.openxmlformats.org/officeDocument/2006/relationships/hyperlink" Target="http://chancesgames.com" TargetMode="External"/><Relationship Id="rId4" Type="http://schemas.openxmlformats.org/officeDocument/2006/relationships/hyperlink" Target="http://lotterypost.com" TargetMode="External"/><Relationship Id="rId11" Type="http://schemas.openxmlformats.org/officeDocument/2006/relationships/hyperlink" Target="http://www.everybodywinslive.com" TargetMode="External"/><Relationship Id="rId10" Type="http://schemas.openxmlformats.org/officeDocument/2006/relationships/hyperlink" Target="http://theislandgame.com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://www.island.com" TargetMode="External"/><Relationship Id="rId5" Type="http://schemas.openxmlformats.org/officeDocument/2006/relationships/hyperlink" Target="http://www.lotterypost.com" TargetMode="External"/><Relationship Id="rId6" Type="http://schemas.openxmlformats.org/officeDocument/2006/relationships/hyperlink" Target="http://www.chancesgames.com" TargetMode="External"/><Relationship Id="rId7" Type="http://schemas.openxmlformats.org/officeDocument/2006/relationships/hyperlink" Target="http://www.theislandgame.com" TargetMode="External"/><Relationship Id="rId8" Type="http://schemas.openxmlformats.org/officeDocument/2006/relationships/hyperlink" Target="http://www.isla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5" t="str">
        <f>IFERROR(__xludf.DUMMYFUNCTION("IMPORTRANGE(""https://docs.google.com/spreadsheets/d/1LduFx7JK4t-GmGIaBexReDj5uh95VZrwzy2h8Fs4wwk/edit?usp=sharing"", ""'Bracket 1 - Lotto Results'!L3:L"")"),"winning numbers bahamas")</f>
        <v>winning numbers bahamas</v>
      </c>
      <c r="C2" s="6"/>
      <c r="N2" s="7"/>
    </row>
    <row r="3">
      <c r="B3" s="5" t="str">
        <f>IFERROR(__xludf.DUMMYFUNCTION("""COMPUTED_VALUE"""),"winning number bahamas")</f>
        <v>winning number bahamas</v>
      </c>
      <c r="N3" s="7"/>
    </row>
    <row r="4">
      <c r="B4" s="5" t="str">
        <f>IFERROR(__xludf.DUMMYFUNCTION("""COMPUTED_VALUE"""),"lottery results bahamas")</f>
        <v>lottery results bahamas</v>
      </c>
      <c r="N4" s="7"/>
    </row>
    <row r="5">
      <c r="B5" s="5" t="str">
        <f>IFERROR(__xludf.DUMMYFUNCTION("""COMPUTED_VALUE"""),"lotto results bahamas")</f>
        <v>lotto results bahamas</v>
      </c>
      <c r="N5" s="7"/>
    </row>
    <row r="6">
      <c r="B6" s="5" t="str">
        <f>IFERROR(__xludf.DUMMYFUNCTION("""COMPUTED_VALUE"""),"lotto numbers bahamas")</f>
        <v>lotto numbers bahamas</v>
      </c>
    </row>
    <row r="7">
      <c r="B7" s="5" t="str">
        <f>IFERROR(__xludf.DUMMYFUNCTION("""COMPUTED_VALUE"""),"draw results bahamas")</f>
        <v>draw results bahamas</v>
      </c>
    </row>
    <row r="8">
      <c r="B8" s="5" t="str">
        <f>IFERROR(__xludf.DUMMYFUNCTION("""COMPUTED_VALUE"""),"lottery winning numbers bahamas")</f>
        <v>lottery winning numbers bahamas</v>
      </c>
    </row>
    <row r="9">
      <c r="B9" s="5" t="str">
        <f>IFERROR(__xludf.DUMMYFUNCTION("""COMPUTED_VALUE"""),"lottery numbers bahamas")</f>
        <v>lottery numbers bahamas</v>
      </c>
    </row>
    <row r="10">
      <c r="B10" s="5" t="str">
        <f>IFERROR(__xludf.DUMMYFUNCTION("""COMPUTED_VALUE"""),"winning numbers today bahamas")</f>
        <v>winning numbers today bahamas</v>
      </c>
    </row>
    <row r="11">
      <c r="B11" s="5" t="str">
        <f>IFERROR(__xludf.DUMMYFUNCTION("""COMPUTED_VALUE"""),"numbers today bahamas")</f>
        <v>numbers today bahamas</v>
      </c>
    </row>
    <row r="12">
      <c r="B12" s="5" t="str">
        <f>IFERROR(__xludf.DUMMYFUNCTION("""COMPUTED_VALUE"""),"winning numbers today")</f>
        <v>winning numbers today</v>
      </c>
    </row>
    <row r="13">
      <c r="B13" s="5" t="str">
        <f>IFERROR(__xludf.DUMMYFUNCTION("""COMPUTED_VALUE"""),"winning number today")</f>
        <v>winning number today</v>
      </c>
    </row>
    <row r="14">
      <c r="B14" s="5" t="str">
        <f>IFERROR(__xludf.DUMMYFUNCTION("""COMPUTED_VALUE"""),"lottery results today")</f>
        <v>lottery results today</v>
      </c>
    </row>
    <row r="15">
      <c r="B15" s="5" t="str">
        <f>IFERROR(__xludf.DUMMYFUNCTION("""COMPUTED_VALUE"""),"lotto results today")</f>
        <v>lotto results today</v>
      </c>
    </row>
    <row r="16">
      <c r="B16" s="5" t="str">
        <f>IFERROR(__xludf.DUMMYFUNCTION("""COMPUTED_VALUE"""),"lotto numbers today")</f>
        <v>lotto numbers today</v>
      </c>
    </row>
    <row r="17">
      <c r="B17" s="5" t="str">
        <f>IFERROR(__xludf.DUMMYFUNCTION("""COMPUTED_VALUE"""),"draw results today")</f>
        <v>draw results today</v>
      </c>
    </row>
    <row r="18">
      <c r="B18" s="5" t="str">
        <f>IFERROR(__xludf.DUMMYFUNCTION("""COMPUTED_VALUE"""),"lottery winning numbers today")</f>
        <v>lottery winning numbers today</v>
      </c>
    </row>
    <row r="19">
      <c r="B19" s="5" t="str">
        <f>IFERROR(__xludf.DUMMYFUNCTION("""COMPUTED_VALUE"""),"lottery numbers today")</f>
        <v>lottery numbers today</v>
      </c>
    </row>
    <row r="20">
      <c r="B20" s="5" t="str">
        <f>IFERROR(__xludf.DUMMYFUNCTION("""COMPUTED_VALUE"""),"winning numbers today")</f>
        <v>winning numbers today</v>
      </c>
    </row>
    <row r="21">
      <c r="B21" s="5" t="str">
        <f>IFERROR(__xludf.DUMMYFUNCTION("""COMPUTED_VALUE"""),"numbers today")</f>
        <v>numbers today</v>
      </c>
    </row>
    <row r="22">
      <c r="B22" s="5" t="str">
        <f>IFERROR(__xludf.DUMMYFUNCTION("""COMPUTED_VALUE"""),"winning numbers tonight")</f>
        <v>winning numbers tonight</v>
      </c>
    </row>
    <row r="23">
      <c r="B23" s="5" t="str">
        <f>IFERROR(__xludf.DUMMYFUNCTION("""COMPUTED_VALUE"""),"winning number tonight")</f>
        <v>winning number tonight</v>
      </c>
    </row>
    <row r="24">
      <c r="B24" s="5" t="str">
        <f>IFERROR(__xludf.DUMMYFUNCTION("""COMPUTED_VALUE"""),"lottery results tonight")</f>
        <v>lottery results tonight</v>
      </c>
    </row>
    <row r="25">
      <c r="B25" s="5" t="str">
        <f>IFERROR(__xludf.DUMMYFUNCTION("""COMPUTED_VALUE"""),"lotto results tonight")</f>
        <v>lotto results tonight</v>
      </c>
    </row>
    <row r="26">
      <c r="B26" s="5" t="str">
        <f>IFERROR(__xludf.DUMMYFUNCTION("""COMPUTED_VALUE"""),"lotto numbers tonight")</f>
        <v>lotto numbers tonight</v>
      </c>
    </row>
    <row r="27">
      <c r="B27" s="5" t="str">
        <f>IFERROR(__xludf.DUMMYFUNCTION("""COMPUTED_VALUE"""),"draw results tonight")</f>
        <v>draw results tonight</v>
      </c>
    </row>
    <row r="28">
      <c r="B28" s="5" t="str">
        <f>IFERROR(__xludf.DUMMYFUNCTION("""COMPUTED_VALUE"""),"lottery winning numbers tonight")</f>
        <v>lottery winning numbers tonight</v>
      </c>
    </row>
    <row r="29">
      <c r="B29" s="5" t="str">
        <f>IFERROR(__xludf.DUMMYFUNCTION("""COMPUTED_VALUE"""),"lottery numbers tonight")</f>
        <v>lottery numbers tonight</v>
      </c>
    </row>
    <row r="30">
      <c r="B30" s="5" t="str">
        <f>IFERROR(__xludf.DUMMYFUNCTION("""COMPUTED_VALUE"""),"winning numbers today tonight")</f>
        <v>winning numbers today tonight</v>
      </c>
    </row>
    <row r="31">
      <c r="B31" s="5" t="str">
        <f>IFERROR(__xludf.DUMMYFUNCTION("""COMPUTED_VALUE"""),"numbers today tonight")</f>
        <v>numbers today tonight</v>
      </c>
    </row>
    <row r="32">
      <c r="B32" s="5" t="str">
        <f>IFERROR(__xludf.DUMMYFUNCTION("""COMPUTED_VALUE"""),"winning numbers for today")</f>
        <v>winning numbers for today</v>
      </c>
    </row>
    <row r="33">
      <c r="B33" s="5" t="str">
        <f>IFERROR(__xludf.DUMMYFUNCTION("""COMPUTED_VALUE"""),"winning number for today")</f>
        <v>winning number for today</v>
      </c>
    </row>
    <row r="34">
      <c r="B34" s="5" t="str">
        <f>IFERROR(__xludf.DUMMYFUNCTION("""COMPUTED_VALUE"""),"lottery results for today")</f>
        <v>lottery results for today</v>
      </c>
    </row>
    <row r="35">
      <c r="B35" s="5" t="str">
        <f>IFERROR(__xludf.DUMMYFUNCTION("""COMPUTED_VALUE"""),"lotto results for today")</f>
        <v>lotto results for today</v>
      </c>
    </row>
    <row r="36">
      <c r="B36" s="5" t="str">
        <f>IFERROR(__xludf.DUMMYFUNCTION("""COMPUTED_VALUE"""),"lotto numbers for today")</f>
        <v>lotto numbers for today</v>
      </c>
    </row>
    <row r="37">
      <c r="B37" s="5" t="str">
        <f>IFERROR(__xludf.DUMMYFUNCTION("""COMPUTED_VALUE"""),"draw results for today")</f>
        <v>draw results for today</v>
      </c>
    </row>
    <row r="38">
      <c r="B38" s="5" t="str">
        <f>IFERROR(__xludf.DUMMYFUNCTION("""COMPUTED_VALUE"""),"lottery winning numbers for today")</f>
        <v>lottery winning numbers for today</v>
      </c>
    </row>
    <row r="39">
      <c r="B39" s="5" t="str">
        <f>IFERROR(__xludf.DUMMYFUNCTION("""COMPUTED_VALUE"""),"lottery numbers for today")</f>
        <v>lottery numbers for today</v>
      </c>
    </row>
    <row r="40">
      <c r="B40" s="5" t="str">
        <f>IFERROR(__xludf.DUMMYFUNCTION("""COMPUTED_VALUE"""),"winning numbers today for today")</f>
        <v>winning numbers today for today</v>
      </c>
    </row>
    <row r="41">
      <c r="B41" s="5" t="str">
        <f>IFERROR(__xludf.DUMMYFUNCTION("""COMPUTED_VALUE"""),"numbers today for today")</f>
        <v>numbers today for today</v>
      </c>
    </row>
    <row r="42">
      <c r="B42" s="5" t="str">
        <f>IFERROR(__xludf.DUMMYFUNCTION("""COMPUTED_VALUE"""),"winning numbers for the day")</f>
        <v>winning numbers for the day</v>
      </c>
    </row>
    <row r="43">
      <c r="B43" s="5" t="str">
        <f>IFERROR(__xludf.DUMMYFUNCTION("""COMPUTED_VALUE"""),"winning number for the day")</f>
        <v>winning number for the day</v>
      </c>
    </row>
    <row r="44">
      <c r="B44" s="5" t="str">
        <f>IFERROR(__xludf.DUMMYFUNCTION("""COMPUTED_VALUE"""),"lottery results for the day")</f>
        <v>lottery results for the day</v>
      </c>
    </row>
    <row r="45">
      <c r="B45" s="5" t="str">
        <f>IFERROR(__xludf.DUMMYFUNCTION("""COMPUTED_VALUE"""),"lotto results for the day")</f>
        <v>lotto results for the day</v>
      </c>
    </row>
    <row r="46">
      <c r="B46" s="5" t="str">
        <f>IFERROR(__xludf.DUMMYFUNCTION("""COMPUTED_VALUE"""),"lotto numbers for the day")</f>
        <v>lotto numbers for the day</v>
      </c>
    </row>
    <row r="47">
      <c r="B47" s="5" t="str">
        <f>IFERROR(__xludf.DUMMYFUNCTION("""COMPUTED_VALUE"""),"draw results for the day")</f>
        <v>draw results for the day</v>
      </c>
    </row>
    <row r="48">
      <c r="B48" s="5" t="str">
        <f>IFERROR(__xludf.DUMMYFUNCTION("""COMPUTED_VALUE"""),"lottery winning numbers for the day")</f>
        <v>lottery winning numbers for the day</v>
      </c>
    </row>
    <row r="49">
      <c r="B49" s="5" t="str">
        <f>IFERROR(__xludf.DUMMYFUNCTION("""COMPUTED_VALUE"""),"lottery numbers for the day")</f>
        <v>lottery numbers for the day</v>
      </c>
    </row>
    <row r="50">
      <c r="B50" s="5" t="str">
        <f>IFERROR(__xludf.DUMMYFUNCTION("""COMPUTED_VALUE"""),"winning numbers today for the day")</f>
        <v>winning numbers today for the day</v>
      </c>
    </row>
    <row r="51">
      <c r="B51" s="5" t="str">
        <f>IFERROR(__xludf.DUMMYFUNCTION("""COMPUTED_VALUE"""),"numbers today for the day")</f>
        <v>numbers today for the day</v>
      </c>
    </row>
    <row r="52">
      <c r="B52" s="5" t="str">
        <f>IFERROR(__xludf.DUMMYFUNCTION("""COMPUTED_VALUE"""),"winning numbers latest")</f>
        <v>winning numbers latest</v>
      </c>
    </row>
    <row r="53">
      <c r="B53" s="5" t="str">
        <f>IFERROR(__xludf.DUMMYFUNCTION("""COMPUTED_VALUE"""),"winning number latest")</f>
        <v>winning number latest</v>
      </c>
    </row>
    <row r="54">
      <c r="B54" s="5" t="str">
        <f>IFERROR(__xludf.DUMMYFUNCTION("""COMPUTED_VALUE"""),"lottery results latest")</f>
        <v>lottery results latest</v>
      </c>
    </row>
    <row r="55">
      <c r="B55" s="5" t="str">
        <f>IFERROR(__xludf.DUMMYFUNCTION("""COMPUTED_VALUE"""),"lotto results latest")</f>
        <v>lotto results latest</v>
      </c>
    </row>
    <row r="56">
      <c r="B56" s="5" t="str">
        <f>IFERROR(__xludf.DUMMYFUNCTION("""COMPUTED_VALUE"""),"lotto numbers latest")</f>
        <v>lotto numbers latest</v>
      </c>
    </row>
    <row r="57">
      <c r="B57" s="5" t="str">
        <f>IFERROR(__xludf.DUMMYFUNCTION("""COMPUTED_VALUE"""),"draw results latest")</f>
        <v>draw results latest</v>
      </c>
    </row>
    <row r="58">
      <c r="B58" s="5" t="str">
        <f>IFERROR(__xludf.DUMMYFUNCTION("""COMPUTED_VALUE"""),"lottery winning numbers latest")</f>
        <v>lottery winning numbers latest</v>
      </c>
    </row>
    <row r="59">
      <c r="B59" s="5" t="str">
        <f>IFERROR(__xludf.DUMMYFUNCTION("""COMPUTED_VALUE"""),"lottery numbers latest")</f>
        <v>lottery numbers latest</v>
      </c>
    </row>
    <row r="60">
      <c r="B60" s="5" t="str">
        <f>IFERROR(__xludf.DUMMYFUNCTION("""COMPUTED_VALUE"""),"winning numbers today latest")</f>
        <v>winning numbers today latest</v>
      </c>
    </row>
    <row r="61">
      <c r="B61" s="5" t="str">
        <f>IFERROR(__xludf.DUMMYFUNCTION("""COMPUTED_VALUE"""),"numbers today latest")</f>
        <v>numbers today latest</v>
      </c>
    </row>
    <row r="62">
      <c r="B62" s="5" t="str">
        <f>IFERROR(__xludf.DUMMYFUNCTION("""COMPUTED_VALUE"""),"winning numbers live")</f>
        <v>winning numbers live</v>
      </c>
    </row>
    <row r="63">
      <c r="B63" s="5" t="str">
        <f>IFERROR(__xludf.DUMMYFUNCTION("""COMPUTED_VALUE"""),"winning number live")</f>
        <v>winning number live</v>
      </c>
    </row>
    <row r="64">
      <c r="B64" s="5" t="str">
        <f>IFERROR(__xludf.DUMMYFUNCTION("""COMPUTED_VALUE"""),"lottery results live")</f>
        <v>lottery results live</v>
      </c>
    </row>
    <row r="65">
      <c r="B65" s="5" t="str">
        <f>IFERROR(__xludf.DUMMYFUNCTION("""COMPUTED_VALUE"""),"lotto results live")</f>
        <v>lotto results live</v>
      </c>
    </row>
    <row r="66">
      <c r="B66" s="5" t="str">
        <f>IFERROR(__xludf.DUMMYFUNCTION("""COMPUTED_VALUE"""),"lotto numbers live")</f>
        <v>lotto numbers live</v>
      </c>
    </row>
    <row r="67">
      <c r="B67" s="5" t="str">
        <f>IFERROR(__xludf.DUMMYFUNCTION("""COMPUTED_VALUE"""),"draw results live")</f>
        <v>draw results live</v>
      </c>
    </row>
    <row r="68">
      <c r="B68" s="5" t="str">
        <f>IFERROR(__xludf.DUMMYFUNCTION("""COMPUTED_VALUE"""),"lottery winning numbers live")</f>
        <v>lottery winning numbers live</v>
      </c>
    </row>
    <row r="69">
      <c r="B69" s="5" t="str">
        <f>IFERROR(__xludf.DUMMYFUNCTION("""COMPUTED_VALUE"""),"lottery numbers live")</f>
        <v>lottery numbers live</v>
      </c>
    </row>
    <row r="70">
      <c r="B70" s="5" t="str">
        <f>IFERROR(__xludf.DUMMYFUNCTION("""COMPUTED_VALUE"""),"winning numbers today live")</f>
        <v>winning numbers today live</v>
      </c>
    </row>
    <row r="71">
      <c r="B71" s="5" t="str">
        <f>IFERROR(__xludf.DUMMYFUNCTION("""COMPUTED_VALUE"""),"numbers today live")</f>
        <v>numbers today live</v>
      </c>
    </row>
    <row r="72">
      <c r="B72" s="5" t="str">
        <f>IFERROR(__xludf.DUMMYFUNCTION("""COMPUTED_VALUE"""),"winning numbers official")</f>
        <v>winning numbers official</v>
      </c>
    </row>
    <row r="73">
      <c r="B73" s="5" t="str">
        <f>IFERROR(__xludf.DUMMYFUNCTION("""COMPUTED_VALUE"""),"winning number official")</f>
        <v>winning number official</v>
      </c>
    </row>
    <row r="74">
      <c r="B74" s="5" t="str">
        <f>IFERROR(__xludf.DUMMYFUNCTION("""COMPUTED_VALUE"""),"lottery results official")</f>
        <v>lottery results official</v>
      </c>
    </row>
    <row r="75">
      <c r="B75" s="5" t="str">
        <f>IFERROR(__xludf.DUMMYFUNCTION("""COMPUTED_VALUE"""),"lotto results official")</f>
        <v>lotto results official</v>
      </c>
    </row>
    <row r="76">
      <c r="B76" s="5" t="str">
        <f>IFERROR(__xludf.DUMMYFUNCTION("""COMPUTED_VALUE"""),"lotto numbers official")</f>
        <v>lotto numbers official</v>
      </c>
    </row>
    <row r="77">
      <c r="B77" s="5" t="str">
        <f>IFERROR(__xludf.DUMMYFUNCTION("""COMPUTED_VALUE"""),"draw results official")</f>
        <v>draw results official</v>
      </c>
    </row>
    <row r="78">
      <c r="B78" s="5" t="str">
        <f>IFERROR(__xludf.DUMMYFUNCTION("""COMPUTED_VALUE"""),"lottery winning numbers official")</f>
        <v>lottery winning numbers official</v>
      </c>
    </row>
    <row r="79">
      <c r="B79" s="5" t="str">
        <f>IFERROR(__xludf.DUMMYFUNCTION("""COMPUTED_VALUE"""),"lottery numbers official")</f>
        <v>lottery numbers official</v>
      </c>
    </row>
    <row r="80">
      <c r="B80" s="5" t="str">
        <f>IFERROR(__xludf.DUMMYFUNCTION("""COMPUTED_VALUE"""),"winning numbers today official")</f>
        <v>winning numbers today official</v>
      </c>
    </row>
    <row r="81">
      <c r="B81" s="5" t="str">
        <f>IFERROR(__xludf.DUMMYFUNCTION("""COMPUTED_VALUE"""),"numbers today official")</f>
        <v>numbers today official</v>
      </c>
    </row>
    <row r="82">
      <c r="B82" s="5" t="str">
        <f>IFERROR(__xludf.DUMMYFUNCTION("""COMPUTED_VALUE"""),"winning numbers lottery post")</f>
        <v>winning numbers lottery post</v>
      </c>
    </row>
    <row r="83">
      <c r="B83" s="5" t="str">
        <f>IFERROR(__xludf.DUMMYFUNCTION("""COMPUTED_VALUE"""),"winning number lottery post")</f>
        <v>winning number lottery post</v>
      </c>
    </row>
    <row r="84">
      <c r="B84" s="5" t="str">
        <f>IFERROR(__xludf.DUMMYFUNCTION("""COMPUTED_VALUE"""),"lottery results lottery post")</f>
        <v>lottery results lottery post</v>
      </c>
    </row>
    <row r="85">
      <c r="B85" s="5" t="str">
        <f>IFERROR(__xludf.DUMMYFUNCTION("""COMPUTED_VALUE"""),"lotto results lottery post")</f>
        <v>lotto results lottery post</v>
      </c>
    </row>
    <row r="86">
      <c r="B86" s="5" t="str">
        <f>IFERROR(__xludf.DUMMYFUNCTION("""COMPUTED_VALUE"""),"lotto numbers lottery post")</f>
        <v>lotto numbers lottery post</v>
      </c>
    </row>
    <row r="87">
      <c r="B87" s="5" t="str">
        <f>IFERROR(__xludf.DUMMYFUNCTION("""COMPUTED_VALUE"""),"draw results lottery post")</f>
        <v>draw results lottery post</v>
      </c>
    </row>
    <row r="88">
      <c r="B88" s="5" t="str">
        <f>IFERROR(__xludf.DUMMYFUNCTION("""COMPUTED_VALUE"""),"lottery winning numbers lottery post")</f>
        <v>lottery winning numbers lottery post</v>
      </c>
    </row>
    <row r="89">
      <c r="B89" s="5" t="str">
        <f>IFERROR(__xludf.DUMMYFUNCTION("""COMPUTED_VALUE"""),"lottery numbers lottery post")</f>
        <v>lottery numbers lottery post</v>
      </c>
    </row>
    <row r="90">
      <c r="B90" s="5" t="str">
        <f>IFERROR(__xludf.DUMMYFUNCTION("""COMPUTED_VALUE"""),"winning numbers today lottery post")</f>
        <v>winning numbers today lottery post</v>
      </c>
    </row>
    <row r="91">
      <c r="B91" s="5" t="str">
        <f>IFERROR(__xludf.DUMMYFUNCTION("""COMPUTED_VALUE"""),"numbers today lottery post")</f>
        <v>numbers today lottery post</v>
      </c>
    </row>
    <row r="92">
      <c r="B92" s="5" t="str">
        <f>IFERROR(__xludf.DUMMYFUNCTION("""COMPUTED_VALUE"""),"winning numbers island luck")</f>
        <v>winning numbers island luck</v>
      </c>
    </row>
    <row r="93">
      <c r="B93" s="5" t="str">
        <f>IFERROR(__xludf.DUMMYFUNCTION("""COMPUTED_VALUE"""),"winning number island luck")</f>
        <v>winning number island luck</v>
      </c>
    </row>
    <row r="94">
      <c r="B94" s="5" t="str">
        <f>IFERROR(__xludf.DUMMYFUNCTION("""COMPUTED_VALUE"""),"lottery results island luck")</f>
        <v>lottery results island luck</v>
      </c>
    </row>
    <row r="95">
      <c r="B95" s="5" t="str">
        <f>IFERROR(__xludf.DUMMYFUNCTION("""COMPUTED_VALUE"""),"lotto results island luck")</f>
        <v>lotto results island luck</v>
      </c>
    </row>
    <row r="96">
      <c r="B96" s="5" t="str">
        <f>IFERROR(__xludf.DUMMYFUNCTION("""COMPUTED_VALUE"""),"lotto numbers island luck")</f>
        <v>lotto numbers island luck</v>
      </c>
    </row>
    <row r="97">
      <c r="B97" s="5" t="str">
        <f>IFERROR(__xludf.DUMMYFUNCTION("""COMPUTED_VALUE"""),"draw results island luck")</f>
        <v>draw results island luck</v>
      </c>
    </row>
    <row r="98">
      <c r="B98" s="5" t="str">
        <f>IFERROR(__xludf.DUMMYFUNCTION("""COMPUTED_VALUE"""),"lottery winning numbers island luck")</f>
        <v>lottery winning numbers island luck</v>
      </c>
    </row>
    <row r="99">
      <c r="B99" s="5" t="str">
        <f>IFERROR(__xludf.DUMMYFUNCTION("""COMPUTED_VALUE"""),"lottery numbers island luck")</f>
        <v>lottery numbers island luck</v>
      </c>
    </row>
    <row r="100">
      <c r="B100" s="5" t="str">
        <f>IFERROR(__xludf.DUMMYFUNCTION("""COMPUTED_VALUE"""),"winning numbers today island luck")</f>
        <v>winning numbers today island luck</v>
      </c>
    </row>
    <row r="101">
      <c r="B101" s="5" t="str">
        <f>IFERROR(__xludf.DUMMYFUNCTION("""COMPUTED_VALUE"""),"numbers today island luck")</f>
        <v>numbers today island luck</v>
      </c>
    </row>
    <row r="102">
      <c r="B102" s="5" t="str">
        <f>IFERROR(__xludf.DUMMYFUNCTION("""COMPUTED_VALUE"""),"winning numbers chances")</f>
        <v>winning numbers chances</v>
      </c>
    </row>
    <row r="103">
      <c r="B103" s="5" t="str">
        <f>IFERROR(__xludf.DUMMYFUNCTION("""COMPUTED_VALUE"""),"winning number chances")</f>
        <v>winning number chances</v>
      </c>
    </row>
    <row r="104">
      <c r="B104" s="5" t="str">
        <f>IFERROR(__xludf.DUMMYFUNCTION("""COMPUTED_VALUE"""),"lottery results chances")</f>
        <v>lottery results chances</v>
      </c>
    </row>
    <row r="105">
      <c r="B105" s="5" t="str">
        <f>IFERROR(__xludf.DUMMYFUNCTION("""COMPUTED_VALUE"""),"lotto results chances")</f>
        <v>lotto results chances</v>
      </c>
    </row>
    <row r="106">
      <c r="B106" s="5" t="str">
        <f>IFERROR(__xludf.DUMMYFUNCTION("""COMPUTED_VALUE"""),"lotto numbers chances")</f>
        <v>lotto numbers chances</v>
      </c>
    </row>
    <row r="107">
      <c r="B107" s="5" t="str">
        <f>IFERROR(__xludf.DUMMYFUNCTION("""COMPUTED_VALUE"""),"draw results chances")</f>
        <v>draw results chances</v>
      </c>
    </row>
    <row r="108">
      <c r="B108" s="5" t="str">
        <f>IFERROR(__xludf.DUMMYFUNCTION("""COMPUTED_VALUE"""),"lottery winning numbers chances")</f>
        <v>lottery winning numbers chances</v>
      </c>
    </row>
    <row r="109">
      <c r="B109" s="5" t="str">
        <f>IFERROR(__xludf.DUMMYFUNCTION("""COMPUTED_VALUE"""),"lottery numbers chances")</f>
        <v>lottery numbers chances</v>
      </c>
    </row>
    <row r="110">
      <c r="B110" s="5" t="str">
        <f>IFERROR(__xludf.DUMMYFUNCTION("""COMPUTED_VALUE"""),"winning numbers today chances")</f>
        <v>winning numbers today chances</v>
      </c>
    </row>
    <row r="111">
      <c r="B111" s="5" t="str">
        <f>IFERROR(__xludf.DUMMYFUNCTION("""COMPUTED_VALUE"""),"numbers today chances")</f>
        <v>numbers today chances</v>
      </c>
    </row>
    <row r="112">
      <c r="B112" s="5" t="str">
        <f>IFERROR(__xludf.DUMMYFUNCTION("""COMPUTED_VALUE"""),"winning numbers ultra games")</f>
        <v>winning numbers ultra games</v>
      </c>
    </row>
    <row r="113">
      <c r="B113" s="5" t="str">
        <f>IFERROR(__xludf.DUMMYFUNCTION("""COMPUTED_VALUE"""),"winning number ultra games")</f>
        <v>winning number ultra games</v>
      </c>
    </row>
    <row r="114">
      <c r="B114" s="5" t="str">
        <f>IFERROR(__xludf.DUMMYFUNCTION("""COMPUTED_VALUE"""),"lottery results ultra games")</f>
        <v>lottery results ultra games</v>
      </c>
    </row>
    <row r="115">
      <c r="B115" s="5" t="str">
        <f>IFERROR(__xludf.DUMMYFUNCTION("""COMPUTED_VALUE"""),"lotto results ultra games")</f>
        <v>lotto results ultra games</v>
      </c>
    </row>
    <row r="116">
      <c r="B116" s="5" t="str">
        <f>IFERROR(__xludf.DUMMYFUNCTION("""COMPUTED_VALUE"""),"lotto numbers ultra games")</f>
        <v>lotto numbers ultra games</v>
      </c>
    </row>
    <row r="117">
      <c r="B117" s="5" t="str">
        <f>IFERROR(__xludf.DUMMYFUNCTION("""COMPUTED_VALUE"""),"draw results ultra games")</f>
        <v>draw results ultra games</v>
      </c>
    </row>
    <row r="118">
      <c r="B118" s="5" t="str">
        <f>IFERROR(__xludf.DUMMYFUNCTION("""COMPUTED_VALUE"""),"lottery winning numbers ultra games")</f>
        <v>lottery winning numbers ultra games</v>
      </c>
    </row>
    <row r="119">
      <c r="B119" s="5" t="str">
        <f>IFERROR(__xludf.DUMMYFUNCTION("""COMPUTED_VALUE"""),"lottery numbers ultra games")</f>
        <v>lottery numbers ultra games</v>
      </c>
    </row>
    <row r="120">
      <c r="B120" s="5" t="str">
        <f>IFERROR(__xludf.DUMMYFUNCTION("""COMPUTED_VALUE"""),"winning numbers today ultra games")</f>
        <v>winning numbers today ultra games</v>
      </c>
    </row>
    <row r="121">
      <c r="B121" s="5" t="str">
        <f>IFERROR(__xludf.DUMMYFUNCTION("""COMPUTED_VALUE"""),"numbers today ultra games")</f>
        <v>numbers today ultra games</v>
      </c>
    </row>
    <row r="122">
      <c r="B122" s="5" t="str">
        <f>IFERROR(__xludf.DUMMYFUNCTION("""COMPUTED_VALUE"""),"winning numbers asurewin")</f>
        <v>winning numbers asurewin</v>
      </c>
    </row>
    <row r="123">
      <c r="B123" s="5" t="str">
        <f>IFERROR(__xludf.DUMMYFUNCTION("""COMPUTED_VALUE"""),"winning number asurewin")</f>
        <v>winning number asurewin</v>
      </c>
    </row>
    <row r="124">
      <c r="B124" s="5" t="str">
        <f>IFERROR(__xludf.DUMMYFUNCTION("""COMPUTED_VALUE"""),"lottery results asurewin")</f>
        <v>lottery results asurewin</v>
      </c>
    </row>
    <row r="125">
      <c r="B125" s="5" t="str">
        <f>IFERROR(__xludf.DUMMYFUNCTION("""COMPUTED_VALUE"""),"lotto results asurewin")</f>
        <v>lotto results asurewin</v>
      </c>
    </row>
    <row r="126">
      <c r="B126" s="5" t="str">
        <f>IFERROR(__xludf.DUMMYFUNCTION("""COMPUTED_VALUE"""),"lotto numbers asurewin")</f>
        <v>lotto numbers asurewin</v>
      </c>
    </row>
    <row r="127">
      <c r="B127" s="5" t="str">
        <f>IFERROR(__xludf.DUMMYFUNCTION("""COMPUTED_VALUE"""),"draw results asurewin")</f>
        <v>draw results asurewin</v>
      </c>
    </row>
    <row r="128">
      <c r="B128" s="5" t="str">
        <f>IFERROR(__xludf.DUMMYFUNCTION("""COMPUTED_VALUE"""),"lottery winning numbers asurewin")</f>
        <v>lottery winning numbers asurewin</v>
      </c>
    </row>
    <row r="129">
      <c r="B129" s="5" t="str">
        <f>IFERROR(__xludf.DUMMYFUNCTION("""COMPUTED_VALUE"""),"lottery numbers asurewin")</f>
        <v>lottery numbers asurewin</v>
      </c>
    </row>
    <row r="130">
      <c r="B130" s="5" t="str">
        <f>IFERROR(__xludf.DUMMYFUNCTION("""COMPUTED_VALUE"""),"winning numbers today asurewin")</f>
        <v>winning numbers today asurewin</v>
      </c>
    </row>
    <row r="131">
      <c r="B131" s="5" t="str">
        <f>IFERROR(__xludf.DUMMYFUNCTION("""COMPUTED_VALUE"""),"numbers today asurewin")</f>
        <v>numbers today asurewin</v>
      </c>
    </row>
    <row r="132">
      <c r="B132" s="5" t="str">
        <f>IFERROR(__xludf.DUMMYFUNCTION("""COMPUTED_VALUE"""),"winning numbers a sure win")</f>
        <v>winning numbers a sure win</v>
      </c>
    </row>
    <row r="133">
      <c r="B133" s="5" t="str">
        <f>IFERROR(__xludf.DUMMYFUNCTION("""COMPUTED_VALUE"""),"winning number a sure win")</f>
        <v>winning number a sure win</v>
      </c>
    </row>
    <row r="134">
      <c r="B134" s="5" t="str">
        <f>IFERROR(__xludf.DUMMYFUNCTION("""COMPUTED_VALUE"""),"lottery results a sure win")</f>
        <v>lottery results a sure win</v>
      </c>
    </row>
    <row r="135">
      <c r="B135" s="5" t="str">
        <f>IFERROR(__xludf.DUMMYFUNCTION("""COMPUTED_VALUE"""),"lotto results a sure win")</f>
        <v>lotto results a sure win</v>
      </c>
    </row>
    <row r="136">
      <c r="B136" s="5" t="str">
        <f>IFERROR(__xludf.DUMMYFUNCTION("""COMPUTED_VALUE"""),"lotto numbers a sure win")</f>
        <v>lotto numbers a sure win</v>
      </c>
    </row>
    <row r="137">
      <c r="B137" s="5" t="str">
        <f>IFERROR(__xludf.DUMMYFUNCTION("""COMPUTED_VALUE"""),"draw results a sure win")</f>
        <v>draw results a sure win</v>
      </c>
    </row>
    <row r="138">
      <c r="B138" s="5" t="str">
        <f>IFERROR(__xludf.DUMMYFUNCTION("""COMPUTED_VALUE"""),"lottery winning numbers a sure win")</f>
        <v>lottery winning numbers a sure win</v>
      </c>
    </row>
    <row r="139">
      <c r="B139" s="5" t="str">
        <f>IFERROR(__xludf.DUMMYFUNCTION("""COMPUTED_VALUE"""),"lottery numbers a sure win")</f>
        <v>lottery numbers a sure win</v>
      </c>
    </row>
    <row r="140">
      <c r="B140" s="5" t="str">
        <f>IFERROR(__xludf.DUMMYFUNCTION("""COMPUTED_VALUE"""),"winning numbers today a sure win")</f>
        <v>winning numbers today a sure win</v>
      </c>
    </row>
    <row r="141">
      <c r="B141" s="5" t="str">
        <f>IFERROR(__xludf.DUMMYFUNCTION("""COMPUTED_VALUE"""),"numbers today a sure win")</f>
        <v>numbers today a sure win</v>
      </c>
    </row>
    <row r="142">
      <c r="B142" s="5" t="str">
        <f>IFERROR(__xludf.DUMMYFUNCTION("""COMPUTED_VALUE"""),"winning numbers paradise games")</f>
        <v>winning numbers paradise games</v>
      </c>
    </row>
    <row r="143">
      <c r="B143" s="5" t="str">
        <f>IFERROR(__xludf.DUMMYFUNCTION("""COMPUTED_VALUE"""),"winning number paradise games")</f>
        <v>winning number paradise games</v>
      </c>
    </row>
    <row r="144">
      <c r="B144" s="5" t="str">
        <f>IFERROR(__xludf.DUMMYFUNCTION("""COMPUTED_VALUE"""),"lottery results paradise games")</f>
        <v>lottery results paradise games</v>
      </c>
    </row>
    <row r="145">
      <c r="B145" s="5" t="str">
        <f>IFERROR(__xludf.DUMMYFUNCTION("""COMPUTED_VALUE"""),"lotto results paradise games")</f>
        <v>lotto results paradise games</v>
      </c>
    </row>
    <row r="146">
      <c r="B146" s="5" t="str">
        <f>IFERROR(__xludf.DUMMYFUNCTION("""COMPUTED_VALUE"""),"lotto numbers paradise games")</f>
        <v>lotto numbers paradise games</v>
      </c>
    </row>
    <row r="147">
      <c r="B147" s="5" t="str">
        <f>IFERROR(__xludf.DUMMYFUNCTION("""COMPUTED_VALUE"""),"draw results paradise games")</f>
        <v>draw results paradise games</v>
      </c>
    </row>
    <row r="148">
      <c r="B148" s="5" t="str">
        <f>IFERROR(__xludf.DUMMYFUNCTION("""COMPUTED_VALUE"""),"lottery winning numbers paradise games")</f>
        <v>lottery winning numbers paradise games</v>
      </c>
    </row>
    <row r="149">
      <c r="B149" s="5" t="str">
        <f>IFERROR(__xludf.DUMMYFUNCTION("""COMPUTED_VALUE"""),"lottery numbers paradise games")</f>
        <v>lottery numbers paradise games</v>
      </c>
    </row>
    <row r="150">
      <c r="B150" s="5" t="str">
        <f>IFERROR(__xludf.DUMMYFUNCTION("""COMPUTED_VALUE"""),"winning numbers today paradise games")</f>
        <v>winning numbers today paradise games</v>
      </c>
    </row>
    <row r="151">
      <c r="B151" s="5" t="str">
        <f>IFERROR(__xludf.DUMMYFUNCTION("""COMPUTED_VALUE"""),"numbers today paradise games")</f>
        <v>numbers today paradise games</v>
      </c>
    </row>
    <row r="152">
      <c r="B152" s="5" t="str">
        <f>IFERROR(__xludf.DUMMYFUNCTION("""COMPUTED_VALUE"""),"winning numbers pggames")</f>
        <v>winning numbers pggames</v>
      </c>
    </row>
    <row r="153">
      <c r="B153" s="5" t="str">
        <f>IFERROR(__xludf.DUMMYFUNCTION("""COMPUTED_VALUE"""),"winning number pggames")</f>
        <v>winning number pggames</v>
      </c>
    </row>
    <row r="154">
      <c r="B154" s="5" t="str">
        <f>IFERROR(__xludf.DUMMYFUNCTION("""COMPUTED_VALUE"""),"lottery results pggames")</f>
        <v>lottery results pggames</v>
      </c>
    </row>
    <row r="155">
      <c r="B155" s="5" t="str">
        <f>IFERROR(__xludf.DUMMYFUNCTION("""COMPUTED_VALUE"""),"lotto results pggames")</f>
        <v>lotto results pggames</v>
      </c>
    </row>
    <row r="156">
      <c r="B156" s="5" t="str">
        <f>IFERROR(__xludf.DUMMYFUNCTION("""COMPUTED_VALUE"""),"lotto numbers pggames")</f>
        <v>lotto numbers pggames</v>
      </c>
    </row>
    <row r="157">
      <c r="B157" s="5" t="str">
        <f>IFERROR(__xludf.DUMMYFUNCTION("""COMPUTED_VALUE"""),"draw results pggames")</f>
        <v>draw results pggames</v>
      </c>
    </row>
    <row r="158">
      <c r="B158" s="5" t="str">
        <f>IFERROR(__xludf.DUMMYFUNCTION("""COMPUTED_VALUE"""),"lottery winning numbers pggames")</f>
        <v>lottery winning numbers pggames</v>
      </c>
    </row>
    <row r="159">
      <c r="B159" s="5" t="str">
        <f>IFERROR(__xludf.DUMMYFUNCTION("""COMPUTED_VALUE"""),"lottery numbers pggames")</f>
        <v>lottery numbers pggames</v>
      </c>
    </row>
    <row r="160">
      <c r="B160" s="5" t="str">
        <f>IFERROR(__xludf.DUMMYFUNCTION("""COMPUTED_VALUE"""),"winning numbers today pggames")</f>
        <v>winning numbers today pggames</v>
      </c>
    </row>
    <row r="161">
      <c r="B161" s="5" t="str">
        <f>IFERROR(__xludf.DUMMYFUNCTION("""COMPUTED_VALUE"""),"numbers today pggames")</f>
        <v>numbers today pggames</v>
      </c>
    </row>
    <row r="162">
      <c r="B162" s="5" t="str">
        <f>IFERROR(__xludf.DUMMYFUNCTION("""COMPUTED_VALUE"""),"winning numbers 3 ball miami")</f>
        <v>winning numbers 3 ball miami</v>
      </c>
    </row>
    <row r="163">
      <c r="B163" s="5" t="str">
        <f>IFERROR(__xludf.DUMMYFUNCTION("""COMPUTED_VALUE"""),"winning number 3 ball miami")</f>
        <v>winning number 3 ball miami</v>
      </c>
    </row>
    <row r="164">
      <c r="B164" s="5" t="str">
        <f>IFERROR(__xludf.DUMMYFUNCTION("""COMPUTED_VALUE"""),"lottery results 3 ball miami")</f>
        <v>lottery results 3 ball miami</v>
      </c>
    </row>
    <row r="165">
      <c r="B165" s="5" t="str">
        <f>IFERROR(__xludf.DUMMYFUNCTION("""COMPUTED_VALUE"""),"lotto results 3 ball miami")</f>
        <v>lotto results 3 ball miami</v>
      </c>
    </row>
    <row r="166">
      <c r="B166" s="5" t="str">
        <f>IFERROR(__xludf.DUMMYFUNCTION("""COMPUTED_VALUE"""),"lotto numbers 3 ball miami")</f>
        <v>lotto numbers 3 ball miami</v>
      </c>
    </row>
    <row r="167">
      <c r="B167" s="5" t="str">
        <f>IFERROR(__xludf.DUMMYFUNCTION("""COMPUTED_VALUE"""),"draw results 3 ball miami")</f>
        <v>draw results 3 ball miami</v>
      </c>
    </row>
    <row r="168">
      <c r="B168" s="5" t="str">
        <f>IFERROR(__xludf.DUMMYFUNCTION("""COMPUTED_VALUE"""),"lottery winning numbers 3 ball miami")</f>
        <v>lottery winning numbers 3 ball miami</v>
      </c>
    </row>
    <row r="169">
      <c r="B169" s="5" t="str">
        <f>IFERROR(__xludf.DUMMYFUNCTION("""COMPUTED_VALUE"""),"lottery numbers 3 ball miami")</f>
        <v>lottery numbers 3 ball miami</v>
      </c>
    </row>
    <row r="170">
      <c r="B170" s="5" t="str">
        <f>IFERROR(__xludf.DUMMYFUNCTION("""COMPUTED_VALUE"""),"winning numbers today 3 ball miami")</f>
        <v>winning numbers today 3 ball miami</v>
      </c>
    </row>
    <row r="171">
      <c r="B171" s="5" t="str">
        <f>IFERROR(__xludf.DUMMYFUNCTION("""COMPUTED_VALUE"""),"numbers today 3 ball miami")</f>
        <v>numbers today 3 ball miami</v>
      </c>
    </row>
    <row r="172">
      <c r="B172" s="5" t="str">
        <f>IFERROR(__xludf.DUMMYFUNCTION("""COMPUTED_VALUE"""),"winning numbers 3-ball miami")</f>
        <v>winning numbers 3-ball miami</v>
      </c>
    </row>
    <row r="173">
      <c r="B173" s="5" t="str">
        <f>IFERROR(__xludf.DUMMYFUNCTION("""COMPUTED_VALUE"""),"winning number 3-ball miami")</f>
        <v>winning number 3-ball miami</v>
      </c>
    </row>
    <row r="174">
      <c r="B174" s="5" t="str">
        <f>IFERROR(__xludf.DUMMYFUNCTION("""COMPUTED_VALUE"""),"lottery results 3-ball miami")</f>
        <v>lottery results 3-ball miami</v>
      </c>
    </row>
    <row r="175">
      <c r="B175" s="5" t="str">
        <f>IFERROR(__xludf.DUMMYFUNCTION("""COMPUTED_VALUE"""),"lotto results 3-ball miami")</f>
        <v>lotto results 3-ball miami</v>
      </c>
    </row>
    <row r="176">
      <c r="B176" s="5" t="str">
        <f>IFERROR(__xludf.DUMMYFUNCTION("""COMPUTED_VALUE"""),"lotto numbers 3-ball miami")</f>
        <v>lotto numbers 3-ball miami</v>
      </c>
    </row>
    <row r="177">
      <c r="B177" s="5" t="str">
        <f>IFERROR(__xludf.DUMMYFUNCTION("""COMPUTED_VALUE"""),"draw results 3-ball miami")</f>
        <v>draw results 3-ball miami</v>
      </c>
    </row>
    <row r="178">
      <c r="B178" s="5" t="str">
        <f>IFERROR(__xludf.DUMMYFUNCTION("""COMPUTED_VALUE"""),"lottery winning numbers 3-ball miami")</f>
        <v>lottery winning numbers 3-ball miami</v>
      </c>
    </row>
    <row r="179">
      <c r="B179" s="5" t="str">
        <f>IFERROR(__xludf.DUMMYFUNCTION("""COMPUTED_VALUE"""),"lottery numbers 3-ball miami")</f>
        <v>lottery numbers 3-ball miami</v>
      </c>
    </row>
    <row r="180">
      <c r="B180" s="5" t="str">
        <f>IFERROR(__xludf.DUMMYFUNCTION("""COMPUTED_VALUE"""),"winning numbers today 3-ball miami")</f>
        <v>winning numbers today 3-ball miami</v>
      </c>
    </row>
    <row r="181">
      <c r="B181" s="5" t="str">
        <f>IFERROR(__xludf.DUMMYFUNCTION("""COMPUTED_VALUE"""),"numbers today 3-ball miami")</f>
        <v>numbers today 3-ball miami</v>
      </c>
    </row>
    <row r="182">
      <c r="B182" s="5" t="str">
        <f>IFERROR(__xludf.DUMMYFUNCTION("""COMPUTED_VALUE"""),"winning numbers miami")</f>
        <v>winning numbers miami</v>
      </c>
    </row>
    <row r="183">
      <c r="B183" s="5" t="str">
        <f>IFERROR(__xludf.DUMMYFUNCTION("""COMPUTED_VALUE"""),"winning number miami")</f>
        <v>winning number miami</v>
      </c>
    </row>
    <row r="184">
      <c r="B184" s="5" t="str">
        <f>IFERROR(__xludf.DUMMYFUNCTION("""COMPUTED_VALUE"""),"lottery results miami")</f>
        <v>lottery results miami</v>
      </c>
    </row>
    <row r="185">
      <c r="B185" s="5" t="str">
        <f>IFERROR(__xludf.DUMMYFUNCTION("""COMPUTED_VALUE"""),"lotto results miami")</f>
        <v>lotto results miami</v>
      </c>
    </row>
    <row r="186">
      <c r="B186" s="5" t="str">
        <f>IFERROR(__xludf.DUMMYFUNCTION("""COMPUTED_VALUE"""),"lotto numbers miami")</f>
        <v>lotto numbers miami</v>
      </c>
    </row>
    <row r="187">
      <c r="B187" s="5" t="str">
        <f>IFERROR(__xludf.DUMMYFUNCTION("""COMPUTED_VALUE"""),"draw results miami")</f>
        <v>draw results miami</v>
      </c>
    </row>
    <row r="188">
      <c r="B188" s="5" t="str">
        <f>IFERROR(__xludf.DUMMYFUNCTION("""COMPUTED_VALUE"""),"lottery winning numbers miami")</f>
        <v>lottery winning numbers miami</v>
      </c>
    </row>
    <row r="189">
      <c r="B189" s="5" t="str">
        <f>IFERROR(__xludf.DUMMYFUNCTION("""COMPUTED_VALUE"""),"lottery numbers miami")</f>
        <v>lottery numbers miami</v>
      </c>
    </row>
    <row r="190">
      <c r="B190" s="5" t="str">
        <f>IFERROR(__xludf.DUMMYFUNCTION("""COMPUTED_VALUE"""),"winning numbers today miami")</f>
        <v>winning numbers today miami</v>
      </c>
    </row>
    <row r="191">
      <c r="B191" s="5" t="str">
        <f>IFERROR(__xludf.DUMMYFUNCTION("""COMPUTED_VALUE"""),"numbers today miami")</f>
        <v>numbers today miami</v>
      </c>
    </row>
    <row r="192">
      <c r="B192" s="5" t="str">
        <f>IFERROR(__xludf.DUMMYFUNCTION("""COMPUTED_VALUE"""),"winning numbers 4 ball")</f>
        <v>winning numbers 4 ball</v>
      </c>
    </row>
    <row r="193">
      <c r="B193" s="5" t="str">
        <f>IFERROR(__xludf.DUMMYFUNCTION("""COMPUTED_VALUE"""),"winning number 4 ball")</f>
        <v>winning number 4 ball</v>
      </c>
    </row>
    <row r="194">
      <c r="B194" s="5" t="str">
        <f>IFERROR(__xludf.DUMMYFUNCTION("""COMPUTED_VALUE"""),"lottery results 4 ball")</f>
        <v>lottery results 4 ball</v>
      </c>
    </row>
    <row r="195">
      <c r="B195" s="5" t="str">
        <f>IFERROR(__xludf.DUMMYFUNCTION("""COMPUTED_VALUE"""),"lotto results 4 ball")</f>
        <v>lotto results 4 ball</v>
      </c>
    </row>
    <row r="196">
      <c r="B196" s="5" t="str">
        <f>IFERROR(__xludf.DUMMYFUNCTION("""COMPUTED_VALUE"""),"lotto numbers 4 ball")</f>
        <v>lotto numbers 4 ball</v>
      </c>
    </row>
    <row r="197">
      <c r="B197" s="5" t="str">
        <f>IFERROR(__xludf.DUMMYFUNCTION("""COMPUTED_VALUE"""),"draw results 4 ball")</f>
        <v>draw results 4 ball</v>
      </c>
    </row>
    <row r="198">
      <c r="B198" s="5" t="str">
        <f>IFERROR(__xludf.DUMMYFUNCTION("""COMPUTED_VALUE"""),"lottery winning numbers 4 ball")</f>
        <v>lottery winning numbers 4 ball</v>
      </c>
    </row>
    <row r="199">
      <c r="B199" s="5" t="str">
        <f>IFERROR(__xludf.DUMMYFUNCTION("""COMPUTED_VALUE"""),"lottery numbers 4 ball")</f>
        <v>lottery numbers 4 ball</v>
      </c>
    </row>
    <row r="200">
      <c r="B200" s="5" t="str">
        <f>IFERROR(__xludf.DUMMYFUNCTION("""COMPUTED_VALUE"""),"winning numbers today 4 ball")</f>
        <v>winning numbers today 4 ball</v>
      </c>
    </row>
    <row r="201">
      <c r="B201" s="5" t="str">
        <f>IFERROR(__xludf.DUMMYFUNCTION("""COMPUTED_VALUE"""),"numbers today 4 ball")</f>
        <v>numbers today 4 ball</v>
      </c>
    </row>
    <row r="202">
      <c r="B202" s="5" t="str">
        <f>IFERROR(__xludf.DUMMYFUNCTION("""COMPUTED_VALUE"""),"winning numbers 5 ball")</f>
        <v>winning numbers 5 ball</v>
      </c>
    </row>
    <row r="203">
      <c r="B203" s="5" t="str">
        <f>IFERROR(__xludf.DUMMYFUNCTION("""COMPUTED_VALUE"""),"winning number 5 ball")</f>
        <v>winning number 5 ball</v>
      </c>
    </row>
    <row r="204">
      <c r="B204" s="5" t="str">
        <f>IFERROR(__xludf.DUMMYFUNCTION("""COMPUTED_VALUE"""),"lottery results 5 ball")</f>
        <v>lottery results 5 ball</v>
      </c>
    </row>
    <row r="205">
      <c r="B205" s="5" t="str">
        <f>IFERROR(__xludf.DUMMYFUNCTION("""COMPUTED_VALUE"""),"lotto results 5 ball")</f>
        <v>lotto results 5 ball</v>
      </c>
    </row>
    <row r="206">
      <c r="B206" s="5" t="str">
        <f>IFERROR(__xludf.DUMMYFUNCTION("""COMPUTED_VALUE"""),"lotto numbers 5 ball")</f>
        <v>lotto numbers 5 ball</v>
      </c>
    </row>
    <row r="207">
      <c r="B207" s="5" t="str">
        <f>IFERROR(__xludf.DUMMYFUNCTION("""COMPUTED_VALUE"""),"draw results 5 ball")</f>
        <v>draw results 5 ball</v>
      </c>
    </row>
    <row r="208">
      <c r="B208" s="5" t="str">
        <f>IFERROR(__xludf.DUMMYFUNCTION("""COMPUTED_VALUE"""),"lottery winning numbers 5 ball")</f>
        <v>lottery winning numbers 5 ball</v>
      </c>
    </row>
    <row r="209">
      <c r="B209" s="5" t="str">
        <f>IFERROR(__xludf.DUMMYFUNCTION("""COMPUTED_VALUE"""),"lottery numbers 5 ball")</f>
        <v>lottery numbers 5 ball</v>
      </c>
    </row>
    <row r="210">
      <c r="B210" s="5" t="str">
        <f>IFERROR(__xludf.DUMMYFUNCTION("""COMPUTED_VALUE"""),"winning numbers today 5 ball")</f>
        <v>winning numbers today 5 ball</v>
      </c>
    </row>
    <row r="211">
      <c r="B211" s="5" t="str">
        <f>IFERROR(__xludf.DUMMYFUNCTION("""COMPUTED_VALUE"""),"numbers today 5 ball")</f>
        <v>numbers today 5 ball</v>
      </c>
    </row>
    <row r="212">
      <c r="B212" s="5" t="str">
        <f>IFERROR(__xludf.DUMMYFUNCTION("""COMPUTED_VALUE"""),"winning numbers draw")</f>
        <v>winning numbers draw</v>
      </c>
    </row>
    <row r="213">
      <c r="B213" s="5" t="str">
        <f>IFERROR(__xludf.DUMMYFUNCTION("""COMPUTED_VALUE"""),"winning number draw")</f>
        <v>winning number draw</v>
      </c>
    </row>
    <row r="214">
      <c r="B214" s="5" t="str">
        <f>IFERROR(__xludf.DUMMYFUNCTION("""COMPUTED_VALUE"""),"lottery results draw")</f>
        <v>lottery results draw</v>
      </c>
    </row>
    <row r="215">
      <c r="B215" s="5" t="str">
        <f>IFERROR(__xludf.DUMMYFUNCTION("""COMPUTED_VALUE"""),"lotto results draw")</f>
        <v>lotto results draw</v>
      </c>
    </row>
    <row r="216">
      <c r="B216" s="5" t="str">
        <f>IFERROR(__xludf.DUMMYFUNCTION("""COMPUTED_VALUE"""),"lotto numbers draw")</f>
        <v>lotto numbers draw</v>
      </c>
    </row>
    <row r="217">
      <c r="B217" s="5" t="str">
        <f>IFERROR(__xludf.DUMMYFUNCTION("""COMPUTED_VALUE"""),"draw results")</f>
        <v>draw results</v>
      </c>
    </row>
    <row r="218">
      <c r="B218" s="5" t="str">
        <f>IFERROR(__xludf.DUMMYFUNCTION("""COMPUTED_VALUE"""),"lottery winning numbers draw")</f>
        <v>lottery winning numbers draw</v>
      </c>
    </row>
    <row r="219">
      <c r="B219" s="5" t="str">
        <f>IFERROR(__xludf.DUMMYFUNCTION("""COMPUTED_VALUE"""),"lottery numbers draw")</f>
        <v>lottery numbers draw</v>
      </c>
    </row>
    <row r="220">
      <c r="B220" s="5" t="str">
        <f>IFERROR(__xludf.DUMMYFUNCTION("""COMPUTED_VALUE"""),"winning numbers today draw")</f>
        <v>winning numbers today draw</v>
      </c>
    </row>
    <row r="221">
      <c r="B221" s="5" t="str">
        <f>IFERROR(__xludf.DUMMYFUNCTION("""COMPUTED_VALUE"""),"numbers today draw")</f>
        <v>numbers today draw</v>
      </c>
    </row>
    <row r="222">
      <c r="B222" s="5" t="str">
        <f>IFERROR(__xludf.DUMMYFUNCTION("""COMPUTED_VALUE"""),"winning numbers draw time")</f>
        <v>winning numbers draw time</v>
      </c>
    </row>
    <row r="223">
      <c r="B223" s="5" t="str">
        <f>IFERROR(__xludf.DUMMYFUNCTION("""COMPUTED_VALUE"""),"winning number draw time")</f>
        <v>winning number draw time</v>
      </c>
    </row>
    <row r="224">
      <c r="B224" s="5" t="str">
        <f>IFERROR(__xludf.DUMMYFUNCTION("""COMPUTED_VALUE"""),"lottery results draw time")</f>
        <v>lottery results draw time</v>
      </c>
    </row>
    <row r="225">
      <c r="B225" s="5" t="str">
        <f>IFERROR(__xludf.DUMMYFUNCTION("""COMPUTED_VALUE"""),"lotto results draw time")</f>
        <v>lotto results draw time</v>
      </c>
    </row>
    <row r="226">
      <c r="B226" s="5" t="str">
        <f>IFERROR(__xludf.DUMMYFUNCTION("""COMPUTED_VALUE"""),"lotto numbers draw time")</f>
        <v>lotto numbers draw time</v>
      </c>
    </row>
    <row r="227">
      <c r="B227" s="5" t="str">
        <f>IFERROR(__xludf.DUMMYFUNCTION("""COMPUTED_VALUE"""),"draw results draw time")</f>
        <v>draw results draw time</v>
      </c>
    </row>
    <row r="228">
      <c r="B228" s="5" t="str">
        <f>IFERROR(__xludf.DUMMYFUNCTION("""COMPUTED_VALUE"""),"lottery winning numbers draw time")</f>
        <v>lottery winning numbers draw time</v>
      </c>
    </row>
    <row r="229">
      <c r="B229" s="5" t="str">
        <f>IFERROR(__xludf.DUMMYFUNCTION("""COMPUTED_VALUE"""),"lottery numbers draw time")</f>
        <v>lottery numbers draw time</v>
      </c>
    </row>
    <row r="230">
      <c r="B230" s="5" t="str">
        <f>IFERROR(__xludf.DUMMYFUNCTION("""COMPUTED_VALUE"""),"winning numbers today draw time")</f>
        <v>winning numbers today draw time</v>
      </c>
    </row>
    <row r="231">
      <c r="B231" s="5" t="str">
        <f>IFERROR(__xludf.DUMMYFUNCTION("""COMPUTED_VALUE"""),"numbers today draw time")</f>
        <v>numbers today draw time</v>
      </c>
    </row>
    <row r="232">
      <c r="B232" s="5" t="str">
        <f>IFERROR(__xludf.DUMMYFUNCTION("""COMPUTED_VALUE"""),"winning numbers results")</f>
        <v>winning numbers results</v>
      </c>
    </row>
    <row r="233">
      <c r="B233" s="5" t="str">
        <f>IFERROR(__xludf.DUMMYFUNCTION("""COMPUTED_VALUE"""),"winning number results")</f>
        <v>winning number results</v>
      </c>
    </row>
    <row r="234">
      <c r="B234" s="5" t="str">
        <f>IFERROR(__xludf.DUMMYFUNCTION("""COMPUTED_VALUE"""),"lottery results")</f>
        <v>lottery results</v>
      </c>
    </row>
    <row r="235">
      <c r="B235" s="5" t="str">
        <f>IFERROR(__xludf.DUMMYFUNCTION("""COMPUTED_VALUE"""),"lotto results")</f>
        <v>lotto results</v>
      </c>
    </row>
    <row r="236">
      <c r="B236" s="5" t="str">
        <f>IFERROR(__xludf.DUMMYFUNCTION("""COMPUTED_VALUE"""),"lotto numbers results")</f>
        <v>lotto numbers results</v>
      </c>
    </row>
    <row r="237">
      <c r="B237" s="5" t="str">
        <f>IFERROR(__xludf.DUMMYFUNCTION("""COMPUTED_VALUE"""),"draw results")</f>
        <v>draw results</v>
      </c>
    </row>
    <row r="238">
      <c r="B238" s="5" t="str">
        <f>IFERROR(__xludf.DUMMYFUNCTION("""COMPUTED_VALUE"""),"lottery winning numbers results")</f>
        <v>lottery winning numbers results</v>
      </c>
    </row>
    <row r="239">
      <c r="B239" s="5" t="str">
        <f>IFERROR(__xludf.DUMMYFUNCTION("""COMPUTED_VALUE"""),"lottery numbers results")</f>
        <v>lottery numbers results</v>
      </c>
    </row>
    <row r="240">
      <c r="B240" s="5" t="str">
        <f>IFERROR(__xludf.DUMMYFUNCTION("""COMPUTED_VALUE"""),"winning numbers today results")</f>
        <v>winning numbers today results</v>
      </c>
    </row>
    <row r="241">
      <c r="B241" s="5" t="str">
        <f>IFERROR(__xludf.DUMMYFUNCTION("""COMPUTED_VALUE"""),"numbers today results")</f>
        <v>numbers today results</v>
      </c>
    </row>
    <row r="242">
      <c r="B242" s="5" t="str">
        <f>IFERROR(__xludf.DUMMYFUNCTION("""COMPUTED_VALUE"""),"winning numbers nassau")</f>
        <v>winning numbers nassau</v>
      </c>
    </row>
    <row r="243">
      <c r="B243" s="5" t="str">
        <f>IFERROR(__xludf.DUMMYFUNCTION("""COMPUTED_VALUE"""),"winning number nassau")</f>
        <v>winning number nassau</v>
      </c>
    </row>
    <row r="244">
      <c r="B244" s="5" t="str">
        <f>IFERROR(__xludf.DUMMYFUNCTION("""COMPUTED_VALUE"""),"lottery results nassau")</f>
        <v>lottery results nassau</v>
      </c>
    </row>
    <row r="245">
      <c r="B245" s="5" t="str">
        <f>IFERROR(__xludf.DUMMYFUNCTION("""COMPUTED_VALUE"""),"lotto results nassau")</f>
        <v>lotto results nassau</v>
      </c>
    </row>
    <row r="246">
      <c r="B246" s="5" t="str">
        <f>IFERROR(__xludf.DUMMYFUNCTION("""COMPUTED_VALUE"""),"lotto numbers nassau")</f>
        <v>lotto numbers nassau</v>
      </c>
    </row>
    <row r="247">
      <c r="B247" s="5" t="str">
        <f>IFERROR(__xludf.DUMMYFUNCTION("""COMPUTED_VALUE"""),"draw results nassau")</f>
        <v>draw results nassau</v>
      </c>
    </row>
    <row r="248">
      <c r="B248" s="5" t="str">
        <f>IFERROR(__xludf.DUMMYFUNCTION("""COMPUTED_VALUE"""),"lottery winning numbers nassau")</f>
        <v>lottery winning numbers nassau</v>
      </c>
    </row>
    <row r="249">
      <c r="B249" s="5" t="str">
        <f>IFERROR(__xludf.DUMMYFUNCTION("""COMPUTED_VALUE"""),"lottery numbers nassau")</f>
        <v>lottery numbers nassau</v>
      </c>
    </row>
    <row r="250">
      <c r="B250" s="5" t="str">
        <f>IFERROR(__xludf.DUMMYFUNCTION("""COMPUTED_VALUE"""),"winning numbers today nassau")</f>
        <v>winning numbers today nassau</v>
      </c>
    </row>
    <row r="251">
      <c r="B251" s="5" t="str">
        <f>IFERROR(__xludf.DUMMYFUNCTION("""COMPUTED_VALUE"""),"numbers today nassau")</f>
        <v>numbers today nassau</v>
      </c>
    </row>
    <row r="252">
      <c r="B252" s="5" t="str">
        <f>IFERROR(__xludf.DUMMYFUNCTION("""COMPUTED_VALUE"""),"winning numbers freeport")</f>
        <v>winning numbers freeport</v>
      </c>
    </row>
    <row r="253">
      <c r="B253" s="5" t="str">
        <f>IFERROR(__xludf.DUMMYFUNCTION("""COMPUTED_VALUE"""),"winning number freeport")</f>
        <v>winning number freeport</v>
      </c>
    </row>
    <row r="254">
      <c r="B254" s="5" t="str">
        <f>IFERROR(__xludf.DUMMYFUNCTION("""COMPUTED_VALUE"""),"lottery results freeport")</f>
        <v>lottery results freeport</v>
      </c>
    </row>
    <row r="255">
      <c r="B255" s="5" t="str">
        <f>IFERROR(__xludf.DUMMYFUNCTION("""COMPUTED_VALUE"""),"lotto results freeport")</f>
        <v>lotto results freeport</v>
      </c>
    </row>
    <row r="256">
      <c r="B256" s="5" t="str">
        <f>IFERROR(__xludf.DUMMYFUNCTION("""COMPUTED_VALUE"""),"lotto numbers freeport")</f>
        <v>lotto numbers freeport</v>
      </c>
    </row>
    <row r="257">
      <c r="B257" s="5" t="str">
        <f>IFERROR(__xludf.DUMMYFUNCTION("""COMPUTED_VALUE"""),"draw results freeport")</f>
        <v>draw results freeport</v>
      </c>
    </row>
    <row r="258">
      <c r="B258" s="5" t="str">
        <f>IFERROR(__xludf.DUMMYFUNCTION("""COMPUTED_VALUE"""),"lottery winning numbers freeport")</f>
        <v>lottery winning numbers freeport</v>
      </c>
    </row>
    <row r="259">
      <c r="B259" s="5" t="str">
        <f>IFERROR(__xludf.DUMMYFUNCTION("""COMPUTED_VALUE"""),"lottery numbers freeport")</f>
        <v>lottery numbers freeport</v>
      </c>
    </row>
    <row r="260">
      <c r="B260" s="5" t="str">
        <f>IFERROR(__xludf.DUMMYFUNCTION("""COMPUTED_VALUE"""),"winning numbers today freeport")</f>
        <v>winning numbers today freeport</v>
      </c>
    </row>
    <row r="261">
      <c r="B261" s="5" t="str">
        <f>IFERROR(__xludf.DUMMYFUNCTION("""COMPUTED_VALUE"""),"numbers today freeport")</f>
        <v>numbers today freeport</v>
      </c>
    </row>
    <row r="262">
      <c r="B262" s="5" t="str">
        <f>IFERROR(__xludf.DUMMYFUNCTION("""COMPUTED_VALUE"""),"winning numbers app")</f>
        <v>winning numbers app</v>
      </c>
    </row>
    <row r="263">
      <c r="B263" s="5" t="str">
        <f>IFERROR(__xludf.DUMMYFUNCTION("""COMPUTED_VALUE"""),"winning number app")</f>
        <v>winning number app</v>
      </c>
    </row>
    <row r="264">
      <c r="B264" s="5" t="str">
        <f>IFERROR(__xludf.DUMMYFUNCTION("""COMPUTED_VALUE"""),"lottery results app")</f>
        <v>lottery results app</v>
      </c>
    </row>
    <row r="265">
      <c r="B265" s="5" t="str">
        <f>IFERROR(__xludf.DUMMYFUNCTION("""COMPUTED_VALUE"""),"lotto results app")</f>
        <v>lotto results app</v>
      </c>
    </row>
    <row r="266">
      <c r="B266" s="5" t="str">
        <f>IFERROR(__xludf.DUMMYFUNCTION("""COMPUTED_VALUE"""),"lotto numbers app")</f>
        <v>lotto numbers app</v>
      </c>
    </row>
    <row r="267">
      <c r="B267" s="5" t="str">
        <f>IFERROR(__xludf.DUMMYFUNCTION("""COMPUTED_VALUE"""),"draw results app")</f>
        <v>draw results app</v>
      </c>
    </row>
    <row r="268">
      <c r="B268" s="5" t="str">
        <f>IFERROR(__xludf.DUMMYFUNCTION("""COMPUTED_VALUE"""),"lottery winning numbers app")</f>
        <v>lottery winning numbers app</v>
      </c>
    </row>
    <row r="269">
      <c r="B269" s="5" t="str">
        <f>IFERROR(__xludf.DUMMYFUNCTION("""COMPUTED_VALUE"""),"lottery numbers app")</f>
        <v>lottery numbers app</v>
      </c>
    </row>
    <row r="270">
      <c r="B270" s="5" t="str">
        <f>IFERROR(__xludf.DUMMYFUNCTION("""COMPUTED_VALUE"""),"winning numbers today app")</f>
        <v>winning numbers today app</v>
      </c>
    </row>
    <row r="271">
      <c r="B271" s="5" t="str">
        <f>IFERROR(__xludf.DUMMYFUNCTION("""COMPUTED_VALUE"""),"numbers today app")</f>
        <v>numbers today app</v>
      </c>
    </row>
    <row r="272">
      <c r="B272" s="5" t="str">
        <f>IFERROR(__xludf.DUMMYFUNCTION("""COMPUTED_VALUE"""),"winning numbers mobile")</f>
        <v>winning numbers mobile</v>
      </c>
    </row>
    <row r="273">
      <c r="B273" s="5" t="str">
        <f>IFERROR(__xludf.DUMMYFUNCTION("""COMPUTED_VALUE"""),"winning number mobile")</f>
        <v>winning number mobile</v>
      </c>
    </row>
    <row r="274">
      <c r="B274" s="5" t="str">
        <f>IFERROR(__xludf.DUMMYFUNCTION("""COMPUTED_VALUE"""),"lottery results mobile")</f>
        <v>lottery results mobile</v>
      </c>
    </row>
    <row r="275">
      <c r="B275" s="5" t="str">
        <f>IFERROR(__xludf.DUMMYFUNCTION("""COMPUTED_VALUE"""),"lotto results mobile")</f>
        <v>lotto results mobile</v>
      </c>
    </row>
    <row r="276">
      <c r="B276" s="5" t="str">
        <f>IFERROR(__xludf.DUMMYFUNCTION("""COMPUTED_VALUE"""),"lotto numbers mobile")</f>
        <v>lotto numbers mobile</v>
      </c>
    </row>
    <row r="277">
      <c r="B277" s="5" t="str">
        <f>IFERROR(__xludf.DUMMYFUNCTION("""COMPUTED_VALUE"""),"draw results mobile")</f>
        <v>draw results mobile</v>
      </c>
    </row>
    <row r="278">
      <c r="B278" s="5" t="str">
        <f>IFERROR(__xludf.DUMMYFUNCTION("""COMPUTED_VALUE"""),"lottery winning numbers mobile")</f>
        <v>lottery winning numbers mobile</v>
      </c>
    </row>
    <row r="279">
      <c r="B279" s="5" t="str">
        <f>IFERROR(__xludf.DUMMYFUNCTION("""COMPUTED_VALUE"""),"lottery numbers mobile")</f>
        <v>lottery numbers mobile</v>
      </c>
    </row>
    <row r="280">
      <c r="B280" s="5" t="str">
        <f>IFERROR(__xludf.DUMMYFUNCTION("""COMPUTED_VALUE"""),"winning numbers today mobile")</f>
        <v>winning numbers today mobile</v>
      </c>
    </row>
    <row r="281">
      <c r="B281" s="5" t="str">
        <f>IFERROR(__xludf.DUMMYFUNCTION("""COMPUTED_VALUE"""),"numbers today mobile")</f>
        <v>numbers today mobile</v>
      </c>
    </row>
    <row r="282">
      <c r="B282" s="5" t="str">
        <f>IFERROR(__xludf.DUMMYFUNCTION("""COMPUTED_VALUE"""),"winning numbers login")</f>
        <v>winning numbers login</v>
      </c>
    </row>
    <row r="283">
      <c r="B283" s="5" t="str">
        <f>IFERROR(__xludf.DUMMYFUNCTION("""COMPUTED_VALUE"""),"winning number login")</f>
        <v>winning number login</v>
      </c>
    </row>
    <row r="284">
      <c r="B284" s="5" t="str">
        <f>IFERROR(__xludf.DUMMYFUNCTION("""COMPUTED_VALUE"""),"lottery results login")</f>
        <v>lottery results login</v>
      </c>
    </row>
    <row r="285">
      <c r="B285" s="5" t="str">
        <f>IFERROR(__xludf.DUMMYFUNCTION("""COMPUTED_VALUE"""),"lotto results login")</f>
        <v>lotto results login</v>
      </c>
    </row>
    <row r="286">
      <c r="B286" s="5" t="str">
        <f>IFERROR(__xludf.DUMMYFUNCTION("""COMPUTED_VALUE"""),"lotto numbers login")</f>
        <v>lotto numbers login</v>
      </c>
    </row>
    <row r="287">
      <c r="B287" s="5" t="str">
        <f>IFERROR(__xludf.DUMMYFUNCTION("""COMPUTED_VALUE"""),"draw results login")</f>
        <v>draw results login</v>
      </c>
    </row>
    <row r="288">
      <c r="B288" s="5" t="str">
        <f>IFERROR(__xludf.DUMMYFUNCTION("""COMPUTED_VALUE"""),"lottery winning numbers login")</f>
        <v>lottery winning numbers login</v>
      </c>
    </row>
    <row r="289">
      <c r="B289" s="5" t="str">
        <f>IFERROR(__xludf.DUMMYFUNCTION("""COMPUTED_VALUE"""),"lottery numbers login")</f>
        <v>lottery numbers login</v>
      </c>
    </row>
    <row r="290">
      <c r="B290" s="5" t="str">
        <f>IFERROR(__xludf.DUMMYFUNCTION("""COMPUTED_VALUE"""),"winning numbers today login")</f>
        <v>winning numbers today login</v>
      </c>
    </row>
    <row r="291">
      <c r="B291" s="5" t="str">
        <f>IFERROR(__xludf.DUMMYFUNCTION("""COMPUTED_VALUE"""),"numbers today login")</f>
        <v>numbers today login</v>
      </c>
    </row>
    <row r="292">
      <c r="B292" s="5" t="str">
        <f>IFERROR(__xludf.DUMMYFUNCTION("""COMPUTED_VALUE"""),"winning numbers stores")</f>
        <v>winning numbers stores</v>
      </c>
    </row>
    <row r="293">
      <c r="B293" s="5" t="str">
        <f>IFERROR(__xludf.DUMMYFUNCTION("""COMPUTED_VALUE"""),"winning number stores")</f>
        <v>winning number stores</v>
      </c>
    </row>
    <row r="294">
      <c r="B294" s="5" t="str">
        <f>IFERROR(__xludf.DUMMYFUNCTION("""COMPUTED_VALUE"""),"lottery results stores")</f>
        <v>lottery results stores</v>
      </c>
    </row>
    <row r="295">
      <c r="B295" s="5" t="str">
        <f>IFERROR(__xludf.DUMMYFUNCTION("""COMPUTED_VALUE"""),"lotto results stores")</f>
        <v>lotto results stores</v>
      </c>
    </row>
    <row r="296">
      <c r="B296" s="5" t="str">
        <f>IFERROR(__xludf.DUMMYFUNCTION("""COMPUTED_VALUE"""),"lotto numbers stores")</f>
        <v>lotto numbers stores</v>
      </c>
    </row>
    <row r="297">
      <c r="B297" s="5" t="str">
        <f>IFERROR(__xludf.DUMMYFUNCTION("""COMPUTED_VALUE"""),"draw results stores")</f>
        <v>draw results stores</v>
      </c>
    </row>
    <row r="298">
      <c r="B298" s="5" t="str">
        <f>IFERROR(__xludf.DUMMYFUNCTION("""COMPUTED_VALUE"""),"lottery winning numbers stores")</f>
        <v>lottery winning numbers stores</v>
      </c>
    </row>
    <row r="299">
      <c r="B299" s="5" t="str">
        <f>IFERROR(__xludf.DUMMYFUNCTION("""COMPUTED_VALUE"""),"lottery numbers stores")</f>
        <v>lottery numbers stores</v>
      </c>
    </row>
    <row r="300">
      <c r="B300" s="5" t="str">
        <f>IFERROR(__xludf.DUMMYFUNCTION("""COMPUTED_VALUE"""),"winning numbers today stores")</f>
        <v>winning numbers today stores</v>
      </c>
    </row>
    <row r="301">
      <c r="B301" s="5" t="str">
        <f>IFERROR(__xludf.DUMMYFUNCTION("""COMPUTED_VALUE"""),"numbers today stores")</f>
        <v>numbers today stores</v>
      </c>
    </row>
    <row r="302">
      <c r="B302" s="5" t="str">
        <f>IFERROR(__xludf.DUMMYFUNCTION("""COMPUTED_VALUE"""),"winning numbers jackpot")</f>
        <v>winning numbers jackpot</v>
      </c>
    </row>
    <row r="303">
      <c r="B303" s="5" t="str">
        <f>IFERROR(__xludf.DUMMYFUNCTION("""COMPUTED_VALUE"""),"winning number jackpot")</f>
        <v>winning number jackpot</v>
      </c>
    </row>
    <row r="304">
      <c r="B304" s="5" t="str">
        <f>IFERROR(__xludf.DUMMYFUNCTION("""COMPUTED_VALUE"""),"lottery results jackpot")</f>
        <v>lottery results jackpot</v>
      </c>
    </row>
    <row r="305">
      <c r="B305" s="5" t="str">
        <f>IFERROR(__xludf.DUMMYFUNCTION("""COMPUTED_VALUE"""),"lotto results jackpot")</f>
        <v>lotto results jackpot</v>
      </c>
    </row>
    <row r="306">
      <c r="B306" s="5" t="str">
        <f>IFERROR(__xludf.DUMMYFUNCTION("""COMPUTED_VALUE"""),"lotto numbers jackpot")</f>
        <v>lotto numbers jackpot</v>
      </c>
    </row>
    <row r="307">
      <c r="B307" s="5" t="str">
        <f>IFERROR(__xludf.DUMMYFUNCTION("""COMPUTED_VALUE"""),"draw results jackpot")</f>
        <v>draw results jackpot</v>
      </c>
    </row>
    <row r="308">
      <c r="B308" s="5" t="str">
        <f>IFERROR(__xludf.DUMMYFUNCTION("""COMPUTED_VALUE"""),"lottery winning numbers jackpot")</f>
        <v>lottery winning numbers jackpot</v>
      </c>
    </row>
    <row r="309">
      <c r="B309" s="5" t="str">
        <f>IFERROR(__xludf.DUMMYFUNCTION("""COMPUTED_VALUE"""),"lottery numbers jackpot")</f>
        <v>lottery numbers jackpot</v>
      </c>
    </row>
    <row r="310">
      <c r="B310" s="5" t="str">
        <f>IFERROR(__xludf.DUMMYFUNCTION("""COMPUTED_VALUE"""),"winning numbers today jackpot")</f>
        <v>winning numbers today jackpot</v>
      </c>
    </row>
    <row r="311">
      <c r="B311" s="5" t="str">
        <f>IFERROR(__xludf.DUMMYFUNCTION("""COMPUTED_VALUE"""),"numbers today jackpot")</f>
        <v>numbers today jackpot</v>
      </c>
    </row>
    <row r="312">
      <c r="B312" s="5" t="str">
        <f>IFERROR(__xludf.DUMMYFUNCTION("""COMPUTED_VALUE"""),"winning numbers caribbean")</f>
        <v>winning numbers caribbean</v>
      </c>
    </row>
    <row r="313">
      <c r="B313" s="5" t="str">
        <f>IFERROR(__xludf.DUMMYFUNCTION("""COMPUTED_VALUE"""),"winning number caribbean")</f>
        <v>winning number caribbean</v>
      </c>
    </row>
    <row r="314">
      <c r="B314" s="5" t="str">
        <f>IFERROR(__xludf.DUMMYFUNCTION("""COMPUTED_VALUE"""),"lottery results caribbean")</f>
        <v>lottery results caribbean</v>
      </c>
    </row>
    <row r="315">
      <c r="B315" s="5" t="str">
        <f>IFERROR(__xludf.DUMMYFUNCTION("""COMPUTED_VALUE"""),"lotto results caribbean")</f>
        <v>lotto results caribbean</v>
      </c>
    </row>
    <row r="316">
      <c r="B316" s="5" t="str">
        <f>IFERROR(__xludf.DUMMYFUNCTION("""COMPUTED_VALUE"""),"lotto numbers caribbean")</f>
        <v>lotto numbers caribbean</v>
      </c>
    </row>
    <row r="317">
      <c r="B317" s="5" t="str">
        <f>IFERROR(__xludf.DUMMYFUNCTION("""COMPUTED_VALUE"""),"draw results caribbean")</f>
        <v>draw results caribbean</v>
      </c>
    </row>
    <row r="318">
      <c r="B318" s="5" t="str">
        <f>IFERROR(__xludf.DUMMYFUNCTION("""COMPUTED_VALUE"""),"lottery winning numbers caribbean")</f>
        <v>lottery winning numbers caribbean</v>
      </c>
    </row>
    <row r="319">
      <c r="B319" s="5" t="str">
        <f>IFERROR(__xludf.DUMMYFUNCTION("""COMPUTED_VALUE"""),"lottery numbers caribbean")</f>
        <v>lottery numbers caribbean</v>
      </c>
    </row>
    <row r="320">
      <c r="B320" s="5" t="str">
        <f>IFERROR(__xludf.DUMMYFUNCTION("""COMPUTED_VALUE"""),"winning numbers today caribbean")</f>
        <v>winning numbers today caribbean</v>
      </c>
    </row>
    <row r="321">
      <c r="B321" s="5" t="str">
        <f>IFERROR(__xludf.DUMMYFUNCTION("""COMPUTED_VALUE"""),"numbers today caribbean")</f>
        <v>numbers today caribbean</v>
      </c>
    </row>
    <row r="322">
      <c r="B322" s="5" t="str">
        <f>IFERROR(__xludf.DUMMYFUNCTION("""COMPUTED_VALUE"""),"winning numbers")</f>
        <v>winning numbers</v>
      </c>
    </row>
    <row r="323">
      <c r="B323" s="5" t="str">
        <f>IFERROR(__xludf.DUMMYFUNCTION("""COMPUTED_VALUE"""),"winning number")</f>
        <v>winning number</v>
      </c>
    </row>
    <row r="324">
      <c r="B324" s="5" t="str">
        <f>IFERROR(__xludf.DUMMYFUNCTION("""COMPUTED_VALUE"""),"lottery results")</f>
        <v>lottery results</v>
      </c>
    </row>
    <row r="325">
      <c r="B325" s="5" t="str">
        <f>IFERROR(__xludf.DUMMYFUNCTION("""COMPUTED_VALUE"""),"lotto results")</f>
        <v>lotto results</v>
      </c>
    </row>
    <row r="326">
      <c r="B326" s="5" t="str">
        <f>IFERROR(__xludf.DUMMYFUNCTION("""COMPUTED_VALUE"""),"lotto numbers")</f>
        <v>lotto numbers</v>
      </c>
    </row>
    <row r="327">
      <c r="B327" s="5" t="str">
        <f>IFERROR(__xludf.DUMMYFUNCTION("""COMPUTED_VALUE"""),"draw results")</f>
        <v>draw results</v>
      </c>
    </row>
    <row r="328">
      <c r="B328" s="5" t="str">
        <f>IFERROR(__xludf.DUMMYFUNCTION("""COMPUTED_VALUE"""),"lottery winning numbers")</f>
        <v>lottery winning numbers</v>
      </c>
    </row>
    <row r="329">
      <c r="B329" s="5" t="str">
        <f>IFERROR(__xludf.DUMMYFUNCTION("""COMPUTED_VALUE"""),"lottery numbers")</f>
        <v>lottery numbers</v>
      </c>
    </row>
    <row r="330">
      <c r="B330" s="5" t="str">
        <f>IFERROR(__xludf.DUMMYFUNCTION("""COMPUTED_VALUE"""),"winning numbers today")</f>
        <v>winning numbers today</v>
      </c>
    </row>
    <row r="331">
      <c r="B331" s="5" t="str">
        <f>IFERROR(__xludf.DUMMYFUNCTION("""COMPUTED_VALUE"""),"numbers today")</f>
        <v>numbers today</v>
      </c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8">
        <v>1.0</v>
      </c>
      <c r="B2" s="8" t="s">
        <v>20</v>
      </c>
      <c r="C2" s="8" t="s">
        <v>21</v>
      </c>
      <c r="D2" s="8">
        <v>80.0</v>
      </c>
      <c r="E2" s="8">
        <v>3900.0</v>
      </c>
      <c r="H2" s="8" t="s">
        <v>20</v>
      </c>
      <c r="I2" s="9">
        <v>46149.24853009259</v>
      </c>
      <c r="J2" s="8" t="s">
        <v>25</v>
      </c>
      <c r="K2" s="8">
        <v>977000.0</v>
      </c>
      <c r="L2" s="8">
        <v>1500.0</v>
      </c>
      <c r="M2" s="8">
        <v>41000.0</v>
      </c>
      <c r="N2" s="7">
        <v>42255.0</v>
      </c>
      <c r="O2" s="8" t="s">
        <v>31</v>
      </c>
      <c r="P2" s="8" t="s">
        <v>28</v>
      </c>
      <c r="Q2" s="8" t="s">
        <v>34</v>
      </c>
      <c r="R2" s="8" t="s">
        <v>36</v>
      </c>
      <c r="S2" s="8" t="s">
        <v>32</v>
      </c>
    </row>
    <row r="3">
      <c r="A3" s="8">
        <v>2.0</v>
      </c>
      <c r="B3" s="8" t="s">
        <v>38</v>
      </c>
      <c r="C3" s="8" t="s">
        <v>21</v>
      </c>
      <c r="D3" s="8">
        <v>80.0</v>
      </c>
      <c r="E3" s="8">
        <v>1900.0</v>
      </c>
      <c r="F3" s="8">
        <v>0.6</v>
      </c>
      <c r="G3" s="8">
        <v>0.95</v>
      </c>
      <c r="H3" s="8" t="s">
        <v>19</v>
      </c>
      <c r="I3" s="9">
        <v>45897.646875</v>
      </c>
      <c r="J3" s="8" t="s">
        <v>42</v>
      </c>
      <c r="K3" s="8">
        <v>48000.0</v>
      </c>
      <c r="L3" s="8">
        <v>26000.0</v>
      </c>
      <c r="M3" s="8">
        <v>27000.0</v>
      </c>
      <c r="N3" s="7">
        <v>42248.0</v>
      </c>
      <c r="O3" s="8" t="s">
        <v>31</v>
      </c>
      <c r="P3" s="8" t="s">
        <v>28</v>
      </c>
      <c r="Q3" s="8" t="s">
        <v>47</v>
      </c>
      <c r="R3" s="8" t="s">
        <v>52</v>
      </c>
      <c r="S3" s="8" t="s">
        <v>32</v>
      </c>
    </row>
    <row r="4">
      <c r="A4" s="8">
        <v>3.0</v>
      </c>
      <c r="B4" s="8" t="s">
        <v>53</v>
      </c>
      <c r="C4" s="8" t="s">
        <v>21</v>
      </c>
      <c r="D4" s="8">
        <v>81.0</v>
      </c>
      <c r="E4" s="8">
        <v>100.0</v>
      </c>
      <c r="H4" s="8" t="s">
        <v>55</v>
      </c>
      <c r="I4" s="9">
        <v>46100.86599537037</v>
      </c>
      <c r="J4" s="8" t="s">
        <v>58</v>
      </c>
      <c r="K4" s="8">
        <v>2100000.0</v>
      </c>
      <c r="L4" s="8">
        <v>15000.0</v>
      </c>
      <c r="M4" s="8">
        <v>67000.0</v>
      </c>
      <c r="N4" s="7">
        <v>42405.0</v>
      </c>
      <c r="O4" s="8" t="s">
        <v>31</v>
      </c>
      <c r="P4" s="8" t="s">
        <v>28</v>
      </c>
      <c r="S4" s="8" t="s">
        <v>32</v>
      </c>
    </row>
    <row r="5">
      <c r="A5" s="8">
        <v>4.0</v>
      </c>
      <c r="B5" s="8" t="s">
        <v>68</v>
      </c>
      <c r="C5" s="8" t="s">
        <v>21</v>
      </c>
      <c r="D5" s="8">
        <v>79.0</v>
      </c>
      <c r="E5" s="8">
        <v>100.0</v>
      </c>
      <c r="H5" s="8" t="s">
        <v>20</v>
      </c>
      <c r="I5" s="9">
        <v>46161.79056712963</v>
      </c>
      <c r="J5" s="8" t="s">
        <v>58</v>
      </c>
      <c r="K5" s="8">
        <v>135000.0</v>
      </c>
      <c r="L5" s="8">
        <v>1400.0</v>
      </c>
      <c r="M5" s="8">
        <v>470000.0</v>
      </c>
      <c r="N5" s="7">
        <v>43879.0</v>
      </c>
      <c r="O5" s="8" t="s">
        <v>31</v>
      </c>
      <c r="P5" s="8" t="s">
        <v>28</v>
      </c>
      <c r="S5" s="8" t="s">
        <v>32</v>
      </c>
    </row>
    <row r="6">
      <c r="A6" s="8">
        <v>5.0</v>
      </c>
      <c r="B6" s="8" t="s">
        <v>83</v>
      </c>
      <c r="C6" s="8" t="s">
        <v>21</v>
      </c>
      <c r="D6" s="8">
        <v>78.0</v>
      </c>
      <c r="E6" s="8">
        <v>100.0</v>
      </c>
      <c r="H6" s="8" t="s">
        <v>19</v>
      </c>
      <c r="I6" s="9">
        <v>46088.12480324074</v>
      </c>
      <c r="K6" s="8">
        <v>300.0</v>
      </c>
      <c r="L6" s="8">
        <v>33000.0</v>
      </c>
      <c r="M6" s="8">
        <v>34000.0</v>
      </c>
      <c r="N6" s="7">
        <v>44012.0</v>
      </c>
      <c r="O6" s="8" t="s">
        <v>31</v>
      </c>
      <c r="P6" s="8" t="s">
        <v>28</v>
      </c>
      <c r="S6" s="8" t="s">
        <v>32</v>
      </c>
    </row>
    <row r="7">
      <c r="A7" s="8">
        <v>6.0</v>
      </c>
      <c r="B7" s="8" t="s">
        <v>91</v>
      </c>
      <c r="C7" s="8" t="s">
        <v>21</v>
      </c>
      <c r="D7" s="8">
        <v>78.0</v>
      </c>
      <c r="E7" s="8">
        <v>100.0</v>
      </c>
      <c r="F7" s="8">
        <v>0.6</v>
      </c>
      <c r="H7" s="8" t="s">
        <v>19</v>
      </c>
      <c r="I7" s="9">
        <v>46089.097291666665</v>
      </c>
      <c r="J7" s="8" t="s">
        <v>96</v>
      </c>
      <c r="K7" s="8">
        <v>5200.0</v>
      </c>
      <c r="L7" s="8">
        <v>33000.0</v>
      </c>
      <c r="M7" s="8">
        <v>34000.0</v>
      </c>
      <c r="N7" s="7">
        <v>42279.0</v>
      </c>
      <c r="O7" s="8" t="s">
        <v>31</v>
      </c>
      <c r="P7" s="8" t="s">
        <v>28</v>
      </c>
      <c r="S7" s="8" t="s">
        <v>32</v>
      </c>
    </row>
    <row r="8">
      <c r="A8" s="8">
        <v>7.0</v>
      </c>
      <c r="B8" s="8" t="s">
        <v>102</v>
      </c>
      <c r="C8" s="8" t="s">
        <v>21</v>
      </c>
      <c r="D8" s="8">
        <v>79.0</v>
      </c>
      <c r="E8" s="8">
        <v>60.0</v>
      </c>
      <c r="H8" s="8" t="s">
        <v>55</v>
      </c>
      <c r="I8" s="9">
        <v>46142.388344907406</v>
      </c>
      <c r="J8" s="8" t="s">
        <v>58</v>
      </c>
      <c r="K8" s="8">
        <v>172000.0</v>
      </c>
      <c r="L8" s="8">
        <v>15000.0</v>
      </c>
      <c r="M8" s="8">
        <v>70000.0</v>
      </c>
      <c r="N8" s="7">
        <v>42249.0</v>
      </c>
      <c r="O8" s="8" t="s">
        <v>31</v>
      </c>
      <c r="P8" s="8" t="s">
        <v>28</v>
      </c>
      <c r="S8" s="8" t="s">
        <v>111</v>
      </c>
    </row>
    <row r="9">
      <c r="A9" s="8">
        <v>8.0</v>
      </c>
      <c r="B9" s="8" t="s">
        <v>113</v>
      </c>
      <c r="C9" s="8" t="s">
        <v>21</v>
      </c>
      <c r="E9" s="8">
        <v>60.0</v>
      </c>
      <c r="K9" s="8">
        <v>8000.0</v>
      </c>
      <c r="N9" s="7">
        <v>44107.0</v>
      </c>
    </row>
    <row r="10">
      <c r="A10" s="8">
        <v>9.0</v>
      </c>
      <c r="B10" s="8" t="s">
        <v>119</v>
      </c>
      <c r="C10" s="8" t="s">
        <v>21</v>
      </c>
      <c r="D10" s="8">
        <v>77.0</v>
      </c>
      <c r="E10" s="8">
        <v>40.0</v>
      </c>
      <c r="H10" s="8" t="s">
        <v>123</v>
      </c>
      <c r="I10" s="9">
        <v>46088.24863425926</v>
      </c>
      <c r="J10" s="8" t="s">
        <v>58</v>
      </c>
      <c r="K10" s="8">
        <v>27000.0</v>
      </c>
      <c r="L10" s="8">
        <v>5100.0</v>
      </c>
      <c r="M10" s="8">
        <v>584000.0</v>
      </c>
      <c r="N10" s="7">
        <v>42253.0</v>
      </c>
      <c r="O10" s="8" t="s">
        <v>31</v>
      </c>
      <c r="P10" s="8" t="s">
        <v>28</v>
      </c>
      <c r="S10" s="8" t="s">
        <v>32</v>
      </c>
    </row>
    <row r="11">
      <c r="A11" s="8">
        <v>10.0</v>
      </c>
      <c r="B11" s="8" t="s">
        <v>132</v>
      </c>
      <c r="C11" s="8" t="s">
        <v>21</v>
      </c>
      <c r="E11" s="8">
        <v>10.0</v>
      </c>
      <c r="K11" s="8">
        <v>83000.0</v>
      </c>
      <c r="N11" s="7">
        <v>44120.0</v>
      </c>
    </row>
    <row r="12">
      <c r="A12" s="8">
        <v>11.0</v>
      </c>
      <c r="B12" s="8" t="s">
        <v>134</v>
      </c>
      <c r="C12" s="8" t="s">
        <v>21</v>
      </c>
      <c r="E12" s="8">
        <v>10.0</v>
      </c>
      <c r="K12" s="8">
        <v>11000.0</v>
      </c>
      <c r="N12" s="7">
        <v>42266.0</v>
      </c>
      <c r="O12" s="8" t="s">
        <v>31</v>
      </c>
      <c r="P12" s="8" t="s">
        <v>28</v>
      </c>
      <c r="S12" s="8" t="s">
        <v>32</v>
      </c>
    </row>
    <row r="13">
      <c r="A13" s="8">
        <v>12.0</v>
      </c>
      <c r="B13" s="8" t="s">
        <v>140</v>
      </c>
      <c r="C13" s="8" t="s">
        <v>21</v>
      </c>
      <c r="E13" s="8">
        <v>10.0</v>
      </c>
      <c r="K13" s="8">
        <v>163000.0</v>
      </c>
      <c r="N13" s="7">
        <v>42405.0</v>
      </c>
    </row>
    <row r="14">
      <c r="A14" s="8">
        <v>13.0</v>
      </c>
      <c r="B14" s="8" t="s">
        <v>144</v>
      </c>
      <c r="C14" s="8" t="s">
        <v>21</v>
      </c>
      <c r="D14" s="8">
        <v>85.0</v>
      </c>
      <c r="E14" s="8">
        <v>10.0</v>
      </c>
      <c r="H14" s="8" t="s">
        <v>20</v>
      </c>
      <c r="I14" s="9">
        <v>46156.73380787037</v>
      </c>
      <c r="J14" s="8" t="s">
        <v>148</v>
      </c>
      <c r="K14" s="8">
        <v>96000.0</v>
      </c>
      <c r="L14" s="8">
        <v>1600.0</v>
      </c>
      <c r="M14" s="8">
        <v>58000.0</v>
      </c>
      <c r="N14" s="7">
        <v>42423.0</v>
      </c>
      <c r="O14" s="8" t="s">
        <v>31</v>
      </c>
      <c r="P14" s="8" t="s">
        <v>28</v>
      </c>
      <c r="S14" s="8" t="s">
        <v>32</v>
      </c>
    </row>
    <row r="15">
      <c r="A15" s="8">
        <v>14.0</v>
      </c>
      <c r="B15" s="8" t="s">
        <v>155</v>
      </c>
      <c r="C15" s="8" t="s">
        <v>21</v>
      </c>
      <c r="E15" s="8">
        <v>10.0</v>
      </c>
      <c r="K15" s="8">
        <v>10.0</v>
      </c>
      <c r="N15" s="7">
        <v>42319.0</v>
      </c>
      <c r="O15" s="8" t="s">
        <v>26</v>
      </c>
      <c r="P15" s="8" t="s">
        <v>28</v>
      </c>
      <c r="S15" s="8" t="s">
        <v>32</v>
      </c>
    </row>
    <row r="16">
      <c r="A16" s="8">
        <v>15.0</v>
      </c>
      <c r="B16" s="8" t="s">
        <v>160</v>
      </c>
      <c r="C16" s="8" t="s">
        <v>21</v>
      </c>
      <c r="K16" s="8">
        <v>2300.0</v>
      </c>
      <c r="N16" s="7">
        <v>42879.0</v>
      </c>
    </row>
    <row r="17">
      <c r="A17" s="8">
        <v>16.0</v>
      </c>
      <c r="B17" s="8" t="s">
        <v>163</v>
      </c>
      <c r="C17" s="8" t="s">
        <v>21</v>
      </c>
      <c r="K17" s="8">
        <v>800.0</v>
      </c>
      <c r="N17" s="7">
        <v>44380.0</v>
      </c>
    </row>
    <row r="18">
      <c r="A18" s="8">
        <v>17.0</v>
      </c>
      <c r="B18" s="8" t="s">
        <v>167</v>
      </c>
      <c r="C18" s="8" t="s">
        <v>21</v>
      </c>
      <c r="K18" s="8">
        <v>250.0</v>
      </c>
      <c r="N18" s="7">
        <v>44315.0</v>
      </c>
    </row>
    <row r="19">
      <c r="A19" s="8">
        <v>18.0</v>
      </c>
      <c r="B19" s="8" t="s">
        <v>170</v>
      </c>
      <c r="C19" s="8" t="s">
        <v>21</v>
      </c>
      <c r="K19" s="8">
        <v>250.0</v>
      </c>
      <c r="N19" s="7">
        <v>44759.0</v>
      </c>
    </row>
    <row r="20">
      <c r="A20" s="8">
        <v>19.0</v>
      </c>
      <c r="B20" s="8" t="s">
        <v>174</v>
      </c>
      <c r="C20" s="8" t="s">
        <v>21</v>
      </c>
      <c r="K20" s="8">
        <v>121000.0</v>
      </c>
      <c r="N20" s="7">
        <v>44119.0</v>
      </c>
    </row>
    <row r="21">
      <c r="A21" s="8">
        <v>20.0</v>
      </c>
      <c r="B21" s="8" t="s">
        <v>176</v>
      </c>
      <c r="C21" s="8" t="s">
        <v>21</v>
      </c>
      <c r="K21" s="8">
        <v>150.0</v>
      </c>
      <c r="N21" s="7">
        <v>44288.0</v>
      </c>
    </row>
    <row r="22">
      <c r="A22" s="8">
        <v>21.0</v>
      </c>
      <c r="B22" s="8" t="s">
        <v>178</v>
      </c>
      <c r="C22" s="8" t="s">
        <v>21</v>
      </c>
      <c r="K22" s="8">
        <v>10.0</v>
      </c>
      <c r="N22" s="7">
        <v>42442.0</v>
      </c>
    </row>
    <row r="23">
      <c r="A23" s="8">
        <v>22.0</v>
      </c>
      <c r="B23" s="8" t="s">
        <v>180</v>
      </c>
      <c r="C23" s="8" t="s">
        <v>21</v>
      </c>
      <c r="K23" s="8">
        <v>50.0</v>
      </c>
      <c r="N23" s="7">
        <v>44617.0</v>
      </c>
    </row>
    <row r="24">
      <c r="A24" s="8">
        <v>23.0</v>
      </c>
      <c r="B24" s="8" t="s">
        <v>184</v>
      </c>
      <c r="C24" s="8" t="s">
        <v>21</v>
      </c>
      <c r="K24" s="8">
        <v>63000.0</v>
      </c>
      <c r="N24" s="7">
        <v>44613.0</v>
      </c>
    </row>
    <row r="25">
      <c r="A25" s="8">
        <v>24.0</v>
      </c>
      <c r="B25" s="8" t="s">
        <v>187</v>
      </c>
      <c r="C25" s="8" t="s">
        <v>21</v>
      </c>
      <c r="K25" s="8">
        <v>9600.0</v>
      </c>
      <c r="N25" s="7">
        <v>44395.0</v>
      </c>
    </row>
    <row r="26">
      <c r="A26" s="8">
        <v>25.0</v>
      </c>
      <c r="B26" s="8" t="s">
        <v>189</v>
      </c>
      <c r="C26" s="8" t="s">
        <v>21</v>
      </c>
      <c r="K26" s="8">
        <v>6300.0</v>
      </c>
      <c r="N26" s="7">
        <v>44606.0</v>
      </c>
    </row>
    <row r="27">
      <c r="A27" s="8">
        <v>26.0</v>
      </c>
      <c r="B27" s="8" t="s">
        <v>193</v>
      </c>
      <c r="C27" s="8" t="s">
        <v>21</v>
      </c>
      <c r="K27" s="8">
        <v>2900.0</v>
      </c>
      <c r="N27" s="7">
        <v>44446.0</v>
      </c>
    </row>
    <row r="28">
      <c r="A28" s="8">
        <v>27.0</v>
      </c>
      <c r="B28" s="8" t="s">
        <v>196</v>
      </c>
      <c r="C28" s="8" t="s">
        <v>21</v>
      </c>
      <c r="K28" s="8">
        <v>450.0</v>
      </c>
      <c r="N28" s="7">
        <v>45294.0</v>
      </c>
    </row>
    <row r="29">
      <c r="A29" s="8">
        <v>28.0</v>
      </c>
      <c r="B29" s="8" t="s">
        <v>200</v>
      </c>
      <c r="C29" s="8" t="s">
        <v>21</v>
      </c>
      <c r="K29" s="8">
        <v>100.0</v>
      </c>
      <c r="N29" s="7">
        <v>44591.0</v>
      </c>
    </row>
    <row r="30">
      <c r="A30" s="8">
        <v>29.0</v>
      </c>
      <c r="B30" s="8" t="s">
        <v>203</v>
      </c>
      <c r="C30" s="8" t="s">
        <v>21</v>
      </c>
      <c r="K30" s="8">
        <v>400.0</v>
      </c>
      <c r="N30" s="7">
        <v>44581.0</v>
      </c>
    </row>
    <row r="31">
      <c r="A31" s="8">
        <v>30.0</v>
      </c>
      <c r="B31" s="8" t="s">
        <v>206</v>
      </c>
      <c r="C31" s="8" t="s">
        <v>21</v>
      </c>
      <c r="K31" s="8">
        <v>18000.0</v>
      </c>
      <c r="N31" s="7">
        <v>44202.0</v>
      </c>
    </row>
    <row r="32">
      <c r="A32" s="8">
        <v>31.0</v>
      </c>
      <c r="B32" s="8" t="s">
        <v>209</v>
      </c>
      <c r="C32" s="8" t="s">
        <v>21</v>
      </c>
      <c r="K32" s="8">
        <v>200.0</v>
      </c>
      <c r="N32" s="7">
        <v>44170.0</v>
      </c>
    </row>
    <row r="33">
      <c r="A33" s="8">
        <v>32.0</v>
      </c>
      <c r="B33" s="8" t="s">
        <v>212</v>
      </c>
      <c r="C33" s="8" t="s">
        <v>21</v>
      </c>
      <c r="K33" s="8">
        <v>3100.0</v>
      </c>
      <c r="N33" s="7">
        <v>42727.0</v>
      </c>
    </row>
    <row r="34">
      <c r="A34" s="8">
        <v>33.0</v>
      </c>
      <c r="B34" s="8" t="s">
        <v>215</v>
      </c>
      <c r="C34" s="8" t="s">
        <v>21</v>
      </c>
      <c r="K34" s="8">
        <v>600.0</v>
      </c>
      <c r="N34" s="7">
        <v>44146.0</v>
      </c>
    </row>
    <row r="35">
      <c r="A35" s="8">
        <v>34.0</v>
      </c>
      <c r="B35" s="8" t="s">
        <v>218</v>
      </c>
      <c r="C35" s="8" t="s">
        <v>21</v>
      </c>
      <c r="K35" s="8">
        <v>800.0</v>
      </c>
      <c r="N35" s="7">
        <v>44576.0</v>
      </c>
    </row>
    <row r="36">
      <c r="A36" s="8">
        <v>35.0</v>
      </c>
      <c r="B36" s="8" t="s">
        <v>220</v>
      </c>
      <c r="C36" s="8" t="s">
        <v>21</v>
      </c>
      <c r="K36" s="8">
        <v>800.0</v>
      </c>
      <c r="N36" s="7">
        <v>44164.0</v>
      </c>
    </row>
    <row r="37">
      <c r="A37" s="8">
        <v>36.0</v>
      </c>
      <c r="B37" s="8" t="s">
        <v>223</v>
      </c>
      <c r="C37" s="8" t="s">
        <v>21</v>
      </c>
      <c r="K37" s="8">
        <v>450.0</v>
      </c>
      <c r="N37" s="7">
        <v>43849.0</v>
      </c>
    </row>
    <row r="38">
      <c r="A38" s="8">
        <v>37.0</v>
      </c>
      <c r="B38" s="8" t="s">
        <v>226</v>
      </c>
      <c r="C38" s="8" t="s">
        <v>21</v>
      </c>
      <c r="K38" s="8">
        <v>50.0</v>
      </c>
      <c r="N38" s="7">
        <v>44581.0</v>
      </c>
    </row>
    <row r="39">
      <c r="A39" s="8">
        <v>38.0</v>
      </c>
      <c r="B39" s="8" t="s">
        <v>229</v>
      </c>
      <c r="C39" s="8" t="s">
        <v>21</v>
      </c>
      <c r="K39" s="8">
        <v>150.0</v>
      </c>
      <c r="N39" s="7">
        <v>44240.0</v>
      </c>
    </row>
    <row r="40">
      <c r="A40" s="8">
        <v>39.0</v>
      </c>
      <c r="B40" s="8" t="s">
        <v>231</v>
      </c>
      <c r="C40" s="8" t="s">
        <v>21</v>
      </c>
      <c r="K40" s="8">
        <v>500.0</v>
      </c>
      <c r="N40" s="7">
        <v>43440.0</v>
      </c>
      <c r="O40" s="8" t="s">
        <v>31</v>
      </c>
      <c r="P40" s="8" t="s">
        <v>28</v>
      </c>
      <c r="S40" s="8" t="s">
        <v>32</v>
      </c>
    </row>
    <row r="41">
      <c r="A41" s="8">
        <v>40.0</v>
      </c>
      <c r="B41" s="8" t="s">
        <v>236</v>
      </c>
      <c r="C41" s="8" t="s">
        <v>21</v>
      </c>
      <c r="K41" s="8">
        <v>20.0</v>
      </c>
      <c r="N41" s="7">
        <v>44815.0</v>
      </c>
    </row>
    <row r="42">
      <c r="A42" s="8">
        <v>41.0</v>
      </c>
      <c r="B42" s="8" t="s">
        <v>239</v>
      </c>
      <c r="C42" s="8" t="s">
        <v>21</v>
      </c>
      <c r="K42" s="8">
        <v>1300.0</v>
      </c>
      <c r="N42" s="7">
        <v>44986.0</v>
      </c>
    </row>
    <row r="43">
      <c r="A43" s="8">
        <v>42.0</v>
      </c>
      <c r="B43" s="8" t="s">
        <v>242</v>
      </c>
      <c r="C43" s="8" t="s">
        <v>21</v>
      </c>
      <c r="N43" s="7">
        <v>43622.0</v>
      </c>
    </row>
    <row r="44">
      <c r="A44" s="8">
        <v>43.0</v>
      </c>
      <c r="B44" s="8" t="s">
        <v>245</v>
      </c>
      <c r="C44" s="8" t="s">
        <v>21</v>
      </c>
      <c r="N44" s="7">
        <v>43217.0</v>
      </c>
      <c r="O44" s="8" t="s">
        <v>26</v>
      </c>
      <c r="P44" s="8" t="s">
        <v>28</v>
      </c>
      <c r="S44" s="8" t="s">
        <v>32</v>
      </c>
    </row>
    <row r="45">
      <c r="A45" s="8">
        <v>44.0</v>
      </c>
      <c r="B45" s="8" t="s">
        <v>249</v>
      </c>
      <c r="C45" s="8" t="s">
        <v>21</v>
      </c>
    </row>
    <row r="46">
      <c r="A46" s="8">
        <v>45.0</v>
      </c>
      <c r="B46" s="8" t="s">
        <v>250</v>
      </c>
      <c r="C46" s="8" t="s">
        <v>21</v>
      </c>
    </row>
    <row r="47">
      <c r="A47" s="8">
        <v>46.0</v>
      </c>
      <c r="B47" s="8" t="s">
        <v>253</v>
      </c>
      <c r="C47" s="8" t="s">
        <v>21</v>
      </c>
    </row>
    <row r="48">
      <c r="A48" s="8">
        <v>47.0</v>
      </c>
      <c r="B48" s="8" t="s">
        <v>256</v>
      </c>
      <c r="C48" s="8" t="s">
        <v>21</v>
      </c>
    </row>
    <row r="49">
      <c r="A49" s="8">
        <v>48.0</v>
      </c>
      <c r="B49" s="8" t="s">
        <v>258</v>
      </c>
      <c r="C49" s="8" t="s">
        <v>21</v>
      </c>
    </row>
    <row r="50">
      <c r="A50" s="8">
        <v>49.0</v>
      </c>
      <c r="B50" s="8" t="s">
        <v>261</v>
      </c>
      <c r="C50" s="8" t="s">
        <v>21</v>
      </c>
    </row>
    <row r="51">
      <c r="A51" s="8">
        <v>50.0</v>
      </c>
      <c r="B51" s="8" t="s">
        <v>263</v>
      </c>
      <c r="C51" s="8" t="s">
        <v>21</v>
      </c>
    </row>
    <row r="52">
      <c r="A52" s="8">
        <v>51.0</v>
      </c>
      <c r="B52" s="8" t="s">
        <v>265</v>
      </c>
      <c r="C52" s="8" t="s">
        <v>21</v>
      </c>
    </row>
    <row r="53">
      <c r="A53" s="8">
        <v>52.0</v>
      </c>
      <c r="B53" s="8" t="s">
        <v>267</v>
      </c>
      <c r="C53" s="8" t="s">
        <v>21</v>
      </c>
    </row>
    <row r="54">
      <c r="A54" s="8">
        <v>53.0</v>
      </c>
      <c r="B54" s="8" t="s">
        <v>269</v>
      </c>
      <c r="C54" s="8" t="s">
        <v>21</v>
      </c>
    </row>
    <row r="55">
      <c r="A55" s="8">
        <v>54.0</v>
      </c>
      <c r="B55" s="8" t="s">
        <v>271</v>
      </c>
      <c r="C55" s="8" t="s">
        <v>21</v>
      </c>
    </row>
    <row r="56">
      <c r="A56" s="8">
        <v>55.0</v>
      </c>
      <c r="B56" s="8" t="s">
        <v>273</v>
      </c>
      <c r="C56" s="8" t="s">
        <v>21</v>
      </c>
    </row>
    <row r="57">
      <c r="A57" s="8">
        <v>56.0</v>
      </c>
      <c r="B57" s="8" t="s">
        <v>275</v>
      </c>
      <c r="C57" s="8" t="s">
        <v>21</v>
      </c>
    </row>
    <row r="58">
      <c r="A58" s="8">
        <v>57.0</v>
      </c>
      <c r="B58" s="8" t="s">
        <v>277</v>
      </c>
      <c r="C58" s="8" t="s">
        <v>21</v>
      </c>
    </row>
    <row r="59">
      <c r="A59" s="8">
        <v>58.0</v>
      </c>
      <c r="B59" s="8" t="s">
        <v>280</v>
      </c>
      <c r="C59" s="8" t="s">
        <v>21</v>
      </c>
    </row>
    <row r="60">
      <c r="A60" s="8">
        <v>59.0</v>
      </c>
      <c r="B60" s="8" t="s">
        <v>282</v>
      </c>
      <c r="C60" s="8" t="s">
        <v>21</v>
      </c>
    </row>
    <row r="61">
      <c r="A61" s="8">
        <v>60.0</v>
      </c>
      <c r="B61" s="8" t="s">
        <v>284</v>
      </c>
      <c r="C61" s="8" t="s">
        <v>21</v>
      </c>
    </row>
    <row r="62">
      <c r="A62" s="8">
        <v>61.0</v>
      </c>
      <c r="B62" s="8" t="s">
        <v>286</v>
      </c>
      <c r="C62" s="8" t="s">
        <v>21</v>
      </c>
    </row>
    <row r="63">
      <c r="A63" s="8">
        <v>62.0</v>
      </c>
      <c r="B63" s="8" t="s">
        <v>288</v>
      </c>
      <c r="C63" s="8" t="s">
        <v>21</v>
      </c>
    </row>
    <row r="64">
      <c r="A64" s="8">
        <v>63.0</v>
      </c>
      <c r="B64" s="8" t="s">
        <v>291</v>
      </c>
      <c r="C64" s="8" t="s">
        <v>21</v>
      </c>
    </row>
    <row r="65">
      <c r="A65" s="8">
        <v>64.0</v>
      </c>
      <c r="B65" s="8" t="s">
        <v>292</v>
      </c>
      <c r="C65" s="8" t="s">
        <v>21</v>
      </c>
    </row>
    <row r="66">
      <c r="A66" s="8">
        <v>65.0</v>
      </c>
      <c r="B66" s="8" t="s">
        <v>294</v>
      </c>
      <c r="C66" s="8" t="s">
        <v>21</v>
      </c>
    </row>
    <row r="67">
      <c r="A67" s="8">
        <v>66.0</v>
      </c>
      <c r="B67" s="8" t="s">
        <v>296</v>
      </c>
      <c r="C67" s="8" t="s">
        <v>21</v>
      </c>
    </row>
    <row r="68">
      <c r="A68" s="8">
        <v>67.0</v>
      </c>
      <c r="B68" s="8" t="s">
        <v>298</v>
      </c>
      <c r="C68" s="8" t="s">
        <v>21</v>
      </c>
    </row>
    <row r="69">
      <c r="A69" s="8">
        <v>68.0</v>
      </c>
      <c r="B69" s="8" t="s">
        <v>300</v>
      </c>
      <c r="C69" s="8" t="s">
        <v>21</v>
      </c>
    </row>
    <row r="70">
      <c r="A70" s="8">
        <v>69.0</v>
      </c>
      <c r="B70" s="8" t="s">
        <v>301</v>
      </c>
      <c r="C70" s="8" t="s">
        <v>21</v>
      </c>
    </row>
    <row r="71">
      <c r="A71" s="8">
        <v>70.0</v>
      </c>
      <c r="B71" s="8" t="s">
        <v>303</v>
      </c>
      <c r="C71" s="8" t="s">
        <v>21</v>
      </c>
    </row>
    <row r="72">
      <c r="A72" s="8">
        <v>71.0</v>
      </c>
      <c r="B72" s="8" t="s">
        <v>306</v>
      </c>
      <c r="C72" s="8" t="s">
        <v>21</v>
      </c>
    </row>
    <row r="73">
      <c r="A73" s="8">
        <v>72.0</v>
      </c>
      <c r="B73" s="8" t="s">
        <v>308</v>
      </c>
      <c r="C73" s="8" t="s">
        <v>21</v>
      </c>
    </row>
    <row r="74">
      <c r="A74" s="8">
        <v>73.0</v>
      </c>
      <c r="B74" s="8" t="s">
        <v>310</v>
      </c>
      <c r="C74" s="8" t="s">
        <v>21</v>
      </c>
    </row>
    <row r="75">
      <c r="A75" s="8">
        <v>74.0</v>
      </c>
      <c r="B75" s="8" t="s">
        <v>312</v>
      </c>
      <c r="C75" s="8" t="s">
        <v>21</v>
      </c>
    </row>
    <row r="76">
      <c r="A76" s="8">
        <v>75.0</v>
      </c>
      <c r="B76" s="8" t="s">
        <v>313</v>
      </c>
      <c r="C76" s="8" t="s">
        <v>21</v>
      </c>
    </row>
    <row r="77">
      <c r="A77" s="8">
        <v>76.0</v>
      </c>
      <c r="B77" s="8" t="s">
        <v>315</v>
      </c>
      <c r="C77" s="8" t="s">
        <v>21</v>
      </c>
    </row>
    <row r="78">
      <c r="A78" s="8">
        <v>77.0</v>
      </c>
      <c r="B78" s="8" t="s">
        <v>318</v>
      </c>
      <c r="C78" s="8" t="s">
        <v>21</v>
      </c>
    </row>
    <row r="79">
      <c r="A79" s="8">
        <v>78.0</v>
      </c>
      <c r="B79" s="8" t="s">
        <v>320</v>
      </c>
      <c r="C79" s="8" t="s">
        <v>21</v>
      </c>
    </row>
    <row r="80">
      <c r="A80" s="8">
        <v>79.0</v>
      </c>
      <c r="B80" s="8" t="s">
        <v>322</v>
      </c>
      <c r="C80" s="8" t="s">
        <v>21</v>
      </c>
    </row>
    <row r="81">
      <c r="A81" s="8">
        <v>80.0</v>
      </c>
      <c r="B81" s="8" t="s">
        <v>324</v>
      </c>
      <c r="C81" s="8" t="s">
        <v>21</v>
      </c>
    </row>
    <row r="82">
      <c r="A82" s="8">
        <v>81.0</v>
      </c>
      <c r="B82" s="8" t="s">
        <v>326</v>
      </c>
      <c r="C82" s="8" t="s">
        <v>21</v>
      </c>
    </row>
    <row r="83">
      <c r="A83" s="8">
        <v>82.0</v>
      </c>
      <c r="B83" s="8" t="s">
        <v>329</v>
      </c>
      <c r="C83" s="8" t="s">
        <v>21</v>
      </c>
    </row>
    <row r="84">
      <c r="A84" s="8">
        <v>83.0</v>
      </c>
      <c r="B84" s="8" t="s">
        <v>332</v>
      </c>
      <c r="C84" s="8" t="s">
        <v>21</v>
      </c>
    </row>
    <row r="85">
      <c r="A85" s="8">
        <v>84.0</v>
      </c>
      <c r="B85" s="8" t="s">
        <v>334</v>
      </c>
      <c r="C85" s="8" t="s">
        <v>21</v>
      </c>
    </row>
    <row r="86">
      <c r="A86" s="8">
        <v>85.0</v>
      </c>
      <c r="B86" s="8" t="s">
        <v>335</v>
      </c>
      <c r="C86" s="8" t="s">
        <v>21</v>
      </c>
    </row>
    <row r="87">
      <c r="A87" s="8">
        <v>86.0</v>
      </c>
      <c r="B87" s="8" t="s">
        <v>337</v>
      </c>
      <c r="C87" s="8" t="s">
        <v>21</v>
      </c>
    </row>
    <row r="88">
      <c r="A88" s="8">
        <v>87.0</v>
      </c>
      <c r="B88" s="8" t="s">
        <v>339</v>
      </c>
      <c r="C88" s="8" t="s">
        <v>21</v>
      </c>
    </row>
    <row r="89">
      <c r="A89" s="8">
        <v>88.0</v>
      </c>
      <c r="B89" s="8" t="s">
        <v>341</v>
      </c>
      <c r="C89" s="8" t="s">
        <v>21</v>
      </c>
    </row>
    <row r="90">
      <c r="A90" s="8">
        <v>89.0</v>
      </c>
      <c r="B90" s="8" t="s">
        <v>342</v>
      </c>
      <c r="C90" s="8" t="s">
        <v>21</v>
      </c>
    </row>
    <row r="91">
      <c r="A91" s="8">
        <v>90.0</v>
      </c>
      <c r="B91" s="8" t="s">
        <v>345</v>
      </c>
      <c r="C91" s="8" t="s">
        <v>21</v>
      </c>
    </row>
    <row r="92">
      <c r="A92" s="8">
        <v>91.0</v>
      </c>
      <c r="B92" s="8" t="s">
        <v>348</v>
      </c>
      <c r="C92" s="8" t="s">
        <v>21</v>
      </c>
    </row>
    <row r="93">
      <c r="A93" s="8">
        <v>92.0</v>
      </c>
      <c r="B93" s="8" t="s">
        <v>350</v>
      </c>
      <c r="C93" s="8" t="s">
        <v>21</v>
      </c>
    </row>
    <row r="94">
      <c r="A94" s="8">
        <v>93.0</v>
      </c>
      <c r="B94" s="8" t="s">
        <v>352</v>
      </c>
      <c r="C94" s="8" t="s">
        <v>21</v>
      </c>
    </row>
    <row r="95">
      <c r="A95" s="8">
        <v>94.0</v>
      </c>
      <c r="B95" s="8" t="s">
        <v>354</v>
      </c>
      <c r="C95" s="8" t="s">
        <v>21</v>
      </c>
    </row>
    <row r="96">
      <c r="A96" s="8">
        <v>95.0</v>
      </c>
      <c r="B96" s="8" t="s">
        <v>357</v>
      </c>
      <c r="C96" s="8" t="s">
        <v>21</v>
      </c>
    </row>
    <row r="97">
      <c r="A97" s="8">
        <v>96.0</v>
      </c>
      <c r="B97" s="8" t="s">
        <v>361</v>
      </c>
      <c r="C97" s="8" t="s">
        <v>21</v>
      </c>
    </row>
    <row r="98">
      <c r="A98" s="8">
        <v>97.0</v>
      </c>
      <c r="B98" s="8" t="s">
        <v>362</v>
      </c>
      <c r="C98" s="8" t="s">
        <v>21</v>
      </c>
    </row>
    <row r="99">
      <c r="A99" s="8">
        <v>98.0</v>
      </c>
      <c r="B99" s="8" t="s">
        <v>364</v>
      </c>
      <c r="C99" s="8" t="s">
        <v>21</v>
      </c>
    </row>
    <row r="100">
      <c r="A100" s="8">
        <v>99.0</v>
      </c>
      <c r="B100" s="8" t="s">
        <v>366</v>
      </c>
      <c r="C100" s="8" t="s">
        <v>21</v>
      </c>
    </row>
    <row r="101">
      <c r="A101" s="8">
        <v>100.0</v>
      </c>
      <c r="B101" s="8" t="s">
        <v>369</v>
      </c>
      <c r="C101" s="8" t="s">
        <v>21</v>
      </c>
    </row>
    <row r="102">
      <c r="A102" s="8">
        <v>101.0</v>
      </c>
      <c r="B102" s="8" t="s">
        <v>372</v>
      </c>
      <c r="C102" s="8" t="s">
        <v>21</v>
      </c>
    </row>
    <row r="103">
      <c r="A103" s="8">
        <v>102.0</v>
      </c>
      <c r="B103" s="8" t="s">
        <v>374</v>
      </c>
      <c r="C103" s="8" t="s">
        <v>21</v>
      </c>
    </row>
    <row r="104">
      <c r="A104" s="8">
        <v>103.0</v>
      </c>
      <c r="B104" s="8" t="s">
        <v>375</v>
      </c>
      <c r="C104" s="8" t="s">
        <v>21</v>
      </c>
    </row>
    <row r="105">
      <c r="A105" s="8">
        <v>104.0</v>
      </c>
      <c r="B105" s="8" t="s">
        <v>377</v>
      </c>
      <c r="C105" s="8" t="s">
        <v>21</v>
      </c>
    </row>
    <row r="106">
      <c r="A106" s="8">
        <v>105.0</v>
      </c>
      <c r="B106" s="8" t="s">
        <v>380</v>
      </c>
      <c r="C106" s="8" t="s">
        <v>21</v>
      </c>
    </row>
    <row r="107">
      <c r="A107" s="8">
        <v>106.0</v>
      </c>
      <c r="B107" s="8" t="s">
        <v>382</v>
      </c>
      <c r="C107" s="8" t="s">
        <v>21</v>
      </c>
    </row>
    <row r="108">
      <c r="A108" s="8">
        <v>107.0</v>
      </c>
      <c r="B108" s="8" t="s">
        <v>383</v>
      </c>
      <c r="C108" s="8" t="s">
        <v>21</v>
      </c>
    </row>
    <row r="109">
      <c r="A109" s="8">
        <v>108.0</v>
      </c>
      <c r="B109" s="8" t="s">
        <v>385</v>
      </c>
      <c r="C109" s="8" t="s">
        <v>21</v>
      </c>
    </row>
    <row r="110">
      <c r="A110" s="8">
        <v>109.0</v>
      </c>
      <c r="B110" s="8" t="s">
        <v>388</v>
      </c>
      <c r="C110" s="8" t="s">
        <v>21</v>
      </c>
    </row>
    <row r="111">
      <c r="A111" s="8">
        <v>110.0</v>
      </c>
      <c r="B111" s="8" t="s">
        <v>391</v>
      </c>
      <c r="C111" s="8" t="s">
        <v>21</v>
      </c>
    </row>
    <row r="112">
      <c r="A112" s="8">
        <v>111.0</v>
      </c>
      <c r="B112" s="8" t="s">
        <v>393</v>
      </c>
      <c r="C112" s="8" t="s">
        <v>21</v>
      </c>
    </row>
    <row r="113">
      <c r="A113" s="8">
        <v>112.0</v>
      </c>
      <c r="B113" s="8" t="s">
        <v>395</v>
      </c>
      <c r="C113" s="8" t="s">
        <v>21</v>
      </c>
    </row>
    <row r="114">
      <c r="A114" s="8">
        <v>113.0</v>
      </c>
      <c r="B114" s="8" t="s">
        <v>397</v>
      </c>
      <c r="C114" s="8" t="s">
        <v>21</v>
      </c>
    </row>
    <row r="115">
      <c r="A115" s="8">
        <v>114.0</v>
      </c>
      <c r="B115" s="8" t="s">
        <v>399</v>
      </c>
      <c r="C115" s="8" t="s">
        <v>21</v>
      </c>
    </row>
    <row r="116">
      <c r="A116" s="8">
        <v>115.0</v>
      </c>
      <c r="B116" s="8" t="s">
        <v>400</v>
      </c>
      <c r="C116" s="8" t="s">
        <v>21</v>
      </c>
    </row>
    <row r="117">
      <c r="A117" s="8">
        <v>116.0</v>
      </c>
      <c r="B117" s="8" t="s">
        <v>402</v>
      </c>
      <c r="C117" s="8" t="s">
        <v>21</v>
      </c>
    </row>
    <row r="118">
      <c r="A118" s="8">
        <v>117.0</v>
      </c>
      <c r="B118" s="8" t="s">
        <v>403</v>
      </c>
      <c r="C118" s="8" t="s">
        <v>21</v>
      </c>
    </row>
    <row r="119">
      <c r="A119" s="8">
        <v>118.0</v>
      </c>
      <c r="B119" s="8" t="s">
        <v>404</v>
      </c>
      <c r="C119" s="8" t="s">
        <v>21</v>
      </c>
    </row>
    <row r="120">
      <c r="A120" s="8">
        <v>119.0</v>
      </c>
      <c r="B120" s="8" t="s">
        <v>405</v>
      </c>
      <c r="C120" s="8" t="s">
        <v>21</v>
      </c>
    </row>
    <row r="121">
      <c r="A121" s="8">
        <v>120.0</v>
      </c>
      <c r="B121" s="8" t="s">
        <v>407</v>
      </c>
      <c r="C121" s="8" t="s">
        <v>21</v>
      </c>
    </row>
    <row r="122">
      <c r="A122" s="8">
        <v>121.0</v>
      </c>
      <c r="B122" s="8" t="s">
        <v>408</v>
      </c>
      <c r="C122" s="8" t="s">
        <v>21</v>
      </c>
    </row>
    <row r="123">
      <c r="A123" s="8">
        <v>122.0</v>
      </c>
      <c r="B123" s="8" t="s">
        <v>409</v>
      </c>
      <c r="C123" s="8" t="s">
        <v>21</v>
      </c>
    </row>
    <row r="124">
      <c r="A124" s="8">
        <v>123.0</v>
      </c>
      <c r="B124" s="8" t="s">
        <v>410</v>
      </c>
      <c r="C124" s="8" t="s">
        <v>21</v>
      </c>
    </row>
    <row r="125">
      <c r="A125" s="8">
        <v>124.0</v>
      </c>
      <c r="B125" s="8" t="s">
        <v>411</v>
      </c>
      <c r="C125" s="8" t="s">
        <v>21</v>
      </c>
    </row>
    <row r="126">
      <c r="A126" s="8">
        <v>125.0</v>
      </c>
      <c r="B126" s="8" t="s">
        <v>412</v>
      </c>
      <c r="C126" s="8" t="s">
        <v>21</v>
      </c>
    </row>
    <row r="127">
      <c r="A127" s="8">
        <v>126.0</v>
      </c>
      <c r="B127" s="8" t="s">
        <v>413</v>
      </c>
      <c r="C127" s="8" t="s">
        <v>21</v>
      </c>
    </row>
    <row r="128">
      <c r="A128" s="8">
        <v>127.0</v>
      </c>
      <c r="B128" s="8" t="s">
        <v>414</v>
      </c>
      <c r="C128" s="8" t="s">
        <v>21</v>
      </c>
    </row>
    <row r="129">
      <c r="A129" s="8">
        <v>128.0</v>
      </c>
      <c r="B129" s="8" t="s">
        <v>415</v>
      </c>
      <c r="C129" s="8" t="s">
        <v>21</v>
      </c>
    </row>
    <row r="130">
      <c r="A130" s="8">
        <v>129.0</v>
      </c>
      <c r="B130" s="8" t="s">
        <v>416</v>
      </c>
      <c r="C130" s="8" t="s">
        <v>21</v>
      </c>
    </row>
    <row r="131">
      <c r="A131" s="8">
        <v>130.0</v>
      </c>
      <c r="B131" s="8" t="s">
        <v>418</v>
      </c>
      <c r="C131" s="8" t="s">
        <v>21</v>
      </c>
    </row>
    <row r="132">
      <c r="A132" s="8">
        <v>131.0</v>
      </c>
      <c r="B132" s="8" t="s">
        <v>419</v>
      </c>
      <c r="C132" s="8" t="s">
        <v>21</v>
      </c>
    </row>
    <row r="133">
      <c r="A133" s="8">
        <v>132.0</v>
      </c>
      <c r="B133" s="8" t="s">
        <v>420</v>
      </c>
      <c r="C133" s="8" t="s">
        <v>21</v>
      </c>
    </row>
    <row r="134">
      <c r="A134" s="8">
        <v>133.0</v>
      </c>
      <c r="B134" s="8" t="s">
        <v>422</v>
      </c>
      <c r="C134" s="8" t="s">
        <v>21</v>
      </c>
    </row>
    <row r="135">
      <c r="A135" s="8">
        <v>134.0</v>
      </c>
      <c r="B135" s="8" t="s">
        <v>423</v>
      </c>
      <c r="C135" s="8" t="s">
        <v>21</v>
      </c>
    </row>
    <row r="136">
      <c r="A136" s="8">
        <v>135.0</v>
      </c>
      <c r="B136" s="8" t="s">
        <v>424</v>
      </c>
      <c r="C136" s="8" t="s">
        <v>21</v>
      </c>
    </row>
    <row r="137">
      <c r="A137" s="8">
        <v>136.0</v>
      </c>
      <c r="B137" s="8" t="s">
        <v>425</v>
      </c>
      <c r="C137" s="8" t="s">
        <v>21</v>
      </c>
    </row>
    <row r="138">
      <c r="A138" s="8">
        <v>137.0</v>
      </c>
      <c r="B138" s="8" t="s">
        <v>427</v>
      </c>
      <c r="C138" s="8" t="s">
        <v>21</v>
      </c>
    </row>
    <row r="139">
      <c r="A139" s="8">
        <v>138.0</v>
      </c>
      <c r="B139" s="8" t="s">
        <v>429</v>
      </c>
      <c r="C139" s="8" t="s">
        <v>21</v>
      </c>
    </row>
    <row r="140">
      <c r="A140" s="8">
        <v>139.0</v>
      </c>
      <c r="B140" s="8" t="s">
        <v>430</v>
      </c>
      <c r="C140" s="8" t="s">
        <v>21</v>
      </c>
    </row>
    <row r="141">
      <c r="A141" s="8">
        <v>140.0</v>
      </c>
      <c r="B141" s="8" t="s">
        <v>431</v>
      </c>
      <c r="C141" s="8" t="s">
        <v>21</v>
      </c>
    </row>
    <row r="142">
      <c r="A142" s="8">
        <v>141.0</v>
      </c>
      <c r="B142" s="8" t="s">
        <v>432</v>
      </c>
      <c r="C142" s="8" t="s">
        <v>21</v>
      </c>
    </row>
    <row r="143">
      <c r="A143" s="8">
        <v>142.0</v>
      </c>
      <c r="B143" s="8" t="s">
        <v>434</v>
      </c>
      <c r="C143" s="8" t="s">
        <v>21</v>
      </c>
    </row>
    <row r="144">
      <c r="A144" s="8">
        <v>143.0</v>
      </c>
      <c r="B144" s="8" t="s">
        <v>435</v>
      </c>
      <c r="C144" s="8" t="s">
        <v>21</v>
      </c>
    </row>
    <row r="145">
      <c r="A145" s="8">
        <v>144.0</v>
      </c>
      <c r="B145" s="8" t="s">
        <v>436</v>
      </c>
      <c r="C145" s="8" t="s">
        <v>21</v>
      </c>
    </row>
    <row r="146">
      <c r="A146" s="8">
        <v>145.0</v>
      </c>
      <c r="B146" s="8" t="s">
        <v>438</v>
      </c>
      <c r="C146" s="8" t="s">
        <v>21</v>
      </c>
    </row>
    <row r="147">
      <c r="A147" s="8">
        <v>146.0</v>
      </c>
      <c r="B147" s="8" t="s">
        <v>439</v>
      </c>
      <c r="C147" s="8" t="s">
        <v>21</v>
      </c>
    </row>
    <row r="148">
      <c r="A148" s="8">
        <v>147.0</v>
      </c>
      <c r="B148" s="8" t="s">
        <v>440</v>
      </c>
      <c r="C148" s="8" t="s">
        <v>21</v>
      </c>
    </row>
    <row r="149">
      <c r="A149" s="8">
        <v>148.0</v>
      </c>
      <c r="B149" s="8" t="s">
        <v>441</v>
      </c>
      <c r="C149" s="8" t="s">
        <v>21</v>
      </c>
    </row>
    <row r="150">
      <c r="A150" s="8">
        <v>149.0</v>
      </c>
      <c r="B150" s="8" t="s">
        <v>443</v>
      </c>
      <c r="C150" s="8" t="s">
        <v>21</v>
      </c>
    </row>
    <row r="151">
      <c r="A151" s="8">
        <v>150.0</v>
      </c>
      <c r="B151" s="8" t="s">
        <v>444</v>
      </c>
      <c r="C151" s="8" t="s">
        <v>21</v>
      </c>
    </row>
    <row r="152">
      <c r="A152" s="8">
        <v>151.0</v>
      </c>
      <c r="B152" s="8" t="s">
        <v>445</v>
      </c>
      <c r="C152" s="8" t="s">
        <v>21</v>
      </c>
    </row>
    <row r="153">
      <c r="A153" s="8">
        <v>152.0</v>
      </c>
      <c r="B153" s="8" t="s">
        <v>446</v>
      </c>
      <c r="C153" s="8" t="s">
        <v>21</v>
      </c>
    </row>
    <row r="154">
      <c r="A154" s="8">
        <v>153.0</v>
      </c>
      <c r="B154" s="8" t="s">
        <v>448</v>
      </c>
      <c r="C154" s="8" t="s">
        <v>21</v>
      </c>
    </row>
    <row r="155">
      <c r="A155" s="8">
        <v>154.0</v>
      </c>
      <c r="B155" s="8" t="s">
        <v>449</v>
      </c>
      <c r="C155" s="8" t="s">
        <v>21</v>
      </c>
    </row>
    <row r="156">
      <c r="A156" s="8">
        <v>155.0</v>
      </c>
      <c r="B156" s="8" t="s">
        <v>451</v>
      </c>
      <c r="C156" s="8" t="s">
        <v>21</v>
      </c>
    </row>
    <row r="157">
      <c r="A157" s="8">
        <v>156.0</v>
      </c>
      <c r="B157" s="8" t="s">
        <v>453</v>
      </c>
      <c r="C157" s="8" t="s">
        <v>21</v>
      </c>
    </row>
    <row r="158">
      <c r="A158" s="8">
        <v>157.0</v>
      </c>
      <c r="B158" s="8" t="s">
        <v>454</v>
      </c>
      <c r="C158" s="8" t="s">
        <v>21</v>
      </c>
    </row>
    <row r="159">
      <c r="A159" s="8">
        <v>158.0</v>
      </c>
      <c r="B159" s="8" t="s">
        <v>455</v>
      </c>
      <c r="C159" s="8" t="s">
        <v>21</v>
      </c>
    </row>
    <row r="160">
      <c r="A160" s="8">
        <v>159.0</v>
      </c>
      <c r="B160" s="8" t="s">
        <v>456</v>
      </c>
      <c r="C160" s="8" t="s">
        <v>21</v>
      </c>
    </row>
    <row r="161">
      <c r="A161" s="8">
        <v>160.0</v>
      </c>
      <c r="B161" s="8" t="s">
        <v>457</v>
      </c>
      <c r="C161" s="8" t="s">
        <v>21</v>
      </c>
    </row>
    <row r="162">
      <c r="A162" s="8">
        <v>161.0</v>
      </c>
      <c r="B162" s="8" t="s">
        <v>459</v>
      </c>
      <c r="C162" s="8" t="s">
        <v>21</v>
      </c>
    </row>
    <row r="163">
      <c r="A163" s="8">
        <v>162.0</v>
      </c>
      <c r="B163" s="8" t="s">
        <v>460</v>
      </c>
      <c r="C163" s="8" t="s">
        <v>21</v>
      </c>
    </row>
    <row r="164">
      <c r="A164" s="8">
        <v>163.0</v>
      </c>
      <c r="B164" s="8" t="s">
        <v>462</v>
      </c>
      <c r="C164" s="8" t="s">
        <v>21</v>
      </c>
    </row>
    <row r="165">
      <c r="A165" s="8">
        <v>164.0</v>
      </c>
      <c r="B165" s="8" t="s">
        <v>464</v>
      </c>
      <c r="C165" s="8" t="s">
        <v>21</v>
      </c>
    </row>
    <row r="166">
      <c r="A166" s="8">
        <v>165.0</v>
      </c>
      <c r="B166" s="8" t="s">
        <v>465</v>
      </c>
      <c r="C166" s="8" t="s">
        <v>21</v>
      </c>
    </row>
    <row r="167">
      <c r="A167" s="8">
        <v>166.0</v>
      </c>
      <c r="B167" s="8" t="s">
        <v>467</v>
      </c>
      <c r="C167" s="8" t="s">
        <v>21</v>
      </c>
    </row>
    <row r="168">
      <c r="A168" s="8">
        <v>167.0</v>
      </c>
      <c r="B168" s="8" t="s">
        <v>468</v>
      </c>
      <c r="C168" s="8" t="s">
        <v>21</v>
      </c>
    </row>
    <row r="169">
      <c r="A169" s="8">
        <v>168.0</v>
      </c>
      <c r="B169" s="8" t="s">
        <v>470</v>
      </c>
      <c r="C169" s="8" t="s">
        <v>21</v>
      </c>
    </row>
    <row r="170">
      <c r="A170" s="8">
        <v>169.0</v>
      </c>
      <c r="B170" s="8" t="s">
        <v>471</v>
      </c>
      <c r="C170" s="8" t="s">
        <v>21</v>
      </c>
    </row>
    <row r="171">
      <c r="A171" s="8">
        <v>170.0</v>
      </c>
      <c r="B171" s="8" t="s">
        <v>472</v>
      </c>
      <c r="C171" s="8" t="s">
        <v>21</v>
      </c>
    </row>
    <row r="172">
      <c r="A172" s="8">
        <v>171.0</v>
      </c>
      <c r="B172" s="8" t="s">
        <v>474</v>
      </c>
      <c r="C172" s="8" t="s">
        <v>21</v>
      </c>
    </row>
    <row r="173">
      <c r="A173" s="8">
        <v>172.0</v>
      </c>
      <c r="B173" s="8" t="s">
        <v>477</v>
      </c>
      <c r="C173" s="8" t="s">
        <v>21</v>
      </c>
    </row>
    <row r="174">
      <c r="A174" s="8">
        <v>173.0</v>
      </c>
      <c r="B174" s="8" t="s">
        <v>479</v>
      </c>
      <c r="C174" s="8" t="s">
        <v>21</v>
      </c>
    </row>
    <row r="175">
      <c r="A175" s="8">
        <v>174.0</v>
      </c>
      <c r="B175" s="8" t="s">
        <v>480</v>
      </c>
      <c r="C175" s="8" t="s">
        <v>21</v>
      </c>
    </row>
    <row r="176">
      <c r="A176" s="8">
        <v>175.0</v>
      </c>
      <c r="B176" s="8" t="s">
        <v>481</v>
      </c>
      <c r="C176" s="8" t="s">
        <v>21</v>
      </c>
    </row>
    <row r="177">
      <c r="A177" s="8">
        <v>176.0</v>
      </c>
      <c r="B177" s="8" t="s">
        <v>483</v>
      </c>
      <c r="C177" s="8" t="s">
        <v>21</v>
      </c>
    </row>
    <row r="178">
      <c r="A178" s="8">
        <v>177.0</v>
      </c>
      <c r="B178" s="8" t="s">
        <v>485</v>
      </c>
      <c r="C178" s="8" t="s">
        <v>21</v>
      </c>
    </row>
    <row r="179">
      <c r="A179" s="8">
        <v>178.0</v>
      </c>
      <c r="B179" s="8" t="s">
        <v>487</v>
      </c>
      <c r="C179" s="8" t="s">
        <v>21</v>
      </c>
    </row>
    <row r="180">
      <c r="A180" s="8">
        <v>179.0</v>
      </c>
      <c r="B180" s="8" t="s">
        <v>488</v>
      </c>
      <c r="C180" s="8" t="s">
        <v>21</v>
      </c>
    </row>
    <row r="181">
      <c r="A181" s="8">
        <v>180.0</v>
      </c>
      <c r="B181" s="8" t="s">
        <v>489</v>
      </c>
      <c r="C181" s="8" t="s">
        <v>21</v>
      </c>
    </row>
    <row r="182">
      <c r="A182" s="8">
        <v>181.0</v>
      </c>
      <c r="B182" s="8" t="s">
        <v>490</v>
      </c>
      <c r="C182" s="8" t="s">
        <v>21</v>
      </c>
    </row>
    <row r="183">
      <c r="A183" s="8">
        <v>182.0</v>
      </c>
      <c r="B183" s="8" t="s">
        <v>492</v>
      </c>
      <c r="C183" s="8" t="s">
        <v>21</v>
      </c>
    </row>
    <row r="184">
      <c r="A184" s="8">
        <v>183.0</v>
      </c>
      <c r="B184" s="8" t="s">
        <v>493</v>
      </c>
      <c r="C184" s="8" t="s">
        <v>21</v>
      </c>
    </row>
    <row r="185">
      <c r="A185" s="8">
        <v>184.0</v>
      </c>
      <c r="B185" s="8" t="s">
        <v>495</v>
      </c>
      <c r="C185" s="8" t="s">
        <v>21</v>
      </c>
    </row>
    <row r="186">
      <c r="A186" s="8">
        <v>185.0</v>
      </c>
      <c r="B186" s="8" t="s">
        <v>496</v>
      </c>
      <c r="C186" s="8" t="s">
        <v>21</v>
      </c>
    </row>
    <row r="187">
      <c r="A187" s="8">
        <v>186.0</v>
      </c>
      <c r="B187" s="8" t="s">
        <v>497</v>
      </c>
      <c r="C187" s="8" t="s">
        <v>21</v>
      </c>
    </row>
    <row r="188">
      <c r="A188" s="8">
        <v>187.0</v>
      </c>
      <c r="B188" s="8" t="s">
        <v>498</v>
      </c>
      <c r="C188" s="8" t="s">
        <v>21</v>
      </c>
    </row>
    <row r="189">
      <c r="A189" s="8">
        <v>188.0</v>
      </c>
      <c r="B189" s="8" t="s">
        <v>500</v>
      </c>
      <c r="C189" s="8" t="s">
        <v>21</v>
      </c>
    </row>
    <row r="190">
      <c r="A190" s="8">
        <v>189.0</v>
      </c>
      <c r="B190" s="8" t="s">
        <v>501</v>
      </c>
      <c r="C190" s="8" t="s">
        <v>21</v>
      </c>
    </row>
    <row r="191">
      <c r="A191" s="8">
        <v>190.0</v>
      </c>
      <c r="B191" s="8" t="s">
        <v>503</v>
      </c>
      <c r="C191" s="8" t="s">
        <v>21</v>
      </c>
    </row>
    <row r="192">
      <c r="A192" s="8">
        <v>191.0</v>
      </c>
      <c r="B192" s="8" t="s">
        <v>504</v>
      </c>
      <c r="C192" s="8" t="s">
        <v>21</v>
      </c>
    </row>
    <row r="193">
      <c r="A193" s="8">
        <v>192.0</v>
      </c>
      <c r="B193" s="8" t="s">
        <v>505</v>
      </c>
      <c r="C193" s="8" t="s">
        <v>21</v>
      </c>
    </row>
    <row r="194">
      <c r="A194" s="8">
        <v>193.0</v>
      </c>
      <c r="B194" s="8" t="s">
        <v>506</v>
      </c>
      <c r="C194" s="8" t="s">
        <v>21</v>
      </c>
    </row>
    <row r="195">
      <c r="A195" s="8">
        <v>194.0</v>
      </c>
      <c r="B195" s="8" t="s">
        <v>507</v>
      </c>
      <c r="C195" s="8" t="s">
        <v>21</v>
      </c>
    </row>
    <row r="196">
      <c r="A196" s="8">
        <v>195.0</v>
      </c>
      <c r="B196" s="8" t="s">
        <v>509</v>
      </c>
      <c r="C196" s="8" t="s">
        <v>21</v>
      </c>
    </row>
    <row r="197">
      <c r="A197" s="8">
        <v>196.0</v>
      </c>
      <c r="B197" s="8" t="s">
        <v>510</v>
      </c>
      <c r="C197" s="8" t="s">
        <v>21</v>
      </c>
    </row>
    <row r="198">
      <c r="A198" s="8">
        <v>197.0</v>
      </c>
      <c r="B198" s="8" t="s">
        <v>511</v>
      </c>
      <c r="C198" s="8" t="s">
        <v>21</v>
      </c>
    </row>
    <row r="199">
      <c r="A199" s="8">
        <v>198.0</v>
      </c>
      <c r="B199" s="8" t="s">
        <v>513</v>
      </c>
      <c r="C199" s="8" t="s">
        <v>21</v>
      </c>
    </row>
    <row r="200">
      <c r="A200" s="8">
        <v>199.0</v>
      </c>
      <c r="B200" s="8" t="s">
        <v>514</v>
      </c>
      <c r="C200" s="8" t="s">
        <v>21</v>
      </c>
    </row>
    <row r="201">
      <c r="A201" s="8">
        <v>200.0</v>
      </c>
      <c r="B201" s="8" t="s">
        <v>515</v>
      </c>
      <c r="C201" s="8" t="s">
        <v>21</v>
      </c>
    </row>
    <row r="202">
      <c r="A202" s="8">
        <v>201.0</v>
      </c>
      <c r="B202" s="8" t="s">
        <v>517</v>
      </c>
      <c r="C202" s="8" t="s">
        <v>21</v>
      </c>
    </row>
    <row r="203">
      <c r="A203" s="8">
        <v>202.0</v>
      </c>
      <c r="B203" s="8" t="s">
        <v>518</v>
      </c>
      <c r="C203" s="8" t="s">
        <v>21</v>
      </c>
    </row>
    <row r="204">
      <c r="A204" s="8">
        <v>203.0</v>
      </c>
      <c r="B204" s="8" t="s">
        <v>519</v>
      </c>
      <c r="C204" s="8" t="s">
        <v>21</v>
      </c>
    </row>
    <row r="205">
      <c r="A205" s="8">
        <v>204.0</v>
      </c>
      <c r="B205" s="8" t="s">
        <v>521</v>
      </c>
      <c r="C205" s="8" t="s">
        <v>21</v>
      </c>
    </row>
    <row r="206">
      <c r="A206" s="8">
        <v>205.0</v>
      </c>
      <c r="B206" s="8" t="s">
        <v>522</v>
      </c>
      <c r="C206" s="8" t="s">
        <v>21</v>
      </c>
    </row>
    <row r="207">
      <c r="A207" s="8">
        <v>206.0</v>
      </c>
      <c r="B207" s="8" t="s">
        <v>523</v>
      </c>
      <c r="C207" s="8" t="s">
        <v>21</v>
      </c>
    </row>
    <row r="208">
      <c r="A208" s="8">
        <v>207.0</v>
      </c>
      <c r="B208" s="8" t="s">
        <v>525</v>
      </c>
      <c r="C208" s="8" t="s">
        <v>21</v>
      </c>
    </row>
    <row r="209">
      <c r="A209" s="8">
        <v>208.0</v>
      </c>
      <c r="B209" s="8" t="s">
        <v>526</v>
      </c>
      <c r="C209" s="8" t="s">
        <v>21</v>
      </c>
    </row>
    <row r="210">
      <c r="A210" s="8">
        <v>209.0</v>
      </c>
      <c r="B210" s="8" t="s">
        <v>528</v>
      </c>
      <c r="C210" s="8" t="s">
        <v>21</v>
      </c>
    </row>
    <row r="211">
      <c r="A211" s="8">
        <v>210.0</v>
      </c>
      <c r="B211" s="8" t="s">
        <v>529</v>
      </c>
      <c r="C211" s="8" t="s">
        <v>21</v>
      </c>
    </row>
    <row r="212">
      <c r="A212" s="8">
        <v>211.0</v>
      </c>
      <c r="B212" s="8" t="s">
        <v>531</v>
      </c>
      <c r="C212" s="8" t="s">
        <v>21</v>
      </c>
    </row>
    <row r="213">
      <c r="A213" s="8">
        <v>212.0</v>
      </c>
      <c r="B213" s="8" t="s">
        <v>532</v>
      </c>
      <c r="C213" s="8" t="s">
        <v>21</v>
      </c>
    </row>
    <row r="214">
      <c r="A214" s="8">
        <v>213.0</v>
      </c>
      <c r="B214" s="8" t="s">
        <v>533</v>
      </c>
      <c r="C214" s="8" t="s">
        <v>21</v>
      </c>
    </row>
    <row r="215">
      <c r="A215" s="8">
        <v>214.0</v>
      </c>
      <c r="B215" s="8" t="s">
        <v>535</v>
      </c>
      <c r="C215" s="8" t="s">
        <v>21</v>
      </c>
    </row>
    <row r="216">
      <c r="A216" s="8">
        <v>215.0</v>
      </c>
      <c r="B216" s="8" t="s">
        <v>536</v>
      </c>
      <c r="C216" s="8" t="s">
        <v>21</v>
      </c>
    </row>
    <row r="217">
      <c r="A217" s="8">
        <v>216.0</v>
      </c>
      <c r="B217" s="8" t="s">
        <v>537</v>
      </c>
      <c r="C217" s="8" t="s">
        <v>21</v>
      </c>
    </row>
    <row r="218">
      <c r="A218" s="8">
        <v>217.0</v>
      </c>
      <c r="B218" s="8" t="s">
        <v>539</v>
      </c>
      <c r="C218" s="8" t="s">
        <v>21</v>
      </c>
    </row>
    <row r="219">
      <c r="A219" s="8">
        <v>218.0</v>
      </c>
      <c r="B219" s="8" t="s">
        <v>540</v>
      </c>
      <c r="C219" s="8" t="s">
        <v>21</v>
      </c>
    </row>
    <row r="220">
      <c r="A220" s="8">
        <v>219.0</v>
      </c>
      <c r="B220" s="8" t="s">
        <v>541</v>
      </c>
      <c r="C220" s="8" t="s">
        <v>21</v>
      </c>
    </row>
    <row r="221">
      <c r="A221" s="8">
        <v>220.0</v>
      </c>
      <c r="B221" s="8" t="s">
        <v>542</v>
      </c>
      <c r="C221" s="8" t="s">
        <v>21</v>
      </c>
    </row>
    <row r="222">
      <c r="A222" s="8">
        <v>221.0</v>
      </c>
      <c r="B222" s="8" t="s">
        <v>544</v>
      </c>
      <c r="C222" s="8" t="s">
        <v>21</v>
      </c>
    </row>
    <row r="223">
      <c r="A223" s="8">
        <v>222.0</v>
      </c>
      <c r="B223" s="8" t="s">
        <v>546</v>
      </c>
      <c r="C223" s="8" t="s">
        <v>21</v>
      </c>
    </row>
    <row r="224">
      <c r="A224" s="8">
        <v>223.0</v>
      </c>
      <c r="B224" s="8" t="s">
        <v>548</v>
      </c>
      <c r="C224" s="8" t="s">
        <v>21</v>
      </c>
    </row>
    <row r="225">
      <c r="A225" s="8">
        <v>224.0</v>
      </c>
      <c r="B225" s="8" t="s">
        <v>550</v>
      </c>
      <c r="C225" s="8" t="s">
        <v>21</v>
      </c>
    </row>
    <row r="226">
      <c r="A226" s="8">
        <v>225.0</v>
      </c>
      <c r="B226" s="8" t="s">
        <v>551</v>
      </c>
      <c r="C226" s="8" t="s">
        <v>21</v>
      </c>
    </row>
    <row r="227">
      <c r="A227" s="8">
        <v>226.0</v>
      </c>
      <c r="B227" s="8" t="s">
        <v>553</v>
      </c>
      <c r="C227" s="8" t="s">
        <v>21</v>
      </c>
    </row>
    <row r="228">
      <c r="A228" s="8">
        <v>227.0</v>
      </c>
      <c r="B228" s="8" t="s">
        <v>554</v>
      </c>
      <c r="C228" s="8" t="s">
        <v>21</v>
      </c>
    </row>
    <row r="229">
      <c r="A229" s="8">
        <v>228.0</v>
      </c>
      <c r="B229" s="8" t="s">
        <v>555</v>
      </c>
      <c r="C229" s="8" t="s">
        <v>21</v>
      </c>
    </row>
    <row r="230">
      <c r="A230" s="8">
        <v>229.0</v>
      </c>
      <c r="B230" s="8" t="s">
        <v>556</v>
      </c>
      <c r="C230" s="8" t="s">
        <v>21</v>
      </c>
    </row>
    <row r="231">
      <c r="A231" s="8">
        <v>230.0</v>
      </c>
      <c r="B231" s="8" t="s">
        <v>558</v>
      </c>
      <c r="C231" s="8" t="s">
        <v>21</v>
      </c>
    </row>
    <row r="232">
      <c r="A232" s="8">
        <v>231.0</v>
      </c>
      <c r="B232" s="8" t="s">
        <v>559</v>
      </c>
      <c r="C232" s="8" t="s">
        <v>21</v>
      </c>
    </row>
    <row r="233">
      <c r="A233" s="8">
        <v>232.0</v>
      </c>
      <c r="B233" s="8" t="s">
        <v>560</v>
      </c>
      <c r="C233" s="8" t="s">
        <v>21</v>
      </c>
    </row>
    <row r="234">
      <c r="A234" s="8">
        <v>233.0</v>
      </c>
      <c r="B234" s="8" t="s">
        <v>562</v>
      </c>
      <c r="C234" s="8" t="s">
        <v>21</v>
      </c>
    </row>
    <row r="235">
      <c r="A235" s="8">
        <v>234.0</v>
      </c>
      <c r="B235" s="8" t="s">
        <v>563</v>
      </c>
      <c r="C235" s="8" t="s">
        <v>21</v>
      </c>
    </row>
    <row r="236">
      <c r="A236" s="8">
        <v>235.0</v>
      </c>
      <c r="B236" s="8" t="s">
        <v>565</v>
      </c>
      <c r="C236" s="8" t="s">
        <v>21</v>
      </c>
    </row>
    <row r="237">
      <c r="A237" s="8">
        <v>236.0</v>
      </c>
      <c r="B237" s="8" t="s">
        <v>567</v>
      </c>
      <c r="C237" s="8" t="s">
        <v>21</v>
      </c>
    </row>
    <row r="238">
      <c r="A238" s="8">
        <v>237.0</v>
      </c>
      <c r="B238" s="8" t="s">
        <v>568</v>
      </c>
      <c r="C238" s="8" t="s">
        <v>21</v>
      </c>
    </row>
    <row r="239">
      <c r="A239" s="8">
        <v>238.0</v>
      </c>
      <c r="B239" s="8" t="s">
        <v>571</v>
      </c>
      <c r="C239" s="8" t="s">
        <v>21</v>
      </c>
    </row>
    <row r="240">
      <c r="A240" s="8">
        <v>239.0</v>
      </c>
      <c r="B240" s="8" t="s">
        <v>572</v>
      </c>
      <c r="C240" s="8" t="s">
        <v>21</v>
      </c>
    </row>
    <row r="241">
      <c r="A241" s="8">
        <v>240.0</v>
      </c>
      <c r="B241" s="8" t="s">
        <v>573</v>
      </c>
      <c r="C241" s="8" t="s">
        <v>21</v>
      </c>
    </row>
    <row r="242">
      <c r="A242" s="8">
        <v>241.0</v>
      </c>
      <c r="B242" s="8" t="s">
        <v>575</v>
      </c>
      <c r="C242" s="8" t="s">
        <v>21</v>
      </c>
    </row>
    <row r="243">
      <c r="A243" s="8">
        <v>242.0</v>
      </c>
      <c r="B243" s="8" t="s">
        <v>576</v>
      </c>
      <c r="C243" s="8" t="s">
        <v>21</v>
      </c>
    </row>
    <row r="244">
      <c r="A244" s="8">
        <v>243.0</v>
      </c>
      <c r="B244" s="8" t="s">
        <v>577</v>
      </c>
      <c r="C244" s="8" t="s">
        <v>21</v>
      </c>
    </row>
    <row r="245">
      <c r="A245" s="8">
        <v>244.0</v>
      </c>
      <c r="B245" s="8" t="s">
        <v>578</v>
      </c>
      <c r="C245" s="8" t="s">
        <v>21</v>
      </c>
    </row>
    <row r="246">
      <c r="A246" s="8">
        <v>245.0</v>
      </c>
      <c r="B246" s="8" t="s">
        <v>580</v>
      </c>
      <c r="C246" s="8" t="s">
        <v>21</v>
      </c>
    </row>
    <row r="247">
      <c r="A247" s="8">
        <v>246.0</v>
      </c>
      <c r="B247" s="8" t="s">
        <v>581</v>
      </c>
      <c r="C247" s="8" t="s">
        <v>21</v>
      </c>
    </row>
    <row r="248">
      <c r="A248" s="8">
        <v>247.0</v>
      </c>
      <c r="B248" s="8" t="s">
        <v>582</v>
      </c>
      <c r="C248" s="8" t="s">
        <v>21</v>
      </c>
    </row>
    <row r="249">
      <c r="A249" s="8">
        <v>248.0</v>
      </c>
      <c r="B249" s="8" t="s">
        <v>584</v>
      </c>
      <c r="C249" s="8" t="s">
        <v>21</v>
      </c>
    </row>
    <row r="250">
      <c r="A250" s="8">
        <v>249.0</v>
      </c>
      <c r="B250" s="8" t="s">
        <v>585</v>
      </c>
      <c r="C250" s="8" t="s">
        <v>21</v>
      </c>
    </row>
    <row r="251">
      <c r="A251" s="8">
        <v>250.0</v>
      </c>
      <c r="B251" s="8" t="s">
        <v>587</v>
      </c>
      <c r="C251" s="8" t="s">
        <v>21</v>
      </c>
    </row>
    <row r="252">
      <c r="A252" s="8">
        <v>251.0</v>
      </c>
      <c r="B252" s="8" t="s">
        <v>588</v>
      </c>
      <c r="C252" s="8" t="s">
        <v>21</v>
      </c>
    </row>
    <row r="253">
      <c r="A253" s="8">
        <v>252.0</v>
      </c>
      <c r="B253" s="8" t="s">
        <v>589</v>
      </c>
      <c r="C253" s="8" t="s">
        <v>21</v>
      </c>
    </row>
    <row r="254">
      <c r="A254" s="8">
        <v>253.0</v>
      </c>
      <c r="B254" s="8" t="s">
        <v>591</v>
      </c>
      <c r="C254" s="8" t="s">
        <v>21</v>
      </c>
    </row>
    <row r="255">
      <c r="A255" s="8">
        <v>254.0</v>
      </c>
      <c r="B255" s="8" t="s">
        <v>592</v>
      </c>
      <c r="C255" s="8" t="s">
        <v>21</v>
      </c>
    </row>
    <row r="256">
      <c r="A256" s="8">
        <v>255.0</v>
      </c>
      <c r="B256" s="8" t="s">
        <v>594</v>
      </c>
      <c r="C256" s="8" t="s">
        <v>21</v>
      </c>
    </row>
    <row r="257">
      <c r="A257" s="8">
        <v>256.0</v>
      </c>
      <c r="B257" s="8" t="s">
        <v>596</v>
      </c>
      <c r="C257" s="8" t="s">
        <v>21</v>
      </c>
    </row>
    <row r="258">
      <c r="A258" s="8">
        <v>257.0</v>
      </c>
      <c r="B258" s="8" t="s">
        <v>597</v>
      </c>
      <c r="C258" s="8" t="s">
        <v>21</v>
      </c>
    </row>
    <row r="259">
      <c r="A259" s="8">
        <v>258.0</v>
      </c>
      <c r="B259" s="8" t="s">
        <v>598</v>
      </c>
      <c r="C259" s="8" t="s">
        <v>21</v>
      </c>
    </row>
    <row r="260">
      <c r="A260" s="8">
        <v>259.0</v>
      </c>
      <c r="B260" s="8" t="s">
        <v>599</v>
      </c>
      <c r="C260" s="8" t="s">
        <v>21</v>
      </c>
    </row>
    <row r="261">
      <c r="A261" s="8">
        <v>260.0</v>
      </c>
      <c r="B261" s="8" t="s">
        <v>601</v>
      </c>
      <c r="C261" s="8" t="s">
        <v>21</v>
      </c>
    </row>
    <row r="262">
      <c r="A262" s="8">
        <v>261.0</v>
      </c>
      <c r="B262" s="8" t="s">
        <v>602</v>
      </c>
      <c r="C262" s="8" t="s">
        <v>21</v>
      </c>
    </row>
    <row r="263">
      <c r="A263" s="8">
        <v>262.0</v>
      </c>
      <c r="B263" s="8" t="s">
        <v>604</v>
      </c>
      <c r="C263" s="8" t="s">
        <v>21</v>
      </c>
    </row>
    <row r="264">
      <c r="A264" s="8">
        <v>263.0</v>
      </c>
      <c r="B264" s="8" t="s">
        <v>605</v>
      </c>
      <c r="C264" s="8" t="s">
        <v>21</v>
      </c>
    </row>
    <row r="265">
      <c r="A265" s="8">
        <v>264.0</v>
      </c>
      <c r="B265" s="8" t="s">
        <v>607</v>
      </c>
      <c r="C265" s="8" t="s">
        <v>21</v>
      </c>
    </row>
    <row r="266">
      <c r="A266" s="8">
        <v>265.0</v>
      </c>
      <c r="B266" s="8" t="s">
        <v>608</v>
      </c>
      <c r="C266" s="8" t="s">
        <v>21</v>
      </c>
    </row>
    <row r="267">
      <c r="A267" s="8">
        <v>266.0</v>
      </c>
      <c r="B267" s="8" t="s">
        <v>609</v>
      </c>
      <c r="C267" s="8" t="s">
        <v>21</v>
      </c>
    </row>
    <row r="268">
      <c r="A268" s="8">
        <v>267.0</v>
      </c>
      <c r="B268" s="8" t="s">
        <v>611</v>
      </c>
      <c r="C268" s="8" t="s">
        <v>21</v>
      </c>
    </row>
    <row r="269">
      <c r="A269" s="8">
        <v>268.0</v>
      </c>
      <c r="B269" s="8" t="s">
        <v>612</v>
      </c>
      <c r="C269" s="8" t="s">
        <v>21</v>
      </c>
    </row>
    <row r="270">
      <c r="A270" s="8">
        <v>269.0</v>
      </c>
      <c r="B270" s="8" t="s">
        <v>613</v>
      </c>
      <c r="C270" s="8" t="s">
        <v>21</v>
      </c>
    </row>
    <row r="271">
      <c r="A271" s="8">
        <v>270.0</v>
      </c>
      <c r="B271" s="8" t="s">
        <v>614</v>
      </c>
      <c r="C271" s="8" t="s">
        <v>21</v>
      </c>
    </row>
    <row r="272">
      <c r="A272" s="8">
        <v>271.0</v>
      </c>
      <c r="B272" s="8" t="s">
        <v>616</v>
      </c>
      <c r="C272" s="8" t="s">
        <v>21</v>
      </c>
    </row>
    <row r="273">
      <c r="A273" s="8">
        <v>272.0</v>
      </c>
      <c r="B273" s="8" t="s">
        <v>617</v>
      </c>
      <c r="C273" s="8" t="s">
        <v>21</v>
      </c>
    </row>
    <row r="274">
      <c r="A274" s="8">
        <v>273.0</v>
      </c>
      <c r="B274" s="8" t="s">
        <v>619</v>
      </c>
      <c r="C274" s="8" t="s">
        <v>21</v>
      </c>
    </row>
    <row r="275">
      <c r="A275" s="8">
        <v>274.0</v>
      </c>
      <c r="B275" s="8" t="s">
        <v>620</v>
      </c>
      <c r="C275" s="8" t="s">
        <v>21</v>
      </c>
    </row>
    <row r="276">
      <c r="A276" s="8">
        <v>275.0</v>
      </c>
      <c r="B276" s="8" t="s">
        <v>621</v>
      </c>
      <c r="C276" s="8" t="s">
        <v>21</v>
      </c>
    </row>
    <row r="277">
      <c r="A277" s="8">
        <v>276.0</v>
      </c>
      <c r="B277" s="8" t="s">
        <v>623</v>
      </c>
      <c r="C277" s="8" t="s">
        <v>21</v>
      </c>
    </row>
    <row r="278">
      <c r="A278" s="8">
        <v>277.0</v>
      </c>
      <c r="B278" s="8" t="s">
        <v>624</v>
      </c>
      <c r="C278" s="8" t="s">
        <v>21</v>
      </c>
    </row>
    <row r="279">
      <c r="A279" s="8">
        <v>278.0</v>
      </c>
      <c r="B279" s="8" t="s">
        <v>626</v>
      </c>
      <c r="C279" s="8" t="s">
        <v>21</v>
      </c>
    </row>
    <row r="280">
      <c r="A280" s="8">
        <v>279.0</v>
      </c>
      <c r="B280" s="8" t="s">
        <v>627</v>
      </c>
      <c r="C280" s="8" t="s">
        <v>21</v>
      </c>
    </row>
    <row r="281">
      <c r="A281" s="8">
        <v>280.0</v>
      </c>
      <c r="B281" s="8" t="s">
        <v>628</v>
      </c>
      <c r="C281" s="8" t="s">
        <v>21</v>
      </c>
    </row>
    <row r="282">
      <c r="A282" s="8">
        <v>281.0</v>
      </c>
      <c r="B282" s="8" t="s">
        <v>629</v>
      </c>
      <c r="C282" s="8" t="s">
        <v>21</v>
      </c>
    </row>
    <row r="283">
      <c r="A283" s="8">
        <v>282.0</v>
      </c>
      <c r="B283" s="8" t="s">
        <v>630</v>
      </c>
      <c r="C283" s="8" t="s">
        <v>21</v>
      </c>
    </row>
    <row r="284">
      <c r="A284" s="8">
        <v>283.0</v>
      </c>
      <c r="B284" s="8" t="s">
        <v>632</v>
      </c>
      <c r="C284" s="8" t="s">
        <v>21</v>
      </c>
    </row>
    <row r="285">
      <c r="A285" s="8">
        <v>284.0</v>
      </c>
      <c r="B285" s="8" t="s">
        <v>633</v>
      </c>
      <c r="C285" s="8" t="s">
        <v>21</v>
      </c>
    </row>
    <row r="286">
      <c r="A286" s="8">
        <v>285.0</v>
      </c>
      <c r="B286" s="8" t="s">
        <v>635</v>
      </c>
      <c r="C286" s="8" t="s">
        <v>21</v>
      </c>
    </row>
    <row r="287">
      <c r="A287" s="8">
        <v>286.0</v>
      </c>
      <c r="B287" s="8" t="s">
        <v>636</v>
      </c>
      <c r="C287" s="8" t="s">
        <v>21</v>
      </c>
    </row>
    <row r="288">
      <c r="A288" s="8">
        <v>287.0</v>
      </c>
      <c r="B288" s="8" t="s">
        <v>637</v>
      </c>
      <c r="C288" s="8" t="s">
        <v>21</v>
      </c>
    </row>
    <row r="289">
      <c r="A289" s="8">
        <v>288.0</v>
      </c>
      <c r="B289" s="8" t="s">
        <v>638</v>
      </c>
      <c r="C289" s="8" t="s">
        <v>21</v>
      </c>
    </row>
    <row r="290">
      <c r="A290" s="8">
        <v>289.0</v>
      </c>
      <c r="B290" s="8" t="s">
        <v>640</v>
      </c>
      <c r="C290" s="8" t="s">
        <v>21</v>
      </c>
    </row>
    <row r="291">
      <c r="A291" s="8">
        <v>290.0</v>
      </c>
      <c r="B291" s="8" t="s">
        <v>641</v>
      </c>
      <c r="C291" s="8" t="s">
        <v>21</v>
      </c>
    </row>
    <row r="292">
      <c r="A292" s="8">
        <v>291.0</v>
      </c>
      <c r="B292" s="8" t="s">
        <v>642</v>
      </c>
      <c r="C292" s="8" t="s">
        <v>21</v>
      </c>
    </row>
    <row r="293">
      <c r="A293" s="8">
        <v>292.0</v>
      </c>
      <c r="B293" s="8" t="s">
        <v>643</v>
      </c>
      <c r="C293" s="8" t="s">
        <v>21</v>
      </c>
    </row>
    <row r="294">
      <c r="A294" s="8">
        <v>293.0</v>
      </c>
      <c r="B294" s="8" t="s">
        <v>644</v>
      </c>
      <c r="C294" s="8" t="s">
        <v>21</v>
      </c>
    </row>
    <row r="295">
      <c r="A295" s="8">
        <v>294.0</v>
      </c>
      <c r="B295" s="8" t="s">
        <v>646</v>
      </c>
      <c r="C295" s="8" t="s">
        <v>21</v>
      </c>
    </row>
    <row r="296">
      <c r="A296" s="8">
        <v>295.0</v>
      </c>
      <c r="B296" s="8" t="s">
        <v>647</v>
      </c>
      <c r="C296" s="8" t="s">
        <v>21</v>
      </c>
    </row>
    <row r="297">
      <c r="A297" s="8">
        <v>296.0</v>
      </c>
      <c r="B297" s="8" t="s">
        <v>648</v>
      </c>
      <c r="C297" s="8" t="s">
        <v>21</v>
      </c>
    </row>
    <row r="298">
      <c r="A298" s="8">
        <v>297.0</v>
      </c>
      <c r="B298" s="8" t="s">
        <v>650</v>
      </c>
      <c r="C298" s="8" t="s">
        <v>21</v>
      </c>
    </row>
    <row r="299">
      <c r="A299" s="8">
        <v>298.0</v>
      </c>
      <c r="B299" s="8" t="s">
        <v>651</v>
      </c>
      <c r="C299" s="8" t="s">
        <v>21</v>
      </c>
    </row>
    <row r="300">
      <c r="A300" s="8">
        <v>299.0</v>
      </c>
      <c r="B300" s="8" t="s">
        <v>652</v>
      </c>
      <c r="C300" s="8" t="s">
        <v>21</v>
      </c>
    </row>
    <row r="301">
      <c r="A301" s="8">
        <v>300.0</v>
      </c>
      <c r="B301" s="8" t="s">
        <v>654</v>
      </c>
      <c r="C301" s="8" t="s">
        <v>21</v>
      </c>
    </row>
    <row r="302">
      <c r="A302" s="8">
        <v>301.0</v>
      </c>
      <c r="B302" s="8" t="s">
        <v>655</v>
      </c>
      <c r="C302" s="8" t="s">
        <v>21</v>
      </c>
    </row>
    <row r="303">
      <c r="A303" s="8">
        <v>302.0</v>
      </c>
      <c r="B303" s="8" t="s">
        <v>656</v>
      </c>
      <c r="C303" s="8" t="s">
        <v>21</v>
      </c>
    </row>
    <row r="304">
      <c r="A304" s="8">
        <v>303.0</v>
      </c>
      <c r="B304" s="8" t="s">
        <v>657</v>
      </c>
      <c r="C304" s="8" t="s">
        <v>21</v>
      </c>
    </row>
    <row r="305">
      <c r="A305" s="8">
        <v>304.0</v>
      </c>
      <c r="B305" s="8" t="s">
        <v>659</v>
      </c>
      <c r="C305" s="8" t="s">
        <v>21</v>
      </c>
    </row>
    <row r="306">
      <c r="A306" s="8">
        <v>305.0</v>
      </c>
      <c r="B306" s="8" t="s">
        <v>660</v>
      </c>
      <c r="C306" s="8" t="s">
        <v>21</v>
      </c>
    </row>
    <row r="307">
      <c r="A307" s="8">
        <v>306.0</v>
      </c>
      <c r="B307" s="8" t="s">
        <v>661</v>
      </c>
      <c r="C307" s="8" t="s">
        <v>21</v>
      </c>
    </row>
    <row r="308">
      <c r="A308" s="8">
        <v>307.0</v>
      </c>
      <c r="B308" s="8" t="s">
        <v>663</v>
      </c>
      <c r="C308" s="8" t="s">
        <v>21</v>
      </c>
    </row>
    <row r="309">
      <c r="A309" s="8">
        <v>308.0</v>
      </c>
      <c r="B309" s="8" t="s">
        <v>664</v>
      </c>
      <c r="C309" s="8" t="s">
        <v>21</v>
      </c>
    </row>
    <row r="310">
      <c r="A310" s="8">
        <v>309.0</v>
      </c>
      <c r="B310" s="8" t="s">
        <v>666</v>
      </c>
      <c r="C310" s="8" t="s">
        <v>21</v>
      </c>
    </row>
    <row r="311">
      <c r="A311" s="8">
        <v>310.0</v>
      </c>
      <c r="B311" s="8" t="s">
        <v>667</v>
      </c>
      <c r="C311" s="8" t="s">
        <v>21</v>
      </c>
    </row>
    <row r="312">
      <c r="A312" s="8">
        <v>311.0</v>
      </c>
      <c r="B312" s="8" t="s">
        <v>669</v>
      </c>
      <c r="C312" s="8" t="s">
        <v>21</v>
      </c>
    </row>
    <row r="313">
      <c r="A313" s="8">
        <v>312.0</v>
      </c>
      <c r="B313" s="8" t="s">
        <v>671</v>
      </c>
      <c r="C313" s="8" t="s">
        <v>21</v>
      </c>
    </row>
    <row r="314">
      <c r="A314" s="8">
        <v>313.0</v>
      </c>
      <c r="B314" s="8" t="s">
        <v>672</v>
      </c>
      <c r="C314" s="8" t="s">
        <v>21</v>
      </c>
    </row>
    <row r="315">
      <c r="A315" s="8">
        <v>314.0</v>
      </c>
      <c r="B315" s="8" t="s">
        <v>674</v>
      </c>
      <c r="C315" s="8" t="s">
        <v>21</v>
      </c>
    </row>
    <row r="316">
      <c r="A316" s="8">
        <v>315.0</v>
      </c>
      <c r="B316" s="8" t="s">
        <v>676</v>
      </c>
      <c r="C316" s="8" t="s">
        <v>21</v>
      </c>
    </row>
    <row r="317">
      <c r="A317" s="8">
        <v>316.0</v>
      </c>
      <c r="B317" s="8" t="s">
        <v>677</v>
      </c>
      <c r="C317" s="8" t="s">
        <v>21</v>
      </c>
    </row>
    <row r="318">
      <c r="A318" s="8">
        <v>317.0</v>
      </c>
      <c r="B318" s="8" t="s">
        <v>678</v>
      </c>
      <c r="C318" s="8" t="s">
        <v>21</v>
      </c>
    </row>
    <row r="319">
      <c r="A319" s="8">
        <v>318.0</v>
      </c>
      <c r="B319" s="8" t="s">
        <v>679</v>
      </c>
      <c r="C319" s="8" t="s">
        <v>21</v>
      </c>
    </row>
    <row r="320">
      <c r="A320" s="8">
        <v>319.0</v>
      </c>
      <c r="B320" s="8" t="s">
        <v>681</v>
      </c>
      <c r="C320" s="8" t="s">
        <v>21</v>
      </c>
    </row>
    <row r="321">
      <c r="A321" s="8">
        <v>320.0</v>
      </c>
      <c r="B321" s="8" t="s">
        <v>682</v>
      </c>
      <c r="C321" s="8" t="s">
        <v>21</v>
      </c>
    </row>
    <row r="322">
      <c r="A322" s="8">
        <v>321.0</v>
      </c>
      <c r="B322" s="8" t="s">
        <v>684</v>
      </c>
      <c r="C322" s="8" t="s">
        <v>21</v>
      </c>
    </row>
    <row r="323">
      <c r="A323" s="8">
        <v>322.0</v>
      </c>
      <c r="B323" s="8" t="s">
        <v>685</v>
      </c>
      <c r="C323" s="8" t="s">
        <v>21</v>
      </c>
    </row>
    <row r="324">
      <c r="A324" s="8">
        <v>323.0</v>
      </c>
      <c r="B324" s="8" t="s">
        <v>686</v>
      </c>
      <c r="C324" s="8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8">
        <v>1.0</v>
      </c>
      <c r="B2" s="8" t="s">
        <v>19</v>
      </c>
      <c r="C2" s="8" t="s">
        <v>21</v>
      </c>
      <c r="D2" s="8">
        <v>9.0</v>
      </c>
      <c r="E2" s="8">
        <v>17000.0</v>
      </c>
      <c r="F2" s="8">
        <v>0.6</v>
      </c>
      <c r="G2" s="8">
        <v>1.09</v>
      </c>
      <c r="H2" s="8" t="s">
        <v>19</v>
      </c>
      <c r="I2" s="9">
        <v>46058.00326388889</v>
      </c>
      <c r="J2" s="8" t="s">
        <v>23</v>
      </c>
      <c r="K2" s="8">
        <v>18000.0</v>
      </c>
      <c r="L2" s="8">
        <v>15000.0</v>
      </c>
      <c r="M2" s="8">
        <v>16000.0</v>
      </c>
      <c r="N2" s="7">
        <v>42251.0</v>
      </c>
      <c r="O2" s="8" t="s">
        <v>26</v>
      </c>
      <c r="P2" s="8" t="s">
        <v>28</v>
      </c>
      <c r="Q2" s="8" t="s">
        <v>29</v>
      </c>
      <c r="R2" s="8" t="s">
        <v>30</v>
      </c>
      <c r="S2" s="8" t="s">
        <v>32</v>
      </c>
    </row>
    <row r="3">
      <c r="A3" s="8">
        <v>2.0</v>
      </c>
      <c r="B3" s="8" t="s">
        <v>35</v>
      </c>
      <c r="C3" s="8" t="s">
        <v>21</v>
      </c>
      <c r="D3" s="8">
        <v>70.0</v>
      </c>
      <c r="E3" s="8">
        <v>6700.0</v>
      </c>
      <c r="F3" s="8">
        <v>1.6</v>
      </c>
      <c r="G3" s="8">
        <v>1.08</v>
      </c>
      <c r="H3" s="8" t="s">
        <v>35</v>
      </c>
      <c r="I3" s="9">
        <v>46149.25696759259</v>
      </c>
      <c r="J3" s="8" t="s">
        <v>40</v>
      </c>
      <c r="K3" s="8">
        <v>7100.0</v>
      </c>
      <c r="L3" s="8">
        <v>11000.0</v>
      </c>
      <c r="M3" s="8">
        <v>11000.0</v>
      </c>
      <c r="N3" s="7">
        <v>42254.0</v>
      </c>
      <c r="O3" s="8" t="s">
        <v>31</v>
      </c>
      <c r="P3" s="8" t="s">
        <v>28</v>
      </c>
      <c r="Q3" s="8" t="s">
        <v>43</v>
      </c>
      <c r="R3" s="8" t="s">
        <v>45</v>
      </c>
      <c r="S3" s="8" t="s">
        <v>32</v>
      </c>
    </row>
    <row r="4">
      <c r="A4" s="8">
        <v>3.0</v>
      </c>
      <c r="B4" s="8" t="s">
        <v>20</v>
      </c>
      <c r="C4" s="8" t="s">
        <v>21</v>
      </c>
      <c r="D4" s="8">
        <v>80.0</v>
      </c>
      <c r="E4" s="8">
        <v>3900.0</v>
      </c>
      <c r="H4" s="8" t="s">
        <v>20</v>
      </c>
      <c r="I4" s="9">
        <v>46149.24853009259</v>
      </c>
      <c r="J4" s="8" t="s">
        <v>25</v>
      </c>
      <c r="K4" s="8">
        <v>977000.0</v>
      </c>
      <c r="L4" s="8">
        <v>1500.0</v>
      </c>
      <c r="M4" s="8">
        <v>41000.0</v>
      </c>
      <c r="N4" s="7">
        <v>42255.0</v>
      </c>
      <c r="O4" s="8" t="s">
        <v>31</v>
      </c>
      <c r="P4" s="8" t="s">
        <v>28</v>
      </c>
      <c r="Q4" s="8" t="s">
        <v>34</v>
      </c>
      <c r="R4" s="8" t="s">
        <v>36</v>
      </c>
      <c r="S4" s="8" t="s">
        <v>32</v>
      </c>
    </row>
    <row r="5">
      <c r="A5" s="8">
        <v>4.0</v>
      </c>
      <c r="B5" s="8" t="s">
        <v>51</v>
      </c>
      <c r="C5" s="8" t="s">
        <v>21</v>
      </c>
      <c r="D5" s="8">
        <v>48.0</v>
      </c>
      <c r="E5" s="8">
        <v>3200.0</v>
      </c>
      <c r="F5" s="8">
        <v>0.6</v>
      </c>
      <c r="G5" s="8">
        <v>0.95</v>
      </c>
      <c r="H5" s="8" t="s">
        <v>19</v>
      </c>
      <c r="I5" s="9">
        <v>46149.24775462963</v>
      </c>
      <c r="J5" s="8" t="s">
        <v>25</v>
      </c>
      <c r="K5" s="8">
        <v>3300.0</v>
      </c>
      <c r="L5" s="8">
        <v>26000.0</v>
      </c>
      <c r="M5" s="8">
        <v>27000.0</v>
      </c>
      <c r="N5" s="7">
        <v>42283.0</v>
      </c>
      <c r="O5" s="8" t="s">
        <v>26</v>
      </c>
      <c r="P5" s="8" t="s">
        <v>28</v>
      </c>
      <c r="Q5" s="8" t="s">
        <v>57</v>
      </c>
      <c r="R5" s="8" t="s">
        <v>59</v>
      </c>
      <c r="S5" s="8" t="s">
        <v>32</v>
      </c>
    </row>
    <row r="6">
      <c r="A6" s="8">
        <v>5.0</v>
      </c>
      <c r="B6" s="8" t="s">
        <v>60</v>
      </c>
      <c r="C6" s="8" t="s">
        <v>21</v>
      </c>
      <c r="D6" s="8">
        <v>35.0</v>
      </c>
      <c r="E6" s="8">
        <v>2100.0</v>
      </c>
      <c r="H6" s="8" t="s">
        <v>60</v>
      </c>
      <c r="I6" s="9">
        <v>46058.00179398148</v>
      </c>
      <c r="J6" s="8" t="s">
        <v>62</v>
      </c>
      <c r="K6" s="8">
        <v>2400.0</v>
      </c>
      <c r="L6" s="8">
        <v>1500.0</v>
      </c>
      <c r="M6" s="8">
        <v>1800.0</v>
      </c>
      <c r="N6" s="7">
        <v>42792.0</v>
      </c>
      <c r="O6" s="8" t="s">
        <v>26</v>
      </c>
      <c r="P6" s="8" t="s">
        <v>28</v>
      </c>
      <c r="Q6" s="8" t="s">
        <v>65</v>
      </c>
      <c r="R6" s="8" t="s">
        <v>66</v>
      </c>
      <c r="S6" s="8" t="s">
        <v>32</v>
      </c>
    </row>
    <row r="7">
      <c r="A7" s="8">
        <v>6.0</v>
      </c>
      <c r="B7" s="8" t="s">
        <v>38</v>
      </c>
      <c r="C7" s="8" t="s">
        <v>21</v>
      </c>
      <c r="D7" s="8">
        <v>80.0</v>
      </c>
      <c r="E7" s="8">
        <v>1900.0</v>
      </c>
      <c r="F7" s="8">
        <v>0.6</v>
      </c>
      <c r="G7" s="8">
        <v>0.95</v>
      </c>
      <c r="H7" s="8" t="s">
        <v>19</v>
      </c>
      <c r="I7" s="9">
        <v>45897.646875</v>
      </c>
      <c r="J7" s="8" t="s">
        <v>42</v>
      </c>
      <c r="K7" s="8">
        <v>48000.0</v>
      </c>
      <c r="L7" s="8">
        <v>26000.0</v>
      </c>
      <c r="M7" s="8">
        <v>27000.0</v>
      </c>
      <c r="N7" s="7">
        <v>42248.0</v>
      </c>
      <c r="O7" s="8" t="s">
        <v>31</v>
      </c>
      <c r="P7" s="8" t="s">
        <v>28</v>
      </c>
      <c r="Q7" s="8" t="s">
        <v>47</v>
      </c>
      <c r="R7" s="8" t="s">
        <v>52</v>
      </c>
      <c r="S7" s="8" t="s">
        <v>32</v>
      </c>
    </row>
    <row r="8">
      <c r="A8" s="8">
        <v>7.0</v>
      </c>
      <c r="B8" s="8" t="s">
        <v>73</v>
      </c>
      <c r="C8" s="8" t="s">
        <v>21</v>
      </c>
      <c r="D8" s="8">
        <v>81.0</v>
      </c>
      <c r="E8" s="8">
        <v>1900.0</v>
      </c>
      <c r="F8" s="8">
        <v>2.5</v>
      </c>
      <c r="H8" s="8" t="s">
        <v>19</v>
      </c>
      <c r="I8" s="9">
        <v>45893.25895833333</v>
      </c>
      <c r="J8" s="8" t="s">
        <v>58</v>
      </c>
      <c r="K8" s="8">
        <v>2300.0</v>
      </c>
      <c r="L8" s="8">
        <v>28000.0</v>
      </c>
      <c r="M8" s="8">
        <v>29000.0</v>
      </c>
      <c r="N8" s="7">
        <v>44401.0</v>
      </c>
      <c r="O8" s="8" t="s">
        <v>31</v>
      </c>
      <c r="P8" s="8" t="s">
        <v>28</v>
      </c>
      <c r="Q8" s="8" t="s">
        <v>76</v>
      </c>
      <c r="R8" s="8" t="s">
        <v>78</v>
      </c>
      <c r="S8" s="8" t="s">
        <v>32</v>
      </c>
    </row>
    <row r="9">
      <c r="A9" s="8">
        <v>8.0</v>
      </c>
      <c r="B9" s="8" t="s">
        <v>79</v>
      </c>
      <c r="C9" s="8" t="s">
        <v>21</v>
      </c>
      <c r="D9" s="8">
        <v>75.0</v>
      </c>
      <c r="E9" s="8">
        <v>1400.0</v>
      </c>
      <c r="G9" s="8">
        <v>1.06</v>
      </c>
      <c r="H9" s="8" t="s">
        <v>35</v>
      </c>
      <c r="I9" s="9">
        <v>45896.80138888889</v>
      </c>
      <c r="J9" s="8" t="s">
        <v>82</v>
      </c>
      <c r="K9" s="8">
        <v>1400.0</v>
      </c>
      <c r="L9" s="8">
        <v>16000.0</v>
      </c>
      <c r="M9" s="8">
        <v>16000.0</v>
      </c>
      <c r="N9" s="7">
        <v>42310.0</v>
      </c>
      <c r="O9" s="8" t="s">
        <v>31</v>
      </c>
      <c r="P9" s="8" t="s">
        <v>28</v>
      </c>
      <c r="Q9" s="8" t="s">
        <v>84</v>
      </c>
      <c r="R9" s="8" t="s">
        <v>86</v>
      </c>
      <c r="S9" s="8" t="s">
        <v>32</v>
      </c>
    </row>
    <row r="10">
      <c r="A10" s="8">
        <v>9.0</v>
      </c>
      <c r="B10" s="8" t="s">
        <v>88</v>
      </c>
      <c r="C10" s="8" t="s">
        <v>21</v>
      </c>
      <c r="D10" s="8">
        <v>40.0</v>
      </c>
      <c r="E10" s="8">
        <v>800.0</v>
      </c>
      <c r="F10" s="8">
        <v>1.1</v>
      </c>
      <c r="H10" s="8" t="s">
        <v>19</v>
      </c>
      <c r="I10" s="9">
        <v>45950.43460648148</v>
      </c>
      <c r="J10" s="8" t="s">
        <v>90</v>
      </c>
      <c r="K10" s="8">
        <v>800.0</v>
      </c>
      <c r="L10" s="8">
        <v>27000.0</v>
      </c>
      <c r="M10" s="8">
        <v>28000.0</v>
      </c>
      <c r="N10" s="7">
        <v>43406.0</v>
      </c>
      <c r="O10" s="8" t="s">
        <v>26</v>
      </c>
      <c r="P10" s="8" t="s">
        <v>28</v>
      </c>
      <c r="Q10" s="8" t="s">
        <v>93</v>
      </c>
      <c r="R10" s="8" t="s">
        <v>95</v>
      </c>
      <c r="S10" s="8" t="s">
        <v>32</v>
      </c>
    </row>
    <row r="11">
      <c r="A11" s="8">
        <v>10.0</v>
      </c>
      <c r="B11" s="8" t="s">
        <v>97</v>
      </c>
      <c r="C11" s="8" t="s">
        <v>21</v>
      </c>
      <c r="E11" s="8">
        <v>800.0</v>
      </c>
      <c r="G11" s="8">
        <v>1.01</v>
      </c>
      <c r="K11" s="8">
        <v>800.0</v>
      </c>
      <c r="N11" s="7">
        <v>42249.0</v>
      </c>
      <c r="O11" s="8" t="s">
        <v>26</v>
      </c>
      <c r="P11" s="8" t="s">
        <v>28</v>
      </c>
      <c r="Q11" s="8" t="s">
        <v>99</v>
      </c>
      <c r="R11" s="8" t="s">
        <v>101</v>
      </c>
      <c r="S11" s="8" t="s">
        <v>32</v>
      </c>
    </row>
    <row r="12">
      <c r="A12" s="8">
        <v>11.0</v>
      </c>
      <c r="B12" s="8" t="s">
        <v>103</v>
      </c>
      <c r="C12" s="8" t="s">
        <v>21</v>
      </c>
      <c r="D12" s="8">
        <v>75.0</v>
      </c>
      <c r="E12" s="8">
        <v>700.0</v>
      </c>
      <c r="H12" s="8" t="s">
        <v>103</v>
      </c>
      <c r="I12" s="9">
        <v>45895.951944444445</v>
      </c>
      <c r="J12" s="8" t="s">
        <v>105</v>
      </c>
      <c r="K12" s="8">
        <v>177000.0</v>
      </c>
      <c r="L12" s="8">
        <v>1400.0</v>
      </c>
      <c r="M12" s="8">
        <v>531000.0</v>
      </c>
      <c r="N12" s="7">
        <v>42432.0</v>
      </c>
      <c r="O12" s="8" t="s">
        <v>107</v>
      </c>
      <c r="P12" s="8" t="s">
        <v>28</v>
      </c>
      <c r="Q12" s="8" t="s">
        <v>109</v>
      </c>
      <c r="R12" s="8" t="s">
        <v>110</v>
      </c>
      <c r="S12" s="8" t="s">
        <v>32</v>
      </c>
    </row>
    <row r="13">
      <c r="A13" s="8">
        <v>12.0</v>
      </c>
      <c r="B13" s="8" t="s">
        <v>114</v>
      </c>
      <c r="C13" s="8" t="s">
        <v>21</v>
      </c>
      <c r="D13" s="8">
        <v>77.0</v>
      </c>
      <c r="E13" s="8">
        <v>700.0</v>
      </c>
      <c r="H13" s="8" t="s">
        <v>116</v>
      </c>
      <c r="I13" s="9">
        <v>45897.49208333333</v>
      </c>
      <c r="J13" s="8" t="s">
        <v>117</v>
      </c>
      <c r="K13" s="8">
        <v>200000.0</v>
      </c>
      <c r="L13" s="8">
        <v>3100.0</v>
      </c>
      <c r="M13" s="8">
        <v>268000.0</v>
      </c>
      <c r="N13" s="7">
        <v>42549.0</v>
      </c>
      <c r="O13" s="8" t="s">
        <v>107</v>
      </c>
      <c r="P13" s="8" t="s">
        <v>28</v>
      </c>
      <c r="Q13" s="8" t="s">
        <v>120</v>
      </c>
      <c r="R13" s="8" t="s">
        <v>122</v>
      </c>
      <c r="S13" s="8" t="s">
        <v>32</v>
      </c>
    </row>
    <row r="14">
      <c r="A14" s="8">
        <v>13.0</v>
      </c>
      <c r="B14" s="8" t="s">
        <v>125</v>
      </c>
      <c r="C14" s="8" t="s">
        <v>21</v>
      </c>
      <c r="E14" s="8">
        <v>600.0</v>
      </c>
      <c r="G14" s="8">
        <v>1.08</v>
      </c>
      <c r="K14" s="8">
        <v>600.0</v>
      </c>
      <c r="N14" s="7">
        <v>42251.0</v>
      </c>
      <c r="O14" s="8" t="s">
        <v>127</v>
      </c>
      <c r="P14" s="8" t="s">
        <v>28</v>
      </c>
      <c r="Q14" s="8" t="s">
        <v>128</v>
      </c>
      <c r="R14" s="8" t="s">
        <v>129</v>
      </c>
      <c r="S14" s="8" t="s">
        <v>32</v>
      </c>
    </row>
    <row r="15">
      <c r="A15" s="8">
        <v>14.0</v>
      </c>
      <c r="B15" s="8" t="s">
        <v>131</v>
      </c>
      <c r="C15" s="8" t="s">
        <v>21</v>
      </c>
      <c r="D15" s="8">
        <v>81.0</v>
      </c>
      <c r="E15" s="8">
        <v>600.0</v>
      </c>
      <c r="H15" s="8" t="s">
        <v>19</v>
      </c>
      <c r="I15" s="9">
        <v>45896.622615740744</v>
      </c>
      <c r="J15" s="8" t="s">
        <v>42</v>
      </c>
      <c r="K15" s="8">
        <v>700.0</v>
      </c>
      <c r="L15" s="8">
        <v>26000.0</v>
      </c>
      <c r="M15" s="8">
        <v>27000.0</v>
      </c>
      <c r="N15" s="7">
        <v>45132.0</v>
      </c>
      <c r="O15" s="8" t="s">
        <v>31</v>
      </c>
      <c r="P15" s="8" t="s">
        <v>28</v>
      </c>
      <c r="Q15" s="8" t="s">
        <v>136</v>
      </c>
      <c r="R15" s="8">
        <v>489.0</v>
      </c>
      <c r="S15" s="8" t="s">
        <v>32</v>
      </c>
    </row>
    <row r="16">
      <c r="A16" s="8">
        <v>15.0</v>
      </c>
      <c r="B16" s="8" t="s">
        <v>138</v>
      </c>
      <c r="C16" s="8" t="s">
        <v>21</v>
      </c>
      <c r="D16" s="8">
        <v>73.0</v>
      </c>
      <c r="E16" s="8">
        <v>500.0</v>
      </c>
      <c r="G16" s="8">
        <v>1.51</v>
      </c>
      <c r="H16" s="8" t="s">
        <v>138</v>
      </c>
      <c r="I16" s="9">
        <v>45895.18194444444</v>
      </c>
      <c r="J16" s="8" t="s">
        <v>143</v>
      </c>
      <c r="K16" s="8">
        <v>62000.0</v>
      </c>
      <c r="L16" s="8">
        <v>2900.0</v>
      </c>
      <c r="M16" s="8">
        <v>737000.0</v>
      </c>
      <c r="N16" s="7">
        <v>42271.0</v>
      </c>
      <c r="O16" s="8" t="s">
        <v>147</v>
      </c>
      <c r="P16" s="8" t="s">
        <v>28</v>
      </c>
      <c r="Q16" s="8" t="s">
        <v>149</v>
      </c>
      <c r="R16" s="8" t="s">
        <v>150</v>
      </c>
      <c r="S16" s="8" t="s">
        <v>32</v>
      </c>
    </row>
    <row r="17">
      <c r="A17" s="8">
        <v>16.0</v>
      </c>
      <c r="B17" s="8" t="s">
        <v>152</v>
      </c>
      <c r="C17" s="8" t="s">
        <v>21</v>
      </c>
      <c r="D17" s="8">
        <v>66.0</v>
      </c>
      <c r="E17" s="8">
        <v>400.0</v>
      </c>
      <c r="H17" s="8" t="s">
        <v>153</v>
      </c>
      <c r="I17" s="9">
        <v>45886.00578703704</v>
      </c>
      <c r="J17" s="8" t="s">
        <v>25</v>
      </c>
      <c r="K17" s="8">
        <v>123000.0</v>
      </c>
      <c r="L17" s="8">
        <v>200.0</v>
      </c>
      <c r="M17" s="8">
        <v>171000.0</v>
      </c>
      <c r="N17" s="7">
        <v>43877.0</v>
      </c>
      <c r="O17" s="8" t="s">
        <v>107</v>
      </c>
      <c r="P17" s="8" t="s">
        <v>28</v>
      </c>
      <c r="Q17" s="8" t="s">
        <v>157</v>
      </c>
      <c r="R17" s="8" t="s">
        <v>159</v>
      </c>
      <c r="S17" s="8" t="s">
        <v>32</v>
      </c>
    </row>
    <row r="18">
      <c r="A18" s="8">
        <v>17.0</v>
      </c>
      <c r="B18" s="8" t="s">
        <v>161</v>
      </c>
      <c r="C18" s="8" t="s">
        <v>21</v>
      </c>
      <c r="D18" s="8">
        <v>75.0</v>
      </c>
      <c r="E18" s="8">
        <v>350.0</v>
      </c>
      <c r="F18" s="8">
        <v>0.03</v>
      </c>
      <c r="G18" s="8">
        <v>1.24</v>
      </c>
      <c r="H18" s="8" t="s">
        <v>161</v>
      </c>
      <c r="I18" s="9">
        <v>45908.674722222226</v>
      </c>
      <c r="J18" s="8" t="s">
        <v>165</v>
      </c>
      <c r="K18" s="8">
        <v>390000.0</v>
      </c>
      <c r="L18" s="8">
        <v>30.0</v>
      </c>
      <c r="M18" s="8">
        <v>61000.0</v>
      </c>
      <c r="N18" s="7">
        <v>42377.0</v>
      </c>
      <c r="O18" s="8" t="s">
        <v>26</v>
      </c>
      <c r="P18" s="8" t="s">
        <v>28</v>
      </c>
      <c r="Q18" s="8" t="s">
        <v>168</v>
      </c>
      <c r="R18" s="8" t="s">
        <v>171</v>
      </c>
      <c r="S18" s="8" t="s">
        <v>32</v>
      </c>
    </row>
    <row r="19">
      <c r="A19" s="8">
        <v>18.0</v>
      </c>
      <c r="B19" s="8" t="s">
        <v>173</v>
      </c>
      <c r="C19" s="8" t="s">
        <v>21</v>
      </c>
      <c r="D19" s="8">
        <v>53.0</v>
      </c>
      <c r="E19" s="8">
        <v>300.0</v>
      </c>
      <c r="F19" s="8">
        <v>1.0</v>
      </c>
      <c r="G19" s="8">
        <v>0.92</v>
      </c>
      <c r="H19" s="8" t="s">
        <v>88</v>
      </c>
      <c r="I19" s="9">
        <v>45928.37082175926</v>
      </c>
      <c r="J19" s="8" t="s">
        <v>62</v>
      </c>
      <c r="K19" s="8">
        <v>350.0</v>
      </c>
      <c r="L19" s="8">
        <v>1500.0</v>
      </c>
      <c r="M19" s="8">
        <v>1800.0</v>
      </c>
      <c r="N19" s="7">
        <v>42255.0</v>
      </c>
      <c r="O19" s="8" t="s">
        <v>26</v>
      </c>
      <c r="P19" s="8" t="s">
        <v>28</v>
      </c>
      <c r="Q19" s="8" t="s">
        <v>181</v>
      </c>
      <c r="R19" s="8" t="s">
        <v>182</v>
      </c>
      <c r="S19" s="8" t="s">
        <v>32</v>
      </c>
    </row>
    <row r="20">
      <c r="A20" s="8">
        <v>19.0</v>
      </c>
      <c r="B20" s="8" t="s">
        <v>185</v>
      </c>
      <c r="C20" s="8" t="s">
        <v>21</v>
      </c>
      <c r="D20" s="8">
        <v>74.0</v>
      </c>
      <c r="E20" s="8">
        <v>300.0</v>
      </c>
      <c r="G20" s="8">
        <v>1.14</v>
      </c>
      <c r="H20" s="8" t="s">
        <v>185</v>
      </c>
      <c r="I20" s="9">
        <v>45971.251597222225</v>
      </c>
      <c r="K20" s="8">
        <v>1200.0</v>
      </c>
      <c r="L20" s="8">
        <v>350.0</v>
      </c>
      <c r="M20" s="8">
        <v>2200.0</v>
      </c>
      <c r="N20" s="7">
        <v>42254.0</v>
      </c>
      <c r="O20" s="8" t="s">
        <v>107</v>
      </c>
      <c r="P20" s="8" t="s">
        <v>28</v>
      </c>
      <c r="Q20" s="8" t="s">
        <v>190</v>
      </c>
      <c r="R20" s="8" t="s">
        <v>191</v>
      </c>
      <c r="S20" s="8" t="s">
        <v>32</v>
      </c>
    </row>
    <row r="21">
      <c r="A21" s="8">
        <v>20.0</v>
      </c>
      <c r="B21" s="8" t="s">
        <v>194</v>
      </c>
      <c r="C21" s="8" t="s">
        <v>21</v>
      </c>
      <c r="D21" s="8">
        <v>74.0</v>
      </c>
      <c r="E21" s="8">
        <v>250.0</v>
      </c>
      <c r="H21" s="8" t="s">
        <v>185</v>
      </c>
      <c r="I21" s="9">
        <v>45980.77521990741</v>
      </c>
      <c r="J21" s="8" t="s">
        <v>90</v>
      </c>
      <c r="K21" s="8">
        <v>14000.0</v>
      </c>
      <c r="L21" s="8">
        <v>400.0</v>
      </c>
      <c r="M21" s="8">
        <v>2400.0</v>
      </c>
      <c r="N21" s="7">
        <v>43868.0</v>
      </c>
      <c r="O21" s="8" t="s">
        <v>107</v>
      </c>
      <c r="P21" s="8" t="s">
        <v>28</v>
      </c>
      <c r="Q21" s="8" t="s">
        <v>197</v>
      </c>
      <c r="R21" s="8" t="s">
        <v>198</v>
      </c>
      <c r="S21" s="8" t="s">
        <v>32</v>
      </c>
    </row>
    <row r="22">
      <c r="A22" s="8">
        <v>21.0</v>
      </c>
      <c r="B22" s="8" t="s">
        <v>201</v>
      </c>
      <c r="C22" s="8" t="s">
        <v>21</v>
      </c>
      <c r="D22" s="8">
        <v>29.0</v>
      </c>
      <c r="E22" s="8">
        <v>200.0</v>
      </c>
      <c r="F22" s="8">
        <v>4.0</v>
      </c>
      <c r="H22" s="8" t="s">
        <v>19</v>
      </c>
      <c r="I22" s="9">
        <v>45974.01957175926</v>
      </c>
      <c r="J22" s="8" t="s">
        <v>25</v>
      </c>
      <c r="K22" s="8">
        <v>200.0</v>
      </c>
      <c r="L22" s="8">
        <v>37000.0</v>
      </c>
      <c r="M22" s="8">
        <v>38000.0</v>
      </c>
      <c r="N22" s="7">
        <v>44025.0</v>
      </c>
      <c r="O22" s="8" t="s">
        <v>127</v>
      </c>
      <c r="P22" s="8" t="s">
        <v>28</v>
      </c>
      <c r="S22" s="8" t="s">
        <v>32</v>
      </c>
    </row>
    <row r="23">
      <c r="A23" s="8">
        <v>22.0</v>
      </c>
      <c r="B23" s="8" t="s">
        <v>207</v>
      </c>
      <c r="C23" s="8" t="s">
        <v>21</v>
      </c>
      <c r="E23" s="8">
        <v>150.0</v>
      </c>
      <c r="F23" s="8">
        <v>2.0</v>
      </c>
      <c r="K23" s="8">
        <v>150.0</v>
      </c>
      <c r="N23" s="7">
        <v>42467.0</v>
      </c>
      <c r="O23" s="8" t="s">
        <v>26</v>
      </c>
      <c r="P23" s="8" t="s">
        <v>28</v>
      </c>
      <c r="S23" s="8" t="s">
        <v>32</v>
      </c>
    </row>
    <row r="24">
      <c r="A24" s="8">
        <v>23.0</v>
      </c>
      <c r="B24" s="8" t="s">
        <v>210</v>
      </c>
      <c r="C24" s="8" t="s">
        <v>21</v>
      </c>
      <c r="D24" s="8">
        <v>75.0</v>
      </c>
      <c r="E24" s="8">
        <v>150.0</v>
      </c>
      <c r="H24" s="8" t="s">
        <v>123</v>
      </c>
      <c r="I24" s="9">
        <v>46082.52782407407</v>
      </c>
      <c r="K24" s="8">
        <v>150.0</v>
      </c>
      <c r="L24" s="8">
        <v>5100.0</v>
      </c>
      <c r="M24" s="8">
        <v>596000.0</v>
      </c>
      <c r="N24" s="7">
        <v>45173.0</v>
      </c>
      <c r="O24" s="8" t="s">
        <v>107</v>
      </c>
      <c r="P24" s="8" t="s">
        <v>28</v>
      </c>
      <c r="S24" s="8" t="s">
        <v>32</v>
      </c>
    </row>
    <row r="25">
      <c r="A25" s="8">
        <v>24.0</v>
      </c>
      <c r="B25" s="8" t="s">
        <v>216</v>
      </c>
      <c r="C25" s="8" t="s">
        <v>21</v>
      </c>
      <c r="D25" s="8">
        <v>76.0</v>
      </c>
      <c r="E25" s="8">
        <v>150.0</v>
      </c>
      <c r="H25" s="8" t="s">
        <v>20</v>
      </c>
      <c r="I25" s="9">
        <v>46155.9793287037</v>
      </c>
      <c r="K25" s="8">
        <v>7400.0</v>
      </c>
      <c r="L25" s="8">
        <v>1300.0</v>
      </c>
      <c r="M25" s="8">
        <v>508000.0</v>
      </c>
      <c r="N25" s="7">
        <v>42794.0</v>
      </c>
      <c r="O25" s="8" t="s">
        <v>107</v>
      </c>
      <c r="P25" s="8" t="s">
        <v>28</v>
      </c>
      <c r="S25" s="8" t="s">
        <v>32</v>
      </c>
    </row>
    <row r="26">
      <c r="A26" s="8">
        <v>25.0</v>
      </c>
      <c r="B26" s="8" t="s">
        <v>222</v>
      </c>
      <c r="C26" s="8" t="s">
        <v>21</v>
      </c>
      <c r="D26" s="8">
        <v>75.0</v>
      </c>
      <c r="E26" s="8">
        <v>150.0</v>
      </c>
      <c r="H26" s="8" t="s">
        <v>19</v>
      </c>
      <c r="I26" s="9">
        <v>46125.94479166667</v>
      </c>
      <c r="J26" s="8" t="s">
        <v>96</v>
      </c>
      <c r="K26" s="8">
        <v>150.0</v>
      </c>
      <c r="L26" s="8">
        <v>26000.0</v>
      </c>
      <c r="M26" s="8">
        <v>27000.0</v>
      </c>
      <c r="N26" s="7">
        <v>45134.0</v>
      </c>
      <c r="O26" s="8" t="s">
        <v>31</v>
      </c>
      <c r="P26" s="8" t="s">
        <v>28</v>
      </c>
      <c r="S26" s="8" t="s">
        <v>32</v>
      </c>
    </row>
    <row r="27">
      <c r="A27" s="8">
        <v>26.0</v>
      </c>
      <c r="B27" s="8" t="s">
        <v>228</v>
      </c>
      <c r="C27" s="8" t="s">
        <v>21</v>
      </c>
      <c r="D27" s="8">
        <v>19.0</v>
      </c>
      <c r="E27" s="8">
        <v>150.0</v>
      </c>
      <c r="H27" s="8" t="s">
        <v>19</v>
      </c>
      <c r="I27" s="9">
        <v>46156.209710648145</v>
      </c>
      <c r="J27" s="8" t="s">
        <v>25</v>
      </c>
      <c r="K27" s="8">
        <v>150.0</v>
      </c>
      <c r="L27" s="8">
        <v>26000.0</v>
      </c>
      <c r="M27" s="8">
        <v>27000.0</v>
      </c>
      <c r="N27" s="7">
        <v>42269.0</v>
      </c>
      <c r="O27" s="8" t="s">
        <v>26</v>
      </c>
      <c r="P27" s="8" t="s">
        <v>28</v>
      </c>
      <c r="S27" s="8" t="s">
        <v>32</v>
      </c>
    </row>
    <row r="28">
      <c r="A28" s="8">
        <v>27.0</v>
      </c>
      <c r="B28" s="8" t="s">
        <v>234</v>
      </c>
      <c r="C28" s="8" t="s">
        <v>21</v>
      </c>
      <c r="E28" s="8">
        <v>100.0</v>
      </c>
      <c r="K28" s="8">
        <v>250.0</v>
      </c>
      <c r="N28" s="7">
        <v>44980.0</v>
      </c>
    </row>
    <row r="29">
      <c r="A29" s="8">
        <v>28.0</v>
      </c>
      <c r="B29" s="8" t="s">
        <v>237</v>
      </c>
      <c r="C29" s="8" t="s">
        <v>21</v>
      </c>
      <c r="D29" s="8">
        <v>70.0</v>
      </c>
      <c r="E29" s="8">
        <v>100.0</v>
      </c>
      <c r="H29" s="8" t="s">
        <v>243</v>
      </c>
      <c r="I29" s="9">
        <v>46085.66976851852</v>
      </c>
      <c r="J29" s="8" t="s">
        <v>96</v>
      </c>
      <c r="K29" s="8">
        <v>22000.0</v>
      </c>
      <c r="L29" s="8">
        <v>200.0</v>
      </c>
      <c r="M29" s="8">
        <v>24000.0</v>
      </c>
      <c r="N29" s="7">
        <v>42392.0</v>
      </c>
      <c r="O29" s="8" t="s">
        <v>107</v>
      </c>
      <c r="P29" s="8" t="s">
        <v>28</v>
      </c>
      <c r="S29" s="8" t="s">
        <v>32</v>
      </c>
    </row>
    <row r="30">
      <c r="A30" s="8">
        <v>29.0</v>
      </c>
      <c r="B30" s="8" t="s">
        <v>247</v>
      </c>
      <c r="C30" s="8" t="s">
        <v>21</v>
      </c>
      <c r="D30" s="8">
        <v>74.0</v>
      </c>
      <c r="E30" s="8">
        <v>100.0</v>
      </c>
      <c r="G30" s="8">
        <v>1.03</v>
      </c>
      <c r="H30" s="8" t="s">
        <v>19</v>
      </c>
      <c r="I30" s="9">
        <v>46146.18368055556</v>
      </c>
      <c r="K30" s="8">
        <v>150.0</v>
      </c>
      <c r="L30" s="8">
        <v>26000.0</v>
      </c>
      <c r="M30" s="8">
        <v>27000.0</v>
      </c>
      <c r="N30" s="7">
        <v>42268.0</v>
      </c>
      <c r="O30" s="8" t="s">
        <v>26</v>
      </c>
      <c r="P30" s="8" t="s">
        <v>28</v>
      </c>
      <c r="Q30" s="8" t="s">
        <v>252</v>
      </c>
      <c r="R30" s="8" t="s">
        <v>254</v>
      </c>
      <c r="S30" s="8" t="s">
        <v>32</v>
      </c>
    </row>
    <row r="31">
      <c r="A31" s="8">
        <v>30.0</v>
      </c>
      <c r="B31" s="8" t="s">
        <v>53</v>
      </c>
      <c r="C31" s="8" t="s">
        <v>21</v>
      </c>
      <c r="D31" s="8">
        <v>81.0</v>
      </c>
      <c r="E31" s="8">
        <v>100.0</v>
      </c>
      <c r="H31" s="8" t="s">
        <v>55</v>
      </c>
      <c r="I31" s="9">
        <v>46100.86599537037</v>
      </c>
      <c r="J31" s="8" t="s">
        <v>58</v>
      </c>
      <c r="K31" s="8">
        <v>2100000.0</v>
      </c>
      <c r="L31" s="8">
        <v>15000.0</v>
      </c>
      <c r="M31" s="8">
        <v>67000.0</v>
      </c>
      <c r="N31" s="7">
        <v>42405.0</v>
      </c>
      <c r="O31" s="8" t="s">
        <v>31</v>
      </c>
      <c r="P31" s="8" t="s">
        <v>28</v>
      </c>
      <c r="S31" s="8" t="s">
        <v>32</v>
      </c>
    </row>
    <row r="32">
      <c r="A32" s="8">
        <v>31.0</v>
      </c>
      <c r="B32" s="8" t="s">
        <v>68</v>
      </c>
      <c r="C32" s="8" t="s">
        <v>21</v>
      </c>
      <c r="D32" s="8">
        <v>79.0</v>
      </c>
      <c r="E32" s="8">
        <v>100.0</v>
      </c>
      <c r="H32" s="8" t="s">
        <v>20</v>
      </c>
      <c r="I32" s="9">
        <v>46161.79056712963</v>
      </c>
      <c r="J32" s="8" t="s">
        <v>58</v>
      </c>
      <c r="K32" s="8">
        <v>135000.0</v>
      </c>
      <c r="L32" s="8">
        <v>1400.0</v>
      </c>
      <c r="M32" s="8">
        <v>470000.0</v>
      </c>
      <c r="N32" s="7">
        <v>43879.0</v>
      </c>
      <c r="O32" s="8" t="s">
        <v>31</v>
      </c>
      <c r="P32" s="8" t="s">
        <v>28</v>
      </c>
      <c r="S32" s="8" t="s">
        <v>32</v>
      </c>
    </row>
    <row r="33">
      <c r="A33" s="8">
        <v>32.0</v>
      </c>
      <c r="B33" s="8" t="s">
        <v>83</v>
      </c>
      <c r="C33" s="8" t="s">
        <v>21</v>
      </c>
      <c r="D33" s="8">
        <v>78.0</v>
      </c>
      <c r="E33" s="8">
        <v>100.0</v>
      </c>
      <c r="H33" s="8" t="s">
        <v>19</v>
      </c>
      <c r="I33" s="9">
        <v>46088.12480324074</v>
      </c>
      <c r="K33" s="8">
        <v>300.0</v>
      </c>
      <c r="L33" s="8">
        <v>33000.0</v>
      </c>
      <c r="M33" s="8">
        <v>34000.0</v>
      </c>
      <c r="N33" s="7">
        <v>44012.0</v>
      </c>
      <c r="O33" s="8" t="s">
        <v>31</v>
      </c>
      <c r="P33" s="8" t="s">
        <v>28</v>
      </c>
      <c r="S33" s="8" t="s">
        <v>32</v>
      </c>
    </row>
    <row r="34">
      <c r="A34" s="8">
        <v>33.0</v>
      </c>
      <c r="B34" s="8" t="s">
        <v>276</v>
      </c>
      <c r="C34" s="8" t="s">
        <v>21</v>
      </c>
      <c r="D34" s="8">
        <v>70.0</v>
      </c>
      <c r="E34" s="8">
        <v>100.0</v>
      </c>
      <c r="H34" s="8" t="s">
        <v>279</v>
      </c>
      <c r="I34" s="9">
        <v>46123.03642361111</v>
      </c>
      <c r="J34" s="8" t="s">
        <v>90</v>
      </c>
      <c r="K34" s="8">
        <v>76000.0</v>
      </c>
      <c r="L34" s="8">
        <v>3100.0</v>
      </c>
      <c r="M34" s="8">
        <v>62000.0</v>
      </c>
      <c r="N34" s="7">
        <v>42284.0</v>
      </c>
      <c r="O34" s="8" t="s">
        <v>107</v>
      </c>
      <c r="P34" s="8" t="s">
        <v>28</v>
      </c>
      <c r="S34" s="8" t="s">
        <v>32</v>
      </c>
    </row>
    <row r="35">
      <c r="A35" s="8">
        <v>34.0</v>
      </c>
      <c r="B35" s="8" t="s">
        <v>289</v>
      </c>
      <c r="C35" s="8" t="s">
        <v>21</v>
      </c>
      <c r="D35" s="8">
        <v>48.0</v>
      </c>
      <c r="E35" s="8">
        <v>100.0</v>
      </c>
      <c r="H35" s="8" t="s">
        <v>289</v>
      </c>
      <c r="I35" s="9">
        <v>46148.97895833333</v>
      </c>
      <c r="J35" s="8" t="s">
        <v>58</v>
      </c>
      <c r="K35" s="8">
        <v>1300.0</v>
      </c>
      <c r="L35" s="8">
        <v>80.0</v>
      </c>
      <c r="M35" s="8">
        <v>1500.0</v>
      </c>
      <c r="N35" s="7">
        <v>43868.0</v>
      </c>
      <c r="O35" s="8" t="s">
        <v>147</v>
      </c>
      <c r="P35" s="8" t="s">
        <v>28</v>
      </c>
      <c r="S35" s="8" t="s">
        <v>32</v>
      </c>
    </row>
    <row r="36">
      <c r="A36" s="8">
        <v>35.0</v>
      </c>
      <c r="B36" s="8" t="s">
        <v>91</v>
      </c>
      <c r="C36" s="8" t="s">
        <v>21</v>
      </c>
      <c r="D36" s="8">
        <v>78.0</v>
      </c>
      <c r="E36" s="8">
        <v>100.0</v>
      </c>
      <c r="F36" s="8">
        <v>0.6</v>
      </c>
      <c r="H36" s="8" t="s">
        <v>19</v>
      </c>
      <c r="I36" s="9">
        <v>46089.097291666665</v>
      </c>
      <c r="J36" s="8" t="s">
        <v>96</v>
      </c>
      <c r="K36" s="8">
        <v>5200.0</v>
      </c>
      <c r="L36" s="8">
        <v>33000.0</v>
      </c>
      <c r="M36" s="8">
        <v>34000.0</v>
      </c>
      <c r="N36" s="7">
        <v>42279.0</v>
      </c>
      <c r="O36" s="8" t="s">
        <v>31</v>
      </c>
      <c r="P36" s="8" t="s">
        <v>28</v>
      </c>
      <c r="S36" s="8" t="s">
        <v>32</v>
      </c>
    </row>
    <row r="37">
      <c r="A37" s="8">
        <v>36.0</v>
      </c>
      <c r="B37" s="8" t="s">
        <v>307</v>
      </c>
      <c r="C37" s="8" t="s">
        <v>21</v>
      </c>
      <c r="D37" s="8">
        <v>62.0</v>
      </c>
      <c r="E37" s="8">
        <v>90.0</v>
      </c>
      <c r="H37" s="8" t="s">
        <v>307</v>
      </c>
      <c r="I37" s="9">
        <v>46147.628229166665</v>
      </c>
      <c r="K37" s="8">
        <v>1100.0</v>
      </c>
      <c r="L37" s="8">
        <v>70.0</v>
      </c>
      <c r="M37" s="8">
        <v>2800.0</v>
      </c>
      <c r="N37" s="7">
        <v>42581.0</v>
      </c>
      <c r="O37" s="8" t="s">
        <v>147</v>
      </c>
      <c r="P37" s="8" t="s">
        <v>28</v>
      </c>
      <c r="S37" s="8" t="s">
        <v>32</v>
      </c>
    </row>
    <row r="38">
      <c r="A38" s="8">
        <v>37.0</v>
      </c>
      <c r="B38" s="8" t="s">
        <v>319</v>
      </c>
      <c r="C38" s="8" t="s">
        <v>21</v>
      </c>
      <c r="D38" s="8">
        <v>68.0</v>
      </c>
      <c r="E38" s="8">
        <v>90.0</v>
      </c>
      <c r="H38" s="8" t="s">
        <v>319</v>
      </c>
      <c r="I38" s="9">
        <v>46146.85835648148</v>
      </c>
      <c r="J38" s="8" t="s">
        <v>90</v>
      </c>
      <c r="K38" s="8">
        <v>82000.0</v>
      </c>
      <c r="L38" s="8">
        <v>70.0</v>
      </c>
      <c r="M38" s="8">
        <v>159000.0</v>
      </c>
      <c r="N38" s="7">
        <v>42311.0</v>
      </c>
      <c r="O38" s="8" t="s">
        <v>147</v>
      </c>
      <c r="P38" s="8" t="s">
        <v>28</v>
      </c>
      <c r="Q38" s="8" t="s">
        <v>327</v>
      </c>
      <c r="R38" s="8" t="s">
        <v>328</v>
      </c>
      <c r="S38" s="8" t="s">
        <v>32</v>
      </c>
    </row>
    <row r="39">
      <c r="A39" s="8">
        <v>38.0</v>
      </c>
      <c r="B39" s="8" t="s">
        <v>331</v>
      </c>
      <c r="C39" s="8" t="s">
        <v>21</v>
      </c>
      <c r="D39" s="8">
        <v>16.0</v>
      </c>
      <c r="E39" s="8">
        <v>90.0</v>
      </c>
      <c r="H39" s="8" t="s">
        <v>60</v>
      </c>
      <c r="I39" s="9">
        <v>46142.77353009259</v>
      </c>
      <c r="J39" s="8" t="s">
        <v>90</v>
      </c>
      <c r="K39" s="8">
        <v>300.0</v>
      </c>
      <c r="L39" s="8">
        <v>900.0</v>
      </c>
      <c r="M39" s="8">
        <v>1200.0</v>
      </c>
      <c r="N39" s="7">
        <v>43289.0</v>
      </c>
      <c r="O39" s="8" t="s">
        <v>26</v>
      </c>
      <c r="P39" s="8" t="s">
        <v>28</v>
      </c>
      <c r="S39" s="8" t="s">
        <v>32</v>
      </c>
    </row>
    <row r="40">
      <c r="A40" s="8">
        <v>39.0</v>
      </c>
      <c r="B40" s="8" t="s">
        <v>338</v>
      </c>
      <c r="C40" s="8" t="s">
        <v>21</v>
      </c>
      <c r="D40" s="8">
        <v>76.0</v>
      </c>
      <c r="E40" s="8">
        <v>90.0</v>
      </c>
      <c r="H40" s="8" t="s">
        <v>338</v>
      </c>
      <c r="I40" s="9">
        <v>46155.92582175926</v>
      </c>
      <c r="K40" s="8">
        <v>7100.0</v>
      </c>
      <c r="L40" s="8">
        <v>100.0</v>
      </c>
      <c r="M40" s="8">
        <v>9500.0</v>
      </c>
      <c r="N40" s="7">
        <v>42823.0</v>
      </c>
      <c r="O40" s="8" t="s">
        <v>147</v>
      </c>
      <c r="P40" s="8" t="s">
        <v>28</v>
      </c>
      <c r="Q40" s="8" t="s">
        <v>344</v>
      </c>
      <c r="R40" s="8" t="s">
        <v>346</v>
      </c>
      <c r="S40" s="8" t="s">
        <v>32</v>
      </c>
    </row>
    <row r="41">
      <c r="A41" s="8">
        <v>40.0</v>
      </c>
      <c r="B41" s="8" t="s">
        <v>349</v>
      </c>
      <c r="C41" s="8" t="s">
        <v>21</v>
      </c>
      <c r="D41" s="8">
        <v>65.0</v>
      </c>
      <c r="E41" s="8">
        <v>80.0</v>
      </c>
      <c r="H41" s="8" t="s">
        <v>349</v>
      </c>
      <c r="I41" s="9">
        <v>46126.20508101852</v>
      </c>
      <c r="J41" s="8" t="s">
        <v>90</v>
      </c>
      <c r="K41" s="8">
        <v>26000.0</v>
      </c>
      <c r="L41" s="8">
        <v>150.0</v>
      </c>
      <c r="M41" s="8">
        <v>28000.0</v>
      </c>
      <c r="N41" s="7">
        <v>43181.0</v>
      </c>
      <c r="O41" s="8" t="s">
        <v>107</v>
      </c>
      <c r="P41" s="8" t="s">
        <v>28</v>
      </c>
      <c r="Q41" s="8" t="s">
        <v>356</v>
      </c>
      <c r="R41" s="8" t="s">
        <v>358</v>
      </c>
      <c r="S41" s="8" t="s">
        <v>32</v>
      </c>
    </row>
    <row r="42">
      <c r="A42" s="8">
        <v>41.0</v>
      </c>
      <c r="B42" s="8" t="s">
        <v>359</v>
      </c>
      <c r="C42" s="8" t="s">
        <v>21</v>
      </c>
      <c r="D42" s="8">
        <v>75.0</v>
      </c>
      <c r="E42" s="8">
        <v>80.0</v>
      </c>
      <c r="H42" s="8" t="s">
        <v>123</v>
      </c>
      <c r="I42" s="9">
        <v>46123.46344907407</v>
      </c>
      <c r="J42" s="8" t="s">
        <v>96</v>
      </c>
      <c r="K42" s="8">
        <v>800.0</v>
      </c>
      <c r="L42" s="8">
        <v>700.0</v>
      </c>
      <c r="M42" s="8">
        <v>205000.0</v>
      </c>
      <c r="N42" s="7">
        <v>42405.0</v>
      </c>
      <c r="O42" s="8" t="s">
        <v>107</v>
      </c>
      <c r="P42" s="8" t="s">
        <v>28</v>
      </c>
      <c r="S42" s="8" t="s">
        <v>32</v>
      </c>
    </row>
    <row r="43">
      <c r="A43" s="8">
        <v>42.0</v>
      </c>
      <c r="B43" s="8" t="s">
        <v>367</v>
      </c>
      <c r="C43" s="8" t="s">
        <v>21</v>
      </c>
      <c r="D43" s="8">
        <v>76.0</v>
      </c>
      <c r="E43" s="8">
        <v>80.0</v>
      </c>
      <c r="H43" s="8" t="s">
        <v>370</v>
      </c>
      <c r="I43" s="9">
        <v>46143.97462962963</v>
      </c>
      <c r="K43" s="8">
        <v>2400.0</v>
      </c>
      <c r="L43" s="8">
        <v>80.0</v>
      </c>
      <c r="M43" s="8">
        <v>2900.0</v>
      </c>
      <c r="N43" s="7">
        <v>42698.0</v>
      </c>
      <c r="O43" s="8" t="s">
        <v>147</v>
      </c>
      <c r="P43" s="8" t="s">
        <v>28</v>
      </c>
      <c r="S43" s="8" t="s">
        <v>32</v>
      </c>
    </row>
    <row r="44">
      <c r="A44" s="8">
        <v>43.0</v>
      </c>
      <c r="B44" s="8" t="s">
        <v>378</v>
      </c>
      <c r="C44" s="8" t="s">
        <v>21</v>
      </c>
      <c r="D44" s="8">
        <v>70.0</v>
      </c>
      <c r="E44" s="8">
        <v>70.0</v>
      </c>
      <c r="H44" s="8" t="s">
        <v>279</v>
      </c>
      <c r="I44" s="9">
        <v>46124.2118287037</v>
      </c>
      <c r="K44" s="8">
        <v>800.0</v>
      </c>
      <c r="L44" s="8">
        <v>3100.0</v>
      </c>
      <c r="M44" s="8">
        <v>62000.0</v>
      </c>
      <c r="N44" s="7">
        <v>42388.0</v>
      </c>
      <c r="O44" s="8" t="s">
        <v>107</v>
      </c>
      <c r="P44" s="8" t="s">
        <v>28</v>
      </c>
      <c r="S44" s="8" t="s">
        <v>32</v>
      </c>
    </row>
    <row r="45">
      <c r="A45" s="8">
        <v>44.0</v>
      </c>
      <c r="B45" s="8" t="s">
        <v>386</v>
      </c>
      <c r="C45" s="8" t="s">
        <v>21</v>
      </c>
      <c r="E45" s="8">
        <v>70.0</v>
      </c>
      <c r="K45" s="8">
        <v>200.0</v>
      </c>
      <c r="N45" s="7">
        <v>45861.0</v>
      </c>
    </row>
    <row r="46">
      <c r="A46" s="8">
        <v>45.0</v>
      </c>
      <c r="B46" s="8" t="s">
        <v>390</v>
      </c>
      <c r="C46" s="8" t="s">
        <v>21</v>
      </c>
      <c r="E46" s="8">
        <v>70.0</v>
      </c>
      <c r="K46" s="8">
        <v>70.0</v>
      </c>
      <c r="N46" s="7">
        <v>42268.0</v>
      </c>
      <c r="O46" s="8" t="s">
        <v>26</v>
      </c>
      <c r="P46" s="8" t="s">
        <v>28</v>
      </c>
      <c r="S46" s="8" t="s">
        <v>32</v>
      </c>
    </row>
    <row r="47">
      <c r="A47" s="8">
        <v>46.0</v>
      </c>
      <c r="B47" s="8" t="s">
        <v>394</v>
      </c>
      <c r="C47" s="8" t="s">
        <v>21</v>
      </c>
      <c r="E47" s="8">
        <v>70.0</v>
      </c>
      <c r="K47" s="8">
        <v>70.0</v>
      </c>
      <c r="N47" s="7">
        <v>45894.0</v>
      </c>
    </row>
    <row r="48">
      <c r="A48" s="8">
        <v>47.0</v>
      </c>
      <c r="B48" s="8" t="s">
        <v>396</v>
      </c>
      <c r="C48" s="8" t="s">
        <v>21</v>
      </c>
      <c r="D48" s="8">
        <v>75.0</v>
      </c>
      <c r="E48" s="8">
        <v>70.0</v>
      </c>
      <c r="H48" s="8" t="s">
        <v>398</v>
      </c>
      <c r="I48" s="9">
        <v>46160.66483796296</v>
      </c>
      <c r="J48" s="8" t="s">
        <v>58</v>
      </c>
      <c r="K48" s="8">
        <v>6300.0</v>
      </c>
      <c r="L48" s="8">
        <v>700.0</v>
      </c>
      <c r="M48" s="8">
        <v>349000.0</v>
      </c>
      <c r="N48" s="7">
        <v>43868.0</v>
      </c>
      <c r="O48" s="8" t="s">
        <v>107</v>
      </c>
      <c r="P48" s="8" t="s">
        <v>28</v>
      </c>
      <c r="S48" s="8" t="s">
        <v>32</v>
      </c>
    </row>
    <row r="49">
      <c r="A49" s="8">
        <v>48.0</v>
      </c>
      <c r="B49" s="8" t="s">
        <v>401</v>
      </c>
      <c r="C49" s="8" t="s">
        <v>21</v>
      </c>
      <c r="D49" s="8">
        <v>79.0</v>
      </c>
      <c r="E49" s="8">
        <v>70.0</v>
      </c>
      <c r="H49" s="8" t="s">
        <v>123</v>
      </c>
      <c r="I49" s="9">
        <v>46141.236030092594</v>
      </c>
      <c r="J49" s="8" t="s">
        <v>90</v>
      </c>
      <c r="K49" s="8">
        <v>5600.0</v>
      </c>
      <c r="L49" s="8">
        <v>5400.0</v>
      </c>
      <c r="M49" s="8">
        <v>531000.0</v>
      </c>
      <c r="N49" s="7">
        <v>43870.0</v>
      </c>
      <c r="O49" s="8" t="s">
        <v>26</v>
      </c>
      <c r="P49" s="8" t="s">
        <v>28</v>
      </c>
      <c r="S49" s="8" t="s">
        <v>32</v>
      </c>
    </row>
    <row r="50">
      <c r="A50" s="8">
        <v>49.0</v>
      </c>
      <c r="B50" s="8" t="s">
        <v>406</v>
      </c>
      <c r="C50" s="8" t="s">
        <v>21</v>
      </c>
      <c r="D50" s="8">
        <v>74.0</v>
      </c>
      <c r="E50" s="8">
        <v>70.0</v>
      </c>
      <c r="H50" s="8" t="s">
        <v>406</v>
      </c>
      <c r="I50" s="9">
        <v>46118.28269675926</v>
      </c>
      <c r="K50" s="8">
        <v>11000.0</v>
      </c>
      <c r="L50" s="8">
        <v>50.0</v>
      </c>
      <c r="M50" s="8">
        <v>111000.0</v>
      </c>
      <c r="N50" s="7">
        <v>42684.0</v>
      </c>
      <c r="O50" s="8" t="s">
        <v>147</v>
      </c>
      <c r="P50" s="8" t="s">
        <v>28</v>
      </c>
      <c r="S50" s="8" t="s">
        <v>32</v>
      </c>
    </row>
    <row r="51">
      <c r="A51" s="8">
        <v>50.0</v>
      </c>
      <c r="B51" s="8" t="s">
        <v>370</v>
      </c>
      <c r="C51" s="8" t="s">
        <v>21</v>
      </c>
      <c r="D51" s="8">
        <v>76.0</v>
      </c>
      <c r="E51" s="8">
        <v>70.0</v>
      </c>
      <c r="H51" s="8" t="s">
        <v>338</v>
      </c>
      <c r="I51" s="9">
        <v>46123.14491898148</v>
      </c>
      <c r="K51" s="8">
        <v>200.0</v>
      </c>
      <c r="L51" s="8">
        <v>50.0</v>
      </c>
      <c r="M51" s="8">
        <v>3200.0</v>
      </c>
      <c r="N51" s="7">
        <v>43880.0</v>
      </c>
      <c r="O51" s="8" t="s">
        <v>107</v>
      </c>
      <c r="P51" s="8" t="s">
        <v>28</v>
      </c>
      <c r="S51" s="8" t="s">
        <v>32</v>
      </c>
    </row>
    <row r="52">
      <c r="A52" s="8">
        <v>51.0</v>
      </c>
      <c r="B52" s="8" t="s">
        <v>102</v>
      </c>
      <c r="C52" s="8" t="s">
        <v>21</v>
      </c>
      <c r="D52" s="8">
        <v>79.0</v>
      </c>
      <c r="E52" s="8">
        <v>60.0</v>
      </c>
      <c r="H52" s="8" t="s">
        <v>55</v>
      </c>
      <c r="I52" s="9">
        <v>46142.388344907406</v>
      </c>
      <c r="J52" s="8" t="s">
        <v>58</v>
      </c>
      <c r="K52" s="8">
        <v>172000.0</v>
      </c>
      <c r="L52" s="8">
        <v>15000.0</v>
      </c>
      <c r="M52" s="8">
        <v>70000.0</v>
      </c>
      <c r="N52" s="7">
        <v>42249.0</v>
      </c>
      <c r="O52" s="8" t="s">
        <v>31</v>
      </c>
      <c r="P52" s="8" t="s">
        <v>28</v>
      </c>
      <c r="S52" s="8" t="s">
        <v>111</v>
      </c>
    </row>
    <row r="53">
      <c r="A53" s="8">
        <v>52.0</v>
      </c>
      <c r="B53" s="8" t="s">
        <v>417</v>
      </c>
      <c r="C53" s="8" t="s">
        <v>21</v>
      </c>
      <c r="D53" s="8">
        <v>77.0</v>
      </c>
      <c r="E53" s="8">
        <v>60.0</v>
      </c>
      <c r="H53" s="8" t="s">
        <v>123</v>
      </c>
      <c r="I53" s="9">
        <v>46141.77211805555</v>
      </c>
      <c r="J53" s="8" t="s">
        <v>90</v>
      </c>
      <c r="K53" s="8">
        <v>11000.0</v>
      </c>
      <c r="L53" s="8">
        <v>5400.0</v>
      </c>
      <c r="M53" s="8">
        <v>531000.0</v>
      </c>
      <c r="N53" s="7">
        <v>42395.0</v>
      </c>
      <c r="O53" s="8" t="s">
        <v>147</v>
      </c>
      <c r="P53" s="8" t="s">
        <v>28</v>
      </c>
      <c r="S53" s="8" t="s">
        <v>32</v>
      </c>
    </row>
    <row r="54">
      <c r="A54" s="8">
        <v>53.0</v>
      </c>
      <c r="B54" s="8" t="s">
        <v>421</v>
      </c>
      <c r="C54" s="8" t="s">
        <v>21</v>
      </c>
      <c r="D54" s="8">
        <v>43.0</v>
      </c>
      <c r="E54" s="8">
        <v>60.0</v>
      </c>
      <c r="G54" s="8">
        <v>0.89</v>
      </c>
      <c r="H54" s="8" t="s">
        <v>19</v>
      </c>
      <c r="I54" s="9">
        <v>46126.21601851852</v>
      </c>
      <c r="J54" s="8" t="s">
        <v>25</v>
      </c>
      <c r="K54" s="8">
        <v>70.0</v>
      </c>
      <c r="L54" s="8">
        <v>26000.0</v>
      </c>
      <c r="M54" s="8">
        <v>27000.0</v>
      </c>
      <c r="N54" s="7">
        <v>42279.0</v>
      </c>
      <c r="O54" s="8" t="s">
        <v>127</v>
      </c>
      <c r="P54" s="8" t="s">
        <v>28</v>
      </c>
      <c r="S54" s="8" t="s">
        <v>32</v>
      </c>
    </row>
    <row r="55">
      <c r="A55" s="8">
        <v>54.0</v>
      </c>
      <c r="B55" s="8" t="s">
        <v>426</v>
      </c>
      <c r="C55" s="8" t="s">
        <v>21</v>
      </c>
      <c r="E55" s="8">
        <v>60.0</v>
      </c>
      <c r="K55" s="8">
        <v>500.0</v>
      </c>
      <c r="N55" s="7">
        <v>44021.0</v>
      </c>
    </row>
    <row r="56">
      <c r="A56" s="8">
        <v>55.0</v>
      </c>
      <c r="B56" s="8" t="s">
        <v>428</v>
      </c>
      <c r="C56" s="8" t="s">
        <v>21</v>
      </c>
      <c r="D56" s="8">
        <v>68.0</v>
      </c>
      <c r="E56" s="8">
        <v>60.0</v>
      </c>
      <c r="H56" s="8" t="s">
        <v>428</v>
      </c>
      <c r="I56" s="9">
        <v>46162.80087962963</v>
      </c>
      <c r="K56" s="8">
        <v>29000.0</v>
      </c>
      <c r="L56" s="8">
        <v>30.0</v>
      </c>
      <c r="M56" s="8">
        <v>17000.0</v>
      </c>
      <c r="N56" s="7">
        <v>43957.0</v>
      </c>
      <c r="O56" s="8" t="s">
        <v>107</v>
      </c>
      <c r="P56" s="8" t="s">
        <v>28</v>
      </c>
      <c r="S56" s="8" t="s">
        <v>32</v>
      </c>
    </row>
    <row r="57">
      <c r="A57" s="8">
        <v>56.0</v>
      </c>
      <c r="B57" s="8" t="s">
        <v>433</v>
      </c>
      <c r="C57" s="8" t="s">
        <v>21</v>
      </c>
      <c r="D57" s="8">
        <v>79.0</v>
      </c>
      <c r="E57" s="8">
        <v>60.0</v>
      </c>
      <c r="H57" s="8" t="s">
        <v>20</v>
      </c>
      <c r="I57" s="9">
        <v>46162.98672453704</v>
      </c>
      <c r="K57" s="8">
        <v>9800.0</v>
      </c>
      <c r="L57" s="8">
        <v>1400.0</v>
      </c>
      <c r="M57" s="8">
        <v>469000.0</v>
      </c>
      <c r="N57" s="7">
        <v>43088.0</v>
      </c>
      <c r="O57" s="8" t="s">
        <v>147</v>
      </c>
      <c r="P57" s="8" t="s">
        <v>28</v>
      </c>
      <c r="S57" s="8" t="s">
        <v>32</v>
      </c>
    </row>
    <row r="58">
      <c r="A58" s="8">
        <v>57.0</v>
      </c>
      <c r="B58" s="8" t="s">
        <v>437</v>
      </c>
      <c r="C58" s="8" t="s">
        <v>21</v>
      </c>
      <c r="D58" s="8">
        <v>84.0</v>
      </c>
      <c r="E58" s="8">
        <v>60.0</v>
      </c>
      <c r="H58" s="8" t="s">
        <v>55</v>
      </c>
      <c r="I58" s="9">
        <v>46143.34128472222</v>
      </c>
      <c r="K58" s="8">
        <v>5200.0</v>
      </c>
      <c r="L58" s="8">
        <v>15000.0</v>
      </c>
      <c r="M58" s="8">
        <v>71000.0</v>
      </c>
      <c r="N58" s="7">
        <v>42631.0</v>
      </c>
      <c r="O58" s="8" t="s">
        <v>31</v>
      </c>
      <c r="P58" s="8" t="s">
        <v>28</v>
      </c>
      <c r="S58" s="8" t="s">
        <v>32</v>
      </c>
    </row>
    <row r="59">
      <c r="A59" s="8">
        <v>58.0</v>
      </c>
      <c r="B59" s="8" t="s">
        <v>442</v>
      </c>
      <c r="C59" s="8" t="s">
        <v>21</v>
      </c>
      <c r="E59" s="8">
        <v>60.0</v>
      </c>
      <c r="K59" s="8">
        <v>60.0</v>
      </c>
      <c r="N59" s="7">
        <v>44097.0</v>
      </c>
      <c r="O59" s="8" t="s">
        <v>26</v>
      </c>
      <c r="P59" s="8" t="s">
        <v>28</v>
      </c>
      <c r="S59" s="8" t="s">
        <v>32</v>
      </c>
    </row>
    <row r="60">
      <c r="A60" s="8">
        <v>59.0</v>
      </c>
      <c r="B60" s="8" t="s">
        <v>113</v>
      </c>
      <c r="C60" s="8" t="s">
        <v>21</v>
      </c>
      <c r="E60" s="8">
        <v>60.0</v>
      </c>
      <c r="K60" s="8">
        <v>8000.0</v>
      </c>
      <c r="N60" s="7">
        <v>44107.0</v>
      </c>
    </row>
    <row r="61">
      <c r="A61" s="8">
        <v>60.0</v>
      </c>
      <c r="B61" s="8" t="s">
        <v>447</v>
      </c>
      <c r="C61" s="8" t="s">
        <v>21</v>
      </c>
      <c r="D61" s="8">
        <v>78.0</v>
      </c>
      <c r="E61" s="8">
        <v>60.0</v>
      </c>
      <c r="H61" s="8" t="s">
        <v>20</v>
      </c>
      <c r="I61" s="9">
        <v>46160.97094907407</v>
      </c>
      <c r="J61" s="8" t="s">
        <v>450</v>
      </c>
      <c r="K61" s="8">
        <v>3000.0</v>
      </c>
      <c r="L61" s="8">
        <v>1400.0</v>
      </c>
      <c r="M61" s="8">
        <v>474000.0</v>
      </c>
      <c r="N61" s="7">
        <v>42891.0</v>
      </c>
      <c r="O61" s="8" t="s">
        <v>107</v>
      </c>
      <c r="P61" s="8" t="s">
        <v>28</v>
      </c>
      <c r="S61" s="8" t="s">
        <v>32</v>
      </c>
    </row>
    <row r="62">
      <c r="A62" s="8">
        <v>61.0</v>
      </c>
      <c r="B62" s="8" t="s">
        <v>452</v>
      </c>
      <c r="C62" s="8" t="s">
        <v>21</v>
      </c>
      <c r="D62" s="8">
        <v>76.0</v>
      </c>
      <c r="E62" s="8">
        <v>60.0</v>
      </c>
      <c r="H62" s="8" t="s">
        <v>123</v>
      </c>
      <c r="I62" s="9">
        <v>46144.548530092594</v>
      </c>
      <c r="J62" s="8" t="s">
        <v>96</v>
      </c>
      <c r="K62" s="8">
        <v>450.0</v>
      </c>
      <c r="L62" s="8">
        <v>800.0</v>
      </c>
      <c r="M62" s="8">
        <v>201000.0</v>
      </c>
      <c r="N62" s="7">
        <v>43868.0</v>
      </c>
      <c r="O62" s="8" t="s">
        <v>107</v>
      </c>
      <c r="P62" s="8" t="s">
        <v>28</v>
      </c>
      <c r="S62" s="8" t="s">
        <v>32</v>
      </c>
    </row>
    <row r="63">
      <c r="A63" s="8">
        <v>62.0</v>
      </c>
      <c r="B63" s="8" t="s">
        <v>458</v>
      </c>
      <c r="C63" s="8" t="s">
        <v>21</v>
      </c>
      <c r="E63" s="8">
        <v>60.0</v>
      </c>
      <c r="K63" s="8">
        <v>60.0</v>
      </c>
      <c r="N63" s="7">
        <v>44093.0</v>
      </c>
    </row>
    <row r="64">
      <c r="A64" s="8">
        <v>63.0</v>
      </c>
      <c r="B64" s="8" t="s">
        <v>461</v>
      </c>
      <c r="C64" s="8" t="s">
        <v>21</v>
      </c>
      <c r="E64" s="8">
        <v>50.0</v>
      </c>
      <c r="K64" s="8">
        <v>50.0</v>
      </c>
      <c r="N64" s="7">
        <v>45512.0</v>
      </c>
    </row>
    <row r="65">
      <c r="A65" s="8">
        <v>64.0</v>
      </c>
      <c r="B65" s="8" t="s">
        <v>463</v>
      </c>
      <c r="C65" s="8" t="s">
        <v>21</v>
      </c>
      <c r="E65" s="8">
        <v>50.0</v>
      </c>
      <c r="K65" s="8">
        <v>1100.0</v>
      </c>
      <c r="N65" s="7">
        <v>44125.0</v>
      </c>
    </row>
    <row r="66">
      <c r="A66" s="8">
        <v>65.0</v>
      </c>
      <c r="B66" s="8" t="s">
        <v>466</v>
      </c>
      <c r="C66" s="8" t="s">
        <v>21</v>
      </c>
      <c r="D66" s="8">
        <v>62.0</v>
      </c>
      <c r="E66" s="8">
        <v>50.0</v>
      </c>
      <c r="H66" s="8" t="s">
        <v>469</v>
      </c>
      <c r="I66" s="9">
        <v>46084.44238425926</v>
      </c>
      <c r="J66" s="8" t="s">
        <v>96</v>
      </c>
      <c r="K66" s="8">
        <v>2000.0</v>
      </c>
      <c r="L66" s="8">
        <v>30.0</v>
      </c>
      <c r="M66" s="8">
        <v>1200.0</v>
      </c>
      <c r="N66" s="7">
        <v>43868.0</v>
      </c>
      <c r="O66" s="8" t="s">
        <v>107</v>
      </c>
      <c r="P66" s="8" t="s">
        <v>28</v>
      </c>
      <c r="S66" s="8" t="s">
        <v>32</v>
      </c>
    </row>
    <row r="67">
      <c r="A67" s="8">
        <v>66.0</v>
      </c>
      <c r="B67" s="8" t="s">
        <v>473</v>
      </c>
      <c r="C67" s="8" t="s">
        <v>21</v>
      </c>
      <c r="D67" s="8">
        <v>3.0</v>
      </c>
      <c r="E67" s="8">
        <v>50.0</v>
      </c>
      <c r="G67" s="8">
        <v>1.04</v>
      </c>
      <c r="H67" s="8" t="s">
        <v>475</v>
      </c>
      <c r="I67" s="9">
        <v>46122.60337962963</v>
      </c>
      <c r="J67" s="8" t="s">
        <v>476</v>
      </c>
      <c r="K67" s="8">
        <v>60.0</v>
      </c>
      <c r="L67" s="8">
        <v>10.0</v>
      </c>
      <c r="M67" s="8">
        <v>20.0</v>
      </c>
      <c r="N67" s="7">
        <v>42289.0</v>
      </c>
      <c r="O67" s="8" t="s">
        <v>26</v>
      </c>
      <c r="P67" s="8" t="s">
        <v>28</v>
      </c>
      <c r="S67" s="8" t="s">
        <v>32</v>
      </c>
    </row>
    <row r="68">
      <c r="A68" s="8">
        <v>67.0</v>
      </c>
      <c r="B68" s="8" t="s">
        <v>478</v>
      </c>
      <c r="C68" s="8" t="s">
        <v>21</v>
      </c>
      <c r="D68" s="8">
        <v>77.0</v>
      </c>
      <c r="E68" s="8">
        <v>50.0</v>
      </c>
      <c r="H68" s="8" t="s">
        <v>123</v>
      </c>
      <c r="I68" s="9">
        <v>46143.65200231481</v>
      </c>
      <c r="J68" s="8" t="s">
        <v>90</v>
      </c>
      <c r="K68" s="8">
        <v>6900.0</v>
      </c>
      <c r="L68" s="8">
        <v>5400.0</v>
      </c>
      <c r="M68" s="8">
        <v>508000.0</v>
      </c>
      <c r="N68" s="7">
        <v>42516.0</v>
      </c>
      <c r="O68" s="8" t="s">
        <v>147</v>
      </c>
      <c r="P68" s="8" t="s">
        <v>28</v>
      </c>
      <c r="S68" s="8" t="s">
        <v>32</v>
      </c>
    </row>
    <row r="69">
      <c r="A69" s="8">
        <v>68.0</v>
      </c>
      <c r="B69" s="8" t="s">
        <v>482</v>
      </c>
      <c r="C69" s="8" t="s">
        <v>21</v>
      </c>
      <c r="D69" s="8">
        <v>64.0</v>
      </c>
      <c r="E69" s="8">
        <v>50.0</v>
      </c>
      <c r="H69" s="8" t="s">
        <v>484</v>
      </c>
      <c r="I69" s="9">
        <v>46156.20836805556</v>
      </c>
      <c r="K69" s="8">
        <v>5600.0</v>
      </c>
      <c r="L69" s="8">
        <v>100.0</v>
      </c>
      <c r="M69" s="8">
        <v>22000.0</v>
      </c>
      <c r="N69" s="7">
        <v>44009.0</v>
      </c>
      <c r="O69" s="8" t="s">
        <v>107</v>
      </c>
      <c r="P69" s="8" t="s">
        <v>28</v>
      </c>
      <c r="S69" s="8" t="s">
        <v>32</v>
      </c>
    </row>
    <row r="70">
      <c r="A70" s="8">
        <v>69.0</v>
      </c>
      <c r="B70" s="8" t="s">
        <v>486</v>
      </c>
      <c r="C70" s="8" t="s">
        <v>21</v>
      </c>
      <c r="D70" s="8">
        <v>17.0</v>
      </c>
      <c r="E70" s="8">
        <v>50.0</v>
      </c>
      <c r="H70" s="8" t="s">
        <v>60</v>
      </c>
      <c r="I70" s="9">
        <v>46126.708136574074</v>
      </c>
      <c r="J70" s="8" t="s">
        <v>62</v>
      </c>
      <c r="K70" s="8">
        <v>300.0</v>
      </c>
      <c r="L70" s="8">
        <v>900.0</v>
      </c>
      <c r="M70" s="8">
        <v>1100.0</v>
      </c>
      <c r="N70" s="7">
        <v>43045.0</v>
      </c>
      <c r="O70" s="8" t="s">
        <v>26</v>
      </c>
      <c r="P70" s="8" t="s">
        <v>28</v>
      </c>
      <c r="S70" s="8" t="s">
        <v>32</v>
      </c>
    </row>
    <row r="71">
      <c r="A71" s="8">
        <v>70.0</v>
      </c>
      <c r="B71" s="8" t="s">
        <v>491</v>
      </c>
      <c r="C71" s="8" t="s">
        <v>21</v>
      </c>
      <c r="E71" s="8">
        <v>50.0</v>
      </c>
      <c r="K71" s="8">
        <v>50.0</v>
      </c>
      <c r="N71" s="7">
        <v>44140.0</v>
      </c>
      <c r="O71" s="8" t="s">
        <v>127</v>
      </c>
      <c r="P71" s="8" t="s">
        <v>28</v>
      </c>
      <c r="S71" s="8" t="s">
        <v>32</v>
      </c>
    </row>
    <row r="72">
      <c r="A72" s="8">
        <v>71.0</v>
      </c>
      <c r="B72" s="8" t="s">
        <v>494</v>
      </c>
      <c r="C72" s="8" t="s">
        <v>21</v>
      </c>
      <c r="D72" s="8">
        <v>78.0</v>
      </c>
      <c r="E72" s="8">
        <v>40.0</v>
      </c>
      <c r="F72" s="8">
        <v>0.03</v>
      </c>
      <c r="H72" s="8" t="s">
        <v>494</v>
      </c>
      <c r="I72" s="9">
        <v>46160.50954861111</v>
      </c>
      <c r="J72" s="8" t="s">
        <v>96</v>
      </c>
      <c r="K72" s="8">
        <v>90000.0</v>
      </c>
      <c r="L72" s="8">
        <v>20.0</v>
      </c>
      <c r="M72" s="8">
        <v>207000.0</v>
      </c>
      <c r="N72" s="7">
        <v>43399.0</v>
      </c>
      <c r="O72" s="8" t="s">
        <v>26</v>
      </c>
      <c r="P72" s="8" t="s">
        <v>28</v>
      </c>
      <c r="S72" s="8" t="s">
        <v>32</v>
      </c>
    </row>
    <row r="73">
      <c r="A73" s="8">
        <v>72.0</v>
      </c>
      <c r="B73" s="8" t="s">
        <v>499</v>
      </c>
      <c r="C73" s="8" t="s">
        <v>21</v>
      </c>
      <c r="D73" s="8">
        <v>68.0</v>
      </c>
      <c r="E73" s="8">
        <v>40.0</v>
      </c>
      <c r="H73" s="8" t="s">
        <v>279</v>
      </c>
      <c r="I73" s="9">
        <v>46146.64921296296</v>
      </c>
      <c r="J73" s="8" t="s">
        <v>90</v>
      </c>
      <c r="K73" s="8">
        <v>3500.0</v>
      </c>
      <c r="L73" s="8">
        <v>3200.0</v>
      </c>
      <c r="M73" s="8">
        <v>59000.0</v>
      </c>
      <c r="N73" s="7">
        <v>42269.0</v>
      </c>
      <c r="O73" s="8" t="s">
        <v>107</v>
      </c>
      <c r="P73" s="8" t="s">
        <v>28</v>
      </c>
      <c r="S73" s="8" t="s">
        <v>32</v>
      </c>
    </row>
    <row r="74">
      <c r="A74" s="8">
        <v>73.0</v>
      </c>
      <c r="B74" s="8" t="s">
        <v>502</v>
      </c>
      <c r="C74" s="8" t="s">
        <v>21</v>
      </c>
      <c r="D74" s="8">
        <v>65.0</v>
      </c>
      <c r="E74" s="8">
        <v>40.0</v>
      </c>
      <c r="H74" s="8" t="s">
        <v>19</v>
      </c>
      <c r="I74" s="9">
        <v>46163.15423611111</v>
      </c>
      <c r="J74" s="8" t="s">
        <v>96</v>
      </c>
      <c r="K74" s="8">
        <v>350.0</v>
      </c>
      <c r="L74" s="8">
        <v>26000.0</v>
      </c>
      <c r="M74" s="8">
        <v>27000.0</v>
      </c>
      <c r="N74" s="7">
        <v>42919.0</v>
      </c>
      <c r="O74" s="8" t="s">
        <v>26</v>
      </c>
      <c r="P74" s="8" t="s">
        <v>28</v>
      </c>
      <c r="S74" s="8" t="s">
        <v>32</v>
      </c>
    </row>
    <row r="75">
      <c r="A75" s="8">
        <v>74.0</v>
      </c>
      <c r="B75" s="8" t="s">
        <v>119</v>
      </c>
      <c r="C75" s="8" t="s">
        <v>21</v>
      </c>
      <c r="D75" s="8">
        <v>77.0</v>
      </c>
      <c r="E75" s="8">
        <v>40.0</v>
      </c>
      <c r="H75" s="8" t="s">
        <v>123</v>
      </c>
      <c r="I75" s="9">
        <v>46088.24863425926</v>
      </c>
      <c r="J75" s="8" t="s">
        <v>58</v>
      </c>
      <c r="K75" s="8">
        <v>27000.0</v>
      </c>
      <c r="L75" s="8">
        <v>5100.0</v>
      </c>
      <c r="M75" s="8">
        <v>584000.0</v>
      </c>
      <c r="N75" s="7">
        <v>42253.0</v>
      </c>
      <c r="O75" s="8" t="s">
        <v>31</v>
      </c>
      <c r="P75" s="8" t="s">
        <v>28</v>
      </c>
      <c r="S75" s="8" t="s">
        <v>32</v>
      </c>
    </row>
    <row r="76">
      <c r="A76" s="8">
        <v>75.0</v>
      </c>
      <c r="B76" s="8" t="s">
        <v>508</v>
      </c>
      <c r="C76" s="8" t="s">
        <v>21</v>
      </c>
      <c r="D76" s="8">
        <v>78.0</v>
      </c>
      <c r="E76" s="8">
        <v>40.0</v>
      </c>
      <c r="H76" s="8" t="s">
        <v>123</v>
      </c>
      <c r="I76" s="9">
        <v>46100.971550925926</v>
      </c>
      <c r="K76" s="8">
        <v>70.0</v>
      </c>
      <c r="L76" s="8">
        <v>5100.0</v>
      </c>
      <c r="M76" s="8">
        <v>588000.0</v>
      </c>
      <c r="N76" s="7">
        <v>43868.0</v>
      </c>
      <c r="O76" s="8" t="s">
        <v>107</v>
      </c>
      <c r="P76" s="8" t="s">
        <v>28</v>
      </c>
      <c r="S76" s="8" t="s">
        <v>32</v>
      </c>
    </row>
    <row r="77">
      <c r="A77" s="8">
        <v>76.0</v>
      </c>
      <c r="B77" s="8" t="s">
        <v>512</v>
      </c>
      <c r="C77" s="8" t="s">
        <v>21</v>
      </c>
      <c r="D77" s="8">
        <v>75.0</v>
      </c>
      <c r="E77" s="8">
        <v>40.0</v>
      </c>
      <c r="H77" s="8" t="s">
        <v>398</v>
      </c>
      <c r="I77" s="9">
        <v>46159.65021990741</v>
      </c>
      <c r="K77" s="8">
        <v>200.0</v>
      </c>
      <c r="L77" s="8">
        <v>700.0</v>
      </c>
      <c r="M77" s="8">
        <v>344000.0</v>
      </c>
      <c r="N77" s="7">
        <v>43868.0</v>
      </c>
      <c r="O77" s="8" t="s">
        <v>107</v>
      </c>
      <c r="P77" s="8" t="s">
        <v>28</v>
      </c>
      <c r="S77" s="8" t="s">
        <v>32</v>
      </c>
    </row>
    <row r="78">
      <c r="A78" s="8">
        <v>77.0</v>
      </c>
      <c r="B78" s="8" t="s">
        <v>516</v>
      </c>
      <c r="C78" s="8" t="s">
        <v>21</v>
      </c>
      <c r="D78" s="8">
        <v>79.0</v>
      </c>
      <c r="E78" s="8">
        <v>40.0</v>
      </c>
      <c r="H78" s="8" t="s">
        <v>123</v>
      </c>
      <c r="I78" s="9">
        <v>46142.47016203704</v>
      </c>
      <c r="J78" s="8" t="s">
        <v>90</v>
      </c>
      <c r="K78" s="8">
        <v>11000.0</v>
      </c>
      <c r="L78" s="8">
        <v>5400.0</v>
      </c>
      <c r="M78" s="8">
        <v>529000.0</v>
      </c>
      <c r="N78" s="7">
        <v>42384.0</v>
      </c>
      <c r="O78" s="8" t="s">
        <v>107</v>
      </c>
      <c r="P78" s="8" t="s">
        <v>28</v>
      </c>
      <c r="S78" s="8" t="s">
        <v>32</v>
      </c>
    </row>
    <row r="79">
      <c r="A79" s="8">
        <v>78.0</v>
      </c>
      <c r="B79" s="8" t="s">
        <v>520</v>
      </c>
      <c r="C79" s="8" t="s">
        <v>21</v>
      </c>
      <c r="D79" s="8">
        <v>76.0</v>
      </c>
      <c r="E79" s="8">
        <v>40.0</v>
      </c>
      <c r="H79" s="8" t="s">
        <v>398</v>
      </c>
      <c r="I79" s="9">
        <v>46084.66798611111</v>
      </c>
      <c r="J79" s="8" t="s">
        <v>90</v>
      </c>
      <c r="K79" s="8">
        <v>91000.0</v>
      </c>
      <c r="L79" s="8">
        <v>600.0</v>
      </c>
      <c r="M79" s="8">
        <v>296000.0</v>
      </c>
      <c r="N79" s="7">
        <v>43275.0</v>
      </c>
      <c r="O79" s="8" t="s">
        <v>147</v>
      </c>
      <c r="P79" s="8" t="s">
        <v>28</v>
      </c>
      <c r="S79" s="8" t="s">
        <v>32</v>
      </c>
    </row>
    <row r="80">
      <c r="A80" s="8">
        <v>79.0</v>
      </c>
      <c r="B80" s="8" t="s">
        <v>524</v>
      </c>
      <c r="C80" s="8" t="s">
        <v>21</v>
      </c>
      <c r="E80" s="8">
        <v>40.0</v>
      </c>
      <c r="K80" s="8">
        <v>40.0</v>
      </c>
      <c r="N80" s="7">
        <v>44116.0</v>
      </c>
      <c r="O80" s="8" t="s">
        <v>26</v>
      </c>
      <c r="P80" s="8" t="s">
        <v>28</v>
      </c>
      <c r="S80" s="8" t="s">
        <v>32</v>
      </c>
    </row>
    <row r="81">
      <c r="A81" s="8">
        <v>80.0</v>
      </c>
      <c r="B81" s="8" t="s">
        <v>527</v>
      </c>
      <c r="C81" s="8" t="s">
        <v>21</v>
      </c>
      <c r="E81" s="8">
        <v>40.0</v>
      </c>
      <c r="K81" s="8">
        <v>700.0</v>
      </c>
      <c r="N81" s="7">
        <v>45112.0</v>
      </c>
    </row>
    <row r="82">
      <c r="A82" s="8">
        <v>81.0</v>
      </c>
      <c r="B82" s="8" t="s">
        <v>530</v>
      </c>
      <c r="C82" s="8" t="s">
        <v>21</v>
      </c>
      <c r="E82" s="8">
        <v>40.0</v>
      </c>
      <c r="K82" s="8">
        <v>900.0</v>
      </c>
      <c r="N82" s="7">
        <v>43904.0</v>
      </c>
      <c r="O82" s="8" t="s">
        <v>107</v>
      </c>
      <c r="P82" s="8" t="s">
        <v>28</v>
      </c>
      <c r="S82" s="8" t="s">
        <v>32</v>
      </c>
    </row>
    <row r="83">
      <c r="A83" s="8">
        <v>82.0</v>
      </c>
      <c r="B83" s="8" t="s">
        <v>534</v>
      </c>
      <c r="C83" s="8" t="s">
        <v>21</v>
      </c>
      <c r="D83" s="8">
        <v>63.0</v>
      </c>
      <c r="E83" s="8">
        <v>40.0</v>
      </c>
      <c r="H83" s="8" t="s">
        <v>35</v>
      </c>
      <c r="I83" s="9">
        <v>46127.30511574074</v>
      </c>
      <c r="J83" s="8" t="s">
        <v>450</v>
      </c>
      <c r="K83" s="8">
        <v>60.0</v>
      </c>
      <c r="L83" s="8">
        <v>11000.0</v>
      </c>
      <c r="M83" s="8">
        <v>11000.0</v>
      </c>
      <c r="N83" s="7">
        <v>43276.0</v>
      </c>
      <c r="O83" s="8" t="s">
        <v>31</v>
      </c>
      <c r="P83" s="8" t="s">
        <v>28</v>
      </c>
      <c r="S83" s="8" t="s">
        <v>32</v>
      </c>
    </row>
    <row r="84">
      <c r="A84" s="8">
        <v>83.0</v>
      </c>
      <c r="B84" s="8" t="s">
        <v>538</v>
      </c>
      <c r="C84" s="8" t="s">
        <v>21</v>
      </c>
      <c r="D84" s="8">
        <v>75.0</v>
      </c>
      <c r="E84" s="8">
        <v>40.0</v>
      </c>
      <c r="H84" s="8" t="s">
        <v>398</v>
      </c>
      <c r="I84" s="9">
        <v>46161.25817129629</v>
      </c>
      <c r="K84" s="8">
        <v>3300.0</v>
      </c>
      <c r="L84" s="8">
        <v>700.0</v>
      </c>
      <c r="M84" s="8">
        <v>349000.0</v>
      </c>
      <c r="N84" s="7">
        <v>43869.0</v>
      </c>
      <c r="O84" s="8" t="s">
        <v>107</v>
      </c>
      <c r="P84" s="8" t="s">
        <v>28</v>
      </c>
      <c r="S84" s="8" t="s">
        <v>32</v>
      </c>
    </row>
    <row r="85">
      <c r="A85" s="8">
        <v>84.0</v>
      </c>
      <c r="B85" s="8" t="s">
        <v>543</v>
      </c>
      <c r="C85" s="8" t="s">
        <v>21</v>
      </c>
      <c r="D85" s="8">
        <v>68.0</v>
      </c>
      <c r="E85" s="8">
        <v>40.0</v>
      </c>
      <c r="H85" s="8" t="s">
        <v>35</v>
      </c>
      <c r="I85" s="9">
        <v>46106.682291666664</v>
      </c>
      <c r="J85" s="8" t="s">
        <v>545</v>
      </c>
      <c r="K85" s="8">
        <v>50.0</v>
      </c>
      <c r="L85" s="8">
        <v>11000.0</v>
      </c>
      <c r="M85" s="8">
        <v>11000.0</v>
      </c>
      <c r="N85" s="7">
        <v>42398.0</v>
      </c>
      <c r="O85" s="8" t="s">
        <v>31</v>
      </c>
      <c r="P85" s="8" t="s">
        <v>28</v>
      </c>
      <c r="S85" s="8" t="s">
        <v>32</v>
      </c>
    </row>
    <row r="86">
      <c r="A86" s="8">
        <v>85.0</v>
      </c>
      <c r="B86" s="8" t="s">
        <v>547</v>
      </c>
      <c r="C86" s="8" t="s">
        <v>21</v>
      </c>
      <c r="D86" s="8">
        <v>64.0</v>
      </c>
      <c r="E86" s="8">
        <v>40.0</v>
      </c>
      <c r="H86" s="8" t="s">
        <v>549</v>
      </c>
      <c r="I86" s="9">
        <v>46148.98837962963</v>
      </c>
      <c r="K86" s="8">
        <v>23000.0</v>
      </c>
      <c r="L86" s="8">
        <v>40.0</v>
      </c>
      <c r="M86" s="8">
        <v>35000.0</v>
      </c>
      <c r="N86" s="7">
        <v>43884.0</v>
      </c>
      <c r="O86" s="8" t="s">
        <v>107</v>
      </c>
      <c r="P86" s="8" t="s">
        <v>28</v>
      </c>
      <c r="S86" s="8" t="s">
        <v>32</v>
      </c>
    </row>
    <row r="87">
      <c r="A87" s="8">
        <v>86.0</v>
      </c>
      <c r="B87" s="8" t="s">
        <v>552</v>
      </c>
      <c r="C87" s="8" t="s">
        <v>21</v>
      </c>
      <c r="D87" s="8">
        <v>62.0</v>
      </c>
      <c r="E87" s="8">
        <v>40.0</v>
      </c>
      <c r="H87" s="8" t="s">
        <v>552</v>
      </c>
      <c r="I87" s="9">
        <v>46083.664456018516</v>
      </c>
      <c r="K87" s="8">
        <v>70.0</v>
      </c>
      <c r="L87" s="8">
        <v>10.0</v>
      </c>
      <c r="M87" s="8">
        <v>1100.0</v>
      </c>
      <c r="N87" s="7">
        <v>45092.0</v>
      </c>
      <c r="O87" s="8" t="s">
        <v>107</v>
      </c>
      <c r="P87" s="8" t="s">
        <v>28</v>
      </c>
      <c r="S87" s="8" t="s">
        <v>32</v>
      </c>
    </row>
    <row r="88">
      <c r="A88" s="8">
        <v>87.0</v>
      </c>
      <c r="B88" s="8" t="s">
        <v>557</v>
      </c>
      <c r="C88" s="8" t="s">
        <v>21</v>
      </c>
      <c r="D88" s="8">
        <v>76.0</v>
      </c>
      <c r="E88" s="8">
        <v>30.0</v>
      </c>
      <c r="H88" s="8" t="s">
        <v>91</v>
      </c>
      <c r="I88" s="9">
        <v>46082.528125</v>
      </c>
      <c r="K88" s="8">
        <v>28000.0</v>
      </c>
      <c r="L88" s="8">
        <v>100.0</v>
      </c>
      <c r="M88" s="8">
        <v>870000.0</v>
      </c>
      <c r="N88" s="7">
        <v>42628.0</v>
      </c>
      <c r="O88" s="8" t="s">
        <v>147</v>
      </c>
      <c r="P88" s="8" t="s">
        <v>28</v>
      </c>
      <c r="S88" s="8" t="s">
        <v>32</v>
      </c>
    </row>
    <row r="89">
      <c r="A89" s="8">
        <v>88.0</v>
      </c>
      <c r="B89" s="8" t="s">
        <v>561</v>
      </c>
      <c r="C89" s="8" t="s">
        <v>21</v>
      </c>
      <c r="E89" s="8">
        <v>30.0</v>
      </c>
      <c r="K89" s="8">
        <v>36000.0</v>
      </c>
      <c r="N89" s="7">
        <v>44172.0</v>
      </c>
      <c r="O89" s="8" t="s">
        <v>26</v>
      </c>
      <c r="P89" s="8" t="s">
        <v>28</v>
      </c>
      <c r="S89" s="8" t="s">
        <v>32</v>
      </c>
    </row>
    <row r="90">
      <c r="A90" s="8">
        <v>89.0</v>
      </c>
      <c r="B90" s="8" t="s">
        <v>564</v>
      </c>
      <c r="C90" s="8" t="s">
        <v>21</v>
      </c>
      <c r="E90" s="8">
        <v>30.0</v>
      </c>
      <c r="K90" s="8">
        <v>500.0</v>
      </c>
      <c r="N90" s="7">
        <v>44505.0</v>
      </c>
    </row>
    <row r="91">
      <c r="A91" s="8">
        <v>90.0</v>
      </c>
      <c r="B91" s="8" t="s">
        <v>566</v>
      </c>
      <c r="C91" s="8" t="s">
        <v>21</v>
      </c>
      <c r="E91" s="8">
        <v>30.0</v>
      </c>
      <c r="G91" s="8">
        <v>1.05</v>
      </c>
      <c r="K91" s="8">
        <v>30.0</v>
      </c>
      <c r="N91" s="7">
        <v>42248.0</v>
      </c>
      <c r="O91" s="8" t="s">
        <v>26</v>
      </c>
      <c r="P91" s="8" t="s">
        <v>28</v>
      </c>
      <c r="S91" s="8" t="s">
        <v>32</v>
      </c>
    </row>
    <row r="92">
      <c r="A92" s="8">
        <v>91.0</v>
      </c>
      <c r="B92" s="8" t="s">
        <v>569</v>
      </c>
      <c r="C92" s="8" t="s">
        <v>21</v>
      </c>
      <c r="D92" s="8">
        <v>64.0</v>
      </c>
      <c r="E92" s="8">
        <v>30.0</v>
      </c>
      <c r="H92" s="8" t="s">
        <v>570</v>
      </c>
      <c r="I92" s="9">
        <v>46144.7100462963</v>
      </c>
      <c r="J92" s="8" t="s">
        <v>90</v>
      </c>
      <c r="K92" s="8">
        <v>4300.0</v>
      </c>
      <c r="L92" s="8">
        <v>20.0</v>
      </c>
      <c r="M92" s="8">
        <v>12000.0</v>
      </c>
      <c r="N92" s="7">
        <v>43878.0</v>
      </c>
      <c r="O92" s="8" t="s">
        <v>107</v>
      </c>
      <c r="P92" s="8" t="s">
        <v>28</v>
      </c>
      <c r="S92" s="8" t="s">
        <v>32</v>
      </c>
    </row>
    <row r="93">
      <c r="A93" s="8">
        <v>92.0</v>
      </c>
      <c r="B93" s="8" t="s">
        <v>574</v>
      </c>
      <c r="C93" s="8" t="s">
        <v>21</v>
      </c>
      <c r="D93" s="8">
        <v>77.0</v>
      </c>
      <c r="E93" s="8">
        <v>30.0</v>
      </c>
      <c r="F93" s="8">
        <v>0.6</v>
      </c>
      <c r="H93" s="8" t="s">
        <v>19</v>
      </c>
      <c r="I93" s="9">
        <v>46155.123125</v>
      </c>
      <c r="K93" s="8">
        <v>80.0</v>
      </c>
      <c r="L93" s="8">
        <v>26000.0</v>
      </c>
      <c r="M93" s="8">
        <v>27000.0</v>
      </c>
      <c r="N93" s="7">
        <v>44012.0</v>
      </c>
      <c r="O93" s="8" t="s">
        <v>31</v>
      </c>
      <c r="P93" s="8" t="s">
        <v>28</v>
      </c>
      <c r="S93" s="8" t="s">
        <v>32</v>
      </c>
    </row>
    <row r="94">
      <c r="A94" s="8">
        <v>93.0</v>
      </c>
      <c r="B94" s="8" t="s">
        <v>579</v>
      </c>
      <c r="C94" s="8" t="s">
        <v>21</v>
      </c>
      <c r="E94" s="8">
        <v>30.0</v>
      </c>
      <c r="K94" s="8">
        <v>40.0</v>
      </c>
      <c r="N94" s="7">
        <v>45260.0</v>
      </c>
    </row>
    <row r="95">
      <c r="A95" s="8">
        <v>94.0</v>
      </c>
      <c r="B95" s="8" t="s">
        <v>583</v>
      </c>
      <c r="C95" s="8" t="s">
        <v>21</v>
      </c>
      <c r="E95" s="8">
        <v>30.0</v>
      </c>
      <c r="K95" s="8">
        <v>100.0</v>
      </c>
      <c r="N95" s="7">
        <v>45139.0</v>
      </c>
    </row>
    <row r="96">
      <c r="A96" s="8">
        <v>95.0</v>
      </c>
      <c r="B96" s="8" t="s">
        <v>586</v>
      </c>
      <c r="C96" s="8" t="s">
        <v>21</v>
      </c>
      <c r="E96" s="8">
        <v>30.0</v>
      </c>
      <c r="K96" s="8">
        <v>12000.0</v>
      </c>
      <c r="N96" s="7">
        <v>44015.0</v>
      </c>
      <c r="O96" s="8" t="s">
        <v>147</v>
      </c>
      <c r="P96" s="8" t="s">
        <v>28</v>
      </c>
      <c r="S96" s="8" t="s">
        <v>32</v>
      </c>
    </row>
    <row r="97">
      <c r="A97" s="8">
        <v>96.0</v>
      </c>
      <c r="B97" s="8" t="s">
        <v>590</v>
      </c>
      <c r="C97" s="8" t="s">
        <v>21</v>
      </c>
      <c r="E97" s="8">
        <v>30.0</v>
      </c>
      <c r="K97" s="8">
        <v>50.0</v>
      </c>
      <c r="N97" s="7">
        <v>44184.0</v>
      </c>
    </row>
    <row r="98">
      <c r="A98" s="8">
        <v>97.0</v>
      </c>
      <c r="B98" s="8" t="s">
        <v>593</v>
      </c>
      <c r="C98" s="8" t="s">
        <v>21</v>
      </c>
      <c r="E98" s="8">
        <v>30.0</v>
      </c>
      <c r="K98" s="8">
        <v>100.0</v>
      </c>
      <c r="N98" s="7">
        <v>45866.0</v>
      </c>
    </row>
    <row r="99">
      <c r="A99" s="8">
        <v>98.0</v>
      </c>
      <c r="B99" s="8" t="s">
        <v>595</v>
      </c>
      <c r="C99" s="8" t="s">
        <v>21</v>
      </c>
      <c r="D99" s="8">
        <v>81.0</v>
      </c>
      <c r="E99" s="8">
        <v>30.0</v>
      </c>
      <c r="H99" s="8" t="s">
        <v>20</v>
      </c>
      <c r="I99" s="9">
        <v>46156.72243055556</v>
      </c>
      <c r="J99" s="8" t="s">
        <v>90</v>
      </c>
      <c r="K99" s="8">
        <v>1500.0</v>
      </c>
      <c r="L99" s="8">
        <v>1300.0</v>
      </c>
      <c r="M99" s="8">
        <v>502000.0</v>
      </c>
      <c r="N99" s="7">
        <v>42445.0</v>
      </c>
      <c r="O99" s="8" t="s">
        <v>127</v>
      </c>
      <c r="P99" s="8" t="s">
        <v>28</v>
      </c>
      <c r="S99" s="8" t="s">
        <v>32</v>
      </c>
    </row>
    <row r="100">
      <c r="A100" s="8">
        <v>99.0</v>
      </c>
      <c r="B100" s="8" t="s">
        <v>600</v>
      </c>
      <c r="C100" s="8" t="s">
        <v>21</v>
      </c>
      <c r="E100" s="8">
        <v>30.0</v>
      </c>
      <c r="K100" s="8">
        <v>16000.0</v>
      </c>
      <c r="N100" s="7">
        <v>44071.0</v>
      </c>
    </row>
    <row r="101">
      <c r="A101" s="8">
        <v>100.0</v>
      </c>
      <c r="B101" s="8" t="s">
        <v>603</v>
      </c>
      <c r="C101" s="8" t="s">
        <v>21</v>
      </c>
      <c r="E101" s="8">
        <v>30.0</v>
      </c>
      <c r="K101" s="8">
        <v>5000.0</v>
      </c>
      <c r="N101" s="7">
        <v>42510.0</v>
      </c>
    </row>
    <row r="102">
      <c r="A102" s="8">
        <v>101.0</v>
      </c>
      <c r="B102" s="8" t="s">
        <v>606</v>
      </c>
      <c r="C102" s="8" t="s">
        <v>21</v>
      </c>
      <c r="D102" s="8">
        <v>74.0</v>
      </c>
      <c r="E102" s="8">
        <v>30.0</v>
      </c>
      <c r="H102" s="8" t="s">
        <v>60</v>
      </c>
      <c r="I102" s="9">
        <v>46147.80061342593</v>
      </c>
      <c r="K102" s="8">
        <v>30.0</v>
      </c>
      <c r="L102" s="8">
        <v>150.0</v>
      </c>
      <c r="M102" s="8">
        <v>500.0</v>
      </c>
      <c r="N102" s="7">
        <v>42412.0</v>
      </c>
      <c r="O102" s="8" t="s">
        <v>26</v>
      </c>
      <c r="P102" s="8" t="s">
        <v>28</v>
      </c>
      <c r="S102" s="8" t="s">
        <v>32</v>
      </c>
    </row>
    <row r="103">
      <c r="A103" s="8">
        <v>102.0</v>
      </c>
      <c r="B103" s="8" t="s">
        <v>610</v>
      </c>
      <c r="C103" s="8" t="s">
        <v>21</v>
      </c>
      <c r="D103" s="8">
        <v>75.0</v>
      </c>
      <c r="E103" s="8">
        <v>30.0</v>
      </c>
      <c r="F103" s="8">
        <v>0.3</v>
      </c>
      <c r="H103" s="8" t="s">
        <v>19</v>
      </c>
      <c r="I103" s="9">
        <v>46143.560902777775</v>
      </c>
      <c r="J103" s="8" t="s">
        <v>96</v>
      </c>
      <c r="K103" s="8">
        <v>40.0</v>
      </c>
      <c r="L103" s="8">
        <v>26000.0</v>
      </c>
      <c r="M103" s="8">
        <v>27000.0</v>
      </c>
      <c r="N103" s="7">
        <v>44000.0</v>
      </c>
      <c r="O103" s="8" t="s">
        <v>31</v>
      </c>
      <c r="P103" s="8" t="s">
        <v>28</v>
      </c>
      <c r="S103" s="8" t="s">
        <v>32</v>
      </c>
    </row>
    <row r="104">
      <c r="A104" s="8">
        <v>103.0</v>
      </c>
      <c r="B104" s="8" t="s">
        <v>615</v>
      </c>
      <c r="C104" s="8" t="s">
        <v>21</v>
      </c>
      <c r="E104" s="8">
        <v>30.0</v>
      </c>
      <c r="K104" s="8">
        <v>400.0</v>
      </c>
      <c r="N104" s="7">
        <v>44413.0</v>
      </c>
    </row>
    <row r="105">
      <c r="A105" s="8">
        <v>104.0</v>
      </c>
      <c r="B105" s="8" t="s">
        <v>618</v>
      </c>
      <c r="C105" s="8" t="s">
        <v>21</v>
      </c>
      <c r="D105" s="8">
        <v>82.0</v>
      </c>
      <c r="E105" s="8">
        <v>30.0</v>
      </c>
      <c r="H105" s="8" t="s">
        <v>123</v>
      </c>
      <c r="I105" s="9">
        <v>46082.69509259259</v>
      </c>
      <c r="K105" s="8">
        <v>34000.0</v>
      </c>
      <c r="L105" s="8">
        <v>5100.0</v>
      </c>
      <c r="M105" s="8">
        <v>596000.0</v>
      </c>
      <c r="N105" s="7">
        <v>42373.0</v>
      </c>
      <c r="O105" s="8" t="s">
        <v>31</v>
      </c>
      <c r="P105" s="8" t="s">
        <v>28</v>
      </c>
      <c r="S105" s="8" t="s">
        <v>32</v>
      </c>
    </row>
    <row r="106">
      <c r="A106" s="8">
        <v>105.0</v>
      </c>
      <c r="B106" s="8" t="s">
        <v>622</v>
      </c>
      <c r="C106" s="8" t="s">
        <v>21</v>
      </c>
      <c r="D106" s="8">
        <v>75.0</v>
      </c>
      <c r="E106" s="8">
        <v>30.0</v>
      </c>
      <c r="H106" s="8" t="s">
        <v>398</v>
      </c>
      <c r="I106" s="9">
        <v>46149.81978009259</v>
      </c>
      <c r="K106" s="8">
        <v>15000.0</v>
      </c>
      <c r="L106" s="8">
        <v>700.0</v>
      </c>
      <c r="M106" s="8">
        <v>338000.0</v>
      </c>
      <c r="N106" s="7">
        <v>43871.0</v>
      </c>
      <c r="O106" s="8" t="s">
        <v>147</v>
      </c>
      <c r="P106" s="8" t="s">
        <v>28</v>
      </c>
      <c r="S106" s="8" t="s">
        <v>32</v>
      </c>
    </row>
    <row r="107">
      <c r="A107" s="8">
        <v>106.0</v>
      </c>
      <c r="B107" s="8" t="s">
        <v>625</v>
      </c>
      <c r="C107" s="8" t="s">
        <v>21</v>
      </c>
      <c r="D107" s="8">
        <v>58.0</v>
      </c>
      <c r="E107" s="8">
        <v>30.0</v>
      </c>
      <c r="H107" s="8" t="s">
        <v>60</v>
      </c>
      <c r="I107" s="9">
        <v>46144.80913194444</v>
      </c>
      <c r="J107" s="8" t="s">
        <v>96</v>
      </c>
      <c r="K107" s="8">
        <v>30.0</v>
      </c>
      <c r="L107" s="8">
        <v>80.0</v>
      </c>
      <c r="M107" s="8">
        <v>100.0</v>
      </c>
      <c r="N107" s="7">
        <v>43028.0</v>
      </c>
      <c r="O107" s="8" t="s">
        <v>26</v>
      </c>
      <c r="P107" s="8" t="s">
        <v>28</v>
      </c>
      <c r="S107" s="8" t="s">
        <v>32</v>
      </c>
    </row>
    <row r="108">
      <c r="A108" s="8">
        <v>107.0</v>
      </c>
      <c r="B108" s="8" t="s">
        <v>631</v>
      </c>
      <c r="C108" s="8" t="s">
        <v>21</v>
      </c>
      <c r="E108" s="8">
        <v>30.0</v>
      </c>
      <c r="K108" s="8">
        <v>33000.0</v>
      </c>
      <c r="N108" s="7">
        <v>44188.0</v>
      </c>
    </row>
    <row r="109">
      <c r="A109" s="8">
        <v>108.0</v>
      </c>
      <c r="B109" s="8" t="s">
        <v>634</v>
      </c>
      <c r="C109" s="8" t="s">
        <v>21</v>
      </c>
      <c r="D109" s="8">
        <v>2.0</v>
      </c>
      <c r="E109" s="8">
        <v>30.0</v>
      </c>
      <c r="H109" s="8" t="s">
        <v>60</v>
      </c>
      <c r="I109" s="9">
        <v>46123.03989583333</v>
      </c>
      <c r="J109" s="8" t="s">
        <v>90</v>
      </c>
      <c r="K109" s="8">
        <v>30.0</v>
      </c>
      <c r="L109" s="8">
        <v>150.0</v>
      </c>
      <c r="M109" s="8">
        <v>500.0</v>
      </c>
      <c r="N109" s="7">
        <v>42386.0</v>
      </c>
      <c r="O109" s="8" t="s">
        <v>26</v>
      </c>
      <c r="P109" s="8" t="s">
        <v>28</v>
      </c>
      <c r="S109" s="8" t="s">
        <v>32</v>
      </c>
    </row>
    <row r="110">
      <c r="A110" s="8">
        <v>109.0</v>
      </c>
      <c r="B110" s="8" t="s">
        <v>639</v>
      </c>
      <c r="C110" s="8" t="s">
        <v>21</v>
      </c>
      <c r="D110" s="8">
        <v>79.0</v>
      </c>
      <c r="E110" s="8">
        <v>30.0</v>
      </c>
      <c r="H110" s="8" t="s">
        <v>20</v>
      </c>
      <c r="I110" s="9">
        <v>46162.082337962966</v>
      </c>
      <c r="J110" s="8" t="s">
        <v>62</v>
      </c>
      <c r="K110" s="8">
        <v>31000.0</v>
      </c>
      <c r="L110" s="8">
        <v>1400.0</v>
      </c>
      <c r="M110" s="8">
        <v>470000.0</v>
      </c>
      <c r="N110" s="7">
        <v>44113.0</v>
      </c>
      <c r="O110" s="8" t="s">
        <v>147</v>
      </c>
      <c r="P110" s="8" t="s">
        <v>28</v>
      </c>
      <c r="S110" s="8" t="s">
        <v>32</v>
      </c>
    </row>
    <row r="111">
      <c r="A111" s="8">
        <v>110.0</v>
      </c>
      <c r="B111" s="8" t="s">
        <v>645</v>
      </c>
      <c r="C111" s="8" t="s">
        <v>21</v>
      </c>
      <c r="E111" s="8">
        <v>30.0</v>
      </c>
      <c r="K111" s="8">
        <v>600.0</v>
      </c>
      <c r="N111" s="7">
        <v>44151.0</v>
      </c>
    </row>
    <row r="112">
      <c r="A112" s="8">
        <v>111.0</v>
      </c>
      <c r="B112" s="8" t="s">
        <v>649</v>
      </c>
      <c r="C112" s="8" t="s">
        <v>21</v>
      </c>
      <c r="E112" s="8">
        <v>20.0</v>
      </c>
      <c r="K112" s="8">
        <v>20.0</v>
      </c>
      <c r="N112" s="7">
        <v>44597.0</v>
      </c>
      <c r="O112" s="8" t="s">
        <v>26</v>
      </c>
      <c r="P112" s="8" t="s">
        <v>28</v>
      </c>
      <c r="S112" s="8" t="s">
        <v>32</v>
      </c>
    </row>
    <row r="113">
      <c r="A113" s="8">
        <v>112.0</v>
      </c>
      <c r="B113" s="8" t="s">
        <v>653</v>
      </c>
      <c r="C113" s="8" t="s">
        <v>21</v>
      </c>
      <c r="E113" s="8">
        <v>20.0</v>
      </c>
      <c r="K113" s="8">
        <v>70.0</v>
      </c>
      <c r="N113" s="7">
        <v>44352.0</v>
      </c>
      <c r="O113" s="8" t="s">
        <v>26</v>
      </c>
      <c r="P113" s="8" t="s">
        <v>28</v>
      </c>
      <c r="S113" s="8" t="s">
        <v>32</v>
      </c>
    </row>
    <row r="114">
      <c r="A114" s="8">
        <v>113.0</v>
      </c>
      <c r="B114" s="8" t="s">
        <v>658</v>
      </c>
      <c r="C114" s="8" t="s">
        <v>21</v>
      </c>
      <c r="E114" s="8">
        <v>20.0</v>
      </c>
      <c r="K114" s="8">
        <v>100.0</v>
      </c>
      <c r="N114" s="7">
        <v>43868.0</v>
      </c>
      <c r="O114" s="8" t="s">
        <v>107</v>
      </c>
      <c r="P114" s="8" t="s">
        <v>28</v>
      </c>
      <c r="S114" s="8" t="s">
        <v>32</v>
      </c>
    </row>
    <row r="115">
      <c r="A115" s="8">
        <v>114.0</v>
      </c>
      <c r="B115" s="8" t="s">
        <v>662</v>
      </c>
      <c r="C115" s="8" t="s">
        <v>21</v>
      </c>
      <c r="E115" s="8">
        <v>20.0</v>
      </c>
      <c r="K115" s="8">
        <v>2800.0</v>
      </c>
      <c r="N115" s="7">
        <v>44033.0</v>
      </c>
    </row>
    <row r="116">
      <c r="A116" s="8">
        <v>115.0</v>
      </c>
      <c r="B116" s="8" t="s">
        <v>665</v>
      </c>
      <c r="C116" s="8" t="s">
        <v>21</v>
      </c>
      <c r="E116" s="8">
        <v>20.0</v>
      </c>
      <c r="K116" s="8">
        <v>20.0</v>
      </c>
      <c r="N116" s="7">
        <v>44980.0</v>
      </c>
    </row>
    <row r="117">
      <c r="A117" s="8">
        <v>116.0</v>
      </c>
      <c r="B117" s="8" t="s">
        <v>668</v>
      </c>
      <c r="C117" s="8" t="s">
        <v>21</v>
      </c>
      <c r="E117" s="8">
        <v>20.0</v>
      </c>
      <c r="K117" s="8">
        <v>31000.0</v>
      </c>
      <c r="N117" s="7">
        <v>43906.0</v>
      </c>
    </row>
    <row r="118">
      <c r="A118" s="8">
        <v>117.0</v>
      </c>
      <c r="B118" s="8" t="s">
        <v>670</v>
      </c>
      <c r="C118" s="8" t="s">
        <v>21</v>
      </c>
      <c r="E118" s="8">
        <v>20.0</v>
      </c>
      <c r="K118" s="8">
        <v>20.0</v>
      </c>
      <c r="N118" s="7">
        <v>44304.0</v>
      </c>
    </row>
    <row r="119">
      <c r="A119" s="8">
        <v>118.0</v>
      </c>
      <c r="B119" s="8" t="s">
        <v>673</v>
      </c>
      <c r="C119" s="8" t="s">
        <v>21</v>
      </c>
      <c r="D119" s="8">
        <v>69.0</v>
      </c>
      <c r="E119" s="8">
        <v>20.0</v>
      </c>
      <c r="H119" s="8" t="s">
        <v>675</v>
      </c>
      <c r="I119" s="9">
        <v>46082.54201388889</v>
      </c>
      <c r="J119" s="8" t="s">
        <v>90</v>
      </c>
      <c r="K119" s="8">
        <v>83000.0</v>
      </c>
      <c r="L119" s="8">
        <v>10.0</v>
      </c>
      <c r="M119" s="8">
        <v>67000.0</v>
      </c>
      <c r="N119" s="7">
        <v>42558.0</v>
      </c>
      <c r="O119" s="8" t="s">
        <v>107</v>
      </c>
      <c r="P119" s="8" t="s">
        <v>28</v>
      </c>
      <c r="S119" s="8" t="s">
        <v>32</v>
      </c>
    </row>
    <row r="120">
      <c r="A120" s="8">
        <v>119.0</v>
      </c>
      <c r="B120" s="8" t="s">
        <v>680</v>
      </c>
      <c r="C120" s="8" t="s">
        <v>21</v>
      </c>
      <c r="E120" s="8">
        <v>20.0</v>
      </c>
      <c r="K120" s="8">
        <v>1600.0</v>
      </c>
      <c r="N120" s="7">
        <v>43898.0</v>
      </c>
    </row>
    <row r="121">
      <c r="A121" s="8">
        <v>120.0</v>
      </c>
      <c r="B121" s="8" t="s">
        <v>683</v>
      </c>
      <c r="C121" s="8" t="s">
        <v>21</v>
      </c>
      <c r="D121" s="8">
        <v>73.0</v>
      </c>
      <c r="E121" s="8">
        <v>20.0</v>
      </c>
      <c r="H121" s="8" t="s">
        <v>35</v>
      </c>
      <c r="I121" s="9">
        <v>46085.18225694444</v>
      </c>
      <c r="J121" s="8" t="s">
        <v>96</v>
      </c>
      <c r="K121" s="8">
        <v>40.0</v>
      </c>
      <c r="L121" s="8">
        <v>11000.0</v>
      </c>
      <c r="M121" s="8">
        <v>11000.0</v>
      </c>
      <c r="N121" s="7">
        <v>42570.0</v>
      </c>
      <c r="O121" s="8" t="s">
        <v>31</v>
      </c>
      <c r="P121" s="8" t="s">
        <v>28</v>
      </c>
      <c r="S121" s="8" t="s">
        <v>32</v>
      </c>
    </row>
    <row r="122">
      <c r="A122" s="8">
        <v>121.0</v>
      </c>
      <c r="B122" s="8" t="s">
        <v>687</v>
      </c>
      <c r="C122" s="8" t="s">
        <v>21</v>
      </c>
      <c r="E122" s="8">
        <v>20.0</v>
      </c>
      <c r="K122" s="8">
        <v>350.0</v>
      </c>
      <c r="N122" s="7">
        <v>42364.0</v>
      </c>
      <c r="O122" s="8" t="s">
        <v>26</v>
      </c>
      <c r="P122" s="8" t="s">
        <v>28</v>
      </c>
      <c r="S122" s="8" t="s">
        <v>32</v>
      </c>
    </row>
    <row r="123">
      <c r="A123" s="8">
        <v>122.0</v>
      </c>
      <c r="B123" s="8" t="s">
        <v>688</v>
      </c>
      <c r="C123" s="8" t="s">
        <v>21</v>
      </c>
      <c r="E123" s="8">
        <v>20.0</v>
      </c>
      <c r="K123" s="8">
        <v>50.0</v>
      </c>
      <c r="N123" s="7">
        <v>45756.0</v>
      </c>
    </row>
    <row r="124">
      <c r="A124" s="8">
        <v>123.0</v>
      </c>
      <c r="B124" s="8" t="s">
        <v>689</v>
      </c>
      <c r="C124" s="8" t="s">
        <v>21</v>
      </c>
      <c r="E124" s="8">
        <v>20.0</v>
      </c>
      <c r="K124" s="8">
        <v>14000.0</v>
      </c>
      <c r="N124" s="7">
        <v>43869.0</v>
      </c>
    </row>
    <row r="125">
      <c r="A125" s="8">
        <v>124.0</v>
      </c>
      <c r="B125" s="8" t="s">
        <v>690</v>
      </c>
      <c r="C125" s="8" t="s">
        <v>21</v>
      </c>
      <c r="E125" s="8">
        <v>20.0</v>
      </c>
      <c r="K125" s="8">
        <v>20.0</v>
      </c>
      <c r="N125" s="7">
        <v>44280.0</v>
      </c>
      <c r="O125" s="8" t="s">
        <v>26</v>
      </c>
      <c r="P125" s="8" t="s">
        <v>28</v>
      </c>
      <c r="S125" s="8" t="s">
        <v>32</v>
      </c>
    </row>
    <row r="126">
      <c r="A126" s="8">
        <v>125.0</v>
      </c>
      <c r="B126" s="8" t="s">
        <v>691</v>
      </c>
      <c r="C126" s="8" t="s">
        <v>21</v>
      </c>
      <c r="E126" s="8">
        <v>20.0</v>
      </c>
      <c r="K126" s="8">
        <v>90.0</v>
      </c>
      <c r="N126" s="7">
        <v>44797.0</v>
      </c>
    </row>
    <row r="127">
      <c r="A127" s="8">
        <v>126.0</v>
      </c>
      <c r="B127" s="8" t="s">
        <v>692</v>
      </c>
      <c r="C127" s="8" t="s">
        <v>21</v>
      </c>
      <c r="D127" s="8">
        <v>83.0</v>
      </c>
      <c r="E127" s="8">
        <v>20.0</v>
      </c>
      <c r="H127" s="8" t="s">
        <v>55</v>
      </c>
      <c r="I127" s="9">
        <v>46131.96947916667</v>
      </c>
      <c r="K127" s="8">
        <v>7900.0</v>
      </c>
      <c r="L127" s="8">
        <v>15000.0</v>
      </c>
      <c r="M127" s="8">
        <v>69000.0</v>
      </c>
      <c r="N127" s="7">
        <v>42612.0</v>
      </c>
      <c r="O127" s="8" t="s">
        <v>31</v>
      </c>
      <c r="P127" s="8" t="s">
        <v>28</v>
      </c>
      <c r="S127" s="8" t="s">
        <v>32</v>
      </c>
    </row>
    <row r="128">
      <c r="A128" s="8">
        <v>127.0</v>
      </c>
      <c r="B128" s="8" t="s">
        <v>693</v>
      </c>
      <c r="C128" s="8" t="s">
        <v>21</v>
      </c>
      <c r="D128" s="8">
        <v>76.0</v>
      </c>
      <c r="E128" s="8">
        <v>20.0</v>
      </c>
      <c r="H128" s="8" t="s">
        <v>398</v>
      </c>
      <c r="I128" s="9">
        <v>46089.228796296295</v>
      </c>
      <c r="K128" s="8">
        <v>11000.0</v>
      </c>
      <c r="L128" s="8">
        <v>600.0</v>
      </c>
      <c r="M128" s="8">
        <v>305000.0</v>
      </c>
      <c r="N128" s="7">
        <v>43477.0</v>
      </c>
      <c r="O128" s="8" t="s">
        <v>147</v>
      </c>
      <c r="P128" s="8" t="s">
        <v>28</v>
      </c>
      <c r="S128" s="8" t="s">
        <v>32</v>
      </c>
    </row>
    <row r="129">
      <c r="A129" s="8">
        <v>128.0</v>
      </c>
      <c r="B129" s="8" t="s">
        <v>694</v>
      </c>
      <c r="C129" s="8" t="s">
        <v>21</v>
      </c>
      <c r="E129" s="8">
        <v>20.0</v>
      </c>
      <c r="K129" s="8">
        <v>3700.0</v>
      </c>
      <c r="N129" s="7">
        <v>44092.0</v>
      </c>
    </row>
    <row r="130">
      <c r="A130" s="8">
        <v>129.0</v>
      </c>
      <c r="B130" s="8" t="s">
        <v>695</v>
      </c>
      <c r="C130" s="8" t="s">
        <v>21</v>
      </c>
      <c r="E130" s="8">
        <v>20.0</v>
      </c>
      <c r="K130" s="8">
        <v>200.0</v>
      </c>
      <c r="N130" s="7">
        <v>44077.0</v>
      </c>
    </row>
    <row r="131">
      <c r="A131" s="8">
        <v>130.0</v>
      </c>
      <c r="B131" s="8" t="s">
        <v>696</v>
      </c>
      <c r="C131" s="8" t="s">
        <v>21</v>
      </c>
      <c r="D131" s="8">
        <v>73.0</v>
      </c>
      <c r="E131" s="8">
        <v>20.0</v>
      </c>
      <c r="H131" s="8" t="s">
        <v>697</v>
      </c>
      <c r="I131" s="9">
        <v>46148.49435185185</v>
      </c>
      <c r="J131" s="8" t="s">
        <v>96</v>
      </c>
      <c r="K131" s="8">
        <v>2200.0</v>
      </c>
      <c r="L131" s="8">
        <v>250.0</v>
      </c>
      <c r="M131" s="8">
        <v>212000.0</v>
      </c>
      <c r="N131" s="7">
        <v>43195.0</v>
      </c>
      <c r="O131" s="8" t="s">
        <v>147</v>
      </c>
      <c r="P131" s="8" t="s">
        <v>28</v>
      </c>
      <c r="S131" s="8" t="s">
        <v>32</v>
      </c>
    </row>
    <row r="132">
      <c r="A132" s="8">
        <v>131.0</v>
      </c>
      <c r="B132" s="8" t="s">
        <v>698</v>
      </c>
      <c r="C132" s="8" t="s">
        <v>21</v>
      </c>
      <c r="E132" s="8">
        <v>20.0</v>
      </c>
      <c r="K132" s="8">
        <v>100.0</v>
      </c>
      <c r="N132" s="7">
        <v>43879.0</v>
      </c>
    </row>
    <row r="133">
      <c r="A133" s="8">
        <v>132.0</v>
      </c>
      <c r="B133" s="8" t="s">
        <v>699</v>
      </c>
      <c r="C133" s="8" t="s">
        <v>21</v>
      </c>
      <c r="D133" s="8">
        <v>57.0</v>
      </c>
      <c r="E133" s="8">
        <v>20.0</v>
      </c>
      <c r="H133" s="8" t="s">
        <v>55</v>
      </c>
      <c r="I133" s="9">
        <v>46131.94018518519</v>
      </c>
      <c r="J133" s="8" t="s">
        <v>90</v>
      </c>
      <c r="K133" s="8">
        <v>3700.0</v>
      </c>
      <c r="L133" s="8">
        <v>15000.0</v>
      </c>
      <c r="M133" s="8">
        <v>69000.0</v>
      </c>
      <c r="N133" s="7">
        <v>42404.0</v>
      </c>
      <c r="O133" s="8" t="s">
        <v>31</v>
      </c>
      <c r="P133" s="8" t="s">
        <v>28</v>
      </c>
      <c r="S133" s="8" t="s">
        <v>32</v>
      </c>
    </row>
    <row r="134">
      <c r="A134" s="8">
        <v>133.0</v>
      </c>
      <c r="B134" s="8" t="s">
        <v>700</v>
      </c>
      <c r="C134" s="8" t="s">
        <v>21</v>
      </c>
      <c r="D134" s="8">
        <v>76.0</v>
      </c>
      <c r="E134" s="8">
        <v>20.0</v>
      </c>
      <c r="H134" s="8" t="s">
        <v>701</v>
      </c>
      <c r="I134" s="9">
        <v>46123.208715277775</v>
      </c>
      <c r="K134" s="8">
        <v>4400.0</v>
      </c>
      <c r="L134" s="8">
        <v>70.0</v>
      </c>
      <c r="M134" s="8">
        <v>405000.0</v>
      </c>
      <c r="N134" s="7">
        <v>42848.0</v>
      </c>
      <c r="O134" s="8" t="s">
        <v>107</v>
      </c>
      <c r="P134" s="8" t="s">
        <v>28</v>
      </c>
      <c r="S134" s="8" t="s">
        <v>32</v>
      </c>
    </row>
    <row r="135">
      <c r="A135" s="8">
        <v>134.0</v>
      </c>
      <c r="B135" s="8" t="s">
        <v>702</v>
      </c>
      <c r="C135" s="8" t="s">
        <v>21</v>
      </c>
      <c r="D135" s="8">
        <v>36.0</v>
      </c>
      <c r="E135" s="8">
        <v>20.0</v>
      </c>
      <c r="H135" s="8" t="s">
        <v>19</v>
      </c>
      <c r="I135" s="9">
        <v>46123.770625</v>
      </c>
      <c r="J135" s="8" t="s">
        <v>25</v>
      </c>
      <c r="K135" s="8">
        <v>20.0</v>
      </c>
      <c r="L135" s="8">
        <v>26000.0</v>
      </c>
      <c r="M135" s="8">
        <v>27000.0</v>
      </c>
      <c r="N135" s="7">
        <v>43855.0</v>
      </c>
      <c r="O135" s="8" t="s">
        <v>26</v>
      </c>
      <c r="P135" s="8" t="s">
        <v>28</v>
      </c>
      <c r="S135" s="8" t="s">
        <v>32</v>
      </c>
    </row>
    <row r="136">
      <c r="A136" s="8">
        <v>135.0</v>
      </c>
      <c r="B136" s="8" t="s">
        <v>703</v>
      </c>
      <c r="C136" s="8" t="s">
        <v>21</v>
      </c>
      <c r="E136" s="8">
        <v>20.0</v>
      </c>
      <c r="K136" s="8">
        <v>1300.0</v>
      </c>
      <c r="N136" s="7">
        <v>44774.0</v>
      </c>
    </row>
    <row r="137">
      <c r="A137" s="8">
        <v>136.0</v>
      </c>
      <c r="B137" s="8" t="s">
        <v>704</v>
      </c>
      <c r="C137" s="8" t="s">
        <v>21</v>
      </c>
      <c r="E137" s="8">
        <v>20.0</v>
      </c>
      <c r="K137" s="8">
        <v>20.0</v>
      </c>
      <c r="N137" s="7">
        <v>45120.0</v>
      </c>
    </row>
    <row r="138">
      <c r="A138" s="8">
        <v>137.0</v>
      </c>
      <c r="B138" s="8" t="s">
        <v>705</v>
      </c>
      <c r="C138" s="8" t="s">
        <v>21</v>
      </c>
      <c r="E138" s="8">
        <v>20.0</v>
      </c>
      <c r="K138" s="8">
        <v>30.0</v>
      </c>
      <c r="N138" s="7">
        <v>45034.0</v>
      </c>
    </row>
    <row r="139">
      <c r="A139" s="8">
        <v>138.0</v>
      </c>
      <c r="B139" s="8" t="s">
        <v>706</v>
      </c>
      <c r="C139" s="8" t="s">
        <v>21</v>
      </c>
      <c r="D139" s="8">
        <v>49.0</v>
      </c>
      <c r="E139" s="8">
        <v>20.0</v>
      </c>
      <c r="G139" s="8">
        <v>1.16</v>
      </c>
      <c r="H139" s="8" t="s">
        <v>35</v>
      </c>
      <c r="I139" s="9">
        <v>46106.59496527778</v>
      </c>
      <c r="J139" s="8" t="s">
        <v>82</v>
      </c>
      <c r="K139" s="8">
        <v>50.0</v>
      </c>
      <c r="L139" s="8">
        <v>11000.0</v>
      </c>
      <c r="M139" s="8">
        <v>11000.0</v>
      </c>
      <c r="N139" s="7">
        <v>42276.0</v>
      </c>
      <c r="O139" s="8" t="s">
        <v>26</v>
      </c>
      <c r="P139" s="8" t="s">
        <v>28</v>
      </c>
      <c r="S139" s="8" t="s">
        <v>32</v>
      </c>
    </row>
    <row r="140">
      <c r="A140" s="8">
        <v>139.0</v>
      </c>
      <c r="B140" s="8" t="s">
        <v>707</v>
      </c>
      <c r="C140" s="8" t="s">
        <v>21</v>
      </c>
      <c r="E140" s="8">
        <v>20.0</v>
      </c>
      <c r="K140" s="8">
        <v>21000.0</v>
      </c>
      <c r="N140" s="7">
        <v>43929.0</v>
      </c>
    </row>
    <row r="141">
      <c r="A141" s="8">
        <v>140.0</v>
      </c>
      <c r="B141" s="8" t="s">
        <v>708</v>
      </c>
      <c r="C141" s="8" t="s">
        <v>21</v>
      </c>
      <c r="E141" s="8">
        <v>20.0</v>
      </c>
      <c r="K141" s="8">
        <v>600.0</v>
      </c>
      <c r="N141" s="7">
        <v>44389.0</v>
      </c>
    </row>
    <row r="142">
      <c r="A142" s="8">
        <v>141.0</v>
      </c>
      <c r="B142" s="8" t="s">
        <v>709</v>
      </c>
      <c r="C142" s="8" t="s">
        <v>21</v>
      </c>
      <c r="E142" s="8">
        <v>20.0</v>
      </c>
      <c r="K142" s="8">
        <v>142000.0</v>
      </c>
      <c r="N142" s="7">
        <v>42686.0</v>
      </c>
    </row>
    <row r="143">
      <c r="A143" s="8">
        <v>142.0</v>
      </c>
      <c r="B143" s="8" t="s">
        <v>710</v>
      </c>
      <c r="C143" s="8" t="s">
        <v>21</v>
      </c>
      <c r="E143" s="8">
        <v>20.0</v>
      </c>
      <c r="K143" s="8">
        <v>1800.0</v>
      </c>
      <c r="N143" s="7">
        <v>44355.0</v>
      </c>
    </row>
    <row r="144">
      <c r="A144" s="8">
        <v>143.0</v>
      </c>
      <c r="B144" s="8" t="s">
        <v>711</v>
      </c>
      <c r="C144" s="8" t="s">
        <v>21</v>
      </c>
      <c r="D144" s="8">
        <v>66.0</v>
      </c>
      <c r="E144" s="8">
        <v>20.0</v>
      </c>
      <c r="H144" s="8" t="s">
        <v>60</v>
      </c>
      <c r="I144" s="9">
        <v>46147.56422453704</v>
      </c>
      <c r="K144" s="8">
        <v>20.0</v>
      </c>
      <c r="L144" s="8">
        <v>150.0</v>
      </c>
      <c r="M144" s="8">
        <v>500.0</v>
      </c>
      <c r="N144" s="7">
        <v>42576.0</v>
      </c>
      <c r="O144" s="8" t="s">
        <v>26</v>
      </c>
      <c r="P144" s="8" t="s">
        <v>28</v>
      </c>
      <c r="S144" s="8" t="s">
        <v>32</v>
      </c>
    </row>
    <row r="145">
      <c r="A145" s="8">
        <v>144.0</v>
      </c>
      <c r="B145" s="8" t="s">
        <v>712</v>
      </c>
      <c r="C145" s="8" t="s">
        <v>21</v>
      </c>
      <c r="E145" s="8">
        <v>20.0</v>
      </c>
      <c r="K145" s="8">
        <v>30.0</v>
      </c>
      <c r="N145" s="7">
        <v>43960.0</v>
      </c>
    </row>
    <row r="146">
      <c r="A146" s="8">
        <v>145.0</v>
      </c>
      <c r="B146" s="8" t="s">
        <v>713</v>
      </c>
      <c r="C146" s="8" t="s">
        <v>21</v>
      </c>
      <c r="D146" s="8">
        <v>16.0</v>
      </c>
      <c r="E146" s="8">
        <v>20.0</v>
      </c>
      <c r="H146" s="8" t="s">
        <v>60</v>
      </c>
      <c r="I146" s="9">
        <v>46147.2680787037</v>
      </c>
      <c r="J146" s="8" t="s">
        <v>96</v>
      </c>
      <c r="K146" s="8">
        <v>200.0</v>
      </c>
      <c r="L146" s="8">
        <v>1000.0</v>
      </c>
      <c r="M146" s="8">
        <v>1200.0</v>
      </c>
      <c r="N146" s="7">
        <v>44638.0</v>
      </c>
      <c r="O146" s="8" t="s">
        <v>26</v>
      </c>
      <c r="P146" s="8" t="s">
        <v>28</v>
      </c>
      <c r="S146" s="8" t="s">
        <v>32</v>
      </c>
    </row>
    <row r="147">
      <c r="A147" s="8">
        <v>146.0</v>
      </c>
      <c r="B147" s="8" t="s">
        <v>714</v>
      </c>
      <c r="C147" s="8" t="s">
        <v>21</v>
      </c>
      <c r="E147" s="8">
        <v>20.0</v>
      </c>
      <c r="K147" s="8">
        <v>30.0</v>
      </c>
      <c r="N147" s="7">
        <v>45488.0</v>
      </c>
    </row>
    <row r="148">
      <c r="A148" s="8">
        <v>147.0</v>
      </c>
      <c r="B148" s="8" t="s">
        <v>715</v>
      </c>
      <c r="C148" s="8" t="s">
        <v>21</v>
      </c>
      <c r="E148" s="8">
        <v>20.0</v>
      </c>
      <c r="K148" s="8">
        <v>20.0</v>
      </c>
      <c r="N148" s="7">
        <v>42304.0</v>
      </c>
      <c r="O148" s="8" t="s">
        <v>26</v>
      </c>
      <c r="P148" s="8" t="s">
        <v>28</v>
      </c>
      <c r="S148" s="8" t="s">
        <v>32</v>
      </c>
    </row>
    <row r="149">
      <c r="A149" s="8">
        <v>148.0</v>
      </c>
      <c r="B149" s="8" t="s">
        <v>716</v>
      </c>
      <c r="C149" s="8" t="s">
        <v>21</v>
      </c>
      <c r="D149" s="8">
        <v>66.0</v>
      </c>
      <c r="E149" s="8">
        <v>20.0</v>
      </c>
      <c r="H149" s="8" t="s">
        <v>717</v>
      </c>
      <c r="I149" s="9">
        <v>46070.99333333333</v>
      </c>
      <c r="J149" s="8" t="s">
        <v>90</v>
      </c>
      <c r="K149" s="8">
        <v>37000.0</v>
      </c>
      <c r="L149" s="8">
        <v>10.0</v>
      </c>
      <c r="M149" s="8">
        <v>43000.0</v>
      </c>
      <c r="N149" s="7">
        <v>42530.0</v>
      </c>
      <c r="O149" s="8" t="s">
        <v>107</v>
      </c>
      <c r="P149" s="8" t="s">
        <v>28</v>
      </c>
      <c r="S149" s="8" t="s">
        <v>32</v>
      </c>
    </row>
    <row r="150">
      <c r="A150" s="8">
        <v>149.0</v>
      </c>
      <c r="B150" s="8" t="s">
        <v>718</v>
      </c>
      <c r="C150" s="8" t="s">
        <v>21</v>
      </c>
      <c r="E150" s="8">
        <v>20.0</v>
      </c>
      <c r="K150" s="8">
        <v>5500.0</v>
      </c>
      <c r="N150" s="7">
        <v>44257.0</v>
      </c>
    </row>
    <row r="151">
      <c r="A151" s="8">
        <v>150.0</v>
      </c>
      <c r="B151" s="8" t="s">
        <v>719</v>
      </c>
      <c r="C151" s="8" t="s">
        <v>21</v>
      </c>
      <c r="D151" s="8">
        <v>68.0</v>
      </c>
      <c r="E151" s="8">
        <v>20.0</v>
      </c>
      <c r="H151" s="8" t="s">
        <v>720</v>
      </c>
      <c r="I151" s="9">
        <v>46125.768113425926</v>
      </c>
      <c r="J151" s="8" t="s">
        <v>58</v>
      </c>
      <c r="K151" s="8">
        <v>13000.0</v>
      </c>
      <c r="L151" s="8">
        <v>80.0</v>
      </c>
      <c r="M151" s="8">
        <v>76000.0</v>
      </c>
      <c r="N151" s="7">
        <v>44268.0</v>
      </c>
      <c r="O151" s="8" t="s">
        <v>26</v>
      </c>
      <c r="P151" s="8" t="s">
        <v>28</v>
      </c>
      <c r="S151" s="8" t="s">
        <v>32</v>
      </c>
    </row>
    <row r="152">
      <c r="A152" s="8">
        <v>151.0</v>
      </c>
      <c r="B152" s="8" t="s">
        <v>721</v>
      </c>
      <c r="C152" s="8" t="s">
        <v>21</v>
      </c>
      <c r="E152" s="8">
        <v>20.0</v>
      </c>
      <c r="K152" s="8">
        <v>20.0</v>
      </c>
      <c r="N152" s="7">
        <v>42248.0</v>
      </c>
      <c r="O152" s="8" t="s">
        <v>31</v>
      </c>
      <c r="P152" s="8" t="s">
        <v>28</v>
      </c>
      <c r="S152" s="8" t="s">
        <v>32</v>
      </c>
    </row>
    <row r="153">
      <c r="A153" s="8">
        <v>152.0</v>
      </c>
      <c r="B153" s="8" t="s">
        <v>722</v>
      </c>
      <c r="C153" s="8" t="s">
        <v>21</v>
      </c>
      <c r="D153" s="8">
        <v>76.0</v>
      </c>
      <c r="E153" s="8">
        <v>20.0</v>
      </c>
      <c r="H153" s="8" t="s">
        <v>123</v>
      </c>
      <c r="I153" s="9">
        <v>46099.89270833333</v>
      </c>
      <c r="J153" s="8" t="s">
        <v>148</v>
      </c>
      <c r="K153" s="8">
        <v>37000.0</v>
      </c>
      <c r="L153" s="8">
        <v>5100.0</v>
      </c>
      <c r="M153" s="8">
        <v>587000.0</v>
      </c>
      <c r="N153" s="7">
        <v>42404.0</v>
      </c>
      <c r="O153" s="8" t="s">
        <v>31</v>
      </c>
      <c r="P153" s="8" t="s">
        <v>28</v>
      </c>
      <c r="S153" s="8" t="s">
        <v>32</v>
      </c>
    </row>
    <row r="154">
      <c r="A154" s="8">
        <v>153.0</v>
      </c>
      <c r="B154" s="8" t="s">
        <v>723</v>
      </c>
      <c r="C154" s="8" t="s">
        <v>21</v>
      </c>
      <c r="D154" s="8">
        <v>65.0</v>
      </c>
      <c r="E154" s="8">
        <v>20.0</v>
      </c>
      <c r="H154" s="8" t="s">
        <v>724</v>
      </c>
      <c r="I154" s="9">
        <v>46123.02260416667</v>
      </c>
      <c r="J154" s="8" t="s">
        <v>90</v>
      </c>
      <c r="K154" s="8">
        <v>49000.0</v>
      </c>
      <c r="L154" s="8">
        <v>30.0</v>
      </c>
      <c r="M154" s="8">
        <v>126000.0</v>
      </c>
      <c r="N154" s="7">
        <v>43967.0</v>
      </c>
      <c r="O154" s="8" t="s">
        <v>107</v>
      </c>
      <c r="P154" s="8" t="s">
        <v>28</v>
      </c>
      <c r="S154" s="8" t="s">
        <v>32</v>
      </c>
    </row>
    <row r="155">
      <c r="A155" s="8">
        <v>154.0</v>
      </c>
      <c r="B155" s="8" t="s">
        <v>725</v>
      </c>
      <c r="C155" s="8" t="s">
        <v>21</v>
      </c>
      <c r="D155" s="8">
        <v>76.0</v>
      </c>
      <c r="E155" s="8">
        <v>20.0</v>
      </c>
      <c r="H155" s="8" t="s">
        <v>370</v>
      </c>
      <c r="I155" s="9">
        <v>46161.7908912037</v>
      </c>
      <c r="K155" s="8">
        <v>1100.0</v>
      </c>
      <c r="L155" s="8">
        <v>100.0</v>
      </c>
      <c r="M155" s="8">
        <v>3100.0</v>
      </c>
      <c r="N155" s="7">
        <v>43868.0</v>
      </c>
      <c r="O155" s="8" t="s">
        <v>107</v>
      </c>
      <c r="P155" s="8" t="s">
        <v>28</v>
      </c>
      <c r="S155" s="8" t="s">
        <v>32</v>
      </c>
    </row>
    <row r="156">
      <c r="A156" s="8">
        <v>155.0</v>
      </c>
      <c r="B156" s="8" t="s">
        <v>726</v>
      </c>
      <c r="C156" s="8" t="s">
        <v>21</v>
      </c>
      <c r="D156" s="8">
        <v>69.0</v>
      </c>
      <c r="E156" s="8">
        <v>20.0</v>
      </c>
      <c r="H156" s="8" t="s">
        <v>35</v>
      </c>
      <c r="I156" s="9">
        <v>46071.851064814815</v>
      </c>
      <c r="J156" s="8" t="s">
        <v>727</v>
      </c>
      <c r="K156" s="8">
        <v>20.0</v>
      </c>
      <c r="L156" s="8">
        <v>11000.0</v>
      </c>
      <c r="M156" s="8">
        <v>11000.0</v>
      </c>
      <c r="N156" s="7">
        <v>44323.0</v>
      </c>
      <c r="O156" s="8" t="s">
        <v>31</v>
      </c>
      <c r="P156" s="8" t="s">
        <v>28</v>
      </c>
      <c r="S156" s="8" t="s">
        <v>32</v>
      </c>
    </row>
    <row r="157">
      <c r="A157" s="8">
        <v>156.0</v>
      </c>
      <c r="B157" s="8" t="s">
        <v>728</v>
      </c>
      <c r="C157" s="8" t="s">
        <v>21</v>
      </c>
      <c r="D157" s="8">
        <v>75.0</v>
      </c>
      <c r="E157" s="8">
        <v>20.0</v>
      </c>
      <c r="H157" s="8" t="s">
        <v>398</v>
      </c>
      <c r="I157" s="9">
        <v>46155.31927083333</v>
      </c>
      <c r="K157" s="8">
        <v>11000.0</v>
      </c>
      <c r="L157" s="8">
        <v>700.0</v>
      </c>
      <c r="M157" s="8">
        <v>348000.0</v>
      </c>
      <c r="N157" s="7">
        <v>42379.0</v>
      </c>
      <c r="O157" s="8" t="s">
        <v>147</v>
      </c>
      <c r="P157" s="8" t="s">
        <v>28</v>
      </c>
      <c r="S157" s="8" t="s">
        <v>32</v>
      </c>
    </row>
    <row r="158">
      <c r="A158" s="8">
        <v>157.0</v>
      </c>
      <c r="B158" s="8" t="s">
        <v>729</v>
      </c>
      <c r="C158" s="8" t="s">
        <v>21</v>
      </c>
      <c r="D158" s="8">
        <v>64.0</v>
      </c>
      <c r="E158" s="8">
        <v>20.0</v>
      </c>
      <c r="H158" s="8" t="s">
        <v>307</v>
      </c>
      <c r="I158" s="9">
        <v>46147.41365740741</v>
      </c>
      <c r="K158" s="8">
        <v>40.0</v>
      </c>
      <c r="L158" s="8">
        <v>70.0</v>
      </c>
      <c r="M158" s="8">
        <v>2800.0</v>
      </c>
      <c r="N158" s="7">
        <v>42479.0</v>
      </c>
      <c r="O158" s="8" t="s">
        <v>147</v>
      </c>
      <c r="P158" s="8" t="s">
        <v>28</v>
      </c>
      <c r="S158" s="8" t="s">
        <v>32</v>
      </c>
    </row>
    <row r="159">
      <c r="A159" s="8">
        <v>158.0</v>
      </c>
      <c r="B159" s="8" t="s">
        <v>730</v>
      </c>
      <c r="C159" s="8" t="s">
        <v>21</v>
      </c>
      <c r="D159" s="8">
        <v>75.0</v>
      </c>
      <c r="E159" s="8">
        <v>20.0</v>
      </c>
      <c r="H159" s="8" t="s">
        <v>398</v>
      </c>
      <c r="I159" s="9">
        <v>46125.768217592595</v>
      </c>
      <c r="J159" s="8" t="s">
        <v>90</v>
      </c>
      <c r="K159" s="8">
        <v>150.0</v>
      </c>
      <c r="L159" s="8">
        <v>600.0</v>
      </c>
      <c r="M159" s="8">
        <v>356000.0</v>
      </c>
      <c r="N159" s="7">
        <v>44037.0</v>
      </c>
      <c r="O159" s="8" t="s">
        <v>107</v>
      </c>
      <c r="P159" s="8" t="s">
        <v>28</v>
      </c>
      <c r="S159" s="8" t="s">
        <v>32</v>
      </c>
    </row>
    <row r="160">
      <c r="A160" s="8">
        <v>159.0</v>
      </c>
      <c r="B160" s="8" t="s">
        <v>731</v>
      </c>
      <c r="C160" s="8" t="s">
        <v>21</v>
      </c>
      <c r="D160" s="8">
        <v>39.0</v>
      </c>
      <c r="E160" s="8">
        <v>20.0</v>
      </c>
      <c r="H160" s="8" t="s">
        <v>732</v>
      </c>
      <c r="I160" s="9">
        <v>46122.06354166667</v>
      </c>
      <c r="J160" s="8" t="s">
        <v>476</v>
      </c>
      <c r="K160" s="8">
        <v>70.0</v>
      </c>
      <c r="L160" s="8">
        <v>0.0</v>
      </c>
      <c r="M160" s="8">
        <v>10.0</v>
      </c>
      <c r="N160" s="7">
        <v>42531.0</v>
      </c>
      <c r="O160" s="8" t="s">
        <v>26</v>
      </c>
      <c r="P160" s="8" t="s">
        <v>28</v>
      </c>
      <c r="S160" s="8" t="s">
        <v>32</v>
      </c>
    </row>
    <row r="161">
      <c r="A161" s="8">
        <v>160.0</v>
      </c>
      <c r="B161" s="8" t="s">
        <v>733</v>
      </c>
      <c r="C161" s="8" t="s">
        <v>21</v>
      </c>
      <c r="E161" s="8">
        <v>10.0</v>
      </c>
      <c r="K161" s="8">
        <v>10.0</v>
      </c>
      <c r="N161" s="7">
        <v>44137.0</v>
      </c>
      <c r="O161" s="8" t="s">
        <v>26</v>
      </c>
      <c r="P161" s="8" t="s">
        <v>28</v>
      </c>
      <c r="S161" s="8" t="s">
        <v>32</v>
      </c>
    </row>
    <row r="162">
      <c r="A162" s="8">
        <v>161.0</v>
      </c>
      <c r="B162" s="8" t="s">
        <v>734</v>
      </c>
      <c r="C162" s="8" t="s">
        <v>21</v>
      </c>
      <c r="E162" s="8">
        <v>10.0</v>
      </c>
      <c r="K162" s="8">
        <v>1700.0</v>
      </c>
      <c r="N162" s="7">
        <v>44022.0</v>
      </c>
    </row>
    <row r="163">
      <c r="A163" s="8">
        <v>162.0</v>
      </c>
      <c r="B163" s="8" t="s">
        <v>735</v>
      </c>
      <c r="C163" s="8" t="s">
        <v>21</v>
      </c>
      <c r="E163" s="8">
        <v>10.0</v>
      </c>
      <c r="K163" s="8">
        <v>350.0</v>
      </c>
      <c r="N163" s="7">
        <v>44290.0</v>
      </c>
    </row>
    <row r="164">
      <c r="A164" s="8">
        <v>163.0</v>
      </c>
      <c r="B164" s="8" t="s">
        <v>736</v>
      </c>
      <c r="C164" s="8" t="s">
        <v>21</v>
      </c>
      <c r="E164" s="8">
        <v>10.0</v>
      </c>
      <c r="K164" s="8">
        <v>200.0</v>
      </c>
      <c r="N164" s="7">
        <v>45365.0</v>
      </c>
    </row>
    <row r="165">
      <c r="A165" s="8">
        <v>164.0</v>
      </c>
      <c r="B165" s="8" t="s">
        <v>132</v>
      </c>
      <c r="C165" s="8" t="s">
        <v>21</v>
      </c>
      <c r="E165" s="8">
        <v>10.0</v>
      </c>
      <c r="K165" s="8">
        <v>83000.0</v>
      </c>
      <c r="N165" s="7">
        <v>44120.0</v>
      </c>
    </row>
    <row r="166">
      <c r="A166" s="8">
        <v>165.0</v>
      </c>
      <c r="B166" s="8" t="s">
        <v>737</v>
      </c>
      <c r="C166" s="8" t="s">
        <v>21</v>
      </c>
      <c r="E166" s="8">
        <v>10.0</v>
      </c>
      <c r="K166" s="8">
        <v>100.0</v>
      </c>
      <c r="N166" s="7">
        <v>43878.0</v>
      </c>
    </row>
    <row r="167">
      <c r="A167" s="8">
        <v>166.0</v>
      </c>
      <c r="B167" s="8" t="s">
        <v>738</v>
      </c>
      <c r="C167" s="8" t="s">
        <v>21</v>
      </c>
      <c r="E167" s="8">
        <v>10.0</v>
      </c>
      <c r="K167" s="8">
        <v>1300.0</v>
      </c>
      <c r="N167" s="7">
        <v>44142.0</v>
      </c>
    </row>
    <row r="168">
      <c r="A168" s="8">
        <v>167.0</v>
      </c>
      <c r="B168" s="8" t="s">
        <v>739</v>
      </c>
      <c r="C168" s="8" t="s">
        <v>21</v>
      </c>
      <c r="E168" s="8">
        <v>10.0</v>
      </c>
      <c r="K168" s="8">
        <v>10.0</v>
      </c>
      <c r="N168" s="7">
        <v>45647.0</v>
      </c>
    </row>
    <row r="169">
      <c r="A169" s="8">
        <v>168.0</v>
      </c>
      <c r="B169" s="8" t="s">
        <v>740</v>
      </c>
      <c r="C169" s="8" t="s">
        <v>21</v>
      </c>
      <c r="D169" s="8">
        <v>75.0</v>
      </c>
      <c r="E169" s="8">
        <v>10.0</v>
      </c>
      <c r="H169" s="8" t="s">
        <v>123</v>
      </c>
      <c r="I169" s="9">
        <v>46125.04585648148</v>
      </c>
      <c r="J169" s="8" t="s">
        <v>96</v>
      </c>
      <c r="K169" s="8">
        <v>60.0</v>
      </c>
      <c r="L169" s="8">
        <v>5100.0</v>
      </c>
      <c r="M169" s="8">
        <v>574000.0</v>
      </c>
      <c r="N169" s="7">
        <v>43870.0</v>
      </c>
      <c r="O169" s="8" t="s">
        <v>107</v>
      </c>
      <c r="P169" s="8" t="s">
        <v>28</v>
      </c>
      <c r="S169" s="8" t="s">
        <v>32</v>
      </c>
    </row>
    <row r="170">
      <c r="A170" s="8">
        <v>169.0</v>
      </c>
      <c r="B170" s="8" t="s">
        <v>741</v>
      </c>
      <c r="C170" s="8" t="s">
        <v>21</v>
      </c>
      <c r="E170" s="8">
        <v>10.0</v>
      </c>
      <c r="K170" s="8">
        <v>3300.0</v>
      </c>
      <c r="N170" s="7">
        <v>44013.0</v>
      </c>
    </row>
    <row r="171">
      <c r="A171" s="8">
        <v>170.0</v>
      </c>
      <c r="B171" s="8" t="s">
        <v>742</v>
      </c>
      <c r="C171" s="8" t="s">
        <v>21</v>
      </c>
      <c r="E171" s="8">
        <v>10.0</v>
      </c>
      <c r="K171" s="8">
        <v>10.0</v>
      </c>
      <c r="N171" s="7">
        <v>42312.0</v>
      </c>
      <c r="O171" s="8" t="s">
        <v>26</v>
      </c>
      <c r="P171" s="8" t="s">
        <v>28</v>
      </c>
      <c r="S171" s="8" t="s">
        <v>32</v>
      </c>
    </row>
    <row r="172">
      <c r="A172" s="8">
        <v>171.0</v>
      </c>
      <c r="B172" s="8" t="s">
        <v>743</v>
      </c>
      <c r="C172" s="8" t="s">
        <v>21</v>
      </c>
      <c r="E172" s="8">
        <v>10.0</v>
      </c>
      <c r="K172" s="8">
        <v>2200.0</v>
      </c>
      <c r="N172" s="7">
        <v>43882.0</v>
      </c>
    </row>
    <row r="173">
      <c r="A173" s="8">
        <v>172.0</v>
      </c>
      <c r="B173" s="8" t="s">
        <v>745</v>
      </c>
      <c r="C173" s="8" t="s">
        <v>21</v>
      </c>
      <c r="D173" s="8">
        <v>27.0</v>
      </c>
      <c r="E173" s="8">
        <v>10.0</v>
      </c>
      <c r="H173" s="8" t="s">
        <v>19</v>
      </c>
      <c r="I173" s="9">
        <v>46089.66003472222</v>
      </c>
      <c r="J173" s="8" t="s">
        <v>450</v>
      </c>
      <c r="K173" s="8">
        <v>10.0</v>
      </c>
      <c r="L173" s="8">
        <v>33000.0</v>
      </c>
      <c r="M173" s="8">
        <v>34000.0</v>
      </c>
      <c r="N173" s="7">
        <v>45066.0</v>
      </c>
      <c r="O173" s="8" t="s">
        <v>26</v>
      </c>
      <c r="P173" s="8" t="s">
        <v>28</v>
      </c>
      <c r="S173" s="8" t="s">
        <v>32</v>
      </c>
    </row>
    <row r="174">
      <c r="A174" s="8">
        <v>173.0</v>
      </c>
      <c r="B174" s="8" t="s">
        <v>749</v>
      </c>
      <c r="C174" s="8" t="s">
        <v>21</v>
      </c>
      <c r="E174" s="8">
        <v>10.0</v>
      </c>
      <c r="K174" s="8">
        <v>6600.0</v>
      </c>
      <c r="N174" s="7">
        <v>44087.0</v>
      </c>
    </row>
    <row r="175">
      <c r="A175" s="8">
        <v>174.0</v>
      </c>
      <c r="B175" s="8" t="s">
        <v>750</v>
      </c>
      <c r="C175" s="8" t="s">
        <v>21</v>
      </c>
      <c r="E175" s="8">
        <v>10.0</v>
      </c>
      <c r="K175" s="8">
        <v>10.0</v>
      </c>
      <c r="N175" s="7">
        <v>45801.0</v>
      </c>
    </row>
    <row r="176">
      <c r="A176" s="8">
        <v>175.0</v>
      </c>
      <c r="B176" s="8" t="s">
        <v>751</v>
      </c>
      <c r="C176" s="8" t="s">
        <v>21</v>
      </c>
      <c r="D176" s="8">
        <v>55.0</v>
      </c>
      <c r="E176" s="8">
        <v>10.0</v>
      </c>
      <c r="H176" s="8" t="s">
        <v>35</v>
      </c>
      <c r="I176" s="9">
        <v>46104.145370370374</v>
      </c>
      <c r="J176" s="8" t="s">
        <v>82</v>
      </c>
      <c r="K176" s="8">
        <v>30.0</v>
      </c>
      <c r="L176" s="8">
        <v>11000.0</v>
      </c>
      <c r="M176" s="8">
        <v>11000.0</v>
      </c>
      <c r="N176" s="7">
        <v>42696.0</v>
      </c>
      <c r="O176" s="8" t="s">
        <v>31</v>
      </c>
      <c r="P176" s="8" t="s">
        <v>28</v>
      </c>
      <c r="S176" s="8" t="s">
        <v>32</v>
      </c>
    </row>
    <row r="177">
      <c r="A177" s="8">
        <v>176.0</v>
      </c>
      <c r="B177" s="8" t="s">
        <v>752</v>
      </c>
      <c r="C177" s="8" t="s">
        <v>21</v>
      </c>
      <c r="E177" s="8">
        <v>10.0</v>
      </c>
      <c r="K177" s="8">
        <v>90.0</v>
      </c>
      <c r="N177" s="7">
        <v>44697.0</v>
      </c>
    </row>
    <row r="178">
      <c r="A178" s="8">
        <v>177.0</v>
      </c>
      <c r="B178" s="8" t="s">
        <v>756</v>
      </c>
      <c r="C178" s="8" t="s">
        <v>21</v>
      </c>
      <c r="E178" s="8">
        <v>10.0</v>
      </c>
      <c r="K178" s="8">
        <v>10.0</v>
      </c>
      <c r="N178" s="7">
        <v>43201.0</v>
      </c>
      <c r="O178" s="8" t="s">
        <v>26</v>
      </c>
      <c r="P178" s="8" t="s">
        <v>28</v>
      </c>
      <c r="S178" s="8" t="s">
        <v>32</v>
      </c>
    </row>
    <row r="179">
      <c r="A179" s="8">
        <v>178.0</v>
      </c>
      <c r="B179" s="8" t="s">
        <v>757</v>
      </c>
      <c r="C179" s="8" t="s">
        <v>21</v>
      </c>
      <c r="E179" s="8">
        <v>10.0</v>
      </c>
      <c r="K179" s="8">
        <v>10.0</v>
      </c>
      <c r="N179" s="7">
        <v>45004.0</v>
      </c>
    </row>
    <row r="180">
      <c r="A180" s="8">
        <v>179.0</v>
      </c>
      <c r="B180" s="8" t="s">
        <v>760</v>
      </c>
      <c r="C180" s="8" t="s">
        <v>21</v>
      </c>
      <c r="E180" s="8">
        <v>10.0</v>
      </c>
      <c r="K180" s="8">
        <v>1600.0</v>
      </c>
      <c r="N180" s="7">
        <v>44965.0</v>
      </c>
    </row>
    <row r="181">
      <c r="A181" s="8">
        <v>180.0</v>
      </c>
      <c r="B181" s="8" t="s">
        <v>134</v>
      </c>
      <c r="C181" s="8" t="s">
        <v>21</v>
      </c>
      <c r="E181" s="8">
        <v>10.0</v>
      </c>
      <c r="K181" s="8">
        <v>11000.0</v>
      </c>
      <c r="N181" s="7">
        <v>42266.0</v>
      </c>
      <c r="O181" s="8" t="s">
        <v>31</v>
      </c>
      <c r="P181" s="8" t="s">
        <v>28</v>
      </c>
      <c r="S181" s="8" t="s">
        <v>32</v>
      </c>
    </row>
    <row r="182">
      <c r="A182" s="8">
        <v>181.0</v>
      </c>
      <c r="B182" s="8" t="s">
        <v>763</v>
      </c>
      <c r="C182" s="8" t="s">
        <v>21</v>
      </c>
      <c r="D182" s="8">
        <v>79.0</v>
      </c>
      <c r="E182" s="8">
        <v>10.0</v>
      </c>
      <c r="H182" s="8" t="s">
        <v>123</v>
      </c>
      <c r="I182" s="9">
        <v>46085.46601851852</v>
      </c>
      <c r="J182" s="8" t="s">
        <v>90</v>
      </c>
      <c r="K182" s="8">
        <v>3200.0</v>
      </c>
      <c r="L182" s="8">
        <v>5100.0</v>
      </c>
      <c r="M182" s="8">
        <v>596000.0</v>
      </c>
      <c r="N182" s="7">
        <v>43871.0</v>
      </c>
      <c r="O182" s="8" t="s">
        <v>147</v>
      </c>
      <c r="P182" s="8" t="s">
        <v>28</v>
      </c>
      <c r="S182" s="8" t="s">
        <v>32</v>
      </c>
    </row>
    <row r="183">
      <c r="A183" s="8">
        <v>182.0</v>
      </c>
      <c r="B183" s="8" t="s">
        <v>768</v>
      </c>
      <c r="C183" s="8" t="s">
        <v>21</v>
      </c>
      <c r="E183" s="8">
        <v>10.0</v>
      </c>
      <c r="K183" s="8">
        <v>308000.0</v>
      </c>
      <c r="N183" s="7">
        <v>43886.0</v>
      </c>
    </row>
    <row r="184">
      <c r="A184" s="8">
        <v>183.0</v>
      </c>
      <c r="B184" s="8" t="s">
        <v>770</v>
      </c>
      <c r="C184" s="8" t="s">
        <v>21</v>
      </c>
      <c r="E184" s="8">
        <v>10.0</v>
      </c>
      <c r="K184" s="8">
        <v>3400.0</v>
      </c>
      <c r="N184" s="7">
        <v>44695.0</v>
      </c>
    </row>
    <row r="185">
      <c r="A185" s="8">
        <v>184.0</v>
      </c>
      <c r="B185" s="8" t="s">
        <v>772</v>
      </c>
      <c r="C185" s="8" t="s">
        <v>21</v>
      </c>
      <c r="E185" s="8">
        <v>10.0</v>
      </c>
      <c r="K185" s="8">
        <v>1700.0</v>
      </c>
      <c r="N185" s="7">
        <v>43908.0</v>
      </c>
    </row>
    <row r="186">
      <c r="A186" s="8">
        <v>185.0</v>
      </c>
      <c r="B186" s="8" t="s">
        <v>775</v>
      </c>
      <c r="C186" s="8" t="s">
        <v>21</v>
      </c>
      <c r="D186" s="8">
        <v>74.0</v>
      </c>
      <c r="E186" s="8">
        <v>10.0</v>
      </c>
      <c r="H186" s="8" t="s">
        <v>406</v>
      </c>
      <c r="I186" s="9">
        <v>46155.81128472222</v>
      </c>
      <c r="K186" s="8">
        <v>700.0</v>
      </c>
      <c r="L186" s="8">
        <v>80.0</v>
      </c>
      <c r="M186" s="8">
        <v>74000.0</v>
      </c>
      <c r="N186" s="7">
        <v>42723.0</v>
      </c>
      <c r="O186" s="8" t="s">
        <v>147</v>
      </c>
      <c r="P186" s="8" t="s">
        <v>28</v>
      </c>
      <c r="S186" s="8" t="s">
        <v>32</v>
      </c>
    </row>
    <row r="187">
      <c r="A187" s="8">
        <v>186.0</v>
      </c>
      <c r="B187" s="8" t="s">
        <v>776</v>
      </c>
      <c r="C187" s="8" t="s">
        <v>21</v>
      </c>
      <c r="E187" s="8">
        <v>10.0</v>
      </c>
      <c r="K187" s="8">
        <v>4700.0</v>
      </c>
      <c r="N187" s="7">
        <v>43005.0</v>
      </c>
    </row>
    <row r="188">
      <c r="A188" s="8">
        <v>187.0</v>
      </c>
      <c r="B188" s="8" t="s">
        <v>778</v>
      </c>
      <c r="C188" s="8" t="s">
        <v>21</v>
      </c>
      <c r="E188" s="8">
        <v>10.0</v>
      </c>
      <c r="K188" s="8">
        <v>40.0</v>
      </c>
      <c r="N188" s="7">
        <v>45447.0</v>
      </c>
    </row>
    <row r="189">
      <c r="A189" s="8">
        <v>188.0</v>
      </c>
      <c r="B189" s="8" t="s">
        <v>779</v>
      </c>
      <c r="C189" s="8" t="s">
        <v>21</v>
      </c>
      <c r="E189" s="8">
        <v>10.0</v>
      </c>
      <c r="K189" s="8">
        <v>10.0</v>
      </c>
      <c r="N189" s="7">
        <v>44168.0</v>
      </c>
      <c r="O189" s="8" t="s">
        <v>26</v>
      </c>
      <c r="P189" s="8" t="s">
        <v>28</v>
      </c>
      <c r="S189" s="8" t="s">
        <v>32</v>
      </c>
    </row>
    <row r="190">
      <c r="A190" s="8">
        <v>189.0</v>
      </c>
      <c r="B190" s="8" t="s">
        <v>784</v>
      </c>
      <c r="C190" s="8" t="s">
        <v>21</v>
      </c>
      <c r="D190" s="8">
        <v>49.0</v>
      </c>
      <c r="E190" s="8">
        <v>10.0</v>
      </c>
      <c r="H190" s="8" t="s">
        <v>755</v>
      </c>
      <c r="I190" s="9">
        <v>46107.386828703704</v>
      </c>
      <c r="J190" s="8" t="s">
        <v>450</v>
      </c>
      <c r="K190" s="8">
        <v>20.0</v>
      </c>
      <c r="L190" s="8">
        <v>17000.0</v>
      </c>
      <c r="M190" s="8">
        <v>18000.0</v>
      </c>
      <c r="N190" s="7">
        <v>43873.0</v>
      </c>
      <c r="O190" s="8" t="s">
        <v>127</v>
      </c>
      <c r="P190" s="8" t="s">
        <v>28</v>
      </c>
      <c r="S190" s="8" t="s">
        <v>32</v>
      </c>
    </row>
    <row r="191">
      <c r="A191" s="8">
        <v>190.0</v>
      </c>
      <c r="B191" s="8" t="s">
        <v>787</v>
      </c>
      <c r="C191" s="8" t="s">
        <v>21</v>
      </c>
      <c r="E191" s="8">
        <v>10.0</v>
      </c>
      <c r="K191" s="8">
        <v>10.0</v>
      </c>
      <c r="N191" s="7">
        <v>42481.0</v>
      </c>
    </row>
    <row r="192">
      <c r="A192" s="8">
        <v>191.0</v>
      </c>
      <c r="B192" s="8" t="s">
        <v>788</v>
      </c>
      <c r="C192" s="8" t="s">
        <v>21</v>
      </c>
      <c r="E192" s="8">
        <v>10.0</v>
      </c>
      <c r="K192" s="8">
        <v>200.0</v>
      </c>
      <c r="N192" s="7">
        <v>43868.0</v>
      </c>
    </row>
    <row r="193">
      <c r="A193" s="8">
        <v>192.0</v>
      </c>
      <c r="B193" s="8" t="s">
        <v>790</v>
      </c>
      <c r="C193" s="8" t="s">
        <v>21</v>
      </c>
      <c r="D193" s="8">
        <v>62.0</v>
      </c>
      <c r="E193" s="8">
        <v>10.0</v>
      </c>
      <c r="H193" s="8" t="s">
        <v>19</v>
      </c>
      <c r="I193" s="9">
        <v>46161.25476851852</v>
      </c>
      <c r="J193" s="8" t="s">
        <v>25</v>
      </c>
      <c r="K193" s="8">
        <v>10.0</v>
      </c>
      <c r="L193" s="8">
        <v>26000.0</v>
      </c>
      <c r="M193" s="8">
        <v>27000.0</v>
      </c>
      <c r="N193" s="7">
        <v>44629.0</v>
      </c>
      <c r="O193" s="8" t="s">
        <v>31</v>
      </c>
      <c r="P193" s="8" t="s">
        <v>28</v>
      </c>
      <c r="S193" s="8" t="s">
        <v>32</v>
      </c>
    </row>
    <row r="194">
      <c r="A194" s="8">
        <v>193.0</v>
      </c>
      <c r="B194" s="8" t="s">
        <v>795</v>
      </c>
      <c r="C194" s="8" t="s">
        <v>21</v>
      </c>
      <c r="E194" s="8">
        <v>10.0</v>
      </c>
      <c r="K194" s="8">
        <v>8000.0</v>
      </c>
      <c r="N194" s="7">
        <v>43876.0</v>
      </c>
    </row>
    <row r="195">
      <c r="A195" s="8">
        <v>194.0</v>
      </c>
      <c r="B195" s="8" t="s">
        <v>798</v>
      </c>
      <c r="C195" s="8" t="s">
        <v>21</v>
      </c>
      <c r="E195" s="8">
        <v>10.0</v>
      </c>
      <c r="K195" s="8">
        <v>10.0</v>
      </c>
      <c r="N195" s="7">
        <v>44631.0</v>
      </c>
      <c r="O195" s="8" t="s">
        <v>26</v>
      </c>
      <c r="P195" s="8" t="s">
        <v>28</v>
      </c>
      <c r="S195" s="8" t="s">
        <v>32</v>
      </c>
    </row>
    <row r="196">
      <c r="A196" s="8">
        <v>195.0</v>
      </c>
      <c r="B196" s="8" t="s">
        <v>802</v>
      </c>
      <c r="C196" s="8" t="s">
        <v>21</v>
      </c>
      <c r="E196" s="8">
        <v>10.0</v>
      </c>
      <c r="K196" s="8">
        <v>2300.0</v>
      </c>
      <c r="N196" s="7">
        <v>44055.0</v>
      </c>
    </row>
    <row r="197">
      <c r="A197" s="8">
        <v>196.0</v>
      </c>
      <c r="B197" s="8" t="s">
        <v>804</v>
      </c>
      <c r="C197" s="8" t="s">
        <v>21</v>
      </c>
      <c r="E197" s="8">
        <v>10.0</v>
      </c>
      <c r="K197" s="8">
        <v>10.0</v>
      </c>
      <c r="N197" s="7">
        <v>45467.0</v>
      </c>
    </row>
    <row r="198">
      <c r="A198" s="8">
        <v>197.0</v>
      </c>
      <c r="B198" s="8" t="s">
        <v>807</v>
      </c>
      <c r="C198" s="8" t="s">
        <v>21</v>
      </c>
      <c r="E198" s="8">
        <v>10.0</v>
      </c>
      <c r="K198" s="8">
        <v>70.0</v>
      </c>
      <c r="N198" s="7">
        <v>44263.0</v>
      </c>
    </row>
    <row r="199">
      <c r="A199" s="8">
        <v>198.0</v>
      </c>
      <c r="B199" s="8" t="s">
        <v>808</v>
      </c>
      <c r="C199" s="8" t="s">
        <v>21</v>
      </c>
      <c r="E199" s="8">
        <v>10.0</v>
      </c>
      <c r="K199" s="8">
        <v>10.0</v>
      </c>
      <c r="N199" s="7">
        <v>42617.0</v>
      </c>
      <c r="O199" s="8" t="s">
        <v>147</v>
      </c>
      <c r="P199" s="8" t="s">
        <v>28</v>
      </c>
      <c r="S199" s="8" t="s">
        <v>32</v>
      </c>
    </row>
    <row r="200">
      <c r="A200" s="8">
        <v>199.0</v>
      </c>
      <c r="B200" s="8" t="s">
        <v>811</v>
      </c>
      <c r="C200" s="8" t="s">
        <v>21</v>
      </c>
      <c r="E200" s="8">
        <v>10.0</v>
      </c>
      <c r="K200" s="8">
        <v>20.0</v>
      </c>
      <c r="N200" s="7">
        <v>44851.0</v>
      </c>
    </row>
    <row r="201">
      <c r="A201" s="8">
        <v>200.0</v>
      </c>
      <c r="B201" s="8" t="s">
        <v>814</v>
      </c>
      <c r="C201" s="8" t="s">
        <v>21</v>
      </c>
      <c r="E201" s="8">
        <v>10.0</v>
      </c>
      <c r="K201" s="8">
        <v>400.0</v>
      </c>
      <c r="N201" s="7">
        <v>43054.0</v>
      </c>
    </row>
    <row r="202">
      <c r="A202" s="8">
        <v>201.0</v>
      </c>
      <c r="B202" s="8" t="s">
        <v>815</v>
      </c>
      <c r="C202" s="8" t="s">
        <v>21</v>
      </c>
      <c r="E202" s="8">
        <v>10.0</v>
      </c>
      <c r="K202" s="8">
        <v>250.0</v>
      </c>
      <c r="N202" s="7">
        <v>44527.0</v>
      </c>
    </row>
    <row r="203">
      <c r="A203" s="8">
        <v>202.0</v>
      </c>
      <c r="B203" s="8" t="s">
        <v>816</v>
      </c>
      <c r="C203" s="8" t="s">
        <v>21</v>
      </c>
      <c r="E203" s="8">
        <v>10.0</v>
      </c>
      <c r="K203" s="8">
        <v>26000.0</v>
      </c>
      <c r="N203" s="7">
        <v>44216.0</v>
      </c>
    </row>
    <row r="204">
      <c r="A204" s="8">
        <v>203.0</v>
      </c>
      <c r="B204" s="8" t="s">
        <v>819</v>
      </c>
      <c r="C204" s="8" t="s">
        <v>21</v>
      </c>
      <c r="E204" s="8">
        <v>10.0</v>
      </c>
      <c r="K204" s="8">
        <v>10.0</v>
      </c>
      <c r="N204" s="7">
        <v>45713.0</v>
      </c>
    </row>
    <row r="205">
      <c r="A205" s="8">
        <v>204.0</v>
      </c>
      <c r="B205" s="8" t="s">
        <v>820</v>
      </c>
      <c r="C205" s="8" t="s">
        <v>21</v>
      </c>
      <c r="E205" s="8">
        <v>10.0</v>
      </c>
      <c r="K205" s="8">
        <v>8300.0</v>
      </c>
      <c r="N205" s="7">
        <v>42772.0</v>
      </c>
    </row>
    <row r="206">
      <c r="A206" s="8">
        <v>205.0</v>
      </c>
      <c r="B206" s="8" t="s">
        <v>821</v>
      </c>
      <c r="C206" s="8" t="s">
        <v>21</v>
      </c>
      <c r="D206" s="8">
        <v>69.0</v>
      </c>
      <c r="E206" s="8">
        <v>10.0</v>
      </c>
      <c r="H206" s="8" t="s">
        <v>279</v>
      </c>
      <c r="I206" s="9">
        <v>46160.50662037037</v>
      </c>
      <c r="K206" s="8">
        <v>700.0</v>
      </c>
      <c r="L206" s="8">
        <v>3200.0</v>
      </c>
      <c r="M206" s="8">
        <v>61000.0</v>
      </c>
      <c r="N206" s="7">
        <v>43572.0</v>
      </c>
      <c r="O206" s="8" t="s">
        <v>107</v>
      </c>
      <c r="P206" s="8" t="s">
        <v>28</v>
      </c>
      <c r="S206" s="8" t="s">
        <v>32</v>
      </c>
    </row>
    <row r="207">
      <c r="A207" s="8">
        <v>206.0</v>
      </c>
      <c r="B207" s="8" t="s">
        <v>822</v>
      </c>
      <c r="C207" s="8" t="s">
        <v>21</v>
      </c>
      <c r="E207" s="8">
        <v>10.0</v>
      </c>
      <c r="K207" s="8">
        <v>19000.0</v>
      </c>
      <c r="N207" s="7">
        <v>45007.0</v>
      </c>
    </row>
    <row r="208">
      <c r="A208" s="8">
        <v>207.0</v>
      </c>
      <c r="B208" s="8" t="s">
        <v>824</v>
      </c>
      <c r="C208" s="8" t="s">
        <v>21</v>
      </c>
      <c r="E208" s="8">
        <v>10.0</v>
      </c>
      <c r="K208" s="8">
        <v>450.0</v>
      </c>
      <c r="N208" s="7">
        <v>43944.0</v>
      </c>
    </row>
    <row r="209">
      <c r="A209" s="8">
        <v>208.0</v>
      </c>
      <c r="B209" s="8" t="s">
        <v>825</v>
      </c>
      <c r="C209" s="8" t="s">
        <v>21</v>
      </c>
      <c r="E209" s="8">
        <v>10.0</v>
      </c>
      <c r="K209" s="8">
        <v>10.0</v>
      </c>
      <c r="N209" s="7">
        <v>45586.0</v>
      </c>
    </row>
    <row r="210">
      <c r="A210" s="8">
        <v>209.0</v>
      </c>
      <c r="B210" s="8" t="s">
        <v>826</v>
      </c>
      <c r="C210" s="8" t="s">
        <v>21</v>
      </c>
      <c r="E210" s="8">
        <v>10.0</v>
      </c>
      <c r="K210" s="8">
        <v>10.0</v>
      </c>
      <c r="N210" s="7">
        <v>44442.0</v>
      </c>
      <c r="O210" s="8" t="s">
        <v>26</v>
      </c>
      <c r="P210" s="8" t="s">
        <v>28</v>
      </c>
      <c r="S210" s="8" t="s">
        <v>32</v>
      </c>
    </row>
    <row r="211">
      <c r="A211" s="8">
        <v>210.0</v>
      </c>
      <c r="B211" s="8" t="s">
        <v>829</v>
      </c>
      <c r="C211" s="8" t="s">
        <v>21</v>
      </c>
      <c r="E211" s="8">
        <v>10.0</v>
      </c>
      <c r="K211" s="8">
        <v>70.0</v>
      </c>
      <c r="N211" s="7">
        <v>44582.0</v>
      </c>
    </row>
    <row r="212">
      <c r="A212" s="8">
        <v>211.0</v>
      </c>
      <c r="B212" s="8" t="s">
        <v>830</v>
      </c>
      <c r="C212" s="8" t="s">
        <v>21</v>
      </c>
      <c r="E212" s="8">
        <v>10.0</v>
      </c>
      <c r="K212" s="8">
        <v>2900.0</v>
      </c>
      <c r="N212" s="7">
        <v>44332.0</v>
      </c>
    </row>
    <row r="213">
      <c r="A213" s="8">
        <v>212.0</v>
      </c>
      <c r="B213" s="8" t="s">
        <v>831</v>
      </c>
      <c r="C213" s="8" t="s">
        <v>21</v>
      </c>
      <c r="E213" s="8">
        <v>10.0</v>
      </c>
      <c r="K213" s="8">
        <v>3300.0</v>
      </c>
      <c r="N213" s="7">
        <v>42730.0</v>
      </c>
    </row>
    <row r="214">
      <c r="A214" s="8">
        <v>213.0</v>
      </c>
      <c r="B214" s="8" t="s">
        <v>140</v>
      </c>
      <c r="C214" s="8" t="s">
        <v>21</v>
      </c>
      <c r="E214" s="8">
        <v>10.0</v>
      </c>
      <c r="K214" s="8">
        <v>163000.0</v>
      </c>
      <c r="N214" s="7">
        <v>42405.0</v>
      </c>
    </row>
    <row r="215">
      <c r="A215" s="8">
        <v>214.0</v>
      </c>
      <c r="B215" s="8" t="s">
        <v>834</v>
      </c>
      <c r="C215" s="8" t="s">
        <v>21</v>
      </c>
      <c r="D215" s="8">
        <v>77.0</v>
      </c>
      <c r="E215" s="8">
        <v>10.0</v>
      </c>
      <c r="H215" s="8" t="s">
        <v>123</v>
      </c>
      <c r="I215" s="9">
        <v>46083.361712962964</v>
      </c>
      <c r="K215" s="8">
        <v>900.0</v>
      </c>
      <c r="L215" s="8">
        <v>600.0</v>
      </c>
      <c r="M215" s="8">
        <v>212000.0</v>
      </c>
      <c r="N215" s="7">
        <v>44021.0</v>
      </c>
      <c r="O215" s="8" t="s">
        <v>107</v>
      </c>
      <c r="P215" s="8" t="s">
        <v>28</v>
      </c>
      <c r="S215" s="8" t="s">
        <v>32</v>
      </c>
    </row>
    <row r="216">
      <c r="A216" s="8">
        <v>215.0</v>
      </c>
      <c r="B216" s="8" t="s">
        <v>839</v>
      </c>
      <c r="C216" s="8" t="s">
        <v>21</v>
      </c>
      <c r="E216" s="8">
        <v>10.0</v>
      </c>
      <c r="K216" s="8">
        <v>1800.0</v>
      </c>
      <c r="N216" s="7">
        <v>44477.0</v>
      </c>
    </row>
    <row r="217">
      <c r="A217" s="8">
        <v>216.0</v>
      </c>
      <c r="B217" s="8" t="s">
        <v>842</v>
      </c>
      <c r="C217" s="8" t="s">
        <v>21</v>
      </c>
      <c r="E217" s="8">
        <v>10.0</v>
      </c>
      <c r="K217" s="8">
        <v>76000.0</v>
      </c>
      <c r="N217" s="7">
        <v>45673.0</v>
      </c>
    </row>
    <row r="218">
      <c r="A218" s="8">
        <v>217.0</v>
      </c>
      <c r="B218" s="8" t="s">
        <v>844</v>
      </c>
      <c r="C218" s="8" t="s">
        <v>21</v>
      </c>
      <c r="E218" s="8">
        <v>10.0</v>
      </c>
      <c r="K218" s="8">
        <v>20.0</v>
      </c>
      <c r="N218" s="7">
        <v>43871.0</v>
      </c>
    </row>
    <row r="219">
      <c r="A219" s="8">
        <v>218.0</v>
      </c>
      <c r="B219" s="8" t="s">
        <v>848</v>
      </c>
      <c r="C219" s="8" t="s">
        <v>21</v>
      </c>
      <c r="E219" s="8">
        <v>10.0</v>
      </c>
      <c r="K219" s="8">
        <v>10.0</v>
      </c>
      <c r="N219" s="7">
        <v>45950.0</v>
      </c>
    </row>
    <row r="220">
      <c r="A220" s="8">
        <v>219.0</v>
      </c>
      <c r="B220" s="8" t="s">
        <v>850</v>
      </c>
      <c r="C220" s="8" t="s">
        <v>21</v>
      </c>
      <c r="D220" s="8">
        <v>70.0</v>
      </c>
      <c r="E220" s="8">
        <v>10.0</v>
      </c>
      <c r="H220" s="8" t="s">
        <v>91</v>
      </c>
      <c r="I220" s="9">
        <v>46098.920335648145</v>
      </c>
      <c r="J220" s="8" t="s">
        <v>90</v>
      </c>
      <c r="K220" s="8">
        <v>26000.0</v>
      </c>
      <c r="L220" s="8">
        <v>40.0</v>
      </c>
      <c r="M220" s="8">
        <v>37000.0</v>
      </c>
      <c r="N220" s="7">
        <v>43870.0</v>
      </c>
      <c r="O220" s="8" t="s">
        <v>147</v>
      </c>
      <c r="P220" s="8" t="s">
        <v>28</v>
      </c>
      <c r="S220" s="8" t="s">
        <v>32</v>
      </c>
    </row>
    <row r="221">
      <c r="A221" s="8">
        <v>220.0</v>
      </c>
      <c r="B221" s="8" t="s">
        <v>853</v>
      </c>
      <c r="C221" s="8" t="s">
        <v>21</v>
      </c>
      <c r="E221" s="8">
        <v>10.0</v>
      </c>
      <c r="K221" s="8">
        <v>3300.0</v>
      </c>
      <c r="N221" s="7">
        <v>43913.0</v>
      </c>
    </row>
    <row r="222">
      <c r="A222" s="8">
        <v>221.0</v>
      </c>
      <c r="B222" s="8" t="s">
        <v>854</v>
      </c>
      <c r="C222" s="8" t="s">
        <v>21</v>
      </c>
      <c r="E222" s="8">
        <v>10.0</v>
      </c>
      <c r="K222" s="8">
        <v>3500.0</v>
      </c>
      <c r="N222" s="7">
        <v>44207.0</v>
      </c>
    </row>
    <row r="223">
      <c r="A223" s="8">
        <v>222.0</v>
      </c>
      <c r="B223" s="8" t="s">
        <v>855</v>
      </c>
      <c r="C223" s="8" t="s">
        <v>21</v>
      </c>
      <c r="E223" s="8">
        <v>10.0</v>
      </c>
      <c r="K223" s="8">
        <v>10.0</v>
      </c>
      <c r="N223" s="7">
        <v>42546.0</v>
      </c>
      <c r="O223" s="8" t="s">
        <v>26</v>
      </c>
      <c r="P223" s="8" t="s">
        <v>28</v>
      </c>
      <c r="S223" s="8" t="s">
        <v>32</v>
      </c>
    </row>
    <row r="224">
      <c r="A224" s="8">
        <v>223.0</v>
      </c>
      <c r="B224" s="8" t="s">
        <v>856</v>
      </c>
      <c r="C224" s="8" t="s">
        <v>21</v>
      </c>
      <c r="D224" s="8">
        <v>55.0</v>
      </c>
      <c r="E224" s="8">
        <v>10.0</v>
      </c>
      <c r="H224" s="8" t="s">
        <v>35</v>
      </c>
      <c r="I224" s="9">
        <v>46144.26351851852</v>
      </c>
      <c r="J224" s="8" t="s">
        <v>476</v>
      </c>
      <c r="K224" s="8">
        <v>10.0</v>
      </c>
      <c r="L224" s="8">
        <v>11000.0</v>
      </c>
      <c r="M224" s="8">
        <v>11000.0</v>
      </c>
      <c r="N224" s="7">
        <v>44312.0</v>
      </c>
      <c r="O224" s="8" t="s">
        <v>26</v>
      </c>
      <c r="P224" s="8" t="s">
        <v>28</v>
      </c>
      <c r="S224" s="8" t="s">
        <v>32</v>
      </c>
    </row>
    <row r="225">
      <c r="A225" s="8">
        <v>224.0</v>
      </c>
      <c r="B225" s="8" t="s">
        <v>859</v>
      </c>
      <c r="C225" s="8" t="s">
        <v>21</v>
      </c>
      <c r="E225" s="8">
        <v>10.0</v>
      </c>
      <c r="K225" s="8">
        <v>40.0</v>
      </c>
      <c r="N225" s="7">
        <v>45152.0</v>
      </c>
    </row>
    <row r="226">
      <c r="A226" s="8">
        <v>225.0</v>
      </c>
      <c r="B226" s="8" t="s">
        <v>863</v>
      </c>
      <c r="C226" s="8" t="s">
        <v>21</v>
      </c>
      <c r="E226" s="8">
        <v>10.0</v>
      </c>
      <c r="K226" s="8">
        <v>3900.0</v>
      </c>
      <c r="N226" s="7">
        <v>43928.0</v>
      </c>
    </row>
    <row r="227">
      <c r="A227" s="8">
        <v>226.0</v>
      </c>
      <c r="B227" s="8" t="s">
        <v>864</v>
      </c>
      <c r="C227" s="8" t="s">
        <v>21</v>
      </c>
      <c r="E227" s="8">
        <v>10.0</v>
      </c>
      <c r="K227" s="8">
        <v>900.0</v>
      </c>
      <c r="N227" s="7">
        <v>43998.0</v>
      </c>
    </row>
    <row r="228">
      <c r="A228" s="8">
        <v>227.0</v>
      </c>
      <c r="B228" s="8" t="s">
        <v>866</v>
      </c>
      <c r="C228" s="8" t="s">
        <v>21</v>
      </c>
      <c r="E228" s="8">
        <v>10.0</v>
      </c>
      <c r="K228" s="8">
        <v>250.0</v>
      </c>
      <c r="N228" s="7">
        <v>44890.0</v>
      </c>
    </row>
    <row r="229">
      <c r="A229" s="8">
        <v>228.0</v>
      </c>
      <c r="B229" s="8" t="s">
        <v>869</v>
      </c>
      <c r="C229" s="8" t="s">
        <v>21</v>
      </c>
      <c r="D229" s="8">
        <v>1.0</v>
      </c>
      <c r="E229" s="8">
        <v>10.0</v>
      </c>
      <c r="H229" s="8" t="s">
        <v>60</v>
      </c>
      <c r="I229" s="9">
        <v>46071.37432870371</v>
      </c>
      <c r="K229" s="8">
        <v>10.0</v>
      </c>
      <c r="L229" s="8">
        <v>200.0</v>
      </c>
      <c r="M229" s="8">
        <v>600.0</v>
      </c>
      <c r="N229" s="7">
        <v>42446.0</v>
      </c>
      <c r="O229" s="8" t="s">
        <v>26</v>
      </c>
      <c r="P229" s="8" t="s">
        <v>28</v>
      </c>
      <c r="S229" s="8" t="s">
        <v>32</v>
      </c>
    </row>
    <row r="230">
      <c r="A230" s="8">
        <v>229.0</v>
      </c>
      <c r="B230" s="8" t="s">
        <v>873</v>
      </c>
      <c r="C230" s="8" t="s">
        <v>21</v>
      </c>
      <c r="E230" s="8">
        <v>10.0</v>
      </c>
      <c r="G230" s="8">
        <v>0.96</v>
      </c>
      <c r="K230" s="8">
        <v>10.0</v>
      </c>
      <c r="N230" s="7">
        <v>42263.0</v>
      </c>
      <c r="O230" s="8" t="s">
        <v>107</v>
      </c>
      <c r="P230" s="8" t="s">
        <v>28</v>
      </c>
      <c r="S230" s="8" t="s">
        <v>32</v>
      </c>
    </row>
    <row r="231">
      <c r="A231" s="8">
        <v>230.0</v>
      </c>
      <c r="B231" s="8" t="s">
        <v>875</v>
      </c>
      <c r="C231" s="8" t="s">
        <v>21</v>
      </c>
      <c r="E231" s="8">
        <v>10.0</v>
      </c>
      <c r="K231" s="8">
        <v>14000.0</v>
      </c>
      <c r="N231" s="7">
        <v>42833.0</v>
      </c>
    </row>
    <row r="232">
      <c r="A232" s="8">
        <v>231.0</v>
      </c>
      <c r="B232" s="8" t="s">
        <v>878</v>
      </c>
      <c r="C232" s="8" t="s">
        <v>21</v>
      </c>
      <c r="E232" s="8">
        <v>10.0</v>
      </c>
      <c r="K232" s="8">
        <v>33000.0</v>
      </c>
      <c r="N232" s="7">
        <v>42854.0</v>
      </c>
    </row>
    <row r="233">
      <c r="A233" s="8">
        <v>232.0</v>
      </c>
      <c r="B233" s="8" t="s">
        <v>879</v>
      </c>
      <c r="C233" s="8" t="s">
        <v>21</v>
      </c>
      <c r="D233" s="8">
        <v>67.0</v>
      </c>
      <c r="E233" s="8">
        <v>10.0</v>
      </c>
      <c r="H233" s="8" t="s">
        <v>279</v>
      </c>
      <c r="I233" s="9">
        <v>46149.99306712963</v>
      </c>
      <c r="K233" s="8">
        <v>350.0</v>
      </c>
      <c r="L233" s="8">
        <v>3200.0</v>
      </c>
      <c r="M233" s="8">
        <v>64000.0</v>
      </c>
      <c r="N233" s="7">
        <v>42557.0</v>
      </c>
      <c r="O233" s="8" t="s">
        <v>107</v>
      </c>
      <c r="P233" s="8" t="s">
        <v>28</v>
      </c>
      <c r="S233" s="8" t="s">
        <v>32</v>
      </c>
    </row>
    <row r="234">
      <c r="A234" s="8">
        <v>233.0</v>
      </c>
      <c r="B234" s="8" t="s">
        <v>880</v>
      </c>
      <c r="C234" s="8" t="s">
        <v>21</v>
      </c>
      <c r="E234" s="8">
        <v>10.0</v>
      </c>
      <c r="K234" s="8">
        <v>500.0</v>
      </c>
      <c r="N234" s="7">
        <v>44253.0</v>
      </c>
    </row>
    <row r="235">
      <c r="A235" s="8">
        <v>234.0</v>
      </c>
      <c r="B235" s="8" t="s">
        <v>882</v>
      </c>
      <c r="C235" s="8" t="s">
        <v>21</v>
      </c>
      <c r="E235" s="8">
        <v>10.0</v>
      </c>
      <c r="K235" s="8">
        <v>200.0</v>
      </c>
      <c r="N235" s="7">
        <v>43906.0</v>
      </c>
    </row>
    <row r="236">
      <c r="A236" s="8">
        <v>235.0</v>
      </c>
      <c r="B236" s="8" t="s">
        <v>883</v>
      </c>
      <c r="C236" s="8" t="s">
        <v>21</v>
      </c>
      <c r="D236" s="8">
        <v>72.0</v>
      </c>
      <c r="E236" s="8">
        <v>10.0</v>
      </c>
      <c r="H236" s="8" t="s">
        <v>35</v>
      </c>
      <c r="I236" s="9">
        <v>46156.73423611111</v>
      </c>
      <c r="J236" s="8" t="s">
        <v>96</v>
      </c>
      <c r="K236" s="8">
        <v>10.0</v>
      </c>
      <c r="L236" s="8">
        <v>11000.0</v>
      </c>
      <c r="M236" s="8">
        <v>12000.0</v>
      </c>
      <c r="N236" s="7">
        <v>43144.0</v>
      </c>
      <c r="O236" s="8" t="s">
        <v>26</v>
      </c>
      <c r="P236" s="8" t="s">
        <v>28</v>
      </c>
      <c r="S236" s="8" t="s">
        <v>32</v>
      </c>
    </row>
    <row r="237">
      <c r="A237" s="8">
        <v>236.0</v>
      </c>
      <c r="B237" s="8" t="s">
        <v>884</v>
      </c>
      <c r="C237" s="8" t="s">
        <v>21</v>
      </c>
      <c r="E237" s="8">
        <v>10.0</v>
      </c>
      <c r="K237" s="8">
        <v>400.0</v>
      </c>
      <c r="N237" s="7">
        <v>45719.0</v>
      </c>
    </row>
    <row r="238">
      <c r="A238" s="8">
        <v>237.0</v>
      </c>
      <c r="B238" s="8" t="s">
        <v>888</v>
      </c>
      <c r="C238" s="8" t="s">
        <v>21</v>
      </c>
      <c r="E238" s="8">
        <v>10.0</v>
      </c>
      <c r="K238" s="8">
        <v>10.0</v>
      </c>
      <c r="N238" s="7">
        <v>43721.0</v>
      </c>
      <c r="O238" s="8" t="s">
        <v>31</v>
      </c>
      <c r="P238" s="8" t="s">
        <v>28</v>
      </c>
      <c r="S238" s="8" t="s">
        <v>32</v>
      </c>
    </row>
    <row r="239">
      <c r="A239" s="8">
        <v>238.0</v>
      </c>
      <c r="B239" s="8" t="s">
        <v>891</v>
      </c>
      <c r="C239" s="8" t="s">
        <v>21</v>
      </c>
      <c r="E239" s="8">
        <v>10.0</v>
      </c>
      <c r="K239" s="8">
        <v>20.0</v>
      </c>
      <c r="N239" s="7">
        <v>42959.0</v>
      </c>
    </row>
    <row r="240">
      <c r="A240" s="8">
        <v>239.0</v>
      </c>
      <c r="B240" s="8" t="s">
        <v>894</v>
      </c>
      <c r="C240" s="8" t="s">
        <v>21</v>
      </c>
      <c r="E240" s="8">
        <v>10.0</v>
      </c>
      <c r="K240" s="8">
        <v>20.0</v>
      </c>
      <c r="N240" s="7">
        <v>45857.0</v>
      </c>
    </row>
    <row r="241">
      <c r="A241" s="8">
        <v>240.0</v>
      </c>
      <c r="B241" s="8" t="s">
        <v>897</v>
      </c>
      <c r="C241" s="8" t="s">
        <v>21</v>
      </c>
      <c r="E241" s="8">
        <v>10.0</v>
      </c>
      <c r="K241" s="8">
        <v>7900.0</v>
      </c>
      <c r="N241" s="7">
        <v>43869.0</v>
      </c>
    </row>
    <row r="242">
      <c r="A242" s="8">
        <v>241.0</v>
      </c>
      <c r="B242" s="8" t="s">
        <v>899</v>
      </c>
      <c r="C242" s="8" t="s">
        <v>21</v>
      </c>
      <c r="D242" s="8">
        <v>77.0</v>
      </c>
      <c r="E242" s="8">
        <v>10.0</v>
      </c>
      <c r="H242" s="8" t="s">
        <v>123</v>
      </c>
      <c r="I242" s="9">
        <v>46125.95888888889</v>
      </c>
      <c r="J242" s="8" t="s">
        <v>96</v>
      </c>
      <c r="K242" s="8">
        <v>4600.0</v>
      </c>
      <c r="L242" s="8">
        <v>5100.0</v>
      </c>
      <c r="M242" s="8">
        <v>574000.0</v>
      </c>
      <c r="N242" s="7">
        <v>44241.0</v>
      </c>
      <c r="O242" s="8" t="s">
        <v>147</v>
      </c>
      <c r="P242" s="8" t="s">
        <v>28</v>
      </c>
      <c r="S242" s="8" t="s">
        <v>32</v>
      </c>
    </row>
    <row r="243">
      <c r="A243" s="8">
        <v>242.0</v>
      </c>
      <c r="B243" s="8" t="s">
        <v>902</v>
      </c>
      <c r="C243" s="8" t="s">
        <v>21</v>
      </c>
      <c r="E243" s="8">
        <v>10.0</v>
      </c>
      <c r="K243" s="8">
        <v>1200.0</v>
      </c>
      <c r="N243" s="7">
        <v>45298.0</v>
      </c>
    </row>
    <row r="244">
      <c r="A244" s="8">
        <v>243.0</v>
      </c>
      <c r="B244" s="8" t="s">
        <v>903</v>
      </c>
      <c r="C244" s="8" t="s">
        <v>21</v>
      </c>
      <c r="E244" s="8">
        <v>10.0</v>
      </c>
      <c r="K244" s="8">
        <v>53000.0</v>
      </c>
      <c r="N244" s="7">
        <v>44165.0</v>
      </c>
    </row>
    <row r="245">
      <c r="A245" s="8">
        <v>244.0</v>
      </c>
      <c r="B245" s="8" t="s">
        <v>907</v>
      </c>
      <c r="C245" s="8" t="s">
        <v>21</v>
      </c>
      <c r="E245" s="8">
        <v>10.0</v>
      </c>
      <c r="K245" s="8">
        <v>88000.0</v>
      </c>
      <c r="N245" s="7">
        <v>43870.0</v>
      </c>
    </row>
    <row r="246">
      <c r="A246" s="8">
        <v>245.0</v>
      </c>
      <c r="B246" s="8" t="s">
        <v>908</v>
      </c>
      <c r="C246" s="8" t="s">
        <v>21</v>
      </c>
      <c r="E246" s="8">
        <v>10.0</v>
      </c>
      <c r="K246" s="8">
        <v>6500.0</v>
      </c>
      <c r="N246" s="7">
        <v>45024.0</v>
      </c>
    </row>
    <row r="247">
      <c r="A247" s="8">
        <v>246.0</v>
      </c>
      <c r="B247" s="8" t="s">
        <v>911</v>
      </c>
      <c r="C247" s="8" t="s">
        <v>21</v>
      </c>
      <c r="E247" s="8">
        <v>10.0</v>
      </c>
      <c r="K247" s="8">
        <v>46000.0</v>
      </c>
      <c r="N247" s="7">
        <v>44024.0</v>
      </c>
    </row>
    <row r="248">
      <c r="A248" s="8">
        <v>247.0</v>
      </c>
      <c r="B248" s="8" t="s">
        <v>913</v>
      </c>
      <c r="C248" s="8" t="s">
        <v>21</v>
      </c>
      <c r="E248" s="8">
        <v>10.0</v>
      </c>
      <c r="K248" s="8">
        <v>21000.0</v>
      </c>
      <c r="N248" s="7">
        <v>44013.0</v>
      </c>
      <c r="O248" s="8" t="s">
        <v>31</v>
      </c>
      <c r="P248" s="8" t="s">
        <v>28</v>
      </c>
      <c r="S248" s="8" t="s">
        <v>32</v>
      </c>
    </row>
    <row r="249">
      <c r="A249" s="8">
        <v>248.0</v>
      </c>
      <c r="B249" s="8" t="s">
        <v>917</v>
      </c>
      <c r="C249" s="8" t="s">
        <v>21</v>
      </c>
      <c r="E249" s="8">
        <v>10.0</v>
      </c>
      <c r="K249" s="8">
        <v>100.0</v>
      </c>
      <c r="N249" s="7">
        <v>44034.0</v>
      </c>
    </row>
    <row r="250">
      <c r="A250" s="8">
        <v>249.0</v>
      </c>
      <c r="B250" s="8" t="s">
        <v>919</v>
      </c>
      <c r="C250" s="8" t="s">
        <v>21</v>
      </c>
      <c r="D250" s="8">
        <v>53.0</v>
      </c>
      <c r="E250" s="8">
        <v>10.0</v>
      </c>
      <c r="H250" s="8" t="s">
        <v>19</v>
      </c>
      <c r="I250" s="9">
        <v>46148.04377314815</v>
      </c>
      <c r="J250" s="8" t="s">
        <v>90</v>
      </c>
      <c r="K250" s="8">
        <v>10.0</v>
      </c>
      <c r="L250" s="8">
        <v>26000.0</v>
      </c>
      <c r="M250" s="8">
        <v>27000.0</v>
      </c>
      <c r="N250" s="7">
        <v>44034.0</v>
      </c>
      <c r="O250" s="8" t="s">
        <v>26</v>
      </c>
      <c r="P250" s="8" t="s">
        <v>28</v>
      </c>
      <c r="S250" s="8" t="s">
        <v>32</v>
      </c>
    </row>
    <row r="251">
      <c r="A251" s="8">
        <v>250.0</v>
      </c>
      <c r="B251" s="8" t="s">
        <v>923</v>
      </c>
      <c r="C251" s="8" t="s">
        <v>21</v>
      </c>
      <c r="E251" s="8">
        <v>10.0</v>
      </c>
      <c r="K251" s="8">
        <v>600.0</v>
      </c>
      <c r="N251" s="7">
        <v>44502.0</v>
      </c>
      <c r="O251" s="8" t="s">
        <v>31</v>
      </c>
      <c r="P251" s="8" t="s">
        <v>28</v>
      </c>
      <c r="S251" s="8" t="s">
        <v>32</v>
      </c>
    </row>
    <row r="252">
      <c r="A252" s="8">
        <v>251.0</v>
      </c>
      <c r="B252" s="8" t="s">
        <v>924</v>
      </c>
      <c r="C252" s="8" t="s">
        <v>21</v>
      </c>
      <c r="E252" s="8">
        <v>10.0</v>
      </c>
      <c r="K252" s="8">
        <v>10.0</v>
      </c>
      <c r="N252" s="7">
        <v>45760.0</v>
      </c>
    </row>
    <row r="253">
      <c r="A253" s="8">
        <v>252.0</v>
      </c>
      <c r="B253" s="8" t="s">
        <v>929</v>
      </c>
      <c r="C253" s="8" t="s">
        <v>21</v>
      </c>
      <c r="E253" s="8">
        <v>10.0</v>
      </c>
      <c r="K253" s="8">
        <v>300.0</v>
      </c>
      <c r="N253" s="7">
        <v>43868.0</v>
      </c>
      <c r="O253" s="8" t="s">
        <v>107</v>
      </c>
      <c r="P253" s="8" t="s">
        <v>28</v>
      </c>
      <c r="S253" s="8" t="s">
        <v>32</v>
      </c>
    </row>
    <row r="254">
      <c r="A254" s="8">
        <v>253.0</v>
      </c>
      <c r="B254" s="8" t="s">
        <v>931</v>
      </c>
      <c r="C254" s="8" t="s">
        <v>21</v>
      </c>
      <c r="E254" s="8">
        <v>10.0</v>
      </c>
      <c r="K254" s="8">
        <v>2100.0</v>
      </c>
      <c r="N254" s="7">
        <v>44128.0</v>
      </c>
    </row>
    <row r="255">
      <c r="A255" s="8">
        <v>254.0</v>
      </c>
      <c r="B255" s="8" t="s">
        <v>936</v>
      </c>
      <c r="C255" s="8" t="s">
        <v>21</v>
      </c>
      <c r="E255" s="8">
        <v>10.0</v>
      </c>
      <c r="K255" s="8">
        <v>60000.0</v>
      </c>
      <c r="N255" s="7">
        <v>42267.0</v>
      </c>
    </row>
    <row r="256">
      <c r="A256" s="8">
        <v>255.0</v>
      </c>
      <c r="B256" s="8" t="s">
        <v>937</v>
      </c>
      <c r="C256" s="8" t="s">
        <v>21</v>
      </c>
      <c r="D256" s="8">
        <v>74.0</v>
      </c>
      <c r="E256" s="8">
        <v>10.0</v>
      </c>
      <c r="H256" s="8" t="s">
        <v>939</v>
      </c>
      <c r="I256" s="9">
        <v>46123.63575231482</v>
      </c>
      <c r="J256" s="8" t="s">
        <v>25</v>
      </c>
      <c r="K256" s="8">
        <v>28000.0</v>
      </c>
      <c r="L256" s="8">
        <v>20.0</v>
      </c>
      <c r="M256" s="8">
        <v>23000.0</v>
      </c>
      <c r="N256" s="7">
        <v>42929.0</v>
      </c>
      <c r="O256" s="8" t="s">
        <v>107</v>
      </c>
      <c r="P256" s="8" t="s">
        <v>28</v>
      </c>
      <c r="S256" s="8" t="s">
        <v>32</v>
      </c>
    </row>
    <row r="257">
      <c r="A257" s="8">
        <v>256.0</v>
      </c>
      <c r="B257" s="8" t="s">
        <v>943</v>
      </c>
      <c r="C257" s="8" t="s">
        <v>21</v>
      </c>
      <c r="E257" s="8">
        <v>10.0</v>
      </c>
      <c r="K257" s="8">
        <v>10.0</v>
      </c>
      <c r="N257" s="7">
        <v>45516.0</v>
      </c>
    </row>
    <row r="258">
      <c r="A258" s="8">
        <v>257.0</v>
      </c>
      <c r="B258" s="8" t="s">
        <v>944</v>
      </c>
      <c r="C258" s="8" t="s">
        <v>21</v>
      </c>
      <c r="E258" s="8">
        <v>10.0</v>
      </c>
      <c r="K258" s="8">
        <v>10.0</v>
      </c>
      <c r="N258" s="7">
        <v>43115.0</v>
      </c>
      <c r="O258" s="8" t="s">
        <v>26</v>
      </c>
      <c r="P258" s="8" t="s">
        <v>28</v>
      </c>
      <c r="S258" s="8" t="s">
        <v>32</v>
      </c>
    </row>
    <row r="259">
      <c r="A259" s="8">
        <v>258.0</v>
      </c>
      <c r="B259" s="8" t="s">
        <v>948</v>
      </c>
      <c r="C259" s="8" t="s">
        <v>21</v>
      </c>
      <c r="D259" s="8">
        <v>74.0</v>
      </c>
      <c r="E259" s="8">
        <v>10.0</v>
      </c>
      <c r="H259" s="8" t="s">
        <v>60</v>
      </c>
      <c r="I259" s="9">
        <v>46122.60019675926</v>
      </c>
      <c r="J259" s="8" t="s">
        <v>90</v>
      </c>
      <c r="K259" s="8">
        <v>30.0</v>
      </c>
      <c r="L259" s="8">
        <v>150.0</v>
      </c>
      <c r="M259" s="8">
        <v>500.0</v>
      </c>
      <c r="N259" s="7">
        <v>44086.0</v>
      </c>
      <c r="O259" s="8" t="s">
        <v>31</v>
      </c>
      <c r="P259" s="8" t="s">
        <v>28</v>
      </c>
      <c r="S259" s="8" t="s">
        <v>32</v>
      </c>
    </row>
    <row r="260">
      <c r="A260" s="8">
        <v>259.0</v>
      </c>
      <c r="B260" s="8" t="s">
        <v>952</v>
      </c>
      <c r="C260" s="8" t="s">
        <v>21</v>
      </c>
      <c r="E260" s="8">
        <v>10.0</v>
      </c>
      <c r="K260" s="8">
        <v>200.0</v>
      </c>
      <c r="N260" s="7">
        <v>44203.0</v>
      </c>
    </row>
    <row r="261">
      <c r="A261" s="8">
        <v>260.0</v>
      </c>
      <c r="B261" s="8" t="s">
        <v>955</v>
      </c>
      <c r="C261" s="8" t="s">
        <v>21</v>
      </c>
      <c r="D261" s="8">
        <v>56.0</v>
      </c>
      <c r="E261" s="8">
        <v>10.0</v>
      </c>
      <c r="H261" s="8" t="s">
        <v>60</v>
      </c>
      <c r="I261" s="9">
        <v>46142.385347222225</v>
      </c>
      <c r="K261" s="8">
        <v>30.0</v>
      </c>
      <c r="L261" s="8">
        <v>150.0</v>
      </c>
      <c r="M261" s="8">
        <v>450.0</v>
      </c>
      <c r="N261" s="7">
        <v>42742.0</v>
      </c>
      <c r="O261" s="8" t="s">
        <v>26</v>
      </c>
      <c r="P261" s="8" t="s">
        <v>28</v>
      </c>
      <c r="S261" s="8" t="s">
        <v>32</v>
      </c>
    </row>
    <row r="262">
      <c r="A262" s="8">
        <v>261.0</v>
      </c>
      <c r="B262" s="8" t="s">
        <v>957</v>
      </c>
      <c r="C262" s="8" t="s">
        <v>21</v>
      </c>
      <c r="E262" s="8">
        <v>10.0</v>
      </c>
      <c r="K262" s="8">
        <v>1100.0</v>
      </c>
      <c r="N262" s="7">
        <v>44095.0</v>
      </c>
    </row>
    <row r="263">
      <c r="A263" s="8">
        <v>262.0</v>
      </c>
      <c r="B263" s="8" t="s">
        <v>961</v>
      </c>
      <c r="C263" s="8" t="s">
        <v>21</v>
      </c>
      <c r="E263" s="8">
        <v>10.0</v>
      </c>
      <c r="K263" s="8">
        <v>900.0</v>
      </c>
      <c r="N263" s="7">
        <v>44735.0</v>
      </c>
    </row>
    <row r="264">
      <c r="A264" s="8">
        <v>263.0</v>
      </c>
      <c r="B264" s="8" t="s">
        <v>962</v>
      </c>
      <c r="C264" s="8" t="s">
        <v>21</v>
      </c>
      <c r="E264" s="8">
        <v>10.0</v>
      </c>
      <c r="K264" s="8">
        <v>10.0</v>
      </c>
      <c r="N264" s="7">
        <v>43950.0</v>
      </c>
      <c r="O264" s="8" t="s">
        <v>127</v>
      </c>
      <c r="P264" s="8" t="s">
        <v>28</v>
      </c>
      <c r="S264" s="8" t="s">
        <v>32</v>
      </c>
    </row>
    <row r="265">
      <c r="A265" s="8">
        <v>264.0</v>
      </c>
      <c r="B265" s="8" t="s">
        <v>965</v>
      </c>
      <c r="C265" s="8" t="s">
        <v>21</v>
      </c>
      <c r="D265" s="8">
        <v>25.0</v>
      </c>
      <c r="E265" s="8">
        <v>10.0</v>
      </c>
      <c r="H265" s="8" t="s">
        <v>966</v>
      </c>
      <c r="I265" s="9">
        <v>46104.12788194444</v>
      </c>
      <c r="J265" s="8" t="s">
        <v>96</v>
      </c>
      <c r="K265" s="8">
        <v>600.0</v>
      </c>
      <c r="L265" s="8">
        <v>10.0</v>
      </c>
      <c r="M265" s="8">
        <v>700.0</v>
      </c>
      <c r="N265" s="7">
        <v>43225.0</v>
      </c>
      <c r="O265" s="8" t="s">
        <v>31</v>
      </c>
      <c r="P265" s="8" t="s">
        <v>28</v>
      </c>
      <c r="S265" s="8" t="s">
        <v>32</v>
      </c>
    </row>
    <row r="266">
      <c r="A266" s="8">
        <v>265.0</v>
      </c>
      <c r="B266" s="8" t="s">
        <v>967</v>
      </c>
      <c r="C266" s="8" t="s">
        <v>21</v>
      </c>
      <c r="E266" s="8">
        <v>10.0</v>
      </c>
      <c r="K266" s="8">
        <v>2300.0</v>
      </c>
      <c r="N266" s="7">
        <v>44730.0</v>
      </c>
    </row>
    <row r="267">
      <c r="A267" s="8">
        <v>266.0</v>
      </c>
      <c r="B267" s="8" t="s">
        <v>969</v>
      </c>
      <c r="C267" s="8" t="s">
        <v>21</v>
      </c>
      <c r="E267" s="8">
        <v>10.0</v>
      </c>
      <c r="K267" s="8">
        <v>200.0</v>
      </c>
      <c r="N267" s="7">
        <v>44505.0</v>
      </c>
    </row>
    <row r="268">
      <c r="A268" s="8">
        <v>267.0</v>
      </c>
      <c r="B268" s="8" t="s">
        <v>972</v>
      </c>
      <c r="C268" s="8" t="s">
        <v>21</v>
      </c>
      <c r="E268" s="8">
        <v>10.0</v>
      </c>
      <c r="K268" s="8">
        <v>30.0</v>
      </c>
      <c r="N268" s="7">
        <v>43982.0</v>
      </c>
      <c r="O268" s="8" t="s">
        <v>26</v>
      </c>
      <c r="P268" s="8" t="s">
        <v>28</v>
      </c>
      <c r="S268" s="8" t="s">
        <v>32</v>
      </c>
    </row>
    <row r="269">
      <c r="A269" s="8">
        <v>268.0</v>
      </c>
      <c r="B269" s="8" t="s">
        <v>974</v>
      </c>
      <c r="C269" s="8" t="s">
        <v>21</v>
      </c>
      <c r="E269" s="8">
        <v>10.0</v>
      </c>
      <c r="K269" s="8">
        <v>24000.0</v>
      </c>
      <c r="N269" s="7">
        <v>43988.0</v>
      </c>
    </row>
    <row r="270">
      <c r="A270" s="8">
        <v>269.0</v>
      </c>
      <c r="B270" s="8" t="s">
        <v>977</v>
      </c>
      <c r="C270" s="8" t="s">
        <v>21</v>
      </c>
      <c r="D270" s="8">
        <v>50.0</v>
      </c>
      <c r="E270" s="8">
        <v>10.0</v>
      </c>
      <c r="H270" s="8" t="s">
        <v>60</v>
      </c>
      <c r="I270" s="9">
        <v>46084.94326388889</v>
      </c>
      <c r="K270" s="8">
        <v>10.0</v>
      </c>
      <c r="L270" s="8">
        <v>250.0</v>
      </c>
      <c r="M270" s="8">
        <v>600.0</v>
      </c>
      <c r="N270" s="7">
        <v>43693.0</v>
      </c>
      <c r="O270" s="8" t="s">
        <v>26</v>
      </c>
      <c r="P270" s="8" t="s">
        <v>28</v>
      </c>
      <c r="S270" s="8" t="s">
        <v>32</v>
      </c>
    </row>
    <row r="271">
      <c r="A271" s="8">
        <v>270.0</v>
      </c>
      <c r="B271" s="8" t="s">
        <v>980</v>
      </c>
      <c r="C271" s="8" t="s">
        <v>21</v>
      </c>
      <c r="E271" s="8">
        <v>10.0</v>
      </c>
      <c r="K271" s="8">
        <v>100.0</v>
      </c>
      <c r="N271" s="7">
        <v>45726.0</v>
      </c>
    </row>
    <row r="272">
      <c r="A272" s="8">
        <v>271.0</v>
      </c>
      <c r="B272" s="8" t="s">
        <v>983</v>
      </c>
      <c r="C272" s="8" t="s">
        <v>21</v>
      </c>
      <c r="E272" s="8">
        <v>10.0</v>
      </c>
      <c r="K272" s="8">
        <v>1200.0</v>
      </c>
      <c r="N272" s="7">
        <v>44160.0</v>
      </c>
    </row>
    <row r="273">
      <c r="A273" s="8">
        <v>272.0</v>
      </c>
      <c r="B273" s="8" t="s">
        <v>984</v>
      </c>
      <c r="C273" s="8" t="s">
        <v>21</v>
      </c>
      <c r="E273" s="8">
        <v>10.0</v>
      </c>
      <c r="K273" s="8">
        <v>20.0</v>
      </c>
      <c r="N273" s="7">
        <v>44278.0</v>
      </c>
      <c r="O273" s="8" t="s">
        <v>107</v>
      </c>
      <c r="P273" s="8" t="s">
        <v>28</v>
      </c>
      <c r="S273" s="8" t="s">
        <v>32</v>
      </c>
    </row>
    <row r="274">
      <c r="A274" s="8">
        <v>273.0</v>
      </c>
      <c r="B274" s="8" t="s">
        <v>985</v>
      </c>
      <c r="C274" s="8" t="s">
        <v>21</v>
      </c>
      <c r="E274" s="8">
        <v>10.0</v>
      </c>
      <c r="K274" s="8">
        <v>10.0</v>
      </c>
      <c r="N274" s="7">
        <v>45802.0</v>
      </c>
    </row>
    <row r="275">
      <c r="A275" s="8">
        <v>274.0</v>
      </c>
      <c r="B275" s="8" t="s">
        <v>988</v>
      </c>
      <c r="C275" s="8" t="s">
        <v>21</v>
      </c>
      <c r="E275" s="8">
        <v>10.0</v>
      </c>
      <c r="K275" s="8">
        <v>9200.0</v>
      </c>
      <c r="N275" s="7">
        <v>44080.0</v>
      </c>
    </row>
    <row r="276">
      <c r="A276" s="8">
        <v>275.0</v>
      </c>
      <c r="B276" s="8" t="s">
        <v>991</v>
      </c>
      <c r="C276" s="8" t="s">
        <v>21</v>
      </c>
      <c r="E276" s="8">
        <v>10.0</v>
      </c>
      <c r="K276" s="8">
        <v>600.0</v>
      </c>
      <c r="N276" s="7">
        <v>44043.0</v>
      </c>
    </row>
    <row r="277">
      <c r="A277" s="8">
        <v>276.0</v>
      </c>
      <c r="B277" s="8" t="s">
        <v>992</v>
      </c>
      <c r="C277" s="8" t="s">
        <v>21</v>
      </c>
      <c r="D277" s="8">
        <v>42.0</v>
      </c>
      <c r="E277" s="8">
        <v>10.0</v>
      </c>
      <c r="H277" s="8" t="s">
        <v>19</v>
      </c>
      <c r="I277" s="9">
        <v>46156.274930555555</v>
      </c>
      <c r="J277" s="8" t="s">
        <v>450</v>
      </c>
      <c r="K277" s="8">
        <v>10.0</v>
      </c>
      <c r="L277" s="8">
        <v>26000.0</v>
      </c>
      <c r="M277" s="8">
        <v>27000.0</v>
      </c>
      <c r="N277" s="7">
        <v>44059.0</v>
      </c>
      <c r="O277" s="8" t="s">
        <v>26</v>
      </c>
      <c r="P277" s="8" t="s">
        <v>28</v>
      </c>
      <c r="S277" s="8" t="s">
        <v>32</v>
      </c>
    </row>
    <row r="278">
      <c r="A278" s="8">
        <v>277.0</v>
      </c>
      <c r="B278" s="8" t="s">
        <v>994</v>
      </c>
      <c r="C278" s="8" t="s">
        <v>21</v>
      </c>
      <c r="D278" s="8">
        <v>59.0</v>
      </c>
      <c r="E278" s="8">
        <v>10.0</v>
      </c>
      <c r="H278" s="8" t="s">
        <v>35</v>
      </c>
      <c r="I278" s="9">
        <v>46126.97677083333</v>
      </c>
      <c r="J278" s="8" t="s">
        <v>450</v>
      </c>
      <c r="K278" s="8">
        <v>20.0</v>
      </c>
      <c r="L278" s="8">
        <v>11000.0</v>
      </c>
      <c r="M278" s="8">
        <v>11000.0</v>
      </c>
      <c r="N278" s="7">
        <v>43352.0</v>
      </c>
      <c r="O278" s="8" t="s">
        <v>127</v>
      </c>
      <c r="P278" s="8" t="s">
        <v>28</v>
      </c>
      <c r="S278" s="8" t="s">
        <v>32</v>
      </c>
    </row>
    <row r="279">
      <c r="A279" s="8">
        <v>278.0</v>
      </c>
      <c r="B279" s="8" t="s">
        <v>998</v>
      </c>
      <c r="C279" s="8" t="s">
        <v>21</v>
      </c>
      <c r="E279" s="8">
        <v>10.0</v>
      </c>
      <c r="K279" s="8">
        <v>1000.0</v>
      </c>
      <c r="N279" s="7">
        <v>44426.0</v>
      </c>
    </row>
    <row r="280">
      <c r="A280" s="8">
        <v>279.0</v>
      </c>
      <c r="B280" s="8" t="s">
        <v>999</v>
      </c>
      <c r="C280" s="8" t="s">
        <v>21</v>
      </c>
      <c r="E280" s="8">
        <v>10.0</v>
      </c>
      <c r="K280" s="8">
        <v>10.0</v>
      </c>
      <c r="N280" s="7">
        <v>44078.0</v>
      </c>
    </row>
    <row r="281">
      <c r="A281" s="8">
        <v>280.0</v>
      </c>
      <c r="B281" s="8" t="s">
        <v>1003</v>
      </c>
      <c r="C281" s="8" t="s">
        <v>21</v>
      </c>
      <c r="D281" s="8">
        <v>82.0</v>
      </c>
      <c r="E281" s="8">
        <v>10.0</v>
      </c>
      <c r="H281" s="8" t="s">
        <v>55</v>
      </c>
      <c r="I281" s="9">
        <v>46123.7937962963</v>
      </c>
      <c r="K281" s="8">
        <v>100.0</v>
      </c>
      <c r="L281" s="8">
        <v>15000.0</v>
      </c>
      <c r="M281" s="8">
        <v>70000.0</v>
      </c>
      <c r="N281" s="7">
        <v>43848.0</v>
      </c>
      <c r="O281" s="8" t="s">
        <v>31</v>
      </c>
      <c r="P281" s="8" t="s">
        <v>28</v>
      </c>
      <c r="S281" s="8" t="s">
        <v>32</v>
      </c>
    </row>
    <row r="282">
      <c r="A282" s="8">
        <v>281.0</v>
      </c>
      <c r="B282" s="8" t="s">
        <v>1004</v>
      </c>
      <c r="C282" s="8" t="s">
        <v>21</v>
      </c>
      <c r="E282" s="8">
        <v>10.0</v>
      </c>
      <c r="K282" s="8">
        <v>10.0</v>
      </c>
      <c r="N282" s="7">
        <v>44121.0</v>
      </c>
      <c r="O282" s="8" t="s">
        <v>127</v>
      </c>
      <c r="P282" s="8" t="s">
        <v>28</v>
      </c>
      <c r="S282" s="8" t="s">
        <v>32</v>
      </c>
    </row>
    <row r="283">
      <c r="A283" s="8">
        <v>282.0</v>
      </c>
      <c r="B283" s="8" t="s">
        <v>1006</v>
      </c>
      <c r="C283" s="8" t="s">
        <v>21</v>
      </c>
      <c r="E283" s="8">
        <v>10.0</v>
      </c>
      <c r="K283" s="8">
        <v>3400.0</v>
      </c>
      <c r="N283" s="7">
        <v>44808.0</v>
      </c>
    </row>
    <row r="284">
      <c r="A284" s="8">
        <v>283.0</v>
      </c>
      <c r="B284" s="8" t="s">
        <v>1012</v>
      </c>
      <c r="C284" s="8" t="s">
        <v>21</v>
      </c>
      <c r="D284" s="8">
        <v>72.0</v>
      </c>
      <c r="E284" s="8">
        <v>10.0</v>
      </c>
      <c r="H284" s="8" t="s">
        <v>701</v>
      </c>
      <c r="I284" s="9">
        <v>46099.35679398148</v>
      </c>
      <c r="J284" s="8" t="s">
        <v>90</v>
      </c>
      <c r="K284" s="8">
        <v>4000.0</v>
      </c>
      <c r="L284" s="8">
        <v>90.0</v>
      </c>
      <c r="M284" s="8">
        <v>198000.0</v>
      </c>
      <c r="N284" s="7">
        <v>44125.0</v>
      </c>
      <c r="O284" s="8" t="s">
        <v>107</v>
      </c>
      <c r="P284" s="8" t="s">
        <v>28</v>
      </c>
      <c r="S284" s="8" t="s">
        <v>32</v>
      </c>
    </row>
    <row r="285">
      <c r="A285" s="8">
        <v>284.0</v>
      </c>
      <c r="B285" s="8" t="s">
        <v>1014</v>
      </c>
      <c r="C285" s="8" t="s">
        <v>21</v>
      </c>
      <c r="D285" s="8">
        <v>24.0</v>
      </c>
      <c r="E285" s="8">
        <v>10.0</v>
      </c>
      <c r="H285" s="8" t="s">
        <v>19</v>
      </c>
      <c r="I285" s="9">
        <v>46122.712696759256</v>
      </c>
      <c r="J285" s="8" t="s">
        <v>90</v>
      </c>
      <c r="K285" s="8">
        <v>10.0</v>
      </c>
      <c r="L285" s="8">
        <v>26000.0</v>
      </c>
      <c r="M285" s="8">
        <v>27000.0</v>
      </c>
      <c r="N285" s="7">
        <v>44053.0</v>
      </c>
      <c r="O285" s="8" t="s">
        <v>147</v>
      </c>
      <c r="P285" s="8" t="s">
        <v>28</v>
      </c>
      <c r="S285" s="8" t="s">
        <v>32</v>
      </c>
    </row>
    <row r="286">
      <c r="A286" s="8">
        <v>285.0</v>
      </c>
      <c r="B286" s="8" t="s">
        <v>1021</v>
      </c>
      <c r="C286" s="8" t="s">
        <v>21</v>
      </c>
      <c r="E286" s="8">
        <v>10.0</v>
      </c>
      <c r="K286" s="8">
        <v>10.0</v>
      </c>
      <c r="N286" s="7">
        <v>45541.0</v>
      </c>
    </row>
    <row r="287">
      <c r="A287" s="8">
        <v>286.0</v>
      </c>
      <c r="B287" s="8" t="s">
        <v>1023</v>
      </c>
      <c r="C287" s="8" t="s">
        <v>21</v>
      </c>
      <c r="E287" s="8">
        <v>10.0</v>
      </c>
      <c r="K287" s="8">
        <v>2600.0</v>
      </c>
      <c r="N287" s="7">
        <v>43758.0</v>
      </c>
    </row>
    <row r="288">
      <c r="A288" s="8">
        <v>287.0</v>
      </c>
      <c r="B288" s="8" t="s">
        <v>1027</v>
      </c>
      <c r="C288" s="8" t="s">
        <v>21</v>
      </c>
      <c r="D288" s="8">
        <v>75.0</v>
      </c>
      <c r="E288" s="8">
        <v>10.0</v>
      </c>
      <c r="H288" s="8" t="s">
        <v>398</v>
      </c>
      <c r="I288" s="9">
        <v>46125.31385416666</v>
      </c>
      <c r="K288" s="8">
        <v>22000.0</v>
      </c>
      <c r="L288" s="8">
        <v>600.0</v>
      </c>
      <c r="M288" s="8">
        <v>356000.0</v>
      </c>
      <c r="N288" s="7">
        <v>43868.0</v>
      </c>
      <c r="O288" s="8" t="s">
        <v>147</v>
      </c>
      <c r="P288" s="8" t="s">
        <v>28</v>
      </c>
      <c r="S288" s="8" t="s">
        <v>32</v>
      </c>
    </row>
    <row r="289">
      <c r="A289" s="8">
        <v>288.0</v>
      </c>
      <c r="B289" s="8" t="s">
        <v>1033</v>
      </c>
      <c r="C289" s="8" t="s">
        <v>21</v>
      </c>
      <c r="D289" s="8">
        <v>68.0</v>
      </c>
      <c r="E289" s="8">
        <v>10.0</v>
      </c>
      <c r="H289" s="8" t="s">
        <v>35</v>
      </c>
      <c r="I289" s="9">
        <v>46088.11755787037</v>
      </c>
      <c r="J289" s="8" t="s">
        <v>82</v>
      </c>
      <c r="K289" s="8">
        <v>20.0</v>
      </c>
      <c r="L289" s="8">
        <v>11000.0</v>
      </c>
      <c r="M289" s="8">
        <v>11000.0</v>
      </c>
      <c r="N289" s="7">
        <v>42784.0</v>
      </c>
      <c r="O289" s="8" t="s">
        <v>127</v>
      </c>
      <c r="P289" s="8" t="s">
        <v>28</v>
      </c>
      <c r="S289" s="8" t="s">
        <v>32</v>
      </c>
    </row>
    <row r="290">
      <c r="A290" s="8">
        <v>289.0</v>
      </c>
      <c r="B290" s="8" t="s">
        <v>1038</v>
      </c>
      <c r="C290" s="8" t="s">
        <v>21</v>
      </c>
      <c r="D290" s="8">
        <v>75.0</v>
      </c>
      <c r="E290" s="8">
        <v>10.0</v>
      </c>
      <c r="H290" s="8" t="s">
        <v>398</v>
      </c>
      <c r="I290" s="9">
        <v>46124.29493055555</v>
      </c>
      <c r="K290" s="8">
        <v>23000.0</v>
      </c>
      <c r="L290" s="8">
        <v>600.0</v>
      </c>
      <c r="M290" s="8">
        <v>356000.0</v>
      </c>
      <c r="N290" s="7">
        <v>42593.0</v>
      </c>
      <c r="O290" s="8" t="s">
        <v>107</v>
      </c>
      <c r="P290" s="8" t="s">
        <v>28</v>
      </c>
      <c r="S290" s="8" t="s">
        <v>32</v>
      </c>
    </row>
    <row r="291">
      <c r="A291" s="8">
        <v>290.0</v>
      </c>
      <c r="B291" s="8" t="s">
        <v>1041</v>
      </c>
      <c r="C291" s="8" t="s">
        <v>21</v>
      </c>
      <c r="E291" s="8">
        <v>10.0</v>
      </c>
      <c r="K291" s="8">
        <v>1800.0</v>
      </c>
      <c r="N291" s="7">
        <v>43884.0</v>
      </c>
    </row>
    <row r="292">
      <c r="A292" s="8">
        <v>291.0</v>
      </c>
      <c r="B292" s="8" t="s">
        <v>1043</v>
      </c>
      <c r="C292" s="8" t="s">
        <v>21</v>
      </c>
      <c r="E292" s="8">
        <v>10.0</v>
      </c>
      <c r="K292" s="8">
        <v>50.0</v>
      </c>
      <c r="N292" s="7">
        <v>44283.0</v>
      </c>
    </row>
    <row r="293">
      <c r="A293" s="8">
        <v>292.0</v>
      </c>
      <c r="B293" s="8" t="s">
        <v>1045</v>
      </c>
      <c r="C293" s="8" t="s">
        <v>21</v>
      </c>
      <c r="E293" s="8">
        <v>10.0</v>
      </c>
      <c r="K293" s="8">
        <v>900.0</v>
      </c>
      <c r="N293" s="7">
        <v>43999.0</v>
      </c>
    </row>
    <row r="294">
      <c r="A294" s="8">
        <v>293.0</v>
      </c>
      <c r="B294" s="8" t="s">
        <v>1047</v>
      </c>
      <c r="C294" s="8" t="s">
        <v>21</v>
      </c>
      <c r="E294" s="8">
        <v>10.0</v>
      </c>
      <c r="K294" s="8">
        <v>400.0</v>
      </c>
      <c r="N294" s="7">
        <v>43871.0</v>
      </c>
    </row>
    <row r="295">
      <c r="A295" s="8">
        <v>294.0</v>
      </c>
      <c r="B295" s="8" t="s">
        <v>1048</v>
      </c>
      <c r="C295" s="8" t="s">
        <v>21</v>
      </c>
      <c r="E295" s="8">
        <v>10.0</v>
      </c>
      <c r="K295" s="8">
        <v>30.0</v>
      </c>
      <c r="N295" s="7">
        <v>45212.0</v>
      </c>
    </row>
    <row r="296">
      <c r="A296" s="8">
        <v>295.0</v>
      </c>
      <c r="B296" s="8" t="s">
        <v>1050</v>
      </c>
      <c r="C296" s="8" t="s">
        <v>21</v>
      </c>
      <c r="D296" s="8">
        <v>46.0</v>
      </c>
      <c r="E296" s="8">
        <v>10.0</v>
      </c>
      <c r="H296" s="8" t="s">
        <v>35</v>
      </c>
      <c r="I296" s="9">
        <v>46098.58577546296</v>
      </c>
      <c r="J296" s="8" t="s">
        <v>96</v>
      </c>
      <c r="K296" s="8">
        <v>10.0</v>
      </c>
      <c r="L296" s="8">
        <v>11000.0</v>
      </c>
      <c r="M296" s="8">
        <v>11000.0</v>
      </c>
      <c r="N296" s="7">
        <v>44554.0</v>
      </c>
      <c r="O296" s="8" t="s">
        <v>26</v>
      </c>
      <c r="P296" s="8" t="s">
        <v>28</v>
      </c>
      <c r="S296" s="8" t="s">
        <v>32</v>
      </c>
    </row>
    <row r="297">
      <c r="A297" s="8">
        <v>296.0</v>
      </c>
      <c r="B297" s="8" t="s">
        <v>1054</v>
      </c>
      <c r="C297" s="8" t="s">
        <v>21</v>
      </c>
      <c r="E297" s="8">
        <v>10.0</v>
      </c>
      <c r="K297" s="8">
        <v>3200.0</v>
      </c>
      <c r="N297" s="7">
        <v>43883.0</v>
      </c>
    </row>
    <row r="298">
      <c r="A298" s="8">
        <v>297.0</v>
      </c>
      <c r="B298" s="8" t="s">
        <v>1055</v>
      </c>
      <c r="C298" s="8" t="s">
        <v>21</v>
      </c>
      <c r="E298" s="8">
        <v>10.0</v>
      </c>
      <c r="K298" s="8">
        <v>20.0</v>
      </c>
      <c r="N298" s="7">
        <v>46019.0</v>
      </c>
    </row>
    <row r="299">
      <c r="A299" s="8">
        <v>298.0</v>
      </c>
      <c r="B299" s="8" t="s">
        <v>475</v>
      </c>
      <c r="C299" s="8" t="s">
        <v>21</v>
      </c>
      <c r="D299" s="8">
        <v>20.0</v>
      </c>
      <c r="E299" s="8">
        <v>10.0</v>
      </c>
      <c r="H299" s="8" t="s">
        <v>473</v>
      </c>
      <c r="I299" s="9">
        <v>46148.40923611111</v>
      </c>
      <c r="J299" s="8" t="s">
        <v>476</v>
      </c>
      <c r="K299" s="8">
        <v>20.0</v>
      </c>
      <c r="L299" s="8">
        <v>60.0</v>
      </c>
      <c r="M299" s="8">
        <v>200.0</v>
      </c>
      <c r="N299" s="7">
        <v>42323.0</v>
      </c>
      <c r="O299" s="8" t="s">
        <v>26</v>
      </c>
      <c r="P299" s="8" t="s">
        <v>28</v>
      </c>
      <c r="S299" s="8" t="s">
        <v>32</v>
      </c>
    </row>
    <row r="300">
      <c r="A300" s="8">
        <v>299.0</v>
      </c>
      <c r="B300" s="8" t="s">
        <v>1058</v>
      </c>
      <c r="C300" s="8" t="s">
        <v>21</v>
      </c>
      <c r="E300" s="8">
        <v>10.0</v>
      </c>
      <c r="K300" s="8">
        <v>54000.0</v>
      </c>
      <c r="N300" s="7">
        <v>42787.0</v>
      </c>
    </row>
    <row r="301">
      <c r="A301" s="8">
        <v>300.0</v>
      </c>
      <c r="B301" s="8" t="s">
        <v>1060</v>
      </c>
      <c r="C301" s="8" t="s">
        <v>21</v>
      </c>
      <c r="E301" s="8">
        <v>10.0</v>
      </c>
      <c r="K301" s="8">
        <v>1000.0</v>
      </c>
      <c r="N301" s="7">
        <v>44291.0</v>
      </c>
    </row>
    <row r="302">
      <c r="A302" s="8">
        <v>301.0</v>
      </c>
      <c r="B302" s="8" t="s">
        <v>155</v>
      </c>
      <c r="C302" s="8" t="s">
        <v>21</v>
      </c>
      <c r="E302" s="8">
        <v>10.0</v>
      </c>
      <c r="K302" s="8">
        <v>10.0</v>
      </c>
      <c r="N302" s="7">
        <v>42319.0</v>
      </c>
      <c r="O302" s="8" t="s">
        <v>26</v>
      </c>
      <c r="P302" s="8" t="s">
        <v>28</v>
      </c>
      <c r="S302" s="8" t="s">
        <v>32</v>
      </c>
    </row>
    <row r="303">
      <c r="A303" s="8">
        <v>302.0</v>
      </c>
      <c r="B303" s="8" t="s">
        <v>1064</v>
      </c>
      <c r="C303" s="8" t="s">
        <v>21</v>
      </c>
      <c r="E303" s="8">
        <v>10.0</v>
      </c>
      <c r="K303" s="8">
        <v>10.0</v>
      </c>
      <c r="N303" s="7">
        <v>44295.0</v>
      </c>
    </row>
    <row r="304">
      <c r="A304" s="8">
        <v>303.0</v>
      </c>
      <c r="B304" s="8" t="s">
        <v>1066</v>
      </c>
      <c r="C304" s="8" t="s">
        <v>21</v>
      </c>
      <c r="E304" s="8">
        <v>10.0</v>
      </c>
      <c r="K304" s="8">
        <v>2800.0</v>
      </c>
      <c r="N304" s="7">
        <v>44706.0</v>
      </c>
    </row>
    <row r="305">
      <c r="A305" s="8">
        <v>304.0</v>
      </c>
      <c r="B305" s="8" t="s">
        <v>1069</v>
      </c>
      <c r="C305" s="8" t="s">
        <v>21</v>
      </c>
      <c r="E305" s="8">
        <v>10.0</v>
      </c>
      <c r="K305" s="8">
        <v>73000.0</v>
      </c>
      <c r="N305" s="7">
        <v>42442.0</v>
      </c>
      <c r="O305" s="8" t="s">
        <v>26</v>
      </c>
      <c r="P305" s="8" t="s">
        <v>28</v>
      </c>
      <c r="S305" s="8" t="s">
        <v>32</v>
      </c>
    </row>
    <row r="306">
      <c r="A306" s="8">
        <v>305.0</v>
      </c>
      <c r="B306" s="8" t="s">
        <v>1071</v>
      </c>
      <c r="C306" s="8" t="s">
        <v>21</v>
      </c>
      <c r="E306" s="8">
        <v>10.0</v>
      </c>
      <c r="K306" s="8">
        <v>10.0</v>
      </c>
      <c r="N306" s="7">
        <v>45822.0</v>
      </c>
    </row>
    <row r="307">
      <c r="A307" s="8">
        <v>306.0</v>
      </c>
      <c r="B307" s="8" t="s">
        <v>1072</v>
      </c>
      <c r="C307" s="8" t="s">
        <v>21</v>
      </c>
      <c r="E307" s="8">
        <v>10.0</v>
      </c>
      <c r="K307" s="8">
        <v>150.0</v>
      </c>
      <c r="N307" s="7">
        <v>44307.0</v>
      </c>
      <c r="O307" s="8" t="s">
        <v>31</v>
      </c>
      <c r="P307" s="8" t="s">
        <v>28</v>
      </c>
      <c r="S307" s="8" t="s">
        <v>32</v>
      </c>
    </row>
    <row r="308">
      <c r="A308" s="8">
        <v>307.0</v>
      </c>
      <c r="B308" s="8" t="s">
        <v>1073</v>
      </c>
      <c r="C308" s="8" t="s">
        <v>21</v>
      </c>
      <c r="E308" s="8">
        <v>10.0</v>
      </c>
      <c r="K308" s="8">
        <v>8100.0</v>
      </c>
      <c r="N308" s="7">
        <v>44358.0</v>
      </c>
      <c r="O308" s="8" t="s">
        <v>147</v>
      </c>
      <c r="P308" s="8" t="s">
        <v>28</v>
      </c>
      <c r="S308" s="8" t="s">
        <v>32</v>
      </c>
    </row>
    <row r="309">
      <c r="A309" s="8">
        <v>308.0</v>
      </c>
      <c r="B309" s="8" t="s">
        <v>1074</v>
      </c>
      <c r="C309" s="8" t="s">
        <v>21</v>
      </c>
      <c r="E309" s="8">
        <v>10.0</v>
      </c>
      <c r="K309" s="8">
        <v>1200.0</v>
      </c>
      <c r="N309" s="7">
        <v>44401.0</v>
      </c>
    </row>
    <row r="310">
      <c r="A310" s="8">
        <v>309.0</v>
      </c>
      <c r="B310" s="8" t="s">
        <v>1075</v>
      </c>
      <c r="C310" s="8" t="s">
        <v>21</v>
      </c>
      <c r="E310" s="8">
        <v>10.0</v>
      </c>
      <c r="K310" s="8">
        <v>10.0</v>
      </c>
      <c r="N310" s="7">
        <v>45758.0</v>
      </c>
    </row>
    <row r="311">
      <c r="A311" s="8">
        <v>310.0</v>
      </c>
      <c r="B311" s="8" t="s">
        <v>1076</v>
      </c>
      <c r="C311" s="8" t="s">
        <v>21</v>
      </c>
      <c r="E311" s="8">
        <v>10.0</v>
      </c>
      <c r="K311" s="8">
        <v>80.0</v>
      </c>
      <c r="N311" s="7">
        <v>45918.0</v>
      </c>
    </row>
    <row r="312">
      <c r="A312" s="8">
        <v>311.0</v>
      </c>
      <c r="B312" s="8" t="s">
        <v>1078</v>
      </c>
      <c r="C312" s="8" t="s">
        <v>21</v>
      </c>
      <c r="E312" s="8">
        <v>10.0</v>
      </c>
      <c r="K312" s="8">
        <v>350.0</v>
      </c>
      <c r="N312" s="7">
        <v>44453.0</v>
      </c>
    </row>
    <row r="313">
      <c r="A313" s="8">
        <v>312.0</v>
      </c>
      <c r="B313" s="8" t="s">
        <v>1080</v>
      </c>
      <c r="C313" s="8" t="s">
        <v>21</v>
      </c>
      <c r="E313" s="8">
        <v>10.0</v>
      </c>
      <c r="K313" s="8">
        <v>10.0</v>
      </c>
      <c r="N313" s="7">
        <v>44965.0</v>
      </c>
    </row>
    <row r="314">
      <c r="A314" s="8">
        <v>313.0</v>
      </c>
      <c r="B314" s="8" t="s">
        <v>1082</v>
      </c>
      <c r="C314" s="8" t="s">
        <v>21</v>
      </c>
      <c r="E314" s="8">
        <v>10.0</v>
      </c>
      <c r="K314" s="8">
        <v>10.0</v>
      </c>
      <c r="N314" s="7">
        <v>44100.0</v>
      </c>
      <c r="O314" s="8" t="s">
        <v>26</v>
      </c>
      <c r="P314" s="8" t="s">
        <v>28</v>
      </c>
      <c r="S314" s="8" t="s">
        <v>32</v>
      </c>
    </row>
    <row r="315">
      <c r="A315" s="8">
        <v>314.0</v>
      </c>
      <c r="B315" s="8" t="s">
        <v>1085</v>
      </c>
      <c r="C315" s="8" t="s">
        <v>21</v>
      </c>
      <c r="E315" s="8">
        <v>10.0</v>
      </c>
      <c r="K315" s="8">
        <v>1300.0</v>
      </c>
      <c r="N315" s="7">
        <v>45649.0</v>
      </c>
    </row>
    <row r="316">
      <c r="A316" s="8">
        <v>315.0</v>
      </c>
      <c r="B316" s="8" t="s">
        <v>1087</v>
      </c>
      <c r="C316" s="8" t="s">
        <v>21</v>
      </c>
      <c r="E316" s="8">
        <v>10.0</v>
      </c>
      <c r="K316" s="8">
        <v>3000.0</v>
      </c>
      <c r="N316" s="7">
        <v>43906.0</v>
      </c>
    </row>
    <row r="317">
      <c r="A317" s="8">
        <v>316.0</v>
      </c>
      <c r="B317" s="8" t="s">
        <v>1088</v>
      </c>
      <c r="C317" s="8" t="s">
        <v>21</v>
      </c>
      <c r="D317" s="8">
        <v>36.0</v>
      </c>
      <c r="E317" s="8">
        <v>10.0</v>
      </c>
      <c r="H317" s="8" t="s">
        <v>19</v>
      </c>
      <c r="I317" s="9">
        <v>46101.23947916667</v>
      </c>
      <c r="J317" s="8" t="s">
        <v>25</v>
      </c>
      <c r="K317" s="8">
        <v>10.0</v>
      </c>
      <c r="L317" s="8">
        <v>28000.0</v>
      </c>
      <c r="M317" s="8">
        <v>29000.0</v>
      </c>
      <c r="N317" s="7">
        <v>43994.0</v>
      </c>
      <c r="O317" s="8" t="s">
        <v>26</v>
      </c>
      <c r="P317" s="8" t="s">
        <v>28</v>
      </c>
      <c r="S317" s="8" t="s">
        <v>32</v>
      </c>
    </row>
    <row r="318">
      <c r="A318" s="8">
        <v>317.0</v>
      </c>
      <c r="B318" s="8" t="s">
        <v>1092</v>
      </c>
      <c r="C318" s="8" t="s">
        <v>21</v>
      </c>
      <c r="E318" s="8">
        <v>10.0</v>
      </c>
      <c r="K318" s="8">
        <v>13000.0</v>
      </c>
      <c r="N318" s="7">
        <v>44497.0</v>
      </c>
    </row>
    <row r="319">
      <c r="A319" s="8">
        <v>318.0</v>
      </c>
      <c r="B319" s="8" t="s">
        <v>1093</v>
      </c>
      <c r="C319" s="8" t="s">
        <v>21</v>
      </c>
      <c r="E319" s="8">
        <v>10.0</v>
      </c>
      <c r="K319" s="8">
        <v>4800.0</v>
      </c>
      <c r="N319" s="7">
        <v>43889.0</v>
      </c>
    </row>
    <row r="320">
      <c r="A320" s="8">
        <v>319.0</v>
      </c>
      <c r="B320" s="8" t="s">
        <v>1097</v>
      </c>
      <c r="C320" s="8" t="s">
        <v>21</v>
      </c>
      <c r="K320" s="8">
        <v>4300.0</v>
      </c>
      <c r="N320" s="7">
        <v>44654.0</v>
      </c>
    </row>
    <row r="321">
      <c r="A321" s="8">
        <v>320.0</v>
      </c>
      <c r="B321" s="8" t="s">
        <v>1098</v>
      </c>
      <c r="C321" s="8" t="s">
        <v>21</v>
      </c>
      <c r="N321" s="7">
        <v>42269.0</v>
      </c>
    </row>
    <row r="322">
      <c r="A322" s="8">
        <v>321.0</v>
      </c>
      <c r="B322" s="8" t="s">
        <v>1099</v>
      </c>
      <c r="C322" s="8" t="s">
        <v>21</v>
      </c>
      <c r="K322" s="8">
        <v>800.0</v>
      </c>
      <c r="N322" s="7">
        <v>44157.0</v>
      </c>
    </row>
    <row r="323">
      <c r="A323" s="8">
        <v>322.0</v>
      </c>
      <c r="B323" s="8" t="s">
        <v>1102</v>
      </c>
      <c r="C323" s="8" t="s">
        <v>21</v>
      </c>
      <c r="K323" s="8">
        <v>1700.0</v>
      </c>
      <c r="N323" s="7">
        <v>44051.0</v>
      </c>
    </row>
    <row r="324">
      <c r="A324" s="8">
        <v>323.0</v>
      </c>
      <c r="B324" s="8" t="s">
        <v>1104</v>
      </c>
      <c r="C324" s="8" t="s">
        <v>21</v>
      </c>
      <c r="K324" s="8">
        <v>10.0</v>
      </c>
      <c r="N324" s="7">
        <v>43909.0</v>
      </c>
    </row>
    <row r="325">
      <c r="A325" s="8">
        <v>324.0</v>
      </c>
      <c r="B325" s="8" t="s">
        <v>1105</v>
      </c>
      <c r="C325" s="8" t="s">
        <v>21</v>
      </c>
      <c r="K325" s="8">
        <v>1000.0</v>
      </c>
      <c r="N325" s="7">
        <v>44314.0</v>
      </c>
    </row>
    <row r="326">
      <c r="A326" s="8">
        <v>325.0</v>
      </c>
      <c r="B326" s="8" t="s">
        <v>1108</v>
      </c>
      <c r="C326" s="8" t="s">
        <v>21</v>
      </c>
      <c r="K326" s="8">
        <v>350.0</v>
      </c>
      <c r="N326" s="7">
        <v>43868.0</v>
      </c>
    </row>
    <row r="327">
      <c r="A327" s="8">
        <v>326.0</v>
      </c>
      <c r="B327" s="8" t="s">
        <v>1109</v>
      </c>
      <c r="C327" s="8" t="s">
        <v>21</v>
      </c>
      <c r="N327" s="7">
        <v>44276.0</v>
      </c>
    </row>
    <row r="328">
      <c r="A328" s="8">
        <v>327.0</v>
      </c>
      <c r="B328" s="8" t="s">
        <v>1110</v>
      </c>
      <c r="C328" s="8" t="s">
        <v>21</v>
      </c>
      <c r="K328" s="8">
        <v>50.0</v>
      </c>
      <c r="N328" s="7">
        <v>45950.0</v>
      </c>
    </row>
    <row r="329">
      <c r="A329" s="8">
        <v>328.0</v>
      </c>
      <c r="B329" s="8" t="s">
        <v>1111</v>
      </c>
      <c r="C329" s="8" t="s">
        <v>21</v>
      </c>
      <c r="K329" s="8">
        <v>2500.0</v>
      </c>
      <c r="N329" s="7">
        <v>45062.0</v>
      </c>
    </row>
    <row r="330">
      <c r="A330" s="8">
        <v>329.0</v>
      </c>
      <c r="B330" s="8" t="s">
        <v>1116</v>
      </c>
      <c r="C330" s="8" t="s">
        <v>21</v>
      </c>
      <c r="K330" s="8">
        <v>300.0</v>
      </c>
      <c r="N330" s="7">
        <v>43905.0</v>
      </c>
    </row>
    <row r="331">
      <c r="A331" s="8">
        <v>330.0</v>
      </c>
      <c r="B331" s="8" t="s">
        <v>1118</v>
      </c>
      <c r="C331" s="8" t="s">
        <v>21</v>
      </c>
      <c r="K331" s="8">
        <v>20.0</v>
      </c>
      <c r="N331" s="7">
        <v>44588.0</v>
      </c>
    </row>
    <row r="332">
      <c r="A332" s="8">
        <v>331.0</v>
      </c>
      <c r="B332" s="8" t="s">
        <v>1119</v>
      </c>
      <c r="C332" s="8" t="s">
        <v>21</v>
      </c>
      <c r="K332" s="8">
        <v>7400.0</v>
      </c>
      <c r="N332" s="7">
        <v>44225.0</v>
      </c>
    </row>
    <row r="333">
      <c r="A333" s="8">
        <v>332.0</v>
      </c>
      <c r="B333" s="8" t="s">
        <v>1122</v>
      </c>
      <c r="C333" s="8" t="s">
        <v>21</v>
      </c>
      <c r="K333" s="8">
        <v>100.0</v>
      </c>
      <c r="N333" s="7">
        <v>45417.0</v>
      </c>
    </row>
    <row r="334">
      <c r="A334" s="8">
        <v>333.0</v>
      </c>
      <c r="B334" s="8" t="s">
        <v>1123</v>
      </c>
      <c r="C334" s="8" t="s">
        <v>21</v>
      </c>
      <c r="K334" s="8">
        <v>500.0</v>
      </c>
      <c r="N334" s="7">
        <v>44167.0</v>
      </c>
    </row>
    <row r="335">
      <c r="A335" s="8">
        <v>334.0</v>
      </c>
      <c r="B335" s="8" t="s">
        <v>1125</v>
      </c>
      <c r="C335" s="8" t="s">
        <v>21</v>
      </c>
      <c r="K335" s="8">
        <v>100.0</v>
      </c>
      <c r="N335" s="7">
        <v>45180.0</v>
      </c>
    </row>
    <row r="336">
      <c r="A336" s="8">
        <v>335.0</v>
      </c>
      <c r="B336" s="8" t="s">
        <v>1126</v>
      </c>
      <c r="C336" s="8" t="s">
        <v>21</v>
      </c>
      <c r="N336" s="7">
        <v>42691.0</v>
      </c>
      <c r="O336" s="8" t="s">
        <v>26</v>
      </c>
      <c r="P336" s="8" t="s">
        <v>28</v>
      </c>
      <c r="S336" s="8" t="s">
        <v>32</v>
      </c>
    </row>
    <row r="337">
      <c r="A337" s="8">
        <v>336.0</v>
      </c>
      <c r="B337" s="8" t="s">
        <v>1129</v>
      </c>
      <c r="C337" s="8" t="s">
        <v>21</v>
      </c>
      <c r="K337" s="8">
        <v>250.0</v>
      </c>
      <c r="N337" s="7">
        <v>46107.0</v>
      </c>
    </row>
    <row r="338">
      <c r="A338" s="8">
        <v>337.0</v>
      </c>
      <c r="B338" s="8" t="s">
        <v>1132</v>
      </c>
      <c r="C338" s="8" t="s">
        <v>21</v>
      </c>
      <c r="K338" s="8">
        <v>300.0</v>
      </c>
      <c r="N338" s="7">
        <v>43886.0</v>
      </c>
    </row>
    <row r="339">
      <c r="A339" s="8">
        <v>338.0</v>
      </c>
      <c r="B339" s="8" t="s">
        <v>1136</v>
      </c>
      <c r="C339" s="8" t="s">
        <v>21</v>
      </c>
      <c r="K339" s="8">
        <v>200.0</v>
      </c>
      <c r="N339" s="7">
        <v>44579.0</v>
      </c>
    </row>
    <row r="340">
      <c r="A340" s="8">
        <v>339.0</v>
      </c>
      <c r="B340" s="8" t="s">
        <v>1139</v>
      </c>
      <c r="C340" s="8" t="s">
        <v>21</v>
      </c>
      <c r="K340" s="8">
        <v>15000.0</v>
      </c>
      <c r="N340" s="7">
        <v>44610.0</v>
      </c>
    </row>
    <row r="341">
      <c r="A341" s="8">
        <v>340.0</v>
      </c>
      <c r="B341" s="8" t="s">
        <v>1140</v>
      </c>
      <c r="C341" s="8" t="s">
        <v>21</v>
      </c>
      <c r="K341" s="8">
        <v>50.0</v>
      </c>
      <c r="N341" s="7">
        <v>44880.0</v>
      </c>
    </row>
    <row r="342">
      <c r="A342" s="8">
        <v>341.0</v>
      </c>
      <c r="B342" s="8" t="s">
        <v>1145</v>
      </c>
      <c r="C342" s="8" t="s">
        <v>21</v>
      </c>
      <c r="K342" s="8">
        <v>30.0</v>
      </c>
      <c r="N342" s="7">
        <v>44134.0</v>
      </c>
    </row>
    <row r="343">
      <c r="A343" s="8">
        <v>342.0</v>
      </c>
      <c r="B343" s="8" t="s">
        <v>1146</v>
      </c>
      <c r="C343" s="8" t="s">
        <v>21</v>
      </c>
      <c r="N343" s="7">
        <v>44611.0</v>
      </c>
    </row>
    <row r="344">
      <c r="A344" s="8">
        <v>343.0</v>
      </c>
      <c r="B344" s="8" t="s">
        <v>1147</v>
      </c>
      <c r="C344" s="8" t="s">
        <v>21</v>
      </c>
      <c r="N344" s="7">
        <v>45396.0</v>
      </c>
    </row>
    <row r="345">
      <c r="A345" s="8">
        <v>344.0</v>
      </c>
      <c r="B345" s="8" t="s">
        <v>1149</v>
      </c>
      <c r="C345" s="8" t="s">
        <v>21</v>
      </c>
      <c r="K345" s="8">
        <v>40.0</v>
      </c>
      <c r="N345" s="7">
        <v>44196.0</v>
      </c>
    </row>
    <row r="346">
      <c r="A346" s="8">
        <v>345.0</v>
      </c>
      <c r="B346" s="8" t="s">
        <v>1153</v>
      </c>
      <c r="C346" s="8" t="s">
        <v>21</v>
      </c>
      <c r="K346" s="8">
        <v>1600.0</v>
      </c>
      <c r="N346" s="7">
        <v>43942.0</v>
      </c>
    </row>
    <row r="347">
      <c r="A347" s="8">
        <v>346.0</v>
      </c>
      <c r="B347" s="8" t="s">
        <v>1156</v>
      </c>
      <c r="C347" s="8" t="s">
        <v>21</v>
      </c>
      <c r="K347" s="8">
        <v>1800.0</v>
      </c>
      <c r="N347" s="7">
        <v>45569.0</v>
      </c>
    </row>
    <row r="348">
      <c r="A348" s="8">
        <v>347.0</v>
      </c>
      <c r="B348" s="8" t="s">
        <v>1160</v>
      </c>
      <c r="C348" s="8" t="s">
        <v>21</v>
      </c>
      <c r="K348" s="8">
        <v>450.0</v>
      </c>
      <c r="N348" s="7">
        <v>44376.0</v>
      </c>
    </row>
    <row r="349">
      <c r="A349" s="8">
        <v>348.0</v>
      </c>
      <c r="B349" s="8" t="s">
        <v>22</v>
      </c>
      <c r="C349" s="8" t="s">
        <v>21</v>
      </c>
      <c r="K349" s="8">
        <v>20.0</v>
      </c>
      <c r="N349" s="7">
        <v>44434.0</v>
      </c>
    </row>
    <row r="350">
      <c r="A350" s="8">
        <v>349.0</v>
      </c>
      <c r="B350" s="8" t="s">
        <v>1162</v>
      </c>
      <c r="C350" s="8" t="s">
        <v>21</v>
      </c>
      <c r="N350" s="7">
        <v>45020.0</v>
      </c>
    </row>
    <row r="351">
      <c r="A351" s="8">
        <v>350.0</v>
      </c>
      <c r="B351" s="8" t="s">
        <v>1163</v>
      </c>
      <c r="C351" s="8" t="s">
        <v>21</v>
      </c>
      <c r="K351" s="8">
        <v>100.0</v>
      </c>
      <c r="N351" s="7">
        <v>45839.0</v>
      </c>
    </row>
    <row r="352">
      <c r="A352" s="8">
        <v>351.0</v>
      </c>
      <c r="B352" s="8" t="s">
        <v>1167</v>
      </c>
      <c r="C352" s="8" t="s">
        <v>21</v>
      </c>
      <c r="N352" s="7">
        <v>44208.0</v>
      </c>
    </row>
    <row r="353">
      <c r="A353" s="8">
        <v>352.0</v>
      </c>
      <c r="B353" s="8" t="s">
        <v>1168</v>
      </c>
      <c r="C353" s="8" t="s">
        <v>21</v>
      </c>
      <c r="N353" s="7">
        <v>43340.0</v>
      </c>
      <c r="O353" s="8" t="s">
        <v>26</v>
      </c>
      <c r="P353" s="8" t="s">
        <v>28</v>
      </c>
      <c r="S353" s="8" t="s">
        <v>32</v>
      </c>
    </row>
    <row r="354">
      <c r="A354" s="8">
        <v>353.0</v>
      </c>
      <c r="B354" s="8" t="s">
        <v>1172</v>
      </c>
      <c r="C354" s="8" t="s">
        <v>21</v>
      </c>
      <c r="K354" s="8">
        <v>20.0</v>
      </c>
      <c r="N354" s="7">
        <v>45411.0</v>
      </c>
    </row>
    <row r="355">
      <c r="A355" s="8">
        <v>354.0</v>
      </c>
      <c r="B355" s="8" t="s">
        <v>1173</v>
      </c>
      <c r="C355" s="8" t="s">
        <v>21</v>
      </c>
      <c r="K355" s="8">
        <v>250.0</v>
      </c>
      <c r="N355" s="7">
        <v>44637.0</v>
      </c>
    </row>
    <row r="356">
      <c r="A356" s="8">
        <v>355.0</v>
      </c>
      <c r="B356" s="8" t="s">
        <v>1175</v>
      </c>
      <c r="C356" s="8" t="s">
        <v>21</v>
      </c>
      <c r="N356" s="7">
        <v>44869.0</v>
      </c>
    </row>
    <row r="357">
      <c r="A357" s="8">
        <v>356.0</v>
      </c>
      <c r="B357" s="8" t="s">
        <v>1176</v>
      </c>
      <c r="C357" s="8" t="s">
        <v>21</v>
      </c>
      <c r="K357" s="8">
        <v>250.0</v>
      </c>
      <c r="N357" s="7">
        <v>45245.0</v>
      </c>
    </row>
    <row r="358">
      <c r="A358" s="8">
        <v>357.0</v>
      </c>
      <c r="B358" s="8" t="s">
        <v>1177</v>
      </c>
      <c r="C358" s="8" t="s">
        <v>21</v>
      </c>
      <c r="K358" s="8">
        <v>200.0</v>
      </c>
      <c r="N358" s="7">
        <v>44526.0</v>
      </c>
    </row>
    <row r="359">
      <c r="A359" s="8">
        <v>358.0</v>
      </c>
      <c r="B359" s="8" t="s">
        <v>1179</v>
      </c>
      <c r="C359" s="8" t="s">
        <v>21</v>
      </c>
      <c r="K359" s="8">
        <v>10.0</v>
      </c>
      <c r="N359" s="7">
        <v>44812.0</v>
      </c>
    </row>
    <row r="360">
      <c r="A360" s="8">
        <v>359.0</v>
      </c>
      <c r="B360" s="8" t="s">
        <v>1180</v>
      </c>
      <c r="C360" s="8" t="s">
        <v>21</v>
      </c>
      <c r="N360" s="7">
        <v>43882.0</v>
      </c>
    </row>
    <row r="361">
      <c r="A361" s="8">
        <v>360.0</v>
      </c>
      <c r="B361" s="8" t="s">
        <v>1181</v>
      </c>
      <c r="C361" s="8" t="s">
        <v>21</v>
      </c>
      <c r="K361" s="8">
        <v>600.0</v>
      </c>
      <c r="N361" s="7">
        <v>44533.0</v>
      </c>
    </row>
    <row r="362">
      <c r="A362" s="8">
        <v>361.0</v>
      </c>
      <c r="B362" s="8" t="s">
        <v>1184</v>
      </c>
      <c r="C362" s="8" t="s">
        <v>21</v>
      </c>
      <c r="K362" s="8">
        <v>100.0</v>
      </c>
      <c r="N362" s="7">
        <v>44473.0</v>
      </c>
    </row>
    <row r="363">
      <c r="A363" s="8">
        <v>362.0</v>
      </c>
      <c r="B363" s="8" t="s">
        <v>1185</v>
      </c>
      <c r="C363" s="8" t="s">
        <v>21</v>
      </c>
      <c r="K363" s="8">
        <v>80.0</v>
      </c>
      <c r="N363" s="7">
        <v>44650.0</v>
      </c>
    </row>
    <row r="364">
      <c r="A364" s="8">
        <v>363.0</v>
      </c>
      <c r="B364" s="8" t="s">
        <v>1189</v>
      </c>
      <c r="C364" s="8" t="s">
        <v>21</v>
      </c>
      <c r="K364" s="8">
        <v>10.0</v>
      </c>
      <c r="N364" s="7">
        <v>44320.0</v>
      </c>
    </row>
    <row r="365">
      <c r="A365" s="8">
        <v>364.0</v>
      </c>
      <c r="B365" s="8" t="s">
        <v>1191</v>
      </c>
      <c r="C365" s="8" t="s">
        <v>21</v>
      </c>
      <c r="K365" s="8">
        <v>40.0</v>
      </c>
      <c r="N365" s="7">
        <v>44982.0</v>
      </c>
    </row>
    <row r="366">
      <c r="A366" s="8">
        <v>365.0</v>
      </c>
      <c r="B366" s="8" t="s">
        <v>1192</v>
      </c>
      <c r="C366" s="8" t="s">
        <v>21</v>
      </c>
      <c r="K366" s="8">
        <v>20.0</v>
      </c>
      <c r="N366" s="7">
        <v>45982.0</v>
      </c>
    </row>
    <row r="367">
      <c r="A367" s="8">
        <v>366.0</v>
      </c>
      <c r="B367" s="8" t="s">
        <v>1194</v>
      </c>
      <c r="C367" s="8" t="s">
        <v>21</v>
      </c>
      <c r="N367" s="7">
        <v>44451.0</v>
      </c>
    </row>
    <row r="368">
      <c r="A368" s="8">
        <v>367.0</v>
      </c>
      <c r="B368" s="8" t="s">
        <v>1195</v>
      </c>
      <c r="C368" s="8" t="s">
        <v>21</v>
      </c>
      <c r="K368" s="8">
        <v>10.0</v>
      </c>
      <c r="N368" s="7">
        <v>44319.0</v>
      </c>
    </row>
    <row r="369">
      <c r="A369" s="8">
        <v>368.0</v>
      </c>
      <c r="B369" s="8" t="s">
        <v>1197</v>
      </c>
      <c r="C369" s="8" t="s">
        <v>21</v>
      </c>
      <c r="K369" s="8">
        <v>6600.0</v>
      </c>
      <c r="N369" s="7">
        <v>44170.0</v>
      </c>
      <c r="O369" s="8" t="s">
        <v>147</v>
      </c>
      <c r="P369" s="8" t="s">
        <v>28</v>
      </c>
      <c r="S369" s="8" t="s">
        <v>32</v>
      </c>
    </row>
    <row r="370">
      <c r="A370" s="8">
        <v>369.0</v>
      </c>
      <c r="B370" s="8" t="s">
        <v>1198</v>
      </c>
      <c r="C370" s="8" t="s">
        <v>21</v>
      </c>
      <c r="N370" s="7">
        <v>44329.0</v>
      </c>
    </row>
    <row r="371">
      <c r="A371" s="8">
        <v>370.0</v>
      </c>
      <c r="B371" s="8" t="s">
        <v>1199</v>
      </c>
      <c r="C371" s="8" t="s">
        <v>21</v>
      </c>
      <c r="N371" s="7">
        <v>44500.0</v>
      </c>
      <c r="O371" s="8" t="s">
        <v>147</v>
      </c>
      <c r="P371" s="8" t="s">
        <v>28</v>
      </c>
      <c r="S371" s="8" t="s">
        <v>32</v>
      </c>
    </row>
    <row r="372">
      <c r="A372" s="8">
        <v>371.0</v>
      </c>
      <c r="B372" s="8" t="s">
        <v>1200</v>
      </c>
      <c r="C372" s="8" t="s">
        <v>21</v>
      </c>
      <c r="K372" s="8">
        <v>70.0</v>
      </c>
      <c r="N372" s="7">
        <v>44646.0</v>
      </c>
    </row>
    <row r="373">
      <c r="A373" s="8">
        <v>372.0</v>
      </c>
      <c r="B373" s="8" t="s">
        <v>1202</v>
      </c>
      <c r="C373" s="8" t="s">
        <v>21</v>
      </c>
      <c r="K373" s="8">
        <v>300.0</v>
      </c>
      <c r="N373" s="7">
        <v>43176.0</v>
      </c>
    </row>
    <row r="374">
      <c r="A374" s="8">
        <v>373.0</v>
      </c>
      <c r="B374" s="8" t="s">
        <v>1203</v>
      </c>
      <c r="C374" s="8" t="s">
        <v>21</v>
      </c>
      <c r="D374" s="8">
        <v>75.0</v>
      </c>
      <c r="H374" s="8" t="s">
        <v>123</v>
      </c>
      <c r="I374" s="9">
        <v>46125.2446412037</v>
      </c>
      <c r="J374" s="8" t="s">
        <v>90</v>
      </c>
      <c r="K374" s="8">
        <v>1800.0</v>
      </c>
      <c r="L374" s="8">
        <v>700.0</v>
      </c>
      <c r="M374" s="8">
        <v>205000.0</v>
      </c>
      <c r="N374" s="7">
        <v>43005.0</v>
      </c>
      <c r="O374" s="8" t="s">
        <v>107</v>
      </c>
      <c r="P374" s="8" t="s">
        <v>28</v>
      </c>
      <c r="S374" s="8" t="s">
        <v>32</v>
      </c>
    </row>
    <row r="375">
      <c r="A375" s="8">
        <v>374.0</v>
      </c>
      <c r="B375" s="8" t="s">
        <v>1205</v>
      </c>
      <c r="C375" s="8" t="s">
        <v>21</v>
      </c>
      <c r="K375" s="8">
        <v>200.0</v>
      </c>
      <c r="N375" s="7">
        <v>45626.0</v>
      </c>
    </row>
    <row r="376">
      <c r="A376" s="8">
        <v>375.0</v>
      </c>
      <c r="B376" s="8" t="s">
        <v>1209</v>
      </c>
      <c r="C376" s="8" t="s">
        <v>21</v>
      </c>
      <c r="K376" s="8">
        <v>1600.0</v>
      </c>
      <c r="N376" s="7">
        <v>44250.0</v>
      </c>
    </row>
    <row r="377">
      <c r="A377" s="8">
        <v>376.0</v>
      </c>
      <c r="B377" s="8" t="s">
        <v>1211</v>
      </c>
      <c r="C377" s="8" t="s">
        <v>21</v>
      </c>
      <c r="N377" s="7">
        <v>44869.0</v>
      </c>
    </row>
    <row r="378">
      <c r="A378" s="8">
        <v>377.0</v>
      </c>
      <c r="B378" s="8" t="s">
        <v>1212</v>
      </c>
      <c r="C378" s="8" t="s">
        <v>21</v>
      </c>
      <c r="K378" s="8">
        <v>450.0</v>
      </c>
      <c r="N378" s="7">
        <v>44789.0</v>
      </c>
    </row>
    <row r="379">
      <c r="A379" s="8">
        <v>378.0</v>
      </c>
      <c r="B379" s="8" t="s">
        <v>1213</v>
      </c>
      <c r="C379" s="8" t="s">
        <v>21</v>
      </c>
      <c r="K379" s="8">
        <v>20.0</v>
      </c>
      <c r="N379" s="7">
        <v>43860.0</v>
      </c>
    </row>
    <row r="380">
      <c r="A380" s="8">
        <v>379.0</v>
      </c>
      <c r="B380" s="8" t="s">
        <v>1216</v>
      </c>
      <c r="C380" s="8" t="s">
        <v>21</v>
      </c>
      <c r="N380" s="7">
        <v>45291.0</v>
      </c>
    </row>
    <row r="381">
      <c r="A381" s="8">
        <v>380.0</v>
      </c>
      <c r="B381" s="8" t="s">
        <v>1217</v>
      </c>
      <c r="C381" s="8" t="s">
        <v>21</v>
      </c>
      <c r="K381" s="8">
        <v>700.0</v>
      </c>
      <c r="N381" s="7">
        <v>43931.0</v>
      </c>
    </row>
    <row r="382">
      <c r="A382" s="8">
        <v>381.0</v>
      </c>
      <c r="B382" s="8" t="s">
        <v>1219</v>
      </c>
      <c r="C382" s="8" t="s">
        <v>21</v>
      </c>
      <c r="K382" s="8">
        <v>90.0</v>
      </c>
      <c r="N382" s="7">
        <v>44110.0</v>
      </c>
    </row>
    <row r="383">
      <c r="A383" s="8">
        <v>382.0</v>
      </c>
      <c r="B383" s="8" t="s">
        <v>1220</v>
      </c>
      <c r="C383" s="8" t="s">
        <v>21</v>
      </c>
      <c r="K383" s="8">
        <v>90.0</v>
      </c>
      <c r="N383" s="7">
        <v>44424.0</v>
      </c>
    </row>
    <row r="384">
      <c r="A384" s="8">
        <v>383.0</v>
      </c>
      <c r="B384" s="8" t="s">
        <v>1222</v>
      </c>
      <c r="C384" s="8" t="s">
        <v>21</v>
      </c>
      <c r="K384" s="8">
        <v>20.0</v>
      </c>
      <c r="N384" s="7">
        <v>45867.0</v>
      </c>
    </row>
    <row r="385">
      <c r="A385" s="8">
        <v>384.0</v>
      </c>
      <c r="B385" s="8" t="s">
        <v>1225</v>
      </c>
      <c r="C385" s="8" t="s">
        <v>21</v>
      </c>
      <c r="N385" s="7">
        <v>44254.0</v>
      </c>
    </row>
    <row r="386">
      <c r="A386" s="8">
        <v>385.0</v>
      </c>
      <c r="B386" s="8" t="s">
        <v>1227</v>
      </c>
      <c r="C386" s="8" t="s">
        <v>21</v>
      </c>
      <c r="K386" s="8">
        <v>50.0</v>
      </c>
      <c r="N386" s="7">
        <v>44580.0</v>
      </c>
    </row>
    <row r="387">
      <c r="A387" s="8">
        <v>386.0</v>
      </c>
      <c r="B387" s="8" t="s">
        <v>1228</v>
      </c>
      <c r="C387" s="8" t="s">
        <v>21</v>
      </c>
      <c r="K387" s="8">
        <v>1500.0</v>
      </c>
      <c r="N387" s="7">
        <v>43869.0</v>
      </c>
    </row>
    <row r="388">
      <c r="A388" s="8">
        <v>387.0</v>
      </c>
      <c r="B388" s="8" t="s">
        <v>1230</v>
      </c>
      <c r="C388" s="8" t="s">
        <v>21</v>
      </c>
      <c r="K388" s="8">
        <v>500.0</v>
      </c>
      <c r="N388" s="7">
        <v>45238.0</v>
      </c>
    </row>
    <row r="389">
      <c r="A389" s="8">
        <v>388.0</v>
      </c>
      <c r="B389" s="8" t="s">
        <v>1231</v>
      </c>
      <c r="C389" s="8" t="s">
        <v>21</v>
      </c>
      <c r="K389" s="8">
        <v>90.0</v>
      </c>
      <c r="N389" s="7">
        <v>44985.0</v>
      </c>
    </row>
    <row r="390">
      <c r="A390" s="8">
        <v>389.0</v>
      </c>
      <c r="B390" s="8" t="s">
        <v>1233</v>
      </c>
      <c r="C390" s="8" t="s">
        <v>21</v>
      </c>
      <c r="K390" s="8">
        <v>1100.0</v>
      </c>
      <c r="N390" s="7">
        <v>44344.0</v>
      </c>
    </row>
    <row r="391">
      <c r="A391" s="8">
        <v>390.0</v>
      </c>
      <c r="B391" s="8" t="s">
        <v>1234</v>
      </c>
      <c r="C391" s="8" t="s">
        <v>21</v>
      </c>
      <c r="K391" s="8">
        <v>30.0</v>
      </c>
      <c r="N391" s="7">
        <v>44371.0</v>
      </c>
    </row>
    <row r="392">
      <c r="A392" s="8">
        <v>391.0</v>
      </c>
      <c r="B392" s="8" t="s">
        <v>24</v>
      </c>
      <c r="C392" s="8" t="s">
        <v>21</v>
      </c>
      <c r="K392" s="8">
        <v>40.0</v>
      </c>
      <c r="N392" s="7">
        <v>44331.0</v>
      </c>
    </row>
    <row r="393">
      <c r="A393" s="8">
        <v>392.0</v>
      </c>
      <c r="B393" s="8" t="s">
        <v>1235</v>
      </c>
      <c r="C393" s="8" t="s">
        <v>21</v>
      </c>
      <c r="K393" s="8">
        <v>50.0</v>
      </c>
      <c r="N393" s="7">
        <v>45414.0</v>
      </c>
    </row>
    <row r="394">
      <c r="A394" s="8">
        <v>393.0</v>
      </c>
      <c r="B394" s="8" t="s">
        <v>1236</v>
      </c>
      <c r="C394" s="8" t="s">
        <v>21</v>
      </c>
      <c r="K394" s="8">
        <v>100.0</v>
      </c>
      <c r="N394" s="7">
        <v>44351.0</v>
      </c>
    </row>
    <row r="395">
      <c r="A395" s="8">
        <v>394.0</v>
      </c>
      <c r="B395" s="8" t="s">
        <v>1238</v>
      </c>
      <c r="C395" s="8" t="s">
        <v>21</v>
      </c>
      <c r="K395" s="8">
        <v>350.0</v>
      </c>
      <c r="N395" s="7">
        <v>44966.0</v>
      </c>
    </row>
    <row r="396">
      <c r="A396" s="8">
        <v>395.0</v>
      </c>
      <c r="B396" s="8" t="s">
        <v>1239</v>
      </c>
      <c r="C396" s="8" t="s">
        <v>21</v>
      </c>
      <c r="N396" s="7">
        <v>42638.0</v>
      </c>
    </row>
    <row r="397">
      <c r="A397" s="8">
        <v>396.0</v>
      </c>
      <c r="B397" s="8" t="s">
        <v>1241</v>
      </c>
      <c r="C397" s="8" t="s">
        <v>21</v>
      </c>
      <c r="N397" s="7">
        <v>44208.0</v>
      </c>
    </row>
    <row r="398">
      <c r="A398" s="8">
        <v>397.0</v>
      </c>
      <c r="B398" s="8" t="s">
        <v>1242</v>
      </c>
      <c r="C398" s="8" t="s">
        <v>21</v>
      </c>
      <c r="N398" s="7">
        <v>44800.0</v>
      </c>
    </row>
    <row r="399">
      <c r="A399" s="8">
        <v>398.0</v>
      </c>
      <c r="B399" s="8" t="s">
        <v>1244</v>
      </c>
      <c r="C399" s="8" t="s">
        <v>21</v>
      </c>
      <c r="K399" s="8">
        <v>100.0</v>
      </c>
      <c r="N399" s="7">
        <v>44549.0</v>
      </c>
    </row>
    <row r="400">
      <c r="A400" s="8">
        <v>399.0</v>
      </c>
      <c r="B400" s="8" t="s">
        <v>1246</v>
      </c>
      <c r="C400" s="8" t="s">
        <v>21</v>
      </c>
      <c r="K400" s="8">
        <v>350.0</v>
      </c>
      <c r="N400" s="7">
        <v>42445.0</v>
      </c>
    </row>
    <row r="401">
      <c r="A401" s="8">
        <v>400.0</v>
      </c>
      <c r="B401" s="8" t="s">
        <v>27</v>
      </c>
      <c r="C401" s="8" t="s">
        <v>21</v>
      </c>
      <c r="K401" s="8">
        <v>30.0</v>
      </c>
      <c r="N401" s="7">
        <v>44480.0</v>
      </c>
    </row>
    <row r="402">
      <c r="A402" s="8">
        <v>401.0</v>
      </c>
      <c r="B402" s="8" t="s">
        <v>1248</v>
      </c>
      <c r="C402" s="8" t="s">
        <v>21</v>
      </c>
      <c r="D402" s="8">
        <v>77.0</v>
      </c>
      <c r="H402" s="8" t="s">
        <v>123</v>
      </c>
      <c r="I402" s="9">
        <v>46155.8227662037</v>
      </c>
      <c r="K402" s="8">
        <v>7600.0</v>
      </c>
      <c r="L402" s="8">
        <v>1300.0</v>
      </c>
      <c r="M402" s="8">
        <v>162000.0</v>
      </c>
      <c r="N402" s="7">
        <v>43868.0</v>
      </c>
      <c r="O402" s="8" t="s">
        <v>107</v>
      </c>
      <c r="P402" s="8" t="s">
        <v>28</v>
      </c>
      <c r="S402" s="8" t="s">
        <v>32</v>
      </c>
    </row>
    <row r="403">
      <c r="A403" s="8">
        <v>402.0</v>
      </c>
      <c r="B403" s="8" t="s">
        <v>1251</v>
      </c>
      <c r="C403" s="8" t="s">
        <v>21</v>
      </c>
      <c r="K403" s="8">
        <v>1700.0</v>
      </c>
      <c r="N403" s="7">
        <v>43871.0</v>
      </c>
    </row>
    <row r="404">
      <c r="A404" s="8">
        <v>403.0</v>
      </c>
      <c r="B404" s="8" t="s">
        <v>1252</v>
      </c>
      <c r="C404" s="8" t="s">
        <v>21</v>
      </c>
      <c r="K404" s="8">
        <v>250.0</v>
      </c>
      <c r="N404" s="7">
        <v>44723.0</v>
      </c>
    </row>
    <row r="405">
      <c r="A405" s="8">
        <v>404.0</v>
      </c>
      <c r="B405" s="8" t="s">
        <v>1253</v>
      </c>
      <c r="C405" s="8" t="s">
        <v>21</v>
      </c>
      <c r="K405" s="8">
        <v>600.0</v>
      </c>
      <c r="N405" s="7">
        <v>45234.0</v>
      </c>
    </row>
    <row r="406">
      <c r="A406" s="8">
        <v>405.0</v>
      </c>
      <c r="B406" s="8" t="s">
        <v>1254</v>
      </c>
      <c r="C406" s="8" t="s">
        <v>21</v>
      </c>
      <c r="K406" s="8">
        <v>700.0</v>
      </c>
      <c r="N406" s="7">
        <v>44299.0</v>
      </c>
    </row>
    <row r="407">
      <c r="A407" s="8">
        <v>406.0</v>
      </c>
      <c r="B407" s="8" t="s">
        <v>1256</v>
      </c>
      <c r="C407" s="8" t="s">
        <v>21</v>
      </c>
      <c r="K407" s="8">
        <v>10.0</v>
      </c>
      <c r="N407" s="7">
        <v>45127.0</v>
      </c>
    </row>
    <row r="408">
      <c r="A408" s="8">
        <v>407.0</v>
      </c>
      <c r="B408" s="8" t="s">
        <v>33</v>
      </c>
      <c r="C408" s="8" t="s">
        <v>21</v>
      </c>
      <c r="K408" s="8">
        <v>150.0</v>
      </c>
      <c r="N408" s="7">
        <v>44201.0</v>
      </c>
    </row>
    <row r="409">
      <c r="A409" s="8">
        <v>408.0</v>
      </c>
      <c r="B409" s="8" t="s">
        <v>37</v>
      </c>
      <c r="C409" s="8" t="s">
        <v>21</v>
      </c>
      <c r="K409" s="8">
        <v>20.0</v>
      </c>
      <c r="N409" s="7">
        <v>44071.0</v>
      </c>
    </row>
    <row r="410">
      <c r="A410" s="8">
        <v>409.0</v>
      </c>
      <c r="B410" s="8" t="s">
        <v>1257</v>
      </c>
      <c r="C410" s="8" t="s">
        <v>21</v>
      </c>
      <c r="K410" s="8">
        <v>50.0</v>
      </c>
      <c r="N410" s="7">
        <v>44595.0</v>
      </c>
    </row>
    <row r="411">
      <c r="A411" s="8">
        <v>410.0</v>
      </c>
      <c r="B411" s="8" t="s">
        <v>1259</v>
      </c>
      <c r="C411" s="8" t="s">
        <v>21</v>
      </c>
      <c r="K411" s="8">
        <v>10.0</v>
      </c>
      <c r="N411" s="7">
        <v>44307.0</v>
      </c>
    </row>
    <row r="412">
      <c r="A412" s="8">
        <v>411.0</v>
      </c>
      <c r="B412" s="8" t="s">
        <v>1260</v>
      </c>
      <c r="C412" s="8" t="s">
        <v>21</v>
      </c>
      <c r="K412" s="8">
        <v>10.0</v>
      </c>
      <c r="N412" s="7">
        <v>42412.0</v>
      </c>
      <c r="O412" s="8" t="s">
        <v>26</v>
      </c>
      <c r="P412" s="8" t="s">
        <v>28</v>
      </c>
      <c r="S412" s="8" t="s">
        <v>32</v>
      </c>
    </row>
    <row r="413">
      <c r="A413" s="8">
        <v>412.0</v>
      </c>
      <c r="B413" s="8" t="s">
        <v>1262</v>
      </c>
      <c r="C413" s="8" t="s">
        <v>21</v>
      </c>
      <c r="N413" s="7">
        <v>44035.0</v>
      </c>
    </row>
    <row r="414">
      <c r="A414" s="8">
        <v>413.0</v>
      </c>
      <c r="B414" s="8" t="s">
        <v>1263</v>
      </c>
      <c r="C414" s="8" t="s">
        <v>21</v>
      </c>
      <c r="K414" s="8">
        <v>600.0</v>
      </c>
      <c r="N414" s="7">
        <v>44474.0</v>
      </c>
    </row>
    <row r="415">
      <c r="A415" s="8">
        <v>414.0</v>
      </c>
      <c r="B415" s="8" t="s">
        <v>1265</v>
      </c>
      <c r="C415" s="8" t="s">
        <v>21</v>
      </c>
      <c r="K415" s="8">
        <v>10.0</v>
      </c>
      <c r="N415" s="7">
        <v>43875.0</v>
      </c>
    </row>
    <row r="416">
      <c r="A416" s="8">
        <v>415.0</v>
      </c>
      <c r="B416" s="8" t="s">
        <v>1266</v>
      </c>
      <c r="C416" s="8" t="s">
        <v>21</v>
      </c>
      <c r="K416" s="8">
        <v>1200.0</v>
      </c>
      <c r="N416" s="7">
        <v>44958.0</v>
      </c>
    </row>
    <row r="417">
      <c r="A417" s="8">
        <v>416.0</v>
      </c>
      <c r="B417" s="8" t="s">
        <v>1267</v>
      </c>
      <c r="C417" s="8" t="s">
        <v>21</v>
      </c>
      <c r="K417" s="8">
        <v>2600.0</v>
      </c>
      <c r="N417" s="7">
        <v>44564.0</v>
      </c>
    </row>
    <row r="418">
      <c r="A418" s="8">
        <v>417.0</v>
      </c>
      <c r="B418" s="8" t="s">
        <v>1272</v>
      </c>
      <c r="C418" s="8" t="s">
        <v>21</v>
      </c>
      <c r="K418" s="8">
        <v>80.0</v>
      </c>
      <c r="N418" s="7">
        <v>45677.0</v>
      </c>
    </row>
    <row r="419">
      <c r="A419" s="8">
        <v>418.0</v>
      </c>
      <c r="B419" s="8" t="s">
        <v>1273</v>
      </c>
      <c r="C419" s="8" t="s">
        <v>21</v>
      </c>
      <c r="K419" s="8">
        <v>10.0</v>
      </c>
      <c r="N419" s="7">
        <v>44264.0</v>
      </c>
    </row>
    <row r="420">
      <c r="A420" s="8">
        <v>419.0</v>
      </c>
      <c r="B420" s="8" t="s">
        <v>1275</v>
      </c>
      <c r="C420" s="8" t="s">
        <v>21</v>
      </c>
      <c r="K420" s="8">
        <v>70.0</v>
      </c>
      <c r="N420" s="7">
        <v>44872.0</v>
      </c>
    </row>
    <row r="421">
      <c r="A421" s="8">
        <v>420.0</v>
      </c>
      <c r="B421" s="8" t="s">
        <v>1278</v>
      </c>
      <c r="C421" s="8" t="s">
        <v>21</v>
      </c>
      <c r="K421" s="8">
        <v>30.0</v>
      </c>
      <c r="N421" s="7">
        <v>45221.0</v>
      </c>
    </row>
    <row r="422">
      <c r="A422" s="8">
        <v>421.0</v>
      </c>
      <c r="B422" s="8" t="s">
        <v>1279</v>
      </c>
      <c r="C422" s="8" t="s">
        <v>21</v>
      </c>
      <c r="N422" s="7">
        <v>45205.0</v>
      </c>
    </row>
    <row r="423">
      <c r="A423" s="8">
        <v>422.0</v>
      </c>
      <c r="B423" s="8" t="s">
        <v>1280</v>
      </c>
      <c r="C423" s="8" t="s">
        <v>21</v>
      </c>
      <c r="N423" s="7">
        <v>44245.0</v>
      </c>
    </row>
    <row r="424">
      <c r="A424" s="8">
        <v>423.0</v>
      </c>
      <c r="B424" s="8" t="s">
        <v>1282</v>
      </c>
      <c r="C424" s="8" t="s">
        <v>21</v>
      </c>
      <c r="K424" s="8">
        <v>200.0</v>
      </c>
      <c r="N424" s="7">
        <v>44731.0</v>
      </c>
    </row>
    <row r="425">
      <c r="A425" s="8">
        <v>424.0</v>
      </c>
      <c r="B425" s="8" t="s">
        <v>1284</v>
      </c>
      <c r="C425" s="8" t="s">
        <v>21</v>
      </c>
      <c r="K425" s="8">
        <v>16000.0</v>
      </c>
      <c r="N425" s="7">
        <v>44313.0</v>
      </c>
    </row>
    <row r="426">
      <c r="A426" s="8">
        <v>425.0</v>
      </c>
      <c r="B426" s="8" t="s">
        <v>1285</v>
      </c>
      <c r="C426" s="8" t="s">
        <v>21</v>
      </c>
      <c r="K426" s="8">
        <v>3500.0</v>
      </c>
      <c r="N426" s="7">
        <v>45193.0</v>
      </c>
    </row>
    <row r="427">
      <c r="A427" s="8">
        <v>426.0</v>
      </c>
      <c r="B427" s="8" t="s">
        <v>1289</v>
      </c>
      <c r="C427" s="8" t="s">
        <v>21</v>
      </c>
      <c r="K427" s="8">
        <v>40.0</v>
      </c>
      <c r="N427" s="7">
        <v>44177.0</v>
      </c>
    </row>
    <row r="428">
      <c r="A428" s="8">
        <v>427.0</v>
      </c>
      <c r="B428" s="8" t="s">
        <v>1291</v>
      </c>
      <c r="C428" s="8" t="s">
        <v>21</v>
      </c>
      <c r="N428" s="7">
        <v>44262.0</v>
      </c>
    </row>
    <row r="429">
      <c r="A429" s="8">
        <v>428.0</v>
      </c>
      <c r="B429" s="8" t="s">
        <v>1292</v>
      </c>
      <c r="C429" s="8" t="s">
        <v>21</v>
      </c>
      <c r="K429" s="8">
        <v>70.0</v>
      </c>
      <c r="N429" s="7">
        <v>44264.0</v>
      </c>
    </row>
    <row r="430">
      <c r="A430" s="8">
        <v>429.0</v>
      </c>
      <c r="B430" s="8" t="s">
        <v>1294</v>
      </c>
      <c r="C430" s="8" t="s">
        <v>21</v>
      </c>
      <c r="K430" s="8">
        <v>200.0</v>
      </c>
      <c r="N430" s="7">
        <v>44085.0</v>
      </c>
    </row>
    <row r="431">
      <c r="A431" s="8">
        <v>430.0</v>
      </c>
      <c r="B431" s="8" t="s">
        <v>1295</v>
      </c>
      <c r="C431" s="8" t="s">
        <v>21</v>
      </c>
      <c r="K431" s="8">
        <v>150.0</v>
      </c>
      <c r="N431" s="7">
        <v>44449.0</v>
      </c>
    </row>
    <row r="432">
      <c r="A432" s="8">
        <v>431.0</v>
      </c>
      <c r="B432" s="8" t="s">
        <v>1296</v>
      </c>
      <c r="C432" s="8" t="s">
        <v>21</v>
      </c>
      <c r="K432" s="8">
        <v>20.0</v>
      </c>
      <c r="N432" s="7">
        <v>43897.0</v>
      </c>
    </row>
    <row r="433">
      <c r="A433" s="8">
        <v>432.0</v>
      </c>
      <c r="B433" s="8" t="s">
        <v>1300</v>
      </c>
      <c r="C433" s="8" t="s">
        <v>21</v>
      </c>
      <c r="N433" s="7">
        <v>42420.0</v>
      </c>
    </row>
    <row r="434">
      <c r="A434" s="8">
        <v>433.0</v>
      </c>
      <c r="B434" s="8" t="s">
        <v>1301</v>
      </c>
      <c r="C434" s="8" t="s">
        <v>21</v>
      </c>
      <c r="K434" s="8">
        <v>3300.0</v>
      </c>
      <c r="N434" s="7">
        <v>44521.0</v>
      </c>
    </row>
    <row r="435">
      <c r="A435" s="8">
        <v>434.0</v>
      </c>
      <c r="B435" s="8" t="s">
        <v>1302</v>
      </c>
      <c r="C435" s="8" t="s">
        <v>21</v>
      </c>
      <c r="K435" s="8">
        <v>20.0</v>
      </c>
      <c r="N435" s="7">
        <v>45025.0</v>
      </c>
    </row>
    <row r="436">
      <c r="A436" s="8">
        <v>435.0</v>
      </c>
      <c r="B436" s="8" t="s">
        <v>1304</v>
      </c>
      <c r="C436" s="8" t="s">
        <v>21</v>
      </c>
      <c r="K436" s="8">
        <v>700.0</v>
      </c>
      <c r="N436" s="7">
        <v>43907.0</v>
      </c>
    </row>
    <row r="437">
      <c r="A437" s="8">
        <v>436.0</v>
      </c>
      <c r="B437" s="8" t="s">
        <v>1306</v>
      </c>
      <c r="C437" s="8" t="s">
        <v>21</v>
      </c>
      <c r="K437" s="8">
        <v>50.0</v>
      </c>
      <c r="N437" s="7">
        <v>44945.0</v>
      </c>
    </row>
    <row r="438">
      <c r="A438" s="8">
        <v>437.0</v>
      </c>
      <c r="B438" s="8" t="s">
        <v>1307</v>
      </c>
      <c r="C438" s="8" t="s">
        <v>21</v>
      </c>
      <c r="K438" s="8">
        <v>900.0</v>
      </c>
      <c r="N438" s="7">
        <v>44684.0</v>
      </c>
    </row>
    <row r="439">
      <c r="A439" s="8">
        <v>438.0</v>
      </c>
      <c r="B439" s="8" t="s">
        <v>1312</v>
      </c>
      <c r="C439" s="8" t="s">
        <v>21</v>
      </c>
      <c r="K439" s="8">
        <v>300.0</v>
      </c>
      <c r="N439" s="7">
        <v>44754.0</v>
      </c>
    </row>
    <row r="440">
      <c r="A440" s="8">
        <v>439.0</v>
      </c>
      <c r="B440" s="8" t="s">
        <v>1313</v>
      </c>
      <c r="C440" s="8" t="s">
        <v>21</v>
      </c>
      <c r="K440" s="8">
        <v>900.0</v>
      </c>
      <c r="N440" s="7">
        <v>44214.0</v>
      </c>
    </row>
    <row r="441">
      <c r="A441" s="8">
        <v>440.0</v>
      </c>
      <c r="B441" s="8" t="s">
        <v>1315</v>
      </c>
      <c r="C441" s="8" t="s">
        <v>21</v>
      </c>
      <c r="K441" s="8">
        <v>57000.0</v>
      </c>
      <c r="N441" s="7">
        <v>43877.0</v>
      </c>
    </row>
    <row r="442">
      <c r="A442" s="8">
        <v>441.0</v>
      </c>
      <c r="B442" s="8" t="s">
        <v>1316</v>
      </c>
      <c r="C442" s="8" t="s">
        <v>21</v>
      </c>
      <c r="K442" s="8">
        <v>150.0</v>
      </c>
      <c r="N442" s="7">
        <v>45002.0</v>
      </c>
    </row>
    <row r="443">
      <c r="A443" s="8">
        <v>442.0</v>
      </c>
      <c r="B443" s="8" t="s">
        <v>1317</v>
      </c>
      <c r="C443" s="8" t="s">
        <v>21</v>
      </c>
      <c r="K443" s="8">
        <v>100.0</v>
      </c>
      <c r="N443" s="7">
        <v>44797.0</v>
      </c>
    </row>
    <row r="444">
      <c r="A444" s="8">
        <v>443.0</v>
      </c>
      <c r="B444" s="8" t="s">
        <v>1318</v>
      </c>
      <c r="C444" s="8" t="s">
        <v>21</v>
      </c>
      <c r="K444" s="8">
        <v>18000.0</v>
      </c>
      <c r="N444" s="7">
        <v>44524.0</v>
      </c>
    </row>
    <row r="445">
      <c r="A445" s="8">
        <v>444.0</v>
      </c>
      <c r="B445" s="8" t="s">
        <v>1320</v>
      </c>
      <c r="C445" s="8" t="s">
        <v>21</v>
      </c>
      <c r="K445" s="8">
        <v>200.0</v>
      </c>
      <c r="N445" s="7">
        <v>44793.0</v>
      </c>
    </row>
    <row r="446">
      <c r="A446" s="8">
        <v>445.0</v>
      </c>
      <c r="B446" s="8" t="s">
        <v>1321</v>
      </c>
      <c r="C446" s="8" t="s">
        <v>21</v>
      </c>
      <c r="D446" s="8">
        <v>61.0</v>
      </c>
      <c r="H446" s="8" t="s">
        <v>484</v>
      </c>
      <c r="I446" s="9">
        <v>46148.42596064815</v>
      </c>
      <c r="J446" s="8" t="s">
        <v>90</v>
      </c>
      <c r="K446" s="8">
        <v>1000.0</v>
      </c>
      <c r="L446" s="8">
        <v>100.0</v>
      </c>
      <c r="M446" s="8">
        <v>22000.0</v>
      </c>
      <c r="N446" s="7">
        <v>44420.0</v>
      </c>
      <c r="O446" s="8" t="s">
        <v>107</v>
      </c>
      <c r="P446" s="8" t="s">
        <v>28</v>
      </c>
      <c r="S446" s="8" t="s">
        <v>32</v>
      </c>
    </row>
    <row r="447">
      <c r="A447" s="8">
        <v>446.0</v>
      </c>
      <c r="B447" s="8" t="s">
        <v>1322</v>
      </c>
      <c r="C447" s="8" t="s">
        <v>21</v>
      </c>
      <c r="N447" s="7">
        <v>42300.0</v>
      </c>
    </row>
    <row r="448">
      <c r="A448" s="8">
        <v>447.0</v>
      </c>
      <c r="B448" s="8" t="s">
        <v>1324</v>
      </c>
      <c r="C448" s="8" t="s">
        <v>21</v>
      </c>
      <c r="K448" s="8">
        <v>150.0</v>
      </c>
      <c r="N448" s="7">
        <v>45239.0</v>
      </c>
    </row>
    <row r="449">
      <c r="A449" s="8">
        <v>448.0</v>
      </c>
      <c r="B449" s="8" t="s">
        <v>1325</v>
      </c>
      <c r="C449" s="8" t="s">
        <v>21</v>
      </c>
      <c r="K449" s="8">
        <v>250.0</v>
      </c>
      <c r="N449" s="7">
        <v>44624.0</v>
      </c>
    </row>
    <row r="450">
      <c r="A450" s="8">
        <v>449.0</v>
      </c>
      <c r="B450" s="8" t="s">
        <v>1327</v>
      </c>
      <c r="C450" s="8" t="s">
        <v>21</v>
      </c>
      <c r="N450" s="7">
        <v>43903.0</v>
      </c>
    </row>
    <row r="451">
      <c r="A451" s="8">
        <v>450.0</v>
      </c>
      <c r="B451" s="8" t="s">
        <v>1328</v>
      </c>
      <c r="C451" s="8" t="s">
        <v>21</v>
      </c>
      <c r="K451" s="8">
        <v>500.0</v>
      </c>
      <c r="N451" s="7">
        <v>45028.0</v>
      </c>
    </row>
    <row r="452">
      <c r="A452" s="8">
        <v>451.0</v>
      </c>
      <c r="B452" s="8" t="s">
        <v>1329</v>
      </c>
      <c r="C452" s="8" t="s">
        <v>21</v>
      </c>
      <c r="K452" s="8">
        <v>80.0</v>
      </c>
      <c r="N452" s="7">
        <v>45080.0</v>
      </c>
    </row>
    <row r="453">
      <c r="A453" s="8">
        <v>452.0</v>
      </c>
      <c r="B453" s="8" t="s">
        <v>1332</v>
      </c>
      <c r="C453" s="8" t="s">
        <v>21</v>
      </c>
      <c r="D453" s="8">
        <v>79.0</v>
      </c>
      <c r="H453" s="8" t="s">
        <v>123</v>
      </c>
      <c r="I453" s="9">
        <v>46101.228113425925</v>
      </c>
      <c r="J453" s="8" t="s">
        <v>90</v>
      </c>
      <c r="L453" s="8">
        <v>600.0</v>
      </c>
      <c r="M453" s="8">
        <v>187000.0</v>
      </c>
      <c r="N453" s="7">
        <v>42300.0</v>
      </c>
      <c r="O453" s="8" t="s">
        <v>107</v>
      </c>
      <c r="P453" s="8" t="s">
        <v>28</v>
      </c>
      <c r="S453" s="8" t="s">
        <v>32</v>
      </c>
    </row>
    <row r="454">
      <c r="A454" s="8">
        <v>453.0</v>
      </c>
      <c r="B454" s="8" t="s">
        <v>1334</v>
      </c>
      <c r="C454" s="8" t="s">
        <v>21</v>
      </c>
      <c r="K454" s="8">
        <v>50.0</v>
      </c>
      <c r="N454" s="7">
        <v>45169.0</v>
      </c>
    </row>
    <row r="455">
      <c r="A455" s="8">
        <v>454.0</v>
      </c>
      <c r="B455" s="8" t="s">
        <v>1335</v>
      </c>
      <c r="C455" s="8" t="s">
        <v>21</v>
      </c>
      <c r="N455" s="7">
        <v>44083.0</v>
      </c>
    </row>
    <row r="456">
      <c r="A456" s="8">
        <v>455.0</v>
      </c>
      <c r="B456" s="8" t="s">
        <v>1336</v>
      </c>
      <c r="C456" s="8" t="s">
        <v>21</v>
      </c>
      <c r="K456" s="8">
        <v>20.0</v>
      </c>
      <c r="N456" s="7">
        <v>44519.0</v>
      </c>
    </row>
    <row r="457">
      <c r="A457" s="8">
        <v>456.0</v>
      </c>
      <c r="B457" s="8" t="s">
        <v>1338</v>
      </c>
      <c r="C457" s="8" t="s">
        <v>21</v>
      </c>
      <c r="K457" s="8">
        <v>1000.0</v>
      </c>
      <c r="N457" s="7">
        <v>44742.0</v>
      </c>
    </row>
    <row r="458">
      <c r="A458" s="8">
        <v>457.0</v>
      </c>
      <c r="B458" s="8" t="s">
        <v>1339</v>
      </c>
      <c r="C458" s="8" t="s">
        <v>21</v>
      </c>
      <c r="K458" s="8">
        <v>600.0</v>
      </c>
      <c r="N458" s="7">
        <v>44700.0</v>
      </c>
    </row>
    <row r="459">
      <c r="A459" s="8">
        <v>458.0</v>
      </c>
      <c r="B459" s="8" t="s">
        <v>1340</v>
      </c>
      <c r="C459" s="8" t="s">
        <v>21</v>
      </c>
      <c r="K459" s="8">
        <v>3000.0</v>
      </c>
      <c r="N459" s="7">
        <v>44414.0</v>
      </c>
    </row>
    <row r="460">
      <c r="A460" s="8">
        <v>459.0</v>
      </c>
      <c r="B460" s="8" t="s">
        <v>1341</v>
      </c>
      <c r="C460" s="8" t="s">
        <v>21</v>
      </c>
      <c r="K460" s="8">
        <v>20.0</v>
      </c>
      <c r="N460" s="7">
        <v>44143.0</v>
      </c>
    </row>
    <row r="461">
      <c r="A461" s="8">
        <v>460.0</v>
      </c>
      <c r="B461" s="8" t="s">
        <v>1342</v>
      </c>
      <c r="C461" s="8" t="s">
        <v>21</v>
      </c>
      <c r="N461" s="7">
        <v>45554.0</v>
      </c>
    </row>
    <row r="462">
      <c r="A462" s="8">
        <v>461.0</v>
      </c>
      <c r="B462" s="8" t="s">
        <v>1343</v>
      </c>
      <c r="C462" s="8" t="s">
        <v>21</v>
      </c>
      <c r="K462" s="8">
        <v>200.0</v>
      </c>
      <c r="N462" s="7">
        <v>44384.0</v>
      </c>
    </row>
    <row r="463">
      <c r="A463" s="8">
        <v>462.0</v>
      </c>
      <c r="B463" s="8" t="s">
        <v>1344</v>
      </c>
      <c r="C463" s="8" t="s">
        <v>21</v>
      </c>
      <c r="K463" s="8">
        <v>20.0</v>
      </c>
      <c r="N463" s="7">
        <v>44666.0</v>
      </c>
    </row>
    <row r="464">
      <c r="A464" s="8">
        <v>463.0</v>
      </c>
      <c r="B464" s="8" t="s">
        <v>1345</v>
      </c>
      <c r="C464" s="8" t="s">
        <v>21</v>
      </c>
      <c r="K464" s="8">
        <v>20.0</v>
      </c>
      <c r="N464" s="7">
        <v>44240.0</v>
      </c>
    </row>
    <row r="465">
      <c r="A465" s="8">
        <v>464.0</v>
      </c>
      <c r="B465" s="8" t="s">
        <v>1347</v>
      </c>
      <c r="C465" s="8" t="s">
        <v>21</v>
      </c>
      <c r="K465" s="8">
        <v>30.0</v>
      </c>
      <c r="N465" s="7">
        <v>45446.0</v>
      </c>
    </row>
    <row r="466">
      <c r="A466" s="8">
        <v>465.0</v>
      </c>
      <c r="B466" s="8" t="s">
        <v>1348</v>
      </c>
      <c r="C466" s="8" t="s">
        <v>21</v>
      </c>
      <c r="K466" s="8">
        <v>20.0</v>
      </c>
      <c r="N466" s="7">
        <v>44537.0</v>
      </c>
    </row>
    <row r="467">
      <c r="A467" s="8">
        <v>466.0</v>
      </c>
      <c r="B467" s="8" t="s">
        <v>1349</v>
      </c>
      <c r="C467" s="8" t="s">
        <v>21</v>
      </c>
      <c r="N467" s="7">
        <v>44665.0</v>
      </c>
    </row>
    <row r="468">
      <c r="A468" s="8">
        <v>467.0</v>
      </c>
      <c r="B468" s="8" t="s">
        <v>1352</v>
      </c>
      <c r="C468" s="8" t="s">
        <v>21</v>
      </c>
      <c r="K468" s="8">
        <v>300.0</v>
      </c>
      <c r="N468" s="7">
        <v>44852.0</v>
      </c>
    </row>
    <row r="469">
      <c r="A469" s="8">
        <v>468.0</v>
      </c>
      <c r="B469" s="8" t="s">
        <v>1354</v>
      </c>
      <c r="C469" s="8" t="s">
        <v>21</v>
      </c>
      <c r="K469" s="8">
        <v>1200.0</v>
      </c>
      <c r="N469" s="7">
        <v>44194.0</v>
      </c>
    </row>
    <row r="470">
      <c r="A470" s="8">
        <v>469.0</v>
      </c>
      <c r="B470" s="8" t="s">
        <v>1355</v>
      </c>
      <c r="C470" s="8" t="s">
        <v>21</v>
      </c>
      <c r="K470" s="8">
        <v>1400.0</v>
      </c>
      <c r="N470" s="7">
        <v>43926.0</v>
      </c>
    </row>
    <row r="471">
      <c r="A471" s="8">
        <v>470.0</v>
      </c>
      <c r="B471" s="8" t="s">
        <v>1356</v>
      </c>
      <c r="C471" s="8" t="s">
        <v>21</v>
      </c>
      <c r="K471" s="8">
        <v>40.0</v>
      </c>
      <c r="N471" s="7">
        <v>45901.0</v>
      </c>
    </row>
    <row r="472">
      <c r="A472" s="8">
        <v>471.0</v>
      </c>
      <c r="B472" s="8" t="s">
        <v>1357</v>
      </c>
      <c r="C472" s="8" t="s">
        <v>21</v>
      </c>
      <c r="K472" s="8">
        <v>200.0</v>
      </c>
      <c r="N472" s="7">
        <v>45422.0</v>
      </c>
    </row>
    <row r="473">
      <c r="A473" s="8">
        <v>472.0</v>
      </c>
      <c r="B473" s="8" t="s">
        <v>1358</v>
      </c>
      <c r="C473" s="8" t="s">
        <v>21</v>
      </c>
      <c r="K473" s="8">
        <v>90.0</v>
      </c>
      <c r="N473" s="7">
        <v>45239.0</v>
      </c>
    </row>
    <row r="474">
      <c r="A474" s="8">
        <v>473.0</v>
      </c>
      <c r="B474" s="8" t="s">
        <v>1360</v>
      </c>
      <c r="C474" s="8" t="s">
        <v>21</v>
      </c>
      <c r="K474" s="8">
        <v>200.0</v>
      </c>
      <c r="N474" s="7">
        <v>43951.0</v>
      </c>
    </row>
    <row r="475">
      <c r="A475" s="8">
        <v>474.0</v>
      </c>
      <c r="B475" s="8" t="s">
        <v>1361</v>
      </c>
      <c r="C475" s="8" t="s">
        <v>21</v>
      </c>
      <c r="K475" s="8">
        <v>60.0</v>
      </c>
      <c r="N475" s="7">
        <v>42819.0</v>
      </c>
    </row>
    <row r="476">
      <c r="A476" s="8">
        <v>475.0</v>
      </c>
      <c r="B476" s="8" t="s">
        <v>1363</v>
      </c>
      <c r="C476" s="8" t="s">
        <v>21</v>
      </c>
      <c r="N476" s="7">
        <v>42460.0</v>
      </c>
    </row>
    <row r="477">
      <c r="A477" s="8">
        <v>476.0</v>
      </c>
      <c r="B477" s="8" t="s">
        <v>1366</v>
      </c>
      <c r="C477" s="8" t="s">
        <v>21</v>
      </c>
      <c r="K477" s="8">
        <v>6300.0</v>
      </c>
      <c r="N477" s="7">
        <v>44479.0</v>
      </c>
    </row>
    <row r="478">
      <c r="A478" s="8">
        <v>477.0</v>
      </c>
      <c r="B478" s="8" t="s">
        <v>39</v>
      </c>
      <c r="C478" s="8" t="s">
        <v>21</v>
      </c>
      <c r="K478" s="8">
        <v>600.0</v>
      </c>
      <c r="N478" s="7">
        <v>44631.0</v>
      </c>
    </row>
    <row r="479">
      <c r="A479" s="8">
        <v>478.0</v>
      </c>
      <c r="B479" s="8" t="s">
        <v>1367</v>
      </c>
      <c r="C479" s="8" t="s">
        <v>21</v>
      </c>
      <c r="K479" s="8">
        <v>900.0</v>
      </c>
      <c r="N479" s="7">
        <v>44080.0</v>
      </c>
    </row>
    <row r="480">
      <c r="A480" s="8">
        <v>479.0</v>
      </c>
      <c r="B480" s="8" t="s">
        <v>1369</v>
      </c>
      <c r="C480" s="8" t="s">
        <v>21</v>
      </c>
      <c r="K480" s="8">
        <v>30.0</v>
      </c>
      <c r="N480" s="7">
        <v>45130.0</v>
      </c>
    </row>
    <row r="481">
      <c r="A481" s="8">
        <v>480.0</v>
      </c>
      <c r="B481" s="8" t="s">
        <v>1370</v>
      </c>
      <c r="C481" s="8" t="s">
        <v>21</v>
      </c>
      <c r="K481" s="8">
        <v>20.0</v>
      </c>
      <c r="N481" s="7">
        <v>43942.0</v>
      </c>
    </row>
    <row r="482">
      <c r="A482" s="8">
        <v>481.0</v>
      </c>
      <c r="B482" s="8" t="s">
        <v>1375</v>
      </c>
      <c r="C482" s="8" t="s">
        <v>21</v>
      </c>
      <c r="K482" s="8">
        <v>400.0</v>
      </c>
      <c r="N482" s="7">
        <v>44123.0</v>
      </c>
    </row>
    <row r="483">
      <c r="A483" s="8">
        <v>482.0</v>
      </c>
      <c r="B483" s="8" t="s">
        <v>1376</v>
      </c>
      <c r="C483" s="8" t="s">
        <v>21</v>
      </c>
      <c r="K483" s="8">
        <v>1900.0</v>
      </c>
      <c r="N483" s="7">
        <v>44179.0</v>
      </c>
    </row>
    <row r="484">
      <c r="A484" s="8">
        <v>483.0</v>
      </c>
      <c r="B484" s="8" t="s">
        <v>1378</v>
      </c>
      <c r="C484" s="8" t="s">
        <v>21</v>
      </c>
      <c r="K484" s="8">
        <v>2600.0</v>
      </c>
      <c r="N484" s="7">
        <v>44631.0</v>
      </c>
    </row>
    <row r="485">
      <c r="A485" s="8">
        <v>484.0</v>
      </c>
      <c r="B485" s="8" t="s">
        <v>1380</v>
      </c>
      <c r="C485" s="8" t="s">
        <v>21</v>
      </c>
      <c r="K485" s="8">
        <v>800.0</v>
      </c>
      <c r="N485" s="7">
        <v>44358.0</v>
      </c>
    </row>
    <row r="486">
      <c r="A486" s="8">
        <v>485.0</v>
      </c>
      <c r="B486" s="8" t="s">
        <v>1381</v>
      </c>
      <c r="C486" s="8" t="s">
        <v>21</v>
      </c>
      <c r="K486" s="8">
        <v>30.0</v>
      </c>
      <c r="N486" s="7">
        <v>45252.0</v>
      </c>
    </row>
    <row r="487">
      <c r="A487" s="8">
        <v>486.0</v>
      </c>
      <c r="B487" s="8" t="s">
        <v>1382</v>
      </c>
      <c r="C487" s="8" t="s">
        <v>21</v>
      </c>
      <c r="K487" s="8">
        <v>43000.0</v>
      </c>
      <c r="N487" s="7">
        <v>44323.0</v>
      </c>
    </row>
    <row r="488">
      <c r="A488" s="8">
        <v>487.0</v>
      </c>
      <c r="B488" s="8" t="s">
        <v>1386</v>
      </c>
      <c r="C488" s="8" t="s">
        <v>21</v>
      </c>
      <c r="K488" s="8">
        <v>2900.0</v>
      </c>
      <c r="N488" s="7">
        <v>44132.0</v>
      </c>
    </row>
    <row r="489">
      <c r="A489" s="8">
        <v>488.0</v>
      </c>
      <c r="B489" s="8" t="s">
        <v>1387</v>
      </c>
      <c r="C489" s="8" t="s">
        <v>21</v>
      </c>
      <c r="K489" s="8">
        <v>200.0</v>
      </c>
      <c r="N489" s="7">
        <v>44630.0</v>
      </c>
    </row>
    <row r="490">
      <c r="A490" s="8">
        <v>489.0</v>
      </c>
      <c r="B490" s="8" t="s">
        <v>1388</v>
      </c>
      <c r="C490" s="8" t="s">
        <v>21</v>
      </c>
      <c r="K490" s="8">
        <v>700.0</v>
      </c>
      <c r="N490" s="7">
        <v>44273.0</v>
      </c>
    </row>
    <row r="491">
      <c r="A491" s="8">
        <v>490.0</v>
      </c>
      <c r="B491" s="8" t="s">
        <v>1390</v>
      </c>
      <c r="C491" s="8" t="s">
        <v>21</v>
      </c>
      <c r="K491" s="8">
        <v>50.0</v>
      </c>
      <c r="N491" s="7">
        <v>44696.0</v>
      </c>
    </row>
    <row r="492">
      <c r="A492" s="8">
        <v>491.0</v>
      </c>
      <c r="B492" s="8" t="s">
        <v>1391</v>
      </c>
      <c r="C492" s="8" t="s">
        <v>21</v>
      </c>
      <c r="K492" s="8">
        <v>2600.0</v>
      </c>
      <c r="N492" s="7">
        <v>44338.0</v>
      </c>
    </row>
    <row r="493">
      <c r="A493" s="8">
        <v>492.0</v>
      </c>
      <c r="B493" s="8" t="s">
        <v>1392</v>
      </c>
      <c r="C493" s="8" t="s">
        <v>21</v>
      </c>
      <c r="K493" s="8">
        <v>400.0</v>
      </c>
      <c r="N493" s="7">
        <v>42904.0</v>
      </c>
    </row>
    <row r="494">
      <c r="A494" s="8">
        <v>493.0</v>
      </c>
      <c r="B494" s="8" t="s">
        <v>1394</v>
      </c>
      <c r="C494" s="8" t="s">
        <v>21</v>
      </c>
      <c r="K494" s="8">
        <v>150.0</v>
      </c>
      <c r="N494" s="7">
        <v>44721.0</v>
      </c>
    </row>
    <row r="495">
      <c r="A495" s="8">
        <v>494.0</v>
      </c>
      <c r="B495" s="8" t="s">
        <v>1396</v>
      </c>
      <c r="C495" s="8" t="s">
        <v>21</v>
      </c>
      <c r="K495" s="8">
        <v>60.0</v>
      </c>
      <c r="N495" s="7">
        <v>43875.0</v>
      </c>
    </row>
    <row r="496">
      <c r="A496" s="8">
        <v>495.0</v>
      </c>
      <c r="B496" s="8" t="s">
        <v>1397</v>
      </c>
      <c r="C496" s="8" t="s">
        <v>21</v>
      </c>
      <c r="K496" s="8">
        <v>30.0</v>
      </c>
      <c r="N496" s="7">
        <v>44292.0</v>
      </c>
    </row>
    <row r="497">
      <c r="A497" s="8">
        <v>496.0</v>
      </c>
      <c r="B497" s="8" t="s">
        <v>1398</v>
      </c>
      <c r="C497" s="8" t="s">
        <v>21</v>
      </c>
      <c r="K497" s="8">
        <v>200.0</v>
      </c>
      <c r="N497" s="7">
        <v>45079.0</v>
      </c>
    </row>
    <row r="498">
      <c r="A498" s="8">
        <v>497.0</v>
      </c>
      <c r="B498" s="8" t="s">
        <v>1399</v>
      </c>
      <c r="C498" s="8" t="s">
        <v>21</v>
      </c>
      <c r="K498" s="8">
        <v>500.0</v>
      </c>
      <c r="N498" s="7">
        <v>43177.0</v>
      </c>
    </row>
    <row r="499">
      <c r="A499" s="8">
        <v>498.0</v>
      </c>
      <c r="B499" s="8" t="s">
        <v>1401</v>
      </c>
      <c r="C499" s="8" t="s">
        <v>21</v>
      </c>
      <c r="K499" s="8">
        <v>20.0</v>
      </c>
      <c r="N499" s="7">
        <v>44365.0</v>
      </c>
    </row>
    <row r="500">
      <c r="A500" s="8">
        <v>499.0</v>
      </c>
      <c r="B500" s="8" t="s">
        <v>1402</v>
      </c>
      <c r="C500" s="8" t="s">
        <v>21</v>
      </c>
      <c r="K500" s="8">
        <v>1500.0</v>
      </c>
      <c r="N500" s="7">
        <v>44637.0</v>
      </c>
    </row>
    <row r="501">
      <c r="A501" s="8">
        <v>500.0</v>
      </c>
      <c r="B501" s="8" t="s">
        <v>1403</v>
      </c>
      <c r="C501" s="8" t="s">
        <v>21</v>
      </c>
      <c r="K501" s="8">
        <v>400.0</v>
      </c>
      <c r="N501" s="7">
        <v>43968.0</v>
      </c>
    </row>
    <row r="502">
      <c r="A502" s="8">
        <v>501.0</v>
      </c>
      <c r="B502" s="8" t="s">
        <v>1404</v>
      </c>
      <c r="C502" s="8" t="s">
        <v>21</v>
      </c>
      <c r="K502" s="8">
        <v>10.0</v>
      </c>
      <c r="N502" s="7">
        <v>45836.0</v>
      </c>
    </row>
    <row r="503">
      <c r="A503" s="8">
        <v>502.0</v>
      </c>
      <c r="B503" s="8" t="s">
        <v>1405</v>
      </c>
      <c r="C503" s="8" t="s">
        <v>21</v>
      </c>
      <c r="K503" s="8">
        <v>150.0</v>
      </c>
      <c r="N503" s="7">
        <v>44305.0</v>
      </c>
    </row>
    <row r="504">
      <c r="A504" s="8">
        <v>503.0</v>
      </c>
      <c r="B504" s="8" t="s">
        <v>1406</v>
      </c>
      <c r="C504" s="8" t="s">
        <v>21</v>
      </c>
      <c r="K504" s="8">
        <v>700.0</v>
      </c>
      <c r="N504" s="7">
        <v>44005.0</v>
      </c>
    </row>
    <row r="505">
      <c r="A505" s="8">
        <v>504.0</v>
      </c>
      <c r="B505" s="8" t="s">
        <v>1407</v>
      </c>
      <c r="C505" s="8" t="s">
        <v>21</v>
      </c>
      <c r="K505" s="8">
        <v>8700.0</v>
      </c>
      <c r="N505" s="7">
        <v>44237.0</v>
      </c>
    </row>
    <row r="506">
      <c r="A506" s="8">
        <v>505.0</v>
      </c>
      <c r="B506" s="8" t="s">
        <v>1408</v>
      </c>
      <c r="C506" s="8" t="s">
        <v>21</v>
      </c>
      <c r="K506" s="8">
        <v>700.0</v>
      </c>
      <c r="N506" s="7">
        <v>44264.0</v>
      </c>
    </row>
    <row r="507">
      <c r="A507" s="8">
        <v>506.0</v>
      </c>
      <c r="B507" s="8" t="s">
        <v>1410</v>
      </c>
      <c r="C507" s="8" t="s">
        <v>21</v>
      </c>
      <c r="N507" s="7">
        <v>42269.0</v>
      </c>
      <c r="O507" s="8" t="s">
        <v>26</v>
      </c>
      <c r="P507" s="8" t="s">
        <v>28</v>
      </c>
      <c r="S507" s="8" t="s">
        <v>32</v>
      </c>
    </row>
    <row r="508">
      <c r="A508" s="8">
        <v>507.0</v>
      </c>
      <c r="B508" s="8" t="s">
        <v>1411</v>
      </c>
      <c r="C508" s="8" t="s">
        <v>21</v>
      </c>
      <c r="K508" s="8">
        <v>2400.0</v>
      </c>
      <c r="N508" s="7">
        <v>45750.0</v>
      </c>
    </row>
    <row r="509">
      <c r="A509" s="8">
        <v>508.0</v>
      </c>
      <c r="B509" s="8" t="s">
        <v>1413</v>
      </c>
      <c r="C509" s="8" t="s">
        <v>21</v>
      </c>
      <c r="K509" s="8">
        <v>1000.0</v>
      </c>
      <c r="N509" s="7">
        <v>44193.0</v>
      </c>
    </row>
    <row r="510">
      <c r="A510" s="8">
        <v>509.0</v>
      </c>
      <c r="B510" s="8" t="s">
        <v>1414</v>
      </c>
      <c r="C510" s="8" t="s">
        <v>21</v>
      </c>
      <c r="K510" s="8">
        <v>90.0</v>
      </c>
      <c r="N510" s="7">
        <v>44178.0</v>
      </c>
    </row>
    <row r="511">
      <c r="A511" s="8">
        <v>510.0</v>
      </c>
      <c r="B511" s="8" t="s">
        <v>1415</v>
      </c>
      <c r="C511" s="8" t="s">
        <v>21</v>
      </c>
      <c r="N511" s="7">
        <v>44830.0</v>
      </c>
    </row>
    <row r="512">
      <c r="A512" s="8">
        <v>511.0</v>
      </c>
      <c r="B512" s="8" t="s">
        <v>1417</v>
      </c>
      <c r="C512" s="8" t="s">
        <v>21</v>
      </c>
      <c r="K512" s="8">
        <v>20.0</v>
      </c>
      <c r="N512" s="7">
        <v>44756.0</v>
      </c>
    </row>
    <row r="513">
      <c r="A513" s="8">
        <v>512.0</v>
      </c>
      <c r="B513" s="8" t="s">
        <v>1418</v>
      </c>
      <c r="C513" s="8" t="s">
        <v>21</v>
      </c>
      <c r="K513" s="8">
        <v>1500.0</v>
      </c>
      <c r="N513" s="7">
        <v>43212.0</v>
      </c>
      <c r="O513" s="8" t="s">
        <v>147</v>
      </c>
      <c r="P513" s="8" t="s">
        <v>28</v>
      </c>
      <c r="S513" s="8" t="s">
        <v>32</v>
      </c>
    </row>
    <row r="514">
      <c r="A514" s="8">
        <v>513.0</v>
      </c>
      <c r="B514" s="8" t="s">
        <v>1420</v>
      </c>
      <c r="C514" s="8" t="s">
        <v>21</v>
      </c>
      <c r="K514" s="8">
        <v>10.0</v>
      </c>
      <c r="N514" s="7">
        <v>44133.0</v>
      </c>
    </row>
    <row r="515">
      <c r="A515" s="8">
        <v>514.0</v>
      </c>
      <c r="B515" s="8" t="s">
        <v>1421</v>
      </c>
      <c r="C515" s="8" t="s">
        <v>21</v>
      </c>
      <c r="K515" s="8">
        <v>700.0</v>
      </c>
      <c r="N515" s="7">
        <v>43436.0</v>
      </c>
    </row>
    <row r="516">
      <c r="A516" s="8">
        <v>515.0</v>
      </c>
      <c r="B516" s="8" t="s">
        <v>1422</v>
      </c>
      <c r="C516" s="8" t="s">
        <v>21</v>
      </c>
      <c r="K516" s="8">
        <v>600.0</v>
      </c>
      <c r="N516" s="7">
        <v>44172.0</v>
      </c>
    </row>
    <row r="517">
      <c r="A517" s="8">
        <v>516.0</v>
      </c>
      <c r="B517" s="8" t="s">
        <v>1423</v>
      </c>
      <c r="C517" s="8" t="s">
        <v>21</v>
      </c>
      <c r="K517" s="8">
        <v>300.0</v>
      </c>
      <c r="N517" s="7">
        <v>44954.0</v>
      </c>
    </row>
    <row r="518">
      <c r="A518" s="8">
        <v>517.0</v>
      </c>
      <c r="B518" s="8" t="s">
        <v>1425</v>
      </c>
      <c r="C518" s="8" t="s">
        <v>21</v>
      </c>
      <c r="K518" s="8">
        <v>30.0</v>
      </c>
      <c r="N518" s="7">
        <v>45141.0</v>
      </c>
    </row>
    <row r="519">
      <c r="A519" s="8">
        <v>518.0</v>
      </c>
      <c r="B519" s="8" t="s">
        <v>1426</v>
      </c>
      <c r="C519" s="8" t="s">
        <v>21</v>
      </c>
      <c r="K519" s="8">
        <v>20.0</v>
      </c>
      <c r="N519" s="7">
        <v>45385.0</v>
      </c>
    </row>
    <row r="520">
      <c r="A520" s="8">
        <v>519.0</v>
      </c>
      <c r="B520" s="8" t="s">
        <v>1427</v>
      </c>
      <c r="C520" s="8" t="s">
        <v>21</v>
      </c>
      <c r="K520" s="8">
        <v>100.0</v>
      </c>
      <c r="N520" s="7">
        <v>44438.0</v>
      </c>
    </row>
    <row r="521">
      <c r="A521" s="8">
        <v>520.0</v>
      </c>
      <c r="B521" s="8" t="s">
        <v>1429</v>
      </c>
      <c r="C521" s="8" t="s">
        <v>21</v>
      </c>
      <c r="D521" s="8">
        <v>75.0</v>
      </c>
      <c r="H521" s="8" t="s">
        <v>123</v>
      </c>
      <c r="I521" s="9">
        <v>46100.74162037037</v>
      </c>
      <c r="J521" s="8" t="s">
        <v>90</v>
      </c>
      <c r="K521" s="8">
        <v>2800.0</v>
      </c>
      <c r="L521" s="8">
        <v>600.0</v>
      </c>
      <c r="M521" s="8">
        <v>187000.0</v>
      </c>
      <c r="N521" s="7">
        <v>44610.0</v>
      </c>
      <c r="O521" s="8" t="s">
        <v>147</v>
      </c>
      <c r="P521" s="8" t="s">
        <v>28</v>
      </c>
      <c r="S521" s="8" t="s">
        <v>32</v>
      </c>
    </row>
    <row r="522">
      <c r="A522" s="8">
        <v>521.0</v>
      </c>
      <c r="B522" s="8" t="s">
        <v>1431</v>
      </c>
      <c r="C522" s="8" t="s">
        <v>21</v>
      </c>
      <c r="K522" s="8">
        <v>4900.0</v>
      </c>
      <c r="N522" s="7">
        <v>44130.0</v>
      </c>
    </row>
    <row r="523">
      <c r="A523" s="8">
        <v>522.0</v>
      </c>
      <c r="B523" s="8" t="s">
        <v>1432</v>
      </c>
      <c r="C523" s="8" t="s">
        <v>21</v>
      </c>
      <c r="K523" s="8">
        <v>1800.0</v>
      </c>
      <c r="N523" s="7">
        <v>43944.0</v>
      </c>
    </row>
    <row r="524">
      <c r="A524" s="8">
        <v>523.0</v>
      </c>
      <c r="B524" s="8" t="s">
        <v>1434</v>
      </c>
      <c r="C524" s="8" t="s">
        <v>21</v>
      </c>
      <c r="K524" s="8">
        <v>1200.0</v>
      </c>
      <c r="N524" s="7">
        <v>44569.0</v>
      </c>
    </row>
    <row r="525">
      <c r="A525" s="8">
        <v>524.0</v>
      </c>
      <c r="B525" s="8" t="s">
        <v>1435</v>
      </c>
      <c r="C525" s="8" t="s">
        <v>21</v>
      </c>
      <c r="K525" s="8">
        <v>10.0</v>
      </c>
      <c r="N525" s="7">
        <v>44826.0</v>
      </c>
    </row>
    <row r="526">
      <c r="A526" s="8">
        <v>525.0</v>
      </c>
      <c r="B526" s="8" t="s">
        <v>1436</v>
      </c>
      <c r="C526" s="8" t="s">
        <v>21</v>
      </c>
      <c r="N526" s="7">
        <v>45023.0</v>
      </c>
    </row>
    <row r="527">
      <c r="A527" s="8">
        <v>526.0</v>
      </c>
      <c r="B527" s="8" t="s">
        <v>1438</v>
      </c>
      <c r="C527" s="8" t="s">
        <v>21</v>
      </c>
      <c r="K527" s="8">
        <v>30.0</v>
      </c>
      <c r="N527" s="7">
        <v>45614.0</v>
      </c>
    </row>
    <row r="528">
      <c r="A528" s="8">
        <v>527.0</v>
      </c>
      <c r="B528" s="8" t="s">
        <v>1439</v>
      </c>
      <c r="C528" s="8" t="s">
        <v>21</v>
      </c>
      <c r="K528" s="8">
        <v>4300.0</v>
      </c>
      <c r="N528" s="7">
        <v>44344.0</v>
      </c>
    </row>
    <row r="529">
      <c r="A529" s="8">
        <v>528.0</v>
      </c>
      <c r="B529" s="8" t="s">
        <v>1440</v>
      </c>
      <c r="C529" s="8" t="s">
        <v>21</v>
      </c>
      <c r="K529" s="8">
        <v>600.0</v>
      </c>
      <c r="N529" s="7">
        <v>44881.0</v>
      </c>
    </row>
    <row r="530">
      <c r="A530" s="8">
        <v>529.0</v>
      </c>
      <c r="B530" s="8" t="s">
        <v>1442</v>
      </c>
      <c r="C530" s="8" t="s">
        <v>21</v>
      </c>
      <c r="K530" s="8">
        <v>6600.0</v>
      </c>
      <c r="N530" s="7">
        <v>44572.0</v>
      </c>
    </row>
    <row r="531">
      <c r="A531" s="8">
        <v>530.0</v>
      </c>
      <c r="B531" s="8" t="s">
        <v>1443</v>
      </c>
      <c r="C531" s="8" t="s">
        <v>21</v>
      </c>
      <c r="N531" s="7">
        <v>43623.0</v>
      </c>
    </row>
    <row r="532">
      <c r="A532" s="8">
        <v>531.0</v>
      </c>
      <c r="B532" s="8" t="s">
        <v>1445</v>
      </c>
      <c r="C532" s="8" t="s">
        <v>21</v>
      </c>
      <c r="K532" s="8">
        <v>10.0</v>
      </c>
      <c r="N532" s="7">
        <v>44260.0</v>
      </c>
    </row>
    <row r="533">
      <c r="A533" s="8">
        <v>532.0</v>
      </c>
      <c r="B533" s="8" t="s">
        <v>1447</v>
      </c>
      <c r="C533" s="8" t="s">
        <v>21</v>
      </c>
      <c r="N533" s="7">
        <v>43513.0</v>
      </c>
    </row>
    <row r="534">
      <c r="A534" s="8">
        <v>533.0</v>
      </c>
      <c r="B534" s="8" t="s">
        <v>1448</v>
      </c>
      <c r="C534" s="8" t="s">
        <v>21</v>
      </c>
      <c r="K534" s="8">
        <v>10.0</v>
      </c>
      <c r="N534" s="7">
        <v>45178.0</v>
      </c>
    </row>
    <row r="535">
      <c r="A535" s="8">
        <v>534.0</v>
      </c>
      <c r="B535" s="8" t="s">
        <v>1453</v>
      </c>
      <c r="C535" s="8" t="s">
        <v>21</v>
      </c>
      <c r="N535" s="7">
        <v>43960.0</v>
      </c>
    </row>
    <row r="536">
      <c r="A536" s="8">
        <v>535.0</v>
      </c>
      <c r="B536" s="8" t="s">
        <v>1454</v>
      </c>
      <c r="C536" s="8" t="s">
        <v>21</v>
      </c>
      <c r="K536" s="8">
        <v>500.0</v>
      </c>
      <c r="N536" s="7">
        <v>44054.0</v>
      </c>
      <c r="O536" s="8" t="s">
        <v>147</v>
      </c>
      <c r="P536" s="8" t="s">
        <v>28</v>
      </c>
      <c r="S536" s="8" t="s">
        <v>32</v>
      </c>
    </row>
    <row r="537">
      <c r="A537" s="8">
        <v>536.0</v>
      </c>
      <c r="B537" s="8" t="s">
        <v>1456</v>
      </c>
      <c r="C537" s="8" t="s">
        <v>21</v>
      </c>
      <c r="K537" s="8">
        <v>1900.0</v>
      </c>
      <c r="N537" s="7">
        <v>44154.0</v>
      </c>
    </row>
    <row r="538">
      <c r="A538" s="8">
        <v>537.0</v>
      </c>
      <c r="B538" s="8" t="s">
        <v>1458</v>
      </c>
      <c r="C538" s="8" t="s">
        <v>21</v>
      </c>
      <c r="K538" s="8">
        <v>40.0</v>
      </c>
      <c r="N538" s="7">
        <v>44258.0</v>
      </c>
    </row>
    <row r="539">
      <c r="A539" s="8">
        <v>538.0</v>
      </c>
      <c r="B539" s="8" t="s">
        <v>1459</v>
      </c>
      <c r="C539" s="8" t="s">
        <v>21</v>
      </c>
      <c r="K539" s="8">
        <v>150.0</v>
      </c>
      <c r="N539" s="7">
        <v>44293.0</v>
      </c>
    </row>
    <row r="540">
      <c r="A540" s="8">
        <v>539.0</v>
      </c>
      <c r="B540" s="8" t="s">
        <v>1460</v>
      </c>
      <c r="C540" s="8" t="s">
        <v>21</v>
      </c>
      <c r="K540" s="8">
        <v>1100.0</v>
      </c>
      <c r="N540" s="7">
        <v>44744.0</v>
      </c>
    </row>
    <row r="541">
      <c r="A541" s="8">
        <v>540.0</v>
      </c>
      <c r="B541" s="8" t="s">
        <v>1462</v>
      </c>
      <c r="C541" s="8" t="s">
        <v>21</v>
      </c>
      <c r="K541" s="8">
        <v>40.0</v>
      </c>
      <c r="N541" s="7">
        <v>44702.0</v>
      </c>
    </row>
    <row r="542">
      <c r="A542" s="8">
        <v>541.0</v>
      </c>
      <c r="B542" s="8" t="s">
        <v>1463</v>
      </c>
      <c r="C542" s="8" t="s">
        <v>21</v>
      </c>
      <c r="K542" s="8">
        <v>90.0</v>
      </c>
      <c r="N542" s="7">
        <v>44161.0</v>
      </c>
    </row>
    <row r="543">
      <c r="A543" s="8">
        <v>542.0</v>
      </c>
      <c r="B543" s="8" t="s">
        <v>1465</v>
      </c>
      <c r="C543" s="8" t="s">
        <v>21</v>
      </c>
      <c r="K543" s="8">
        <v>1100.0</v>
      </c>
      <c r="N543" s="7">
        <v>44910.0</v>
      </c>
    </row>
    <row r="544">
      <c r="A544" s="8">
        <v>543.0</v>
      </c>
      <c r="B544" s="8" t="s">
        <v>1466</v>
      </c>
      <c r="C544" s="8" t="s">
        <v>21</v>
      </c>
      <c r="N544" s="7">
        <v>44554.0</v>
      </c>
    </row>
    <row r="545">
      <c r="A545" s="8">
        <v>544.0</v>
      </c>
      <c r="B545" s="8" t="s">
        <v>1467</v>
      </c>
      <c r="C545" s="8" t="s">
        <v>21</v>
      </c>
      <c r="N545" s="7">
        <v>44772.0</v>
      </c>
    </row>
    <row r="546">
      <c r="A546" s="8">
        <v>545.0</v>
      </c>
      <c r="B546" s="8" t="s">
        <v>1469</v>
      </c>
      <c r="C546" s="8" t="s">
        <v>21</v>
      </c>
      <c r="K546" s="8">
        <v>10.0</v>
      </c>
      <c r="N546" s="7">
        <v>44696.0</v>
      </c>
    </row>
    <row r="547">
      <c r="A547" s="8">
        <v>546.0</v>
      </c>
      <c r="B547" s="8" t="s">
        <v>1470</v>
      </c>
      <c r="C547" s="8" t="s">
        <v>21</v>
      </c>
      <c r="K547" s="8">
        <v>150.0</v>
      </c>
      <c r="N547" s="7">
        <v>44940.0</v>
      </c>
    </row>
    <row r="548">
      <c r="A548" s="8">
        <v>547.0</v>
      </c>
      <c r="B548" s="8" t="s">
        <v>1472</v>
      </c>
      <c r="C548" s="8" t="s">
        <v>21</v>
      </c>
      <c r="K548" s="8">
        <v>90.0</v>
      </c>
      <c r="N548" s="7">
        <v>44881.0</v>
      </c>
    </row>
    <row r="549">
      <c r="A549" s="8">
        <v>548.0</v>
      </c>
      <c r="B549" s="8" t="s">
        <v>1474</v>
      </c>
      <c r="C549" s="8" t="s">
        <v>21</v>
      </c>
      <c r="K549" s="8">
        <v>400.0</v>
      </c>
      <c r="N549" s="7">
        <v>44166.0</v>
      </c>
    </row>
    <row r="550">
      <c r="A550" s="8">
        <v>549.0</v>
      </c>
      <c r="B550" s="8" t="s">
        <v>1475</v>
      </c>
      <c r="C550" s="8" t="s">
        <v>21</v>
      </c>
      <c r="K550" s="8">
        <v>20.0</v>
      </c>
      <c r="N550" s="7">
        <v>44298.0</v>
      </c>
    </row>
    <row r="551">
      <c r="A551" s="8">
        <v>550.0</v>
      </c>
      <c r="B551" s="8" t="s">
        <v>1477</v>
      </c>
      <c r="C551" s="8" t="s">
        <v>21</v>
      </c>
      <c r="K551" s="8">
        <v>450.0</v>
      </c>
      <c r="N551" s="7">
        <v>44402.0</v>
      </c>
    </row>
    <row r="552">
      <c r="A552" s="8">
        <v>551.0</v>
      </c>
      <c r="B552" s="8" t="s">
        <v>1478</v>
      </c>
      <c r="C552" s="8" t="s">
        <v>21</v>
      </c>
      <c r="K552" s="8">
        <v>20.0</v>
      </c>
      <c r="N552" s="7">
        <v>44622.0</v>
      </c>
    </row>
    <row r="553">
      <c r="A553" s="8">
        <v>552.0</v>
      </c>
      <c r="B553" s="8" t="s">
        <v>1479</v>
      </c>
      <c r="C553" s="8" t="s">
        <v>21</v>
      </c>
      <c r="K553" s="8">
        <v>2400.0</v>
      </c>
      <c r="N553" s="7">
        <v>44150.0</v>
      </c>
    </row>
    <row r="554">
      <c r="A554" s="8">
        <v>553.0</v>
      </c>
      <c r="B554" s="8" t="s">
        <v>1481</v>
      </c>
      <c r="C554" s="8" t="s">
        <v>21</v>
      </c>
      <c r="K554" s="8">
        <v>400.0</v>
      </c>
      <c r="N554" s="7">
        <v>44822.0</v>
      </c>
    </row>
    <row r="555">
      <c r="A555" s="8">
        <v>554.0</v>
      </c>
      <c r="B555" s="8" t="s">
        <v>1482</v>
      </c>
      <c r="C555" s="8" t="s">
        <v>21</v>
      </c>
      <c r="K555" s="8">
        <v>150.0</v>
      </c>
      <c r="N555" s="7">
        <v>45873.0</v>
      </c>
    </row>
    <row r="556">
      <c r="A556" s="8">
        <v>555.0</v>
      </c>
      <c r="B556" s="8" t="s">
        <v>1485</v>
      </c>
      <c r="C556" s="8" t="s">
        <v>21</v>
      </c>
      <c r="K556" s="8">
        <v>40.0</v>
      </c>
      <c r="N556" s="7">
        <v>43955.0</v>
      </c>
    </row>
    <row r="557">
      <c r="A557" s="8">
        <v>556.0</v>
      </c>
      <c r="B557" s="8" t="s">
        <v>1486</v>
      </c>
      <c r="C557" s="8" t="s">
        <v>21</v>
      </c>
      <c r="K557" s="8">
        <v>200.0</v>
      </c>
      <c r="N557" s="7">
        <v>44907.0</v>
      </c>
    </row>
    <row r="558">
      <c r="A558" s="8">
        <v>557.0</v>
      </c>
      <c r="B558" s="8" t="s">
        <v>1487</v>
      </c>
      <c r="C558" s="8" t="s">
        <v>21</v>
      </c>
      <c r="K558" s="8">
        <v>250.0</v>
      </c>
      <c r="N558" s="7">
        <v>45379.0</v>
      </c>
    </row>
    <row r="559">
      <c r="A559" s="8">
        <v>558.0</v>
      </c>
      <c r="B559" s="8" t="s">
        <v>1489</v>
      </c>
      <c r="C559" s="8" t="s">
        <v>21</v>
      </c>
      <c r="K559" s="8">
        <v>250.0</v>
      </c>
      <c r="N559" s="7">
        <v>44361.0</v>
      </c>
    </row>
    <row r="560">
      <c r="A560" s="8">
        <v>559.0</v>
      </c>
      <c r="B560" s="8" t="s">
        <v>1490</v>
      </c>
      <c r="C560" s="8" t="s">
        <v>21</v>
      </c>
      <c r="K560" s="8">
        <v>20.0</v>
      </c>
      <c r="N560" s="7">
        <v>45383.0</v>
      </c>
    </row>
    <row r="561">
      <c r="A561" s="8">
        <v>560.0</v>
      </c>
      <c r="B561" s="8" t="s">
        <v>1493</v>
      </c>
      <c r="C561" s="8" t="s">
        <v>21</v>
      </c>
      <c r="N561" s="7">
        <v>45224.0</v>
      </c>
    </row>
    <row r="562">
      <c r="A562" s="8">
        <v>561.0</v>
      </c>
      <c r="B562" s="8" t="s">
        <v>1495</v>
      </c>
      <c r="C562" s="8" t="s">
        <v>21</v>
      </c>
      <c r="K562" s="8">
        <v>30.0</v>
      </c>
      <c r="N562" s="7">
        <v>44477.0</v>
      </c>
    </row>
    <row r="563">
      <c r="A563" s="8">
        <v>562.0</v>
      </c>
      <c r="B563" s="8" t="s">
        <v>1496</v>
      </c>
      <c r="C563" s="8" t="s">
        <v>21</v>
      </c>
      <c r="N563" s="7">
        <v>44755.0</v>
      </c>
    </row>
    <row r="564">
      <c r="A564" s="8">
        <v>563.0</v>
      </c>
      <c r="B564" s="8" t="s">
        <v>1498</v>
      </c>
      <c r="C564" s="8" t="s">
        <v>21</v>
      </c>
      <c r="K564" s="8">
        <v>40.0</v>
      </c>
      <c r="N564" s="7">
        <v>44337.0</v>
      </c>
    </row>
    <row r="565">
      <c r="A565" s="8">
        <v>564.0</v>
      </c>
      <c r="B565" s="8" t="s">
        <v>1499</v>
      </c>
      <c r="C565" s="8" t="s">
        <v>21</v>
      </c>
      <c r="K565" s="8">
        <v>300.0</v>
      </c>
      <c r="N565" s="7">
        <v>44931.0</v>
      </c>
    </row>
    <row r="566">
      <c r="A566" s="8">
        <v>565.0</v>
      </c>
      <c r="B566" s="8" t="s">
        <v>1500</v>
      </c>
      <c r="C566" s="8" t="s">
        <v>21</v>
      </c>
      <c r="K566" s="8">
        <v>1200.0</v>
      </c>
      <c r="N566" s="7">
        <v>45410.0</v>
      </c>
    </row>
    <row r="567">
      <c r="A567" s="8">
        <v>566.0</v>
      </c>
      <c r="B567" s="8" t="s">
        <v>1503</v>
      </c>
      <c r="C567" s="8" t="s">
        <v>21</v>
      </c>
      <c r="K567" s="8">
        <v>50.0</v>
      </c>
      <c r="N567" s="7">
        <v>45638.0</v>
      </c>
    </row>
    <row r="568">
      <c r="A568" s="8">
        <v>567.0</v>
      </c>
      <c r="B568" s="8" t="s">
        <v>1505</v>
      </c>
      <c r="C568" s="8" t="s">
        <v>21</v>
      </c>
      <c r="K568" s="8">
        <v>3100.0</v>
      </c>
      <c r="N568" s="7">
        <v>45159.0</v>
      </c>
    </row>
    <row r="569">
      <c r="A569" s="8">
        <v>568.0</v>
      </c>
      <c r="B569" s="8" t="s">
        <v>41</v>
      </c>
      <c r="C569" s="8" t="s">
        <v>21</v>
      </c>
      <c r="K569" s="8">
        <v>150.0</v>
      </c>
      <c r="N569" s="7">
        <v>44352.0</v>
      </c>
    </row>
    <row r="570">
      <c r="A570" s="8">
        <v>569.0</v>
      </c>
      <c r="B570" s="8" t="s">
        <v>1507</v>
      </c>
      <c r="C570" s="8" t="s">
        <v>21</v>
      </c>
      <c r="K570" s="8">
        <v>30.0</v>
      </c>
      <c r="N570" s="7">
        <v>44229.0</v>
      </c>
    </row>
    <row r="571">
      <c r="A571" s="8">
        <v>570.0</v>
      </c>
      <c r="B571" s="8" t="s">
        <v>1508</v>
      </c>
      <c r="C571" s="8" t="s">
        <v>21</v>
      </c>
      <c r="K571" s="8">
        <v>700.0</v>
      </c>
      <c r="N571" s="7">
        <v>44186.0</v>
      </c>
    </row>
    <row r="572">
      <c r="A572" s="8">
        <v>571.0</v>
      </c>
      <c r="B572" s="8" t="s">
        <v>1509</v>
      </c>
      <c r="C572" s="8" t="s">
        <v>21</v>
      </c>
      <c r="K572" s="8">
        <v>20.0</v>
      </c>
      <c r="N572" s="7">
        <v>45873.0</v>
      </c>
    </row>
    <row r="573">
      <c r="A573" s="8">
        <v>572.0</v>
      </c>
      <c r="B573" s="8" t="s">
        <v>1510</v>
      </c>
      <c r="C573" s="8" t="s">
        <v>21</v>
      </c>
      <c r="K573" s="8">
        <v>100.0</v>
      </c>
      <c r="N573" s="7">
        <v>43927.0</v>
      </c>
    </row>
    <row r="574">
      <c r="A574" s="8">
        <v>573.0</v>
      </c>
      <c r="B574" s="8" t="s">
        <v>1511</v>
      </c>
      <c r="C574" s="8" t="s">
        <v>21</v>
      </c>
      <c r="K574" s="8">
        <v>400.0</v>
      </c>
      <c r="N574" s="7">
        <v>44131.0</v>
      </c>
    </row>
    <row r="575">
      <c r="A575" s="8">
        <v>574.0</v>
      </c>
      <c r="B575" s="8" t="s">
        <v>1513</v>
      </c>
      <c r="C575" s="8" t="s">
        <v>21</v>
      </c>
      <c r="K575" s="8">
        <v>2300.0</v>
      </c>
      <c r="N575" s="7">
        <v>44242.0</v>
      </c>
    </row>
    <row r="576">
      <c r="A576" s="8">
        <v>575.0</v>
      </c>
      <c r="B576" s="8" t="s">
        <v>1514</v>
      </c>
      <c r="C576" s="8" t="s">
        <v>21</v>
      </c>
      <c r="K576" s="8">
        <v>1800.0</v>
      </c>
      <c r="N576" s="7">
        <v>43989.0</v>
      </c>
    </row>
    <row r="577">
      <c r="A577" s="8">
        <v>576.0</v>
      </c>
      <c r="B577" s="8" t="s">
        <v>1517</v>
      </c>
      <c r="C577" s="8" t="s">
        <v>21</v>
      </c>
      <c r="K577" s="8">
        <v>100.0</v>
      </c>
      <c r="N577" s="7">
        <v>45230.0</v>
      </c>
    </row>
    <row r="578">
      <c r="A578" s="8">
        <v>577.0</v>
      </c>
      <c r="B578" s="8" t="s">
        <v>1518</v>
      </c>
      <c r="C578" s="8" t="s">
        <v>21</v>
      </c>
      <c r="N578" s="7">
        <v>44178.0</v>
      </c>
    </row>
    <row r="579">
      <c r="A579" s="8">
        <v>578.0</v>
      </c>
      <c r="B579" s="8" t="s">
        <v>1520</v>
      </c>
      <c r="C579" s="8" t="s">
        <v>21</v>
      </c>
      <c r="K579" s="8">
        <v>600.0</v>
      </c>
      <c r="N579" s="7">
        <v>44282.0</v>
      </c>
    </row>
    <row r="580">
      <c r="A580" s="8">
        <v>579.0</v>
      </c>
      <c r="B580" s="8" t="s">
        <v>1522</v>
      </c>
      <c r="C580" s="8" t="s">
        <v>21</v>
      </c>
      <c r="N580" s="7">
        <v>42783.0</v>
      </c>
    </row>
    <row r="581">
      <c r="A581" s="8">
        <v>580.0</v>
      </c>
      <c r="B581" s="8" t="s">
        <v>1523</v>
      </c>
      <c r="C581" s="8" t="s">
        <v>21</v>
      </c>
      <c r="K581" s="8">
        <v>400.0</v>
      </c>
      <c r="N581" s="7">
        <v>44203.0</v>
      </c>
    </row>
    <row r="582">
      <c r="A582" s="8">
        <v>581.0</v>
      </c>
      <c r="B582" s="8" t="s">
        <v>1524</v>
      </c>
      <c r="C582" s="8" t="s">
        <v>21</v>
      </c>
      <c r="K582" s="8">
        <v>100.0</v>
      </c>
      <c r="N582" s="7">
        <v>44517.0</v>
      </c>
    </row>
    <row r="583">
      <c r="A583" s="8">
        <v>582.0</v>
      </c>
      <c r="B583" s="8" t="s">
        <v>1525</v>
      </c>
      <c r="C583" s="8" t="s">
        <v>21</v>
      </c>
      <c r="K583" s="8">
        <v>60.0</v>
      </c>
      <c r="N583" s="7">
        <v>44223.0</v>
      </c>
    </row>
    <row r="584">
      <c r="A584" s="8">
        <v>583.0</v>
      </c>
      <c r="B584" s="8" t="s">
        <v>1526</v>
      </c>
      <c r="C584" s="8" t="s">
        <v>21</v>
      </c>
      <c r="K584" s="8">
        <v>100.0</v>
      </c>
      <c r="N584" s="7">
        <v>44607.0</v>
      </c>
    </row>
    <row r="585">
      <c r="A585" s="8">
        <v>584.0</v>
      </c>
      <c r="B585" s="8" t="s">
        <v>1528</v>
      </c>
      <c r="C585" s="8" t="s">
        <v>21</v>
      </c>
      <c r="K585" s="8">
        <v>10.0</v>
      </c>
      <c r="N585" s="7">
        <v>44465.0</v>
      </c>
    </row>
    <row r="586">
      <c r="A586" s="8">
        <v>585.0</v>
      </c>
      <c r="B586" s="8" t="s">
        <v>1529</v>
      </c>
      <c r="C586" s="8" t="s">
        <v>21</v>
      </c>
      <c r="K586" s="8">
        <v>3000.0</v>
      </c>
      <c r="N586" s="7">
        <v>44855.0</v>
      </c>
    </row>
    <row r="587">
      <c r="A587" s="8">
        <v>586.0</v>
      </c>
      <c r="B587" s="8" t="s">
        <v>44</v>
      </c>
      <c r="C587" s="8" t="s">
        <v>21</v>
      </c>
      <c r="N587" s="7">
        <v>44620.0</v>
      </c>
    </row>
    <row r="588">
      <c r="A588" s="8">
        <v>587.0</v>
      </c>
      <c r="B588" s="8" t="s">
        <v>1531</v>
      </c>
      <c r="C588" s="8" t="s">
        <v>21</v>
      </c>
      <c r="K588" s="8">
        <v>90.0</v>
      </c>
      <c r="N588" s="7">
        <v>44374.0</v>
      </c>
    </row>
    <row r="589">
      <c r="A589" s="8">
        <v>588.0</v>
      </c>
      <c r="B589" s="8" t="s">
        <v>1532</v>
      </c>
      <c r="C589" s="8" t="s">
        <v>21</v>
      </c>
      <c r="K589" s="8">
        <v>7100.0</v>
      </c>
      <c r="N589" s="7">
        <v>42395.0</v>
      </c>
      <c r="O589" s="8" t="s">
        <v>107</v>
      </c>
      <c r="P589" s="8" t="s">
        <v>28</v>
      </c>
      <c r="S589" s="8" t="s">
        <v>32</v>
      </c>
    </row>
    <row r="590">
      <c r="A590" s="8">
        <v>589.0</v>
      </c>
      <c r="B590" s="8" t="s">
        <v>1534</v>
      </c>
      <c r="C590" s="8" t="s">
        <v>21</v>
      </c>
      <c r="N590" s="7">
        <v>44090.0</v>
      </c>
      <c r="O590" s="8" t="s">
        <v>26</v>
      </c>
      <c r="P590" s="8" t="s">
        <v>28</v>
      </c>
      <c r="S590" s="8" t="s">
        <v>32</v>
      </c>
    </row>
    <row r="591">
      <c r="A591" s="8">
        <v>590.0</v>
      </c>
      <c r="B591" s="8" t="s">
        <v>1536</v>
      </c>
      <c r="C591" s="8" t="s">
        <v>21</v>
      </c>
      <c r="K591" s="8">
        <v>600.0</v>
      </c>
      <c r="N591" s="7">
        <v>45685.0</v>
      </c>
    </row>
    <row r="592">
      <c r="A592" s="8">
        <v>591.0</v>
      </c>
      <c r="B592" s="8" t="s">
        <v>1537</v>
      </c>
      <c r="C592" s="8" t="s">
        <v>21</v>
      </c>
      <c r="K592" s="8">
        <v>50.0</v>
      </c>
      <c r="N592" s="7">
        <v>45073.0</v>
      </c>
    </row>
    <row r="593">
      <c r="A593" s="8">
        <v>592.0</v>
      </c>
      <c r="B593" s="8" t="s">
        <v>1538</v>
      </c>
      <c r="C593" s="8" t="s">
        <v>21</v>
      </c>
      <c r="K593" s="8">
        <v>10.0</v>
      </c>
      <c r="N593" s="7">
        <v>45428.0</v>
      </c>
    </row>
    <row r="594">
      <c r="A594" s="8">
        <v>593.0</v>
      </c>
      <c r="B594" s="8" t="s">
        <v>1539</v>
      </c>
      <c r="C594" s="8" t="s">
        <v>21</v>
      </c>
      <c r="K594" s="8">
        <v>70.0</v>
      </c>
      <c r="N594" s="7">
        <v>44488.0</v>
      </c>
    </row>
    <row r="595">
      <c r="A595" s="8">
        <v>594.0</v>
      </c>
      <c r="B595" s="8" t="s">
        <v>1541</v>
      </c>
      <c r="C595" s="8" t="s">
        <v>21</v>
      </c>
      <c r="K595" s="8">
        <v>20.0</v>
      </c>
      <c r="N595" s="7">
        <v>45454.0</v>
      </c>
    </row>
    <row r="596">
      <c r="A596" s="8">
        <v>595.0</v>
      </c>
      <c r="B596" s="8" t="s">
        <v>1542</v>
      </c>
      <c r="C596" s="8" t="s">
        <v>21</v>
      </c>
      <c r="N596" s="7">
        <v>44179.0</v>
      </c>
    </row>
    <row r="597">
      <c r="A597" s="8">
        <v>596.0</v>
      </c>
      <c r="B597" s="8" t="s">
        <v>1543</v>
      </c>
      <c r="C597" s="8" t="s">
        <v>21</v>
      </c>
      <c r="K597" s="8">
        <v>20.0</v>
      </c>
      <c r="N597" s="7">
        <v>42270.0</v>
      </c>
      <c r="O597" s="8" t="s">
        <v>107</v>
      </c>
      <c r="P597" s="8" t="s">
        <v>28</v>
      </c>
      <c r="S597" s="8" t="s">
        <v>32</v>
      </c>
    </row>
    <row r="598">
      <c r="A598" s="8">
        <v>597.0</v>
      </c>
      <c r="B598" s="8" t="s">
        <v>1544</v>
      </c>
      <c r="C598" s="8" t="s">
        <v>21</v>
      </c>
      <c r="K598" s="8">
        <v>1800.0</v>
      </c>
      <c r="N598" s="7">
        <v>44618.0</v>
      </c>
    </row>
    <row r="599">
      <c r="A599" s="8">
        <v>598.0</v>
      </c>
      <c r="B599" s="8" t="s">
        <v>1545</v>
      </c>
      <c r="C599" s="8" t="s">
        <v>21</v>
      </c>
      <c r="K599" s="8">
        <v>10.0</v>
      </c>
      <c r="N599" s="7">
        <v>44186.0</v>
      </c>
    </row>
    <row r="600">
      <c r="A600" s="8">
        <v>599.0</v>
      </c>
      <c r="B600" s="8" t="s">
        <v>1546</v>
      </c>
      <c r="C600" s="8" t="s">
        <v>21</v>
      </c>
      <c r="K600" s="8">
        <v>50.0</v>
      </c>
      <c r="N600" s="7">
        <v>44745.0</v>
      </c>
    </row>
    <row r="601">
      <c r="A601" s="8">
        <v>600.0</v>
      </c>
      <c r="B601" s="8" t="s">
        <v>1547</v>
      </c>
      <c r="C601" s="8" t="s">
        <v>21</v>
      </c>
      <c r="K601" s="8">
        <v>80.0</v>
      </c>
      <c r="N601" s="7">
        <v>44184.0</v>
      </c>
    </row>
    <row r="602">
      <c r="A602" s="8">
        <v>601.0</v>
      </c>
      <c r="B602" s="8" t="s">
        <v>1548</v>
      </c>
      <c r="C602" s="8" t="s">
        <v>21</v>
      </c>
      <c r="N602" s="7">
        <v>44087.0</v>
      </c>
    </row>
    <row r="603">
      <c r="A603" s="8">
        <v>602.0</v>
      </c>
      <c r="B603" s="8" t="s">
        <v>1549</v>
      </c>
      <c r="C603" s="8" t="s">
        <v>21</v>
      </c>
      <c r="K603" s="8">
        <v>200.0</v>
      </c>
      <c r="N603" s="7">
        <v>44464.0</v>
      </c>
    </row>
    <row r="604">
      <c r="A604" s="8">
        <v>603.0</v>
      </c>
      <c r="B604" s="8" t="s">
        <v>1551</v>
      </c>
      <c r="C604" s="8" t="s">
        <v>21</v>
      </c>
      <c r="K604" s="8">
        <v>500.0</v>
      </c>
      <c r="N604" s="7">
        <v>43180.0</v>
      </c>
    </row>
    <row r="605">
      <c r="A605" s="8">
        <v>604.0</v>
      </c>
      <c r="B605" s="8" t="s">
        <v>1552</v>
      </c>
      <c r="C605" s="8" t="s">
        <v>21</v>
      </c>
      <c r="K605" s="8">
        <v>40.0</v>
      </c>
      <c r="N605" s="7">
        <v>43873.0</v>
      </c>
    </row>
    <row r="606">
      <c r="A606" s="8">
        <v>605.0</v>
      </c>
      <c r="B606" s="8" t="s">
        <v>1553</v>
      </c>
      <c r="C606" s="8" t="s">
        <v>21</v>
      </c>
      <c r="K606" s="8">
        <v>600.0</v>
      </c>
      <c r="N606" s="7">
        <v>44146.0</v>
      </c>
    </row>
    <row r="607">
      <c r="A607" s="8">
        <v>606.0</v>
      </c>
      <c r="B607" s="8" t="s">
        <v>1554</v>
      </c>
      <c r="C607" s="8" t="s">
        <v>21</v>
      </c>
      <c r="K607" s="8">
        <v>10.0</v>
      </c>
      <c r="N607" s="7">
        <v>44826.0</v>
      </c>
    </row>
    <row r="608">
      <c r="A608" s="8">
        <v>607.0</v>
      </c>
      <c r="B608" s="8" t="s">
        <v>1555</v>
      </c>
      <c r="C608" s="8" t="s">
        <v>21</v>
      </c>
      <c r="N608" s="7">
        <v>42293.0</v>
      </c>
      <c r="O608" s="8" t="s">
        <v>26</v>
      </c>
      <c r="P608" s="8" t="s">
        <v>28</v>
      </c>
      <c r="S608" s="8" t="s">
        <v>32</v>
      </c>
    </row>
    <row r="609">
      <c r="A609" s="8">
        <v>608.0</v>
      </c>
      <c r="B609" s="8" t="s">
        <v>1556</v>
      </c>
      <c r="C609" s="8" t="s">
        <v>21</v>
      </c>
      <c r="K609" s="8">
        <v>500.0</v>
      </c>
      <c r="N609" s="7">
        <v>44546.0</v>
      </c>
    </row>
    <row r="610">
      <c r="A610" s="8">
        <v>609.0</v>
      </c>
      <c r="B610" s="8" t="s">
        <v>1557</v>
      </c>
      <c r="C610" s="8" t="s">
        <v>21</v>
      </c>
      <c r="K610" s="8">
        <v>400.0</v>
      </c>
      <c r="N610" s="7">
        <v>44113.0</v>
      </c>
    </row>
    <row r="611">
      <c r="A611" s="8">
        <v>610.0</v>
      </c>
      <c r="B611" s="8" t="s">
        <v>1558</v>
      </c>
      <c r="C611" s="8" t="s">
        <v>21</v>
      </c>
      <c r="K611" s="8">
        <v>150.0</v>
      </c>
      <c r="N611" s="7">
        <v>45873.0</v>
      </c>
    </row>
    <row r="612">
      <c r="A612" s="8">
        <v>611.0</v>
      </c>
      <c r="B612" s="8" t="s">
        <v>1560</v>
      </c>
      <c r="C612" s="8" t="s">
        <v>21</v>
      </c>
      <c r="K612" s="8">
        <v>150.0</v>
      </c>
      <c r="N612" s="7">
        <v>44023.0</v>
      </c>
    </row>
    <row r="613">
      <c r="A613" s="8">
        <v>612.0</v>
      </c>
      <c r="B613" s="8" t="s">
        <v>1561</v>
      </c>
      <c r="C613" s="8" t="s">
        <v>21</v>
      </c>
      <c r="K613" s="8">
        <v>1600.0</v>
      </c>
      <c r="N613" s="7">
        <v>44307.0</v>
      </c>
    </row>
    <row r="614">
      <c r="A614" s="8">
        <v>613.0</v>
      </c>
      <c r="B614" s="8" t="s">
        <v>1562</v>
      </c>
      <c r="C614" s="8" t="s">
        <v>21</v>
      </c>
      <c r="K614" s="8">
        <v>50.0</v>
      </c>
      <c r="N614" s="7">
        <v>46000.0</v>
      </c>
    </row>
    <row r="615">
      <c r="A615" s="8">
        <v>614.0</v>
      </c>
      <c r="B615" s="8" t="s">
        <v>1563</v>
      </c>
      <c r="C615" s="8" t="s">
        <v>21</v>
      </c>
      <c r="K615" s="8">
        <v>500.0</v>
      </c>
      <c r="N615" s="7">
        <v>44212.0</v>
      </c>
    </row>
    <row r="616">
      <c r="A616" s="8">
        <v>615.0</v>
      </c>
      <c r="B616" s="8" t="s">
        <v>1564</v>
      </c>
      <c r="C616" s="8" t="s">
        <v>21</v>
      </c>
      <c r="K616" s="8">
        <v>200.0</v>
      </c>
      <c r="N616" s="7">
        <v>44999.0</v>
      </c>
    </row>
    <row r="617">
      <c r="A617" s="8">
        <v>616.0</v>
      </c>
      <c r="B617" s="8" t="s">
        <v>1566</v>
      </c>
      <c r="C617" s="8" t="s">
        <v>21</v>
      </c>
      <c r="K617" s="8">
        <v>500.0</v>
      </c>
      <c r="N617" s="7">
        <v>44729.0</v>
      </c>
    </row>
    <row r="618">
      <c r="A618" s="8">
        <v>617.0</v>
      </c>
      <c r="B618" s="8" t="s">
        <v>1567</v>
      </c>
      <c r="C618" s="8" t="s">
        <v>21</v>
      </c>
      <c r="K618" s="8">
        <v>900.0</v>
      </c>
      <c r="N618" s="7">
        <v>44464.0</v>
      </c>
    </row>
    <row r="619">
      <c r="A619" s="8">
        <v>618.0</v>
      </c>
      <c r="B619" s="8" t="s">
        <v>1568</v>
      </c>
      <c r="C619" s="8" t="s">
        <v>21</v>
      </c>
      <c r="N619" s="7">
        <v>45225.0</v>
      </c>
    </row>
    <row r="620">
      <c r="A620" s="8">
        <v>619.0</v>
      </c>
      <c r="B620" s="8" t="s">
        <v>1569</v>
      </c>
      <c r="C620" s="8" t="s">
        <v>21</v>
      </c>
      <c r="K620" s="8">
        <v>600.0</v>
      </c>
      <c r="N620" s="7">
        <v>44225.0</v>
      </c>
    </row>
    <row r="621">
      <c r="A621" s="8">
        <v>620.0</v>
      </c>
      <c r="B621" s="8" t="s">
        <v>1570</v>
      </c>
      <c r="C621" s="8" t="s">
        <v>21</v>
      </c>
      <c r="K621" s="8">
        <v>70.0</v>
      </c>
      <c r="N621" s="7">
        <v>44096.0</v>
      </c>
    </row>
    <row r="622">
      <c r="A622" s="8">
        <v>621.0</v>
      </c>
      <c r="B622" s="8" t="s">
        <v>1572</v>
      </c>
      <c r="C622" s="8" t="s">
        <v>21</v>
      </c>
      <c r="K622" s="8">
        <v>250.0</v>
      </c>
      <c r="N622" s="7">
        <v>44030.0</v>
      </c>
    </row>
    <row r="623">
      <c r="A623" s="8">
        <v>622.0</v>
      </c>
      <c r="B623" s="8" t="s">
        <v>1573</v>
      </c>
      <c r="C623" s="8" t="s">
        <v>21</v>
      </c>
      <c r="K623" s="8">
        <v>10.0</v>
      </c>
      <c r="N623" s="7">
        <v>45084.0</v>
      </c>
    </row>
    <row r="624">
      <c r="A624" s="8">
        <v>623.0</v>
      </c>
      <c r="B624" s="8" t="s">
        <v>1574</v>
      </c>
      <c r="C624" s="8" t="s">
        <v>21</v>
      </c>
      <c r="K624" s="8">
        <v>14000.0</v>
      </c>
      <c r="N624" s="7">
        <v>42264.0</v>
      </c>
    </row>
    <row r="625">
      <c r="A625" s="8">
        <v>624.0</v>
      </c>
      <c r="B625" s="8" t="s">
        <v>1575</v>
      </c>
      <c r="C625" s="8" t="s">
        <v>21</v>
      </c>
      <c r="K625" s="8">
        <v>1100.0</v>
      </c>
      <c r="N625" s="7">
        <v>44007.0</v>
      </c>
    </row>
    <row r="626">
      <c r="A626" s="8">
        <v>625.0</v>
      </c>
      <c r="B626" s="8" t="s">
        <v>1577</v>
      </c>
      <c r="C626" s="8" t="s">
        <v>21</v>
      </c>
      <c r="K626" s="8">
        <v>10.0</v>
      </c>
      <c r="N626" s="7">
        <v>45516.0</v>
      </c>
    </row>
    <row r="627">
      <c r="A627" s="8">
        <v>626.0</v>
      </c>
      <c r="B627" s="8" t="s">
        <v>1578</v>
      </c>
      <c r="C627" s="8" t="s">
        <v>21</v>
      </c>
      <c r="K627" s="8">
        <v>100.0</v>
      </c>
      <c r="N627" s="7">
        <v>44680.0</v>
      </c>
    </row>
    <row r="628">
      <c r="A628" s="8">
        <v>627.0</v>
      </c>
      <c r="B628" s="8" t="s">
        <v>1579</v>
      </c>
      <c r="C628" s="8" t="s">
        <v>21</v>
      </c>
      <c r="K628" s="8">
        <v>2700.0</v>
      </c>
      <c r="N628" s="7">
        <v>44920.0</v>
      </c>
    </row>
    <row r="629">
      <c r="A629" s="8">
        <v>628.0</v>
      </c>
      <c r="B629" s="8" t="s">
        <v>1580</v>
      </c>
      <c r="C629" s="8" t="s">
        <v>21</v>
      </c>
      <c r="K629" s="8">
        <v>20.0</v>
      </c>
      <c r="N629" s="7">
        <v>44197.0</v>
      </c>
    </row>
    <row r="630">
      <c r="A630" s="8">
        <v>629.0</v>
      </c>
      <c r="B630" s="8" t="s">
        <v>1581</v>
      </c>
      <c r="C630" s="8" t="s">
        <v>21</v>
      </c>
      <c r="K630" s="8">
        <v>7400.0</v>
      </c>
      <c r="N630" s="7">
        <v>44269.0</v>
      </c>
    </row>
    <row r="631">
      <c r="A631" s="8">
        <v>630.0</v>
      </c>
      <c r="B631" s="8" t="s">
        <v>1582</v>
      </c>
      <c r="C631" s="8" t="s">
        <v>21</v>
      </c>
      <c r="N631" s="7">
        <v>44740.0</v>
      </c>
    </row>
    <row r="632">
      <c r="A632" s="8">
        <v>631.0</v>
      </c>
      <c r="B632" s="8" t="s">
        <v>1584</v>
      </c>
      <c r="C632" s="8" t="s">
        <v>21</v>
      </c>
      <c r="K632" s="8">
        <v>60.0</v>
      </c>
      <c r="N632" s="7">
        <v>45494.0</v>
      </c>
    </row>
    <row r="633">
      <c r="A633" s="8">
        <v>632.0</v>
      </c>
      <c r="B633" s="8" t="s">
        <v>1585</v>
      </c>
      <c r="C633" s="8" t="s">
        <v>21</v>
      </c>
      <c r="N633" s="7">
        <v>44426.0</v>
      </c>
    </row>
    <row r="634">
      <c r="A634" s="8">
        <v>633.0</v>
      </c>
      <c r="B634" s="8" t="s">
        <v>1586</v>
      </c>
      <c r="C634" s="8" t="s">
        <v>21</v>
      </c>
      <c r="N634" s="7">
        <v>42259.0</v>
      </c>
      <c r="O634" s="8" t="s">
        <v>26</v>
      </c>
      <c r="P634" s="8" t="s">
        <v>28</v>
      </c>
      <c r="S634" s="8" t="s">
        <v>32</v>
      </c>
    </row>
    <row r="635">
      <c r="A635" s="8">
        <v>634.0</v>
      </c>
      <c r="B635" s="8" t="s">
        <v>46</v>
      </c>
      <c r="C635" s="8" t="s">
        <v>21</v>
      </c>
      <c r="K635" s="8">
        <v>700.0</v>
      </c>
      <c r="N635" s="7">
        <v>44513.0</v>
      </c>
    </row>
    <row r="636">
      <c r="A636" s="8">
        <v>635.0</v>
      </c>
      <c r="B636" s="8" t="s">
        <v>1588</v>
      </c>
      <c r="C636" s="8" t="s">
        <v>21</v>
      </c>
      <c r="K636" s="8">
        <v>20.0</v>
      </c>
      <c r="N636" s="7">
        <v>43908.0</v>
      </c>
    </row>
    <row r="637">
      <c r="A637" s="8">
        <v>636.0</v>
      </c>
      <c r="B637" s="8" t="s">
        <v>1589</v>
      </c>
      <c r="C637" s="8" t="s">
        <v>21</v>
      </c>
      <c r="K637" s="8">
        <v>40.0</v>
      </c>
      <c r="N637" s="7">
        <v>44544.0</v>
      </c>
    </row>
    <row r="638">
      <c r="A638" s="8">
        <v>637.0</v>
      </c>
      <c r="B638" s="8" t="s">
        <v>1590</v>
      </c>
      <c r="C638" s="8" t="s">
        <v>21</v>
      </c>
      <c r="K638" s="8">
        <v>1200.0</v>
      </c>
      <c r="N638" s="7">
        <v>44314.0</v>
      </c>
    </row>
    <row r="639">
      <c r="A639" s="8">
        <v>638.0</v>
      </c>
      <c r="B639" s="8" t="s">
        <v>1591</v>
      </c>
      <c r="C639" s="8" t="s">
        <v>21</v>
      </c>
      <c r="K639" s="8">
        <v>1600.0</v>
      </c>
      <c r="N639" s="7">
        <v>42405.0</v>
      </c>
    </row>
    <row r="640">
      <c r="A640" s="8">
        <v>639.0</v>
      </c>
      <c r="B640" s="8" t="s">
        <v>1592</v>
      </c>
      <c r="C640" s="8" t="s">
        <v>21</v>
      </c>
      <c r="K640" s="8">
        <v>20.0</v>
      </c>
      <c r="N640" s="7">
        <v>45392.0</v>
      </c>
    </row>
    <row r="641">
      <c r="A641" s="8">
        <v>640.0</v>
      </c>
      <c r="B641" s="8" t="s">
        <v>1593</v>
      </c>
      <c r="C641" s="8" t="s">
        <v>21</v>
      </c>
      <c r="K641" s="8">
        <v>10.0</v>
      </c>
      <c r="N641" s="7">
        <v>44424.0</v>
      </c>
    </row>
    <row r="642">
      <c r="A642" s="8">
        <v>641.0</v>
      </c>
      <c r="B642" s="8" t="s">
        <v>1594</v>
      </c>
      <c r="C642" s="8" t="s">
        <v>21</v>
      </c>
      <c r="K642" s="8">
        <v>1700.0</v>
      </c>
      <c r="N642" s="7">
        <v>45226.0</v>
      </c>
    </row>
    <row r="643">
      <c r="A643" s="8">
        <v>642.0</v>
      </c>
      <c r="B643" s="8" t="s">
        <v>1596</v>
      </c>
      <c r="C643" s="8" t="s">
        <v>21</v>
      </c>
      <c r="N643" s="7">
        <v>42352.0</v>
      </c>
      <c r="O643" s="8" t="s">
        <v>26</v>
      </c>
      <c r="P643" s="8" t="s">
        <v>28</v>
      </c>
      <c r="S643" s="8" t="s">
        <v>32</v>
      </c>
    </row>
    <row r="644">
      <c r="A644" s="8">
        <v>643.0</v>
      </c>
      <c r="B644" s="8" t="s">
        <v>1597</v>
      </c>
      <c r="C644" s="8" t="s">
        <v>21</v>
      </c>
      <c r="K644" s="8">
        <v>10.0</v>
      </c>
      <c r="N644" s="7">
        <v>44168.0</v>
      </c>
    </row>
    <row r="645">
      <c r="A645" s="8">
        <v>644.0</v>
      </c>
      <c r="B645" s="8" t="s">
        <v>1598</v>
      </c>
      <c r="C645" s="8" t="s">
        <v>21</v>
      </c>
      <c r="K645" s="8">
        <v>7800.0</v>
      </c>
      <c r="N645" s="7">
        <v>45687.0</v>
      </c>
    </row>
    <row r="646">
      <c r="A646" s="8">
        <v>645.0</v>
      </c>
      <c r="B646" s="8" t="s">
        <v>1599</v>
      </c>
      <c r="C646" s="8" t="s">
        <v>21</v>
      </c>
      <c r="K646" s="8">
        <v>80.0</v>
      </c>
      <c r="N646" s="7">
        <v>45758.0</v>
      </c>
    </row>
    <row r="647">
      <c r="A647" s="8">
        <v>646.0</v>
      </c>
      <c r="B647" s="8" t="s">
        <v>1600</v>
      </c>
      <c r="C647" s="8" t="s">
        <v>21</v>
      </c>
      <c r="K647" s="8">
        <v>60.0</v>
      </c>
      <c r="N647" s="7">
        <v>44320.0</v>
      </c>
    </row>
    <row r="648">
      <c r="A648" s="8">
        <v>647.0</v>
      </c>
      <c r="B648" s="8" t="s">
        <v>1602</v>
      </c>
      <c r="C648" s="8" t="s">
        <v>21</v>
      </c>
      <c r="N648" s="7">
        <v>44593.0</v>
      </c>
    </row>
    <row r="649">
      <c r="A649" s="8">
        <v>648.0</v>
      </c>
      <c r="B649" s="8" t="s">
        <v>1603</v>
      </c>
      <c r="C649" s="8" t="s">
        <v>21</v>
      </c>
      <c r="K649" s="8">
        <v>500.0</v>
      </c>
      <c r="N649" s="7">
        <v>44042.0</v>
      </c>
    </row>
    <row r="650">
      <c r="A650" s="8">
        <v>649.0</v>
      </c>
      <c r="B650" s="8" t="s">
        <v>1606</v>
      </c>
      <c r="C650" s="8" t="s">
        <v>21</v>
      </c>
      <c r="K650" s="8">
        <v>30.0</v>
      </c>
      <c r="N650" s="7">
        <v>44494.0</v>
      </c>
    </row>
    <row r="651">
      <c r="A651" s="8">
        <v>650.0</v>
      </c>
      <c r="B651" s="8" t="s">
        <v>1607</v>
      </c>
      <c r="C651" s="8" t="s">
        <v>21</v>
      </c>
      <c r="K651" s="8">
        <v>250.0</v>
      </c>
      <c r="N651" s="7">
        <v>44335.0</v>
      </c>
    </row>
    <row r="652">
      <c r="A652" s="8">
        <v>651.0</v>
      </c>
      <c r="B652" s="8" t="s">
        <v>1608</v>
      </c>
      <c r="C652" s="8" t="s">
        <v>21</v>
      </c>
      <c r="K652" s="8">
        <v>200.0</v>
      </c>
      <c r="N652" s="7">
        <v>43362.0</v>
      </c>
    </row>
    <row r="653">
      <c r="A653" s="8">
        <v>652.0</v>
      </c>
      <c r="B653" s="8" t="s">
        <v>1609</v>
      </c>
      <c r="C653" s="8" t="s">
        <v>21</v>
      </c>
      <c r="K653" s="8">
        <v>30.0</v>
      </c>
      <c r="N653" s="7">
        <v>44229.0</v>
      </c>
    </row>
    <row r="654">
      <c r="A654" s="8">
        <v>653.0</v>
      </c>
      <c r="B654" s="8" t="s">
        <v>1610</v>
      </c>
      <c r="C654" s="8" t="s">
        <v>21</v>
      </c>
      <c r="K654" s="8">
        <v>50.0</v>
      </c>
      <c r="N654" s="7">
        <v>44657.0</v>
      </c>
    </row>
    <row r="655">
      <c r="A655" s="8">
        <v>654.0</v>
      </c>
      <c r="B655" s="8" t="s">
        <v>48</v>
      </c>
      <c r="C655" s="8" t="s">
        <v>21</v>
      </c>
      <c r="K655" s="8">
        <v>20.0</v>
      </c>
      <c r="N655" s="7">
        <v>44483.0</v>
      </c>
    </row>
    <row r="656">
      <c r="A656" s="8">
        <v>655.0</v>
      </c>
      <c r="B656" s="8" t="s">
        <v>1611</v>
      </c>
      <c r="C656" s="8" t="s">
        <v>21</v>
      </c>
      <c r="K656" s="8">
        <v>100.0</v>
      </c>
      <c r="N656" s="7">
        <v>44743.0</v>
      </c>
    </row>
    <row r="657">
      <c r="A657" s="8">
        <v>656.0</v>
      </c>
      <c r="B657" s="8" t="s">
        <v>1612</v>
      </c>
      <c r="C657" s="8" t="s">
        <v>21</v>
      </c>
      <c r="K657" s="8">
        <v>4400.0</v>
      </c>
      <c r="N657" s="7">
        <v>44015.0</v>
      </c>
    </row>
    <row r="658">
      <c r="A658" s="8">
        <v>657.0</v>
      </c>
      <c r="B658" s="8" t="s">
        <v>1613</v>
      </c>
      <c r="C658" s="8" t="s">
        <v>21</v>
      </c>
      <c r="K658" s="8">
        <v>150.0</v>
      </c>
      <c r="N658" s="7">
        <v>44985.0</v>
      </c>
    </row>
    <row r="659">
      <c r="A659" s="8">
        <v>658.0</v>
      </c>
      <c r="B659" s="8" t="s">
        <v>1615</v>
      </c>
      <c r="C659" s="8" t="s">
        <v>21</v>
      </c>
      <c r="K659" s="8">
        <v>400.0</v>
      </c>
      <c r="N659" s="7">
        <v>44695.0</v>
      </c>
    </row>
    <row r="660">
      <c r="A660" s="8">
        <v>659.0</v>
      </c>
      <c r="B660" s="8" t="s">
        <v>1616</v>
      </c>
      <c r="C660" s="8" t="s">
        <v>21</v>
      </c>
      <c r="K660" s="8">
        <v>350.0</v>
      </c>
      <c r="N660" s="7">
        <v>44975.0</v>
      </c>
    </row>
    <row r="661">
      <c r="A661" s="8">
        <v>660.0</v>
      </c>
      <c r="B661" s="8" t="s">
        <v>1617</v>
      </c>
      <c r="C661" s="8" t="s">
        <v>21</v>
      </c>
      <c r="N661" s="7">
        <v>45002.0</v>
      </c>
    </row>
    <row r="662">
      <c r="A662" s="8">
        <v>661.0</v>
      </c>
      <c r="B662" s="8" t="s">
        <v>1618</v>
      </c>
      <c r="C662" s="8" t="s">
        <v>21</v>
      </c>
      <c r="K662" s="8">
        <v>150.0</v>
      </c>
      <c r="N662" s="7">
        <v>44619.0</v>
      </c>
    </row>
    <row r="663">
      <c r="A663" s="8">
        <v>662.0</v>
      </c>
      <c r="B663" s="8" t="s">
        <v>1620</v>
      </c>
      <c r="C663" s="8" t="s">
        <v>21</v>
      </c>
      <c r="K663" s="8">
        <v>40.0</v>
      </c>
      <c r="N663" s="7">
        <v>44993.0</v>
      </c>
    </row>
    <row r="664">
      <c r="A664" s="8">
        <v>663.0</v>
      </c>
      <c r="B664" s="8" t="s">
        <v>1622</v>
      </c>
      <c r="C664" s="8" t="s">
        <v>21</v>
      </c>
      <c r="K664" s="8">
        <v>20.0</v>
      </c>
      <c r="N664" s="7">
        <v>44336.0</v>
      </c>
    </row>
    <row r="665">
      <c r="A665" s="8">
        <v>664.0</v>
      </c>
      <c r="B665" s="8" t="s">
        <v>1623</v>
      </c>
      <c r="C665" s="8" t="s">
        <v>21</v>
      </c>
      <c r="K665" s="8">
        <v>10.0</v>
      </c>
      <c r="N665" s="7">
        <v>45873.0</v>
      </c>
    </row>
    <row r="666">
      <c r="A666" s="8">
        <v>665.0</v>
      </c>
      <c r="B666" s="8" t="s">
        <v>1624</v>
      </c>
      <c r="C666" s="8" t="s">
        <v>21</v>
      </c>
      <c r="K666" s="8">
        <v>250.0</v>
      </c>
      <c r="N666" s="7">
        <v>44412.0</v>
      </c>
    </row>
    <row r="667">
      <c r="A667" s="8">
        <v>666.0</v>
      </c>
      <c r="B667" s="8" t="s">
        <v>1625</v>
      </c>
      <c r="C667" s="8" t="s">
        <v>21</v>
      </c>
      <c r="K667" s="8">
        <v>20.0</v>
      </c>
      <c r="N667" s="7">
        <v>44207.0</v>
      </c>
    </row>
    <row r="668">
      <c r="A668" s="8">
        <v>667.0</v>
      </c>
      <c r="B668" s="8" t="s">
        <v>1627</v>
      </c>
      <c r="C668" s="8" t="s">
        <v>21</v>
      </c>
      <c r="K668" s="8">
        <v>350.0</v>
      </c>
      <c r="N668" s="7">
        <v>44628.0</v>
      </c>
    </row>
    <row r="669">
      <c r="A669" s="8">
        <v>668.0</v>
      </c>
      <c r="B669" s="8" t="s">
        <v>1628</v>
      </c>
      <c r="C669" s="8" t="s">
        <v>21</v>
      </c>
      <c r="K669" s="8">
        <v>4900.0</v>
      </c>
      <c r="N669" s="7">
        <v>44216.0</v>
      </c>
    </row>
    <row r="670">
      <c r="A670" s="8">
        <v>669.0</v>
      </c>
      <c r="B670" s="8" t="s">
        <v>1629</v>
      </c>
      <c r="C670" s="8" t="s">
        <v>21</v>
      </c>
      <c r="K670" s="8">
        <v>4100.0</v>
      </c>
      <c r="N670" s="7">
        <v>44376.0</v>
      </c>
    </row>
    <row r="671">
      <c r="A671" s="8">
        <v>670.0</v>
      </c>
      <c r="B671" s="8" t="s">
        <v>1630</v>
      </c>
      <c r="C671" s="8" t="s">
        <v>21</v>
      </c>
      <c r="K671" s="8">
        <v>10.0</v>
      </c>
      <c r="N671" s="7">
        <v>45064.0</v>
      </c>
    </row>
    <row r="672">
      <c r="A672" s="8">
        <v>671.0</v>
      </c>
      <c r="B672" s="8" t="s">
        <v>1631</v>
      </c>
      <c r="C672" s="8" t="s">
        <v>21</v>
      </c>
      <c r="K672" s="8">
        <v>150.0</v>
      </c>
      <c r="N672" s="7">
        <v>44517.0</v>
      </c>
    </row>
    <row r="673">
      <c r="A673" s="8">
        <v>672.0</v>
      </c>
      <c r="B673" s="8" t="s">
        <v>1633</v>
      </c>
      <c r="C673" s="8" t="s">
        <v>21</v>
      </c>
      <c r="N673" s="7">
        <v>44638.0</v>
      </c>
    </row>
    <row r="674">
      <c r="A674" s="8">
        <v>673.0</v>
      </c>
      <c r="B674" s="8" t="s">
        <v>1634</v>
      </c>
      <c r="C674" s="8" t="s">
        <v>21</v>
      </c>
      <c r="K674" s="8">
        <v>10.0</v>
      </c>
      <c r="N674" s="7">
        <v>44206.0</v>
      </c>
    </row>
    <row r="675">
      <c r="A675" s="8">
        <v>674.0</v>
      </c>
      <c r="B675" s="8" t="s">
        <v>1635</v>
      </c>
      <c r="C675" s="8" t="s">
        <v>21</v>
      </c>
      <c r="K675" s="8">
        <v>600.0</v>
      </c>
      <c r="N675" s="7">
        <v>44781.0</v>
      </c>
    </row>
    <row r="676">
      <c r="A676" s="8">
        <v>675.0</v>
      </c>
      <c r="B676" s="8" t="s">
        <v>1636</v>
      </c>
      <c r="C676" s="8" t="s">
        <v>21</v>
      </c>
      <c r="K676" s="8">
        <v>70.0</v>
      </c>
      <c r="N676" s="7">
        <v>44909.0</v>
      </c>
    </row>
    <row r="677">
      <c r="A677" s="8">
        <v>676.0</v>
      </c>
      <c r="B677" s="8" t="s">
        <v>1637</v>
      </c>
      <c r="C677" s="8" t="s">
        <v>21</v>
      </c>
      <c r="K677" s="8">
        <v>450.0</v>
      </c>
      <c r="N677" s="7">
        <v>44476.0</v>
      </c>
    </row>
    <row r="678">
      <c r="A678" s="8">
        <v>677.0</v>
      </c>
      <c r="B678" s="8" t="s">
        <v>1638</v>
      </c>
      <c r="C678" s="8" t="s">
        <v>21</v>
      </c>
      <c r="K678" s="8">
        <v>300.0</v>
      </c>
      <c r="N678" s="7">
        <v>43995.0</v>
      </c>
    </row>
    <row r="679">
      <c r="A679" s="8">
        <v>678.0</v>
      </c>
      <c r="B679" s="8" t="s">
        <v>1639</v>
      </c>
      <c r="C679" s="8" t="s">
        <v>21</v>
      </c>
      <c r="K679" s="8">
        <v>150.0</v>
      </c>
      <c r="N679" s="7">
        <v>45049.0</v>
      </c>
    </row>
    <row r="680">
      <c r="A680" s="8">
        <v>679.0</v>
      </c>
      <c r="B680" s="8" t="s">
        <v>1640</v>
      </c>
      <c r="C680" s="8" t="s">
        <v>21</v>
      </c>
      <c r="K680" s="8">
        <v>10.0</v>
      </c>
      <c r="N680" s="7">
        <v>45253.0</v>
      </c>
    </row>
    <row r="681">
      <c r="A681" s="8">
        <v>680.0</v>
      </c>
      <c r="B681" s="8" t="s">
        <v>1641</v>
      </c>
      <c r="C681" s="8" t="s">
        <v>21</v>
      </c>
      <c r="K681" s="8">
        <v>700.0</v>
      </c>
      <c r="N681" s="7">
        <v>44407.0</v>
      </c>
    </row>
    <row r="682">
      <c r="A682" s="8">
        <v>681.0</v>
      </c>
      <c r="B682" s="8" t="s">
        <v>1642</v>
      </c>
      <c r="C682" s="8" t="s">
        <v>21</v>
      </c>
      <c r="K682" s="8">
        <v>20.0</v>
      </c>
      <c r="N682" s="7">
        <v>44581.0</v>
      </c>
    </row>
    <row r="683">
      <c r="A683" s="8">
        <v>682.0</v>
      </c>
      <c r="B683" s="8" t="s">
        <v>1643</v>
      </c>
      <c r="C683" s="8" t="s">
        <v>21</v>
      </c>
      <c r="K683" s="8">
        <v>1900.0</v>
      </c>
      <c r="N683" s="7">
        <v>44640.0</v>
      </c>
    </row>
    <row r="684">
      <c r="A684" s="8">
        <v>683.0</v>
      </c>
      <c r="B684" s="8" t="s">
        <v>1644</v>
      </c>
      <c r="C684" s="8" t="s">
        <v>21</v>
      </c>
      <c r="K684" s="8">
        <v>10.0</v>
      </c>
      <c r="N684" s="7">
        <v>45618.0</v>
      </c>
    </row>
    <row r="685">
      <c r="A685" s="8">
        <v>684.0</v>
      </c>
      <c r="B685" s="8" t="s">
        <v>1645</v>
      </c>
      <c r="C685" s="8" t="s">
        <v>21</v>
      </c>
      <c r="K685" s="8">
        <v>1200.0</v>
      </c>
      <c r="N685" s="7">
        <v>44864.0</v>
      </c>
    </row>
    <row r="686">
      <c r="A686" s="8">
        <v>685.0</v>
      </c>
      <c r="B686" s="8" t="s">
        <v>1646</v>
      </c>
      <c r="C686" s="8" t="s">
        <v>21</v>
      </c>
      <c r="K686" s="8">
        <v>90.0</v>
      </c>
      <c r="N686" s="7">
        <v>44104.0</v>
      </c>
    </row>
    <row r="687">
      <c r="A687" s="8">
        <v>686.0</v>
      </c>
      <c r="B687" s="8" t="s">
        <v>1648</v>
      </c>
      <c r="C687" s="8" t="s">
        <v>21</v>
      </c>
      <c r="N687" s="7">
        <v>44415.0</v>
      </c>
    </row>
    <row r="688">
      <c r="A688" s="8">
        <v>687.0</v>
      </c>
      <c r="B688" s="8" t="s">
        <v>1650</v>
      </c>
      <c r="C688" s="8" t="s">
        <v>21</v>
      </c>
      <c r="K688" s="8">
        <v>200.0</v>
      </c>
      <c r="N688" s="7">
        <v>44411.0</v>
      </c>
    </row>
    <row r="689">
      <c r="A689" s="8">
        <v>688.0</v>
      </c>
      <c r="B689" s="8" t="s">
        <v>1651</v>
      </c>
      <c r="C689" s="8" t="s">
        <v>21</v>
      </c>
      <c r="K689" s="8">
        <v>150.0</v>
      </c>
      <c r="N689" s="7">
        <v>44258.0</v>
      </c>
    </row>
    <row r="690">
      <c r="A690" s="8">
        <v>689.0</v>
      </c>
      <c r="B690" s="8" t="s">
        <v>1652</v>
      </c>
      <c r="C690" s="8" t="s">
        <v>21</v>
      </c>
      <c r="K690" s="8">
        <v>60.0</v>
      </c>
      <c r="N690" s="7">
        <v>45008.0</v>
      </c>
    </row>
    <row r="691">
      <c r="A691" s="8">
        <v>690.0</v>
      </c>
      <c r="B691" s="8" t="s">
        <v>49</v>
      </c>
      <c r="C691" s="8" t="s">
        <v>21</v>
      </c>
      <c r="K691" s="8">
        <v>30.0</v>
      </c>
      <c r="N691" s="7">
        <v>44208.0</v>
      </c>
    </row>
    <row r="692">
      <c r="A692" s="8">
        <v>691.0</v>
      </c>
      <c r="B692" s="8" t="s">
        <v>1655</v>
      </c>
      <c r="C692" s="8" t="s">
        <v>21</v>
      </c>
      <c r="K692" s="8">
        <v>17000.0</v>
      </c>
      <c r="N692" s="7">
        <v>45386.0</v>
      </c>
    </row>
    <row r="693">
      <c r="A693" s="8">
        <v>692.0</v>
      </c>
      <c r="B693" s="8" t="s">
        <v>1656</v>
      </c>
      <c r="C693" s="8" t="s">
        <v>21</v>
      </c>
      <c r="K693" s="8">
        <v>7300.0</v>
      </c>
      <c r="N693" s="7">
        <v>43903.0</v>
      </c>
    </row>
    <row r="694">
      <c r="A694" s="8">
        <v>693.0</v>
      </c>
      <c r="B694" s="8" t="s">
        <v>1657</v>
      </c>
      <c r="C694" s="8" t="s">
        <v>21</v>
      </c>
      <c r="K694" s="8">
        <v>40.0</v>
      </c>
      <c r="N694" s="7">
        <v>44090.0</v>
      </c>
    </row>
    <row r="695">
      <c r="A695" s="8">
        <v>694.0</v>
      </c>
      <c r="B695" s="8" t="s">
        <v>1658</v>
      </c>
      <c r="C695" s="8" t="s">
        <v>21</v>
      </c>
      <c r="K695" s="8">
        <v>2800.0</v>
      </c>
      <c r="N695" s="7">
        <v>45178.0</v>
      </c>
    </row>
    <row r="696">
      <c r="A696" s="8">
        <v>695.0</v>
      </c>
      <c r="B696" s="8" t="s">
        <v>1659</v>
      </c>
      <c r="C696" s="8" t="s">
        <v>21</v>
      </c>
      <c r="K696" s="8">
        <v>400.0</v>
      </c>
      <c r="N696" s="7">
        <v>43910.0</v>
      </c>
    </row>
    <row r="697">
      <c r="A697" s="8">
        <v>696.0</v>
      </c>
      <c r="B697" s="8" t="s">
        <v>1660</v>
      </c>
      <c r="C697" s="8" t="s">
        <v>21</v>
      </c>
      <c r="N697" s="7">
        <v>44192.0</v>
      </c>
    </row>
    <row r="698">
      <c r="A698" s="8">
        <v>697.0</v>
      </c>
      <c r="B698" s="8" t="s">
        <v>1662</v>
      </c>
      <c r="C698" s="8" t="s">
        <v>21</v>
      </c>
      <c r="N698" s="7">
        <v>44666.0</v>
      </c>
    </row>
    <row r="699">
      <c r="A699" s="8">
        <v>698.0</v>
      </c>
      <c r="B699" s="8" t="s">
        <v>1663</v>
      </c>
      <c r="C699" s="8" t="s">
        <v>21</v>
      </c>
      <c r="K699" s="8">
        <v>10.0</v>
      </c>
      <c r="N699" s="7">
        <v>45901.0</v>
      </c>
    </row>
    <row r="700">
      <c r="A700" s="8">
        <v>699.0</v>
      </c>
      <c r="B700" s="8" t="s">
        <v>1664</v>
      </c>
      <c r="C700" s="8" t="s">
        <v>21</v>
      </c>
      <c r="N700" s="7">
        <v>44981.0</v>
      </c>
    </row>
    <row r="701">
      <c r="A701" s="8">
        <v>700.0</v>
      </c>
      <c r="B701" s="8" t="s">
        <v>1667</v>
      </c>
      <c r="C701" s="8" t="s">
        <v>21</v>
      </c>
      <c r="K701" s="8">
        <v>600.0</v>
      </c>
      <c r="N701" s="7">
        <v>44470.0</v>
      </c>
    </row>
    <row r="702">
      <c r="A702" s="8">
        <v>701.0</v>
      </c>
      <c r="B702" s="8" t="s">
        <v>1669</v>
      </c>
      <c r="C702" s="8" t="s">
        <v>21</v>
      </c>
      <c r="K702" s="8">
        <v>1200.0</v>
      </c>
      <c r="N702" s="7">
        <v>45284.0</v>
      </c>
    </row>
    <row r="703">
      <c r="A703" s="8">
        <v>702.0</v>
      </c>
      <c r="B703" s="8" t="s">
        <v>1670</v>
      </c>
      <c r="C703" s="8" t="s">
        <v>21</v>
      </c>
      <c r="K703" s="8">
        <v>1600.0</v>
      </c>
      <c r="N703" s="7">
        <v>43988.0</v>
      </c>
    </row>
    <row r="704">
      <c r="A704" s="8">
        <v>703.0</v>
      </c>
      <c r="B704" s="8" t="s">
        <v>1672</v>
      </c>
      <c r="C704" s="8" t="s">
        <v>21</v>
      </c>
      <c r="K704" s="8">
        <v>10.0</v>
      </c>
      <c r="N704" s="7">
        <v>45867.0</v>
      </c>
    </row>
    <row r="705">
      <c r="A705" s="8">
        <v>704.0</v>
      </c>
      <c r="B705" s="8" t="s">
        <v>1675</v>
      </c>
      <c r="C705" s="8" t="s">
        <v>21</v>
      </c>
      <c r="K705" s="8">
        <v>70.0</v>
      </c>
      <c r="N705" s="7">
        <v>44115.0</v>
      </c>
    </row>
    <row r="706">
      <c r="A706" s="8">
        <v>705.0</v>
      </c>
      <c r="B706" s="8" t="s">
        <v>50</v>
      </c>
      <c r="C706" s="8" t="s">
        <v>21</v>
      </c>
      <c r="K706" s="8">
        <v>40.0</v>
      </c>
      <c r="N706" s="7">
        <v>44139.0</v>
      </c>
    </row>
    <row r="707">
      <c r="A707" s="8">
        <v>706.0</v>
      </c>
      <c r="B707" s="8" t="s">
        <v>1677</v>
      </c>
      <c r="C707" s="8" t="s">
        <v>21</v>
      </c>
      <c r="K707" s="8">
        <v>20.0</v>
      </c>
      <c r="N707" s="7">
        <v>44538.0</v>
      </c>
    </row>
    <row r="708">
      <c r="A708" s="8">
        <v>707.0</v>
      </c>
      <c r="B708" s="8" t="s">
        <v>1679</v>
      </c>
      <c r="C708" s="8" t="s">
        <v>21</v>
      </c>
      <c r="K708" s="8">
        <v>40.0</v>
      </c>
      <c r="N708" s="7">
        <v>44388.0</v>
      </c>
    </row>
    <row r="709">
      <c r="A709" s="8">
        <v>708.0</v>
      </c>
      <c r="B709" s="8" t="s">
        <v>1680</v>
      </c>
      <c r="C709" s="8" t="s">
        <v>21</v>
      </c>
      <c r="K709" s="8">
        <v>40.0</v>
      </c>
      <c r="N709" s="7">
        <v>45781.0</v>
      </c>
    </row>
    <row r="710">
      <c r="A710" s="8">
        <v>709.0</v>
      </c>
      <c r="B710" s="8" t="s">
        <v>1683</v>
      </c>
      <c r="C710" s="8" t="s">
        <v>21</v>
      </c>
      <c r="K710" s="8">
        <v>150.0</v>
      </c>
      <c r="N710" s="7">
        <v>44077.0</v>
      </c>
    </row>
    <row r="711">
      <c r="A711" s="8">
        <v>710.0</v>
      </c>
      <c r="B711" s="8" t="s">
        <v>1684</v>
      </c>
      <c r="C711" s="8" t="s">
        <v>21</v>
      </c>
      <c r="K711" s="8">
        <v>20.0</v>
      </c>
      <c r="N711" s="7">
        <v>44039.0</v>
      </c>
    </row>
    <row r="712">
      <c r="A712" s="8">
        <v>711.0</v>
      </c>
      <c r="B712" s="8" t="s">
        <v>1685</v>
      </c>
      <c r="C712" s="8" t="s">
        <v>21</v>
      </c>
      <c r="K712" s="8">
        <v>500.0</v>
      </c>
      <c r="N712" s="7">
        <v>44763.0</v>
      </c>
    </row>
    <row r="713">
      <c r="A713" s="8">
        <v>712.0</v>
      </c>
      <c r="B713" s="8" t="s">
        <v>1687</v>
      </c>
      <c r="C713" s="8" t="s">
        <v>21</v>
      </c>
      <c r="N713" s="7">
        <v>44189.0</v>
      </c>
      <c r="O713" s="8" t="s">
        <v>26</v>
      </c>
      <c r="P713" s="8" t="s">
        <v>28</v>
      </c>
      <c r="S713" s="8" t="s">
        <v>32</v>
      </c>
    </row>
    <row r="714">
      <c r="A714" s="8">
        <v>713.0</v>
      </c>
      <c r="B714" s="8" t="s">
        <v>1688</v>
      </c>
      <c r="C714" s="8" t="s">
        <v>21</v>
      </c>
      <c r="N714" s="7">
        <v>43899.0</v>
      </c>
    </row>
    <row r="715">
      <c r="A715" s="8">
        <v>714.0</v>
      </c>
      <c r="B715" s="8" t="s">
        <v>1690</v>
      </c>
      <c r="C715" s="8" t="s">
        <v>21</v>
      </c>
      <c r="K715" s="8">
        <v>6100.0</v>
      </c>
      <c r="N715" s="7">
        <v>44080.0</v>
      </c>
    </row>
    <row r="716">
      <c r="A716" s="8">
        <v>715.0</v>
      </c>
      <c r="B716" s="8" t="s">
        <v>1691</v>
      </c>
      <c r="C716" s="8" t="s">
        <v>21</v>
      </c>
      <c r="K716" s="8">
        <v>4700.0</v>
      </c>
      <c r="N716" s="7">
        <v>45487.0</v>
      </c>
    </row>
    <row r="717">
      <c r="A717" s="8">
        <v>716.0</v>
      </c>
      <c r="B717" s="8" t="s">
        <v>1692</v>
      </c>
      <c r="C717" s="8" t="s">
        <v>21</v>
      </c>
      <c r="K717" s="8">
        <v>6300.0</v>
      </c>
      <c r="N717" s="7">
        <v>45052.0</v>
      </c>
    </row>
    <row r="718">
      <c r="A718" s="8">
        <v>717.0</v>
      </c>
      <c r="B718" s="8" t="s">
        <v>1693</v>
      </c>
      <c r="C718" s="8" t="s">
        <v>21</v>
      </c>
      <c r="K718" s="8">
        <v>5500.0</v>
      </c>
      <c r="N718" s="7">
        <v>44621.0</v>
      </c>
    </row>
    <row r="719">
      <c r="A719" s="8">
        <v>718.0</v>
      </c>
      <c r="B719" s="8" t="s">
        <v>1694</v>
      </c>
      <c r="C719" s="8" t="s">
        <v>21</v>
      </c>
      <c r="K719" s="8">
        <v>150.0</v>
      </c>
      <c r="N719" s="7">
        <v>44322.0</v>
      </c>
    </row>
    <row r="720">
      <c r="A720" s="8">
        <v>719.0</v>
      </c>
      <c r="B720" s="8" t="s">
        <v>1696</v>
      </c>
      <c r="C720" s="8" t="s">
        <v>21</v>
      </c>
      <c r="K720" s="8">
        <v>20.0</v>
      </c>
      <c r="N720" s="7">
        <v>44709.0</v>
      </c>
    </row>
    <row r="721">
      <c r="A721" s="8">
        <v>720.0</v>
      </c>
      <c r="B721" s="8" t="s">
        <v>1698</v>
      </c>
      <c r="C721" s="8" t="s">
        <v>21</v>
      </c>
      <c r="K721" s="8">
        <v>90.0</v>
      </c>
      <c r="N721" s="7">
        <v>44690.0</v>
      </c>
    </row>
    <row r="722">
      <c r="A722" s="8">
        <v>721.0</v>
      </c>
      <c r="B722" s="8" t="s">
        <v>1700</v>
      </c>
      <c r="C722" s="8" t="s">
        <v>21</v>
      </c>
      <c r="K722" s="8">
        <v>2000.0</v>
      </c>
      <c r="N722" s="7">
        <v>44364.0</v>
      </c>
    </row>
    <row r="723">
      <c r="A723" s="8">
        <v>722.0</v>
      </c>
      <c r="B723" s="8" t="s">
        <v>1701</v>
      </c>
      <c r="C723" s="8" t="s">
        <v>21</v>
      </c>
      <c r="K723" s="8">
        <v>1700.0</v>
      </c>
      <c r="N723" s="7">
        <v>44403.0</v>
      </c>
    </row>
    <row r="724">
      <c r="A724" s="8">
        <v>723.0</v>
      </c>
      <c r="B724" s="8" t="s">
        <v>1702</v>
      </c>
      <c r="C724" s="8" t="s">
        <v>21</v>
      </c>
      <c r="K724" s="8">
        <v>600.0</v>
      </c>
      <c r="N724" s="7">
        <v>43881.0</v>
      </c>
    </row>
    <row r="725">
      <c r="A725" s="8">
        <v>724.0</v>
      </c>
      <c r="B725" s="8" t="s">
        <v>1703</v>
      </c>
      <c r="C725" s="8" t="s">
        <v>21</v>
      </c>
      <c r="K725" s="8">
        <v>1400.0</v>
      </c>
      <c r="N725" s="7">
        <v>44578.0</v>
      </c>
    </row>
    <row r="726">
      <c r="A726" s="8">
        <v>725.0</v>
      </c>
      <c r="B726" s="8" t="s">
        <v>1705</v>
      </c>
      <c r="C726" s="8" t="s">
        <v>21</v>
      </c>
      <c r="K726" s="8">
        <v>50.0</v>
      </c>
      <c r="N726" s="7">
        <v>45095.0</v>
      </c>
    </row>
    <row r="727">
      <c r="A727" s="8">
        <v>726.0</v>
      </c>
      <c r="B727" s="8" t="s">
        <v>1706</v>
      </c>
      <c r="C727" s="8" t="s">
        <v>21</v>
      </c>
      <c r="K727" s="8">
        <v>20.0</v>
      </c>
      <c r="N727" s="7">
        <v>44911.0</v>
      </c>
    </row>
    <row r="728">
      <c r="A728" s="8">
        <v>727.0</v>
      </c>
      <c r="B728" s="8" t="s">
        <v>1707</v>
      </c>
      <c r="C728" s="8" t="s">
        <v>21</v>
      </c>
      <c r="N728" s="7">
        <v>44155.0</v>
      </c>
    </row>
    <row r="729">
      <c r="A729" s="8">
        <v>728.0</v>
      </c>
      <c r="B729" s="8" t="s">
        <v>1708</v>
      </c>
      <c r="C729" s="8" t="s">
        <v>21</v>
      </c>
      <c r="K729" s="8">
        <v>100.0</v>
      </c>
      <c r="N729" s="7">
        <v>44352.0</v>
      </c>
    </row>
    <row r="730">
      <c r="A730" s="8">
        <v>729.0</v>
      </c>
      <c r="B730" s="8" t="s">
        <v>1709</v>
      </c>
      <c r="C730" s="8" t="s">
        <v>21</v>
      </c>
      <c r="K730" s="8">
        <v>400.0</v>
      </c>
      <c r="N730" s="7">
        <v>44812.0</v>
      </c>
    </row>
    <row r="731">
      <c r="A731" s="8">
        <v>730.0</v>
      </c>
      <c r="B731" s="8" t="s">
        <v>1710</v>
      </c>
      <c r="C731" s="8" t="s">
        <v>21</v>
      </c>
      <c r="K731" s="8">
        <v>20.0</v>
      </c>
      <c r="N731" s="7">
        <v>45616.0</v>
      </c>
    </row>
    <row r="732">
      <c r="A732" s="8">
        <v>731.0</v>
      </c>
      <c r="B732" s="8" t="s">
        <v>1712</v>
      </c>
      <c r="C732" s="8" t="s">
        <v>21</v>
      </c>
      <c r="K732" s="8">
        <v>70.0</v>
      </c>
      <c r="N732" s="7">
        <v>44982.0</v>
      </c>
    </row>
    <row r="733">
      <c r="A733" s="8">
        <v>732.0</v>
      </c>
      <c r="B733" s="8" t="s">
        <v>1713</v>
      </c>
      <c r="C733" s="8" t="s">
        <v>21</v>
      </c>
      <c r="K733" s="8">
        <v>300.0</v>
      </c>
      <c r="N733" s="7">
        <v>44548.0</v>
      </c>
    </row>
    <row r="734">
      <c r="A734" s="8">
        <v>733.0</v>
      </c>
      <c r="B734" s="8" t="s">
        <v>1714</v>
      </c>
      <c r="C734" s="8" t="s">
        <v>21</v>
      </c>
      <c r="K734" s="8">
        <v>70.0</v>
      </c>
      <c r="N734" s="7">
        <v>44194.0</v>
      </c>
    </row>
    <row r="735">
      <c r="A735" s="8">
        <v>734.0</v>
      </c>
      <c r="B735" s="8" t="s">
        <v>1715</v>
      </c>
      <c r="C735" s="8" t="s">
        <v>21</v>
      </c>
      <c r="N735" s="7">
        <v>44572.0</v>
      </c>
    </row>
    <row r="736">
      <c r="A736" s="8">
        <v>735.0</v>
      </c>
      <c r="B736" s="8" t="s">
        <v>1716</v>
      </c>
      <c r="C736" s="8" t="s">
        <v>21</v>
      </c>
      <c r="N736" s="7">
        <v>44277.0</v>
      </c>
    </row>
    <row r="737">
      <c r="A737" s="8">
        <v>736.0</v>
      </c>
      <c r="B737" s="8" t="s">
        <v>1717</v>
      </c>
      <c r="C737" s="8" t="s">
        <v>21</v>
      </c>
      <c r="K737" s="8">
        <v>600.0</v>
      </c>
      <c r="N737" s="7">
        <v>44705.0</v>
      </c>
    </row>
    <row r="738">
      <c r="A738" s="8">
        <v>737.0</v>
      </c>
      <c r="B738" s="8" t="s">
        <v>1718</v>
      </c>
      <c r="C738" s="8" t="s">
        <v>21</v>
      </c>
      <c r="K738" s="8">
        <v>40.0</v>
      </c>
      <c r="N738" s="7">
        <v>44712.0</v>
      </c>
    </row>
    <row r="739">
      <c r="A739" s="8">
        <v>738.0</v>
      </c>
      <c r="B739" s="8" t="s">
        <v>1719</v>
      </c>
      <c r="C739" s="8" t="s">
        <v>21</v>
      </c>
      <c r="K739" s="8">
        <v>350.0</v>
      </c>
      <c r="N739" s="7">
        <v>44014.0</v>
      </c>
    </row>
    <row r="740">
      <c r="A740" s="8">
        <v>739.0</v>
      </c>
      <c r="B740" s="8" t="s">
        <v>1720</v>
      </c>
      <c r="C740" s="8" t="s">
        <v>21</v>
      </c>
      <c r="K740" s="8">
        <v>500.0</v>
      </c>
      <c r="N740" s="7">
        <v>45196.0</v>
      </c>
    </row>
    <row r="741">
      <c r="A741" s="8">
        <v>740.0</v>
      </c>
      <c r="B741" s="8" t="s">
        <v>1721</v>
      </c>
      <c r="C741" s="8" t="s">
        <v>21</v>
      </c>
      <c r="K741" s="8">
        <v>3300.0</v>
      </c>
      <c r="N741" s="7">
        <v>44936.0</v>
      </c>
    </row>
    <row r="742">
      <c r="A742" s="8">
        <v>741.0</v>
      </c>
      <c r="B742" s="8" t="s">
        <v>1723</v>
      </c>
      <c r="C742" s="8" t="s">
        <v>21</v>
      </c>
      <c r="K742" s="8">
        <v>450.0</v>
      </c>
      <c r="N742" s="7">
        <v>44560.0</v>
      </c>
    </row>
    <row r="743">
      <c r="A743" s="8">
        <v>742.0</v>
      </c>
      <c r="B743" s="8" t="s">
        <v>1724</v>
      </c>
      <c r="C743" s="8" t="s">
        <v>21</v>
      </c>
      <c r="K743" s="8">
        <v>400.0</v>
      </c>
      <c r="N743" s="7">
        <v>45023.0</v>
      </c>
    </row>
    <row r="744">
      <c r="A744" s="8">
        <v>743.0</v>
      </c>
      <c r="B744" s="8" t="s">
        <v>1725</v>
      </c>
      <c r="C744" s="8" t="s">
        <v>21</v>
      </c>
      <c r="K744" s="8">
        <v>200.0</v>
      </c>
      <c r="N744" s="7">
        <v>45202.0</v>
      </c>
    </row>
    <row r="745">
      <c r="A745" s="8">
        <v>744.0</v>
      </c>
      <c r="B745" s="8" t="s">
        <v>1727</v>
      </c>
      <c r="C745" s="8" t="s">
        <v>21</v>
      </c>
      <c r="K745" s="8">
        <v>40.0</v>
      </c>
      <c r="N745" s="7">
        <v>44167.0</v>
      </c>
    </row>
    <row r="746">
      <c r="A746" s="8">
        <v>745.0</v>
      </c>
      <c r="B746" s="8" t="s">
        <v>1728</v>
      </c>
      <c r="C746" s="8" t="s">
        <v>21</v>
      </c>
      <c r="K746" s="8">
        <v>70.0</v>
      </c>
      <c r="N746" s="7">
        <v>44522.0</v>
      </c>
    </row>
    <row r="747">
      <c r="A747" s="8">
        <v>746.0</v>
      </c>
      <c r="B747" s="8" t="s">
        <v>1729</v>
      </c>
      <c r="C747" s="8" t="s">
        <v>21</v>
      </c>
      <c r="K747" s="8">
        <v>40.0</v>
      </c>
      <c r="N747" s="7">
        <v>44557.0</v>
      </c>
    </row>
    <row r="748">
      <c r="A748" s="8">
        <v>747.0</v>
      </c>
      <c r="B748" s="8" t="s">
        <v>1731</v>
      </c>
      <c r="C748" s="8" t="s">
        <v>21</v>
      </c>
      <c r="K748" s="8">
        <v>50.0</v>
      </c>
      <c r="N748" s="7">
        <v>44842.0</v>
      </c>
    </row>
    <row r="749">
      <c r="A749" s="8">
        <v>748.0</v>
      </c>
      <c r="B749" s="8" t="s">
        <v>1732</v>
      </c>
      <c r="C749" s="8" t="s">
        <v>21</v>
      </c>
      <c r="K749" s="8">
        <v>2500.0</v>
      </c>
      <c r="N749" s="7">
        <v>44281.0</v>
      </c>
    </row>
    <row r="750">
      <c r="A750" s="8">
        <v>749.0</v>
      </c>
      <c r="B750" s="8" t="s">
        <v>1734</v>
      </c>
      <c r="C750" s="8" t="s">
        <v>21</v>
      </c>
      <c r="N750" s="7">
        <v>45037.0</v>
      </c>
    </row>
    <row r="751">
      <c r="A751" s="8">
        <v>750.0</v>
      </c>
      <c r="B751" s="8" t="s">
        <v>1735</v>
      </c>
      <c r="C751" s="8" t="s">
        <v>21</v>
      </c>
      <c r="K751" s="8">
        <v>150.0</v>
      </c>
      <c r="N751" s="7">
        <v>44590.0</v>
      </c>
    </row>
    <row r="752">
      <c r="A752" s="8">
        <v>751.0</v>
      </c>
      <c r="B752" s="8" t="s">
        <v>1736</v>
      </c>
      <c r="C752" s="8" t="s">
        <v>21</v>
      </c>
      <c r="K752" s="8">
        <v>10.0</v>
      </c>
      <c r="N752" s="7">
        <v>45485.0</v>
      </c>
    </row>
    <row r="753">
      <c r="A753" s="8">
        <v>752.0</v>
      </c>
      <c r="B753" s="8" t="s">
        <v>1737</v>
      </c>
      <c r="C753" s="8" t="s">
        <v>21</v>
      </c>
      <c r="K753" s="8">
        <v>90.0</v>
      </c>
      <c r="N753" s="7">
        <v>44617.0</v>
      </c>
    </row>
    <row r="754">
      <c r="A754" s="8">
        <v>753.0</v>
      </c>
      <c r="B754" s="8" t="s">
        <v>1738</v>
      </c>
      <c r="C754" s="8" t="s">
        <v>21</v>
      </c>
      <c r="N754" s="7">
        <v>44308.0</v>
      </c>
      <c r="O754" s="8" t="s">
        <v>127</v>
      </c>
      <c r="P754" s="8" t="s">
        <v>28</v>
      </c>
      <c r="S754" s="8" t="s">
        <v>32</v>
      </c>
    </row>
    <row r="755">
      <c r="A755" s="8">
        <v>754.0</v>
      </c>
      <c r="B755" s="8" t="s">
        <v>1740</v>
      </c>
      <c r="C755" s="8" t="s">
        <v>21</v>
      </c>
      <c r="K755" s="8">
        <v>150.0</v>
      </c>
      <c r="N755" s="7">
        <v>45202.0</v>
      </c>
    </row>
    <row r="756">
      <c r="A756" s="8">
        <v>755.0</v>
      </c>
      <c r="B756" s="8" t="s">
        <v>1741</v>
      </c>
      <c r="C756" s="8" t="s">
        <v>21</v>
      </c>
      <c r="K756" s="8">
        <v>50.0</v>
      </c>
      <c r="N756" s="7">
        <v>44080.0</v>
      </c>
    </row>
    <row r="757">
      <c r="A757" s="8">
        <v>756.0</v>
      </c>
      <c r="B757" s="8" t="s">
        <v>1743</v>
      </c>
      <c r="C757" s="8" t="s">
        <v>21</v>
      </c>
      <c r="K757" s="8">
        <v>800.0</v>
      </c>
      <c r="N757" s="7">
        <v>44502.0</v>
      </c>
    </row>
    <row r="758">
      <c r="A758" s="8">
        <v>757.0</v>
      </c>
      <c r="B758" s="8" t="s">
        <v>1744</v>
      </c>
      <c r="C758" s="8" t="s">
        <v>21</v>
      </c>
      <c r="K758" s="8">
        <v>2700.0</v>
      </c>
      <c r="N758" s="7">
        <v>44979.0</v>
      </c>
    </row>
    <row r="759">
      <c r="A759" s="8">
        <v>758.0</v>
      </c>
      <c r="B759" s="8" t="s">
        <v>1746</v>
      </c>
      <c r="C759" s="8" t="s">
        <v>21</v>
      </c>
      <c r="K759" s="8">
        <v>450.0</v>
      </c>
      <c r="N759" s="7">
        <v>44536.0</v>
      </c>
    </row>
    <row r="760">
      <c r="A760" s="8">
        <v>759.0</v>
      </c>
      <c r="B760" s="8" t="s">
        <v>1749</v>
      </c>
      <c r="C760" s="8" t="s">
        <v>21</v>
      </c>
      <c r="K760" s="8">
        <v>60.0</v>
      </c>
      <c r="N760" s="7">
        <v>45133.0</v>
      </c>
    </row>
    <row r="761">
      <c r="A761" s="8">
        <v>760.0</v>
      </c>
      <c r="B761" s="8" t="s">
        <v>1750</v>
      </c>
      <c r="C761" s="8" t="s">
        <v>21</v>
      </c>
      <c r="N761" s="7">
        <v>44292.0</v>
      </c>
    </row>
    <row r="762">
      <c r="A762" s="8">
        <v>761.0</v>
      </c>
      <c r="B762" s="8" t="s">
        <v>1752</v>
      </c>
      <c r="C762" s="8" t="s">
        <v>21</v>
      </c>
      <c r="K762" s="8">
        <v>10.0</v>
      </c>
      <c r="N762" s="7">
        <v>44538.0</v>
      </c>
    </row>
    <row r="763">
      <c r="A763" s="8">
        <v>762.0</v>
      </c>
      <c r="B763" s="8" t="s">
        <v>1753</v>
      </c>
      <c r="C763" s="8" t="s">
        <v>21</v>
      </c>
      <c r="K763" s="8">
        <v>200.0</v>
      </c>
      <c r="N763" s="7">
        <v>45396.0</v>
      </c>
    </row>
    <row r="764">
      <c r="A764" s="8">
        <v>763.0</v>
      </c>
      <c r="B764" s="8" t="s">
        <v>1757</v>
      </c>
      <c r="C764" s="8" t="s">
        <v>21</v>
      </c>
      <c r="K764" s="8">
        <v>80.0</v>
      </c>
      <c r="N764" s="7">
        <v>44119.0</v>
      </c>
    </row>
    <row r="765">
      <c r="A765" s="8">
        <v>764.0</v>
      </c>
      <c r="B765" s="8" t="s">
        <v>1758</v>
      </c>
      <c r="C765" s="8" t="s">
        <v>21</v>
      </c>
      <c r="K765" s="8">
        <v>2100.0</v>
      </c>
      <c r="N765" s="7">
        <v>44594.0</v>
      </c>
    </row>
    <row r="766">
      <c r="A766" s="8">
        <v>765.0</v>
      </c>
      <c r="B766" s="8" t="s">
        <v>1760</v>
      </c>
      <c r="C766" s="8" t="s">
        <v>21</v>
      </c>
      <c r="K766" s="8">
        <v>40.0</v>
      </c>
      <c r="N766" s="7">
        <v>44650.0</v>
      </c>
    </row>
    <row r="767">
      <c r="A767" s="8">
        <v>766.0</v>
      </c>
      <c r="B767" s="8" t="s">
        <v>1761</v>
      </c>
      <c r="C767" s="8" t="s">
        <v>21</v>
      </c>
      <c r="N767" s="7">
        <v>42348.0</v>
      </c>
    </row>
    <row r="768">
      <c r="A768" s="8">
        <v>767.0</v>
      </c>
      <c r="B768" s="8" t="s">
        <v>1762</v>
      </c>
      <c r="C768" s="8" t="s">
        <v>21</v>
      </c>
      <c r="K768" s="8">
        <v>500.0</v>
      </c>
      <c r="N768" s="7">
        <v>44319.0</v>
      </c>
    </row>
    <row r="769">
      <c r="A769" s="8">
        <v>768.0</v>
      </c>
      <c r="B769" s="8" t="s">
        <v>1764</v>
      </c>
      <c r="C769" s="8" t="s">
        <v>21</v>
      </c>
      <c r="N769" s="7">
        <v>44140.0</v>
      </c>
    </row>
    <row r="770">
      <c r="A770" s="8">
        <v>769.0</v>
      </c>
      <c r="B770" s="8" t="s">
        <v>1765</v>
      </c>
      <c r="C770" s="8" t="s">
        <v>21</v>
      </c>
      <c r="K770" s="8">
        <v>20.0</v>
      </c>
      <c r="N770" s="7">
        <v>44050.0</v>
      </c>
    </row>
    <row r="771">
      <c r="A771" s="8">
        <v>770.0</v>
      </c>
      <c r="B771" s="8" t="s">
        <v>1766</v>
      </c>
      <c r="C771" s="8" t="s">
        <v>21</v>
      </c>
      <c r="K771" s="8">
        <v>100.0</v>
      </c>
      <c r="N771" s="7">
        <v>44589.0</v>
      </c>
    </row>
    <row r="772">
      <c r="A772" s="8">
        <v>771.0</v>
      </c>
      <c r="B772" s="8" t="s">
        <v>1767</v>
      </c>
      <c r="C772" s="8" t="s">
        <v>21</v>
      </c>
      <c r="K772" s="8">
        <v>30.0</v>
      </c>
      <c r="N772" s="7">
        <v>45581.0</v>
      </c>
    </row>
    <row r="773">
      <c r="A773" s="8">
        <v>772.0</v>
      </c>
      <c r="B773" s="8" t="s">
        <v>1768</v>
      </c>
      <c r="C773" s="8" t="s">
        <v>21</v>
      </c>
      <c r="K773" s="8">
        <v>51000.0</v>
      </c>
      <c r="N773" s="7">
        <v>44122.0</v>
      </c>
    </row>
    <row r="774">
      <c r="A774" s="8">
        <v>773.0</v>
      </c>
      <c r="B774" s="8" t="s">
        <v>1769</v>
      </c>
      <c r="C774" s="8" t="s">
        <v>21</v>
      </c>
      <c r="K774" s="8">
        <v>40.0</v>
      </c>
      <c r="N774" s="7">
        <v>44682.0</v>
      </c>
    </row>
    <row r="775">
      <c r="A775" s="8">
        <v>774.0</v>
      </c>
      <c r="B775" s="8" t="s">
        <v>1770</v>
      </c>
      <c r="C775" s="8" t="s">
        <v>21</v>
      </c>
      <c r="K775" s="8">
        <v>150.0</v>
      </c>
      <c r="N775" s="7">
        <v>44432.0</v>
      </c>
    </row>
    <row r="776">
      <c r="A776" s="8">
        <v>775.0</v>
      </c>
      <c r="B776" s="8" t="s">
        <v>1771</v>
      </c>
      <c r="C776" s="8" t="s">
        <v>21</v>
      </c>
      <c r="K776" s="8">
        <v>4700.0</v>
      </c>
      <c r="N776" s="7">
        <v>44545.0</v>
      </c>
    </row>
    <row r="777">
      <c r="A777" s="8">
        <v>776.0</v>
      </c>
      <c r="B777" s="8" t="s">
        <v>1772</v>
      </c>
      <c r="C777" s="8" t="s">
        <v>21</v>
      </c>
      <c r="N777" s="7">
        <v>42962.0</v>
      </c>
    </row>
    <row r="778">
      <c r="A778" s="8">
        <v>777.0</v>
      </c>
      <c r="B778" s="8" t="s">
        <v>1773</v>
      </c>
      <c r="C778" s="8" t="s">
        <v>21</v>
      </c>
      <c r="K778" s="8">
        <v>700.0</v>
      </c>
      <c r="N778" s="7">
        <v>45010.0</v>
      </c>
    </row>
    <row r="779">
      <c r="A779" s="8">
        <v>778.0</v>
      </c>
      <c r="B779" s="8" t="s">
        <v>1774</v>
      </c>
      <c r="C779" s="8" t="s">
        <v>21</v>
      </c>
      <c r="K779" s="8">
        <v>2300.0</v>
      </c>
      <c r="N779" s="7">
        <v>44989.0</v>
      </c>
    </row>
    <row r="780">
      <c r="A780" s="8">
        <v>779.0</v>
      </c>
      <c r="B780" s="8" t="s">
        <v>1775</v>
      </c>
      <c r="C780" s="8" t="s">
        <v>21</v>
      </c>
      <c r="N780" s="7">
        <v>45154.0</v>
      </c>
    </row>
    <row r="781">
      <c r="A781" s="8">
        <v>780.0</v>
      </c>
      <c r="B781" s="8" t="s">
        <v>1777</v>
      </c>
      <c r="C781" s="8" t="s">
        <v>21</v>
      </c>
      <c r="N781" s="7">
        <v>43871.0</v>
      </c>
    </row>
    <row r="782">
      <c r="A782" s="8">
        <v>781.0</v>
      </c>
      <c r="B782" s="8" t="s">
        <v>1778</v>
      </c>
      <c r="C782" s="8" t="s">
        <v>21</v>
      </c>
      <c r="N782" s="7">
        <v>43412.0</v>
      </c>
    </row>
    <row r="783">
      <c r="A783" s="8">
        <v>782.0</v>
      </c>
      <c r="B783" s="8" t="s">
        <v>1779</v>
      </c>
      <c r="C783" s="8" t="s">
        <v>21</v>
      </c>
      <c r="K783" s="8">
        <v>600.0</v>
      </c>
      <c r="N783" s="7">
        <v>44104.0</v>
      </c>
    </row>
    <row r="784">
      <c r="A784" s="8">
        <v>783.0</v>
      </c>
      <c r="B784" s="8" t="s">
        <v>1780</v>
      </c>
      <c r="C784" s="8" t="s">
        <v>21</v>
      </c>
      <c r="K784" s="8">
        <v>10.0</v>
      </c>
      <c r="N784" s="7">
        <v>45097.0</v>
      </c>
    </row>
    <row r="785">
      <c r="A785" s="8">
        <v>784.0</v>
      </c>
      <c r="B785" s="8" t="s">
        <v>1781</v>
      </c>
      <c r="C785" s="8" t="s">
        <v>21</v>
      </c>
      <c r="K785" s="8">
        <v>500.0</v>
      </c>
      <c r="N785" s="7">
        <v>43869.0</v>
      </c>
    </row>
    <row r="786">
      <c r="A786" s="8">
        <v>785.0</v>
      </c>
      <c r="B786" s="8" t="s">
        <v>1782</v>
      </c>
      <c r="C786" s="8" t="s">
        <v>21</v>
      </c>
      <c r="N786" s="7">
        <v>44301.0</v>
      </c>
    </row>
    <row r="787">
      <c r="A787" s="8">
        <v>786.0</v>
      </c>
      <c r="B787" s="8" t="s">
        <v>1783</v>
      </c>
      <c r="C787" s="8" t="s">
        <v>21</v>
      </c>
      <c r="N787" s="7">
        <v>44487.0</v>
      </c>
    </row>
    <row r="788">
      <c r="A788" s="8">
        <v>787.0</v>
      </c>
      <c r="B788" s="8" t="s">
        <v>1785</v>
      </c>
      <c r="C788" s="8" t="s">
        <v>21</v>
      </c>
      <c r="K788" s="8">
        <v>600.0</v>
      </c>
      <c r="N788" s="7">
        <v>44076.0</v>
      </c>
    </row>
    <row r="789">
      <c r="A789" s="8">
        <v>788.0</v>
      </c>
      <c r="B789" s="8" t="s">
        <v>1786</v>
      </c>
      <c r="C789" s="8" t="s">
        <v>21</v>
      </c>
      <c r="K789" s="8">
        <v>300.0</v>
      </c>
      <c r="N789" s="7">
        <v>44836.0</v>
      </c>
    </row>
    <row r="790">
      <c r="A790" s="8">
        <v>789.0</v>
      </c>
      <c r="B790" s="8" t="s">
        <v>1787</v>
      </c>
      <c r="C790" s="8" t="s">
        <v>21</v>
      </c>
      <c r="K790" s="8">
        <v>40000.0</v>
      </c>
      <c r="N790" s="7">
        <v>44573.0</v>
      </c>
    </row>
    <row r="791">
      <c r="A791" s="8">
        <v>790.0</v>
      </c>
      <c r="B791" s="8" t="s">
        <v>1788</v>
      </c>
      <c r="C791" s="8" t="s">
        <v>21</v>
      </c>
      <c r="K791" s="8">
        <v>450.0</v>
      </c>
      <c r="N791" s="7">
        <v>44528.0</v>
      </c>
    </row>
    <row r="792">
      <c r="A792" s="8">
        <v>791.0</v>
      </c>
      <c r="B792" s="8" t="s">
        <v>1789</v>
      </c>
      <c r="C792" s="8" t="s">
        <v>21</v>
      </c>
      <c r="K792" s="8">
        <v>5600.0</v>
      </c>
      <c r="N792" s="7">
        <v>43963.0</v>
      </c>
    </row>
    <row r="793">
      <c r="A793" s="8">
        <v>792.0</v>
      </c>
      <c r="B793" s="8" t="s">
        <v>1791</v>
      </c>
      <c r="C793" s="8" t="s">
        <v>21</v>
      </c>
      <c r="K793" s="8">
        <v>20.0</v>
      </c>
      <c r="N793" s="7">
        <v>44023.0</v>
      </c>
    </row>
    <row r="794">
      <c r="A794" s="8">
        <v>793.0</v>
      </c>
      <c r="B794" s="8" t="s">
        <v>1793</v>
      </c>
      <c r="C794" s="8" t="s">
        <v>21</v>
      </c>
      <c r="K794" s="8">
        <v>150.0</v>
      </c>
      <c r="N794" s="7">
        <v>44081.0</v>
      </c>
    </row>
    <row r="795">
      <c r="A795" s="8">
        <v>794.0</v>
      </c>
      <c r="B795" s="8" t="s">
        <v>1794</v>
      </c>
      <c r="C795" s="8" t="s">
        <v>21</v>
      </c>
      <c r="K795" s="8">
        <v>30.0</v>
      </c>
      <c r="N795" s="7">
        <v>44680.0</v>
      </c>
    </row>
    <row r="796">
      <c r="A796" s="8">
        <v>795.0</v>
      </c>
      <c r="B796" s="8" t="s">
        <v>1795</v>
      </c>
      <c r="C796" s="8" t="s">
        <v>21</v>
      </c>
      <c r="K796" s="8">
        <v>2100.0</v>
      </c>
      <c r="N796" s="7">
        <v>46042.0</v>
      </c>
    </row>
    <row r="797">
      <c r="A797" s="8">
        <v>796.0</v>
      </c>
      <c r="B797" s="8" t="s">
        <v>1796</v>
      </c>
      <c r="C797" s="8" t="s">
        <v>21</v>
      </c>
      <c r="K797" s="8">
        <v>250.0</v>
      </c>
      <c r="N797" s="7">
        <v>44692.0</v>
      </c>
    </row>
    <row r="798">
      <c r="A798" s="8">
        <v>797.0</v>
      </c>
      <c r="B798" s="8" t="s">
        <v>1798</v>
      </c>
      <c r="C798" s="8" t="s">
        <v>21</v>
      </c>
      <c r="K798" s="8">
        <v>800.0</v>
      </c>
      <c r="N798" s="7">
        <v>44683.0</v>
      </c>
    </row>
    <row r="799">
      <c r="A799" s="8">
        <v>798.0</v>
      </c>
      <c r="B799" s="8" t="s">
        <v>1799</v>
      </c>
      <c r="C799" s="8" t="s">
        <v>21</v>
      </c>
      <c r="K799" s="8">
        <v>90.0</v>
      </c>
      <c r="N799" s="7">
        <v>44095.0</v>
      </c>
    </row>
    <row r="800">
      <c r="A800" s="8">
        <v>799.0</v>
      </c>
      <c r="B800" s="8" t="s">
        <v>1801</v>
      </c>
      <c r="C800" s="8" t="s">
        <v>21</v>
      </c>
      <c r="K800" s="8">
        <v>10.0</v>
      </c>
      <c r="N800" s="7">
        <v>45855.0</v>
      </c>
    </row>
    <row r="801">
      <c r="A801" s="8">
        <v>800.0</v>
      </c>
      <c r="B801" s="8" t="s">
        <v>1802</v>
      </c>
      <c r="C801" s="8" t="s">
        <v>21</v>
      </c>
      <c r="K801" s="8">
        <v>1000.0</v>
      </c>
      <c r="N801" s="7">
        <v>44626.0</v>
      </c>
    </row>
    <row r="802">
      <c r="A802" s="8">
        <v>801.0</v>
      </c>
      <c r="B802" s="8" t="s">
        <v>1803</v>
      </c>
      <c r="C802" s="8" t="s">
        <v>21</v>
      </c>
      <c r="N802" s="7">
        <v>45122.0</v>
      </c>
    </row>
    <row r="803">
      <c r="A803" s="8">
        <v>802.0</v>
      </c>
      <c r="B803" s="8" t="s">
        <v>1805</v>
      </c>
      <c r="C803" s="8" t="s">
        <v>21</v>
      </c>
      <c r="K803" s="8">
        <v>50.0</v>
      </c>
      <c r="N803" s="7">
        <v>44176.0</v>
      </c>
    </row>
    <row r="804">
      <c r="A804" s="8">
        <v>803.0</v>
      </c>
      <c r="B804" s="8" t="s">
        <v>1806</v>
      </c>
      <c r="C804" s="8" t="s">
        <v>21</v>
      </c>
      <c r="K804" s="8">
        <v>250.0</v>
      </c>
      <c r="N804" s="7">
        <v>44540.0</v>
      </c>
    </row>
    <row r="805">
      <c r="A805" s="8">
        <v>804.0</v>
      </c>
      <c r="B805" s="8" t="s">
        <v>1808</v>
      </c>
      <c r="C805" s="8" t="s">
        <v>21</v>
      </c>
      <c r="K805" s="8">
        <v>250.0</v>
      </c>
      <c r="N805" s="7">
        <v>44933.0</v>
      </c>
    </row>
    <row r="806">
      <c r="A806" s="8">
        <v>805.0</v>
      </c>
      <c r="B806" s="8" t="s">
        <v>1809</v>
      </c>
      <c r="C806" s="8" t="s">
        <v>21</v>
      </c>
      <c r="N806" s="7">
        <v>44373.0</v>
      </c>
    </row>
    <row r="807">
      <c r="A807" s="8">
        <v>806.0</v>
      </c>
      <c r="B807" s="8" t="s">
        <v>1810</v>
      </c>
      <c r="C807" s="8" t="s">
        <v>21</v>
      </c>
      <c r="K807" s="8">
        <v>10.0</v>
      </c>
      <c r="N807" s="7">
        <v>44681.0</v>
      </c>
    </row>
    <row r="808">
      <c r="A808" s="8">
        <v>807.0</v>
      </c>
      <c r="B808" s="8" t="s">
        <v>1812</v>
      </c>
      <c r="C808" s="8" t="s">
        <v>21</v>
      </c>
      <c r="N808" s="7">
        <v>45614.0</v>
      </c>
    </row>
    <row r="809">
      <c r="A809" s="8">
        <v>808.0</v>
      </c>
      <c r="B809" s="8" t="s">
        <v>1813</v>
      </c>
      <c r="C809" s="8" t="s">
        <v>21</v>
      </c>
      <c r="K809" s="8">
        <v>80.0</v>
      </c>
      <c r="N809" s="7">
        <v>42633.0</v>
      </c>
    </row>
    <row r="810">
      <c r="A810" s="8">
        <v>809.0</v>
      </c>
      <c r="B810" s="8" t="s">
        <v>1814</v>
      </c>
      <c r="C810" s="8" t="s">
        <v>21</v>
      </c>
      <c r="K810" s="8">
        <v>70.0</v>
      </c>
      <c r="N810" s="7">
        <v>44614.0</v>
      </c>
    </row>
    <row r="811">
      <c r="A811" s="8">
        <v>810.0</v>
      </c>
      <c r="B811" s="8" t="s">
        <v>1815</v>
      </c>
      <c r="C811" s="8" t="s">
        <v>21</v>
      </c>
      <c r="K811" s="8">
        <v>1300.0</v>
      </c>
      <c r="N811" s="7">
        <v>44496.0</v>
      </c>
    </row>
    <row r="812">
      <c r="A812" s="8">
        <v>811.0</v>
      </c>
      <c r="B812" s="8" t="s">
        <v>1816</v>
      </c>
      <c r="C812" s="8" t="s">
        <v>21</v>
      </c>
      <c r="K812" s="8">
        <v>250.0</v>
      </c>
      <c r="N812" s="7">
        <v>44357.0</v>
      </c>
    </row>
    <row r="813">
      <c r="A813" s="8">
        <v>812.0</v>
      </c>
      <c r="B813" s="8" t="s">
        <v>1817</v>
      </c>
      <c r="C813" s="8" t="s">
        <v>21</v>
      </c>
      <c r="K813" s="8">
        <v>800.0</v>
      </c>
      <c r="N813" s="7">
        <v>44298.0</v>
      </c>
    </row>
    <row r="814">
      <c r="A814" s="8">
        <v>813.0</v>
      </c>
      <c r="B814" s="8" t="s">
        <v>1818</v>
      </c>
      <c r="C814" s="8" t="s">
        <v>21</v>
      </c>
      <c r="K814" s="8">
        <v>700.0</v>
      </c>
      <c r="N814" s="7">
        <v>44537.0</v>
      </c>
    </row>
    <row r="815">
      <c r="A815" s="8">
        <v>814.0</v>
      </c>
      <c r="B815" s="8" t="s">
        <v>1819</v>
      </c>
      <c r="C815" s="8" t="s">
        <v>21</v>
      </c>
      <c r="K815" s="8">
        <v>3000.0</v>
      </c>
      <c r="N815" s="7">
        <v>43875.0</v>
      </c>
    </row>
    <row r="816">
      <c r="A816" s="8">
        <v>815.0</v>
      </c>
      <c r="B816" s="8" t="s">
        <v>1820</v>
      </c>
      <c r="C816" s="8" t="s">
        <v>21</v>
      </c>
      <c r="K816" s="8">
        <v>10.0</v>
      </c>
      <c r="N816" s="7">
        <v>44163.0</v>
      </c>
    </row>
    <row r="817">
      <c r="A817" s="8">
        <v>816.0</v>
      </c>
      <c r="B817" s="8" t="s">
        <v>1821</v>
      </c>
      <c r="C817" s="8" t="s">
        <v>21</v>
      </c>
      <c r="K817" s="8">
        <v>6300.0</v>
      </c>
      <c r="N817" s="7">
        <v>45012.0</v>
      </c>
    </row>
    <row r="818">
      <c r="A818" s="8">
        <v>817.0</v>
      </c>
      <c r="B818" s="8" t="s">
        <v>1822</v>
      </c>
      <c r="C818" s="8" t="s">
        <v>21</v>
      </c>
      <c r="K818" s="8">
        <v>250.0</v>
      </c>
      <c r="N818" s="7">
        <v>44836.0</v>
      </c>
    </row>
    <row r="819">
      <c r="A819" s="8">
        <v>818.0</v>
      </c>
      <c r="B819" s="8" t="s">
        <v>1823</v>
      </c>
      <c r="C819" s="8" t="s">
        <v>21</v>
      </c>
      <c r="K819" s="8">
        <v>1700.0</v>
      </c>
      <c r="N819" s="7">
        <v>43902.0</v>
      </c>
    </row>
    <row r="820">
      <c r="A820" s="8">
        <v>819.0</v>
      </c>
      <c r="B820" s="8" t="s">
        <v>1824</v>
      </c>
      <c r="C820" s="8" t="s">
        <v>21</v>
      </c>
      <c r="K820" s="8">
        <v>30.0</v>
      </c>
      <c r="N820" s="7">
        <v>45415.0</v>
      </c>
    </row>
    <row r="821">
      <c r="A821" s="8">
        <v>820.0</v>
      </c>
      <c r="B821" s="8" t="s">
        <v>1825</v>
      </c>
      <c r="C821" s="8" t="s">
        <v>21</v>
      </c>
      <c r="K821" s="8">
        <v>50.0</v>
      </c>
      <c r="N821" s="7">
        <v>46083.0</v>
      </c>
    </row>
    <row r="822">
      <c r="A822" s="8">
        <v>821.0</v>
      </c>
      <c r="B822" s="8" t="s">
        <v>1827</v>
      </c>
      <c r="C822" s="8" t="s">
        <v>21</v>
      </c>
      <c r="K822" s="8">
        <v>200.0</v>
      </c>
      <c r="N822" s="7">
        <v>44312.0</v>
      </c>
    </row>
    <row r="823">
      <c r="A823" s="8">
        <v>822.0</v>
      </c>
      <c r="B823" s="8" t="s">
        <v>1828</v>
      </c>
      <c r="C823" s="8" t="s">
        <v>21</v>
      </c>
      <c r="K823" s="8">
        <v>40.0</v>
      </c>
      <c r="N823" s="7">
        <v>44816.0</v>
      </c>
    </row>
    <row r="824">
      <c r="A824" s="8">
        <v>823.0</v>
      </c>
      <c r="B824" s="8" t="s">
        <v>1829</v>
      </c>
      <c r="C824" s="8" t="s">
        <v>21</v>
      </c>
      <c r="K824" s="8">
        <v>400.0</v>
      </c>
      <c r="N824" s="7">
        <v>44038.0</v>
      </c>
    </row>
    <row r="825">
      <c r="A825" s="8">
        <v>824.0</v>
      </c>
      <c r="B825" s="8" t="s">
        <v>1830</v>
      </c>
      <c r="C825" s="8" t="s">
        <v>21</v>
      </c>
      <c r="K825" s="8">
        <v>400.0</v>
      </c>
      <c r="N825" s="7">
        <v>43888.0</v>
      </c>
    </row>
    <row r="826">
      <c r="A826" s="8">
        <v>825.0</v>
      </c>
      <c r="B826" s="8" t="s">
        <v>1831</v>
      </c>
      <c r="C826" s="8" t="s">
        <v>21</v>
      </c>
      <c r="N826" s="7">
        <v>45176.0</v>
      </c>
    </row>
    <row r="827">
      <c r="A827" s="8">
        <v>826.0</v>
      </c>
      <c r="B827" s="8" t="s">
        <v>1832</v>
      </c>
      <c r="C827" s="8" t="s">
        <v>21</v>
      </c>
      <c r="K827" s="8">
        <v>28000.0</v>
      </c>
      <c r="N827" s="7">
        <v>42616.0</v>
      </c>
      <c r="O827" s="8" t="s">
        <v>31</v>
      </c>
      <c r="P827" s="8" t="s">
        <v>28</v>
      </c>
      <c r="S827" s="8" t="s">
        <v>32</v>
      </c>
    </row>
    <row r="828">
      <c r="A828" s="8">
        <v>827.0</v>
      </c>
      <c r="B828" s="8" t="s">
        <v>1835</v>
      </c>
      <c r="C828" s="8" t="s">
        <v>21</v>
      </c>
      <c r="K828" s="8">
        <v>800.0</v>
      </c>
      <c r="N828" s="7">
        <v>45789.0</v>
      </c>
    </row>
    <row r="829">
      <c r="A829" s="8">
        <v>828.0</v>
      </c>
      <c r="B829" s="8" t="s">
        <v>1837</v>
      </c>
      <c r="C829" s="8" t="s">
        <v>21</v>
      </c>
      <c r="N829" s="7">
        <v>44001.0</v>
      </c>
    </row>
    <row r="830">
      <c r="A830" s="8">
        <v>829.0</v>
      </c>
      <c r="B830" s="8" t="s">
        <v>1839</v>
      </c>
      <c r="C830" s="8" t="s">
        <v>21</v>
      </c>
      <c r="K830" s="8">
        <v>1300.0</v>
      </c>
      <c r="N830" s="7">
        <v>42945.0</v>
      </c>
    </row>
    <row r="831">
      <c r="A831" s="8">
        <v>830.0</v>
      </c>
      <c r="B831" s="8" t="s">
        <v>1841</v>
      </c>
      <c r="C831" s="8" t="s">
        <v>21</v>
      </c>
      <c r="N831" s="7">
        <v>44215.0</v>
      </c>
    </row>
    <row r="832">
      <c r="A832" s="8">
        <v>831.0</v>
      </c>
      <c r="B832" s="8" t="s">
        <v>1842</v>
      </c>
      <c r="C832" s="8" t="s">
        <v>21</v>
      </c>
      <c r="K832" s="8">
        <v>60.0</v>
      </c>
      <c r="N832" s="7">
        <v>44272.0</v>
      </c>
    </row>
    <row r="833">
      <c r="A833" s="8">
        <v>832.0</v>
      </c>
      <c r="B833" s="8" t="s">
        <v>1843</v>
      </c>
      <c r="C833" s="8" t="s">
        <v>21</v>
      </c>
      <c r="K833" s="8">
        <v>4800.0</v>
      </c>
      <c r="N833" s="7">
        <v>43916.0</v>
      </c>
    </row>
    <row r="834">
      <c r="A834" s="8">
        <v>833.0</v>
      </c>
      <c r="B834" s="8" t="s">
        <v>1844</v>
      </c>
      <c r="C834" s="8" t="s">
        <v>21</v>
      </c>
      <c r="K834" s="8">
        <v>700.0</v>
      </c>
      <c r="N834" s="7">
        <v>45880.0</v>
      </c>
    </row>
    <row r="835">
      <c r="A835" s="8">
        <v>834.0</v>
      </c>
      <c r="B835" s="8" t="s">
        <v>1846</v>
      </c>
      <c r="C835" s="8" t="s">
        <v>21</v>
      </c>
      <c r="K835" s="8">
        <v>1400.0</v>
      </c>
      <c r="N835" s="7">
        <v>43921.0</v>
      </c>
    </row>
    <row r="836">
      <c r="A836" s="8">
        <v>835.0</v>
      </c>
      <c r="B836" s="8" t="s">
        <v>1847</v>
      </c>
      <c r="C836" s="8" t="s">
        <v>21</v>
      </c>
      <c r="N836" s="7">
        <v>44793.0</v>
      </c>
    </row>
    <row r="837">
      <c r="A837" s="8">
        <v>836.0</v>
      </c>
      <c r="B837" s="8" t="s">
        <v>1848</v>
      </c>
      <c r="C837" s="8" t="s">
        <v>21</v>
      </c>
      <c r="N837" s="7">
        <v>45433.0</v>
      </c>
    </row>
    <row r="838">
      <c r="A838" s="8">
        <v>837.0</v>
      </c>
      <c r="B838" s="8" t="s">
        <v>1850</v>
      </c>
      <c r="C838" s="8" t="s">
        <v>21</v>
      </c>
      <c r="N838" s="7">
        <v>44898.0</v>
      </c>
    </row>
    <row r="839">
      <c r="A839" s="8">
        <v>838.0</v>
      </c>
      <c r="B839" s="8" t="s">
        <v>1851</v>
      </c>
      <c r="C839" s="8" t="s">
        <v>21</v>
      </c>
      <c r="K839" s="8">
        <v>400.0</v>
      </c>
      <c r="N839" s="7">
        <v>44139.0</v>
      </c>
    </row>
    <row r="840">
      <c r="A840" s="8">
        <v>839.0</v>
      </c>
      <c r="B840" s="8" t="s">
        <v>1852</v>
      </c>
      <c r="C840" s="8" t="s">
        <v>21</v>
      </c>
      <c r="K840" s="8">
        <v>3000.0</v>
      </c>
      <c r="N840" s="7">
        <v>44865.0</v>
      </c>
    </row>
    <row r="841">
      <c r="A841" s="8">
        <v>840.0</v>
      </c>
      <c r="B841" s="8" t="s">
        <v>1853</v>
      </c>
      <c r="C841" s="8" t="s">
        <v>21</v>
      </c>
      <c r="K841" s="8">
        <v>200.0</v>
      </c>
      <c r="N841" s="7">
        <v>42405.0</v>
      </c>
    </row>
    <row r="842">
      <c r="A842" s="8">
        <v>841.0</v>
      </c>
      <c r="B842" s="8" t="s">
        <v>1854</v>
      </c>
      <c r="C842" s="8" t="s">
        <v>21</v>
      </c>
      <c r="K842" s="8">
        <v>70.0</v>
      </c>
      <c r="N842" s="7">
        <v>44246.0</v>
      </c>
    </row>
    <row r="843">
      <c r="A843" s="8">
        <v>842.0</v>
      </c>
      <c r="B843" s="8" t="s">
        <v>1855</v>
      </c>
      <c r="C843" s="8" t="s">
        <v>21</v>
      </c>
      <c r="K843" s="8">
        <v>70.0</v>
      </c>
      <c r="N843" s="7">
        <v>44884.0</v>
      </c>
    </row>
    <row r="844">
      <c r="A844" s="8">
        <v>843.0</v>
      </c>
      <c r="B844" s="8" t="s">
        <v>1856</v>
      </c>
      <c r="C844" s="8" t="s">
        <v>21</v>
      </c>
      <c r="K844" s="8">
        <v>150.0</v>
      </c>
      <c r="N844" s="7">
        <v>45985.0</v>
      </c>
    </row>
    <row r="845">
      <c r="A845" s="8">
        <v>844.0</v>
      </c>
      <c r="B845" s="8" t="s">
        <v>1858</v>
      </c>
      <c r="C845" s="8" t="s">
        <v>21</v>
      </c>
      <c r="K845" s="8">
        <v>500.0</v>
      </c>
      <c r="N845" s="7">
        <v>44496.0</v>
      </c>
    </row>
    <row r="846">
      <c r="A846" s="8">
        <v>845.0</v>
      </c>
      <c r="B846" s="8" t="s">
        <v>1859</v>
      </c>
      <c r="C846" s="8" t="s">
        <v>21</v>
      </c>
      <c r="K846" s="8">
        <v>10.0</v>
      </c>
      <c r="N846" s="7">
        <v>42606.0</v>
      </c>
    </row>
    <row r="847">
      <c r="A847" s="8">
        <v>846.0</v>
      </c>
      <c r="B847" s="8" t="s">
        <v>1861</v>
      </c>
      <c r="C847" s="8" t="s">
        <v>21</v>
      </c>
      <c r="N847" s="7">
        <v>44185.0</v>
      </c>
    </row>
    <row r="848">
      <c r="A848" s="8">
        <v>847.0</v>
      </c>
      <c r="B848" s="8" t="s">
        <v>54</v>
      </c>
      <c r="C848" s="8" t="s">
        <v>21</v>
      </c>
      <c r="K848" s="8">
        <v>10.0</v>
      </c>
      <c r="N848" s="7">
        <v>44593.0</v>
      </c>
    </row>
    <row r="849">
      <c r="A849" s="8">
        <v>848.0</v>
      </c>
      <c r="B849" s="8" t="s">
        <v>1863</v>
      </c>
      <c r="C849" s="8" t="s">
        <v>21</v>
      </c>
      <c r="N849" s="7">
        <v>44740.0</v>
      </c>
    </row>
    <row r="850">
      <c r="A850" s="8">
        <v>849.0</v>
      </c>
      <c r="B850" s="8" t="s">
        <v>1864</v>
      </c>
      <c r="C850" s="8" t="s">
        <v>21</v>
      </c>
      <c r="K850" s="8">
        <v>4100.0</v>
      </c>
      <c r="N850" s="7">
        <v>44105.0</v>
      </c>
    </row>
    <row r="851">
      <c r="A851" s="8">
        <v>850.0</v>
      </c>
      <c r="B851" s="8" t="s">
        <v>1865</v>
      </c>
      <c r="C851" s="8" t="s">
        <v>21</v>
      </c>
      <c r="K851" s="8">
        <v>800.0</v>
      </c>
      <c r="N851" s="7">
        <v>44579.0</v>
      </c>
    </row>
    <row r="852">
      <c r="A852" s="8">
        <v>851.0</v>
      </c>
      <c r="B852" s="8" t="s">
        <v>1866</v>
      </c>
      <c r="C852" s="8" t="s">
        <v>21</v>
      </c>
      <c r="N852" s="7">
        <v>44549.0</v>
      </c>
    </row>
    <row r="853">
      <c r="A853" s="8">
        <v>852.0</v>
      </c>
      <c r="B853" s="8" t="s">
        <v>1867</v>
      </c>
      <c r="C853" s="8" t="s">
        <v>21</v>
      </c>
      <c r="K853" s="8">
        <v>90.0</v>
      </c>
      <c r="N853" s="7">
        <v>44933.0</v>
      </c>
    </row>
    <row r="854">
      <c r="A854" s="8">
        <v>853.0</v>
      </c>
      <c r="B854" s="8" t="s">
        <v>1868</v>
      </c>
      <c r="C854" s="8" t="s">
        <v>21</v>
      </c>
      <c r="K854" s="8">
        <v>200.0</v>
      </c>
      <c r="N854" s="7">
        <v>44042.0</v>
      </c>
    </row>
    <row r="855">
      <c r="A855" s="8">
        <v>854.0</v>
      </c>
      <c r="B855" s="8" t="s">
        <v>1869</v>
      </c>
      <c r="C855" s="8" t="s">
        <v>21</v>
      </c>
      <c r="K855" s="8">
        <v>2000.0</v>
      </c>
      <c r="N855" s="7">
        <v>45428.0</v>
      </c>
    </row>
    <row r="856">
      <c r="A856" s="8">
        <v>855.0</v>
      </c>
      <c r="B856" s="8" t="s">
        <v>1871</v>
      </c>
      <c r="C856" s="8" t="s">
        <v>21</v>
      </c>
      <c r="K856" s="8">
        <v>10.0</v>
      </c>
      <c r="N856" s="7">
        <v>44824.0</v>
      </c>
    </row>
    <row r="857">
      <c r="A857" s="8">
        <v>856.0</v>
      </c>
      <c r="B857" s="8" t="s">
        <v>56</v>
      </c>
      <c r="C857" s="8" t="s">
        <v>21</v>
      </c>
      <c r="K857" s="8">
        <v>30.0</v>
      </c>
      <c r="N857" s="7">
        <v>44603.0</v>
      </c>
    </row>
    <row r="858">
      <c r="A858" s="8">
        <v>857.0</v>
      </c>
      <c r="B858" s="8" t="s">
        <v>1872</v>
      </c>
      <c r="C858" s="8" t="s">
        <v>21</v>
      </c>
      <c r="K858" s="8">
        <v>100.0</v>
      </c>
      <c r="N858" s="7">
        <v>45135.0</v>
      </c>
    </row>
    <row r="859">
      <c r="A859" s="8">
        <v>858.0</v>
      </c>
      <c r="B859" s="8" t="s">
        <v>1873</v>
      </c>
      <c r="C859" s="8" t="s">
        <v>21</v>
      </c>
      <c r="K859" s="8">
        <v>100.0</v>
      </c>
      <c r="N859" s="7">
        <v>44199.0</v>
      </c>
    </row>
    <row r="860">
      <c r="A860" s="8">
        <v>859.0</v>
      </c>
      <c r="B860" s="8" t="s">
        <v>1874</v>
      </c>
      <c r="C860" s="8" t="s">
        <v>21</v>
      </c>
      <c r="N860" s="7">
        <v>42688.0</v>
      </c>
    </row>
    <row r="861">
      <c r="A861" s="8">
        <v>860.0</v>
      </c>
      <c r="B861" s="8" t="s">
        <v>1876</v>
      </c>
      <c r="C861" s="8" t="s">
        <v>21</v>
      </c>
      <c r="K861" s="8">
        <v>50.0</v>
      </c>
      <c r="N861" s="7">
        <v>43892.0</v>
      </c>
    </row>
    <row r="862">
      <c r="A862" s="8">
        <v>861.0</v>
      </c>
      <c r="B862" s="8" t="s">
        <v>1877</v>
      </c>
      <c r="C862" s="8" t="s">
        <v>21</v>
      </c>
      <c r="N862" s="7">
        <v>42821.0</v>
      </c>
    </row>
    <row r="863">
      <c r="A863" s="8">
        <v>862.0</v>
      </c>
      <c r="B863" s="8" t="s">
        <v>1878</v>
      </c>
      <c r="C863" s="8" t="s">
        <v>21</v>
      </c>
      <c r="K863" s="8">
        <v>900.0</v>
      </c>
      <c r="N863" s="7">
        <v>44769.0</v>
      </c>
    </row>
    <row r="864">
      <c r="A864" s="8">
        <v>863.0</v>
      </c>
      <c r="B864" s="8" t="s">
        <v>1880</v>
      </c>
      <c r="C864" s="8" t="s">
        <v>21</v>
      </c>
      <c r="K864" s="8">
        <v>150.0</v>
      </c>
      <c r="N864" s="7">
        <v>44688.0</v>
      </c>
    </row>
    <row r="865">
      <c r="A865" s="8">
        <v>864.0</v>
      </c>
      <c r="B865" s="8" t="s">
        <v>1881</v>
      </c>
      <c r="C865" s="8" t="s">
        <v>21</v>
      </c>
      <c r="K865" s="8">
        <v>2800.0</v>
      </c>
      <c r="N865" s="7">
        <v>44606.0</v>
      </c>
    </row>
    <row r="866">
      <c r="A866" s="8">
        <v>865.0</v>
      </c>
      <c r="B866" s="8" t="s">
        <v>1883</v>
      </c>
      <c r="C866" s="8" t="s">
        <v>21</v>
      </c>
      <c r="N866" s="7">
        <v>44208.0</v>
      </c>
    </row>
    <row r="867">
      <c r="A867" s="8">
        <v>866.0</v>
      </c>
      <c r="B867" s="8" t="s">
        <v>1884</v>
      </c>
      <c r="C867" s="8" t="s">
        <v>21</v>
      </c>
      <c r="K867" s="8">
        <v>10.0</v>
      </c>
      <c r="N867" s="7">
        <v>44591.0</v>
      </c>
    </row>
    <row r="868">
      <c r="A868" s="8">
        <v>867.0</v>
      </c>
      <c r="B868" s="8" t="s">
        <v>1885</v>
      </c>
      <c r="C868" s="8" t="s">
        <v>21</v>
      </c>
      <c r="K868" s="8">
        <v>150.0</v>
      </c>
      <c r="N868" s="7">
        <v>44135.0</v>
      </c>
    </row>
    <row r="869">
      <c r="A869" s="8">
        <v>868.0</v>
      </c>
      <c r="B869" s="8" t="s">
        <v>1886</v>
      </c>
      <c r="C869" s="8" t="s">
        <v>21</v>
      </c>
      <c r="K869" s="8">
        <v>500.0</v>
      </c>
      <c r="N869" s="7">
        <v>43641.0</v>
      </c>
    </row>
    <row r="870">
      <c r="A870" s="8">
        <v>869.0</v>
      </c>
      <c r="B870" s="8" t="s">
        <v>1887</v>
      </c>
      <c r="C870" s="8" t="s">
        <v>21</v>
      </c>
      <c r="K870" s="8">
        <v>800.0</v>
      </c>
      <c r="N870" s="7">
        <v>44606.0</v>
      </c>
    </row>
    <row r="871">
      <c r="A871" s="8">
        <v>870.0</v>
      </c>
      <c r="B871" s="8" t="s">
        <v>1889</v>
      </c>
      <c r="C871" s="8" t="s">
        <v>21</v>
      </c>
      <c r="K871" s="8">
        <v>40.0</v>
      </c>
      <c r="N871" s="7">
        <v>44785.0</v>
      </c>
    </row>
    <row r="872">
      <c r="A872" s="8">
        <v>871.0</v>
      </c>
      <c r="B872" s="8" t="s">
        <v>1890</v>
      </c>
      <c r="C872" s="8" t="s">
        <v>21</v>
      </c>
      <c r="K872" s="8">
        <v>2000.0</v>
      </c>
      <c r="N872" s="7">
        <v>44049.0</v>
      </c>
    </row>
    <row r="873">
      <c r="A873" s="8">
        <v>872.0</v>
      </c>
      <c r="B873" s="8" t="s">
        <v>1892</v>
      </c>
      <c r="C873" s="8" t="s">
        <v>21</v>
      </c>
      <c r="K873" s="8">
        <v>150.0</v>
      </c>
      <c r="N873" s="7">
        <v>45121.0</v>
      </c>
    </row>
    <row r="874">
      <c r="A874" s="8">
        <v>873.0</v>
      </c>
      <c r="B874" s="8" t="s">
        <v>1893</v>
      </c>
      <c r="C874" s="8" t="s">
        <v>21</v>
      </c>
      <c r="K874" s="8">
        <v>250.0</v>
      </c>
      <c r="N874" s="7">
        <v>44363.0</v>
      </c>
    </row>
    <row r="875">
      <c r="A875" s="8">
        <v>874.0</v>
      </c>
      <c r="B875" s="8" t="s">
        <v>1894</v>
      </c>
      <c r="C875" s="8" t="s">
        <v>21</v>
      </c>
      <c r="N875" s="7">
        <v>43162.0</v>
      </c>
    </row>
    <row r="876">
      <c r="A876" s="8">
        <v>875.0</v>
      </c>
      <c r="B876" s="8" t="s">
        <v>1896</v>
      </c>
      <c r="C876" s="8" t="s">
        <v>21</v>
      </c>
      <c r="K876" s="8">
        <v>50.0</v>
      </c>
      <c r="N876" s="7">
        <v>44611.0</v>
      </c>
    </row>
    <row r="877">
      <c r="A877" s="8">
        <v>876.0</v>
      </c>
      <c r="B877" s="8" t="s">
        <v>1897</v>
      </c>
      <c r="C877" s="8" t="s">
        <v>21</v>
      </c>
      <c r="K877" s="8">
        <v>1100.0</v>
      </c>
      <c r="N877" s="7">
        <v>43953.0</v>
      </c>
    </row>
    <row r="878">
      <c r="A878" s="8">
        <v>877.0</v>
      </c>
      <c r="B878" s="8" t="s">
        <v>1899</v>
      </c>
      <c r="C878" s="8" t="s">
        <v>21</v>
      </c>
      <c r="K878" s="8">
        <v>4300.0</v>
      </c>
      <c r="N878" s="7">
        <v>44057.0</v>
      </c>
    </row>
    <row r="879">
      <c r="A879" s="8">
        <v>878.0</v>
      </c>
      <c r="B879" s="8" t="s">
        <v>1902</v>
      </c>
      <c r="C879" s="8" t="s">
        <v>21</v>
      </c>
      <c r="N879" s="7">
        <v>42722.0</v>
      </c>
    </row>
    <row r="880">
      <c r="A880" s="8">
        <v>879.0</v>
      </c>
      <c r="B880" s="8" t="s">
        <v>1903</v>
      </c>
      <c r="C880" s="8" t="s">
        <v>21</v>
      </c>
      <c r="N880" s="7">
        <v>45394.0</v>
      </c>
    </row>
    <row r="881">
      <c r="A881" s="8">
        <v>880.0</v>
      </c>
      <c r="B881" s="8" t="s">
        <v>1904</v>
      </c>
      <c r="C881" s="8" t="s">
        <v>21</v>
      </c>
      <c r="K881" s="8">
        <v>150.0</v>
      </c>
      <c r="N881" s="7">
        <v>45225.0</v>
      </c>
    </row>
    <row r="882">
      <c r="A882" s="8">
        <v>881.0</v>
      </c>
      <c r="B882" s="8" t="s">
        <v>1905</v>
      </c>
      <c r="C882" s="8" t="s">
        <v>21</v>
      </c>
      <c r="K882" s="8">
        <v>70.0</v>
      </c>
      <c r="N882" s="7">
        <v>44080.0</v>
      </c>
    </row>
    <row r="883">
      <c r="A883" s="8">
        <v>882.0</v>
      </c>
      <c r="B883" s="8" t="s">
        <v>1906</v>
      </c>
      <c r="C883" s="8" t="s">
        <v>21</v>
      </c>
      <c r="K883" s="8">
        <v>11000.0</v>
      </c>
      <c r="N883" s="7">
        <v>44004.0</v>
      </c>
    </row>
    <row r="884">
      <c r="A884" s="8">
        <v>883.0</v>
      </c>
      <c r="B884" s="8" t="s">
        <v>1908</v>
      </c>
      <c r="C884" s="8" t="s">
        <v>21</v>
      </c>
      <c r="K884" s="8">
        <v>300.0</v>
      </c>
      <c r="N884" s="7">
        <v>45128.0</v>
      </c>
    </row>
    <row r="885">
      <c r="A885" s="8">
        <v>884.0</v>
      </c>
      <c r="B885" s="8" t="s">
        <v>1909</v>
      </c>
      <c r="C885" s="8" t="s">
        <v>21</v>
      </c>
      <c r="K885" s="8">
        <v>1000.0</v>
      </c>
      <c r="N885" s="7">
        <v>43846.0</v>
      </c>
    </row>
    <row r="886">
      <c r="A886" s="8">
        <v>885.0</v>
      </c>
      <c r="B886" s="8" t="s">
        <v>1910</v>
      </c>
      <c r="C886" s="8" t="s">
        <v>21</v>
      </c>
      <c r="K886" s="8">
        <v>2800.0</v>
      </c>
      <c r="N886" s="7">
        <v>44048.0</v>
      </c>
    </row>
    <row r="887">
      <c r="A887" s="8">
        <v>886.0</v>
      </c>
      <c r="B887" s="8" t="s">
        <v>1912</v>
      </c>
      <c r="C887" s="8" t="s">
        <v>21</v>
      </c>
      <c r="K887" s="8">
        <v>10.0</v>
      </c>
      <c r="N887" s="7">
        <v>44384.0</v>
      </c>
    </row>
    <row r="888">
      <c r="A888" s="8">
        <v>887.0</v>
      </c>
      <c r="B888" s="8" t="s">
        <v>1913</v>
      </c>
      <c r="C888" s="8" t="s">
        <v>21</v>
      </c>
      <c r="K888" s="8">
        <v>9900.0</v>
      </c>
      <c r="N888" s="7">
        <v>44930.0</v>
      </c>
    </row>
    <row r="889">
      <c r="A889" s="8">
        <v>888.0</v>
      </c>
      <c r="B889" s="8" t="s">
        <v>61</v>
      </c>
      <c r="C889" s="8" t="s">
        <v>21</v>
      </c>
      <c r="N889" s="7">
        <v>43894.0</v>
      </c>
    </row>
    <row r="890">
      <c r="A890" s="8">
        <v>889.0</v>
      </c>
      <c r="B890" s="8" t="s">
        <v>1915</v>
      </c>
      <c r="C890" s="8" t="s">
        <v>21</v>
      </c>
      <c r="K890" s="8">
        <v>20.0</v>
      </c>
      <c r="N890" s="7">
        <v>45286.0</v>
      </c>
    </row>
    <row r="891">
      <c r="A891" s="8">
        <v>890.0</v>
      </c>
      <c r="B891" s="8" t="s">
        <v>1916</v>
      </c>
      <c r="C891" s="8" t="s">
        <v>21</v>
      </c>
      <c r="K891" s="8">
        <v>10.0</v>
      </c>
      <c r="N891" s="7">
        <v>44080.0</v>
      </c>
    </row>
    <row r="892">
      <c r="A892" s="8">
        <v>891.0</v>
      </c>
      <c r="B892" s="8" t="s">
        <v>1917</v>
      </c>
      <c r="C892" s="8" t="s">
        <v>21</v>
      </c>
      <c r="K892" s="8">
        <v>150.0</v>
      </c>
      <c r="N892" s="7">
        <v>44360.0</v>
      </c>
    </row>
    <row r="893">
      <c r="A893" s="8">
        <v>892.0</v>
      </c>
      <c r="B893" s="8" t="s">
        <v>1918</v>
      </c>
      <c r="C893" s="8" t="s">
        <v>21</v>
      </c>
      <c r="N893" s="7">
        <v>44578.0</v>
      </c>
    </row>
    <row r="894">
      <c r="A894" s="8">
        <v>893.0</v>
      </c>
      <c r="B894" s="8" t="s">
        <v>63</v>
      </c>
      <c r="C894" s="8" t="s">
        <v>21</v>
      </c>
      <c r="K894" s="8">
        <v>40.0</v>
      </c>
      <c r="N894" s="7">
        <v>45037.0</v>
      </c>
    </row>
    <row r="895">
      <c r="A895" s="8">
        <v>894.0</v>
      </c>
      <c r="B895" s="8" t="s">
        <v>1919</v>
      </c>
      <c r="C895" s="8" t="s">
        <v>21</v>
      </c>
      <c r="K895" s="8">
        <v>90.0</v>
      </c>
      <c r="N895" s="7">
        <v>43851.0</v>
      </c>
    </row>
    <row r="896">
      <c r="A896" s="8">
        <v>895.0</v>
      </c>
      <c r="B896" s="8" t="s">
        <v>1920</v>
      </c>
      <c r="C896" s="8" t="s">
        <v>21</v>
      </c>
      <c r="K896" s="8">
        <v>3000.0</v>
      </c>
      <c r="N896" s="7">
        <v>43992.0</v>
      </c>
    </row>
    <row r="897">
      <c r="A897" s="8">
        <v>896.0</v>
      </c>
      <c r="B897" s="8" t="s">
        <v>64</v>
      </c>
      <c r="C897" s="8" t="s">
        <v>21</v>
      </c>
      <c r="K897" s="8">
        <v>200.0</v>
      </c>
      <c r="N897" s="7">
        <v>44166.0</v>
      </c>
    </row>
    <row r="898">
      <c r="A898" s="8">
        <v>897.0</v>
      </c>
      <c r="B898" s="8" t="s">
        <v>1921</v>
      </c>
      <c r="C898" s="8" t="s">
        <v>21</v>
      </c>
      <c r="K898" s="8">
        <v>70.0</v>
      </c>
      <c r="N898" s="7">
        <v>44980.0</v>
      </c>
    </row>
    <row r="899">
      <c r="A899" s="8">
        <v>898.0</v>
      </c>
      <c r="B899" s="8" t="s">
        <v>1922</v>
      </c>
      <c r="C899" s="8" t="s">
        <v>21</v>
      </c>
      <c r="K899" s="8">
        <v>16000.0</v>
      </c>
      <c r="N899" s="7">
        <v>43993.0</v>
      </c>
    </row>
    <row r="900">
      <c r="A900" s="8">
        <v>899.0</v>
      </c>
      <c r="B900" s="8" t="s">
        <v>1924</v>
      </c>
      <c r="C900" s="8" t="s">
        <v>21</v>
      </c>
      <c r="K900" s="8">
        <v>10.0</v>
      </c>
      <c r="N900" s="7">
        <v>44446.0</v>
      </c>
    </row>
    <row r="901">
      <c r="A901" s="8">
        <v>900.0</v>
      </c>
      <c r="B901" s="8" t="s">
        <v>1925</v>
      </c>
      <c r="C901" s="8" t="s">
        <v>21</v>
      </c>
      <c r="K901" s="8">
        <v>150.0</v>
      </c>
      <c r="N901" s="7">
        <v>45314.0</v>
      </c>
    </row>
    <row r="902">
      <c r="A902" s="8">
        <v>901.0</v>
      </c>
      <c r="B902" s="8" t="s">
        <v>1926</v>
      </c>
      <c r="C902" s="8" t="s">
        <v>21</v>
      </c>
      <c r="K902" s="8">
        <v>2900.0</v>
      </c>
      <c r="N902" s="7">
        <v>44542.0</v>
      </c>
    </row>
    <row r="903">
      <c r="A903" s="8">
        <v>902.0</v>
      </c>
      <c r="B903" s="8" t="s">
        <v>1927</v>
      </c>
      <c r="C903" s="8" t="s">
        <v>21</v>
      </c>
      <c r="K903" s="8">
        <v>2800.0</v>
      </c>
      <c r="N903" s="7">
        <v>44390.0</v>
      </c>
    </row>
    <row r="904">
      <c r="A904" s="8">
        <v>903.0</v>
      </c>
      <c r="B904" s="8" t="s">
        <v>163</v>
      </c>
      <c r="C904" s="8" t="s">
        <v>21</v>
      </c>
      <c r="K904" s="8">
        <v>800.0</v>
      </c>
      <c r="N904" s="7">
        <v>44380.0</v>
      </c>
    </row>
    <row r="905">
      <c r="A905" s="8">
        <v>904.0</v>
      </c>
      <c r="B905" s="8" t="s">
        <v>1929</v>
      </c>
      <c r="C905" s="8" t="s">
        <v>21</v>
      </c>
      <c r="K905" s="8">
        <v>80.0</v>
      </c>
      <c r="N905" s="7">
        <v>44827.0</v>
      </c>
    </row>
    <row r="906">
      <c r="A906" s="8">
        <v>905.0</v>
      </c>
      <c r="B906" s="8" t="s">
        <v>1930</v>
      </c>
      <c r="C906" s="8" t="s">
        <v>21</v>
      </c>
      <c r="N906" s="7">
        <v>44418.0</v>
      </c>
    </row>
    <row r="907">
      <c r="A907" s="8">
        <v>906.0</v>
      </c>
      <c r="B907" s="8" t="s">
        <v>1931</v>
      </c>
      <c r="C907" s="8" t="s">
        <v>21</v>
      </c>
      <c r="K907" s="8">
        <v>90.0</v>
      </c>
      <c r="N907" s="7">
        <v>43964.0</v>
      </c>
    </row>
    <row r="908">
      <c r="A908" s="8">
        <v>907.0</v>
      </c>
      <c r="B908" s="8" t="s">
        <v>1932</v>
      </c>
      <c r="C908" s="8" t="s">
        <v>21</v>
      </c>
      <c r="K908" s="8">
        <v>250.0</v>
      </c>
      <c r="N908" s="7">
        <v>45658.0</v>
      </c>
    </row>
    <row r="909">
      <c r="A909" s="8">
        <v>908.0</v>
      </c>
      <c r="B909" s="8" t="s">
        <v>1933</v>
      </c>
      <c r="C909" s="8" t="s">
        <v>21</v>
      </c>
      <c r="K909" s="8">
        <v>40.0</v>
      </c>
      <c r="N909" s="7">
        <v>44875.0</v>
      </c>
    </row>
    <row r="910">
      <c r="A910" s="8">
        <v>909.0</v>
      </c>
      <c r="B910" s="8" t="s">
        <v>1934</v>
      </c>
      <c r="C910" s="8" t="s">
        <v>21</v>
      </c>
      <c r="K910" s="8">
        <v>350.0</v>
      </c>
      <c r="N910" s="7">
        <v>43973.0</v>
      </c>
    </row>
    <row r="911">
      <c r="A911" s="8">
        <v>910.0</v>
      </c>
      <c r="B911" s="8" t="s">
        <v>1936</v>
      </c>
      <c r="C911" s="8" t="s">
        <v>21</v>
      </c>
      <c r="K911" s="8">
        <v>4300.0</v>
      </c>
      <c r="N911" s="7">
        <v>44590.0</v>
      </c>
    </row>
    <row r="912">
      <c r="A912" s="8">
        <v>911.0</v>
      </c>
      <c r="B912" s="8" t="s">
        <v>1937</v>
      </c>
      <c r="C912" s="8" t="s">
        <v>21</v>
      </c>
      <c r="N912" s="7">
        <v>45673.0</v>
      </c>
    </row>
    <row r="913">
      <c r="A913" s="8">
        <v>912.0</v>
      </c>
      <c r="B913" s="8" t="s">
        <v>1939</v>
      </c>
      <c r="C913" s="8" t="s">
        <v>21</v>
      </c>
      <c r="K913" s="8">
        <v>20.0</v>
      </c>
      <c r="N913" s="7">
        <v>44307.0</v>
      </c>
    </row>
    <row r="914">
      <c r="A914" s="8">
        <v>913.0</v>
      </c>
      <c r="B914" s="8" t="s">
        <v>1940</v>
      </c>
      <c r="C914" s="8" t="s">
        <v>21</v>
      </c>
      <c r="K914" s="8">
        <v>150.0</v>
      </c>
      <c r="N914" s="7">
        <v>45380.0</v>
      </c>
    </row>
    <row r="915">
      <c r="A915" s="8">
        <v>914.0</v>
      </c>
      <c r="B915" s="8" t="s">
        <v>1943</v>
      </c>
      <c r="C915" s="8" t="s">
        <v>21</v>
      </c>
      <c r="K915" s="8">
        <v>80.0</v>
      </c>
      <c r="N915" s="7">
        <v>45839.0</v>
      </c>
    </row>
    <row r="916">
      <c r="A916" s="8">
        <v>915.0</v>
      </c>
      <c r="B916" s="8" t="s">
        <v>1944</v>
      </c>
      <c r="C916" s="8" t="s">
        <v>21</v>
      </c>
      <c r="K916" s="8">
        <v>10.0</v>
      </c>
      <c r="N916" s="7">
        <v>44019.0</v>
      </c>
    </row>
    <row r="917">
      <c r="A917" s="8">
        <v>916.0</v>
      </c>
      <c r="B917" s="8" t="s">
        <v>1945</v>
      </c>
      <c r="C917" s="8" t="s">
        <v>21</v>
      </c>
      <c r="K917" s="8">
        <v>5100.0</v>
      </c>
      <c r="N917" s="7">
        <v>44540.0</v>
      </c>
    </row>
    <row r="918">
      <c r="A918" s="8">
        <v>917.0</v>
      </c>
      <c r="B918" s="8" t="s">
        <v>1947</v>
      </c>
      <c r="C918" s="8" t="s">
        <v>21</v>
      </c>
      <c r="N918" s="7">
        <v>44297.0</v>
      </c>
      <c r="O918" s="8" t="s">
        <v>31</v>
      </c>
      <c r="P918" s="8" t="s">
        <v>28</v>
      </c>
      <c r="S918" s="8" t="s">
        <v>32</v>
      </c>
    </row>
    <row r="919">
      <c r="A919" s="8">
        <v>918.0</v>
      </c>
      <c r="B919" s="8" t="s">
        <v>67</v>
      </c>
      <c r="C919" s="8" t="s">
        <v>21</v>
      </c>
      <c r="K919" s="8">
        <v>60.0</v>
      </c>
      <c r="N919" s="7">
        <v>44496.0</v>
      </c>
    </row>
    <row r="920">
      <c r="A920" s="8">
        <v>919.0</v>
      </c>
      <c r="B920" s="8" t="s">
        <v>1951</v>
      </c>
      <c r="C920" s="8" t="s">
        <v>21</v>
      </c>
      <c r="K920" s="8">
        <v>3100.0</v>
      </c>
      <c r="N920" s="7">
        <v>44834.0</v>
      </c>
    </row>
    <row r="921">
      <c r="A921" s="8">
        <v>920.0</v>
      </c>
      <c r="B921" s="8" t="s">
        <v>1953</v>
      </c>
      <c r="C921" s="8" t="s">
        <v>21</v>
      </c>
      <c r="K921" s="8">
        <v>400.0</v>
      </c>
      <c r="N921" s="7">
        <v>44951.0</v>
      </c>
    </row>
    <row r="922">
      <c r="A922" s="8">
        <v>921.0</v>
      </c>
      <c r="B922" s="8" t="s">
        <v>1955</v>
      </c>
      <c r="C922" s="8" t="s">
        <v>21</v>
      </c>
      <c r="K922" s="8">
        <v>10.0</v>
      </c>
      <c r="N922" s="7">
        <v>44413.0</v>
      </c>
    </row>
    <row r="923">
      <c r="A923" s="8">
        <v>922.0</v>
      </c>
      <c r="B923" s="8" t="s">
        <v>1956</v>
      </c>
      <c r="C923" s="8" t="s">
        <v>21</v>
      </c>
      <c r="K923" s="8">
        <v>800.0</v>
      </c>
      <c r="N923" s="7">
        <v>44014.0</v>
      </c>
    </row>
    <row r="924">
      <c r="A924" s="8">
        <v>923.0</v>
      </c>
      <c r="B924" s="8" t="s">
        <v>1957</v>
      </c>
      <c r="C924" s="8" t="s">
        <v>21</v>
      </c>
      <c r="K924" s="8">
        <v>4000.0</v>
      </c>
      <c r="N924" s="7">
        <v>43907.0</v>
      </c>
    </row>
    <row r="925">
      <c r="A925" s="8">
        <v>924.0</v>
      </c>
      <c r="B925" s="8" t="s">
        <v>1958</v>
      </c>
      <c r="C925" s="8" t="s">
        <v>21</v>
      </c>
      <c r="K925" s="8">
        <v>200.0</v>
      </c>
      <c r="N925" s="7">
        <v>45064.0</v>
      </c>
    </row>
    <row r="926">
      <c r="A926" s="8">
        <v>925.0</v>
      </c>
      <c r="B926" s="8" t="s">
        <v>1960</v>
      </c>
      <c r="C926" s="8" t="s">
        <v>21</v>
      </c>
      <c r="K926" s="8">
        <v>200.0</v>
      </c>
      <c r="N926" s="7">
        <v>44144.0</v>
      </c>
    </row>
    <row r="927">
      <c r="A927" s="8">
        <v>926.0</v>
      </c>
      <c r="B927" s="8" t="s">
        <v>167</v>
      </c>
      <c r="C927" s="8" t="s">
        <v>21</v>
      </c>
      <c r="K927" s="8">
        <v>250.0</v>
      </c>
      <c r="N927" s="7">
        <v>44315.0</v>
      </c>
    </row>
    <row r="928">
      <c r="A928" s="8">
        <v>927.0</v>
      </c>
      <c r="B928" s="8" t="s">
        <v>1961</v>
      </c>
      <c r="C928" s="8" t="s">
        <v>21</v>
      </c>
      <c r="N928" s="7">
        <v>44619.0</v>
      </c>
    </row>
    <row r="929">
      <c r="A929" s="8">
        <v>928.0</v>
      </c>
      <c r="B929" s="8" t="s">
        <v>1963</v>
      </c>
      <c r="C929" s="8" t="s">
        <v>21</v>
      </c>
      <c r="K929" s="8">
        <v>100.0</v>
      </c>
      <c r="N929" s="7">
        <v>44223.0</v>
      </c>
    </row>
    <row r="930">
      <c r="A930" s="8">
        <v>929.0</v>
      </c>
      <c r="B930" s="8" t="s">
        <v>1965</v>
      </c>
      <c r="C930" s="8" t="s">
        <v>21</v>
      </c>
      <c r="K930" s="8">
        <v>90.0</v>
      </c>
      <c r="N930" s="7">
        <v>44424.0</v>
      </c>
    </row>
    <row r="931">
      <c r="A931" s="8">
        <v>930.0</v>
      </c>
      <c r="B931" s="8" t="s">
        <v>1966</v>
      </c>
      <c r="C931" s="8" t="s">
        <v>21</v>
      </c>
      <c r="K931" s="8">
        <v>10.0</v>
      </c>
      <c r="N931" s="7">
        <v>43955.0</v>
      </c>
    </row>
    <row r="932">
      <c r="A932" s="8">
        <v>931.0</v>
      </c>
      <c r="B932" s="8" t="s">
        <v>1968</v>
      </c>
      <c r="C932" s="8" t="s">
        <v>21</v>
      </c>
      <c r="K932" s="8">
        <v>50.0</v>
      </c>
      <c r="N932" s="7">
        <v>44730.0</v>
      </c>
    </row>
    <row r="933">
      <c r="A933" s="8">
        <v>932.0</v>
      </c>
      <c r="B933" s="8" t="s">
        <v>1969</v>
      </c>
      <c r="C933" s="8" t="s">
        <v>21</v>
      </c>
      <c r="K933" s="8">
        <v>10.0</v>
      </c>
      <c r="N933" s="7">
        <v>45651.0</v>
      </c>
    </row>
    <row r="934">
      <c r="A934" s="8">
        <v>933.0</v>
      </c>
      <c r="B934" s="8" t="s">
        <v>1971</v>
      </c>
      <c r="C934" s="8" t="s">
        <v>21</v>
      </c>
      <c r="N934" s="7">
        <v>44871.0</v>
      </c>
    </row>
    <row r="935">
      <c r="A935" s="8">
        <v>934.0</v>
      </c>
      <c r="B935" s="8" t="s">
        <v>1972</v>
      </c>
      <c r="C935" s="8" t="s">
        <v>21</v>
      </c>
      <c r="K935" s="8">
        <v>600.0</v>
      </c>
      <c r="N935" s="7">
        <v>44025.0</v>
      </c>
    </row>
    <row r="936">
      <c r="A936" s="8">
        <v>935.0</v>
      </c>
      <c r="B936" s="8" t="s">
        <v>1973</v>
      </c>
      <c r="C936" s="8" t="s">
        <v>21</v>
      </c>
      <c r="N936" s="7">
        <v>42348.0</v>
      </c>
      <c r="O936" s="8" t="s">
        <v>26</v>
      </c>
      <c r="P936" s="8" t="s">
        <v>28</v>
      </c>
      <c r="S936" s="8" t="s">
        <v>32</v>
      </c>
    </row>
    <row r="937">
      <c r="A937" s="8">
        <v>936.0</v>
      </c>
      <c r="B937" s="8" t="s">
        <v>1975</v>
      </c>
      <c r="C937" s="8" t="s">
        <v>21</v>
      </c>
      <c r="N937" s="7">
        <v>44092.0</v>
      </c>
    </row>
    <row r="938">
      <c r="A938" s="8">
        <v>937.0</v>
      </c>
      <c r="B938" s="8" t="s">
        <v>1977</v>
      </c>
      <c r="C938" s="8" t="s">
        <v>21</v>
      </c>
      <c r="K938" s="8">
        <v>700.0</v>
      </c>
      <c r="N938" s="7">
        <v>44276.0</v>
      </c>
    </row>
    <row r="939">
      <c r="A939" s="8">
        <v>938.0</v>
      </c>
      <c r="B939" s="8" t="s">
        <v>1978</v>
      </c>
      <c r="C939" s="8" t="s">
        <v>21</v>
      </c>
      <c r="K939" s="8">
        <v>90.0</v>
      </c>
      <c r="N939" s="7">
        <v>45226.0</v>
      </c>
    </row>
    <row r="940">
      <c r="A940" s="8">
        <v>939.0</v>
      </c>
      <c r="B940" s="8" t="s">
        <v>1980</v>
      </c>
      <c r="C940" s="8" t="s">
        <v>21</v>
      </c>
      <c r="K940" s="8">
        <v>600.0</v>
      </c>
      <c r="N940" s="7">
        <v>44896.0</v>
      </c>
    </row>
    <row r="941">
      <c r="A941" s="8">
        <v>940.0</v>
      </c>
      <c r="B941" s="8" t="s">
        <v>1981</v>
      </c>
      <c r="C941" s="8" t="s">
        <v>21</v>
      </c>
      <c r="K941" s="8">
        <v>200.0</v>
      </c>
      <c r="N941" s="7">
        <v>45109.0</v>
      </c>
    </row>
    <row r="942">
      <c r="A942" s="8">
        <v>941.0</v>
      </c>
      <c r="B942" s="8" t="s">
        <v>1983</v>
      </c>
      <c r="C942" s="8" t="s">
        <v>21</v>
      </c>
      <c r="K942" s="8">
        <v>400.0</v>
      </c>
      <c r="N942" s="7">
        <v>44273.0</v>
      </c>
    </row>
    <row r="943">
      <c r="A943" s="8">
        <v>942.0</v>
      </c>
      <c r="B943" s="8" t="s">
        <v>1985</v>
      </c>
      <c r="C943" s="8" t="s">
        <v>21</v>
      </c>
      <c r="K943" s="8">
        <v>150.0</v>
      </c>
      <c r="N943" s="7">
        <v>44907.0</v>
      </c>
    </row>
    <row r="944">
      <c r="A944" s="8">
        <v>943.0</v>
      </c>
      <c r="B944" s="8" t="s">
        <v>1987</v>
      </c>
      <c r="C944" s="8" t="s">
        <v>21</v>
      </c>
      <c r="K944" s="8">
        <v>10.0</v>
      </c>
      <c r="N944" s="7">
        <v>45209.0</v>
      </c>
    </row>
    <row r="945">
      <c r="A945" s="8">
        <v>944.0</v>
      </c>
      <c r="B945" s="8" t="s">
        <v>1989</v>
      </c>
      <c r="C945" s="8" t="s">
        <v>21</v>
      </c>
      <c r="K945" s="8">
        <v>500.0</v>
      </c>
      <c r="N945" s="7">
        <v>45101.0</v>
      </c>
    </row>
    <row r="946">
      <c r="A946" s="8">
        <v>945.0</v>
      </c>
      <c r="B946" s="8" t="s">
        <v>1990</v>
      </c>
      <c r="C946" s="8" t="s">
        <v>21</v>
      </c>
      <c r="K946" s="8">
        <v>16000.0</v>
      </c>
      <c r="N946" s="7">
        <v>44660.0</v>
      </c>
    </row>
    <row r="947">
      <c r="A947" s="8">
        <v>946.0</v>
      </c>
      <c r="B947" s="8" t="s">
        <v>1992</v>
      </c>
      <c r="C947" s="8" t="s">
        <v>21</v>
      </c>
      <c r="K947" s="8">
        <v>100.0</v>
      </c>
      <c r="N947" s="7">
        <v>44083.0</v>
      </c>
    </row>
    <row r="948">
      <c r="A948" s="8">
        <v>947.0</v>
      </c>
      <c r="B948" s="8" t="s">
        <v>1994</v>
      </c>
      <c r="C948" s="8" t="s">
        <v>21</v>
      </c>
      <c r="K948" s="8">
        <v>40.0</v>
      </c>
      <c r="N948" s="7">
        <v>44104.0</v>
      </c>
    </row>
    <row r="949">
      <c r="A949" s="8">
        <v>948.0</v>
      </c>
      <c r="B949" s="8" t="s">
        <v>1995</v>
      </c>
      <c r="C949" s="8" t="s">
        <v>21</v>
      </c>
      <c r="K949" s="8">
        <v>6200.0</v>
      </c>
      <c r="N949" s="7">
        <v>44467.0</v>
      </c>
    </row>
    <row r="950">
      <c r="A950" s="8">
        <v>949.0</v>
      </c>
      <c r="B950" s="8" t="s">
        <v>1997</v>
      </c>
      <c r="C950" s="8" t="s">
        <v>21</v>
      </c>
      <c r="K950" s="8">
        <v>600.0</v>
      </c>
      <c r="N950" s="7">
        <v>44567.0</v>
      </c>
    </row>
    <row r="951">
      <c r="A951" s="8">
        <v>950.0</v>
      </c>
      <c r="B951" s="8" t="s">
        <v>1998</v>
      </c>
      <c r="C951" s="8" t="s">
        <v>21</v>
      </c>
      <c r="K951" s="8">
        <v>50.0</v>
      </c>
      <c r="N951" s="7">
        <v>44337.0</v>
      </c>
    </row>
    <row r="952">
      <c r="A952" s="8">
        <v>951.0</v>
      </c>
      <c r="B952" s="8" t="s">
        <v>1999</v>
      </c>
      <c r="C952" s="8" t="s">
        <v>21</v>
      </c>
      <c r="K952" s="8">
        <v>100.0</v>
      </c>
      <c r="N952" s="7">
        <v>44771.0</v>
      </c>
    </row>
    <row r="953">
      <c r="A953" s="8">
        <v>952.0</v>
      </c>
      <c r="B953" s="8" t="s">
        <v>2001</v>
      </c>
      <c r="C953" s="8" t="s">
        <v>21</v>
      </c>
      <c r="K953" s="8">
        <v>500.0</v>
      </c>
      <c r="N953" s="7">
        <v>44095.0</v>
      </c>
    </row>
    <row r="954">
      <c r="A954" s="8">
        <v>953.0</v>
      </c>
      <c r="B954" s="8" t="s">
        <v>2002</v>
      </c>
      <c r="C954" s="8" t="s">
        <v>21</v>
      </c>
      <c r="N954" s="7">
        <v>45115.0</v>
      </c>
    </row>
    <row r="955">
      <c r="A955" s="8">
        <v>954.0</v>
      </c>
      <c r="B955" s="8" t="s">
        <v>2004</v>
      </c>
      <c r="C955" s="8" t="s">
        <v>21</v>
      </c>
      <c r="K955" s="8">
        <v>12000.0</v>
      </c>
      <c r="N955" s="7">
        <v>44479.0</v>
      </c>
    </row>
    <row r="956">
      <c r="A956" s="8">
        <v>955.0</v>
      </c>
      <c r="B956" s="8" t="s">
        <v>2005</v>
      </c>
      <c r="C956" s="8" t="s">
        <v>21</v>
      </c>
      <c r="D956" s="8">
        <v>70.0</v>
      </c>
      <c r="H956" s="8" t="s">
        <v>406</v>
      </c>
      <c r="I956" s="9">
        <v>46160.84019675926</v>
      </c>
      <c r="K956" s="8">
        <v>150.0</v>
      </c>
      <c r="L956" s="8">
        <v>10.0</v>
      </c>
      <c r="M956" s="8">
        <v>500.0</v>
      </c>
      <c r="N956" s="7">
        <v>43886.0</v>
      </c>
      <c r="O956" s="8" t="s">
        <v>147</v>
      </c>
      <c r="P956" s="8" t="s">
        <v>28</v>
      </c>
      <c r="S956" s="8" t="s">
        <v>32</v>
      </c>
    </row>
    <row r="957">
      <c r="A957" s="8">
        <v>956.0</v>
      </c>
      <c r="B957" s="8" t="s">
        <v>2007</v>
      </c>
      <c r="C957" s="8" t="s">
        <v>21</v>
      </c>
      <c r="N957" s="7">
        <v>45481.0</v>
      </c>
    </row>
    <row r="958">
      <c r="A958" s="8">
        <v>957.0</v>
      </c>
      <c r="B958" s="8" t="s">
        <v>2008</v>
      </c>
      <c r="C958" s="8" t="s">
        <v>21</v>
      </c>
      <c r="N958" s="7">
        <v>42302.0</v>
      </c>
      <c r="O958" s="8" t="s">
        <v>1754</v>
      </c>
      <c r="P958" s="8" t="s">
        <v>28</v>
      </c>
      <c r="S958" s="8" t="s">
        <v>32</v>
      </c>
    </row>
    <row r="959">
      <c r="A959" s="8">
        <v>958.0</v>
      </c>
      <c r="B959" s="8" t="s">
        <v>2010</v>
      </c>
      <c r="C959" s="8" t="s">
        <v>21</v>
      </c>
      <c r="K959" s="8">
        <v>3800.0</v>
      </c>
      <c r="N959" s="7">
        <v>44480.0</v>
      </c>
    </row>
    <row r="960">
      <c r="A960" s="8">
        <v>959.0</v>
      </c>
      <c r="B960" s="8" t="s">
        <v>2011</v>
      </c>
      <c r="C960" s="8" t="s">
        <v>21</v>
      </c>
      <c r="K960" s="8">
        <v>80.0</v>
      </c>
      <c r="N960" s="7">
        <v>43884.0</v>
      </c>
    </row>
    <row r="961">
      <c r="A961" s="8">
        <v>960.0</v>
      </c>
      <c r="B961" s="8" t="s">
        <v>2013</v>
      </c>
      <c r="C961" s="8" t="s">
        <v>21</v>
      </c>
      <c r="K961" s="8">
        <v>1000.0</v>
      </c>
      <c r="N961" s="7">
        <v>43024.0</v>
      </c>
      <c r="O961" s="8" t="s">
        <v>26</v>
      </c>
      <c r="P961" s="8" t="s">
        <v>28</v>
      </c>
      <c r="S961" s="8" t="s">
        <v>32</v>
      </c>
    </row>
    <row r="962">
      <c r="A962" s="8">
        <v>961.0</v>
      </c>
      <c r="B962" s="8" t="s">
        <v>2015</v>
      </c>
      <c r="C962" s="8" t="s">
        <v>21</v>
      </c>
      <c r="K962" s="8">
        <v>1200.0</v>
      </c>
      <c r="N962" s="7">
        <v>44203.0</v>
      </c>
    </row>
    <row r="963">
      <c r="A963" s="8">
        <v>962.0</v>
      </c>
      <c r="B963" s="8" t="s">
        <v>2016</v>
      </c>
      <c r="C963" s="8" t="s">
        <v>21</v>
      </c>
      <c r="K963" s="8">
        <v>200.0</v>
      </c>
      <c r="N963" s="7">
        <v>44841.0</v>
      </c>
    </row>
    <row r="964">
      <c r="A964" s="8">
        <v>963.0</v>
      </c>
      <c r="B964" s="8" t="s">
        <v>2018</v>
      </c>
      <c r="C964" s="8" t="s">
        <v>21</v>
      </c>
      <c r="K964" s="8">
        <v>20.0</v>
      </c>
      <c r="N964" s="7">
        <v>43904.0</v>
      </c>
      <c r="O964" s="8" t="s">
        <v>147</v>
      </c>
      <c r="P964" s="8" t="s">
        <v>28</v>
      </c>
      <c r="S964" s="8" t="s">
        <v>32</v>
      </c>
    </row>
    <row r="965">
      <c r="A965" s="8">
        <v>964.0</v>
      </c>
      <c r="B965" s="8" t="s">
        <v>2021</v>
      </c>
      <c r="C965" s="8" t="s">
        <v>21</v>
      </c>
      <c r="K965" s="8">
        <v>1200.0</v>
      </c>
      <c r="N965" s="7">
        <v>44079.0</v>
      </c>
    </row>
    <row r="966">
      <c r="A966" s="8">
        <v>965.0</v>
      </c>
      <c r="B966" s="8" t="s">
        <v>170</v>
      </c>
      <c r="C966" s="8" t="s">
        <v>21</v>
      </c>
      <c r="K966" s="8">
        <v>250.0</v>
      </c>
      <c r="N966" s="7">
        <v>44759.0</v>
      </c>
    </row>
    <row r="967">
      <c r="A967" s="8">
        <v>966.0</v>
      </c>
      <c r="B967" s="8" t="s">
        <v>2023</v>
      </c>
      <c r="C967" s="8" t="s">
        <v>21</v>
      </c>
      <c r="N967" s="7">
        <v>45046.0</v>
      </c>
    </row>
    <row r="968">
      <c r="A968" s="8">
        <v>967.0</v>
      </c>
      <c r="B968" s="8" t="s">
        <v>2025</v>
      </c>
      <c r="C968" s="8" t="s">
        <v>21</v>
      </c>
      <c r="K968" s="8">
        <v>150.0</v>
      </c>
      <c r="N968" s="7">
        <v>44523.0</v>
      </c>
    </row>
    <row r="969">
      <c r="A969" s="8">
        <v>968.0</v>
      </c>
      <c r="B969" s="8" t="s">
        <v>2027</v>
      </c>
      <c r="C969" s="8" t="s">
        <v>21</v>
      </c>
      <c r="K969" s="8">
        <v>10.0</v>
      </c>
      <c r="N969" s="7">
        <v>44982.0</v>
      </c>
    </row>
    <row r="970">
      <c r="A970" s="8">
        <v>969.0</v>
      </c>
      <c r="B970" s="8" t="s">
        <v>2029</v>
      </c>
      <c r="C970" s="8" t="s">
        <v>21</v>
      </c>
      <c r="K970" s="8">
        <v>1600.0</v>
      </c>
      <c r="N970" s="7">
        <v>45138.0</v>
      </c>
    </row>
    <row r="971">
      <c r="A971" s="8">
        <v>970.0</v>
      </c>
      <c r="B971" s="8" t="s">
        <v>2030</v>
      </c>
      <c r="C971" s="8" t="s">
        <v>21</v>
      </c>
      <c r="K971" s="8">
        <v>70.0</v>
      </c>
      <c r="N971" s="7">
        <v>45624.0</v>
      </c>
    </row>
    <row r="972">
      <c r="A972" s="8">
        <v>971.0</v>
      </c>
      <c r="B972" s="8" t="s">
        <v>2031</v>
      </c>
      <c r="C972" s="8" t="s">
        <v>21</v>
      </c>
      <c r="K972" s="8">
        <v>30.0</v>
      </c>
      <c r="N972" s="7">
        <v>44080.0</v>
      </c>
    </row>
    <row r="973">
      <c r="A973" s="8">
        <v>972.0</v>
      </c>
      <c r="B973" s="8" t="s">
        <v>2033</v>
      </c>
      <c r="C973" s="8" t="s">
        <v>21</v>
      </c>
      <c r="K973" s="8">
        <v>1700.0</v>
      </c>
      <c r="N973" s="7">
        <v>44903.0</v>
      </c>
    </row>
    <row r="974">
      <c r="A974" s="8">
        <v>973.0</v>
      </c>
      <c r="B974" s="8" t="s">
        <v>2034</v>
      </c>
      <c r="C974" s="8" t="s">
        <v>21</v>
      </c>
      <c r="K974" s="8">
        <v>350.0</v>
      </c>
      <c r="N974" s="7">
        <v>45324.0</v>
      </c>
    </row>
    <row r="975">
      <c r="A975" s="8">
        <v>974.0</v>
      </c>
      <c r="B975" s="8" t="s">
        <v>2035</v>
      </c>
      <c r="C975" s="8" t="s">
        <v>21</v>
      </c>
      <c r="K975" s="8">
        <v>9200.0</v>
      </c>
      <c r="N975" s="7">
        <v>44439.0</v>
      </c>
    </row>
    <row r="976">
      <c r="A976" s="8">
        <v>975.0</v>
      </c>
      <c r="B976" s="8" t="s">
        <v>2036</v>
      </c>
      <c r="C976" s="8" t="s">
        <v>21</v>
      </c>
      <c r="K976" s="8">
        <v>150.0</v>
      </c>
      <c r="N976" s="7">
        <v>44009.0</v>
      </c>
    </row>
    <row r="977">
      <c r="A977" s="8">
        <v>976.0</v>
      </c>
      <c r="B977" s="8" t="s">
        <v>2037</v>
      </c>
      <c r="C977" s="8" t="s">
        <v>21</v>
      </c>
      <c r="K977" s="8">
        <v>150.0</v>
      </c>
      <c r="N977" s="7">
        <v>44456.0</v>
      </c>
    </row>
    <row r="978">
      <c r="A978" s="8">
        <v>977.0</v>
      </c>
      <c r="B978" s="8" t="s">
        <v>2039</v>
      </c>
      <c r="C978" s="8" t="s">
        <v>21</v>
      </c>
      <c r="K978" s="8">
        <v>20.0</v>
      </c>
      <c r="N978" s="7">
        <v>44363.0</v>
      </c>
    </row>
    <row r="979">
      <c r="A979" s="8">
        <v>978.0</v>
      </c>
      <c r="B979" s="8" t="s">
        <v>2040</v>
      </c>
      <c r="C979" s="8" t="s">
        <v>21</v>
      </c>
      <c r="K979" s="8">
        <v>10.0</v>
      </c>
      <c r="N979" s="7">
        <v>43875.0</v>
      </c>
    </row>
    <row r="980">
      <c r="A980" s="8">
        <v>979.0</v>
      </c>
      <c r="B980" s="8" t="s">
        <v>2042</v>
      </c>
      <c r="C980" s="8" t="s">
        <v>21</v>
      </c>
      <c r="K980" s="8">
        <v>70.0</v>
      </c>
      <c r="N980" s="7">
        <v>44262.0</v>
      </c>
    </row>
    <row r="981">
      <c r="A981" s="8">
        <v>980.0</v>
      </c>
      <c r="B981" s="8" t="s">
        <v>2043</v>
      </c>
      <c r="C981" s="8" t="s">
        <v>21</v>
      </c>
      <c r="K981" s="8">
        <v>100.0</v>
      </c>
      <c r="N981" s="7">
        <v>44236.0</v>
      </c>
    </row>
    <row r="982">
      <c r="A982" s="8">
        <v>981.0</v>
      </c>
      <c r="B982" s="8" t="s">
        <v>2044</v>
      </c>
      <c r="C982" s="8" t="s">
        <v>21</v>
      </c>
      <c r="K982" s="8">
        <v>600.0</v>
      </c>
      <c r="N982" s="7">
        <v>44564.0</v>
      </c>
    </row>
    <row r="983">
      <c r="A983" s="8">
        <v>982.0</v>
      </c>
      <c r="B983" s="8" t="s">
        <v>2045</v>
      </c>
      <c r="C983" s="8" t="s">
        <v>21</v>
      </c>
      <c r="N983" s="7">
        <v>45655.0</v>
      </c>
    </row>
    <row r="984">
      <c r="A984" s="8">
        <v>983.0</v>
      </c>
      <c r="B984" s="8" t="s">
        <v>2047</v>
      </c>
      <c r="C984" s="8" t="s">
        <v>21</v>
      </c>
      <c r="N984" s="7">
        <v>44573.0</v>
      </c>
    </row>
    <row r="985">
      <c r="A985" s="8">
        <v>984.0</v>
      </c>
      <c r="B985" s="8" t="s">
        <v>2049</v>
      </c>
      <c r="C985" s="8" t="s">
        <v>21</v>
      </c>
      <c r="K985" s="8">
        <v>600.0</v>
      </c>
      <c r="N985" s="7">
        <v>45269.0</v>
      </c>
    </row>
    <row r="986">
      <c r="A986" s="8">
        <v>985.0</v>
      </c>
      <c r="B986" s="8" t="s">
        <v>2050</v>
      </c>
      <c r="C986" s="8" t="s">
        <v>21</v>
      </c>
      <c r="N986" s="7">
        <v>45171.0</v>
      </c>
    </row>
    <row r="987">
      <c r="A987" s="8">
        <v>986.0</v>
      </c>
      <c r="B987" s="8" t="s">
        <v>2052</v>
      </c>
      <c r="C987" s="8" t="s">
        <v>21</v>
      </c>
      <c r="K987" s="8">
        <v>150.0</v>
      </c>
      <c r="N987" s="7">
        <v>44585.0</v>
      </c>
    </row>
    <row r="988">
      <c r="A988" s="8">
        <v>987.0</v>
      </c>
      <c r="B988" s="8" t="s">
        <v>2053</v>
      </c>
      <c r="C988" s="8" t="s">
        <v>21</v>
      </c>
      <c r="K988" s="8">
        <v>80.0</v>
      </c>
      <c r="N988" s="7">
        <v>45974.0</v>
      </c>
    </row>
    <row r="989">
      <c r="A989" s="8">
        <v>988.0</v>
      </c>
      <c r="B989" s="8" t="s">
        <v>2054</v>
      </c>
      <c r="C989" s="8" t="s">
        <v>21</v>
      </c>
      <c r="K989" s="8">
        <v>20.0</v>
      </c>
      <c r="N989" s="7">
        <v>44615.0</v>
      </c>
    </row>
    <row r="990">
      <c r="A990" s="8">
        <v>989.0</v>
      </c>
      <c r="B990" s="8" t="s">
        <v>2056</v>
      </c>
      <c r="C990" s="8" t="s">
        <v>21</v>
      </c>
      <c r="K990" s="8">
        <v>450.0</v>
      </c>
      <c r="N990" s="7">
        <v>45824.0</v>
      </c>
    </row>
    <row r="991">
      <c r="A991" s="8">
        <v>990.0</v>
      </c>
      <c r="B991" s="8" t="s">
        <v>2057</v>
      </c>
      <c r="C991" s="8" t="s">
        <v>21</v>
      </c>
      <c r="N991" s="7">
        <v>43972.0</v>
      </c>
    </row>
    <row r="992">
      <c r="A992" s="8">
        <v>991.0</v>
      </c>
      <c r="B992" s="8" t="s">
        <v>2058</v>
      </c>
      <c r="C992" s="8" t="s">
        <v>21</v>
      </c>
      <c r="K992" s="8">
        <v>50.0</v>
      </c>
      <c r="N992" s="7">
        <v>43978.0</v>
      </c>
    </row>
    <row r="993">
      <c r="A993" s="8">
        <v>992.0</v>
      </c>
      <c r="B993" s="8" t="s">
        <v>2060</v>
      </c>
      <c r="C993" s="8" t="s">
        <v>21</v>
      </c>
      <c r="N993" s="7">
        <v>44216.0</v>
      </c>
    </row>
    <row r="994">
      <c r="A994" s="8">
        <v>993.0</v>
      </c>
      <c r="B994" s="8" t="s">
        <v>69</v>
      </c>
      <c r="C994" s="8" t="s">
        <v>21</v>
      </c>
      <c r="K994" s="8">
        <v>20.0</v>
      </c>
      <c r="N994" s="7">
        <v>45060.0</v>
      </c>
    </row>
    <row r="995">
      <c r="A995" s="8">
        <v>994.0</v>
      </c>
      <c r="B995" s="8" t="s">
        <v>2061</v>
      </c>
      <c r="C995" s="8" t="s">
        <v>21</v>
      </c>
      <c r="N995" s="7">
        <v>44416.0</v>
      </c>
    </row>
    <row r="996">
      <c r="A996" s="8">
        <v>995.0</v>
      </c>
      <c r="B996" s="8" t="s">
        <v>2062</v>
      </c>
      <c r="C996" s="8" t="s">
        <v>21</v>
      </c>
      <c r="K996" s="8">
        <v>300.0</v>
      </c>
      <c r="N996" s="7">
        <v>44955.0</v>
      </c>
    </row>
    <row r="997">
      <c r="A997" s="8">
        <v>996.0</v>
      </c>
      <c r="B997" s="8" t="s">
        <v>2064</v>
      </c>
      <c r="C997" s="8" t="s">
        <v>21</v>
      </c>
      <c r="K997" s="8">
        <v>10.0</v>
      </c>
      <c r="N997" s="7">
        <v>44923.0</v>
      </c>
    </row>
    <row r="998">
      <c r="A998" s="8">
        <v>997.0</v>
      </c>
      <c r="B998" s="8" t="s">
        <v>2065</v>
      </c>
      <c r="C998" s="8" t="s">
        <v>21</v>
      </c>
      <c r="K998" s="8">
        <v>100.0</v>
      </c>
      <c r="N998" s="7">
        <v>42277.0</v>
      </c>
    </row>
    <row r="999">
      <c r="A999" s="8">
        <v>998.0</v>
      </c>
      <c r="B999" s="8" t="s">
        <v>2066</v>
      </c>
      <c r="C999" s="8" t="s">
        <v>21</v>
      </c>
      <c r="K999" s="8">
        <v>900.0</v>
      </c>
      <c r="N999" s="7">
        <v>44554.0</v>
      </c>
    </row>
    <row r="1000">
      <c r="A1000" s="8">
        <v>999.0</v>
      </c>
      <c r="B1000" s="8" t="s">
        <v>2067</v>
      </c>
      <c r="C1000" s="8" t="s">
        <v>21</v>
      </c>
      <c r="N1000" s="7">
        <v>44671.0</v>
      </c>
    </row>
    <row r="1001">
      <c r="A1001" s="8">
        <v>1000.0</v>
      </c>
      <c r="B1001" s="8" t="s">
        <v>2068</v>
      </c>
      <c r="C1001" s="8" t="s">
        <v>21</v>
      </c>
      <c r="K1001" s="8">
        <v>1200.0</v>
      </c>
      <c r="N1001" s="7">
        <v>43297.0</v>
      </c>
    </row>
    <row r="1002">
      <c r="A1002" s="8">
        <v>1001.0</v>
      </c>
      <c r="B1002" s="8" t="s">
        <v>70</v>
      </c>
      <c r="C1002" s="8" t="s">
        <v>21</v>
      </c>
      <c r="K1002" s="8">
        <v>60.0</v>
      </c>
      <c r="N1002" s="7">
        <v>44159.0</v>
      </c>
    </row>
    <row r="1003">
      <c r="A1003" s="8">
        <v>1002.0</v>
      </c>
      <c r="B1003" s="8" t="s">
        <v>2070</v>
      </c>
      <c r="C1003" s="8" t="s">
        <v>21</v>
      </c>
      <c r="K1003" s="8">
        <v>250.0</v>
      </c>
      <c r="N1003" s="7">
        <v>44670.0</v>
      </c>
    </row>
    <row r="1004">
      <c r="A1004" s="8">
        <v>1003.0</v>
      </c>
      <c r="B1004" s="8" t="s">
        <v>2071</v>
      </c>
      <c r="C1004" s="8" t="s">
        <v>21</v>
      </c>
      <c r="K1004" s="8">
        <v>100.0</v>
      </c>
      <c r="N1004" s="7">
        <v>43968.0</v>
      </c>
    </row>
    <row r="1005">
      <c r="A1005" s="8">
        <v>1004.0</v>
      </c>
      <c r="B1005" s="8" t="s">
        <v>2072</v>
      </c>
      <c r="C1005" s="8" t="s">
        <v>21</v>
      </c>
      <c r="K1005" s="8">
        <v>30.0</v>
      </c>
      <c r="N1005" s="7">
        <v>44478.0</v>
      </c>
    </row>
    <row r="1006">
      <c r="A1006" s="8">
        <v>1005.0</v>
      </c>
      <c r="B1006" s="8" t="s">
        <v>71</v>
      </c>
      <c r="C1006" s="8" t="s">
        <v>21</v>
      </c>
      <c r="K1006" s="8">
        <v>70.0</v>
      </c>
      <c r="N1006" s="7">
        <v>44482.0</v>
      </c>
    </row>
    <row r="1007">
      <c r="A1007" s="8">
        <v>1006.0</v>
      </c>
      <c r="B1007" s="8" t="s">
        <v>2075</v>
      </c>
      <c r="C1007" s="8" t="s">
        <v>21</v>
      </c>
      <c r="K1007" s="8">
        <v>50.0</v>
      </c>
      <c r="N1007" s="7">
        <v>44774.0</v>
      </c>
    </row>
    <row r="1008">
      <c r="A1008" s="8">
        <v>1007.0</v>
      </c>
      <c r="B1008" s="8" t="s">
        <v>2077</v>
      </c>
      <c r="C1008" s="8" t="s">
        <v>21</v>
      </c>
      <c r="K1008" s="8">
        <v>250.0</v>
      </c>
      <c r="N1008" s="7">
        <v>44553.0</v>
      </c>
    </row>
    <row r="1009">
      <c r="A1009" s="8">
        <v>1008.0</v>
      </c>
      <c r="B1009" s="8" t="s">
        <v>2078</v>
      </c>
      <c r="C1009" s="8" t="s">
        <v>21</v>
      </c>
      <c r="K1009" s="8">
        <v>500.0</v>
      </c>
      <c r="N1009" s="7">
        <v>43962.0</v>
      </c>
    </row>
    <row r="1010">
      <c r="A1010" s="8">
        <v>1009.0</v>
      </c>
      <c r="B1010" s="8" t="s">
        <v>72</v>
      </c>
      <c r="C1010" s="8" t="s">
        <v>21</v>
      </c>
      <c r="N1010" s="7">
        <v>44904.0</v>
      </c>
    </row>
    <row r="1011">
      <c r="A1011" s="8">
        <v>1010.0</v>
      </c>
      <c r="B1011" s="8" t="s">
        <v>2080</v>
      </c>
      <c r="C1011" s="8" t="s">
        <v>21</v>
      </c>
      <c r="N1011" s="7">
        <v>45873.0</v>
      </c>
    </row>
    <row r="1012">
      <c r="A1012" s="8">
        <v>1011.0</v>
      </c>
      <c r="B1012" s="8" t="s">
        <v>2081</v>
      </c>
      <c r="C1012" s="8" t="s">
        <v>21</v>
      </c>
      <c r="K1012" s="8">
        <v>150.0</v>
      </c>
      <c r="N1012" s="7">
        <v>44224.0</v>
      </c>
    </row>
    <row r="1013">
      <c r="A1013" s="8">
        <v>1012.0</v>
      </c>
      <c r="B1013" s="8" t="s">
        <v>2082</v>
      </c>
      <c r="C1013" s="8" t="s">
        <v>21</v>
      </c>
      <c r="K1013" s="8">
        <v>40.0</v>
      </c>
      <c r="N1013" s="7">
        <v>42551.0</v>
      </c>
    </row>
    <row r="1014">
      <c r="A1014" s="8">
        <v>1013.0</v>
      </c>
      <c r="B1014" s="8" t="s">
        <v>2083</v>
      </c>
      <c r="C1014" s="8" t="s">
        <v>21</v>
      </c>
      <c r="K1014" s="8">
        <v>60.0</v>
      </c>
      <c r="N1014" s="7">
        <v>45867.0</v>
      </c>
    </row>
    <row r="1015">
      <c r="A1015" s="8">
        <v>1014.0</v>
      </c>
      <c r="B1015" s="8" t="s">
        <v>2084</v>
      </c>
      <c r="C1015" s="8" t="s">
        <v>21</v>
      </c>
      <c r="K1015" s="8">
        <v>10.0</v>
      </c>
      <c r="N1015" s="7">
        <v>44311.0</v>
      </c>
    </row>
    <row r="1016">
      <c r="A1016" s="8">
        <v>1015.0</v>
      </c>
      <c r="B1016" s="8" t="s">
        <v>2085</v>
      </c>
      <c r="C1016" s="8" t="s">
        <v>21</v>
      </c>
      <c r="K1016" s="8">
        <v>100.0</v>
      </c>
      <c r="N1016" s="7">
        <v>45839.0</v>
      </c>
    </row>
    <row r="1017">
      <c r="A1017" s="8">
        <v>1016.0</v>
      </c>
      <c r="B1017" s="8" t="s">
        <v>2086</v>
      </c>
      <c r="C1017" s="8" t="s">
        <v>21</v>
      </c>
      <c r="K1017" s="8">
        <v>500.0</v>
      </c>
      <c r="N1017" s="7">
        <v>46125.0</v>
      </c>
    </row>
    <row r="1018">
      <c r="A1018" s="8">
        <v>1017.0</v>
      </c>
      <c r="B1018" s="8" t="s">
        <v>2087</v>
      </c>
      <c r="C1018" s="8" t="s">
        <v>21</v>
      </c>
      <c r="K1018" s="8">
        <v>1400.0</v>
      </c>
      <c r="N1018" s="7">
        <v>43880.0</v>
      </c>
    </row>
    <row r="1019">
      <c r="A1019" s="8">
        <v>1018.0</v>
      </c>
      <c r="B1019" s="8" t="s">
        <v>2089</v>
      </c>
      <c r="C1019" s="8" t="s">
        <v>21</v>
      </c>
      <c r="N1019" s="7">
        <v>44249.0</v>
      </c>
    </row>
    <row r="1020">
      <c r="A1020" s="8">
        <v>1019.0</v>
      </c>
      <c r="B1020" s="8" t="s">
        <v>2090</v>
      </c>
      <c r="C1020" s="8" t="s">
        <v>21</v>
      </c>
      <c r="N1020" s="7">
        <v>44096.0</v>
      </c>
    </row>
    <row r="1021">
      <c r="A1021" s="8">
        <v>1020.0</v>
      </c>
      <c r="B1021" s="8" t="s">
        <v>2091</v>
      </c>
      <c r="C1021" s="8" t="s">
        <v>21</v>
      </c>
      <c r="K1021" s="8">
        <v>250.0</v>
      </c>
      <c r="N1021" s="7">
        <v>45001.0</v>
      </c>
    </row>
    <row r="1022">
      <c r="A1022" s="8">
        <v>1021.0</v>
      </c>
      <c r="B1022" s="8" t="s">
        <v>2093</v>
      </c>
      <c r="C1022" s="8" t="s">
        <v>21</v>
      </c>
      <c r="K1022" s="8">
        <v>90.0</v>
      </c>
      <c r="N1022" s="7">
        <v>44229.0</v>
      </c>
    </row>
    <row r="1023">
      <c r="A1023" s="8">
        <v>1022.0</v>
      </c>
      <c r="B1023" s="8" t="s">
        <v>174</v>
      </c>
      <c r="C1023" s="8" t="s">
        <v>21</v>
      </c>
      <c r="K1023" s="8">
        <v>121000.0</v>
      </c>
      <c r="N1023" s="7">
        <v>44119.0</v>
      </c>
    </row>
    <row r="1024">
      <c r="A1024" s="8">
        <v>1023.0</v>
      </c>
      <c r="B1024" s="8" t="s">
        <v>2094</v>
      </c>
      <c r="C1024" s="8" t="s">
        <v>21</v>
      </c>
      <c r="N1024" s="7">
        <v>44567.0</v>
      </c>
    </row>
    <row r="1025">
      <c r="A1025" s="8">
        <v>1024.0</v>
      </c>
      <c r="B1025" s="8" t="s">
        <v>2096</v>
      </c>
      <c r="C1025" s="8" t="s">
        <v>21</v>
      </c>
      <c r="K1025" s="8">
        <v>70.0</v>
      </c>
      <c r="N1025" s="7">
        <v>44990.0</v>
      </c>
    </row>
    <row r="1026">
      <c r="A1026" s="8">
        <v>1025.0</v>
      </c>
      <c r="B1026" s="8" t="s">
        <v>2097</v>
      </c>
      <c r="C1026" s="8" t="s">
        <v>21</v>
      </c>
      <c r="N1026" s="7">
        <v>45083.0</v>
      </c>
    </row>
    <row r="1027">
      <c r="A1027" s="8">
        <v>1026.0</v>
      </c>
      <c r="B1027" s="8" t="s">
        <v>2099</v>
      </c>
      <c r="C1027" s="8" t="s">
        <v>21</v>
      </c>
      <c r="N1027" s="7">
        <v>44418.0</v>
      </c>
    </row>
    <row r="1028">
      <c r="A1028" s="8">
        <v>1027.0</v>
      </c>
      <c r="B1028" s="8" t="s">
        <v>2100</v>
      </c>
      <c r="C1028" s="8" t="s">
        <v>21</v>
      </c>
      <c r="K1028" s="8">
        <v>450.0</v>
      </c>
      <c r="N1028" s="7">
        <v>45105.0</v>
      </c>
    </row>
    <row r="1029">
      <c r="A1029" s="8">
        <v>1028.0</v>
      </c>
      <c r="B1029" s="8" t="s">
        <v>2102</v>
      </c>
      <c r="C1029" s="8" t="s">
        <v>21</v>
      </c>
      <c r="K1029" s="8">
        <v>100.0</v>
      </c>
      <c r="N1029" s="7">
        <v>42248.0</v>
      </c>
    </row>
    <row r="1030">
      <c r="A1030" s="8">
        <v>1029.0</v>
      </c>
      <c r="B1030" s="8" t="s">
        <v>2103</v>
      </c>
      <c r="C1030" s="8" t="s">
        <v>21</v>
      </c>
      <c r="K1030" s="8">
        <v>200.0</v>
      </c>
      <c r="N1030" s="7">
        <v>43870.0</v>
      </c>
    </row>
    <row r="1031">
      <c r="A1031" s="8">
        <v>1030.0</v>
      </c>
      <c r="B1031" s="8" t="s">
        <v>2104</v>
      </c>
      <c r="C1031" s="8" t="s">
        <v>21</v>
      </c>
      <c r="N1031" s="7">
        <v>44300.0</v>
      </c>
    </row>
    <row r="1032">
      <c r="A1032" s="8">
        <v>1031.0</v>
      </c>
      <c r="B1032" s="8" t="s">
        <v>2105</v>
      </c>
      <c r="C1032" s="8" t="s">
        <v>21</v>
      </c>
      <c r="N1032" s="7">
        <v>42269.0</v>
      </c>
    </row>
    <row r="1033">
      <c r="A1033" s="8">
        <v>1032.0</v>
      </c>
      <c r="B1033" s="8" t="s">
        <v>2106</v>
      </c>
      <c r="C1033" s="8" t="s">
        <v>21</v>
      </c>
      <c r="K1033" s="8">
        <v>500.0</v>
      </c>
      <c r="N1033" s="7">
        <v>44660.0</v>
      </c>
    </row>
    <row r="1034">
      <c r="A1034" s="8">
        <v>1033.0</v>
      </c>
      <c r="B1034" s="8" t="s">
        <v>2108</v>
      </c>
      <c r="C1034" s="8" t="s">
        <v>21</v>
      </c>
      <c r="K1034" s="8">
        <v>20.0</v>
      </c>
      <c r="N1034" s="7">
        <v>45358.0</v>
      </c>
    </row>
    <row r="1035">
      <c r="A1035" s="8">
        <v>1034.0</v>
      </c>
      <c r="B1035" s="8" t="s">
        <v>2109</v>
      </c>
      <c r="C1035" s="8" t="s">
        <v>21</v>
      </c>
      <c r="K1035" s="8">
        <v>150.0</v>
      </c>
      <c r="N1035" s="7">
        <v>44933.0</v>
      </c>
    </row>
    <row r="1036">
      <c r="A1036" s="8">
        <v>1035.0</v>
      </c>
      <c r="B1036" s="8" t="s">
        <v>74</v>
      </c>
      <c r="C1036" s="8" t="s">
        <v>21</v>
      </c>
      <c r="K1036" s="8">
        <v>20.0</v>
      </c>
      <c r="N1036" s="7">
        <v>44150.0</v>
      </c>
    </row>
    <row r="1037">
      <c r="A1037" s="8">
        <v>1036.0</v>
      </c>
      <c r="B1037" s="8" t="s">
        <v>2111</v>
      </c>
      <c r="C1037" s="8" t="s">
        <v>21</v>
      </c>
      <c r="K1037" s="8">
        <v>60.0</v>
      </c>
      <c r="N1037" s="7">
        <v>45010.0</v>
      </c>
    </row>
    <row r="1038">
      <c r="A1038" s="8">
        <v>1037.0</v>
      </c>
      <c r="B1038" s="8" t="s">
        <v>2112</v>
      </c>
      <c r="C1038" s="8" t="s">
        <v>21</v>
      </c>
      <c r="K1038" s="8">
        <v>2900.0</v>
      </c>
      <c r="N1038" s="7">
        <v>44956.0</v>
      </c>
    </row>
    <row r="1039">
      <c r="A1039" s="8">
        <v>1038.0</v>
      </c>
      <c r="B1039" s="8" t="s">
        <v>2114</v>
      </c>
      <c r="C1039" s="8" t="s">
        <v>21</v>
      </c>
      <c r="K1039" s="8">
        <v>300.0</v>
      </c>
      <c r="N1039" s="7">
        <v>44585.0</v>
      </c>
    </row>
    <row r="1040">
      <c r="A1040" s="8">
        <v>1039.0</v>
      </c>
      <c r="B1040" s="8" t="s">
        <v>2115</v>
      </c>
      <c r="C1040" s="8" t="s">
        <v>21</v>
      </c>
      <c r="K1040" s="8">
        <v>10.0</v>
      </c>
      <c r="N1040" s="7">
        <v>44260.0</v>
      </c>
    </row>
    <row r="1041">
      <c r="A1041" s="8">
        <v>1040.0</v>
      </c>
      <c r="B1041" s="8" t="s">
        <v>2116</v>
      </c>
      <c r="C1041" s="8" t="s">
        <v>21</v>
      </c>
      <c r="K1041" s="8">
        <v>2000.0</v>
      </c>
      <c r="N1041" s="7">
        <v>43162.0</v>
      </c>
    </row>
    <row r="1042">
      <c r="A1042" s="8">
        <v>1041.0</v>
      </c>
      <c r="B1042" s="8" t="s">
        <v>2118</v>
      </c>
      <c r="C1042" s="8" t="s">
        <v>21</v>
      </c>
      <c r="K1042" s="8">
        <v>200.0</v>
      </c>
      <c r="N1042" s="7">
        <v>44518.0</v>
      </c>
    </row>
    <row r="1043">
      <c r="A1043" s="8">
        <v>1042.0</v>
      </c>
      <c r="B1043" s="8" t="s">
        <v>2119</v>
      </c>
      <c r="C1043" s="8" t="s">
        <v>21</v>
      </c>
      <c r="K1043" s="8">
        <v>900.0</v>
      </c>
      <c r="N1043" s="7">
        <v>44175.0</v>
      </c>
    </row>
    <row r="1044">
      <c r="A1044" s="8">
        <v>1043.0</v>
      </c>
      <c r="B1044" s="8" t="s">
        <v>2121</v>
      </c>
      <c r="C1044" s="8" t="s">
        <v>21</v>
      </c>
      <c r="K1044" s="8">
        <v>100.0</v>
      </c>
      <c r="N1044" s="7">
        <v>45908.0</v>
      </c>
    </row>
    <row r="1045">
      <c r="A1045" s="8">
        <v>1044.0</v>
      </c>
      <c r="B1045" s="8" t="s">
        <v>2122</v>
      </c>
      <c r="C1045" s="8" t="s">
        <v>21</v>
      </c>
      <c r="N1045" s="7">
        <v>44842.0</v>
      </c>
    </row>
    <row r="1046">
      <c r="A1046" s="8">
        <v>1045.0</v>
      </c>
      <c r="B1046" s="8" t="s">
        <v>2123</v>
      </c>
      <c r="C1046" s="8" t="s">
        <v>21</v>
      </c>
      <c r="K1046" s="8">
        <v>150.0</v>
      </c>
      <c r="N1046" s="7">
        <v>43924.0</v>
      </c>
    </row>
    <row r="1047">
      <c r="A1047" s="8">
        <v>1046.0</v>
      </c>
      <c r="B1047" s="8" t="s">
        <v>2125</v>
      </c>
      <c r="C1047" s="8" t="s">
        <v>21</v>
      </c>
      <c r="K1047" s="8">
        <v>70.0</v>
      </c>
      <c r="N1047" s="7">
        <v>44239.0</v>
      </c>
    </row>
    <row r="1048">
      <c r="A1048" s="8">
        <v>1047.0</v>
      </c>
      <c r="B1048" s="8" t="s">
        <v>2126</v>
      </c>
      <c r="C1048" s="8" t="s">
        <v>21</v>
      </c>
      <c r="K1048" s="8">
        <v>1900.0</v>
      </c>
      <c r="N1048" s="7">
        <v>44365.0</v>
      </c>
    </row>
    <row r="1049">
      <c r="A1049" s="8">
        <v>1048.0</v>
      </c>
      <c r="B1049" s="8" t="s">
        <v>2127</v>
      </c>
      <c r="C1049" s="8" t="s">
        <v>21</v>
      </c>
      <c r="D1049" s="8">
        <v>43.0</v>
      </c>
      <c r="H1049" s="8" t="s">
        <v>19</v>
      </c>
      <c r="I1049" s="9">
        <v>46148.99408564815</v>
      </c>
      <c r="J1049" s="8" t="s">
        <v>25</v>
      </c>
      <c r="L1049" s="8">
        <v>26000.0</v>
      </c>
      <c r="M1049" s="8">
        <v>27000.0</v>
      </c>
      <c r="N1049" s="7">
        <v>44302.0</v>
      </c>
      <c r="O1049" s="8" t="s">
        <v>127</v>
      </c>
      <c r="P1049" s="8" t="s">
        <v>28</v>
      </c>
      <c r="S1049" s="8" t="s">
        <v>32</v>
      </c>
    </row>
    <row r="1050">
      <c r="A1050" s="8">
        <v>1049.0</v>
      </c>
      <c r="B1050" s="8" t="s">
        <v>2130</v>
      </c>
      <c r="C1050" s="8" t="s">
        <v>21</v>
      </c>
      <c r="N1050" s="7">
        <v>44195.0</v>
      </c>
    </row>
    <row r="1051">
      <c r="A1051" s="8">
        <v>1050.0</v>
      </c>
      <c r="B1051" s="8" t="s">
        <v>2131</v>
      </c>
      <c r="C1051" s="8" t="s">
        <v>21</v>
      </c>
      <c r="N1051" s="7">
        <v>44688.0</v>
      </c>
    </row>
    <row r="1052">
      <c r="A1052" s="8">
        <v>1051.0</v>
      </c>
      <c r="B1052" s="8" t="s">
        <v>2132</v>
      </c>
      <c r="C1052" s="8" t="s">
        <v>21</v>
      </c>
      <c r="K1052" s="8">
        <v>10.0</v>
      </c>
      <c r="N1052" s="7">
        <v>44119.0</v>
      </c>
    </row>
    <row r="1053">
      <c r="A1053" s="8">
        <v>1052.0</v>
      </c>
      <c r="B1053" s="8" t="s">
        <v>2133</v>
      </c>
      <c r="C1053" s="8" t="s">
        <v>21</v>
      </c>
      <c r="K1053" s="8">
        <v>250.0</v>
      </c>
      <c r="N1053" s="7">
        <v>44936.0</v>
      </c>
    </row>
    <row r="1054">
      <c r="A1054" s="8">
        <v>1053.0</v>
      </c>
      <c r="B1054" s="8" t="s">
        <v>2134</v>
      </c>
      <c r="C1054" s="8" t="s">
        <v>21</v>
      </c>
      <c r="K1054" s="8">
        <v>10.0</v>
      </c>
      <c r="N1054" s="7">
        <v>45329.0</v>
      </c>
    </row>
    <row r="1055">
      <c r="A1055" s="8">
        <v>1054.0</v>
      </c>
      <c r="B1055" s="8" t="s">
        <v>2135</v>
      </c>
      <c r="C1055" s="8" t="s">
        <v>21</v>
      </c>
      <c r="K1055" s="8">
        <v>600.0</v>
      </c>
      <c r="N1055" s="7">
        <v>44233.0</v>
      </c>
    </row>
    <row r="1056">
      <c r="A1056" s="8">
        <v>1055.0</v>
      </c>
      <c r="B1056" s="8" t="s">
        <v>2137</v>
      </c>
      <c r="C1056" s="8" t="s">
        <v>21</v>
      </c>
      <c r="K1056" s="8">
        <v>300.0</v>
      </c>
      <c r="N1056" s="7">
        <v>44079.0</v>
      </c>
    </row>
    <row r="1057">
      <c r="A1057" s="8">
        <v>1056.0</v>
      </c>
      <c r="B1057" s="8" t="s">
        <v>2138</v>
      </c>
      <c r="C1057" s="8" t="s">
        <v>21</v>
      </c>
      <c r="K1057" s="8">
        <v>40.0</v>
      </c>
      <c r="N1057" s="7">
        <v>44723.0</v>
      </c>
    </row>
    <row r="1058">
      <c r="A1058" s="8">
        <v>1057.0</v>
      </c>
      <c r="B1058" s="8" t="s">
        <v>2140</v>
      </c>
      <c r="C1058" s="8" t="s">
        <v>21</v>
      </c>
      <c r="K1058" s="8">
        <v>80.0</v>
      </c>
      <c r="N1058" s="7">
        <v>45054.0</v>
      </c>
    </row>
    <row r="1059">
      <c r="A1059" s="8">
        <v>1058.0</v>
      </c>
      <c r="B1059" s="8" t="s">
        <v>2142</v>
      </c>
      <c r="C1059" s="8" t="s">
        <v>21</v>
      </c>
      <c r="K1059" s="8">
        <v>200.0</v>
      </c>
      <c r="N1059" s="7">
        <v>44425.0</v>
      </c>
    </row>
    <row r="1060">
      <c r="A1060" s="8">
        <v>1059.0</v>
      </c>
      <c r="B1060" s="8" t="s">
        <v>2143</v>
      </c>
      <c r="C1060" s="8" t="s">
        <v>21</v>
      </c>
      <c r="K1060" s="8">
        <v>450.0</v>
      </c>
      <c r="N1060" s="7">
        <v>44999.0</v>
      </c>
    </row>
    <row r="1061">
      <c r="A1061" s="8">
        <v>1060.0</v>
      </c>
      <c r="B1061" s="8" t="s">
        <v>2145</v>
      </c>
      <c r="C1061" s="8" t="s">
        <v>21</v>
      </c>
      <c r="K1061" s="8">
        <v>900.0</v>
      </c>
      <c r="N1061" s="7">
        <v>44533.0</v>
      </c>
    </row>
    <row r="1062">
      <c r="A1062" s="8">
        <v>1061.0</v>
      </c>
      <c r="B1062" s="8" t="s">
        <v>2146</v>
      </c>
      <c r="C1062" s="8" t="s">
        <v>21</v>
      </c>
      <c r="K1062" s="8">
        <v>80.0</v>
      </c>
      <c r="N1062" s="7">
        <v>44578.0</v>
      </c>
    </row>
    <row r="1063">
      <c r="A1063" s="8">
        <v>1062.0</v>
      </c>
      <c r="B1063" s="8" t="s">
        <v>2147</v>
      </c>
      <c r="C1063" s="8" t="s">
        <v>21</v>
      </c>
      <c r="K1063" s="8">
        <v>2600.0</v>
      </c>
      <c r="N1063" s="7">
        <v>44401.0</v>
      </c>
    </row>
    <row r="1064">
      <c r="A1064" s="8">
        <v>1063.0</v>
      </c>
      <c r="B1064" s="8" t="s">
        <v>2148</v>
      </c>
      <c r="C1064" s="8" t="s">
        <v>21</v>
      </c>
      <c r="K1064" s="8">
        <v>60.0</v>
      </c>
      <c r="N1064" s="7">
        <v>42798.0</v>
      </c>
    </row>
    <row r="1065">
      <c r="A1065" s="8">
        <v>1064.0</v>
      </c>
      <c r="B1065" s="8" t="s">
        <v>2149</v>
      </c>
      <c r="C1065" s="8" t="s">
        <v>21</v>
      </c>
      <c r="K1065" s="8">
        <v>10.0</v>
      </c>
      <c r="N1065" s="7">
        <v>45139.0</v>
      </c>
    </row>
    <row r="1066">
      <c r="A1066" s="8">
        <v>1065.0</v>
      </c>
      <c r="B1066" s="8" t="s">
        <v>2150</v>
      </c>
      <c r="C1066" s="8" t="s">
        <v>21</v>
      </c>
      <c r="K1066" s="8">
        <v>100.0</v>
      </c>
      <c r="N1066" s="7">
        <v>44989.0</v>
      </c>
    </row>
    <row r="1067">
      <c r="A1067" s="8">
        <v>1066.0</v>
      </c>
      <c r="B1067" s="8" t="s">
        <v>2154</v>
      </c>
      <c r="C1067" s="8" t="s">
        <v>21</v>
      </c>
      <c r="K1067" s="8">
        <v>1700.0</v>
      </c>
      <c r="N1067" s="7">
        <v>44087.0</v>
      </c>
    </row>
    <row r="1068">
      <c r="A1068" s="8">
        <v>1067.0</v>
      </c>
      <c r="B1068" s="8" t="s">
        <v>2155</v>
      </c>
      <c r="C1068" s="8" t="s">
        <v>21</v>
      </c>
      <c r="K1068" s="8">
        <v>2400.0</v>
      </c>
      <c r="N1068" s="7">
        <v>44259.0</v>
      </c>
    </row>
    <row r="1069">
      <c r="A1069" s="8">
        <v>1068.0</v>
      </c>
      <c r="B1069" s="8" t="s">
        <v>2156</v>
      </c>
      <c r="C1069" s="8" t="s">
        <v>21</v>
      </c>
      <c r="K1069" s="8">
        <v>150.0</v>
      </c>
      <c r="N1069" s="7">
        <v>44629.0</v>
      </c>
    </row>
    <row r="1070">
      <c r="A1070" s="8">
        <v>1069.0</v>
      </c>
      <c r="B1070" s="8" t="s">
        <v>2157</v>
      </c>
      <c r="C1070" s="8" t="s">
        <v>21</v>
      </c>
      <c r="K1070" s="8">
        <v>200.0</v>
      </c>
      <c r="N1070" s="7">
        <v>44919.0</v>
      </c>
    </row>
    <row r="1071">
      <c r="A1071" s="8">
        <v>1070.0</v>
      </c>
      <c r="B1071" s="8" t="s">
        <v>2158</v>
      </c>
      <c r="C1071" s="8" t="s">
        <v>21</v>
      </c>
      <c r="K1071" s="8">
        <v>10.0</v>
      </c>
      <c r="N1071" s="7">
        <v>46135.0</v>
      </c>
    </row>
    <row r="1072">
      <c r="A1072" s="8">
        <v>1071.0</v>
      </c>
      <c r="B1072" s="8" t="s">
        <v>2159</v>
      </c>
      <c r="C1072" s="8" t="s">
        <v>21</v>
      </c>
      <c r="K1072" s="8">
        <v>50.0</v>
      </c>
      <c r="N1072" s="7">
        <v>44438.0</v>
      </c>
    </row>
    <row r="1073">
      <c r="A1073" s="8">
        <v>1072.0</v>
      </c>
      <c r="B1073" s="8" t="s">
        <v>2160</v>
      </c>
      <c r="C1073" s="8" t="s">
        <v>21</v>
      </c>
      <c r="K1073" s="8">
        <v>20.0</v>
      </c>
      <c r="N1073" s="7">
        <v>44826.0</v>
      </c>
    </row>
    <row r="1074">
      <c r="A1074" s="8">
        <v>1073.0</v>
      </c>
      <c r="B1074" s="8" t="s">
        <v>2161</v>
      </c>
      <c r="C1074" s="8" t="s">
        <v>21</v>
      </c>
      <c r="K1074" s="8">
        <v>20.0</v>
      </c>
      <c r="N1074" s="7">
        <v>44735.0</v>
      </c>
    </row>
    <row r="1075">
      <c r="A1075" s="8">
        <v>1074.0</v>
      </c>
      <c r="B1075" s="8" t="s">
        <v>2162</v>
      </c>
      <c r="C1075" s="8" t="s">
        <v>21</v>
      </c>
      <c r="K1075" s="8">
        <v>250.0</v>
      </c>
      <c r="N1075" s="7">
        <v>43876.0</v>
      </c>
    </row>
    <row r="1076">
      <c r="A1076" s="8">
        <v>1075.0</v>
      </c>
      <c r="B1076" s="8" t="s">
        <v>2164</v>
      </c>
      <c r="C1076" s="8" t="s">
        <v>21</v>
      </c>
      <c r="K1076" s="8">
        <v>450.0</v>
      </c>
      <c r="N1076" s="7">
        <v>44743.0</v>
      </c>
    </row>
    <row r="1077">
      <c r="A1077" s="8">
        <v>1076.0</v>
      </c>
      <c r="B1077" s="8" t="s">
        <v>2165</v>
      </c>
      <c r="C1077" s="8" t="s">
        <v>21</v>
      </c>
      <c r="K1077" s="8">
        <v>500.0</v>
      </c>
      <c r="N1077" s="7">
        <v>44422.0</v>
      </c>
    </row>
    <row r="1078">
      <c r="A1078" s="8">
        <v>1077.0</v>
      </c>
      <c r="B1078" s="8" t="s">
        <v>2167</v>
      </c>
      <c r="C1078" s="8" t="s">
        <v>21</v>
      </c>
      <c r="K1078" s="8">
        <v>150.0</v>
      </c>
      <c r="N1078" s="7">
        <v>44881.0</v>
      </c>
    </row>
    <row r="1079">
      <c r="A1079" s="8">
        <v>1078.0</v>
      </c>
      <c r="B1079" s="8" t="s">
        <v>2168</v>
      </c>
      <c r="C1079" s="8" t="s">
        <v>21</v>
      </c>
      <c r="K1079" s="8">
        <v>70.0</v>
      </c>
      <c r="N1079" s="7">
        <v>44583.0</v>
      </c>
    </row>
    <row r="1080">
      <c r="A1080" s="8">
        <v>1079.0</v>
      </c>
      <c r="B1080" s="8" t="s">
        <v>2169</v>
      </c>
      <c r="C1080" s="8" t="s">
        <v>21</v>
      </c>
      <c r="K1080" s="8">
        <v>250.0</v>
      </c>
      <c r="N1080" s="7">
        <v>44682.0</v>
      </c>
    </row>
    <row r="1081">
      <c r="A1081" s="8">
        <v>1080.0</v>
      </c>
      <c r="B1081" s="8" t="s">
        <v>2170</v>
      </c>
      <c r="C1081" s="8" t="s">
        <v>21</v>
      </c>
      <c r="K1081" s="8">
        <v>60.0</v>
      </c>
      <c r="N1081" s="7">
        <v>45184.0</v>
      </c>
    </row>
    <row r="1082">
      <c r="A1082" s="8">
        <v>1081.0</v>
      </c>
      <c r="B1082" s="8" t="s">
        <v>2171</v>
      </c>
      <c r="C1082" s="8" t="s">
        <v>21</v>
      </c>
      <c r="K1082" s="8">
        <v>90.0</v>
      </c>
      <c r="N1082" s="7">
        <v>44755.0</v>
      </c>
    </row>
    <row r="1083">
      <c r="A1083" s="8">
        <v>1082.0</v>
      </c>
      <c r="B1083" s="8" t="s">
        <v>2172</v>
      </c>
      <c r="C1083" s="8" t="s">
        <v>21</v>
      </c>
      <c r="K1083" s="8">
        <v>150.0</v>
      </c>
      <c r="N1083" s="7">
        <v>44064.0</v>
      </c>
    </row>
    <row r="1084">
      <c r="A1084" s="8">
        <v>1083.0</v>
      </c>
      <c r="B1084" s="8" t="s">
        <v>2173</v>
      </c>
      <c r="C1084" s="8" t="s">
        <v>21</v>
      </c>
      <c r="K1084" s="8">
        <v>30.0</v>
      </c>
      <c r="N1084" s="7">
        <v>43894.0</v>
      </c>
    </row>
    <row r="1085">
      <c r="A1085" s="8">
        <v>1084.0</v>
      </c>
      <c r="B1085" s="8" t="s">
        <v>2174</v>
      </c>
      <c r="C1085" s="8" t="s">
        <v>21</v>
      </c>
      <c r="K1085" s="8">
        <v>10.0</v>
      </c>
      <c r="N1085" s="7">
        <v>44823.0</v>
      </c>
    </row>
    <row r="1086">
      <c r="A1086" s="8">
        <v>1085.0</v>
      </c>
      <c r="B1086" s="8" t="s">
        <v>2175</v>
      </c>
      <c r="C1086" s="8" t="s">
        <v>21</v>
      </c>
      <c r="K1086" s="8">
        <v>10.0</v>
      </c>
      <c r="N1086" s="7">
        <v>44385.0</v>
      </c>
    </row>
    <row r="1087">
      <c r="A1087" s="8">
        <v>1086.0</v>
      </c>
      <c r="B1087" s="8" t="s">
        <v>2177</v>
      </c>
      <c r="C1087" s="8" t="s">
        <v>21</v>
      </c>
      <c r="K1087" s="8">
        <v>10.0</v>
      </c>
      <c r="N1087" s="7">
        <v>44001.0</v>
      </c>
    </row>
    <row r="1088">
      <c r="A1088" s="8">
        <v>1087.0</v>
      </c>
      <c r="B1088" s="8" t="s">
        <v>2178</v>
      </c>
      <c r="C1088" s="8" t="s">
        <v>21</v>
      </c>
      <c r="N1088" s="7">
        <v>44953.0</v>
      </c>
    </row>
    <row r="1089">
      <c r="A1089" s="8">
        <v>1088.0</v>
      </c>
      <c r="B1089" s="8" t="s">
        <v>2179</v>
      </c>
      <c r="C1089" s="8" t="s">
        <v>21</v>
      </c>
      <c r="N1089" s="7">
        <v>43942.0</v>
      </c>
      <c r="O1089" s="8" t="s">
        <v>26</v>
      </c>
      <c r="P1089" s="8" t="s">
        <v>28</v>
      </c>
      <c r="S1089" s="8" t="s">
        <v>32</v>
      </c>
    </row>
    <row r="1090">
      <c r="A1090" s="8">
        <v>1089.0</v>
      </c>
      <c r="B1090" s="8" t="s">
        <v>2180</v>
      </c>
      <c r="C1090" s="8" t="s">
        <v>21</v>
      </c>
      <c r="K1090" s="8">
        <v>1600.0</v>
      </c>
      <c r="N1090" s="7">
        <v>44076.0</v>
      </c>
    </row>
    <row r="1091">
      <c r="A1091" s="8">
        <v>1090.0</v>
      </c>
      <c r="B1091" s="8" t="s">
        <v>2181</v>
      </c>
      <c r="C1091" s="8" t="s">
        <v>21</v>
      </c>
      <c r="K1091" s="8">
        <v>6700.0</v>
      </c>
      <c r="N1091" s="7">
        <v>43870.0</v>
      </c>
    </row>
    <row r="1092">
      <c r="A1092" s="8">
        <v>1091.0</v>
      </c>
      <c r="B1092" s="8" t="s">
        <v>2182</v>
      </c>
      <c r="C1092" s="8" t="s">
        <v>21</v>
      </c>
      <c r="K1092" s="8">
        <v>450.0</v>
      </c>
      <c r="N1092" s="7">
        <v>44251.0</v>
      </c>
    </row>
    <row r="1093">
      <c r="A1093" s="8">
        <v>1092.0</v>
      </c>
      <c r="B1093" s="8" t="s">
        <v>2183</v>
      </c>
      <c r="C1093" s="8" t="s">
        <v>21</v>
      </c>
      <c r="K1093" s="8">
        <v>40.0</v>
      </c>
      <c r="N1093" s="7">
        <v>44893.0</v>
      </c>
    </row>
    <row r="1094">
      <c r="A1094" s="8">
        <v>1093.0</v>
      </c>
      <c r="B1094" s="8" t="s">
        <v>2185</v>
      </c>
      <c r="C1094" s="8" t="s">
        <v>21</v>
      </c>
      <c r="K1094" s="8">
        <v>300.0</v>
      </c>
      <c r="N1094" s="7">
        <v>44556.0</v>
      </c>
    </row>
    <row r="1095">
      <c r="A1095" s="8">
        <v>1094.0</v>
      </c>
      <c r="B1095" s="8" t="s">
        <v>2186</v>
      </c>
      <c r="C1095" s="8" t="s">
        <v>21</v>
      </c>
      <c r="K1095" s="8">
        <v>16000.0</v>
      </c>
      <c r="N1095" s="7">
        <v>44040.0</v>
      </c>
    </row>
    <row r="1096">
      <c r="A1096" s="8">
        <v>1095.0</v>
      </c>
      <c r="B1096" s="8" t="s">
        <v>2187</v>
      </c>
      <c r="C1096" s="8" t="s">
        <v>21</v>
      </c>
      <c r="K1096" s="8">
        <v>150.0</v>
      </c>
      <c r="N1096" s="7">
        <v>44656.0</v>
      </c>
    </row>
    <row r="1097">
      <c r="A1097" s="8">
        <v>1096.0</v>
      </c>
      <c r="B1097" s="8" t="s">
        <v>2188</v>
      </c>
      <c r="C1097" s="8" t="s">
        <v>21</v>
      </c>
      <c r="K1097" s="8">
        <v>450.0</v>
      </c>
      <c r="N1097" s="7">
        <v>44578.0</v>
      </c>
    </row>
    <row r="1098">
      <c r="A1098" s="8">
        <v>1097.0</v>
      </c>
      <c r="B1098" s="8" t="s">
        <v>2190</v>
      </c>
      <c r="C1098" s="8" t="s">
        <v>21</v>
      </c>
      <c r="K1098" s="8">
        <v>250.0</v>
      </c>
      <c r="N1098" s="7">
        <v>45312.0</v>
      </c>
    </row>
    <row r="1099">
      <c r="A1099" s="8">
        <v>1098.0</v>
      </c>
      <c r="B1099" s="8" t="s">
        <v>2191</v>
      </c>
      <c r="C1099" s="8" t="s">
        <v>21</v>
      </c>
      <c r="K1099" s="8">
        <v>30.0</v>
      </c>
      <c r="N1099" s="7">
        <v>43868.0</v>
      </c>
    </row>
    <row r="1100">
      <c r="A1100" s="8">
        <v>1099.0</v>
      </c>
      <c r="B1100" s="8" t="s">
        <v>2192</v>
      </c>
      <c r="C1100" s="8" t="s">
        <v>21</v>
      </c>
      <c r="K1100" s="8">
        <v>10.0</v>
      </c>
      <c r="N1100" s="7">
        <v>44666.0</v>
      </c>
    </row>
    <row r="1101">
      <c r="A1101" s="8">
        <v>1100.0</v>
      </c>
      <c r="B1101" s="8" t="s">
        <v>2193</v>
      </c>
      <c r="C1101" s="8" t="s">
        <v>21</v>
      </c>
      <c r="K1101" s="8">
        <v>200.0</v>
      </c>
      <c r="N1101" s="7">
        <v>44494.0</v>
      </c>
    </row>
    <row r="1102">
      <c r="A1102" s="8">
        <v>1101.0</v>
      </c>
      <c r="B1102" s="8" t="s">
        <v>2194</v>
      </c>
      <c r="C1102" s="8" t="s">
        <v>21</v>
      </c>
      <c r="K1102" s="8">
        <v>200.0</v>
      </c>
      <c r="N1102" s="7">
        <v>44373.0</v>
      </c>
    </row>
    <row r="1103">
      <c r="A1103" s="8">
        <v>1102.0</v>
      </c>
      <c r="B1103" s="8" t="s">
        <v>2195</v>
      </c>
      <c r="C1103" s="8" t="s">
        <v>21</v>
      </c>
      <c r="K1103" s="8">
        <v>300.0</v>
      </c>
      <c r="N1103" s="7">
        <v>44552.0</v>
      </c>
    </row>
    <row r="1104">
      <c r="A1104" s="8">
        <v>1103.0</v>
      </c>
      <c r="B1104" s="8" t="s">
        <v>2196</v>
      </c>
      <c r="C1104" s="8" t="s">
        <v>21</v>
      </c>
      <c r="K1104" s="8">
        <v>200.0</v>
      </c>
      <c r="N1104" s="7">
        <v>44344.0</v>
      </c>
    </row>
    <row r="1105">
      <c r="A1105" s="8">
        <v>1104.0</v>
      </c>
      <c r="B1105" s="8" t="s">
        <v>2197</v>
      </c>
      <c r="C1105" s="8" t="s">
        <v>21</v>
      </c>
      <c r="K1105" s="8">
        <v>100.0</v>
      </c>
      <c r="N1105" s="7">
        <v>45368.0</v>
      </c>
    </row>
    <row r="1106">
      <c r="A1106" s="8">
        <v>1105.0</v>
      </c>
      <c r="B1106" s="8" t="s">
        <v>2198</v>
      </c>
      <c r="C1106" s="8" t="s">
        <v>21</v>
      </c>
      <c r="K1106" s="8">
        <v>30.0</v>
      </c>
      <c r="N1106" s="7">
        <v>44723.0</v>
      </c>
    </row>
    <row r="1107">
      <c r="A1107" s="8">
        <v>1106.0</v>
      </c>
      <c r="B1107" s="8" t="s">
        <v>2199</v>
      </c>
      <c r="C1107" s="8" t="s">
        <v>21</v>
      </c>
      <c r="K1107" s="8">
        <v>90.0</v>
      </c>
      <c r="N1107" s="7">
        <v>44513.0</v>
      </c>
    </row>
    <row r="1108">
      <c r="A1108" s="8">
        <v>1107.0</v>
      </c>
      <c r="B1108" s="8" t="s">
        <v>2200</v>
      </c>
      <c r="C1108" s="8" t="s">
        <v>21</v>
      </c>
      <c r="K1108" s="8">
        <v>38000.0</v>
      </c>
      <c r="N1108" s="7">
        <v>44269.0</v>
      </c>
    </row>
    <row r="1109">
      <c r="A1109" s="8">
        <v>1108.0</v>
      </c>
      <c r="B1109" s="8" t="s">
        <v>2201</v>
      </c>
      <c r="C1109" s="8" t="s">
        <v>21</v>
      </c>
      <c r="K1109" s="8">
        <v>1900.0</v>
      </c>
      <c r="N1109" s="7">
        <v>45594.0</v>
      </c>
    </row>
    <row r="1110">
      <c r="A1110" s="8">
        <v>1109.0</v>
      </c>
      <c r="B1110" s="8" t="s">
        <v>2202</v>
      </c>
      <c r="C1110" s="8" t="s">
        <v>21</v>
      </c>
      <c r="K1110" s="8">
        <v>10.0</v>
      </c>
      <c r="N1110" s="7">
        <v>45076.0</v>
      </c>
    </row>
    <row r="1111">
      <c r="A1111" s="8">
        <v>1110.0</v>
      </c>
      <c r="B1111" s="8" t="s">
        <v>2203</v>
      </c>
      <c r="C1111" s="8" t="s">
        <v>21</v>
      </c>
      <c r="K1111" s="8">
        <v>10.0</v>
      </c>
      <c r="N1111" s="7">
        <v>44759.0</v>
      </c>
    </row>
    <row r="1112">
      <c r="A1112" s="8">
        <v>1111.0</v>
      </c>
      <c r="B1112" s="8" t="s">
        <v>2204</v>
      </c>
      <c r="C1112" s="8" t="s">
        <v>21</v>
      </c>
      <c r="K1112" s="8">
        <v>2400.0</v>
      </c>
      <c r="N1112" s="7">
        <v>44750.0</v>
      </c>
    </row>
    <row r="1113">
      <c r="A1113" s="8">
        <v>1112.0</v>
      </c>
      <c r="B1113" s="8" t="s">
        <v>2205</v>
      </c>
      <c r="C1113" s="8" t="s">
        <v>21</v>
      </c>
      <c r="K1113" s="8">
        <v>80.0</v>
      </c>
      <c r="N1113" s="7">
        <v>44992.0</v>
      </c>
    </row>
    <row r="1114">
      <c r="A1114" s="8">
        <v>1113.0</v>
      </c>
      <c r="B1114" s="8" t="s">
        <v>2207</v>
      </c>
      <c r="C1114" s="8" t="s">
        <v>21</v>
      </c>
      <c r="N1114" s="7">
        <v>44146.0</v>
      </c>
      <c r="O1114" s="8" t="s">
        <v>147</v>
      </c>
      <c r="P1114" s="8" t="s">
        <v>28</v>
      </c>
      <c r="S1114" s="8" t="s">
        <v>32</v>
      </c>
    </row>
    <row r="1115">
      <c r="A1115" s="8">
        <v>1114.0</v>
      </c>
      <c r="B1115" s="8" t="s">
        <v>2208</v>
      </c>
      <c r="C1115" s="8" t="s">
        <v>21</v>
      </c>
      <c r="K1115" s="8">
        <v>20.0</v>
      </c>
      <c r="N1115" s="7">
        <v>44776.0</v>
      </c>
    </row>
    <row r="1116">
      <c r="A1116" s="8">
        <v>1115.0</v>
      </c>
      <c r="B1116" s="8" t="s">
        <v>2209</v>
      </c>
      <c r="C1116" s="8" t="s">
        <v>21</v>
      </c>
      <c r="D1116" s="8">
        <v>72.0</v>
      </c>
      <c r="H1116" s="8" t="s">
        <v>701</v>
      </c>
      <c r="I1116" s="9">
        <v>46150.05189814815</v>
      </c>
      <c r="K1116" s="8">
        <v>400.0</v>
      </c>
      <c r="L1116" s="8">
        <v>100.0</v>
      </c>
      <c r="M1116" s="8">
        <v>174000.0</v>
      </c>
      <c r="N1116" s="7">
        <v>44833.0</v>
      </c>
      <c r="O1116" s="8" t="s">
        <v>107</v>
      </c>
      <c r="P1116" s="8" t="s">
        <v>28</v>
      </c>
      <c r="S1116" s="8" t="s">
        <v>32</v>
      </c>
    </row>
    <row r="1117">
      <c r="A1117" s="8">
        <v>1116.0</v>
      </c>
      <c r="B1117" s="8" t="s">
        <v>2211</v>
      </c>
      <c r="C1117" s="8" t="s">
        <v>21</v>
      </c>
      <c r="K1117" s="8">
        <v>250.0</v>
      </c>
      <c r="N1117" s="7">
        <v>43890.0</v>
      </c>
    </row>
    <row r="1118">
      <c r="A1118" s="8">
        <v>1117.0</v>
      </c>
      <c r="B1118" s="8" t="s">
        <v>2213</v>
      </c>
      <c r="C1118" s="8" t="s">
        <v>21</v>
      </c>
      <c r="N1118" s="7">
        <v>44674.0</v>
      </c>
    </row>
    <row r="1119">
      <c r="A1119" s="8">
        <v>1118.0</v>
      </c>
      <c r="B1119" s="8" t="s">
        <v>2214</v>
      </c>
      <c r="C1119" s="8" t="s">
        <v>21</v>
      </c>
      <c r="K1119" s="8">
        <v>21000.0</v>
      </c>
      <c r="N1119" s="7">
        <v>44682.0</v>
      </c>
    </row>
    <row r="1120">
      <c r="A1120" s="8">
        <v>1119.0</v>
      </c>
      <c r="B1120" s="8" t="s">
        <v>2215</v>
      </c>
      <c r="C1120" s="8" t="s">
        <v>21</v>
      </c>
      <c r="K1120" s="8">
        <v>20.0</v>
      </c>
      <c r="N1120" s="7">
        <v>44683.0</v>
      </c>
    </row>
    <row r="1121">
      <c r="A1121" s="8">
        <v>1120.0</v>
      </c>
      <c r="B1121" s="8" t="s">
        <v>2216</v>
      </c>
      <c r="C1121" s="8" t="s">
        <v>21</v>
      </c>
      <c r="K1121" s="8">
        <v>6300.0</v>
      </c>
      <c r="N1121" s="7">
        <v>44132.0</v>
      </c>
    </row>
    <row r="1122">
      <c r="A1122" s="8">
        <v>1121.0</v>
      </c>
      <c r="B1122" s="8" t="s">
        <v>2217</v>
      </c>
      <c r="C1122" s="8" t="s">
        <v>21</v>
      </c>
      <c r="K1122" s="8">
        <v>30.0</v>
      </c>
      <c r="N1122" s="7">
        <v>43881.0</v>
      </c>
    </row>
    <row r="1123">
      <c r="A1123" s="8">
        <v>1122.0</v>
      </c>
      <c r="B1123" s="8" t="s">
        <v>2218</v>
      </c>
      <c r="C1123" s="8" t="s">
        <v>21</v>
      </c>
      <c r="K1123" s="8">
        <v>60.0</v>
      </c>
      <c r="N1123" s="7">
        <v>43877.0</v>
      </c>
    </row>
    <row r="1124">
      <c r="A1124" s="8">
        <v>1123.0</v>
      </c>
      <c r="B1124" s="8" t="s">
        <v>2220</v>
      </c>
      <c r="C1124" s="8" t="s">
        <v>21</v>
      </c>
      <c r="K1124" s="8">
        <v>600.0</v>
      </c>
      <c r="N1124" s="7">
        <v>44504.0</v>
      </c>
    </row>
    <row r="1125">
      <c r="A1125" s="8">
        <v>1124.0</v>
      </c>
      <c r="B1125" s="8" t="s">
        <v>2221</v>
      </c>
      <c r="C1125" s="8" t="s">
        <v>21</v>
      </c>
      <c r="K1125" s="8">
        <v>3200.0</v>
      </c>
      <c r="N1125" s="7">
        <v>44637.0</v>
      </c>
    </row>
    <row r="1126">
      <c r="A1126" s="8">
        <v>1125.0</v>
      </c>
      <c r="B1126" s="8" t="s">
        <v>2222</v>
      </c>
      <c r="C1126" s="8" t="s">
        <v>21</v>
      </c>
      <c r="K1126" s="8">
        <v>300.0</v>
      </c>
      <c r="N1126" s="7">
        <v>43883.0</v>
      </c>
    </row>
    <row r="1127">
      <c r="A1127" s="8">
        <v>1126.0</v>
      </c>
      <c r="B1127" s="8" t="s">
        <v>2224</v>
      </c>
      <c r="C1127" s="8" t="s">
        <v>21</v>
      </c>
      <c r="K1127" s="8">
        <v>4800.0</v>
      </c>
      <c r="N1127" s="7">
        <v>43885.0</v>
      </c>
    </row>
    <row r="1128">
      <c r="A1128" s="8">
        <v>1127.0</v>
      </c>
      <c r="B1128" s="8" t="s">
        <v>2225</v>
      </c>
      <c r="C1128" s="8" t="s">
        <v>21</v>
      </c>
      <c r="K1128" s="8">
        <v>350.0</v>
      </c>
      <c r="N1128" s="7">
        <v>44557.0</v>
      </c>
    </row>
    <row r="1129">
      <c r="A1129" s="8">
        <v>1128.0</v>
      </c>
      <c r="B1129" s="8" t="s">
        <v>2226</v>
      </c>
      <c r="C1129" s="8" t="s">
        <v>21</v>
      </c>
      <c r="K1129" s="8">
        <v>200.0</v>
      </c>
      <c r="N1129" s="7">
        <v>44628.0</v>
      </c>
    </row>
    <row r="1130">
      <c r="A1130" s="8">
        <v>1129.0</v>
      </c>
      <c r="B1130" s="8" t="s">
        <v>2228</v>
      </c>
      <c r="C1130" s="8" t="s">
        <v>21</v>
      </c>
      <c r="K1130" s="8">
        <v>7900.0</v>
      </c>
      <c r="N1130" s="7">
        <v>45318.0</v>
      </c>
    </row>
    <row r="1131">
      <c r="A1131" s="8">
        <v>1130.0</v>
      </c>
      <c r="B1131" s="8" t="s">
        <v>2229</v>
      </c>
      <c r="C1131" s="8" t="s">
        <v>21</v>
      </c>
      <c r="K1131" s="8">
        <v>1000.0</v>
      </c>
      <c r="N1131" s="7">
        <v>44523.0</v>
      </c>
    </row>
    <row r="1132">
      <c r="A1132" s="8">
        <v>1131.0</v>
      </c>
      <c r="B1132" s="8" t="s">
        <v>75</v>
      </c>
      <c r="C1132" s="8" t="s">
        <v>21</v>
      </c>
      <c r="K1132" s="8">
        <v>10.0</v>
      </c>
      <c r="N1132" s="7">
        <v>44175.0</v>
      </c>
    </row>
    <row r="1133">
      <c r="A1133" s="8">
        <v>1132.0</v>
      </c>
      <c r="B1133" s="8" t="s">
        <v>2231</v>
      </c>
      <c r="C1133" s="8" t="s">
        <v>21</v>
      </c>
      <c r="K1133" s="8">
        <v>300.0</v>
      </c>
      <c r="N1133" s="7">
        <v>44981.0</v>
      </c>
    </row>
    <row r="1134">
      <c r="A1134" s="8">
        <v>1133.0</v>
      </c>
      <c r="B1134" s="8" t="s">
        <v>2232</v>
      </c>
      <c r="C1134" s="8" t="s">
        <v>21</v>
      </c>
      <c r="K1134" s="8">
        <v>250.0</v>
      </c>
      <c r="N1134" s="7">
        <v>44820.0</v>
      </c>
    </row>
    <row r="1135">
      <c r="A1135" s="8">
        <v>1134.0</v>
      </c>
      <c r="B1135" s="8" t="s">
        <v>2233</v>
      </c>
      <c r="C1135" s="8" t="s">
        <v>21</v>
      </c>
      <c r="K1135" s="8">
        <v>1000.0</v>
      </c>
      <c r="N1135" s="7">
        <v>44323.0</v>
      </c>
    </row>
    <row r="1136">
      <c r="A1136" s="8">
        <v>1135.0</v>
      </c>
      <c r="B1136" s="8" t="s">
        <v>2234</v>
      </c>
      <c r="C1136" s="8" t="s">
        <v>21</v>
      </c>
      <c r="K1136" s="8">
        <v>1500.0</v>
      </c>
      <c r="N1136" s="7">
        <v>42939.0</v>
      </c>
    </row>
    <row r="1137">
      <c r="A1137" s="8">
        <v>1136.0</v>
      </c>
      <c r="B1137" s="8" t="s">
        <v>2235</v>
      </c>
      <c r="C1137" s="8" t="s">
        <v>21</v>
      </c>
      <c r="K1137" s="8">
        <v>700.0</v>
      </c>
      <c r="N1137" s="7">
        <v>44983.0</v>
      </c>
    </row>
    <row r="1138">
      <c r="A1138" s="8">
        <v>1137.0</v>
      </c>
      <c r="B1138" s="8" t="s">
        <v>2237</v>
      </c>
      <c r="C1138" s="8" t="s">
        <v>21</v>
      </c>
      <c r="K1138" s="8">
        <v>2500.0</v>
      </c>
      <c r="N1138" s="7">
        <v>44736.0</v>
      </c>
    </row>
    <row r="1139">
      <c r="A1139" s="8">
        <v>1138.0</v>
      </c>
      <c r="B1139" s="8" t="s">
        <v>2238</v>
      </c>
      <c r="C1139" s="8" t="s">
        <v>21</v>
      </c>
      <c r="K1139" s="8">
        <v>50.0</v>
      </c>
      <c r="N1139" s="7">
        <v>44596.0</v>
      </c>
    </row>
    <row r="1140">
      <c r="A1140" s="8">
        <v>1139.0</v>
      </c>
      <c r="B1140" s="8" t="s">
        <v>2239</v>
      </c>
      <c r="C1140" s="8" t="s">
        <v>21</v>
      </c>
      <c r="K1140" s="8">
        <v>450.0</v>
      </c>
      <c r="N1140" s="7">
        <v>45873.0</v>
      </c>
    </row>
    <row r="1141">
      <c r="A1141" s="8">
        <v>1140.0</v>
      </c>
      <c r="B1141" s="8" t="s">
        <v>2240</v>
      </c>
      <c r="C1141" s="8" t="s">
        <v>21</v>
      </c>
      <c r="N1141" s="7">
        <v>44223.0</v>
      </c>
    </row>
    <row r="1142">
      <c r="A1142" s="8">
        <v>1141.0</v>
      </c>
      <c r="B1142" s="8" t="s">
        <v>2241</v>
      </c>
      <c r="C1142" s="8" t="s">
        <v>21</v>
      </c>
      <c r="K1142" s="8">
        <v>1300.0</v>
      </c>
      <c r="N1142" s="7">
        <v>44014.0</v>
      </c>
    </row>
    <row r="1143">
      <c r="A1143" s="8">
        <v>1142.0</v>
      </c>
      <c r="B1143" s="8" t="s">
        <v>2242</v>
      </c>
      <c r="C1143" s="8" t="s">
        <v>21</v>
      </c>
      <c r="K1143" s="8">
        <v>1500.0</v>
      </c>
      <c r="N1143" s="7">
        <v>45688.0</v>
      </c>
    </row>
    <row r="1144">
      <c r="A1144" s="8">
        <v>1143.0</v>
      </c>
      <c r="B1144" s="8" t="s">
        <v>2243</v>
      </c>
      <c r="C1144" s="8" t="s">
        <v>21</v>
      </c>
      <c r="K1144" s="8">
        <v>100.0</v>
      </c>
      <c r="N1144" s="7">
        <v>44898.0</v>
      </c>
    </row>
    <row r="1145">
      <c r="A1145" s="8">
        <v>1144.0</v>
      </c>
      <c r="B1145" s="8" t="s">
        <v>2244</v>
      </c>
      <c r="C1145" s="8" t="s">
        <v>21</v>
      </c>
      <c r="K1145" s="8">
        <v>150.0</v>
      </c>
      <c r="N1145" s="7">
        <v>44696.0</v>
      </c>
    </row>
    <row r="1146">
      <c r="A1146" s="8">
        <v>1145.0</v>
      </c>
      <c r="B1146" s="8" t="s">
        <v>77</v>
      </c>
      <c r="C1146" s="8" t="s">
        <v>21</v>
      </c>
      <c r="K1146" s="8">
        <v>80.0</v>
      </c>
      <c r="N1146" s="7">
        <v>45128.0</v>
      </c>
    </row>
    <row r="1147">
      <c r="A1147" s="8">
        <v>1146.0</v>
      </c>
      <c r="B1147" s="8" t="s">
        <v>2246</v>
      </c>
      <c r="C1147" s="8" t="s">
        <v>21</v>
      </c>
      <c r="K1147" s="8">
        <v>11000.0</v>
      </c>
      <c r="N1147" s="7">
        <v>44339.0</v>
      </c>
    </row>
    <row r="1148">
      <c r="A1148" s="8">
        <v>1147.0</v>
      </c>
      <c r="B1148" s="8" t="s">
        <v>2247</v>
      </c>
      <c r="C1148" s="8" t="s">
        <v>21</v>
      </c>
      <c r="K1148" s="8">
        <v>40.0</v>
      </c>
      <c r="N1148" s="7">
        <v>44872.0</v>
      </c>
    </row>
    <row r="1149">
      <c r="A1149" s="8">
        <v>1148.0</v>
      </c>
      <c r="B1149" s="8" t="s">
        <v>2248</v>
      </c>
      <c r="C1149" s="8" t="s">
        <v>21</v>
      </c>
      <c r="K1149" s="8">
        <v>100.0</v>
      </c>
      <c r="N1149" s="7">
        <v>45399.0</v>
      </c>
    </row>
    <row r="1150">
      <c r="A1150" s="8">
        <v>1149.0</v>
      </c>
      <c r="B1150" s="8" t="s">
        <v>2249</v>
      </c>
      <c r="C1150" s="8" t="s">
        <v>21</v>
      </c>
      <c r="N1150" s="7">
        <v>45310.0</v>
      </c>
    </row>
    <row r="1151">
      <c r="A1151" s="8">
        <v>1150.0</v>
      </c>
      <c r="B1151" s="8" t="s">
        <v>2251</v>
      </c>
      <c r="C1151" s="8" t="s">
        <v>21</v>
      </c>
      <c r="K1151" s="8">
        <v>200.0</v>
      </c>
      <c r="N1151" s="7">
        <v>45495.0</v>
      </c>
    </row>
    <row r="1152">
      <c r="A1152" s="8">
        <v>1151.0</v>
      </c>
      <c r="B1152" s="8" t="s">
        <v>2252</v>
      </c>
      <c r="C1152" s="8" t="s">
        <v>21</v>
      </c>
      <c r="K1152" s="8">
        <v>10.0</v>
      </c>
      <c r="N1152" s="7">
        <v>45916.0</v>
      </c>
    </row>
    <row r="1153">
      <c r="A1153" s="8">
        <v>1152.0</v>
      </c>
      <c r="B1153" s="8" t="s">
        <v>2253</v>
      </c>
      <c r="C1153" s="8" t="s">
        <v>21</v>
      </c>
      <c r="K1153" s="8">
        <v>6900.0</v>
      </c>
      <c r="N1153" s="7">
        <v>43844.0</v>
      </c>
    </row>
    <row r="1154">
      <c r="A1154" s="8">
        <v>1153.0</v>
      </c>
      <c r="B1154" s="8" t="s">
        <v>2255</v>
      </c>
      <c r="C1154" s="8" t="s">
        <v>21</v>
      </c>
      <c r="K1154" s="8">
        <v>90.0</v>
      </c>
      <c r="N1154" s="7">
        <v>44305.0</v>
      </c>
    </row>
    <row r="1155">
      <c r="A1155" s="8">
        <v>1154.0</v>
      </c>
      <c r="B1155" s="8" t="s">
        <v>2257</v>
      </c>
      <c r="C1155" s="8" t="s">
        <v>21</v>
      </c>
      <c r="K1155" s="8">
        <v>600.0</v>
      </c>
      <c r="N1155" s="7">
        <v>44359.0</v>
      </c>
    </row>
    <row r="1156">
      <c r="A1156" s="8">
        <v>1155.0</v>
      </c>
      <c r="B1156" s="8" t="s">
        <v>2259</v>
      </c>
      <c r="C1156" s="8" t="s">
        <v>21</v>
      </c>
      <c r="K1156" s="8">
        <v>100.0</v>
      </c>
      <c r="N1156" s="7">
        <v>44609.0</v>
      </c>
    </row>
    <row r="1157">
      <c r="A1157" s="8">
        <v>1156.0</v>
      </c>
      <c r="B1157" s="8" t="s">
        <v>2260</v>
      </c>
      <c r="C1157" s="8" t="s">
        <v>21</v>
      </c>
      <c r="K1157" s="8">
        <v>60.0</v>
      </c>
      <c r="N1157" s="7">
        <v>45466.0</v>
      </c>
    </row>
    <row r="1158">
      <c r="A1158" s="8">
        <v>1157.0</v>
      </c>
      <c r="B1158" s="8" t="s">
        <v>2261</v>
      </c>
      <c r="C1158" s="8" t="s">
        <v>21</v>
      </c>
      <c r="K1158" s="8">
        <v>100.0</v>
      </c>
      <c r="N1158" s="7">
        <v>44260.0</v>
      </c>
    </row>
    <row r="1159">
      <c r="A1159" s="8">
        <v>1158.0</v>
      </c>
      <c r="B1159" s="8" t="s">
        <v>2262</v>
      </c>
      <c r="C1159" s="8" t="s">
        <v>21</v>
      </c>
      <c r="K1159" s="8">
        <v>5500.0</v>
      </c>
      <c r="N1159" s="7">
        <v>43968.0</v>
      </c>
    </row>
    <row r="1160">
      <c r="A1160" s="8">
        <v>1159.0</v>
      </c>
      <c r="B1160" s="8" t="s">
        <v>2263</v>
      </c>
      <c r="C1160" s="8" t="s">
        <v>21</v>
      </c>
      <c r="K1160" s="8">
        <v>400.0</v>
      </c>
      <c r="N1160" s="7">
        <v>44174.0</v>
      </c>
    </row>
    <row r="1161">
      <c r="A1161" s="8">
        <v>1160.0</v>
      </c>
      <c r="B1161" s="8" t="s">
        <v>2264</v>
      </c>
      <c r="C1161" s="8" t="s">
        <v>21</v>
      </c>
      <c r="K1161" s="8">
        <v>80.0</v>
      </c>
      <c r="N1161" s="7">
        <v>45514.0</v>
      </c>
    </row>
    <row r="1162">
      <c r="A1162" s="8">
        <v>1161.0</v>
      </c>
      <c r="B1162" s="8" t="s">
        <v>2266</v>
      </c>
      <c r="C1162" s="8" t="s">
        <v>21</v>
      </c>
      <c r="K1162" s="8">
        <v>300.0</v>
      </c>
      <c r="N1162" s="7">
        <v>44850.0</v>
      </c>
    </row>
    <row r="1163">
      <c r="A1163" s="8">
        <v>1162.0</v>
      </c>
      <c r="B1163" s="8" t="s">
        <v>2267</v>
      </c>
      <c r="C1163" s="8" t="s">
        <v>21</v>
      </c>
      <c r="N1163" s="7">
        <v>44174.0</v>
      </c>
      <c r="O1163" s="8" t="s">
        <v>147</v>
      </c>
      <c r="P1163" s="8" t="s">
        <v>28</v>
      </c>
      <c r="S1163" s="8" t="s">
        <v>32</v>
      </c>
    </row>
    <row r="1164">
      <c r="A1164" s="8">
        <v>1163.0</v>
      </c>
      <c r="B1164" s="8" t="s">
        <v>2268</v>
      </c>
      <c r="C1164" s="8" t="s">
        <v>21</v>
      </c>
      <c r="K1164" s="8">
        <v>150.0</v>
      </c>
      <c r="N1164" s="7">
        <v>44586.0</v>
      </c>
    </row>
    <row r="1165">
      <c r="A1165" s="8">
        <v>1164.0</v>
      </c>
      <c r="B1165" s="8" t="s">
        <v>2269</v>
      </c>
      <c r="C1165" s="8" t="s">
        <v>21</v>
      </c>
      <c r="N1165" s="7">
        <v>44214.0</v>
      </c>
    </row>
    <row r="1166">
      <c r="A1166" s="8">
        <v>1165.0</v>
      </c>
      <c r="B1166" s="8" t="s">
        <v>2271</v>
      </c>
      <c r="C1166" s="8" t="s">
        <v>21</v>
      </c>
      <c r="K1166" s="8">
        <v>2800.0</v>
      </c>
      <c r="N1166" s="7">
        <v>44799.0</v>
      </c>
    </row>
    <row r="1167">
      <c r="A1167" s="8">
        <v>1166.0</v>
      </c>
      <c r="B1167" s="8" t="s">
        <v>2272</v>
      </c>
      <c r="C1167" s="8" t="s">
        <v>21</v>
      </c>
      <c r="K1167" s="8">
        <v>60.0</v>
      </c>
      <c r="N1167" s="7">
        <v>44558.0</v>
      </c>
    </row>
    <row r="1168">
      <c r="A1168" s="8">
        <v>1167.0</v>
      </c>
      <c r="B1168" s="8" t="s">
        <v>2273</v>
      </c>
      <c r="C1168" s="8" t="s">
        <v>21</v>
      </c>
      <c r="K1168" s="8">
        <v>600.0</v>
      </c>
      <c r="N1168" s="7">
        <v>44290.0</v>
      </c>
    </row>
    <row r="1169">
      <c r="A1169" s="8">
        <v>1168.0</v>
      </c>
      <c r="B1169" s="8" t="s">
        <v>2274</v>
      </c>
      <c r="C1169" s="8" t="s">
        <v>21</v>
      </c>
      <c r="N1169" s="7">
        <v>42580.0</v>
      </c>
    </row>
    <row r="1170">
      <c r="A1170" s="8">
        <v>1169.0</v>
      </c>
      <c r="B1170" s="8" t="s">
        <v>2276</v>
      </c>
      <c r="C1170" s="8" t="s">
        <v>21</v>
      </c>
      <c r="K1170" s="8">
        <v>1000.0</v>
      </c>
      <c r="N1170" s="7">
        <v>44393.0</v>
      </c>
    </row>
    <row r="1171">
      <c r="A1171" s="8">
        <v>1170.0</v>
      </c>
      <c r="B1171" s="8" t="s">
        <v>2277</v>
      </c>
      <c r="C1171" s="8" t="s">
        <v>21</v>
      </c>
      <c r="K1171" s="8">
        <v>600.0</v>
      </c>
      <c r="N1171" s="7">
        <v>44491.0</v>
      </c>
    </row>
    <row r="1172">
      <c r="A1172" s="8">
        <v>1171.0</v>
      </c>
      <c r="B1172" s="8" t="s">
        <v>2278</v>
      </c>
      <c r="C1172" s="8" t="s">
        <v>21</v>
      </c>
      <c r="K1172" s="8">
        <v>30.0</v>
      </c>
      <c r="N1172" s="7">
        <v>44349.0</v>
      </c>
    </row>
    <row r="1173">
      <c r="A1173" s="8">
        <v>1172.0</v>
      </c>
      <c r="B1173" s="8" t="s">
        <v>2279</v>
      </c>
      <c r="C1173" s="8" t="s">
        <v>21</v>
      </c>
      <c r="N1173" s="7">
        <v>44748.0</v>
      </c>
    </row>
    <row r="1174">
      <c r="A1174" s="8">
        <v>1173.0</v>
      </c>
      <c r="B1174" s="8" t="s">
        <v>2280</v>
      </c>
      <c r="C1174" s="8" t="s">
        <v>21</v>
      </c>
      <c r="K1174" s="8">
        <v>60.0</v>
      </c>
      <c r="N1174" s="7">
        <v>44639.0</v>
      </c>
    </row>
    <row r="1175">
      <c r="A1175" s="8">
        <v>1174.0</v>
      </c>
      <c r="B1175" s="8" t="s">
        <v>2281</v>
      </c>
      <c r="C1175" s="8" t="s">
        <v>21</v>
      </c>
      <c r="K1175" s="8">
        <v>40.0</v>
      </c>
      <c r="N1175" s="7">
        <v>44264.0</v>
      </c>
    </row>
    <row r="1176">
      <c r="A1176" s="8">
        <v>1175.0</v>
      </c>
      <c r="B1176" s="8" t="s">
        <v>80</v>
      </c>
      <c r="C1176" s="8" t="s">
        <v>21</v>
      </c>
      <c r="K1176" s="8">
        <v>100.0</v>
      </c>
      <c r="N1176" s="7">
        <v>44013.0</v>
      </c>
    </row>
    <row r="1177">
      <c r="A1177" s="8">
        <v>1176.0</v>
      </c>
      <c r="B1177" s="8" t="s">
        <v>2283</v>
      </c>
      <c r="C1177" s="8" t="s">
        <v>21</v>
      </c>
      <c r="K1177" s="8">
        <v>900.0</v>
      </c>
      <c r="N1177" s="7">
        <v>46084.0</v>
      </c>
    </row>
    <row r="1178">
      <c r="A1178" s="8">
        <v>1177.0</v>
      </c>
      <c r="B1178" s="8" t="s">
        <v>2284</v>
      </c>
      <c r="C1178" s="8" t="s">
        <v>21</v>
      </c>
      <c r="N1178" s="7">
        <v>44283.0</v>
      </c>
    </row>
    <row r="1179">
      <c r="A1179" s="8">
        <v>1178.0</v>
      </c>
      <c r="B1179" s="8" t="s">
        <v>2285</v>
      </c>
      <c r="C1179" s="8" t="s">
        <v>21</v>
      </c>
      <c r="K1179" s="8">
        <v>60.0</v>
      </c>
      <c r="N1179" s="7">
        <v>45201.0</v>
      </c>
    </row>
    <row r="1180">
      <c r="A1180" s="8">
        <v>1179.0</v>
      </c>
      <c r="B1180" s="8" t="s">
        <v>2287</v>
      </c>
      <c r="C1180" s="8" t="s">
        <v>21</v>
      </c>
      <c r="K1180" s="8">
        <v>60.0</v>
      </c>
      <c r="N1180" s="7">
        <v>44423.0</v>
      </c>
    </row>
    <row r="1181">
      <c r="A1181" s="8">
        <v>1180.0</v>
      </c>
      <c r="B1181" s="8" t="s">
        <v>2288</v>
      </c>
      <c r="C1181" s="8" t="s">
        <v>21</v>
      </c>
      <c r="K1181" s="8">
        <v>8100.0</v>
      </c>
      <c r="N1181" s="7">
        <v>43951.0</v>
      </c>
    </row>
    <row r="1182">
      <c r="A1182" s="8">
        <v>1181.0</v>
      </c>
      <c r="B1182" s="8" t="s">
        <v>2289</v>
      </c>
      <c r="C1182" s="8" t="s">
        <v>21</v>
      </c>
      <c r="K1182" s="8">
        <v>250.0</v>
      </c>
      <c r="N1182" s="7">
        <v>44676.0</v>
      </c>
    </row>
    <row r="1183">
      <c r="A1183" s="8">
        <v>1182.0</v>
      </c>
      <c r="B1183" s="8" t="s">
        <v>2291</v>
      </c>
      <c r="C1183" s="8" t="s">
        <v>21</v>
      </c>
      <c r="K1183" s="8">
        <v>2200.0</v>
      </c>
      <c r="N1183" s="7">
        <v>44014.0</v>
      </c>
    </row>
    <row r="1184">
      <c r="A1184" s="8">
        <v>1183.0</v>
      </c>
      <c r="B1184" s="8" t="s">
        <v>2292</v>
      </c>
      <c r="C1184" s="8" t="s">
        <v>21</v>
      </c>
      <c r="K1184" s="8">
        <v>90.0</v>
      </c>
      <c r="N1184" s="7">
        <v>44811.0</v>
      </c>
    </row>
    <row r="1185">
      <c r="A1185" s="8">
        <v>1184.0</v>
      </c>
      <c r="B1185" s="8" t="s">
        <v>2293</v>
      </c>
      <c r="C1185" s="8" t="s">
        <v>21</v>
      </c>
      <c r="K1185" s="8">
        <v>400.0</v>
      </c>
      <c r="N1185" s="7">
        <v>45751.0</v>
      </c>
    </row>
    <row r="1186">
      <c r="A1186" s="8">
        <v>1185.0</v>
      </c>
      <c r="B1186" s="8" t="s">
        <v>2295</v>
      </c>
      <c r="C1186" s="8" t="s">
        <v>21</v>
      </c>
      <c r="K1186" s="8">
        <v>10.0</v>
      </c>
      <c r="N1186" s="7">
        <v>44023.0</v>
      </c>
    </row>
    <row r="1187">
      <c r="A1187" s="8">
        <v>1186.0</v>
      </c>
      <c r="B1187" s="8" t="s">
        <v>2296</v>
      </c>
      <c r="C1187" s="8" t="s">
        <v>21</v>
      </c>
      <c r="K1187" s="8">
        <v>500.0</v>
      </c>
      <c r="N1187" s="7">
        <v>45292.0</v>
      </c>
    </row>
    <row r="1188">
      <c r="A1188" s="8">
        <v>1187.0</v>
      </c>
      <c r="B1188" s="8" t="s">
        <v>2297</v>
      </c>
      <c r="C1188" s="8" t="s">
        <v>21</v>
      </c>
      <c r="K1188" s="8">
        <v>70.0</v>
      </c>
      <c r="N1188" s="7">
        <v>45841.0</v>
      </c>
    </row>
    <row r="1189">
      <c r="A1189" s="8">
        <v>1188.0</v>
      </c>
      <c r="B1189" s="8" t="s">
        <v>2299</v>
      </c>
      <c r="C1189" s="8" t="s">
        <v>21</v>
      </c>
      <c r="N1189" s="7">
        <v>44636.0</v>
      </c>
    </row>
    <row r="1190">
      <c r="A1190" s="8">
        <v>1189.0</v>
      </c>
      <c r="B1190" s="8" t="s">
        <v>2300</v>
      </c>
      <c r="C1190" s="8" t="s">
        <v>21</v>
      </c>
      <c r="K1190" s="8">
        <v>100.0</v>
      </c>
      <c r="N1190" s="7">
        <v>45108.0</v>
      </c>
    </row>
    <row r="1191">
      <c r="A1191" s="8">
        <v>1190.0</v>
      </c>
      <c r="B1191" s="8" t="s">
        <v>2301</v>
      </c>
      <c r="C1191" s="8" t="s">
        <v>21</v>
      </c>
      <c r="K1191" s="8">
        <v>150.0</v>
      </c>
      <c r="N1191" s="7">
        <v>44292.0</v>
      </c>
    </row>
    <row r="1192">
      <c r="A1192" s="8">
        <v>1191.0</v>
      </c>
      <c r="B1192" s="8" t="s">
        <v>2302</v>
      </c>
      <c r="C1192" s="8" t="s">
        <v>21</v>
      </c>
      <c r="K1192" s="8">
        <v>1000.0</v>
      </c>
      <c r="N1192" s="7">
        <v>44518.0</v>
      </c>
    </row>
    <row r="1193">
      <c r="A1193" s="8">
        <v>1192.0</v>
      </c>
      <c r="B1193" s="8" t="s">
        <v>2303</v>
      </c>
      <c r="C1193" s="8" t="s">
        <v>21</v>
      </c>
      <c r="K1193" s="8">
        <v>500.0</v>
      </c>
      <c r="N1193" s="7">
        <v>44607.0</v>
      </c>
    </row>
    <row r="1194">
      <c r="A1194" s="8">
        <v>1193.0</v>
      </c>
      <c r="B1194" s="8" t="s">
        <v>2304</v>
      </c>
      <c r="C1194" s="8" t="s">
        <v>21</v>
      </c>
      <c r="K1194" s="8">
        <v>600.0</v>
      </c>
      <c r="N1194" s="7">
        <v>43935.0</v>
      </c>
    </row>
    <row r="1195">
      <c r="A1195" s="8">
        <v>1194.0</v>
      </c>
      <c r="B1195" s="8" t="s">
        <v>2306</v>
      </c>
      <c r="C1195" s="8" t="s">
        <v>21</v>
      </c>
      <c r="N1195" s="7">
        <v>44824.0</v>
      </c>
    </row>
    <row r="1196">
      <c r="A1196" s="8">
        <v>1195.0</v>
      </c>
      <c r="B1196" s="8" t="s">
        <v>2307</v>
      </c>
      <c r="C1196" s="8" t="s">
        <v>21</v>
      </c>
      <c r="K1196" s="8">
        <v>20.0</v>
      </c>
      <c r="N1196" s="7">
        <v>44337.0</v>
      </c>
    </row>
    <row r="1197">
      <c r="A1197" s="8">
        <v>1196.0</v>
      </c>
      <c r="B1197" s="8" t="s">
        <v>2309</v>
      </c>
      <c r="C1197" s="8" t="s">
        <v>21</v>
      </c>
      <c r="N1197" s="7">
        <v>45182.0</v>
      </c>
    </row>
    <row r="1198">
      <c r="A1198" s="8">
        <v>1197.0</v>
      </c>
      <c r="B1198" s="8" t="s">
        <v>2311</v>
      </c>
      <c r="C1198" s="8" t="s">
        <v>21</v>
      </c>
      <c r="K1198" s="8">
        <v>100.0</v>
      </c>
      <c r="N1198" s="7">
        <v>44224.0</v>
      </c>
    </row>
    <row r="1199">
      <c r="A1199" s="8">
        <v>1198.0</v>
      </c>
      <c r="B1199" s="8" t="s">
        <v>2313</v>
      </c>
      <c r="C1199" s="8" t="s">
        <v>21</v>
      </c>
      <c r="K1199" s="8">
        <v>450.0</v>
      </c>
      <c r="N1199" s="7">
        <v>45293.0</v>
      </c>
    </row>
    <row r="1200">
      <c r="A1200" s="8">
        <v>1199.0</v>
      </c>
      <c r="B1200" s="8" t="s">
        <v>2315</v>
      </c>
      <c r="C1200" s="8" t="s">
        <v>21</v>
      </c>
      <c r="K1200" s="8">
        <v>800.0</v>
      </c>
      <c r="N1200" s="7">
        <v>44463.0</v>
      </c>
    </row>
    <row r="1201">
      <c r="A1201" s="8">
        <v>1200.0</v>
      </c>
      <c r="B1201" s="8" t="s">
        <v>2317</v>
      </c>
      <c r="C1201" s="8" t="s">
        <v>21</v>
      </c>
      <c r="K1201" s="8">
        <v>600.0</v>
      </c>
      <c r="N1201" s="7">
        <v>45844.0</v>
      </c>
    </row>
    <row r="1202">
      <c r="A1202" s="8">
        <v>1201.0</v>
      </c>
      <c r="B1202" s="8" t="s">
        <v>2318</v>
      </c>
      <c r="C1202" s="8" t="s">
        <v>21</v>
      </c>
      <c r="K1202" s="8">
        <v>20.0</v>
      </c>
      <c r="N1202" s="7">
        <v>44107.0</v>
      </c>
    </row>
    <row r="1203">
      <c r="A1203" s="8">
        <v>1202.0</v>
      </c>
      <c r="B1203" s="8" t="s">
        <v>2319</v>
      </c>
      <c r="C1203" s="8" t="s">
        <v>21</v>
      </c>
      <c r="N1203" s="7">
        <v>44469.0</v>
      </c>
    </row>
    <row r="1204">
      <c r="A1204" s="8">
        <v>1203.0</v>
      </c>
      <c r="B1204" s="8" t="s">
        <v>2320</v>
      </c>
      <c r="C1204" s="8" t="s">
        <v>21</v>
      </c>
      <c r="K1204" s="8">
        <v>80.0</v>
      </c>
      <c r="N1204" s="7">
        <v>42596.0</v>
      </c>
    </row>
    <row r="1205">
      <c r="A1205" s="8">
        <v>1204.0</v>
      </c>
      <c r="B1205" s="8" t="s">
        <v>2321</v>
      </c>
      <c r="C1205" s="8" t="s">
        <v>21</v>
      </c>
      <c r="K1205" s="8">
        <v>1000.0</v>
      </c>
      <c r="N1205" s="7">
        <v>44686.0</v>
      </c>
    </row>
    <row r="1206">
      <c r="A1206" s="8">
        <v>1205.0</v>
      </c>
      <c r="B1206" s="8" t="s">
        <v>2322</v>
      </c>
      <c r="C1206" s="8" t="s">
        <v>21</v>
      </c>
      <c r="K1206" s="8">
        <v>150.0</v>
      </c>
      <c r="N1206" s="7">
        <v>44204.0</v>
      </c>
    </row>
    <row r="1207">
      <c r="A1207" s="8">
        <v>1206.0</v>
      </c>
      <c r="B1207" s="8" t="s">
        <v>2323</v>
      </c>
      <c r="C1207" s="8" t="s">
        <v>21</v>
      </c>
      <c r="K1207" s="8">
        <v>250.0</v>
      </c>
      <c r="N1207" s="7">
        <v>44196.0</v>
      </c>
    </row>
    <row r="1208">
      <c r="A1208" s="8">
        <v>1207.0</v>
      </c>
      <c r="B1208" s="8" t="s">
        <v>2324</v>
      </c>
      <c r="C1208" s="8" t="s">
        <v>21</v>
      </c>
      <c r="K1208" s="8">
        <v>100.0</v>
      </c>
      <c r="N1208" s="7">
        <v>44571.0</v>
      </c>
    </row>
    <row r="1209">
      <c r="A1209" s="8">
        <v>1208.0</v>
      </c>
      <c r="B1209" s="8" t="s">
        <v>2325</v>
      </c>
      <c r="C1209" s="8" t="s">
        <v>21</v>
      </c>
      <c r="K1209" s="8">
        <v>10.0</v>
      </c>
      <c r="N1209" s="7">
        <v>44137.0</v>
      </c>
    </row>
    <row r="1210">
      <c r="A1210" s="8">
        <v>1209.0</v>
      </c>
      <c r="B1210" s="8" t="s">
        <v>2326</v>
      </c>
      <c r="C1210" s="8" t="s">
        <v>21</v>
      </c>
      <c r="K1210" s="8">
        <v>2500.0</v>
      </c>
      <c r="N1210" s="7">
        <v>44201.0</v>
      </c>
    </row>
    <row r="1211">
      <c r="A1211" s="8">
        <v>1210.0</v>
      </c>
      <c r="B1211" s="8" t="s">
        <v>2328</v>
      </c>
      <c r="C1211" s="8" t="s">
        <v>21</v>
      </c>
      <c r="K1211" s="8">
        <v>150.0</v>
      </c>
      <c r="N1211" s="7">
        <v>44057.0</v>
      </c>
    </row>
    <row r="1212">
      <c r="A1212" s="8">
        <v>1211.0</v>
      </c>
      <c r="B1212" s="8" t="s">
        <v>2329</v>
      </c>
      <c r="C1212" s="8" t="s">
        <v>21</v>
      </c>
      <c r="K1212" s="8">
        <v>800.0</v>
      </c>
      <c r="N1212" s="7">
        <v>44722.0</v>
      </c>
    </row>
    <row r="1213">
      <c r="A1213" s="8">
        <v>1212.0</v>
      </c>
      <c r="B1213" s="8" t="s">
        <v>2331</v>
      </c>
      <c r="C1213" s="8" t="s">
        <v>21</v>
      </c>
      <c r="K1213" s="8">
        <v>250.0</v>
      </c>
      <c r="N1213" s="7">
        <v>43889.0</v>
      </c>
    </row>
    <row r="1214">
      <c r="A1214" s="8">
        <v>1213.0</v>
      </c>
      <c r="B1214" s="8" t="s">
        <v>2332</v>
      </c>
      <c r="C1214" s="8" t="s">
        <v>21</v>
      </c>
      <c r="K1214" s="8">
        <v>150.0</v>
      </c>
      <c r="N1214" s="7">
        <v>44801.0</v>
      </c>
    </row>
    <row r="1215">
      <c r="A1215" s="8">
        <v>1214.0</v>
      </c>
      <c r="B1215" s="8" t="s">
        <v>2334</v>
      </c>
      <c r="C1215" s="8" t="s">
        <v>21</v>
      </c>
      <c r="N1215" s="7">
        <v>44544.0</v>
      </c>
    </row>
    <row r="1216">
      <c r="A1216" s="8">
        <v>1215.0</v>
      </c>
      <c r="B1216" s="8" t="s">
        <v>2336</v>
      </c>
      <c r="C1216" s="8" t="s">
        <v>21</v>
      </c>
      <c r="K1216" s="8">
        <v>300.0</v>
      </c>
      <c r="N1216" s="7">
        <v>44121.0</v>
      </c>
    </row>
    <row r="1217">
      <c r="A1217" s="8">
        <v>1216.0</v>
      </c>
      <c r="B1217" s="8" t="s">
        <v>81</v>
      </c>
      <c r="C1217" s="8" t="s">
        <v>21</v>
      </c>
      <c r="K1217" s="8">
        <v>600.0</v>
      </c>
      <c r="N1217" s="7">
        <v>44149.0</v>
      </c>
    </row>
    <row r="1218">
      <c r="A1218" s="8">
        <v>1217.0</v>
      </c>
      <c r="B1218" s="8" t="s">
        <v>2338</v>
      </c>
      <c r="C1218" s="8" t="s">
        <v>21</v>
      </c>
      <c r="K1218" s="8">
        <v>4400.0</v>
      </c>
      <c r="N1218" s="7">
        <v>44118.0</v>
      </c>
    </row>
    <row r="1219">
      <c r="A1219" s="8">
        <v>1218.0</v>
      </c>
      <c r="B1219" s="8" t="s">
        <v>2339</v>
      </c>
      <c r="C1219" s="8" t="s">
        <v>21</v>
      </c>
      <c r="K1219" s="8">
        <v>150.0</v>
      </c>
      <c r="N1219" s="7">
        <v>44352.0</v>
      </c>
    </row>
    <row r="1220">
      <c r="A1220" s="8">
        <v>1219.0</v>
      </c>
      <c r="B1220" s="8" t="s">
        <v>2341</v>
      </c>
      <c r="C1220" s="8" t="s">
        <v>21</v>
      </c>
      <c r="K1220" s="8">
        <v>90.0</v>
      </c>
      <c r="N1220" s="7">
        <v>44567.0</v>
      </c>
      <c r="O1220" s="8" t="s">
        <v>31</v>
      </c>
      <c r="P1220" s="8" t="s">
        <v>28</v>
      </c>
      <c r="S1220" s="8" t="s">
        <v>32</v>
      </c>
    </row>
    <row r="1221">
      <c r="A1221" s="8">
        <v>1220.0</v>
      </c>
      <c r="B1221" s="8" t="s">
        <v>2342</v>
      </c>
      <c r="C1221" s="8" t="s">
        <v>21</v>
      </c>
      <c r="K1221" s="8">
        <v>150.0</v>
      </c>
      <c r="N1221" s="7">
        <v>44507.0</v>
      </c>
    </row>
    <row r="1222">
      <c r="A1222" s="8">
        <v>1221.0</v>
      </c>
      <c r="B1222" s="8" t="s">
        <v>2344</v>
      </c>
      <c r="C1222" s="8" t="s">
        <v>21</v>
      </c>
      <c r="K1222" s="8">
        <v>100.0</v>
      </c>
      <c r="N1222" s="7">
        <v>45180.0</v>
      </c>
    </row>
    <row r="1223">
      <c r="A1223" s="8">
        <v>1222.0</v>
      </c>
      <c r="B1223" s="8" t="s">
        <v>2345</v>
      </c>
      <c r="C1223" s="8" t="s">
        <v>21</v>
      </c>
      <c r="K1223" s="8">
        <v>700.0</v>
      </c>
      <c r="N1223" s="7">
        <v>44608.0</v>
      </c>
    </row>
    <row r="1224">
      <c r="A1224" s="8">
        <v>1223.0</v>
      </c>
      <c r="B1224" s="8" t="s">
        <v>2346</v>
      </c>
      <c r="C1224" s="8" t="s">
        <v>21</v>
      </c>
      <c r="K1224" s="8">
        <v>10.0</v>
      </c>
      <c r="N1224" s="7">
        <v>46066.0</v>
      </c>
    </row>
    <row r="1225">
      <c r="A1225" s="8">
        <v>1224.0</v>
      </c>
      <c r="B1225" s="8" t="s">
        <v>2347</v>
      </c>
      <c r="C1225" s="8" t="s">
        <v>21</v>
      </c>
      <c r="K1225" s="8">
        <v>1300.0</v>
      </c>
      <c r="N1225" s="7">
        <v>44376.0</v>
      </c>
    </row>
    <row r="1226">
      <c r="A1226" s="8">
        <v>1225.0</v>
      </c>
      <c r="B1226" s="8" t="s">
        <v>2348</v>
      </c>
      <c r="C1226" s="8" t="s">
        <v>21</v>
      </c>
      <c r="K1226" s="8">
        <v>10.0</v>
      </c>
      <c r="N1226" s="7">
        <v>44329.0</v>
      </c>
    </row>
    <row r="1227">
      <c r="A1227" s="8">
        <v>1226.0</v>
      </c>
      <c r="B1227" s="8" t="s">
        <v>2349</v>
      </c>
      <c r="C1227" s="8" t="s">
        <v>21</v>
      </c>
      <c r="K1227" s="8">
        <v>400.0</v>
      </c>
      <c r="N1227" s="7">
        <v>44463.0</v>
      </c>
    </row>
    <row r="1228">
      <c r="A1228" s="8">
        <v>1227.0</v>
      </c>
      <c r="B1228" s="8" t="s">
        <v>2350</v>
      </c>
      <c r="C1228" s="8" t="s">
        <v>21</v>
      </c>
      <c r="K1228" s="8">
        <v>150.0</v>
      </c>
      <c r="N1228" s="7">
        <v>44052.0</v>
      </c>
      <c r="O1228" s="8" t="s">
        <v>107</v>
      </c>
      <c r="P1228" s="8" t="s">
        <v>28</v>
      </c>
      <c r="S1228" s="8" t="s">
        <v>32</v>
      </c>
    </row>
    <row r="1229">
      <c r="A1229" s="8">
        <v>1228.0</v>
      </c>
      <c r="B1229" s="8" t="s">
        <v>2351</v>
      </c>
      <c r="C1229" s="8" t="s">
        <v>21</v>
      </c>
      <c r="K1229" s="8">
        <v>20.0</v>
      </c>
      <c r="N1229" s="7">
        <v>44538.0</v>
      </c>
    </row>
    <row r="1230">
      <c r="A1230" s="8">
        <v>1229.0</v>
      </c>
      <c r="B1230" s="8" t="s">
        <v>2353</v>
      </c>
      <c r="C1230" s="8" t="s">
        <v>21</v>
      </c>
      <c r="N1230" s="7">
        <v>44246.0</v>
      </c>
    </row>
    <row r="1231">
      <c r="A1231" s="8">
        <v>1230.0</v>
      </c>
      <c r="B1231" s="8" t="s">
        <v>2354</v>
      </c>
      <c r="C1231" s="8" t="s">
        <v>21</v>
      </c>
      <c r="K1231" s="8">
        <v>10.0</v>
      </c>
      <c r="N1231" s="7">
        <v>44330.0</v>
      </c>
    </row>
    <row r="1232">
      <c r="A1232" s="8">
        <v>1231.0</v>
      </c>
      <c r="B1232" s="8" t="s">
        <v>2355</v>
      </c>
      <c r="C1232" s="8" t="s">
        <v>21</v>
      </c>
      <c r="K1232" s="8">
        <v>40.0</v>
      </c>
      <c r="N1232" s="7">
        <v>44185.0</v>
      </c>
    </row>
    <row r="1233">
      <c r="A1233" s="8">
        <v>1232.0</v>
      </c>
      <c r="B1233" s="8" t="s">
        <v>2357</v>
      </c>
      <c r="C1233" s="8" t="s">
        <v>21</v>
      </c>
      <c r="K1233" s="8">
        <v>150.0</v>
      </c>
      <c r="N1233" s="7">
        <v>45209.0</v>
      </c>
    </row>
    <row r="1234">
      <c r="A1234" s="8">
        <v>1233.0</v>
      </c>
      <c r="B1234" s="8" t="s">
        <v>2359</v>
      </c>
      <c r="C1234" s="8" t="s">
        <v>21</v>
      </c>
      <c r="K1234" s="8">
        <v>20.0</v>
      </c>
      <c r="N1234" s="7">
        <v>44215.0</v>
      </c>
    </row>
    <row r="1235">
      <c r="A1235" s="8">
        <v>1234.0</v>
      </c>
      <c r="B1235" s="8" t="s">
        <v>2360</v>
      </c>
      <c r="C1235" s="8" t="s">
        <v>21</v>
      </c>
      <c r="K1235" s="8">
        <v>200.0</v>
      </c>
      <c r="N1235" s="7">
        <v>45332.0</v>
      </c>
    </row>
    <row r="1236">
      <c r="A1236" s="8">
        <v>1235.0</v>
      </c>
      <c r="B1236" s="8" t="s">
        <v>2361</v>
      </c>
      <c r="C1236" s="8" t="s">
        <v>21</v>
      </c>
      <c r="K1236" s="8">
        <v>40.0</v>
      </c>
      <c r="N1236" s="7">
        <v>45320.0</v>
      </c>
    </row>
    <row r="1237">
      <c r="A1237" s="8">
        <v>1236.0</v>
      </c>
      <c r="B1237" s="8" t="s">
        <v>2362</v>
      </c>
      <c r="C1237" s="8" t="s">
        <v>21</v>
      </c>
      <c r="K1237" s="8">
        <v>150.0</v>
      </c>
      <c r="N1237" s="7">
        <v>44256.0</v>
      </c>
    </row>
    <row r="1238">
      <c r="A1238" s="8">
        <v>1237.0</v>
      </c>
      <c r="B1238" s="8" t="s">
        <v>2363</v>
      </c>
      <c r="C1238" s="8" t="s">
        <v>21</v>
      </c>
      <c r="K1238" s="8">
        <v>100.0</v>
      </c>
      <c r="N1238" s="7">
        <v>45009.0</v>
      </c>
    </row>
    <row r="1239">
      <c r="A1239" s="8">
        <v>1238.0</v>
      </c>
      <c r="B1239" s="8" t="s">
        <v>2364</v>
      </c>
      <c r="C1239" s="8" t="s">
        <v>21</v>
      </c>
      <c r="K1239" s="8">
        <v>20.0</v>
      </c>
      <c r="N1239" s="7">
        <v>43842.0</v>
      </c>
    </row>
    <row r="1240">
      <c r="A1240" s="8">
        <v>1239.0</v>
      </c>
      <c r="B1240" s="8" t="s">
        <v>2365</v>
      </c>
      <c r="C1240" s="8" t="s">
        <v>21</v>
      </c>
      <c r="K1240" s="8">
        <v>2400.0</v>
      </c>
      <c r="N1240" s="7">
        <v>44439.0</v>
      </c>
    </row>
    <row r="1241">
      <c r="A1241" s="8">
        <v>1240.0</v>
      </c>
      <c r="B1241" s="8" t="s">
        <v>2366</v>
      </c>
      <c r="C1241" s="8" t="s">
        <v>21</v>
      </c>
      <c r="N1241" s="7">
        <v>44718.0</v>
      </c>
    </row>
    <row r="1242">
      <c r="A1242" s="8">
        <v>1241.0</v>
      </c>
      <c r="B1242" s="8" t="s">
        <v>2368</v>
      </c>
      <c r="C1242" s="8" t="s">
        <v>21</v>
      </c>
      <c r="K1242" s="8">
        <v>28000.0</v>
      </c>
      <c r="N1242" s="7">
        <v>44068.0</v>
      </c>
    </row>
    <row r="1243">
      <c r="A1243" s="8">
        <v>1242.0</v>
      </c>
      <c r="B1243" s="8" t="s">
        <v>2369</v>
      </c>
      <c r="C1243" s="8" t="s">
        <v>21</v>
      </c>
      <c r="N1243" s="7">
        <v>45600.0</v>
      </c>
    </row>
    <row r="1244">
      <c r="A1244" s="8">
        <v>1243.0</v>
      </c>
      <c r="B1244" s="8" t="s">
        <v>2370</v>
      </c>
      <c r="C1244" s="8" t="s">
        <v>21</v>
      </c>
      <c r="K1244" s="8">
        <v>10.0</v>
      </c>
      <c r="N1244" s="7">
        <v>43900.0</v>
      </c>
    </row>
    <row r="1245">
      <c r="A1245" s="8">
        <v>1244.0</v>
      </c>
      <c r="B1245" s="8" t="s">
        <v>2372</v>
      </c>
      <c r="C1245" s="8" t="s">
        <v>21</v>
      </c>
      <c r="N1245" s="7">
        <v>44299.0</v>
      </c>
    </row>
    <row r="1246">
      <c r="A1246" s="8">
        <v>1245.0</v>
      </c>
      <c r="B1246" s="8" t="s">
        <v>2373</v>
      </c>
      <c r="C1246" s="8" t="s">
        <v>21</v>
      </c>
      <c r="K1246" s="8">
        <v>50.0</v>
      </c>
      <c r="N1246" s="7">
        <v>45164.0</v>
      </c>
    </row>
    <row r="1247">
      <c r="A1247" s="8">
        <v>1246.0</v>
      </c>
      <c r="B1247" s="8" t="s">
        <v>2374</v>
      </c>
      <c r="C1247" s="8" t="s">
        <v>21</v>
      </c>
      <c r="K1247" s="8">
        <v>10.0</v>
      </c>
      <c r="N1247" s="7">
        <v>45532.0</v>
      </c>
    </row>
    <row r="1248">
      <c r="A1248" s="8">
        <v>1247.0</v>
      </c>
      <c r="B1248" s="8" t="s">
        <v>2376</v>
      </c>
      <c r="C1248" s="8" t="s">
        <v>21</v>
      </c>
      <c r="K1248" s="8">
        <v>500.0</v>
      </c>
      <c r="N1248" s="7">
        <v>44469.0</v>
      </c>
    </row>
    <row r="1249">
      <c r="A1249" s="8">
        <v>1248.0</v>
      </c>
      <c r="B1249" s="8" t="s">
        <v>2377</v>
      </c>
      <c r="C1249" s="8" t="s">
        <v>21</v>
      </c>
      <c r="K1249" s="8">
        <v>3400.0</v>
      </c>
      <c r="N1249" s="7">
        <v>44175.0</v>
      </c>
    </row>
    <row r="1250">
      <c r="A1250" s="8">
        <v>1249.0</v>
      </c>
      <c r="B1250" s="8" t="s">
        <v>2378</v>
      </c>
      <c r="C1250" s="8" t="s">
        <v>21</v>
      </c>
      <c r="N1250" s="7">
        <v>44982.0</v>
      </c>
    </row>
    <row r="1251">
      <c r="A1251" s="8">
        <v>1250.0</v>
      </c>
      <c r="B1251" s="8" t="s">
        <v>2380</v>
      </c>
      <c r="C1251" s="8" t="s">
        <v>21</v>
      </c>
      <c r="K1251" s="8">
        <v>20.0</v>
      </c>
      <c r="N1251" s="7">
        <v>45873.0</v>
      </c>
    </row>
    <row r="1252">
      <c r="A1252" s="8">
        <v>1251.0</v>
      </c>
      <c r="B1252" s="8" t="s">
        <v>2381</v>
      </c>
      <c r="C1252" s="8" t="s">
        <v>21</v>
      </c>
      <c r="K1252" s="8">
        <v>10.0</v>
      </c>
      <c r="N1252" s="7">
        <v>44830.0</v>
      </c>
    </row>
    <row r="1253">
      <c r="A1253" s="8">
        <v>1252.0</v>
      </c>
      <c r="B1253" s="8" t="s">
        <v>2382</v>
      </c>
      <c r="C1253" s="8" t="s">
        <v>21</v>
      </c>
      <c r="K1253" s="8">
        <v>60.0</v>
      </c>
      <c r="N1253" s="7">
        <v>44381.0</v>
      </c>
    </row>
    <row r="1254">
      <c r="A1254" s="8">
        <v>1253.0</v>
      </c>
      <c r="B1254" s="8" t="s">
        <v>2384</v>
      </c>
      <c r="C1254" s="8" t="s">
        <v>21</v>
      </c>
      <c r="K1254" s="8">
        <v>600.0</v>
      </c>
      <c r="N1254" s="7">
        <v>44032.0</v>
      </c>
    </row>
    <row r="1255">
      <c r="A1255" s="8">
        <v>1254.0</v>
      </c>
      <c r="B1255" s="8" t="s">
        <v>2385</v>
      </c>
      <c r="C1255" s="8" t="s">
        <v>21</v>
      </c>
      <c r="K1255" s="8">
        <v>1100.0</v>
      </c>
      <c r="N1255" s="7">
        <v>44201.0</v>
      </c>
    </row>
    <row r="1256">
      <c r="A1256" s="8">
        <v>1255.0</v>
      </c>
      <c r="B1256" s="8" t="s">
        <v>2386</v>
      </c>
      <c r="C1256" s="8" t="s">
        <v>21</v>
      </c>
      <c r="K1256" s="8">
        <v>350.0</v>
      </c>
      <c r="N1256" s="7">
        <v>44666.0</v>
      </c>
    </row>
    <row r="1257">
      <c r="A1257" s="8">
        <v>1256.0</v>
      </c>
      <c r="B1257" s="8" t="s">
        <v>2388</v>
      </c>
      <c r="C1257" s="8" t="s">
        <v>21</v>
      </c>
      <c r="K1257" s="8">
        <v>1600.0</v>
      </c>
      <c r="N1257" s="7">
        <v>44119.0</v>
      </c>
    </row>
    <row r="1258">
      <c r="A1258" s="8">
        <v>1257.0</v>
      </c>
      <c r="B1258" s="8" t="s">
        <v>2389</v>
      </c>
      <c r="C1258" s="8" t="s">
        <v>21</v>
      </c>
      <c r="K1258" s="8">
        <v>3000.0</v>
      </c>
      <c r="N1258" s="7">
        <v>44723.0</v>
      </c>
    </row>
    <row r="1259">
      <c r="A1259" s="8">
        <v>1258.0</v>
      </c>
      <c r="B1259" s="8" t="s">
        <v>2390</v>
      </c>
      <c r="C1259" s="8" t="s">
        <v>21</v>
      </c>
      <c r="K1259" s="8">
        <v>60.0</v>
      </c>
      <c r="N1259" s="7">
        <v>46092.0</v>
      </c>
    </row>
    <row r="1260">
      <c r="A1260" s="8">
        <v>1259.0</v>
      </c>
      <c r="B1260" s="8" t="s">
        <v>2391</v>
      </c>
      <c r="C1260" s="8" t="s">
        <v>21</v>
      </c>
      <c r="N1260" s="7">
        <v>42422.0</v>
      </c>
    </row>
    <row r="1261">
      <c r="A1261" s="8">
        <v>1260.0</v>
      </c>
      <c r="B1261" s="8" t="s">
        <v>2393</v>
      </c>
      <c r="C1261" s="8" t="s">
        <v>21</v>
      </c>
      <c r="N1261" s="7">
        <v>44133.0</v>
      </c>
    </row>
    <row r="1262">
      <c r="A1262" s="8">
        <v>1261.0</v>
      </c>
      <c r="B1262" s="8" t="s">
        <v>2394</v>
      </c>
      <c r="C1262" s="8" t="s">
        <v>21</v>
      </c>
      <c r="N1262" s="7">
        <v>45442.0</v>
      </c>
    </row>
    <row r="1263">
      <c r="A1263" s="8">
        <v>1262.0</v>
      </c>
      <c r="B1263" s="8" t="s">
        <v>2396</v>
      </c>
      <c r="C1263" s="8" t="s">
        <v>21</v>
      </c>
      <c r="K1263" s="8">
        <v>300.0</v>
      </c>
      <c r="N1263" s="7">
        <v>44689.0</v>
      </c>
    </row>
    <row r="1264">
      <c r="A1264" s="8">
        <v>1263.0</v>
      </c>
      <c r="B1264" s="8" t="s">
        <v>2398</v>
      </c>
      <c r="C1264" s="8" t="s">
        <v>21</v>
      </c>
      <c r="K1264" s="8">
        <v>100.0</v>
      </c>
      <c r="N1264" s="7">
        <v>44931.0</v>
      </c>
    </row>
    <row r="1265">
      <c r="A1265" s="8">
        <v>1264.0</v>
      </c>
      <c r="B1265" s="8" t="s">
        <v>2399</v>
      </c>
      <c r="C1265" s="8" t="s">
        <v>21</v>
      </c>
      <c r="K1265" s="8">
        <v>30.0</v>
      </c>
      <c r="N1265" s="7">
        <v>45592.0</v>
      </c>
    </row>
    <row r="1266">
      <c r="A1266" s="8">
        <v>1265.0</v>
      </c>
      <c r="B1266" s="8" t="s">
        <v>2400</v>
      </c>
      <c r="C1266" s="8" t="s">
        <v>21</v>
      </c>
      <c r="K1266" s="8">
        <v>250.0</v>
      </c>
      <c r="N1266" s="7">
        <v>44988.0</v>
      </c>
    </row>
    <row r="1267">
      <c r="A1267" s="8">
        <v>1266.0</v>
      </c>
      <c r="B1267" s="8" t="s">
        <v>2402</v>
      </c>
      <c r="C1267" s="8" t="s">
        <v>21</v>
      </c>
      <c r="K1267" s="8">
        <v>60.0</v>
      </c>
      <c r="N1267" s="7">
        <v>45465.0</v>
      </c>
    </row>
    <row r="1268">
      <c r="A1268" s="8">
        <v>1267.0</v>
      </c>
      <c r="B1268" s="8" t="s">
        <v>2403</v>
      </c>
      <c r="C1268" s="8" t="s">
        <v>21</v>
      </c>
      <c r="K1268" s="8">
        <v>200.0</v>
      </c>
      <c r="N1268" s="7">
        <v>44649.0</v>
      </c>
    </row>
    <row r="1269">
      <c r="A1269" s="8">
        <v>1268.0</v>
      </c>
      <c r="B1269" s="8" t="s">
        <v>2404</v>
      </c>
      <c r="C1269" s="8" t="s">
        <v>21</v>
      </c>
      <c r="K1269" s="8">
        <v>19000.0</v>
      </c>
      <c r="N1269" s="7">
        <v>44128.0</v>
      </c>
    </row>
    <row r="1270">
      <c r="A1270" s="8">
        <v>1269.0</v>
      </c>
      <c r="B1270" s="8" t="s">
        <v>2406</v>
      </c>
      <c r="C1270" s="8" t="s">
        <v>21</v>
      </c>
      <c r="N1270" s="7">
        <v>44492.0</v>
      </c>
    </row>
    <row r="1271">
      <c r="A1271" s="8">
        <v>1270.0</v>
      </c>
      <c r="B1271" s="8" t="s">
        <v>2407</v>
      </c>
      <c r="C1271" s="8" t="s">
        <v>21</v>
      </c>
      <c r="K1271" s="8">
        <v>100.0</v>
      </c>
      <c r="N1271" s="7">
        <v>44194.0</v>
      </c>
    </row>
    <row r="1272">
      <c r="A1272" s="8">
        <v>1271.0</v>
      </c>
      <c r="B1272" s="8" t="s">
        <v>2409</v>
      </c>
      <c r="C1272" s="8" t="s">
        <v>21</v>
      </c>
      <c r="K1272" s="8">
        <v>150.0</v>
      </c>
      <c r="N1272" s="7">
        <v>44600.0</v>
      </c>
    </row>
    <row r="1273">
      <c r="A1273" s="8">
        <v>1272.0</v>
      </c>
      <c r="B1273" s="8" t="s">
        <v>2410</v>
      </c>
      <c r="C1273" s="8" t="s">
        <v>21</v>
      </c>
      <c r="K1273" s="8">
        <v>60.0</v>
      </c>
      <c r="N1273" s="7">
        <v>44825.0</v>
      </c>
    </row>
    <row r="1274">
      <c r="A1274" s="8">
        <v>1273.0</v>
      </c>
      <c r="B1274" s="8" t="s">
        <v>2411</v>
      </c>
      <c r="C1274" s="8" t="s">
        <v>21</v>
      </c>
      <c r="K1274" s="8">
        <v>1100.0</v>
      </c>
      <c r="N1274" s="7">
        <v>44735.0</v>
      </c>
    </row>
    <row r="1275">
      <c r="A1275" s="8">
        <v>1274.0</v>
      </c>
      <c r="B1275" s="8" t="s">
        <v>2412</v>
      </c>
      <c r="C1275" s="8" t="s">
        <v>21</v>
      </c>
      <c r="N1275" s="7">
        <v>44539.0</v>
      </c>
    </row>
    <row r="1276">
      <c r="A1276" s="8">
        <v>1275.0</v>
      </c>
      <c r="B1276" s="8" t="s">
        <v>2414</v>
      </c>
      <c r="C1276" s="8" t="s">
        <v>21</v>
      </c>
      <c r="K1276" s="8">
        <v>200.0</v>
      </c>
      <c r="N1276" s="7">
        <v>44620.0</v>
      </c>
    </row>
    <row r="1277">
      <c r="A1277" s="8">
        <v>1276.0</v>
      </c>
      <c r="B1277" s="8" t="s">
        <v>2415</v>
      </c>
      <c r="C1277" s="8" t="s">
        <v>21</v>
      </c>
      <c r="K1277" s="8">
        <v>50.0</v>
      </c>
      <c r="N1277" s="7">
        <v>44274.0</v>
      </c>
    </row>
    <row r="1278">
      <c r="A1278" s="8">
        <v>1277.0</v>
      </c>
      <c r="B1278" s="8" t="s">
        <v>2417</v>
      </c>
      <c r="C1278" s="8" t="s">
        <v>21</v>
      </c>
      <c r="K1278" s="8">
        <v>80.0</v>
      </c>
      <c r="N1278" s="7">
        <v>43876.0</v>
      </c>
    </row>
    <row r="1279">
      <c r="A1279" s="8">
        <v>1278.0</v>
      </c>
      <c r="B1279" s="8" t="s">
        <v>2418</v>
      </c>
      <c r="C1279" s="8" t="s">
        <v>21</v>
      </c>
      <c r="K1279" s="8">
        <v>20.0</v>
      </c>
      <c r="N1279" s="7">
        <v>44332.0</v>
      </c>
    </row>
    <row r="1280">
      <c r="A1280" s="8">
        <v>1279.0</v>
      </c>
      <c r="B1280" s="8" t="s">
        <v>2420</v>
      </c>
      <c r="C1280" s="8" t="s">
        <v>21</v>
      </c>
      <c r="K1280" s="8">
        <v>10.0</v>
      </c>
      <c r="N1280" s="7">
        <v>44453.0</v>
      </c>
    </row>
    <row r="1281">
      <c r="A1281" s="8">
        <v>1280.0</v>
      </c>
      <c r="B1281" s="8" t="s">
        <v>2421</v>
      </c>
      <c r="C1281" s="8" t="s">
        <v>21</v>
      </c>
      <c r="K1281" s="8">
        <v>400.0</v>
      </c>
      <c r="N1281" s="7">
        <v>44518.0</v>
      </c>
    </row>
    <row r="1282">
      <c r="A1282" s="8">
        <v>1281.0</v>
      </c>
      <c r="B1282" s="8" t="s">
        <v>2422</v>
      </c>
      <c r="C1282" s="8" t="s">
        <v>21</v>
      </c>
      <c r="K1282" s="8">
        <v>150.0</v>
      </c>
      <c r="N1282" s="7">
        <v>44972.0</v>
      </c>
    </row>
    <row r="1283">
      <c r="A1283" s="8">
        <v>1282.0</v>
      </c>
      <c r="B1283" s="8" t="s">
        <v>732</v>
      </c>
      <c r="C1283" s="8" t="s">
        <v>21</v>
      </c>
      <c r="D1283" s="8">
        <v>54.0</v>
      </c>
      <c r="H1283" s="8" t="s">
        <v>473</v>
      </c>
      <c r="I1283" s="9">
        <v>46160.66863425926</v>
      </c>
      <c r="J1283" s="8" t="s">
        <v>96</v>
      </c>
      <c r="L1283" s="8">
        <v>60.0</v>
      </c>
      <c r="M1283" s="8">
        <v>200.0</v>
      </c>
      <c r="N1283" s="7">
        <v>42521.0</v>
      </c>
      <c r="O1283" s="8" t="s">
        <v>26</v>
      </c>
      <c r="P1283" s="8" t="s">
        <v>28</v>
      </c>
      <c r="S1283" s="8" t="s">
        <v>32</v>
      </c>
    </row>
    <row r="1284">
      <c r="A1284" s="8">
        <v>1283.0</v>
      </c>
      <c r="B1284" s="8" t="s">
        <v>2426</v>
      </c>
      <c r="C1284" s="8" t="s">
        <v>21</v>
      </c>
      <c r="K1284" s="8">
        <v>3300.0</v>
      </c>
      <c r="N1284" s="7">
        <v>44413.0</v>
      </c>
    </row>
    <row r="1285">
      <c r="A1285" s="8">
        <v>1284.0</v>
      </c>
      <c r="B1285" s="8" t="s">
        <v>2427</v>
      </c>
      <c r="C1285" s="8" t="s">
        <v>21</v>
      </c>
      <c r="K1285" s="8">
        <v>250.0</v>
      </c>
      <c r="N1285" s="7">
        <v>44579.0</v>
      </c>
    </row>
    <row r="1286">
      <c r="A1286" s="8">
        <v>1285.0</v>
      </c>
      <c r="B1286" s="8" t="s">
        <v>2429</v>
      </c>
      <c r="C1286" s="8" t="s">
        <v>21</v>
      </c>
      <c r="K1286" s="8">
        <v>30.0</v>
      </c>
      <c r="N1286" s="7">
        <v>45553.0</v>
      </c>
    </row>
    <row r="1287">
      <c r="A1287" s="8">
        <v>1286.0</v>
      </c>
      <c r="B1287" s="8" t="s">
        <v>2430</v>
      </c>
      <c r="C1287" s="8" t="s">
        <v>21</v>
      </c>
      <c r="K1287" s="8">
        <v>350.0</v>
      </c>
      <c r="N1287" s="7">
        <v>44591.0</v>
      </c>
    </row>
    <row r="1288">
      <c r="A1288" s="8">
        <v>1287.0</v>
      </c>
      <c r="B1288" s="8" t="s">
        <v>2431</v>
      </c>
      <c r="C1288" s="8" t="s">
        <v>21</v>
      </c>
      <c r="K1288" s="8">
        <v>150.0</v>
      </c>
      <c r="N1288" s="7">
        <v>44346.0</v>
      </c>
    </row>
    <row r="1289">
      <c r="A1289" s="8">
        <v>1288.0</v>
      </c>
      <c r="B1289" s="8" t="s">
        <v>2432</v>
      </c>
      <c r="C1289" s="8" t="s">
        <v>21</v>
      </c>
      <c r="K1289" s="8">
        <v>1300.0</v>
      </c>
      <c r="N1289" s="7">
        <v>42337.0</v>
      </c>
    </row>
    <row r="1290">
      <c r="A1290" s="8">
        <v>1289.0</v>
      </c>
      <c r="B1290" s="8" t="s">
        <v>2433</v>
      </c>
      <c r="C1290" s="8" t="s">
        <v>21</v>
      </c>
      <c r="K1290" s="8">
        <v>1000.0</v>
      </c>
      <c r="N1290" s="7">
        <v>44595.0</v>
      </c>
    </row>
    <row r="1291">
      <c r="A1291" s="8">
        <v>1290.0</v>
      </c>
      <c r="B1291" s="8" t="s">
        <v>2435</v>
      </c>
      <c r="C1291" s="8" t="s">
        <v>21</v>
      </c>
      <c r="N1291" s="7">
        <v>45360.0</v>
      </c>
    </row>
    <row r="1292">
      <c r="A1292" s="8">
        <v>1291.0</v>
      </c>
      <c r="B1292" s="8" t="s">
        <v>2436</v>
      </c>
      <c r="C1292" s="8" t="s">
        <v>21</v>
      </c>
      <c r="K1292" s="8">
        <v>300.0</v>
      </c>
      <c r="N1292" s="7">
        <v>45873.0</v>
      </c>
    </row>
    <row r="1293">
      <c r="A1293" s="8">
        <v>1292.0</v>
      </c>
      <c r="B1293" s="8" t="s">
        <v>85</v>
      </c>
      <c r="C1293" s="8" t="s">
        <v>21</v>
      </c>
      <c r="K1293" s="8">
        <v>10.0</v>
      </c>
      <c r="N1293" s="7">
        <v>44348.0</v>
      </c>
    </row>
    <row r="1294">
      <c r="A1294" s="8">
        <v>1293.0</v>
      </c>
      <c r="B1294" s="8" t="s">
        <v>2437</v>
      </c>
      <c r="C1294" s="8" t="s">
        <v>21</v>
      </c>
      <c r="K1294" s="8">
        <v>80.0</v>
      </c>
      <c r="N1294" s="7">
        <v>44460.0</v>
      </c>
    </row>
    <row r="1295">
      <c r="A1295" s="8">
        <v>1294.0</v>
      </c>
      <c r="B1295" s="8" t="s">
        <v>2438</v>
      </c>
      <c r="C1295" s="8" t="s">
        <v>21</v>
      </c>
      <c r="K1295" s="8">
        <v>700.0</v>
      </c>
      <c r="N1295" s="7">
        <v>44345.0</v>
      </c>
    </row>
    <row r="1296">
      <c r="A1296" s="8">
        <v>1295.0</v>
      </c>
      <c r="B1296" s="8" t="s">
        <v>2439</v>
      </c>
      <c r="C1296" s="8" t="s">
        <v>21</v>
      </c>
      <c r="K1296" s="8">
        <v>500.0</v>
      </c>
      <c r="N1296" s="7">
        <v>44146.0</v>
      </c>
    </row>
    <row r="1297">
      <c r="A1297" s="8">
        <v>1296.0</v>
      </c>
      <c r="B1297" s="8" t="s">
        <v>2441</v>
      </c>
      <c r="C1297" s="8" t="s">
        <v>21</v>
      </c>
      <c r="K1297" s="8">
        <v>30.0</v>
      </c>
      <c r="N1297" s="7">
        <v>44794.0</v>
      </c>
    </row>
    <row r="1298">
      <c r="A1298" s="8">
        <v>1297.0</v>
      </c>
      <c r="B1298" s="8" t="s">
        <v>2442</v>
      </c>
      <c r="C1298" s="8" t="s">
        <v>21</v>
      </c>
      <c r="N1298" s="7">
        <v>45181.0</v>
      </c>
    </row>
    <row r="1299">
      <c r="A1299" s="8">
        <v>1298.0</v>
      </c>
      <c r="B1299" s="8" t="s">
        <v>2443</v>
      </c>
      <c r="C1299" s="8" t="s">
        <v>21</v>
      </c>
      <c r="K1299" s="8">
        <v>600.0</v>
      </c>
      <c r="N1299" s="7">
        <v>45839.0</v>
      </c>
    </row>
    <row r="1300">
      <c r="A1300" s="8">
        <v>1299.0</v>
      </c>
      <c r="B1300" s="8" t="s">
        <v>2445</v>
      </c>
      <c r="C1300" s="8" t="s">
        <v>21</v>
      </c>
      <c r="K1300" s="8">
        <v>800.0</v>
      </c>
      <c r="N1300" s="7">
        <v>43956.0</v>
      </c>
    </row>
    <row r="1301">
      <c r="A1301" s="8">
        <v>1300.0</v>
      </c>
      <c r="B1301" s="8" t="s">
        <v>2446</v>
      </c>
      <c r="C1301" s="8" t="s">
        <v>21</v>
      </c>
      <c r="K1301" s="8">
        <v>800.0</v>
      </c>
      <c r="N1301" s="7">
        <v>44312.0</v>
      </c>
    </row>
    <row r="1302">
      <c r="A1302" s="8">
        <v>1301.0</v>
      </c>
      <c r="B1302" s="8" t="s">
        <v>2448</v>
      </c>
      <c r="C1302" s="8" t="s">
        <v>21</v>
      </c>
      <c r="K1302" s="8">
        <v>10.0</v>
      </c>
      <c r="N1302" s="7">
        <v>44497.0</v>
      </c>
    </row>
    <row r="1303">
      <c r="A1303" s="8">
        <v>1302.0</v>
      </c>
      <c r="B1303" s="8" t="s">
        <v>2450</v>
      </c>
      <c r="C1303" s="8" t="s">
        <v>21</v>
      </c>
      <c r="K1303" s="8">
        <v>30.0</v>
      </c>
      <c r="N1303" s="7">
        <v>44948.0</v>
      </c>
    </row>
    <row r="1304">
      <c r="A1304" s="8">
        <v>1303.0</v>
      </c>
      <c r="B1304" s="8" t="s">
        <v>2451</v>
      </c>
      <c r="C1304" s="8" t="s">
        <v>21</v>
      </c>
      <c r="K1304" s="8">
        <v>10.0</v>
      </c>
      <c r="N1304" s="7">
        <v>45162.0</v>
      </c>
    </row>
    <row r="1305">
      <c r="A1305" s="8">
        <v>1304.0</v>
      </c>
      <c r="B1305" s="8" t="s">
        <v>2453</v>
      </c>
      <c r="C1305" s="8" t="s">
        <v>21</v>
      </c>
      <c r="K1305" s="8">
        <v>150.0</v>
      </c>
      <c r="N1305" s="7">
        <v>44181.0</v>
      </c>
    </row>
    <row r="1306">
      <c r="A1306" s="8">
        <v>1305.0</v>
      </c>
      <c r="B1306" s="8" t="s">
        <v>2454</v>
      </c>
      <c r="C1306" s="8" t="s">
        <v>21</v>
      </c>
      <c r="N1306" s="7">
        <v>44949.0</v>
      </c>
    </row>
    <row r="1307">
      <c r="A1307" s="8">
        <v>1306.0</v>
      </c>
      <c r="B1307" s="8" t="s">
        <v>2455</v>
      </c>
      <c r="C1307" s="8" t="s">
        <v>21</v>
      </c>
      <c r="K1307" s="8">
        <v>450.0</v>
      </c>
      <c r="N1307" s="7">
        <v>44186.0</v>
      </c>
    </row>
    <row r="1308">
      <c r="A1308" s="8">
        <v>1307.0</v>
      </c>
      <c r="B1308" s="8" t="s">
        <v>2456</v>
      </c>
      <c r="C1308" s="8" t="s">
        <v>21</v>
      </c>
      <c r="N1308" s="7">
        <v>44110.0</v>
      </c>
    </row>
    <row r="1309">
      <c r="A1309" s="8">
        <v>1308.0</v>
      </c>
      <c r="B1309" s="8" t="s">
        <v>2457</v>
      </c>
      <c r="C1309" s="8" t="s">
        <v>21</v>
      </c>
      <c r="K1309" s="8">
        <v>50.0</v>
      </c>
      <c r="N1309" s="7">
        <v>44095.0</v>
      </c>
    </row>
    <row r="1310">
      <c r="A1310" s="8">
        <v>1309.0</v>
      </c>
      <c r="B1310" s="8" t="s">
        <v>2459</v>
      </c>
      <c r="C1310" s="8" t="s">
        <v>21</v>
      </c>
      <c r="K1310" s="8">
        <v>150.0</v>
      </c>
      <c r="N1310" s="7">
        <v>44948.0</v>
      </c>
    </row>
    <row r="1311">
      <c r="A1311" s="8">
        <v>1310.0</v>
      </c>
      <c r="B1311" s="8" t="s">
        <v>2460</v>
      </c>
      <c r="C1311" s="8" t="s">
        <v>21</v>
      </c>
      <c r="K1311" s="8">
        <v>40.0</v>
      </c>
      <c r="N1311" s="7">
        <v>45502.0</v>
      </c>
    </row>
    <row r="1312">
      <c r="A1312" s="8">
        <v>1311.0</v>
      </c>
      <c r="B1312" s="8" t="s">
        <v>2462</v>
      </c>
      <c r="C1312" s="8" t="s">
        <v>21</v>
      </c>
      <c r="K1312" s="8">
        <v>60.0</v>
      </c>
      <c r="N1312" s="7">
        <v>44706.0</v>
      </c>
    </row>
    <row r="1313">
      <c r="A1313" s="8">
        <v>1312.0</v>
      </c>
      <c r="B1313" s="8" t="s">
        <v>2463</v>
      </c>
      <c r="C1313" s="8" t="s">
        <v>21</v>
      </c>
      <c r="N1313" s="7">
        <v>44274.0</v>
      </c>
      <c r="O1313" s="8" t="s">
        <v>26</v>
      </c>
      <c r="P1313" s="8" t="s">
        <v>28</v>
      </c>
      <c r="S1313" s="8" t="s">
        <v>32</v>
      </c>
    </row>
    <row r="1314">
      <c r="A1314" s="8">
        <v>1313.0</v>
      </c>
      <c r="B1314" s="8" t="s">
        <v>2464</v>
      </c>
      <c r="C1314" s="8" t="s">
        <v>21</v>
      </c>
      <c r="K1314" s="8">
        <v>150.0</v>
      </c>
      <c r="N1314" s="7">
        <v>44543.0</v>
      </c>
    </row>
    <row r="1315">
      <c r="A1315" s="8">
        <v>1314.0</v>
      </c>
      <c r="B1315" s="8" t="s">
        <v>2466</v>
      </c>
      <c r="C1315" s="8" t="s">
        <v>21</v>
      </c>
      <c r="K1315" s="8">
        <v>200.0</v>
      </c>
      <c r="N1315" s="7">
        <v>45011.0</v>
      </c>
    </row>
    <row r="1316">
      <c r="A1316" s="8">
        <v>1315.0</v>
      </c>
      <c r="B1316" s="8" t="s">
        <v>2467</v>
      </c>
      <c r="C1316" s="8" t="s">
        <v>21</v>
      </c>
      <c r="K1316" s="8">
        <v>100.0</v>
      </c>
      <c r="N1316" s="7">
        <v>45284.0</v>
      </c>
    </row>
    <row r="1317">
      <c r="A1317" s="8">
        <v>1316.0</v>
      </c>
      <c r="B1317" s="8" t="s">
        <v>2468</v>
      </c>
      <c r="C1317" s="8" t="s">
        <v>21</v>
      </c>
      <c r="K1317" s="8">
        <v>10.0</v>
      </c>
      <c r="N1317" s="7">
        <v>45455.0</v>
      </c>
    </row>
    <row r="1318">
      <c r="A1318" s="8">
        <v>1317.0</v>
      </c>
      <c r="B1318" s="8" t="s">
        <v>2469</v>
      </c>
      <c r="C1318" s="8" t="s">
        <v>21</v>
      </c>
      <c r="K1318" s="8">
        <v>500.0</v>
      </c>
      <c r="N1318" s="7">
        <v>44830.0</v>
      </c>
    </row>
    <row r="1319">
      <c r="A1319" s="8">
        <v>1318.0</v>
      </c>
      <c r="B1319" s="8" t="s">
        <v>2470</v>
      </c>
      <c r="C1319" s="8" t="s">
        <v>21</v>
      </c>
      <c r="K1319" s="8">
        <v>100.0</v>
      </c>
      <c r="N1319" s="7">
        <v>44440.0</v>
      </c>
    </row>
    <row r="1320">
      <c r="A1320" s="8">
        <v>1319.0</v>
      </c>
      <c r="B1320" s="8" t="s">
        <v>2471</v>
      </c>
      <c r="C1320" s="8" t="s">
        <v>21</v>
      </c>
      <c r="K1320" s="8">
        <v>600.0</v>
      </c>
      <c r="N1320" s="7">
        <v>43250.0</v>
      </c>
    </row>
    <row r="1321">
      <c r="A1321" s="8">
        <v>1320.0</v>
      </c>
      <c r="B1321" s="8" t="s">
        <v>87</v>
      </c>
      <c r="C1321" s="8" t="s">
        <v>21</v>
      </c>
      <c r="K1321" s="8">
        <v>2800.0</v>
      </c>
      <c r="N1321" s="7">
        <v>46057.0</v>
      </c>
    </row>
    <row r="1322">
      <c r="A1322" s="8">
        <v>1321.0</v>
      </c>
      <c r="B1322" s="8" t="s">
        <v>2473</v>
      </c>
      <c r="C1322" s="8" t="s">
        <v>21</v>
      </c>
      <c r="K1322" s="8">
        <v>150.0</v>
      </c>
      <c r="N1322" s="7">
        <v>45389.0</v>
      </c>
    </row>
    <row r="1323">
      <c r="A1323" s="8">
        <v>1322.0</v>
      </c>
      <c r="B1323" s="8" t="s">
        <v>2474</v>
      </c>
      <c r="C1323" s="8" t="s">
        <v>21</v>
      </c>
      <c r="K1323" s="8">
        <v>6800.0</v>
      </c>
      <c r="N1323" s="7">
        <v>44014.0</v>
      </c>
    </row>
    <row r="1324">
      <c r="A1324" s="8">
        <v>1323.0</v>
      </c>
      <c r="B1324" s="8" t="s">
        <v>2475</v>
      </c>
      <c r="C1324" s="8" t="s">
        <v>21</v>
      </c>
      <c r="K1324" s="8">
        <v>4200.0</v>
      </c>
      <c r="N1324" s="7">
        <v>44352.0</v>
      </c>
    </row>
    <row r="1325">
      <c r="A1325" s="8">
        <v>1324.0</v>
      </c>
      <c r="B1325" s="8" t="s">
        <v>2476</v>
      </c>
      <c r="C1325" s="8" t="s">
        <v>21</v>
      </c>
      <c r="K1325" s="8">
        <v>1200.0</v>
      </c>
      <c r="N1325" s="7">
        <v>44720.0</v>
      </c>
    </row>
    <row r="1326">
      <c r="A1326" s="8">
        <v>1325.0</v>
      </c>
      <c r="B1326" s="8" t="s">
        <v>89</v>
      </c>
      <c r="C1326" s="8" t="s">
        <v>21</v>
      </c>
      <c r="K1326" s="8">
        <v>600.0</v>
      </c>
      <c r="N1326" s="7">
        <v>44885.0</v>
      </c>
    </row>
    <row r="1327">
      <c r="A1327" s="8">
        <v>1326.0</v>
      </c>
      <c r="B1327" s="8" t="s">
        <v>2477</v>
      </c>
      <c r="C1327" s="8" t="s">
        <v>21</v>
      </c>
      <c r="K1327" s="8">
        <v>20.0</v>
      </c>
      <c r="N1327" s="7">
        <v>44804.0</v>
      </c>
    </row>
    <row r="1328">
      <c r="A1328" s="8">
        <v>1327.0</v>
      </c>
      <c r="B1328" s="8" t="s">
        <v>2478</v>
      </c>
      <c r="C1328" s="8" t="s">
        <v>21</v>
      </c>
      <c r="D1328" s="8">
        <v>72.0</v>
      </c>
      <c r="H1328" s="8" t="s">
        <v>51</v>
      </c>
      <c r="I1328" s="9">
        <v>46046.363217592596</v>
      </c>
      <c r="J1328" s="8" t="s">
        <v>96</v>
      </c>
      <c r="K1328" s="8">
        <v>20.0</v>
      </c>
      <c r="L1328" s="8">
        <v>5200.0</v>
      </c>
      <c r="M1328" s="8">
        <v>6000.0</v>
      </c>
      <c r="N1328" s="7">
        <v>44642.0</v>
      </c>
      <c r="O1328" s="8" t="s">
        <v>31</v>
      </c>
      <c r="P1328" s="8" t="s">
        <v>28</v>
      </c>
      <c r="S1328" s="8" t="s">
        <v>32</v>
      </c>
    </row>
    <row r="1329">
      <c r="A1329" s="8">
        <v>1328.0</v>
      </c>
      <c r="B1329" s="8" t="s">
        <v>2479</v>
      </c>
      <c r="C1329" s="8" t="s">
        <v>21</v>
      </c>
      <c r="K1329" s="8">
        <v>600.0</v>
      </c>
      <c r="N1329" s="7">
        <v>44418.0</v>
      </c>
    </row>
    <row r="1330">
      <c r="A1330" s="8">
        <v>1329.0</v>
      </c>
      <c r="B1330" s="8" t="s">
        <v>176</v>
      </c>
      <c r="C1330" s="8" t="s">
        <v>21</v>
      </c>
      <c r="K1330" s="8">
        <v>150.0</v>
      </c>
      <c r="N1330" s="7">
        <v>44288.0</v>
      </c>
    </row>
    <row r="1331">
      <c r="A1331" s="8">
        <v>1330.0</v>
      </c>
      <c r="B1331" s="8" t="s">
        <v>2481</v>
      </c>
      <c r="C1331" s="8" t="s">
        <v>21</v>
      </c>
      <c r="K1331" s="8">
        <v>400.0</v>
      </c>
      <c r="N1331" s="7">
        <v>44576.0</v>
      </c>
    </row>
    <row r="1332">
      <c r="A1332" s="8">
        <v>1331.0</v>
      </c>
      <c r="B1332" s="8" t="s">
        <v>2482</v>
      </c>
      <c r="C1332" s="8" t="s">
        <v>21</v>
      </c>
      <c r="K1332" s="8">
        <v>18000.0</v>
      </c>
      <c r="N1332" s="7">
        <v>43965.0</v>
      </c>
    </row>
    <row r="1333">
      <c r="A1333" s="8">
        <v>1332.0</v>
      </c>
      <c r="B1333" s="8" t="s">
        <v>2483</v>
      </c>
      <c r="C1333" s="8" t="s">
        <v>21</v>
      </c>
      <c r="K1333" s="8">
        <v>200.0</v>
      </c>
      <c r="N1333" s="7">
        <v>45141.0</v>
      </c>
    </row>
    <row r="1334">
      <c r="A1334" s="8">
        <v>1333.0</v>
      </c>
      <c r="B1334" s="8" t="s">
        <v>2484</v>
      </c>
      <c r="C1334" s="8" t="s">
        <v>21</v>
      </c>
      <c r="K1334" s="8">
        <v>150.0</v>
      </c>
      <c r="N1334" s="7">
        <v>44636.0</v>
      </c>
    </row>
    <row r="1335">
      <c r="A1335" s="8">
        <v>1334.0</v>
      </c>
      <c r="B1335" s="8" t="s">
        <v>2486</v>
      </c>
      <c r="C1335" s="8" t="s">
        <v>21</v>
      </c>
      <c r="K1335" s="8">
        <v>100.0</v>
      </c>
      <c r="N1335" s="7">
        <v>45112.0</v>
      </c>
    </row>
    <row r="1336">
      <c r="A1336" s="8">
        <v>1335.0</v>
      </c>
      <c r="B1336" s="8" t="s">
        <v>2487</v>
      </c>
      <c r="C1336" s="8" t="s">
        <v>21</v>
      </c>
      <c r="K1336" s="8">
        <v>10.0</v>
      </c>
      <c r="N1336" s="7">
        <v>44624.0</v>
      </c>
    </row>
    <row r="1337">
      <c r="A1337" s="8">
        <v>1336.0</v>
      </c>
      <c r="B1337" s="8" t="s">
        <v>2488</v>
      </c>
      <c r="C1337" s="8" t="s">
        <v>21</v>
      </c>
      <c r="N1337" s="7">
        <v>43065.0</v>
      </c>
    </row>
    <row r="1338">
      <c r="A1338" s="8">
        <v>1337.0</v>
      </c>
      <c r="B1338" s="8" t="s">
        <v>2489</v>
      </c>
      <c r="C1338" s="8" t="s">
        <v>21</v>
      </c>
      <c r="K1338" s="8">
        <v>20.0</v>
      </c>
      <c r="N1338" s="7">
        <v>45526.0</v>
      </c>
    </row>
    <row r="1339">
      <c r="A1339" s="8">
        <v>1338.0</v>
      </c>
      <c r="B1339" s="8" t="s">
        <v>2490</v>
      </c>
      <c r="C1339" s="8" t="s">
        <v>21</v>
      </c>
      <c r="K1339" s="8">
        <v>20.0</v>
      </c>
      <c r="N1339" s="7">
        <v>45873.0</v>
      </c>
    </row>
    <row r="1340">
      <c r="A1340" s="8">
        <v>1339.0</v>
      </c>
      <c r="B1340" s="8" t="s">
        <v>2492</v>
      </c>
      <c r="C1340" s="8" t="s">
        <v>21</v>
      </c>
      <c r="K1340" s="8">
        <v>40.0</v>
      </c>
      <c r="N1340" s="7">
        <v>44597.0</v>
      </c>
    </row>
    <row r="1341">
      <c r="A1341" s="8">
        <v>1340.0</v>
      </c>
      <c r="B1341" s="8" t="s">
        <v>2493</v>
      </c>
      <c r="C1341" s="8" t="s">
        <v>21</v>
      </c>
      <c r="K1341" s="8">
        <v>30.0</v>
      </c>
      <c r="N1341" s="7">
        <v>44393.0</v>
      </c>
    </row>
    <row r="1342">
      <c r="A1342" s="8">
        <v>1341.0</v>
      </c>
      <c r="B1342" s="8" t="s">
        <v>2494</v>
      </c>
      <c r="C1342" s="8" t="s">
        <v>21</v>
      </c>
      <c r="K1342" s="8">
        <v>20.0</v>
      </c>
      <c r="N1342" s="7">
        <v>45636.0</v>
      </c>
    </row>
    <row r="1343">
      <c r="A1343" s="8">
        <v>1342.0</v>
      </c>
      <c r="B1343" s="8" t="s">
        <v>2495</v>
      </c>
      <c r="C1343" s="8" t="s">
        <v>21</v>
      </c>
      <c r="D1343" s="8">
        <v>72.0</v>
      </c>
      <c r="H1343" s="8" t="s">
        <v>279</v>
      </c>
      <c r="I1343" s="9">
        <v>46148.545277777775</v>
      </c>
      <c r="J1343" s="8" t="s">
        <v>90</v>
      </c>
      <c r="K1343" s="8">
        <v>40.0</v>
      </c>
      <c r="L1343" s="8">
        <v>3200.0</v>
      </c>
      <c r="M1343" s="8">
        <v>60000.0</v>
      </c>
      <c r="N1343" s="7">
        <v>44079.0</v>
      </c>
      <c r="O1343" s="8" t="s">
        <v>107</v>
      </c>
      <c r="P1343" s="8" t="s">
        <v>28</v>
      </c>
      <c r="S1343" s="8" t="s">
        <v>32</v>
      </c>
    </row>
    <row r="1344">
      <c r="A1344" s="8">
        <v>1343.0</v>
      </c>
      <c r="B1344" s="8" t="s">
        <v>2497</v>
      </c>
      <c r="C1344" s="8" t="s">
        <v>21</v>
      </c>
      <c r="K1344" s="8">
        <v>10.0</v>
      </c>
      <c r="N1344" s="7">
        <v>45348.0</v>
      </c>
    </row>
    <row r="1345">
      <c r="A1345" s="8">
        <v>1344.0</v>
      </c>
      <c r="B1345" s="8" t="s">
        <v>2498</v>
      </c>
      <c r="C1345" s="8" t="s">
        <v>21</v>
      </c>
      <c r="K1345" s="8">
        <v>30.0</v>
      </c>
      <c r="N1345" s="7">
        <v>44365.0</v>
      </c>
    </row>
    <row r="1346">
      <c r="A1346" s="8">
        <v>1345.0</v>
      </c>
      <c r="B1346" s="8" t="s">
        <v>2499</v>
      </c>
      <c r="C1346" s="8" t="s">
        <v>21</v>
      </c>
      <c r="N1346" s="7">
        <v>44847.0</v>
      </c>
    </row>
    <row r="1347">
      <c r="A1347" s="8">
        <v>1346.0</v>
      </c>
      <c r="B1347" s="8" t="s">
        <v>2500</v>
      </c>
      <c r="C1347" s="8" t="s">
        <v>21</v>
      </c>
      <c r="K1347" s="8">
        <v>1000.0</v>
      </c>
      <c r="N1347" s="7">
        <v>44485.0</v>
      </c>
    </row>
    <row r="1348">
      <c r="A1348" s="8">
        <v>1347.0</v>
      </c>
      <c r="B1348" s="8" t="s">
        <v>2501</v>
      </c>
      <c r="C1348" s="8" t="s">
        <v>21</v>
      </c>
      <c r="K1348" s="8">
        <v>10.0</v>
      </c>
      <c r="N1348" s="7">
        <v>44056.0</v>
      </c>
    </row>
    <row r="1349">
      <c r="A1349" s="8">
        <v>1348.0</v>
      </c>
      <c r="B1349" s="8" t="s">
        <v>2502</v>
      </c>
      <c r="C1349" s="8" t="s">
        <v>21</v>
      </c>
      <c r="K1349" s="8">
        <v>10.0</v>
      </c>
      <c r="N1349" s="7">
        <v>44084.0</v>
      </c>
    </row>
    <row r="1350">
      <c r="A1350" s="8">
        <v>1349.0</v>
      </c>
      <c r="B1350" s="8" t="s">
        <v>2503</v>
      </c>
      <c r="C1350" s="8" t="s">
        <v>21</v>
      </c>
      <c r="K1350" s="8">
        <v>800.0</v>
      </c>
      <c r="N1350" s="7">
        <v>44080.0</v>
      </c>
    </row>
    <row r="1351">
      <c r="A1351" s="8">
        <v>1350.0</v>
      </c>
      <c r="B1351" s="8" t="s">
        <v>2504</v>
      </c>
      <c r="C1351" s="8" t="s">
        <v>21</v>
      </c>
      <c r="K1351" s="8">
        <v>80.0</v>
      </c>
      <c r="N1351" s="7">
        <v>45203.0</v>
      </c>
    </row>
    <row r="1352">
      <c r="A1352" s="8">
        <v>1351.0</v>
      </c>
      <c r="B1352" s="8" t="s">
        <v>2506</v>
      </c>
      <c r="C1352" s="8" t="s">
        <v>21</v>
      </c>
      <c r="K1352" s="8">
        <v>300.0</v>
      </c>
      <c r="N1352" s="7">
        <v>44298.0</v>
      </c>
    </row>
    <row r="1353">
      <c r="A1353" s="8">
        <v>1352.0</v>
      </c>
      <c r="B1353" s="8" t="s">
        <v>2508</v>
      </c>
      <c r="C1353" s="8" t="s">
        <v>21</v>
      </c>
      <c r="K1353" s="8">
        <v>20.0</v>
      </c>
      <c r="N1353" s="7">
        <v>44141.0</v>
      </c>
    </row>
    <row r="1354">
      <c r="A1354" s="8">
        <v>1353.0</v>
      </c>
      <c r="B1354" s="8" t="s">
        <v>2510</v>
      </c>
      <c r="C1354" s="8" t="s">
        <v>21</v>
      </c>
      <c r="K1354" s="8">
        <v>350.0</v>
      </c>
      <c r="N1354" s="7">
        <v>44206.0</v>
      </c>
    </row>
    <row r="1355">
      <c r="A1355" s="8">
        <v>1354.0</v>
      </c>
      <c r="B1355" s="8" t="s">
        <v>2511</v>
      </c>
      <c r="C1355" s="8" t="s">
        <v>21</v>
      </c>
      <c r="K1355" s="8">
        <v>6000.0</v>
      </c>
      <c r="N1355" s="7">
        <v>44564.0</v>
      </c>
    </row>
    <row r="1356">
      <c r="A1356" s="8">
        <v>1355.0</v>
      </c>
      <c r="B1356" s="8" t="s">
        <v>2512</v>
      </c>
      <c r="C1356" s="8" t="s">
        <v>21</v>
      </c>
      <c r="K1356" s="8">
        <v>1100.0</v>
      </c>
      <c r="N1356" s="7">
        <v>44485.0</v>
      </c>
    </row>
    <row r="1357">
      <c r="A1357" s="8">
        <v>1356.0</v>
      </c>
      <c r="B1357" s="8" t="s">
        <v>2514</v>
      </c>
      <c r="C1357" s="8" t="s">
        <v>21</v>
      </c>
      <c r="K1357" s="8">
        <v>350.0</v>
      </c>
      <c r="N1357" s="7">
        <v>44582.0</v>
      </c>
    </row>
    <row r="1358">
      <c r="A1358" s="8">
        <v>1357.0</v>
      </c>
      <c r="B1358" s="8" t="s">
        <v>2515</v>
      </c>
      <c r="C1358" s="8" t="s">
        <v>21</v>
      </c>
      <c r="K1358" s="8">
        <v>60.0</v>
      </c>
      <c r="N1358" s="7">
        <v>45286.0</v>
      </c>
    </row>
    <row r="1359">
      <c r="A1359" s="8">
        <v>1358.0</v>
      </c>
      <c r="B1359" s="8" t="s">
        <v>2516</v>
      </c>
      <c r="C1359" s="8" t="s">
        <v>21</v>
      </c>
      <c r="K1359" s="8">
        <v>1200.0</v>
      </c>
      <c r="N1359" s="7">
        <v>44824.0</v>
      </c>
    </row>
    <row r="1360">
      <c r="A1360" s="8">
        <v>1359.0</v>
      </c>
      <c r="B1360" s="8" t="s">
        <v>2518</v>
      </c>
      <c r="C1360" s="8" t="s">
        <v>21</v>
      </c>
      <c r="K1360" s="8">
        <v>200.0</v>
      </c>
      <c r="N1360" s="7">
        <v>44882.0</v>
      </c>
    </row>
    <row r="1361">
      <c r="A1361" s="8">
        <v>1360.0</v>
      </c>
      <c r="B1361" s="8" t="s">
        <v>2519</v>
      </c>
      <c r="C1361" s="8" t="s">
        <v>21</v>
      </c>
      <c r="K1361" s="8">
        <v>30.0</v>
      </c>
      <c r="N1361" s="7">
        <v>45866.0</v>
      </c>
    </row>
    <row r="1362">
      <c r="A1362" s="8">
        <v>1361.0</v>
      </c>
      <c r="B1362" s="8" t="s">
        <v>2520</v>
      </c>
      <c r="C1362" s="8" t="s">
        <v>21</v>
      </c>
      <c r="N1362" s="7">
        <v>45002.0</v>
      </c>
    </row>
    <row r="1363">
      <c r="A1363" s="8">
        <v>1362.0</v>
      </c>
      <c r="B1363" s="8" t="s">
        <v>2522</v>
      </c>
      <c r="C1363" s="8" t="s">
        <v>21</v>
      </c>
      <c r="N1363" s="7">
        <v>45010.0</v>
      </c>
    </row>
    <row r="1364">
      <c r="A1364" s="8">
        <v>1363.0</v>
      </c>
      <c r="B1364" s="8" t="s">
        <v>2523</v>
      </c>
      <c r="C1364" s="8" t="s">
        <v>21</v>
      </c>
      <c r="K1364" s="8">
        <v>20.0</v>
      </c>
      <c r="N1364" s="7">
        <v>44236.0</v>
      </c>
    </row>
    <row r="1365">
      <c r="A1365" s="8">
        <v>1364.0</v>
      </c>
      <c r="B1365" s="8" t="s">
        <v>2526</v>
      </c>
      <c r="C1365" s="8" t="s">
        <v>21</v>
      </c>
      <c r="K1365" s="8">
        <v>1600.0</v>
      </c>
      <c r="N1365" s="7">
        <v>44724.0</v>
      </c>
    </row>
    <row r="1366">
      <c r="A1366" s="8">
        <v>1365.0</v>
      </c>
      <c r="B1366" s="8" t="s">
        <v>2527</v>
      </c>
      <c r="C1366" s="8" t="s">
        <v>21</v>
      </c>
      <c r="K1366" s="8">
        <v>300.0</v>
      </c>
      <c r="N1366" s="7">
        <v>44769.0</v>
      </c>
    </row>
    <row r="1367">
      <c r="A1367" s="8">
        <v>1366.0</v>
      </c>
      <c r="B1367" s="8" t="s">
        <v>2528</v>
      </c>
      <c r="C1367" s="8" t="s">
        <v>21</v>
      </c>
      <c r="K1367" s="8">
        <v>50.0</v>
      </c>
      <c r="N1367" s="7">
        <v>44688.0</v>
      </c>
    </row>
    <row r="1368">
      <c r="A1368" s="8">
        <v>1367.0</v>
      </c>
      <c r="B1368" s="8" t="s">
        <v>2530</v>
      </c>
      <c r="C1368" s="8" t="s">
        <v>21</v>
      </c>
      <c r="K1368" s="8">
        <v>600.0</v>
      </c>
      <c r="N1368" s="7">
        <v>45366.0</v>
      </c>
    </row>
    <row r="1369">
      <c r="A1369" s="8">
        <v>1368.0</v>
      </c>
      <c r="B1369" s="8" t="s">
        <v>2531</v>
      </c>
      <c r="C1369" s="8" t="s">
        <v>21</v>
      </c>
      <c r="K1369" s="8">
        <v>250.0</v>
      </c>
      <c r="N1369" s="7">
        <v>44114.0</v>
      </c>
    </row>
    <row r="1370">
      <c r="A1370" s="8">
        <v>1369.0</v>
      </c>
      <c r="B1370" s="8" t="s">
        <v>2532</v>
      </c>
      <c r="C1370" s="8" t="s">
        <v>21</v>
      </c>
      <c r="K1370" s="8">
        <v>400.0</v>
      </c>
      <c r="N1370" s="7">
        <v>44336.0</v>
      </c>
    </row>
    <row r="1371">
      <c r="A1371" s="8">
        <v>1370.0</v>
      </c>
      <c r="B1371" s="8" t="s">
        <v>2534</v>
      </c>
      <c r="C1371" s="8" t="s">
        <v>21</v>
      </c>
      <c r="K1371" s="8">
        <v>10.0</v>
      </c>
      <c r="N1371" s="7">
        <v>45277.0</v>
      </c>
    </row>
    <row r="1372">
      <c r="A1372" s="8">
        <v>1371.0</v>
      </c>
      <c r="B1372" s="8" t="s">
        <v>2536</v>
      </c>
      <c r="C1372" s="8" t="s">
        <v>21</v>
      </c>
      <c r="N1372" s="7">
        <v>44192.0</v>
      </c>
    </row>
    <row r="1373">
      <c r="A1373" s="8">
        <v>1372.0</v>
      </c>
      <c r="B1373" s="8" t="s">
        <v>2539</v>
      </c>
      <c r="C1373" s="8" t="s">
        <v>21</v>
      </c>
      <c r="N1373" s="7">
        <v>44774.0</v>
      </c>
    </row>
    <row r="1374">
      <c r="A1374" s="8">
        <v>1373.0</v>
      </c>
      <c r="B1374" s="8" t="s">
        <v>2540</v>
      </c>
      <c r="C1374" s="8" t="s">
        <v>21</v>
      </c>
      <c r="K1374" s="8">
        <v>50.0</v>
      </c>
      <c r="N1374" s="7">
        <v>44604.0</v>
      </c>
    </row>
    <row r="1375">
      <c r="A1375" s="8">
        <v>1374.0</v>
      </c>
      <c r="B1375" s="8" t="s">
        <v>2541</v>
      </c>
      <c r="C1375" s="8" t="s">
        <v>21</v>
      </c>
      <c r="K1375" s="8">
        <v>1700.0</v>
      </c>
      <c r="N1375" s="7">
        <v>43879.0</v>
      </c>
    </row>
    <row r="1376">
      <c r="A1376" s="8">
        <v>1375.0</v>
      </c>
      <c r="B1376" s="8" t="s">
        <v>2543</v>
      </c>
      <c r="C1376" s="8" t="s">
        <v>21</v>
      </c>
      <c r="D1376" s="8">
        <v>0.0</v>
      </c>
      <c r="H1376" s="8" t="s">
        <v>475</v>
      </c>
      <c r="I1376" s="9">
        <v>46082.69795138889</v>
      </c>
      <c r="J1376" s="8" t="s">
        <v>789</v>
      </c>
      <c r="L1376" s="8">
        <v>200.0</v>
      </c>
      <c r="M1376" s="8">
        <v>200.0</v>
      </c>
      <c r="N1376" s="7">
        <v>45212.0</v>
      </c>
      <c r="O1376" s="8" t="s">
        <v>26</v>
      </c>
      <c r="P1376" s="8" t="s">
        <v>28</v>
      </c>
      <c r="S1376" s="8" t="s">
        <v>32</v>
      </c>
    </row>
    <row r="1377">
      <c r="A1377" s="8">
        <v>1376.0</v>
      </c>
      <c r="B1377" s="8" t="s">
        <v>2545</v>
      </c>
      <c r="C1377" s="8" t="s">
        <v>21</v>
      </c>
      <c r="K1377" s="8">
        <v>30.0</v>
      </c>
      <c r="N1377" s="7">
        <v>44055.0</v>
      </c>
    </row>
    <row r="1378">
      <c r="A1378" s="8">
        <v>1377.0</v>
      </c>
      <c r="B1378" s="8" t="s">
        <v>2546</v>
      </c>
      <c r="C1378" s="8" t="s">
        <v>21</v>
      </c>
      <c r="K1378" s="8">
        <v>80.0</v>
      </c>
      <c r="N1378" s="7">
        <v>45446.0</v>
      </c>
    </row>
    <row r="1379">
      <c r="A1379" s="8">
        <v>1378.0</v>
      </c>
      <c r="B1379" s="8" t="s">
        <v>92</v>
      </c>
      <c r="C1379" s="8" t="s">
        <v>21</v>
      </c>
      <c r="K1379" s="8">
        <v>300.0</v>
      </c>
      <c r="N1379" s="7">
        <v>44872.0</v>
      </c>
    </row>
    <row r="1380">
      <c r="A1380" s="8">
        <v>1379.0</v>
      </c>
      <c r="B1380" s="8" t="s">
        <v>2548</v>
      </c>
      <c r="C1380" s="8" t="s">
        <v>21</v>
      </c>
      <c r="K1380" s="8">
        <v>2300.0</v>
      </c>
      <c r="N1380" s="7">
        <v>44304.0</v>
      </c>
    </row>
    <row r="1381">
      <c r="A1381" s="8">
        <v>1380.0</v>
      </c>
      <c r="B1381" s="8" t="s">
        <v>2549</v>
      </c>
      <c r="C1381" s="8" t="s">
        <v>21</v>
      </c>
      <c r="K1381" s="8">
        <v>30.0</v>
      </c>
      <c r="N1381" s="7">
        <v>44683.0</v>
      </c>
    </row>
    <row r="1382">
      <c r="A1382" s="8">
        <v>1381.0</v>
      </c>
      <c r="B1382" s="8" t="s">
        <v>2551</v>
      </c>
      <c r="C1382" s="8" t="s">
        <v>21</v>
      </c>
      <c r="N1382" s="7">
        <v>44827.0</v>
      </c>
    </row>
    <row r="1383">
      <c r="A1383" s="8">
        <v>1382.0</v>
      </c>
      <c r="B1383" s="8" t="s">
        <v>2552</v>
      </c>
      <c r="C1383" s="8" t="s">
        <v>21</v>
      </c>
      <c r="K1383" s="8">
        <v>2900.0</v>
      </c>
      <c r="N1383" s="7">
        <v>44078.0</v>
      </c>
    </row>
    <row r="1384">
      <c r="A1384" s="8">
        <v>1383.0</v>
      </c>
      <c r="B1384" s="8" t="s">
        <v>2554</v>
      </c>
      <c r="C1384" s="8" t="s">
        <v>21</v>
      </c>
      <c r="K1384" s="8">
        <v>2700.0</v>
      </c>
      <c r="N1384" s="7">
        <v>44004.0</v>
      </c>
    </row>
    <row r="1385">
      <c r="A1385" s="8">
        <v>1384.0</v>
      </c>
      <c r="B1385" s="8" t="s">
        <v>2555</v>
      </c>
      <c r="C1385" s="8" t="s">
        <v>21</v>
      </c>
      <c r="K1385" s="8">
        <v>3300.0</v>
      </c>
      <c r="N1385" s="7">
        <v>44168.0</v>
      </c>
    </row>
    <row r="1386">
      <c r="A1386" s="8">
        <v>1385.0</v>
      </c>
      <c r="B1386" s="8" t="s">
        <v>2557</v>
      </c>
      <c r="C1386" s="8" t="s">
        <v>21</v>
      </c>
      <c r="K1386" s="8">
        <v>1100.0</v>
      </c>
      <c r="N1386" s="7">
        <v>43870.0</v>
      </c>
    </row>
    <row r="1387">
      <c r="A1387" s="8">
        <v>1386.0</v>
      </c>
      <c r="B1387" s="8" t="s">
        <v>2558</v>
      </c>
      <c r="C1387" s="8" t="s">
        <v>21</v>
      </c>
      <c r="K1387" s="8">
        <v>100.0</v>
      </c>
      <c r="N1387" s="7">
        <v>44250.0</v>
      </c>
    </row>
    <row r="1388">
      <c r="A1388" s="8">
        <v>1387.0</v>
      </c>
      <c r="B1388" s="8" t="s">
        <v>2559</v>
      </c>
      <c r="C1388" s="8" t="s">
        <v>21</v>
      </c>
      <c r="K1388" s="8">
        <v>4300.0</v>
      </c>
      <c r="N1388" s="7">
        <v>45353.0</v>
      </c>
    </row>
    <row r="1389">
      <c r="A1389" s="8">
        <v>1388.0</v>
      </c>
      <c r="B1389" s="8" t="s">
        <v>2561</v>
      </c>
      <c r="C1389" s="8" t="s">
        <v>21</v>
      </c>
      <c r="K1389" s="8">
        <v>80.0</v>
      </c>
      <c r="N1389" s="7">
        <v>44746.0</v>
      </c>
    </row>
    <row r="1390">
      <c r="A1390" s="8">
        <v>1389.0</v>
      </c>
      <c r="B1390" s="8" t="s">
        <v>2563</v>
      </c>
      <c r="C1390" s="8" t="s">
        <v>21</v>
      </c>
      <c r="K1390" s="8">
        <v>50.0</v>
      </c>
      <c r="N1390" s="7">
        <v>44376.0</v>
      </c>
    </row>
    <row r="1391">
      <c r="A1391" s="8">
        <v>1390.0</v>
      </c>
      <c r="B1391" s="8" t="s">
        <v>2566</v>
      </c>
      <c r="C1391" s="8" t="s">
        <v>21</v>
      </c>
      <c r="K1391" s="8">
        <v>250.0</v>
      </c>
      <c r="N1391" s="7">
        <v>44564.0</v>
      </c>
    </row>
    <row r="1392">
      <c r="A1392" s="8">
        <v>1391.0</v>
      </c>
      <c r="B1392" s="8" t="s">
        <v>2568</v>
      </c>
      <c r="C1392" s="8" t="s">
        <v>21</v>
      </c>
      <c r="K1392" s="8">
        <v>80.0</v>
      </c>
      <c r="N1392" s="7">
        <v>44178.0</v>
      </c>
    </row>
    <row r="1393">
      <c r="A1393" s="8">
        <v>1392.0</v>
      </c>
      <c r="B1393" s="8" t="s">
        <v>2569</v>
      </c>
      <c r="C1393" s="8" t="s">
        <v>21</v>
      </c>
      <c r="K1393" s="8">
        <v>400.0</v>
      </c>
      <c r="N1393" s="7">
        <v>44640.0</v>
      </c>
    </row>
    <row r="1394">
      <c r="A1394" s="8">
        <v>1393.0</v>
      </c>
      <c r="B1394" s="8" t="s">
        <v>2570</v>
      </c>
      <c r="C1394" s="8" t="s">
        <v>21</v>
      </c>
      <c r="K1394" s="8">
        <v>1100.0</v>
      </c>
      <c r="N1394" s="7">
        <v>43880.0</v>
      </c>
    </row>
    <row r="1395">
      <c r="A1395" s="8">
        <v>1394.0</v>
      </c>
      <c r="B1395" s="8" t="s">
        <v>2571</v>
      </c>
      <c r="C1395" s="8" t="s">
        <v>21</v>
      </c>
      <c r="N1395" s="7">
        <v>44470.0</v>
      </c>
    </row>
    <row r="1396">
      <c r="A1396" s="8">
        <v>1395.0</v>
      </c>
      <c r="B1396" s="8" t="s">
        <v>2572</v>
      </c>
      <c r="C1396" s="8" t="s">
        <v>21</v>
      </c>
      <c r="K1396" s="8">
        <v>100.0</v>
      </c>
      <c r="N1396" s="7">
        <v>43861.0</v>
      </c>
    </row>
    <row r="1397">
      <c r="A1397" s="8">
        <v>1396.0</v>
      </c>
      <c r="B1397" s="8" t="s">
        <v>2574</v>
      </c>
      <c r="C1397" s="8" t="s">
        <v>21</v>
      </c>
      <c r="N1397" s="7">
        <v>45521.0</v>
      </c>
    </row>
    <row r="1398">
      <c r="A1398" s="8">
        <v>1397.0</v>
      </c>
      <c r="B1398" s="8" t="s">
        <v>2575</v>
      </c>
      <c r="C1398" s="8" t="s">
        <v>21</v>
      </c>
      <c r="K1398" s="8">
        <v>7300.0</v>
      </c>
      <c r="N1398" s="7">
        <v>44508.0</v>
      </c>
    </row>
    <row r="1399">
      <c r="A1399" s="8">
        <v>1398.0</v>
      </c>
      <c r="B1399" s="8" t="s">
        <v>2576</v>
      </c>
      <c r="C1399" s="8" t="s">
        <v>21</v>
      </c>
      <c r="K1399" s="8">
        <v>3600.0</v>
      </c>
      <c r="N1399" s="7">
        <v>43995.0</v>
      </c>
    </row>
    <row r="1400">
      <c r="A1400" s="8">
        <v>1399.0</v>
      </c>
      <c r="B1400" s="8" t="s">
        <v>2577</v>
      </c>
      <c r="C1400" s="8" t="s">
        <v>21</v>
      </c>
      <c r="K1400" s="8">
        <v>800.0</v>
      </c>
      <c r="N1400" s="7">
        <v>45139.0</v>
      </c>
    </row>
    <row r="1401">
      <c r="A1401" s="8">
        <v>1400.0</v>
      </c>
      <c r="B1401" s="8" t="s">
        <v>94</v>
      </c>
      <c r="C1401" s="8" t="s">
        <v>21</v>
      </c>
      <c r="K1401" s="8">
        <v>450.0</v>
      </c>
      <c r="N1401" s="7">
        <v>44784.0</v>
      </c>
    </row>
    <row r="1402">
      <c r="A1402" s="8">
        <v>1401.0</v>
      </c>
      <c r="B1402" s="8" t="s">
        <v>2579</v>
      </c>
      <c r="C1402" s="8" t="s">
        <v>21</v>
      </c>
      <c r="K1402" s="8">
        <v>100.0</v>
      </c>
      <c r="N1402" s="7">
        <v>44495.0</v>
      </c>
    </row>
    <row r="1403">
      <c r="A1403" s="8">
        <v>1402.0</v>
      </c>
      <c r="B1403" s="8" t="s">
        <v>2581</v>
      </c>
      <c r="C1403" s="8" t="s">
        <v>21</v>
      </c>
      <c r="K1403" s="8">
        <v>200.0</v>
      </c>
      <c r="N1403" s="7">
        <v>44983.0</v>
      </c>
    </row>
    <row r="1404">
      <c r="A1404" s="8">
        <v>1403.0</v>
      </c>
      <c r="B1404" s="8" t="s">
        <v>2582</v>
      </c>
      <c r="C1404" s="8" t="s">
        <v>21</v>
      </c>
      <c r="K1404" s="8">
        <v>1800.0</v>
      </c>
      <c r="N1404" s="7">
        <v>44968.0</v>
      </c>
    </row>
    <row r="1405">
      <c r="A1405" s="8">
        <v>1404.0</v>
      </c>
      <c r="B1405" s="8" t="s">
        <v>2583</v>
      </c>
      <c r="C1405" s="8" t="s">
        <v>21</v>
      </c>
      <c r="K1405" s="8">
        <v>3000.0</v>
      </c>
      <c r="N1405" s="7">
        <v>44012.0</v>
      </c>
      <c r="O1405" s="8" t="s">
        <v>147</v>
      </c>
      <c r="P1405" s="8" t="s">
        <v>28</v>
      </c>
      <c r="S1405" s="8" t="s">
        <v>32</v>
      </c>
    </row>
    <row r="1406">
      <c r="A1406" s="8">
        <v>1405.0</v>
      </c>
      <c r="B1406" s="8" t="s">
        <v>2585</v>
      </c>
      <c r="C1406" s="8" t="s">
        <v>21</v>
      </c>
      <c r="K1406" s="8">
        <v>250.0</v>
      </c>
      <c r="N1406" s="7">
        <v>44650.0</v>
      </c>
    </row>
    <row r="1407">
      <c r="A1407" s="8">
        <v>1406.0</v>
      </c>
      <c r="B1407" s="8" t="s">
        <v>2586</v>
      </c>
      <c r="C1407" s="8" t="s">
        <v>21</v>
      </c>
      <c r="K1407" s="8">
        <v>90.0</v>
      </c>
      <c r="N1407" s="7">
        <v>44441.0</v>
      </c>
    </row>
    <row r="1408">
      <c r="A1408" s="8">
        <v>1407.0</v>
      </c>
      <c r="B1408" s="8" t="s">
        <v>2587</v>
      </c>
      <c r="C1408" s="8" t="s">
        <v>21</v>
      </c>
      <c r="K1408" s="8">
        <v>10.0</v>
      </c>
      <c r="N1408" s="7">
        <v>44634.0</v>
      </c>
    </row>
    <row r="1409">
      <c r="A1409" s="8">
        <v>1408.0</v>
      </c>
      <c r="B1409" s="8" t="s">
        <v>98</v>
      </c>
      <c r="C1409" s="8" t="s">
        <v>21</v>
      </c>
      <c r="K1409" s="8">
        <v>10.0</v>
      </c>
      <c r="N1409" s="7">
        <v>45539.0</v>
      </c>
    </row>
    <row r="1410">
      <c r="A1410" s="8">
        <v>1409.0</v>
      </c>
      <c r="B1410" s="8" t="s">
        <v>2588</v>
      </c>
      <c r="C1410" s="8" t="s">
        <v>21</v>
      </c>
      <c r="K1410" s="8">
        <v>2500.0</v>
      </c>
      <c r="N1410" s="7">
        <v>44166.0</v>
      </c>
    </row>
    <row r="1411">
      <c r="A1411" s="8">
        <v>1410.0</v>
      </c>
      <c r="B1411" s="8" t="s">
        <v>2590</v>
      </c>
      <c r="C1411" s="8" t="s">
        <v>21</v>
      </c>
      <c r="K1411" s="8">
        <v>100.0</v>
      </c>
      <c r="N1411" s="7">
        <v>44173.0</v>
      </c>
    </row>
    <row r="1412">
      <c r="A1412" s="8">
        <v>1411.0</v>
      </c>
      <c r="B1412" s="8" t="s">
        <v>2591</v>
      </c>
      <c r="C1412" s="8" t="s">
        <v>21</v>
      </c>
      <c r="K1412" s="8">
        <v>90.0</v>
      </c>
      <c r="N1412" s="7">
        <v>44061.0</v>
      </c>
    </row>
    <row r="1413">
      <c r="A1413" s="8">
        <v>1412.0</v>
      </c>
      <c r="B1413" s="8" t="s">
        <v>2592</v>
      </c>
      <c r="C1413" s="8" t="s">
        <v>21</v>
      </c>
      <c r="K1413" s="8">
        <v>400.0</v>
      </c>
      <c r="N1413" s="7">
        <v>45408.0</v>
      </c>
    </row>
    <row r="1414">
      <c r="A1414" s="8">
        <v>1413.0</v>
      </c>
      <c r="B1414" s="8" t="s">
        <v>2593</v>
      </c>
      <c r="C1414" s="8" t="s">
        <v>21</v>
      </c>
      <c r="K1414" s="8">
        <v>40.0</v>
      </c>
      <c r="N1414" s="7">
        <v>44717.0</v>
      </c>
    </row>
    <row r="1415">
      <c r="A1415" s="8">
        <v>1414.0</v>
      </c>
      <c r="B1415" s="8" t="s">
        <v>2595</v>
      </c>
      <c r="C1415" s="8" t="s">
        <v>21</v>
      </c>
      <c r="N1415" s="7">
        <v>43893.0</v>
      </c>
    </row>
    <row r="1416">
      <c r="A1416" s="8">
        <v>1415.0</v>
      </c>
      <c r="B1416" s="8" t="s">
        <v>2596</v>
      </c>
      <c r="C1416" s="8" t="s">
        <v>21</v>
      </c>
      <c r="K1416" s="8">
        <v>2200.0</v>
      </c>
      <c r="N1416" s="7">
        <v>44399.0</v>
      </c>
    </row>
    <row r="1417">
      <c r="A1417" s="8">
        <v>1416.0</v>
      </c>
      <c r="B1417" s="8" t="s">
        <v>2598</v>
      </c>
      <c r="C1417" s="8" t="s">
        <v>21</v>
      </c>
      <c r="K1417" s="8">
        <v>70.0</v>
      </c>
      <c r="N1417" s="7">
        <v>44002.0</v>
      </c>
    </row>
    <row r="1418">
      <c r="A1418" s="8">
        <v>1417.0</v>
      </c>
      <c r="B1418" s="8" t="s">
        <v>100</v>
      </c>
      <c r="C1418" s="8" t="s">
        <v>21</v>
      </c>
      <c r="K1418" s="8">
        <v>150.0</v>
      </c>
      <c r="N1418" s="7">
        <v>44349.0</v>
      </c>
    </row>
    <row r="1419">
      <c r="A1419" s="8">
        <v>1418.0</v>
      </c>
      <c r="B1419" s="8" t="s">
        <v>2599</v>
      </c>
      <c r="C1419" s="8" t="s">
        <v>21</v>
      </c>
      <c r="K1419" s="8">
        <v>10.0</v>
      </c>
      <c r="N1419" s="7">
        <v>44038.0</v>
      </c>
    </row>
    <row r="1420">
      <c r="A1420" s="8">
        <v>1419.0</v>
      </c>
      <c r="B1420" s="8" t="s">
        <v>2600</v>
      </c>
      <c r="C1420" s="8" t="s">
        <v>21</v>
      </c>
      <c r="N1420" s="7">
        <v>42889.0</v>
      </c>
    </row>
    <row r="1421">
      <c r="A1421" s="8">
        <v>1420.0</v>
      </c>
      <c r="B1421" s="8" t="s">
        <v>2602</v>
      </c>
      <c r="C1421" s="8" t="s">
        <v>21</v>
      </c>
      <c r="K1421" s="8">
        <v>10.0</v>
      </c>
      <c r="N1421" s="7">
        <v>45203.0</v>
      </c>
    </row>
    <row r="1422">
      <c r="A1422" s="8">
        <v>1421.0</v>
      </c>
      <c r="B1422" s="8" t="s">
        <v>2603</v>
      </c>
      <c r="C1422" s="8" t="s">
        <v>21</v>
      </c>
      <c r="K1422" s="8">
        <v>10.0</v>
      </c>
      <c r="N1422" s="7">
        <v>44287.0</v>
      </c>
    </row>
    <row r="1423">
      <c r="A1423" s="8">
        <v>1422.0</v>
      </c>
      <c r="B1423" s="8" t="s">
        <v>2604</v>
      </c>
      <c r="C1423" s="8" t="s">
        <v>21</v>
      </c>
      <c r="K1423" s="8">
        <v>41000.0</v>
      </c>
      <c r="N1423" s="7">
        <v>44359.0</v>
      </c>
    </row>
    <row r="1424">
      <c r="A1424" s="8">
        <v>1423.0</v>
      </c>
      <c r="B1424" s="8" t="s">
        <v>2606</v>
      </c>
      <c r="C1424" s="8" t="s">
        <v>21</v>
      </c>
      <c r="K1424" s="8">
        <v>19000.0</v>
      </c>
      <c r="N1424" s="7">
        <v>44267.0</v>
      </c>
    </row>
    <row r="1425">
      <c r="A1425" s="8">
        <v>1424.0</v>
      </c>
      <c r="B1425" s="8" t="s">
        <v>2608</v>
      </c>
      <c r="C1425" s="8" t="s">
        <v>21</v>
      </c>
      <c r="K1425" s="8">
        <v>30.0</v>
      </c>
      <c r="N1425" s="7">
        <v>44976.0</v>
      </c>
    </row>
    <row r="1426">
      <c r="A1426" s="8">
        <v>1425.0</v>
      </c>
      <c r="B1426" s="8" t="s">
        <v>2609</v>
      </c>
      <c r="C1426" s="8" t="s">
        <v>21</v>
      </c>
      <c r="K1426" s="8">
        <v>150.0</v>
      </c>
      <c r="N1426" s="7">
        <v>44767.0</v>
      </c>
    </row>
    <row r="1427">
      <c r="A1427" s="8">
        <v>1426.0</v>
      </c>
      <c r="B1427" s="8" t="s">
        <v>2610</v>
      </c>
      <c r="C1427" s="8" t="s">
        <v>21</v>
      </c>
      <c r="K1427" s="8">
        <v>30.0</v>
      </c>
      <c r="N1427" s="7">
        <v>45438.0</v>
      </c>
    </row>
    <row r="1428">
      <c r="A1428" s="8">
        <v>1427.0</v>
      </c>
      <c r="B1428" s="8" t="s">
        <v>2611</v>
      </c>
      <c r="C1428" s="8" t="s">
        <v>21</v>
      </c>
      <c r="K1428" s="8">
        <v>350.0</v>
      </c>
      <c r="N1428" s="7">
        <v>45263.0</v>
      </c>
    </row>
    <row r="1429">
      <c r="A1429" s="8">
        <v>1428.0</v>
      </c>
      <c r="B1429" s="8" t="s">
        <v>2612</v>
      </c>
      <c r="C1429" s="8" t="s">
        <v>21</v>
      </c>
      <c r="K1429" s="8">
        <v>1500.0</v>
      </c>
      <c r="N1429" s="7">
        <v>44557.0</v>
      </c>
    </row>
    <row r="1430">
      <c r="A1430" s="8">
        <v>1429.0</v>
      </c>
      <c r="B1430" s="8" t="s">
        <v>2614</v>
      </c>
      <c r="C1430" s="8" t="s">
        <v>21</v>
      </c>
      <c r="K1430" s="8">
        <v>3000.0</v>
      </c>
      <c r="N1430" s="7">
        <v>43922.0</v>
      </c>
    </row>
    <row r="1431">
      <c r="A1431" s="8">
        <v>1430.0</v>
      </c>
      <c r="B1431" s="8" t="s">
        <v>2615</v>
      </c>
      <c r="C1431" s="8" t="s">
        <v>21</v>
      </c>
      <c r="K1431" s="8">
        <v>10.0</v>
      </c>
      <c r="N1431" s="7">
        <v>44500.0</v>
      </c>
    </row>
    <row r="1432">
      <c r="A1432" s="8">
        <v>1431.0</v>
      </c>
      <c r="B1432" s="8" t="s">
        <v>2616</v>
      </c>
      <c r="C1432" s="8" t="s">
        <v>21</v>
      </c>
      <c r="K1432" s="8">
        <v>30.0</v>
      </c>
      <c r="N1432" s="7">
        <v>44959.0</v>
      </c>
    </row>
    <row r="1433">
      <c r="A1433" s="8">
        <v>1432.0</v>
      </c>
      <c r="B1433" s="8" t="s">
        <v>2617</v>
      </c>
      <c r="C1433" s="8" t="s">
        <v>21</v>
      </c>
      <c r="K1433" s="8">
        <v>10.0</v>
      </c>
      <c r="N1433" s="7">
        <v>44316.0</v>
      </c>
    </row>
    <row r="1434">
      <c r="A1434" s="8">
        <v>1433.0</v>
      </c>
      <c r="B1434" s="8" t="s">
        <v>2618</v>
      </c>
      <c r="C1434" s="8" t="s">
        <v>21</v>
      </c>
      <c r="K1434" s="8">
        <v>70.0</v>
      </c>
      <c r="N1434" s="7">
        <v>44083.0</v>
      </c>
    </row>
    <row r="1435">
      <c r="A1435" s="8">
        <v>1434.0</v>
      </c>
      <c r="B1435" s="8" t="s">
        <v>2619</v>
      </c>
      <c r="C1435" s="8" t="s">
        <v>21</v>
      </c>
      <c r="N1435" s="7">
        <v>42553.0</v>
      </c>
      <c r="O1435" s="8" t="s">
        <v>26</v>
      </c>
      <c r="P1435" s="8" t="s">
        <v>28</v>
      </c>
      <c r="S1435" s="8" t="s">
        <v>32</v>
      </c>
    </row>
    <row r="1436">
      <c r="A1436" s="8">
        <v>1435.0</v>
      </c>
      <c r="B1436" s="8" t="s">
        <v>2621</v>
      </c>
      <c r="C1436" s="8" t="s">
        <v>21</v>
      </c>
      <c r="K1436" s="8">
        <v>1000.0</v>
      </c>
      <c r="N1436" s="7">
        <v>44779.0</v>
      </c>
    </row>
    <row r="1437">
      <c r="A1437" s="8">
        <v>1436.0</v>
      </c>
      <c r="B1437" s="8" t="s">
        <v>2622</v>
      </c>
      <c r="C1437" s="8" t="s">
        <v>21</v>
      </c>
      <c r="K1437" s="8">
        <v>200.0</v>
      </c>
      <c r="N1437" s="7">
        <v>44431.0</v>
      </c>
    </row>
    <row r="1438">
      <c r="A1438" s="8">
        <v>1437.0</v>
      </c>
      <c r="B1438" s="8" t="s">
        <v>2623</v>
      </c>
      <c r="C1438" s="8" t="s">
        <v>21</v>
      </c>
      <c r="K1438" s="8">
        <v>20.0</v>
      </c>
      <c r="N1438" s="7">
        <v>44596.0</v>
      </c>
    </row>
    <row r="1439">
      <c r="A1439" s="8">
        <v>1438.0</v>
      </c>
      <c r="B1439" s="8" t="s">
        <v>2624</v>
      </c>
      <c r="C1439" s="8" t="s">
        <v>21</v>
      </c>
      <c r="K1439" s="8">
        <v>1600.0</v>
      </c>
      <c r="N1439" s="7">
        <v>44360.0</v>
      </c>
    </row>
    <row r="1440">
      <c r="A1440" s="8">
        <v>1439.0</v>
      </c>
      <c r="B1440" s="8" t="s">
        <v>2625</v>
      </c>
      <c r="C1440" s="8" t="s">
        <v>21</v>
      </c>
      <c r="K1440" s="8">
        <v>1000.0</v>
      </c>
      <c r="N1440" s="7">
        <v>43880.0</v>
      </c>
    </row>
    <row r="1441">
      <c r="A1441" s="8">
        <v>1440.0</v>
      </c>
      <c r="B1441" s="8" t="s">
        <v>2626</v>
      </c>
      <c r="C1441" s="8" t="s">
        <v>21</v>
      </c>
      <c r="K1441" s="8">
        <v>20.0</v>
      </c>
      <c r="N1441" s="7">
        <v>44250.0</v>
      </c>
    </row>
    <row r="1442">
      <c r="A1442" s="8">
        <v>1441.0</v>
      </c>
      <c r="B1442" s="8" t="s">
        <v>2627</v>
      </c>
      <c r="C1442" s="8" t="s">
        <v>21</v>
      </c>
      <c r="K1442" s="8">
        <v>20000.0</v>
      </c>
      <c r="N1442" s="7">
        <v>44863.0</v>
      </c>
    </row>
    <row r="1443">
      <c r="A1443" s="8">
        <v>1442.0</v>
      </c>
      <c r="B1443" s="8" t="s">
        <v>2628</v>
      </c>
      <c r="C1443" s="8" t="s">
        <v>21</v>
      </c>
      <c r="K1443" s="8">
        <v>10.0</v>
      </c>
      <c r="N1443" s="7">
        <v>44888.0</v>
      </c>
    </row>
    <row r="1444">
      <c r="A1444" s="8">
        <v>1443.0</v>
      </c>
      <c r="B1444" s="8" t="s">
        <v>2629</v>
      </c>
      <c r="C1444" s="8" t="s">
        <v>21</v>
      </c>
      <c r="K1444" s="8">
        <v>600.0</v>
      </c>
      <c r="N1444" s="7">
        <v>44726.0</v>
      </c>
    </row>
    <row r="1445">
      <c r="A1445" s="8">
        <v>1444.0</v>
      </c>
      <c r="B1445" s="8" t="s">
        <v>2630</v>
      </c>
      <c r="C1445" s="8" t="s">
        <v>21</v>
      </c>
      <c r="K1445" s="8">
        <v>20.0</v>
      </c>
      <c r="N1445" s="7">
        <v>43925.0</v>
      </c>
    </row>
    <row r="1446">
      <c r="A1446" s="8">
        <v>1445.0</v>
      </c>
      <c r="B1446" s="8" t="s">
        <v>2631</v>
      </c>
      <c r="C1446" s="8" t="s">
        <v>21</v>
      </c>
      <c r="N1446" s="7">
        <v>45589.0</v>
      </c>
    </row>
    <row r="1447">
      <c r="A1447" s="8">
        <v>1446.0</v>
      </c>
      <c r="B1447" s="8" t="s">
        <v>2632</v>
      </c>
      <c r="C1447" s="8" t="s">
        <v>21</v>
      </c>
      <c r="K1447" s="8">
        <v>20.0</v>
      </c>
      <c r="N1447" s="7">
        <v>44303.0</v>
      </c>
    </row>
    <row r="1448">
      <c r="A1448" s="8">
        <v>1447.0</v>
      </c>
      <c r="B1448" s="8" t="s">
        <v>2635</v>
      </c>
      <c r="C1448" s="8" t="s">
        <v>21</v>
      </c>
      <c r="K1448" s="8">
        <v>600.0</v>
      </c>
      <c r="N1448" s="7">
        <v>44679.0</v>
      </c>
    </row>
    <row r="1449">
      <c r="A1449" s="8">
        <v>1448.0</v>
      </c>
      <c r="B1449" s="8" t="s">
        <v>104</v>
      </c>
      <c r="C1449" s="8" t="s">
        <v>21</v>
      </c>
      <c r="K1449" s="8">
        <v>10.0</v>
      </c>
      <c r="N1449" s="7">
        <v>44766.0</v>
      </c>
    </row>
    <row r="1450">
      <c r="A1450" s="8">
        <v>1449.0</v>
      </c>
      <c r="B1450" s="8" t="s">
        <v>2636</v>
      </c>
      <c r="C1450" s="8" t="s">
        <v>21</v>
      </c>
      <c r="K1450" s="8">
        <v>150.0</v>
      </c>
      <c r="N1450" s="7">
        <v>44116.0</v>
      </c>
    </row>
    <row r="1451">
      <c r="A1451" s="8">
        <v>1450.0</v>
      </c>
      <c r="B1451" s="8" t="s">
        <v>2638</v>
      </c>
      <c r="C1451" s="8" t="s">
        <v>21</v>
      </c>
      <c r="K1451" s="8">
        <v>10.0</v>
      </c>
      <c r="N1451" s="7">
        <v>44571.0</v>
      </c>
    </row>
    <row r="1452">
      <c r="A1452" s="8">
        <v>1451.0</v>
      </c>
      <c r="B1452" s="8" t="s">
        <v>2639</v>
      </c>
      <c r="C1452" s="8" t="s">
        <v>21</v>
      </c>
      <c r="K1452" s="8">
        <v>50.0</v>
      </c>
      <c r="N1452" s="7">
        <v>44399.0</v>
      </c>
    </row>
    <row r="1453">
      <c r="A1453" s="8">
        <v>1452.0</v>
      </c>
      <c r="B1453" s="8" t="s">
        <v>2640</v>
      </c>
      <c r="C1453" s="8" t="s">
        <v>21</v>
      </c>
      <c r="K1453" s="8">
        <v>60.0</v>
      </c>
      <c r="N1453" s="7">
        <v>44218.0</v>
      </c>
    </row>
    <row r="1454">
      <c r="A1454" s="8">
        <v>1453.0</v>
      </c>
      <c r="B1454" s="8" t="s">
        <v>2641</v>
      </c>
      <c r="C1454" s="8" t="s">
        <v>21</v>
      </c>
      <c r="K1454" s="8">
        <v>200.0</v>
      </c>
      <c r="N1454" s="7">
        <v>44960.0</v>
      </c>
    </row>
    <row r="1455">
      <c r="A1455" s="8">
        <v>1454.0</v>
      </c>
      <c r="B1455" s="8" t="s">
        <v>2642</v>
      </c>
      <c r="C1455" s="8" t="s">
        <v>21</v>
      </c>
      <c r="K1455" s="8">
        <v>40.0</v>
      </c>
      <c r="N1455" s="7">
        <v>45006.0</v>
      </c>
    </row>
    <row r="1456">
      <c r="A1456" s="8">
        <v>1455.0</v>
      </c>
      <c r="B1456" s="8" t="s">
        <v>2643</v>
      </c>
      <c r="C1456" s="8" t="s">
        <v>21</v>
      </c>
      <c r="K1456" s="8">
        <v>50.0</v>
      </c>
      <c r="N1456" s="7">
        <v>44639.0</v>
      </c>
    </row>
    <row r="1457">
      <c r="A1457" s="8">
        <v>1456.0</v>
      </c>
      <c r="B1457" s="8" t="s">
        <v>2644</v>
      </c>
      <c r="C1457" s="8" t="s">
        <v>21</v>
      </c>
      <c r="N1457" s="7">
        <v>44630.0</v>
      </c>
    </row>
    <row r="1458">
      <c r="A1458" s="8">
        <v>1457.0</v>
      </c>
      <c r="B1458" s="8" t="s">
        <v>2646</v>
      </c>
      <c r="C1458" s="8" t="s">
        <v>21</v>
      </c>
      <c r="K1458" s="8">
        <v>9800.0</v>
      </c>
      <c r="N1458" s="7">
        <v>44667.0</v>
      </c>
    </row>
    <row r="1459">
      <c r="A1459" s="8">
        <v>1458.0</v>
      </c>
      <c r="B1459" s="8" t="s">
        <v>2647</v>
      </c>
      <c r="C1459" s="8" t="s">
        <v>21</v>
      </c>
      <c r="K1459" s="8">
        <v>100.0</v>
      </c>
      <c r="N1459" s="7">
        <v>44204.0</v>
      </c>
    </row>
    <row r="1460">
      <c r="A1460" s="8">
        <v>1459.0</v>
      </c>
      <c r="B1460" s="8" t="s">
        <v>2648</v>
      </c>
      <c r="C1460" s="8" t="s">
        <v>21</v>
      </c>
      <c r="K1460" s="8">
        <v>200.0</v>
      </c>
      <c r="N1460" s="7">
        <v>44185.0</v>
      </c>
    </row>
    <row r="1461">
      <c r="A1461" s="8">
        <v>1460.0</v>
      </c>
      <c r="B1461" s="8" t="s">
        <v>2650</v>
      </c>
      <c r="C1461" s="8" t="s">
        <v>21</v>
      </c>
      <c r="K1461" s="8">
        <v>10.0</v>
      </c>
      <c r="N1461" s="7">
        <v>44846.0</v>
      </c>
    </row>
    <row r="1462">
      <c r="A1462" s="8">
        <v>1461.0</v>
      </c>
      <c r="B1462" s="8" t="s">
        <v>2651</v>
      </c>
      <c r="C1462" s="8" t="s">
        <v>21</v>
      </c>
      <c r="K1462" s="8">
        <v>150.0</v>
      </c>
      <c r="N1462" s="7">
        <v>44521.0</v>
      </c>
    </row>
    <row r="1463">
      <c r="A1463" s="8">
        <v>1462.0</v>
      </c>
      <c r="B1463" s="8" t="s">
        <v>2653</v>
      </c>
      <c r="C1463" s="8" t="s">
        <v>21</v>
      </c>
      <c r="K1463" s="8">
        <v>30.0</v>
      </c>
      <c r="N1463" s="7">
        <v>44134.0</v>
      </c>
    </row>
    <row r="1464">
      <c r="A1464" s="8">
        <v>1463.0</v>
      </c>
      <c r="B1464" s="8" t="s">
        <v>2654</v>
      </c>
      <c r="C1464" s="8" t="s">
        <v>21</v>
      </c>
      <c r="K1464" s="8">
        <v>20.0</v>
      </c>
      <c r="N1464" s="7">
        <v>43973.0</v>
      </c>
    </row>
    <row r="1465">
      <c r="A1465" s="8">
        <v>1464.0</v>
      </c>
      <c r="B1465" s="8" t="s">
        <v>2655</v>
      </c>
      <c r="C1465" s="8" t="s">
        <v>21</v>
      </c>
      <c r="K1465" s="8">
        <v>300.0</v>
      </c>
      <c r="N1465" s="7">
        <v>43871.0</v>
      </c>
    </row>
    <row r="1466">
      <c r="A1466" s="8">
        <v>1465.0</v>
      </c>
      <c r="B1466" s="8" t="s">
        <v>2657</v>
      </c>
      <c r="C1466" s="8" t="s">
        <v>21</v>
      </c>
      <c r="K1466" s="8">
        <v>10.0</v>
      </c>
      <c r="N1466" s="7">
        <v>44735.0</v>
      </c>
    </row>
    <row r="1467">
      <c r="A1467" s="8">
        <v>1466.0</v>
      </c>
      <c r="B1467" s="8" t="s">
        <v>2659</v>
      </c>
      <c r="C1467" s="8" t="s">
        <v>21</v>
      </c>
      <c r="N1467" s="7">
        <v>44483.0</v>
      </c>
    </row>
    <row r="1468">
      <c r="A1468" s="8">
        <v>1467.0</v>
      </c>
      <c r="B1468" s="8" t="s">
        <v>2660</v>
      </c>
      <c r="C1468" s="8" t="s">
        <v>21</v>
      </c>
      <c r="N1468" s="7">
        <v>44955.0</v>
      </c>
    </row>
    <row r="1469">
      <c r="A1469" s="8">
        <v>1468.0</v>
      </c>
      <c r="B1469" s="8" t="s">
        <v>2662</v>
      </c>
      <c r="C1469" s="8" t="s">
        <v>21</v>
      </c>
      <c r="K1469" s="8">
        <v>900.0</v>
      </c>
      <c r="N1469" s="7">
        <v>44725.0</v>
      </c>
    </row>
    <row r="1470">
      <c r="A1470" s="8">
        <v>1469.0</v>
      </c>
      <c r="B1470" s="8" t="s">
        <v>2663</v>
      </c>
      <c r="C1470" s="8" t="s">
        <v>21</v>
      </c>
      <c r="K1470" s="8">
        <v>2400.0</v>
      </c>
      <c r="N1470" s="7">
        <v>44681.0</v>
      </c>
    </row>
    <row r="1471">
      <c r="A1471" s="8">
        <v>1470.0</v>
      </c>
      <c r="B1471" s="8" t="s">
        <v>2664</v>
      </c>
      <c r="C1471" s="8" t="s">
        <v>21</v>
      </c>
      <c r="K1471" s="8">
        <v>70.0</v>
      </c>
      <c r="N1471" s="7">
        <v>45143.0</v>
      </c>
    </row>
    <row r="1472">
      <c r="A1472" s="8">
        <v>1471.0</v>
      </c>
      <c r="B1472" s="8" t="s">
        <v>2666</v>
      </c>
      <c r="C1472" s="8" t="s">
        <v>21</v>
      </c>
      <c r="K1472" s="8">
        <v>450.0</v>
      </c>
      <c r="N1472" s="7">
        <v>44121.0</v>
      </c>
    </row>
    <row r="1473">
      <c r="A1473" s="8">
        <v>1472.0</v>
      </c>
      <c r="B1473" s="8" t="s">
        <v>2667</v>
      </c>
      <c r="C1473" s="8" t="s">
        <v>21</v>
      </c>
      <c r="N1473" s="7">
        <v>45071.0</v>
      </c>
    </row>
    <row r="1474">
      <c r="A1474" s="8">
        <v>1473.0</v>
      </c>
      <c r="B1474" s="8" t="s">
        <v>2668</v>
      </c>
      <c r="C1474" s="8" t="s">
        <v>21</v>
      </c>
      <c r="K1474" s="8">
        <v>200.0</v>
      </c>
      <c r="N1474" s="7">
        <v>44270.0</v>
      </c>
    </row>
    <row r="1475">
      <c r="A1475" s="8">
        <v>1474.0</v>
      </c>
      <c r="B1475" s="8" t="s">
        <v>2669</v>
      </c>
      <c r="C1475" s="8" t="s">
        <v>21</v>
      </c>
      <c r="K1475" s="8">
        <v>50.0</v>
      </c>
      <c r="N1475" s="7">
        <v>45565.0</v>
      </c>
    </row>
    <row r="1476">
      <c r="A1476" s="8">
        <v>1475.0</v>
      </c>
      <c r="B1476" s="8" t="s">
        <v>2670</v>
      </c>
      <c r="C1476" s="8" t="s">
        <v>21</v>
      </c>
      <c r="K1476" s="8">
        <v>350.0</v>
      </c>
      <c r="N1476" s="7">
        <v>44910.0</v>
      </c>
    </row>
    <row r="1477">
      <c r="A1477" s="8">
        <v>1476.0</v>
      </c>
      <c r="B1477" s="8" t="s">
        <v>2672</v>
      </c>
      <c r="C1477" s="8" t="s">
        <v>21</v>
      </c>
      <c r="K1477" s="8">
        <v>350.0</v>
      </c>
      <c r="N1477" s="7">
        <v>44979.0</v>
      </c>
    </row>
    <row r="1478">
      <c r="A1478" s="8">
        <v>1477.0</v>
      </c>
      <c r="B1478" s="8" t="s">
        <v>2673</v>
      </c>
      <c r="C1478" s="8" t="s">
        <v>21</v>
      </c>
      <c r="K1478" s="8">
        <v>100.0</v>
      </c>
      <c r="N1478" s="7">
        <v>44608.0</v>
      </c>
    </row>
    <row r="1479">
      <c r="A1479" s="8">
        <v>1478.0</v>
      </c>
      <c r="B1479" s="8" t="s">
        <v>2675</v>
      </c>
      <c r="C1479" s="8" t="s">
        <v>21</v>
      </c>
      <c r="K1479" s="8">
        <v>1100.0</v>
      </c>
      <c r="N1479" s="7">
        <v>43872.0</v>
      </c>
    </row>
    <row r="1480">
      <c r="A1480" s="8">
        <v>1479.0</v>
      </c>
      <c r="B1480" s="8" t="s">
        <v>2676</v>
      </c>
      <c r="C1480" s="8" t="s">
        <v>21</v>
      </c>
      <c r="K1480" s="8">
        <v>100.0</v>
      </c>
      <c r="N1480" s="7">
        <v>44173.0</v>
      </c>
    </row>
    <row r="1481">
      <c r="A1481" s="8">
        <v>1480.0</v>
      </c>
      <c r="B1481" s="8" t="s">
        <v>2677</v>
      </c>
      <c r="C1481" s="8" t="s">
        <v>21</v>
      </c>
      <c r="N1481" s="7">
        <v>44786.0</v>
      </c>
    </row>
    <row r="1482">
      <c r="A1482" s="8">
        <v>1481.0</v>
      </c>
      <c r="B1482" s="8" t="s">
        <v>2679</v>
      </c>
      <c r="C1482" s="8" t="s">
        <v>21</v>
      </c>
      <c r="K1482" s="8">
        <v>20.0</v>
      </c>
      <c r="N1482" s="7">
        <v>44580.0</v>
      </c>
    </row>
    <row r="1483">
      <c r="A1483" s="8">
        <v>1482.0</v>
      </c>
      <c r="B1483" s="8" t="s">
        <v>2680</v>
      </c>
      <c r="C1483" s="8" t="s">
        <v>21</v>
      </c>
      <c r="K1483" s="8">
        <v>800.0</v>
      </c>
      <c r="N1483" s="7">
        <v>43912.0</v>
      </c>
    </row>
    <row r="1484">
      <c r="A1484" s="8">
        <v>1483.0</v>
      </c>
      <c r="B1484" s="8" t="s">
        <v>2682</v>
      </c>
      <c r="C1484" s="8" t="s">
        <v>21</v>
      </c>
      <c r="K1484" s="8">
        <v>300.0</v>
      </c>
      <c r="N1484" s="7">
        <v>44739.0</v>
      </c>
    </row>
    <row r="1485">
      <c r="A1485" s="8">
        <v>1484.0</v>
      </c>
      <c r="B1485" s="8" t="s">
        <v>2683</v>
      </c>
      <c r="C1485" s="8" t="s">
        <v>21</v>
      </c>
      <c r="K1485" s="8">
        <v>30.0</v>
      </c>
      <c r="N1485" s="7">
        <v>44136.0</v>
      </c>
    </row>
    <row r="1486">
      <c r="A1486" s="8">
        <v>1485.0</v>
      </c>
      <c r="B1486" s="8" t="s">
        <v>2684</v>
      </c>
      <c r="C1486" s="8" t="s">
        <v>21</v>
      </c>
      <c r="K1486" s="8">
        <v>60.0</v>
      </c>
      <c r="N1486" s="7">
        <v>44618.0</v>
      </c>
    </row>
    <row r="1487">
      <c r="A1487" s="8">
        <v>1486.0</v>
      </c>
      <c r="B1487" s="8" t="s">
        <v>2686</v>
      </c>
      <c r="C1487" s="8" t="s">
        <v>21</v>
      </c>
      <c r="K1487" s="8">
        <v>150.0</v>
      </c>
      <c r="N1487" s="7">
        <v>45078.0</v>
      </c>
    </row>
    <row r="1488">
      <c r="A1488" s="8">
        <v>1487.0</v>
      </c>
      <c r="B1488" s="8" t="s">
        <v>2687</v>
      </c>
      <c r="C1488" s="8" t="s">
        <v>21</v>
      </c>
      <c r="K1488" s="8">
        <v>15000.0</v>
      </c>
      <c r="N1488" s="7">
        <v>44536.0</v>
      </c>
    </row>
    <row r="1489">
      <c r="A1489" s="8">
        <v>1488.0</v>
      </c>
      <c r="B1489" s="8" t="s">
        <v>2689</v>
      </c>
      <c r="C1489" s="8" t="s">
        <v>21</v>
      </c>
      <c r="K1489" s="8">
        <v>10.0</v>
      </c>
      <c r="N1489" s="7">
        <v>44282.0</v>
      </c>
    </row>
    <row r="1490">
      <c r="A1490" s="8">
        <v>1489.0</v>
      </c>
      <c r="B1490" s="8" t="s">
        <v>2690</v>
      </c>
      <c r="C1490" s="8" t="s">
        <v>21</v>
      </c>
      <c r="K1490" s="8">
        <v>1500.0</v>
      </c>
      <c r="N1490" s="7">
        <v>43927.0</v>
      </c>
    </row>
    <row r="1491">
      <c r="A1491" s="8">
        <v>1490.0</v>
      </c>
      <c r="B1491" s="8" t="s">
        <v>2691</v>
      </c>
      <c r="C1491" s="8" t="s">
        <v>21</v>
      </c>
      <c r="K1491" s="8">
        <v>800.0</v>
      </c>
      <c r="N1491" s="7">
        <v>44607.0</v>
      </c>
    </row>
    <row r="1492">
      <c r="A1492" s="8">
        <v>1491.0</v>
      </c>
      <c r="B1492" s="8" t="s">
        <v>2693</v>
      </c>
      <c r="C1492" s="8" t="s">
        <v>21</v>
      </c>
      <c r="K1492" s="8">
        <v>700.0</v>
      </c>
      <c r="N1492" s="7">
        <v>45873.0</v>
      </c>
    </row>
    <row r="1493">
      <c r="A1493" s="8">
        <v>1492.0</v>
      </c>
      <c r="B1493" s="8" t="s">
        <v>2694</v>
      </c>
      <c r="C1493" s="8" t="s">
        <v>21</v>
      </c>
      <c r="K1493" s="8">
        <v>20.0</v>
      </c>
      <c r="N1493" s="7">
        <v>45047.0</v>
      </c>
    </row>
    <row r="1494">
      <c r="A1494" s="8">
        <v>1493.0</v>
      </c>
      <c r="B1494" s="8" t="s">
        <v>2696</v>
      </c>
      <c r="C1494" s="8" t="s">
        <v>21</v>
      </c>
      <c r="K1494" s="8">
        <v>2900.0</v>
      </c>
      <c r="N1494" s="7">
        <v>44277.0</v>
      </c>
    </row>
    <row r="1495">
      <c r="A1495" s="8">
        <v>1494.0</v>
      </c>
      <c r="B1495" s="8" t="s">
        <v>2698</v>
      </c>
      <c r="C1495" s="8" t="s">
        <v>21</v>
      </c>
      <c r="K1495" s="8">
        <v>50.0</v>
      </c>
      <c r="N1495" s="7">
        <v>44098.0</v>
      </c>
    </row>
    <row r="1496">
      <c r="A1496" s="8">
        <v>1495.0</v>
      </c>
      <c r="B1496" s="8" t="s">
        <v>2699</v>
      </c>
      <c r="C1496" s="8" t="s">
        <v>21</v>
      </c>
      <c r="K1496" s="8">
        <v>50.0</v>
      </c>
      <c r="N1496" s="7">
        <v>44974.0</v>
      </c>
    </row>
    <row r="1497">
      <c r="A1497" s="8">
        <v>1496.0</v>
      </c>
      <c r="B1497" s="8" t="s">
        <v>2701</v>
      </c>
      <c r="C1497" s="8" t="s">
        <v>21</v>
      </c>
      <c r="K1497" s="8">
        <v>20.0</v>
      </c>
      <c r="N1497" s="7">
        <v>45873.0</v>
      </c>
    </row>
    <row r="1498">
      <c r="A1498" s="8">
        <v>1497.0</v>
      </c>
      <c r="B1498" s="8" t="s">
        <v>2704</v>
      </c>
      <c r="C1498" s="8" t="s">
        <v>21</v>
      </c>
      <c r="K1498" s="8">
        <v>8400.0</v>
      </c>
      <c r="N1498" s="7">
        <v>44555.0</v>
      </c>
    </row>
    <row r="1499">
      <c r="A1499" s="8">
        <v>1498.0</v>
      </c>
      <c r="B1499" s="8" t="s">
        <v>2706</v>
      </c>
      <c r="C1499" s="8" t="s">
        <v>21</v>
      </c>
      <c r="N1499" s="7">
        <v>44396.0</v>
      </c>
    </row>
    <row r="1500">
      <c r="A1500" s="8">
        <v>1499.0</v>
      </c>
      <c r="B1500" s="8" t="s">
        <v>2708</v>
      </c>
      <c r="C1500" s="8" t="s">
        <v>21</v>
      </c>
      <c r="K1500" s="8">
        <v>90.0</v>
      </c>
      <c r="N1500" s="7">
        <v>44896.0</v>
      </c>
    </row>
    <row r="1501">
      <c r="A1501" s="8">
        <v>1500.0</v>
      </c>
      <c r="B1501" s="8" t="s">
        <v>2711</v>
      </c>
      <c r="C1501" s="8" t="s">
        <v>21</v>
      </c>
      <c r="K1501" s="8">
        <v>20.0</v>
      </c>
      <c r="N1501" s="7">
        <v>44058.0</v>
      </c>
    </row>
    <row r="1502">
      <c r="A1502" s="8">
        <v>1501.0</v>
      </c>
      <c r="B1502" s="8" t="s">
        <v>2713</v>
      </c>
      <c r="C1502" s="8" t="s">
        <v>21</v>
      </c>
      <c r="K1502" s="8">
        <v>90.0</v>
      </c>
      <c r="N1502" s="7">
        <v>43900.0</v>
      </c>
    </row>
    <row r="1503">
      <c r="A1503" s="8">
        <v>1502.0</v>
      </c>
      <c r="B1503" s="8" t="s">
        <v>2714</v>
      </c>
      <c r="C1503" s="8" t="s">
        <v>21</v>
      </c>
      <c r="K1503" s="8">
        <v>10.0</v>
      </c>
      <c r="N1503" s="7">
        <v>45023.0</v>
      </c>
    </row>
    <row r="1504">
      <c r="A1504" s="8">
        <v>1503.0</v>
      </c>
      <c r="B1504" s="8" t="s">
        <v>2716</v>
      </c>
      <c r="C1504" s="8" t="s">
        <v>21</v>
      </c>
      <c r="K1504" s="8">
        <v>150.0</v>
      </c>
      <c r="N1504" s="7">
        <v>44401.0</v>
      </c>
    </row>
    <row r="1505">
      <c r="A1505" s="8">
        <v>1504.0</v>
      </c>
      <c r="B1505" s="8" t="s">
        <v>2717</v>
      </c>
      <c r="C1505" s="8" t="s">
        <v>21</v>
      </c>
      <c r="N1505" s="7">
        <v>44796.0</v>
      </c>
    </row>
    <row r="1506">
      <c r="A1506" s="8">
        <v>1505.0</v>
      </c>
      <c r="B1506" s="8" t="s">
        <v>2718</v>
      </c>
      <c r="C1506" s="8" t="s">
        <v>21</v>
      </c>
      <c r="K1506" s="8">
        <v>600.0</v>
      </c>
      <c r="N1506" s="7">
        <v>44675.0</v>
      </c>
    </row>
    <row r="1507">
      <c r="A1507" s="8">
        <v>1506.0</v>
      </c>
      <c r="B1507" s="8" t="s">
        <v>2720</v>
      </c>
      <c r="C1507" s="8" t="s">
        <v>21</v>
      </c>
      <c r="K1507" s="8">
        <v>50.0</v>
      </c>
      <c r="N1507" s="7">
        <v>44305.0</v>
      </c>
    </row>
    <row r="1508">
      <c r="A1508" s="8">
        <v>1507.0</v>
      </c>
      <c r="B1508" s="8" t="s">
        <v>2721</v>
      </c>
      <c r="C1508" s="8" t="s">
        <v>21</v>
      </c>
      <c r="K1508" s="8">
        <v>250.0</v>
      </c>
      <c r="N1508" s="7">
        <v>44520.0</v>
      </c>
    </row>
    <row r="1509">
      <c r="A1509" s="8">
        <v>1508.0</v>
      </c>
      <c r="B1509" s="8" t="s">
        <v>2722</v>
      </c>
      <c r="C1509" s="8" t="s">
        <v>21</v>
      </c>
      <c r="K1509" s="8">
        <v>900.0</v>
      </c>
      <c r="N1509" s="7">
        <v>44521.0</v>
      </c>
    </row>
    <row r="1510">
      <c r="A1510" s="8">
        <v>1509.0</v>
      </c>
      <c r="B1510" s="8" t="s">
        <v>2724</v>
      </c>
      <c r="C1510" s="8" t="s">
        <v>21</v>
      </c>
      <c r="N1510" s="7">
        <v>45260.0</v>
      </c>
    </row>
    <row r="1511">
      <c r="A1511" s="8">
        <v>1510.0</v>
      </c>
      <c r="B1511" s="8" t="s">
        <v>2725</v>
      </c>
      <c r="C1511" s="8" t="s">
        <v>21</v>
      </c>
      <c r="K1511" s="8">
        <v>1200.0</v>
      </c>
      <c r="N1511" s="7">
        <v>45076.0</v>
      </c>
    </row>
    <row r="1512">
      <c r="A1512" s="8">
        <v>1511.0</v>
      </c>
      <c r="B1512" s="8" t="s">
        <v>2728</v>
      </c>
      <c r="C1512" s="8" t="s">
        <v>21</v>
      </c>
      <c r="N1512" s="7">
        <v>43946.0</v>
      </c>
    </row>
    <row r="1513">
      <c r="A1513" s="8">
        <v>1512.0</v>
      </c>
      <c r="B1513" s="8" t="s">
        <v>2729</v>
      </c>
      <c r="C1513" s="8" t="s">
        <v>21</v>
      </c>
      <c r="K1513" s="8">
        <v>2700.0</v>
      </c>
      <c r="N1513" s="7">
        <v>45477.0</v>
      </c>
    </row>
    <row r="1514">
      <c r="A1514" s="8">
        <v>1513.0</v>
      </c>
      <c r="B1514" s="8" t="s">
        <v>2731</v>
      </c>
      <c r="C1514" s="8" t="s">
        <v>21</v>
      </c>
      <c r="N1514" s="7">
        <v>43137.0</v>
      </c>
    </row>
    <row r="1515">
      <c r="A1515" s="8">
        <v>1514.0</v>
      </c>
      <c r="B1515" s="8" t="s">
        <v>2733</v>
      </c>
      <c r="C1515" s="8" t="s">
        <v>21</v>
      </c>
      <c r="K1515" s="8">
        <v>200.0</v>
      </c>
      <c r="N1515" s="7">
        <v>44525.0</v>
      </c>
    </row>
    <row r="1516">
      <c r="A1516" s="8">
        <v>1515.0</v>
      </c>
      <c r="B1516" s="8" t="s">
        <v>2734</v>
      </c>
      <c r="C1516" s="8" t="s">
        <v>21</v>
      </c>
      <c r="K1516" s="8">
        <v>1700.0</v>
      </c>
      <c r="N1516" s="7">
        <v>45317.0</v>
      </c>
    </row>
    <row r="1517">
      <c r="A1517" s="8">
        <v>1516.0</v>
      </c>
      <c r="B1517" s="8" t="s">
        <v>2736</v>
      </c>
      <c r="C1517" s="8" t="s">
        <v>21</v>
      </c>
      <c r="K1517" s="8">
        <v>3200.0</v>
      </c>
      <c r="N1517" s="7">
        <v>44565.0</v>
      </c>
    </row>
    <row r="1518">
      <c r="A1518" s="8">
        <v>1517.0</v>
      </c>
      <c r="B1518" s="8" t="s">
        <v>2738</v>
      </c>
      <c r="C1518" s="8" t="s">
        <v>21</v>
      </c>
      <c r="K1518" s="8">
        <v>1400.0</v>
      </c>
      <c r="N1518" s="7">
        <v>45590.0</v>
      </c>
    </row>
    <row r="1519">
      <c r="A1519" s="8">
        <v>1518.0</v>
      </c>
      <c r="B1519" s="8" t="s">
        <v>2739</v>
      </c>
      <c r="C1519" s="8" t="s">
        <v>21</v>
      </c>
      <c r="K1519" s="8">
        <v>10.0</v>
      </c>
      <c r="N1519" s="7">
        <v>44216.0</v>
      </c>
    </row>
    <row r="1520">
      <c r="A1520" s="8">
        <v>1519.0</v>
      </c>
      <c r="B1520" s="8" t="s">
        <v>2740</v>
      </c>
      <c r="C1520" s="8" t="s">
        <v>21</v>
      </c>
      <c r="K1520" s="8">
        <v>900.0</v>
      </c>
      <c r="N1520" s="7">
        <v>44205.0</v>
      </c>
    </row>
    <row r="1521">
      <c r="A1521" s="8">
        <v>1520.0</v>
      </c>
      <c r="B1521" s="8" t="s">
        <v>2742</v>
      </c>
      <c r="C1521" s="8" t="s">
        <v>21</v>
      </c>
      <c r="K1521" s="8">
        <v>30.0</v>
      </c>
      <c r="N1521" s="7">
        <v>44934.0</v>
      </c>
    </row>
    <row r="1522">
      <c r="A1522" s="8">
        <v>1521.0</v>
      </c>
      <c r="B1522" s="8" t="s">
        <v>2743</v>
      </c>
      <c r="C1522" s="8" t="s">
        <v>21</v>
      </c>
      <c r="K1522" s="8">
        <v>450.0</v>
      </c>
      <c r="N1522" s="7">
        <v>44603.0</v>
      </c>
    </row>
    <row r="1523">
      <c r="A1523" s="8">
        <v>1522.0</v>
      </c>
      <c r="B1523" s="8" t="s">
        <v>2744</v>
      </c>
      <c r="C1523" s="8" t="s">
        <v>21</v>
      </c>
      <c r="N1523" s="7">
        <v>44616.0</v>
      </c>
    </row>
    <row r="1524">
      <c r="A1524" s="8">
        <v>1523.0</v>
      </c>
      <c r="B1524" s="8" t="s">
        <v>2745</v>
      </c>
      <c r="C1524" s="8" t="s">
        <v>21</v>
      </c>
      <c r="N1524" s="7">
        <v>44677.0</v>
      </c>
    </row>
    <row r="1525">
      <c r="A1525" s="8">
        <v>1524.0</v>
      </c>
      <c r="B1525" s="8" t="s">
        <v>2746</v>
      </c>
      <c r="C1525" s="8" t="s">
        <v>21</v>
      </c>
      <c r="K1525" s="8">
        <v>50.0</v>
      </c>
      <c r="N1525" s="7">
        <v>44196.0</v>
      </c>
    </row>
    <row r="1526">
      <c r="A1526" s="8">
        <v>1525.0</v>
      </c>
      <c r="B1526" s="8" t="s">
        <v>2748</v>
      </c>
      <c r="C1526" s="8" t="s">
        <v>21</v>
      </c>
      <c r="K1526" s="8">
        <v>2000.0</v>
      </c>
      <c r="N1526" s="7">
        <v>45627.0</v>
      </c>
    </row>
    <row r="1527">
      <c r="A1527" s="8">
        <v>1526.0</v>
      </c>
      <c r="B1527" s="8" t="s">
        <v>2749</v>
      </c>
      <c r="C1527" s="8" t="s">
        <v>21</v>
      </c>
      <c r="K1527" s="8">
        <v>10.0</v>
      </c>
      <c r="N1527" s="7">
        <v>44392.0</v>
      </c>
    </row>
    <row r="1528">
      <c r="A1528" s="8">
        <v>1527.0</v>
      </c>
      <c r="B1528" s="8" t="s">
        <v>2750</v>
      </c>
      <c r="C1528" s="8" t="s">
        <v>21</v>
      </c>
      <c r="K1528" s="8">
        <v>50.0</v>
      </c>
      <c r="N1528" s="7">
        <v>44271.0</v>
      </c>
    </row>
    <row r="1529">
      <c r="A1529" s="8">
        <v>1528.0</v>
      </c>
      <c r="B1529" s="8" t="s">
        <v>2751</v>
      </c>
      <c r="C1529" s="8" t="s">
        <v>21</v>
      </c>
      <c r="K1529" s="8">
        <v>70.0</v>
      </c>
      <c r="N1529" s="7">
        <v>44588.0</v>
      </c>
    </row>
    <row r="1530">
      <c r="A1530" s="8">
        <v>1529.0</v>
      </c>
      <c r="B1530" s="8" t="s">
        <v>2752</v>
      </c>
      <c r="C1530" s="8" t="s">
        <v>21</v>
      </c>
      <c r="N1530" s="7">
        <v>44593.0</v>
      </c>
    </row>
    <row r="1531">
      <c r="A1531" s="8">
        <v>1530.0</v>
      </c>
      <c r="B1531" s="8" t="s">
        <v>2753</v>
      </c>
      <c r="C1531" s="8" t="s">
        <v>21</v>
      </c>
      <c r="K1531" s="8">
        <v>30.0</v>
      </c>
      <c r="N1531" s="7">
        <v>44923.0</v>
      </c>
    </row>
    <row r="1532">
      <c r="A1532" s="8">
        <v>1531.0</v>
      </c>
      <c r="B1532" s="8" t="s">
        <v>2755</v>
      </c>
      <c r="C1532" s="8" t="s">
        <v>21</v>
      </c>
      <c r="K1532" s="8">
        <v>350.0</v>
      </c>
      <c r="N1532" s="7">
        <v>45441.0</v>
      </c>
    </row>
    <row r="1533">
      <c r="A1533" s="8">
        <v>1532.0</v>
      </c>
      <c r="B1533" s="8" t="s">
        <v>2756</v>
      </c>
      <c r="C1533" s="8" t="s">
        <v>21</v>
      </c>
      <c r="K1533" s="8">
        <v>150.0</v>
      </c>
      <c r="N1533" s="7">
        <v>44173.0</v>
      </c>
    </row>
    <row r="1534">
      <c r="A1534" s="8">
        <v>1533.0</v>
      </c>
      <c r="B1534" s="8" t="s">
        <v>2757</v>
      </c>
      <c r="C1534" s="8" t="s">
        <v>21</v>
      </c>
      <c r="K1534" s="8">
        <v>10.0</v>
      </c>
      <c r="N1534" s="7">
        <v>44686.0</v>
      </c>
    </row>
    <row r="1535">
      <c r="A1535" s="8">
        <v>1534.0</v>
      </c>
      <c r="B1535" s="8" t="s">
        <v>2758</v>
      </c>
      <c r="C1535" s="8" t="s">
        <v>21</v>
      </c>
      <c r="K1535" s="8">
        <v>50.0</v>
      </c>
      <c r="N1535" s="7">
        <v>44241.0</v>
      </c>
    </row>
    <row r="1536">
      <c r="A1536" s="8">
        <v>1535.0</v>
      </c>
      <c r="B1536" s="8" t="s">
        <v>2759</v>
      </c>
      <c r="C1536" s="8" t="s">
        <v>21</v>
      </c>
      <c r="K1536" s="8">
        <v>100.0</v>
      </c>
      <c r="N1536" s="7">
        <v>44934.0</v>
      </c>
    </row>
    <row r="1537">
      <c r="A1537" s="8">
        <v>1536.0</v>
      </c>
      <c r="B1537" s="8" t="s">
        <v>2760</v>
      </c>
      <c r="C1537" s="8" t="s">
        <v>21</v>
      </c>
      <c r="N1537" s="7">
        <v>44121.0</v>
      </c>
      <c r="O1537" s="8" t="s">
        <v>107</v>
      </c>
      <c r="P1537" s="8" t="s">
        <v>28</v>
      </c>
      <c r="S1537" s="8" t="s">
        <v>32</v>
      </c>
    </row>
    <row r="1538">
      <c r="A1538" s="8">
        <v>1537.0</v>
      </c>
      <c r="B1538" s="8" t="s">
        <v>2762</v>
      </c>
      <c r="C1538" s="8" t="s">
        <v>21</v>
      </c>
      <c r="K1538" s="8">
        <v>150.0</v>
      </c>
      <c r="N1538" s="7">
        <v>44646.0</v>
      </c>
    </row>
    <row r="1539">
      <c r="A1539" s="8">
        <v>1538.0</v>
      </c>
      <c r="B1539" s="8" t="s">
        <v>2763</v>
      </c>
      <c r="C1539" s="8" t="s">
        <v>21</v>
      </c>
      <c r="K1539" s="8">
        <v>1100.0</v>
      </c>
      <c r="N1539" s="7">
        <v>44517.0</v>
      </c>
    </row>
    <row r="1540">
      <c r="A1540" s="8">
        <v>1539.0</v>
      </c>
      <c r="B1540" s="8" t="s">
        <v>2765</v>
      </c>
      <c r="C1540" s="8" t="s">
        <v>21</v>
      </c>
      <c r="N1540" s="7">
        <v>44036.0</v>
      </c>
    </row>
    <row r="1541">
      <c r="A1541" s="8">
        <v>1540.0</v>
      </c>
      <c r="B1541" s="8" t="s">
        <v>2766</v>
      </c>
      <c r="C1541" s="8" t="s">
        <v>21</v>
      </c>
      <c r="K1541" s="8">
        <v>15000.0</v>
      </c>
      <c r="N1541" s="7">
        <v>44092.0</v>
      </c>
    </row>
    <row r="1542">
      <c r="A1542" s="8">
        <v>1541.0</v>
      </c>
      <c r="B1542" s="8" t="s">
        <v>2767</v>
      </c>
      <c r="C1542" s="8" t="s">
        <v>21</v>
      </c>
      <c r="K1542" s="8">
        <v>700.0</v>
      </c>
      <c r="N1542" s="7">
        <v>45093.0</v>
      </c>
    </row>
    <row r="1543">
      <c r="A1543" s="8">
        <v>1542.0</v>
      </c>
      <c r="B1543" s="8" t="s">
        <v>2768</v>
      </c>
      <c r="C1543" s="8" t="s">
        <v>21</v>
      </c>
      <c r="K1543" s="8">
        <v>30.0</v>
      </c>
      <c r="N1543" s="7">
        <v>44803.0</v>
      </c>
    </row>
    <row r="1544">
      <c r="A1544" s="8">
        <v>1543.0</v>
      </c>
      <c r="B1544" s="8" t="s">
        <v>2770</v>
      </c>
      <c r="C1544" s="8" t="s">
        <v>21</v>
      </c>
      <c r="K1544" s="8">
        <v>7200.0</v>
      </c>
      <c r="N1544" s="7">
        <v>44166.0</v>
      </c>
    </row>
    <row r="1545">
      <c r="A1545" s="8">
        <v>1544.0</v>
      </c>
      <c r="B1545" s="8" t="s">
        <v>2771</v>
      </c>
      <c r="C1545" s="8" t="s">
        <v>21</v>
      </c>
      <c r="K1545" s="8">
        <v>60.0</v>
      </c>
      <c r="N1545" s="7">
        <v>44651.0</v>
      </c>
    </row>
    <row r="1546">
      <c r="A1546" s="8">
        <v>1545.0</v>
      </c>
      <c r="B1546" s="8" t="s">
        <v>2772</v>
      </c>
      <c r="C1546" s="8" t="s">
        <v>21</v>
      </c>
      <c r="K1546" s="8">
        <v>10.0</v>
      </c>
      <c r="N1546" s="7">
        <v>44956.0</v>
      </c>
    </row>
    <row r="1547">
      <c r="A1547" s="8">
        <v>1546.0</v>
      </c>
      <c r="B1547" s="8" t="s">
        <v>2774</v>
      </c>
      <c r="C1547" s="8" t="s">
        <v>21</v>
      </c>
      <c r="N1547" s="7">
        <v>44707.0</v>
      </c>
    </row>
    <row r="1548">
      <c r="A1548" s="8">
        <v>1547.0</v>
      </c>
      <c r="B1548" s="8" t="s">
        <v>2775</v>
      </c>
      <c r="C1548" s="8" t="s">
        <v>21</v>
      </c>
      <c r="K1548" s="8">
        <v>150.0</v>
      </c>
      <c r="N1548" s="7">
        <v>44743.0</v>
      </c>
    </row>
    <row r="1549">
      <c r="A1549" s="8">
        <v>1548.0</v>
      </c>
      <c r="B1549" s="8" t="s">
        <v>2776</v>
      </c>
      <c r="C1549" s="8" t="s">
        <v>21</v>
      </c>
      <c r="K1549" s="8">
        <v>20.0</v>
      </c>
      <c r="N1549" s="7">
        <v>44742.0</v>
      </c>
    </row>
    <row r="1550">
      <c r="A1550" s="8">
        <v>1549.0</v>
      </c>
      <c r="B1550" s="8" t="s">
        <v>2777</v>
      </c>
      <c r="C1550" s="8" t="s">
        <v>21</v>
      </c>
      <c r="K1550" s="8">
        <v>30.0</v>
      </c>
      <c r="N1550" s="7">
        <v>44642.0</v>
      </c>
    </row>
    <row r="1551">
      <c r="A1551" s="8">
        <v>1550.0</v>
      </c>
      <c r="B1551" s="8" t="s">
        <v>2779</v>
      </c>
      <c r="C1551" s="8" t="s">
        <v>21</v>
      </c>
      <c r="K1551" s="8">
        <v>10.0</v>
      </c>
      <c r="N1551" s="7">
        <v>44784.0</v>
      </c>
    </row>
    <row r="1552">
      <c r="A1552" s="8">
        <v>1551.0</v>
      </c>
      <c r="B1552" s="8" t="s">
        <v>2780</v>
      </c>
      <c r="C1552" s="8" t="s">
        <v>21</v>
      </c>
      <c r="K1552" s="8">
        <v>350.0</v>
      </c>
      <c r="N1552" s="7">
        <v>44004.0</v>
      </c>
    </row>
    <row r="1553">
      <c r="A1553" s="8">
        <v>1552.0</v>
      </c>
      <c r="B1553" s="8" t="s">
        <v>106</v>
      </c>
      <c r="C1553" s="8" t="s">
        <v>21</v>
      </c>
      <c r="K1553" s="8">
        <v>10.0</v>
      </c>
      <c r="N1553" s="7">
        <v>45602.0</v>
      </c>
    </row>
    <row r="1554">
      <c r="A1554" s="8">
        <v>1553.0</v>
      </c>
      <c r="B1554" s="8" t="s">
        <v>2782</v>
      </c>
      <c r="C1554" s="8" t="s">
        <v>21</v>
      </c>
      <c r="K1554" s="8">
        <v>1500.0</v>
      </c>
      <c r="N1554" s="7">
        <v>44222.0</v>
      </c>
    </row>
    <row r="1555">
      <c r="A1555" s="8">
        <v>1554.0</v>
      </c>
      <c r="B1555" s="8" t="s">
        <v>2783</v>
      </c>
      <c r="C1555" s="8" t="s">
        <v>21</v>
      </c>
      <c r="K1555" s="8">
        <v>900.0</v>
      </c>
      <c r="N1555" s="7">
        <v>44536.0</v>
      </c>
    </row>
    <row r="1556">
      <c r="A1556" s="8">
        <v>1555.0</v>
      </c>
      <c r="B1556" s="8" t="s">
        <v>2786</v>
      </c>
      <c r="C1556" s="8" t="s">
        <v>21</v>
      </c>
      <c r="D1556" s="8">
        <v>11.0</v>
      </c>
      <c r="H1556" s="8" t="s">
        <v>720</v>
      </c>
      <c r="I1556" s="9">
        <v>46088.57601851852</v>
      </c>
      <c r="J1556" s="8" t="s">
        <v>96</v>
      </c>
      <c r="K1556" s="8">
        <v>20.0</v>
      </c>
      <c r="L1556" s="8">
        <v>50.0</v>
      </c>
      <c r="M1556" s="8">
        <v>69000.0</v>
      </c>
      <c r="N1556" s="7">
        <v>44284.0</v>
      </c>
      <c r="O1556" s="8" t="s">
        <v>147</v>
      </c>
      <c r="P1556" s="8" t="s">
        <v>28</v>
      </c>
      <c r="S1556" s="8" t="s">
        <v>32</v>
      </c>
    </row>
    <row r="1557">
      <c r="A1557" s="8">
        <v>1556.0</v>
      </c>
      <c r="B1557" s="8" t="s">
        <v>2788</v>
      </c>
      <c r="C1557" s="8" t="s">
        <v>21</v>
      </c>
      <c r="N1557" s="7">
        <v>44122.0</v>
      </c>
    </row>
    <row r="1558">
      <c r="A1558" s="8">
        <v>1557.0</v>
      </c>
      <c r="B1558" s="8" t="s">
        <v>2790</v>
      </c>
      <c r="C1558" s="8" t="s">
        <v>21</v>
      </c>
      <c r="K1558" s="8">
        <v>300.0</v>
      </c>
      <c r="N1558" s="7">
        <v>44298.0</v>
      </c>
    </row>
    <row r="1559">
      <c r="A1559" s="8">
        <v>1558.0</v>
      </c>
      <c r="B1559" s="8" t="s">
        <v>2791</v>
      </c>
      <c r="C1559" s="8" t="s">
        <v>21</v>
      </c>
      <c r="K1559" s="8">
        <v>80.0</v>
      </c>
      <c r="N1559" s="7">
        <v>44528.0</v>
      </c>
    </row>
    <row r="1560">
      <c r="A1560" s="8">
        <v>1559.0</v>
      </c>
      <c r="B1560" s="8" t="s">
        <v>2793</v>
      </c>
      <c r="C1560" s="8" t="s">
        <v>21</v>
      </c>
      <c r="K1560" s="8">
        <v>20.0</v>
      </c>
      <c r="N1560" s="7">
        <v>45312.0</v>
      </c>
    </row>
    <row r="1561">
      <c r="A1561" s="8">
        <v>1560.0</v>
      </c>
      <c r="B1561" s="8" t="s">
        <v>2794</v>
      </c>
      <c r="C1561" s="8" t="s">
        <v>21</v>
      </c>
      <c r="N1561" s="7">
        <v>44862.0</v>
      </c>
    </row>
    <row r="1562">
      <c r="A1562" s="8">
        <v>1561.0</v>
      </c>
      <c r="B1562" s="8" t="s">
        <v>2795</v>
      </c>
      <c r="C1562" s="8" t="s">
        <v>21</v>
      </c>
      <c r="K1562" s="8">
        <v>100.0</v>
      </c>
      <c r="N1562" s="7">
        <v>44195.0</v>
      </c>
    </row>
    <row r="1563">
      <c r="A1563" s="8">
        <v>1562.0</v>
      </c>
      <c r="B1563" s="8" t="s">
        <v>2796</v>
      </c>
      <c r="C1563" s="8" t="s">
        <v>21</v>
      </c>
      <c r="K1563" s="8">
        <v>300.0</v>
      </c>
      <c r="N1563" s="7">
        <v>45957.0</v>
      </c>
    </row>
    <row r="1564">
      <c r="A1564" s="8">
        <v>1563.0</v>
      </c>
      <c r="B1564" s="8" t="s">
        <v>2797</v>
      </c>
      <c r="C1564" s="8" t="s">
        <v>21</v>
      </c>
      <c r="K1564" s="8">
        <v>300.0</v>
      </c>
      <c r="N1564" s="7">
        <v>44985.0</v>
      </c>
    </row>
    <row r="1565">
      <c r="A1565" s="8">
        <v>1564.0</v>
      </c>
      <c r="B1565" s="8" t="s">
        <v>2798</v>
      </c>
      <c r="C1565" s="8" t="s">
        <v>21</v>
      </c>
      <c r="K1565" s="8">
        <v>150.0</v>
      </c>
      <c r="N1565" s="7">
        <v>44603.0</v>
      </c>
    </row>
    <row r="1566">
      <c r="A1566" s="8">
        <v>1565.0</v>
      </c>
      <c r="B1566" s="8" t="s">
        <v>2800</v>
      </c>
      <c r="C1566" s="8" t="s">
        <v>21</v>
      </c>
      <c r="N1566" s="7">
        <v>44100.0</v>
      </c>
    </row>
    <row r="1567">
      <c r="A1567" s="8">
        <v>1566.0</v>
      </c>
      <c r="B1567" s="8" t="s">
        <v>2801</v>
      </c>
      <c r="C1567" s="8" t="s">
        <v>21</v>
      </c>
      <c r="K1567" s="8">
        <v>250.0</v>
      </c>
      <c r="N1567" s="7">
        <v>43881.0</v>
      </c>
    </row>
    <row r="1568">
      <c r="A1568" s="8">
        <v>1567.0</v>
      </c>
      <c r="B1568" s="8" t="s">
        <v>2803</v>
      </c>
      <c r="C1568" s="8" t="s">
        <v>21</v>
      </c>
      <c r="K1568" s="8">
        <v>150.0</v>
      </c>
      <c r="N1568" s="7">
        <v>44032.0</v>
      </c>
    </row>
    <row r="1569">
      <c r="A1569" s="8">
        <v>1568.0</v>
      </c>
      <c r="B1569" s="8" t="s">
        <v>2804</v>
      </c>
      <c r="C1569" s="8" t="s">
        <v>21</v>
      </c>
      <c r="K1569" s="8">
        <v>150.0</v>
      </c>
      <c r="N1569" s="7">
        <v>44523.0</v>
      </c>
    </row>
    <row r="1570">
      <c r="A1570" s="8">
        <v>1569.0</v>
      </c>
      <c r="B1570" s="8" t="s">
        <v>2806</v>
      </c>
      <c r="C1570" s="8" t="s">
        <v>21</v>
      </c>
      <c r="N1570" s="7">
        <v>44599.0</v>
      </c>
    </row>
    <row r="1571">
      <c r="A1571" s="8">
        <v>1570.0</v>
      </c>
      <c r="B1571" s="8" t="s">
        <v>2808</v>
      </c>
      <c r="C1571" s="8" t="s">
        <v>21</v>
      </c>
      <c r="K1571" s="8">
        <v>300.0</v>
      </c>
      <c r="N1571" s="7">
        <v>43947.0</v>
      </c>
    </row>
    <row r="1572">
      <c r="A1572" s="8">
        <v>1571.0</v>
      </c>
      <c r="B1572" s="8" t="s">
        <v>2809</v>
      </c>
      <c r="C1572" s="8" t="s">
        <v>21</v>
      </c>
      <c r="N1572" s="7">
        <v>44831.0</v>
      </c>
    </row>
    <row r="1573">
      <c r="A1573" s="8">
        <v>1572.0</v>
      </c>
      <c r="B1573" s="8" t="s">
        <v>2810</v>
      </c>
      <c r="C1573" s="8" t="s">
        <v>21</v>
      </c>
      <c r="N1573" s="7">
        <v>42728.0</v>
      </c>
    </row>
    <row r="1574">
      <c r="A1574" s="8">
        <v>1573.0</v>
      </c>
      <c r="B1574" s="8" t="s">
        <v>108</v>
      </c>
      <c r="C1574" s="8" t="s">
        <v>21</v>
      </c>
      <c r="K1574" s="8">
        <v>40.0</v>
      </c>
      <c r="N1574" s="7">
        <v>45238.0</v>
      </c>
    </row>
    <row r="1575">
      <c r="A1575" s="8">
        <v>1574.0</v>
      </c>
      <c r="B1575" s="8" t="s">
        <v>2813</v>
      </c>
      <c r="C1575" s="8" t="s">
        <v>21</v>
      </c>
      <c r="K1575" s="8">
        <v>10.0</v>
      </c>
      <c r="N1575" s="7">
        <v>44568.0</v>
      </c>
    </row>
    <row r="1576">
      <c r="A1576" s="8">
        <v>1575.0</v>
      </c>
      <c r="B1576" s="8" t="s">
        <v>2814</v>
      </c>
      <c r="C1576" s="8" t="s">
        <v>21</v>
      </c>
      <c r="K1576" s="8">
        <v>8800.0</v>
      </c>
      <c r="N1576" s="7">
        <v>45218.0</v>
      </c>
    </row>
    <row r="1577">
      <c r="A1577" s="8">
        <v>1576.0</v>
      </c>
      <c r="B1577" s="8" t="s">
        <v>2817</v>
      </c>
      <c r="C1577" s="8" t="s">
        <v>21</v>
      </c>
      <c r="N1577" s="7">
        <v>44188.0</v>
      </c>
    </row>
    <row r="1578">
      <c r="A1578" s="8">
        <v>1577.0</v>
      </c>
      <c r="B1578" s="8" t="s">
        <v>2818</v>
      </c>
      <c r="C1578" s="8" t="s">
        <v>21</v>
      </c>
      <c r="K1578" s="8">
        <v>100.0</v>
      </c>
      <c r="N1578" s="7">
        <v>45146.0</v>
      </c>
    </row>
    <row r="1579">
      <c r="A1579" s="8">
        <v>1578.0</v>
      </c>
      <c r="B1579" s="8" t="s">
        <v>2819</v>
      </c>
      <c r="C1579" s="8" t="s">
        <v>21</v>
      </c>
      <c r="N1579" s="7">
        <v>46062.0</v>
      </c>
    </row>
    <row r="1580">
      <c r="A1580" s="8">
        <v>1579.0</v>
      </c>
      <c r="B1580" s="8" t="s">
        <v>2820</v>
      </c>
      <c r="C1580" s="8" t="s">
        <v>21</v>
      </c>
      <c r="K1580" s="8">
        <v>60.0</v>
      </c>
      <c r="N1580" s="7">
        <v>44401.0</v>
      </c>
    </row>
    <row r="1581">
      <c r="A1581" s="8">
        <v>1580.0</v>
      </c>
      <c r="B1581" s="8" t="s">
        <v>2822</v>
      </c>
      <c r="C1581" s="8" t="s">
        <v>21</v>
      </c>
      <c r="K1581" s="8">
        <v>200.0</v>
      </c>
      <c r="N1581" s="7">
        <v>44822.0</v>
      </c>
    </row>
    <row r="1582">
      <c r="A1582" s="8">
        <v>1581.0</v>
      </c>
      <c r="B1582" s="8" t="s">
        <v>2823</v>
      </c>
      <c r="C1582" s="8" t="s">
        <v>21</v>
      </c>
      <c r="K1582" s="8">
        <v>80.0</v>
      </c>
      <c r="N1582" s="7">
        <v>44010.0</v>
      </c>
    </row>
    <row r="1583">
      <c r="A1583" s="8">
        <v>1582.0</v>
      </c>
      <c r="B1583" s="8" t="s">
        <v>2825</v>
      </c>
      <c r="C1583" s="8" t="s">
        <v>21</v>
      </c>
      <c r="K1583" s="8">
        <v>150.0</v>
      </c>
      <c r="N1583" s="7">
        <v>44377.0</v>
      </c>
    </row>
    <row r="1584">
      <c r="A1584" s="8">
        <v>1583.0</v>
      </c>
      <c r="B1584" s="8" t="s">
        <v>2826</v>
      </c>
      <c r="C1584" s="8" t="s">
        <v>21</v>
      </c>
      <c r="K1584" s="8">
        <v>1200.0</v>
      </c>
      <c r="N1584" s="7">
        <v>44080.0</v>
      </c>
    </row>
    <row r="1585">
      <c r="A1585" s="8">
        <v>1584.0</v>
      </c>
      <c r="B1585" s="8" t="s">
        <v>2827</v>
      </c>
      <c r="C1585" s="8" t="s">
        <v>21</v>
      </c>
      <c r="K1585" s="8">
        <v>30.0</v>
      </c>
      <c r="N1585" s="7">
        <v>44061.0</v>
      </c>
    </row>
    <row r="1586">
      <c r="A1586" s="8">
        <v>1585.0</v>
      </c>
      <c r="B1586" s="8" t="s">
        <v>2829</v>
      </c>
      <c r="C1586" s="8" t="s">
        <v>21</v>
      </c>
      <c r="K1586" s="8">
        <v>100.0</v>
      </c>
      <c r="N1586" s="7">
        <v>44386.0</v>
      </c>
    </row>
    <row r="1587">
      <c r="A1587" s="8">
        <v>1586.0</v>
      </c>
      <c r="B1587" s="8" t="s">
        <v>112</v>
      </c>
      <c r="C1587" s="8" t="s">
        <v>21</v>
      </c>
      <c r="K1587" s="8">
        <v>700.0</v>
      </c>
      <c r="N1587" s="7">
        <v>45140.0</v>
      </c>
    </row>
    <row r="1588">
      <c r="A1588" s="8">
        <v>1587.0</v>
      </c>
      <c r="B1588" s="8" t="s">
        <v>2831</v>
      </c>
      <c r="C1588" s="8" t="s">
        <v>21</v>
      </c>
      <c r="K1588" s="8">
        <v>10.0</v>
      </c>
      <c r="N1588" s="7">
        <v>44023.0</v>
      </c>
    </row>
    <row r="1589">
      <c r="A1589" s="8">
        <v>1588.0</v>
      </c>
      <c r="B1589" s="8" t="s">
        <v>2832</v>
      </c>
      <c r="C1589" s="8" t="s">
        <v>21</v>
      </c>
      <c r="K1589" s="8">
        <v>450.0</v>
      </c>
      <c r="N1589" s="7">
        <v>44658.0</v>
      </c>
    </row>
    <row r="1590">
      <c r="A1590" s="8">
        <v>1589.0</v>
      </c>
      <c r="B1590" s="8" t="s">
        <v>2833</v>
      </c>
      <c r="C1590" s="8" t="s">
        <v>21</v>
      </c>
      <c r="K1590" s="8">
        <v>1500.0</v>
      </c>
      <c r="N1590" s="7">
        <v>44619.0</v>
      </c>
    </row>
    <row r="1591">
      <c r="A1591" s="8">
        <v>1590.0</v>
      </c>
      <c r="B1591" s="8" t="s">
        <v>2835</v>
      </c>
      <c r="C1591" s="8" t="s">
        <v>21</v>
      </c>
      <c r="K1591" s="8">
        <v>150.0</v>
      </c>
      <c r="N1591" s="7">
        <v>44524.0</v>
      </c>
    </row>
    <row r="1592">
      <c r="A1592" s="8">
        <v>1591.0</v>
      </c>
      <c r="B1592" s="8" t="s">
        <v>2836</v>
      </c>
      <c r="C1592" s="8" t="s">
        <v>21</v>
      </c>
      <c r="K1592" s="8">
        <v>90.0</v>
      </c>
      <c r="N1592" s="7">
        <v>45912.0</v>
      </c>
    </row>
    <row r="1593">
      <c r="A1593" s="8">
        <v>1592.0</v>
      </c>
      <c r="B1593" s="8" t="s">
        <v>2838</v>
      </c>
      <c r="C1593" s="8" t="s">
        <v>21</v>
      </c>
      <c r="K1593" s="8">
        <v>500.0</v>
      </c>
      <c r="N1593" s="7">
        <v>44159.0</v>
      </c>
    </row>
    <row r="1594">
      <c r="A1594" s="8">
        <v>1593.0</v>
      </c>
      <c r="B1594" s="8" t="s">
        <v>2840</v>
      </c>
      <c r="C1594" s="8" t="s">
        <v>21</v>
      </c>
      <c r="K1594" s="8">
        <v>12000.0</v>
      </c>
      <c r="N1594" s="7">
        <v>44375.0</v>
      </c>
    </row>
    <row r="1595">
      <c r="A1595" s="8">
        <v>1594.0</v>
      </c>
      <c r="B1595" s="8" t="s">
        <v>2842</v>
      </c>
      <c r="C1595" s="8" t="s">
        <v>21</v>
      </c>
      <c r="K1595" s="8">
        <v>3100.0</v>
      </c>
      <c r="N1595" s="7">
        <v>44475.0</v>
      </c>
    </row>
    <row r="1596">
      <c r="A1596" s="8">
        <v>1595.0</v>
      </c>
      <c r="B1596" s="8" t="s">
        <v>115</v>
      </c>
      <c r="C1596" s="8" t="s">
        <v>21</v>
      </c>
      <c r="K1596" s="8">
        <v>10.0</v>
      </c>
      <c r="N1596" s="7">
        <v>44642.0</v>
      </c>
    </row>
    <row r="1597">
      <c r="A1597" s="8">
        <v>1596.0</v>
      </c>
      <c r="B1597" s="8" t="s">
        <v>2843</v>
      </c>
      <c r="C1597" s="8" t="s">
        <v>21</v>
      </c>
      <c r="K1597" s="8">
        <v>200.0</v>
      </c>
      <c r="N1597" s="7">
        <v>44768.0</v>
      </c>
    </row>
    <row r="1598">
      <c r="A1598" s="8">
        <v>1597.0</v>
      </c>
      <c r="B1598" s="8" t="s">
        <v>2845</v>
      </c>
      <c r="C1598" s="8" t="s">
        <v>21</v>
      </c>
      <c r="K1598" s="8">
        <v>600.0</v>
      </c>
      <c r="N1598" s="7">
        <v>44353.0</v>
      </c>
    </row>
    <row r="1599">
      <c r="A1599" s="8">
        <v>1598.0</v>
      </c>
      <c r="B1599" s="8" t="s">
        <v>118</v>
      </c>
      <c r="C1599" s="8" t="s">
        <v>21</v>
      </c>
      <c r="K1599" s="8">
        <v>80.0</v>
      </c>
      <c r="N1599" s="7">
        <v>44445.0</v>
      </c>
    </row>
    <row r="1600">
      <c r="A1600" s="8">
        <v>1599.0</v>
      </c>
      <c r="B1600" s="8" t="s">
        <v>121</v>
      </c>
      <c r="C1600" s="8" t="s">
        <v>21</v>
      </c>
      <c r="K1600" s="8">
        <v>10.0</v>
      </c>
      <c r="N1600" s="7">
        <v>45106.0</v>
      </c>
    </row>
    <row r="1601">
      <c r="A1601" s="8">
        <v>1600.0</v>
      </c>
      <c r="B1601" s="8" t="s">
        <v>2848</v>
      </c>
      <c r="C1601" s="8" t="s">
        <v>21</v>
      </c>
      <c r="K1601" s="8">
        <v>90.0</v>
      </c>
      <c r="N1601" s="7">
        <v>44246.0</v>
      </c>
    </row>
    <row r="1602">
      <c r="A1602" s="8">
        <v>1601.0</v>
      </c>
      <c r="B1602" s="8" t="s">
        <v>2850</v>
      </c>
      <c r="C1602" s="8" t="s">
        <v>21</v>
      </c>
      <c r="N1602" s="7">
        <v>45526.0</v>
      </c>
    </row>
    <row r="1603">
      <c r="A1603" s="8">
        <v>1602.0</v>
      </c>
      <c r="B1603" s="8" t="s">
        <v>2799</v>
      </c>
      <c r="C1603" s="8" t="s">
        <v>21</v>
      </c>
      <c r="D1603" s="8">
        <v>40.0</v>
      </c>
      <c r="H1603" s="8" t="s">
        <v>473</v>
      </c>
      <c r="I1603" s="9">
        <v>46161.59648148148</v>
      </c>
      <c r="J1603" s="8" t="s">
        <v>789</v>
      </c>
      <c r="K1603" s="8">
        <v>10.0</v>
      </c>
      <c r="L1603" s="8">
        <v>60.0</v>
      </c>
      <c r="M1603" s="8">
        <v>200.0</v>
      </c>
      <c r="N1603" s="7">
        <v>44630.0</v>
      </c>
      <c r="O1603" s="8" t="s">
        <v>26</v>
      </c>
      <c r="P1603" s="8" t="s">
        <v>28</v>
      </c>
      <c r="S1603" s="8" t="s">
        <v>32</v>
      </c>
    </row>
    <row r="1604">
      <c r="A1604" s="8">
        <v>1603.0</v>
      </c>
      <c r="B1604" s="8" t="s">
        <v>2853</v>
      </c>
      <c r="C1604" s="8" t="s">
        <v>21</v>
      </c>
      <c r="N1604" s="7">
        <v>45208.0</v>
      </c>
    </row>
    <row r="1605">
      <c r="A1605" s="8">
        <v>1604.0</v>
      </c>
      <c r="B1605" s="8" t="s">
        <v>2854</v>
      </c>
      <c r="C1605" s="8" t="s">
        <v>21</v>
      </c>
      <c r="K1605" s="8">
        <v>1000.0</v>
      </c>
      <c r="N1605" s="7">
        <v>43987.0</v>
      </c>
    </row>
    <row r="1606">
      <c r="A1606" s="8">
        <v>1605.0</v>
      </c>
      <c r="B1606" s="8" t="s">
        <v>2856</v>
      </c>
      <c r="C1606" s="8" t="s">
        <v>21</v>
      </c>
      <c r="K1606" s="8">
        <v>50.0</v>
      </c>
      <c r="N1606" s="7">
        <v>45215.0</v>
      </c>
    </row>
    <row r="1607">
      <c r="A1607" s="8">
        <v>1606.0</v>
      </c>
      <c r="B1607" s="8" t="s">
        <v>2857</v>
      </c>
      <c r="C1607" s="8" t="s">
        <v>21</v>
      </c>
      <c r="K1607" s="8">
        <v>1400.0</v>
      </c>
      <c r="N1607" s="7">
        <v>44937.0</v>
      </c>
    </row>
    <row r="1608">
      <c r="A1608" s="8">
        <v>1607.0</v>
      </c>
      <c r="B1608" s="8" t="s">
        <v>2858</v>
      </c>
      <c r="C1608" s="8" t="s">
        <v>21</v>
      </c>
      <c r="K1608" s="8">
        <v>1800.0</v>
      </c>
      <c r="N1608" s="7">
        <v>44907.0</v>
      </c>
    </row>
    <row r="1609">
      <c r="A1609" s="8">
        <v>1608.0</v>
      </c>
      <c r="B1609" s="8" t="s">
        <v>2861</v>
      </c>
      <c r="C1609" s="8" t="s">
        <v>21</v>
      </c>
      <c r="K1609" s="8">
        <v>1900.0</v>
      </c>
      <c r="N1609" s="7">
        <v>44601.0</v>
      </c>
    </row>
    <row r="1610">
      <c r="A1610" s="8">
        <v>1609.0</v>
      </c>
      <c r="B1610" s="8" t="s">
        <v>2862</v>
      </c>
      <c r="C1610" s="8" t="s">
        <v>21</v>
      </c>
      <c r="K1610" s="8">
        <v>1700.0</v>
      </c>
      <c r="N1610" s="7">
        <v>43869.0</v>
      </c>
    </row>
    <row r="1611">
      <c r="A1611" s="8">
        <v>1610.0</v>
      </c>
      <c r="B1611" s="8" t="s">
        <v>2864</v>
      </c>
      <c r="C1611" s="8" t="s">
        <v>21</v>
      </c>
      <c r="K1611" s="8">
        <v>300.0</v>
      </c>
      <c r="N1611" s="7">
        <v>44427.0</v>
      </c>
    </row>
    <row r="1612">
      <c r="A1612" s="8">
        <v>1611.0</v>
      </c>
      <c r="B1612" s="8" t="s">
        <v>2865</v>
      </c>
      <c r="C1612" s="8" t="s">
        <v>21</v>
      </c>
      <c r="K1612" s="8">
        <v>700.0</v>
      </c>
      <c r="N1612" s="7">
        <v>44018.0</v>
      </c>
    </row>
    <row r="1613">
      <c r="A1613" s="8">
        <v>1612.0</v>
      </c>
      <c r="B1613" s="8" t="s">
        <v>2866</v>
      </c>
      <c r="C1613" s="8" t="s">
        <v>21</v>
      </c>
      <c r="K1613" s="8">
        <v>60.0</v>
      </c>
      <c r="N1613" s="7">
        <v>44519.0</v>
      </c>
    </row>
    <row r="1614">
      <c r="A1614" s="8">
        <v>1613.0</v>
      </c>
      <c r="B1614" s="8" t="s">
        <v>2867</v>
      </c>
      <c r="C1614" s="8" t="s">
        <v>21</v>
      </c>
      <c r="K1614" s="8">
        <v>450.0</v>
      </c>
      <c r="N1614" s="7">
        <v>43935.0</v>
      </c>
    </row>
    <row r="1615">
      <c r="A1615" s="8">
        <v>1614.0</v>
      </c>
      <c r="B1615" s="8" t="s">
        <v>2868</v>
      </c>
      <c r="C1615" s="8" t="s">
        <v>21</v>
      </c>
      <c r="K1615" s="8">
        <v>30.0</v>
      </c>
      <c r="N1615" s="7">
        <v>44183.0</v>
      </c>
    </row>
    <row r="1616">
      <c r="A1616" s="8">
        <v>1615.0</v>
      </c>
      <c r="B1616" s="8" t="s">
        <v>2869</v>
      </c>
      <c r="C1616" s="8" t="s">
        <v>21</v>
      </c>
      <c r="K1616" s="8">
        <v>250.0</v>
      </c>
      <c r="N1616" s="7">
        <v>44547.0</v>
      </c>
    </row>
    <row r="1617">
      <c r="A1617" s="8">
        <v>1616.0</v>
      </c>
      <c r="B1617" s="8" t="s">
        <v>2870</v>
      </c>
      <c r="C1617" s="8" t="s">
        <v>21</v>
      </c>
      <c r="N1617" s="7">
        <v>44846.0</v>
      </c>
    </row>
    <row r="1618">
      <c r="A1618" s="8">
        <v>1617.0</v>
      </c>
      <c r="B1618" s="8" t="s">
        <v>2871</v>
      </c>
      <c r="C1618" s="8" t="s">
        <v>21</v>
      </c>
      <c r="K1618" s="8">
        <v>2300.0</v>
      </c>
      <c r="N1618" s="7">
        <v>44690.0</v>
      </c>
    </row>
    <row r="1619">
      <c r="A1619" s="8">
        <v>1618.0</v>
      </c>
      <c r="B1619" s="8" t="s">
        <v>2873</v>
      </c>
      <c r="C1619" s="8" t="s">
        <v>21</v>
      </c>
      <c r="K1619" s="8">
        <v>350.0</v>
      </c>
      <c r="N1619" s="7">
        <v>44621.0</v>
      </c>
    </row>
    <row r="1620">
      <c r="A1620" s="8">
        <v>1619.0</v>
      </c>
      <c r="B1620" s="8" t="s">
        <v>2874</v>
      </c>
      <c r="C1620" s="8" t="s">
        <v>21</v>
      </c>
      <c r="N1620" s="7">
        <v>44502.0</v>
      </c>
    </row>
    <row r="1621">
      <c r="A1621" s="8">
        <v>1620.0</v>
      </c>
      <c r="B1621" s="8" t="s">
        <v>2875</v>
      </c>
      <c r="C1621" s="8" t="s">
        <v>21</v>
      </c>
      <c r="K1621" s="8">
        <v>40.0</v>
      </c>
      <c r="N1621" s="7">
        <v>44889.0</v>
      </c>
    </row>
    <row r="1622">
      <c r="A1622" s="8">
        <v>1621.0</v>
      </c>
      <c r="B1622" s="8" t="s">
        <v>2877</v>
      </c>
      <c r="C1622" s="8" t="s">
        <v>21</v>
      </c>
      <c r="N1622" s="7">
        <v>43109.0</v>
      </c>
      <c r="O1622" s="8" t="s">
        <v>127</v>
      </c>
      <c r="P1622" s="8" t="s">
        <v>28</v>
      </c>
      <c r="S1622" s="8" t="s">
        <v>32</v>
      </c>
    </row>
    <row r="1623">
      <c r="A1623" s="8">
        <v>1622.0</v>
      </c>
      <c r="B1623" s="8" t="s">
        <v>2878</v>
      </c>
      <c r="C1623" s="8" t="s">
        <v>21</v>
      </c>
      <c r="K1623" s="8">
        <v>150.0</v>
      </c>
      <c r="N1623" s="7">
        <v>44880.0</v>
      </c>
    </row>
    <row r="1624">
      <c r="A1624" s="8">
        <v>1623.0</v>
      </c>
      <c r="B1624" s="8" t="s">
        <v>2880</v>
      </c>
      <c r="C1624" s="8" t="s">
        <v>21</v>
      </c>
      <c r="K1624" s="8">
        <v>60.0</v>
      </c>
      <c r="N1624" s="7">
        <v>44347.0</v>
      </c>
    </row>
    <row r="1625">
      <c r="A1625" s="8">
        <v>1624.0</v>
      </c>
      <c r="B1625" s="8" t="s">
        <v>2881</v>
      </c>
      <c r="C1625" s="8" t="s">
        <v>21</v>
      </c>
      <c r="K1625" s="8">
        <v>1500.0</v>
      </c>
      <c r="N1625" s="7">
        <v>44536.0</v>
      </c>
    </row>
    <row r="1626">
      <c r="A1626" s="8">
        <v>1625.0</v>
      </c>
      <c r="B1626" s="8" t="s">
        <v>2882</v>
      </c>
      <c r="C1626" s="8" t="s">
        <v>21</v>
      </c>
      <c r="N1626" s="7">
        <v>45055.0</v>
      </c>
    </row>
    <row r="1627">
      <c r="A1627" s="8">
        <v>1626.0</v>
      </c>
      <c r="B1627" s="8" t="s">
        <v>2883</v>
      </c>
      <c r="C1627" s="8" t="s">
        <v>21</v>
      </c>
      <c r="N1627" s="7">
        <v>44029.0</v>
      </c>
      <c r="O1627" s="8" t="s">
        <v>26</v>
      </c>
      <c r="P1627" s="8" t="s">
        <v>28</v>
      </c>
      <c r="S1627" s="8" t="s">
        <v>32</v>
      </c>
    </row>
    <row r="1628">
      <c r="A1628" s="8">
        <v>1627.0</v>
      </c>
      <c r="B1628" s="8" t="s">
        <v>2884</v>
      </c>
      <c r="C1628" s="8" t="s">
        <v>21</v>
      </c>
      <c r="K1628" s="8">
        <v>150.0</v>
      </c>
      <c r="N1628" s="7">
        <v>44493.0</v>
      </c>
    </row>
    <row r="1629">
      <c r="A1629" s="8">
        <v>1628.0</v>
      </c>
      <c r="B1629" s="8" t="s">
        <v>2885</v>
      </c>
      <c r="C1629" s="8" t="s">
        <v>21</v>
      </c>
      <c r="K1629" s="8">
        <v>500.0</v>
      </c>
      <c r="N1629" s="7">
        <v>44766.0</v>
      </c>
    </row>
    <row r="1630">
      <c r="A1630" s="8">
        <v>1629.0</v>
      </c>
      <c r="B1630" s="8" t="s">
        <v>2887</v>
      </c>
      <c r="C1630" s="8" t="s">
        <v>21</v>
      </c>
      <c r="K1630" s="8">
        <v>300.0</v>
      </c>
      <c r="N1630" s="7">
        <v>44517.0</v>
      </c>
    </row>
    <row r="1631">
      <c r="A1631" s="8">
        <v>1630.0</v>
      </c>
      <c r="B1631" s="8" t="s">
        <v>2889</v>
      </c>
      <c r="C1631" s="8" t="s">
        <v>21</v>
      </c>
      <c r="K1631" s="8">
        <v>60.0</v>
      </c>
      <c r="N1631" s="7">
        <v>44754.0</v>
      </c>
    </row>
    <row r="1632">
      <c r="A1632" s="8">
        <v>1631.0</v>
      </c>
      <c r="B1632" s="8" t="s">
        <v>2891</v>
      </c>
      <c r="C1632" s="8" t="s">
        <v>21</v>
      </c>
      <c r="K1632" s="8">
        <v>19000.0</v>
      </c>
      <c r="N1632" s="7">
        <v>43873.0</v>
      </c>
      <c r="O1632" s="8" t="s">
        <v>107</v>
      </c>
      <c r="P1632" s="8" t="s">
        <v>28</v>
      </c>
      <c r="S1632" s="8" t="s">
        <v>32</v>
      </c>
    </row>
    <row r="1633">
      <c r="A1633" s="8">
        <v>1632.0</v>
      </c>
      <c r="B1633" s="8" t="s">
        <v>2893</v>
      </c>
      <c r="C1633" s="8" t="s">
        <v>21</v>
      </c>
      <c r="N1633" s="7">
        <v>44405.0</v>
      </c>
      <c r="O1633" s="8" t="s">
        <v>31</v>
      </c>
      <c r="P1633" s="8" t="s">
        <v>28</v>
      </c>
      <c r="S1633" s="8" t="s">
        <v>32</v>
      </c>
    </row>
    <row r="1634">
      <c r="A1634" s="8">
        <v>1633.0</v>
      </c>
      <c r="B1634" s="8" t="s">
        <v>2894</v>
      </c>
      <c r="C1634" s="8" t="s">
        <v>21</v>
      </c>
      <c r="K1634" s="8">
        <v>200.0</v>
      </c>
      <c r="N1634" s="7">
        <v>44553.0</v>
      </c>
    </row>
    <row r="1635">
      <c r="A1635" s="8">
        <v>1634.0</v>
      </c>
      <c r="B1635" s="8" t="s">
        <v>2896</v>
      </c>
      <c r="C1635" s="8" t="s">
        <v>21</v>
      </c>
      <c r="K1635" s="8">
        <v>900.0</v>
      </c>
      <c r="N1635" s="7">
        <v>44534.0</v>
      </c>
    </row>
    <row r="1636">
      <c r="A1636" s="8">
        <v>1635.0</v>
      </c>
      <c r="B1636" s="8" t="s">
        <v>2897</v>
      </c>
      <c r="C1636" s="8" t="s">
        <v>21</v>
      </c>
      <c r="K1636" s="8">
        <v>400.0</v>
      </c>
      <c r="N1636" s="7">
        <v>45787.0</v>
      </c>
    </row>
    <row r="1637">
      <c r="A1637" s="8">
        <v>1636.0</v>
      </c>
      <c r="B1637" s="8" t="s">
        <v>2898</v>
      </c>
      <c r="C1637" s="8" t="s">
        <v>21</v>
      </c>
      <c r="N1637" s="7">
        <v>44870.0</v>
      </c>
    </row>
    <row r="1638">
      <c r="A1638" s="8">
        <v>1637.0</v>
      </c>
      <c r="B1638" s="8" t="s">
        <v>2900</v>
      </c>
      <c r="C1638" s="8" t="s">
        <v>21</v>
      </c>
      <c r="K1638" s="8">
        <v>50.0</v>
      </c>
      <c r="N1638" s="7">
        <v>44568.0</v>
      </c>
    </row>
    <row r="1639">
      <c r="A1639" s="8">
        <v>1638.0</v>
      </c>
      <c r="B1639" s="8" t="s">
        <v>2901</v>
      </c>
      <c r="C1639" s="8" t="s">
        <v>21</v>
      </c>
      <c r="K1639" s="8">
        <v>1000.0</v>
      </c>
      <c r="N1639" s="7">
        <v>44519.0</v>
      </c>
    </row>
    <row r="1640">
      <c r="A1640" s="8">
        <v>1639.0</v>
      </c>
      <c r="B1640" s="8" t="s">
        <v>2902</v>
      </c>
      <c r="C1640" s="8" t="s">
        <v>21</v>
      </c>
      <c r="K1640" s="8">
        <v>450.0</v>
      </c>
      <c r="N1640" s="7">
        <v>44571.0</v>
      </c>
    </row>
    <row r="1641">
      <c r="A1641" s="8">
        <v>1640.0</v>
      </c>
      <c r="B1641" s="8" t="s">
        <v>2903</v>
      </c>
      <c r="C1641" s="8" t="s">
        <v>21</v>
      </c>
      <c r="K1641" s="8">
        <v>10.0</v>
      </c>
      <c r="N1641" s="7">
        <v>43975.0</v>
      </c>
    </row>
    <row r="1642">
      <c r="A1642" s="8">
        <v>1641.0</v>
      </c>
      <c r="B1642" s="8" t="s">
        <v>2905</v>
      </c>
      <c r="C1642" s="8" t="s">
        <v>21</v>
      </c>
      <c r="K1642" s="8">
        <v>200.0</v>
      </c>
      <c r="N1642" s="7">
        <v>44782.0</v>
      </c>
    </row>
    <row r="1643">
      <c r="A1643" s="8">
        <v>1642.0</v>
      </c>
      <c r="B1643" s="8" t="s">
        <v>2906</v>
      </c>
      <c r="C1643" s="8" t="s">
        <v>21</v>
      </c>
      <c r="K1643" s="8">
        <v>10.0</v>
      </c>
      <c r="N1643" s="7">
        <v>43980.0</v>
      </c>
      <c r="O1643" s="8" t="s">
        <v>107</v>
      </c>
      <c r="P1643" s="8" t="s">
        <v>28</v>
      </c>
      <c r="S1643" s="8" t="s">
        <v>32</v>
      </c>
    </row>
    <row r="1644">
      <c r="A1644" s="8">
        <v>1643.0</v>
      </c>
      <c r="B1644" s="8" t="s">
        <v>2907</v>
      </c>
      <c r="C1644" s="8" t="s">
        <v>21</v>
      </c>
      <c r="K1644" s="8">
        <v>350.0</v>
      </c>
      <c r="N1644" s="7">
        <v>44267.0</v>
      </c>
    </row>
    <row r="1645">
      <c r="A1645" s="8">
        <v>1644.0</v>
      </c>
      <c r="B1645" s="8" t="s">
        <v>2908</v>
      </c>
      <c r="C1645" s="8" t="s">
        <v>21</v>
      </c>
      <c r="K1645" s="8">
        <v>150.0</v>
      </c>
      <c r="N1645" s="7">
        <v>44519.0</v>
      </c>
    </row>
    <row r="1646">
      <c r="A1646" s="8">
        <v>1645.0</v>
      </c>
      <c r="B1646" s="8" t="s">
        <v>2910</v>
      </c>
      <c r="C1646" s="8" t="s">
        <v>21</v>
      </c>
      <c r="K1646" s="8">
        <v>10.0</v>
      </c>
      <c r="N1646" s="7">
        <v>44791.0</v>
      </c>
    </row>
    <row r="1647">
      <c r="A1647" s="8">
        <v>1646.0</v>
      </c>
      <c r="B1647" s="8" t="s">
        <v>2911</v>
      </c>
      <c r="C1647" s="8" t="s">
        <v>21</v>
      </c>
      <c r="K1647" s="8">
        <v>37000.0</v>
      </c>
      <c r="N1647" s="7">
        <v>44570.0</v>
      </c>
    </row>
    <row r="1648">
      <c r="A1648" s="8">
        <v>1647.0</v>
      </c>
      <c r="B1648" s="8" t="s">
        <v>2912</v>
      </c>
      <c r="C1648" s="8" t="s">
        <v>21</v>
      </c>
      <c r="K1648" s="8">
        <v>30.0</v>
      </c>
      <c r="N1648" s="7">
        <v>44153.0</v>
      </c>
    </row>
    <row r="1649">
      <c r="A1649" s="8">
        <v>1648.0</v>
      </c>
      <c r="B1649" s="8" t="s">
        <v>2913</v>
      </c>
      <c r="C1649" s="8" t="s">
        <v>21</v>
      </c>
      <c r="K1649" s="8">
        <v>100.0</v>
      </c>
      <c r="N1649" s="7">
        <v>44878.0</v>
      </c>
    </row>
    <row r="1650">
      <c r="A1650" s="8">
        <v>1649.0</v>
      </c>
      <c r="B1650" s="8" t="s">
        <v>2914</v>
      </c>
      <c r="C1650" s="8" t="s">
        <v>21</v>
      </c>
      <c r="K1650" s="8">
        <v>450.0</v>
      </c>
      <c r="N1650" s="7">
        <v>44333.0</v>
      </c>
    </row>
    <row r="1651">
      <c r="A1651" s="8">
        <v>1650.0</v>
      </c>
      <c r="B1651" s="8" t="s">
        <v>2916</v>
      </c>
      <c r="C1651" s="8" t="s">
        <v>21</v>
      </c>
      <c r="K1651" s="8">
        <v>150.0</v>
      </c>
      <c r="N1651" s="7">
        <v>44578.0</v>
      </c>
    </row>
    <row r="1652">
      <c r="A1652" s="8">
        <v>1651.0</v>
      </c>
      <c r="B1652" s="8" t="s">
        <v>2917</v>
      </c>
      <c r="C1652" s="8" t="s">
        <v>21</v>
      </c>
      <c r="K1652" s="8">
        <v>150.0</v>
      </c>
      <c r="N1652" s="7">
        <v>44844.0</v>
      </c>
    </row>
    <row r="1653">
      <c r="A1653" s="8">
        <v>1652.0</v>
      </c>
      <c r="B1653" s="8" t="s">
        <v>2918</v>
      </c>
      <c r="C1653" s="8" t="s">
        <v>21</v>
      </c>
      <c r="K1653" s="8">
        <v>70.0</v>
      </c>
      <c r="N1653" s="7">
        <v>44680.0</v>
      </c>
    </row>
    <row r="1654">
      <c r="A1654" s="8">
        <v>1653.0</v>
      </c>
      <c r="B1654" s="8" t="s">
        <v>2920</v>
      </c>
      <c r="C1654" s="8" t="s">
        <v>21</v>
      </c>
      <c r="K1654" s="8">
        <v>1000.0</v>
      </c>
      <c r="N1654" s="7">
        <v>44486.0</v>
      </c>
    </row>
    <row r="1655">
      <c r="A1655" s="8">
        <v>1654.0</v>
      </c>
      <c r="B1655" s="8" t="s">
        <v>2922</v>
      </c>
      <c r="C1655" s="8" t="s">
        <v>21</v>
      </c>
      <c r="K1655" s="8">
        <v>10.0</v>
      </c>
      <c r="N1655" s="7">
        <v>44647.0</v>
      </c>
    </row>
    <row r="1656">
      <c r="A1656" s="8">
        <v>1655.0</v>
      </c>
      <c r="B1656" s="8" t="s">
        <v>2923</v>
      </c>
      <c r="C1656" s="8" t="s">
        <v>21</v>
      </c>
      <c r="K1656" s="8">
        <v>4900.0</v>
      </c>
      <c r="N1656" s="7">
        <v>44661.0</v>
      </c>
    </row>
    <row r="1657">
      <c r="A1657" s="8">
        <v>1656.0</v>
      </c>
      <c r="B1657" s="8" t="s">
        <v>2924</v>
      </c>
      <c r="C1657" s="8" t="s">
        <v>21</v>
      </c>
      <c r="K1657" s="8">
        <v>100.0</v>
      </c>
      <c r="N1657" s="7">
        <v>44208.0</v>
      </c>
    </row>
    <row r="1658">
      <c r="A1658" s="8">
        <v>1657.0</v>
      </c>
      <c r="B1658" s="8" t="s">
        <v>2926</v>
      </c>
      <c r="C1658" s="8" t="s">
        <v>21</v>
      </c>
      <c r="K1658" s="8">
        <v>1000.0</v>
      </c>
      <c r="N1658" s="7">
        <v>44860.0</v>
      </c>
    </row>
    <row r="1659">
      <c r="A1659" s="8">
        <v>1658.0</v>
      </c>
      <c r="B1659" s="8" t="s">
        <v>2927</v>
      </c>
      <c r="C1659" s="8" t="s">
        <v>21</v>
      </c>
      <c r="K1659" s="8">
        <v>400.0</v>
      </c>
      <c r="N1659" s="7">
        <v>44088.0</v>
      </c>
    </row>
    <row r="1660">
      <c r="A1660" s="8">
        <v>1659.0</v>
      </c>
      <c r="B1660" s="8" t="s">
        <v>2928</v>
      </c>
      <c r="C1660" s="8" t="s">
        <v>21</v>
      </c>
      <c r="K1660" s="8">
        <v>1200.0</v>
      </c>
      <c r="N1660" s="7">
        <v>45729.0</v>
      </c>
    </row>
    <row r="1661">
      <c r="A1661" s="8">
        <v>1660.0</v>
      </c>
      <c r="B1661" s="8" t="s">
        <v>2929</v>
      </c>
      <c r="C1661" s="8" t="s">
        <v>21</v>
      </c>
      <c r="N1661" s="7">
        <v>45330.0</v>
      </c>
    </row>
    <row r="1662">
      <c r="A1662" s="8">
        <v>1661.0</v>
      </c>
      <c r="B1662" s="8" t="s">
        <v>2931</v>
      </c>
      <c r="C1662" s="8" t="s">
        <v>21</v>
      </c>
      <c r="K1662" s="8">
        <v>350.0</v>
      </c>
      <c r="N1662" s="7">
        <v>44499.0</v>
      </c>
    </row>
    <row r="1663">
      <c r="A1663" s="8">
        <v>1662.0</v>
      </c>
      <c r="B1663" s="8" t="s">
        <v>2932</v>
      </c>
      <c r="C1663" s="8" t="s">
        <v>21</v>
      </c>
      <c r="K1663" s="8">
        <v>10.0</v>
      </c>
      <c r="N1663" s="7">
        <v>44403.0</v>
      </c>
    </row>
    <row r="1664">
      <c r="A1664" s="8">
        <v>1663.0</v>
      </c>
      <c r="B1664" s="8" t="s">
        <v>2933</v>
      </c>
      <c r="C1664" s="8" t="s">
        <v>21</v>
      </c>
      <c r="K1664" s="8">
        <v>20.0</v>
      </c>
      <c r="N1664" s="7">
        <v>44499.0</v>
      </c>
    </row>
    <row r="1665">
      <c r="A1665" s="8">
        <v>1664.0</v>
      </c>
      <c r="B1665" s="8" t="s">
        <v>2934</v>
      </c>
      <c r="C1665" s="8" t="s">
        <v>21</v>
      </c>
      <c r="K1665" s="8">
        <v>300.0</v>
      </c>
      <c r="N1665" s="7">
        <v>43883.0</v>
      </c>
    </row>
    <row r="1666">
      <c r="A1666" s="8">
        <v>1665.0</v>
      </c>
      <c r="B1666" s="8" t="s">
        <v>2936</v>
      </c>
      <c r="C1666" s="8" t="s">
        <v>21</v>
      </c>
      <c r="K1666" s="8">
        <v>60.0</v>
      </c>
      <c r="N1666" s="7">
        <v>44529.0</v>
      </c>
    </row>
    <row r="1667">
      <c r="A1667" s="8">
        <v>1666.0</v>
      </c>
      <c r="B1667" s="8" t="s">
        <v>2937</v>
      </c>
      <c r="C1667" s="8" t="s">
        <v>21</v>
      </c>
      <c r="K1667" s="8">
        <v>70.0</v>
      </c>
      <c r="N1667" s="7">
        <v>44182.0</v>
      </c>
    </row>
    <row r="1668">
      <c r="A1668" s="8">
        <v>1667.0</v>
      </c>
      <c r="B1668" s="8" t="s">
        <v>2938</v>
      </c>
      <c r="C1668" s="8" t="s">
        <v>21</v>
      </c>
      <c r="N1668" s="7">
        <v>44786.0</v>
      </c>
    </row>
    <row r="1669">
      <c r="A1669" s="8">
        <v>1668.0</v>
      </c>
      <c r="B1669" s="8" t="s">
        <v>2939</v>
      </c>
      <c r="C1669" s="8" t="s">
        <v>21</v>
      </c>
      <c r="K1669" s="8">
        <v>10.0</v>
      </c>
      <c r="N1669" s="7">
        <v>46065.0</v>
      </c>
    </row>
    <row r="1670">
      <c r="A1670" s="8">
        <v>1669.0</v>
      </c>
      <c r="B1670" s="8" t="s">
        <v>2940</v>
      </c>
      <c r="C1670" s="8" t="s">
        <v>21</v>
      </c>
      <c r="K1670" s="8">
        <v>40.0</v>
      </c>
      <c r="N1670" s="7">
        <v>45527.0</v>
      </c>
    </row>
    <row r="1671">
      <c r="A1671" s="8">
        <v>1670.0</v>
      </c>
      <c r="B1671" s="8" t="s">
        <v>2942</v>
      </c>
      <c r="C1671" s="8" t="s">
        <v>21</v>
      </c>
      <c r="K1671" s="8">
        <v>700.0</v>
      </c>
      <c r="N1671" s="7">
        <v>44055.0</v>
      </c>
    </row>
    <row r="1672">
      <c r="A1672" s="8">
        <v>1671.0</v>
      </c>
      <c r="B1672" s="8" t="s">
        <v>2943</v>
      </c>
      <c r="C1672" s="8" t="s">
        <v>21</v>
      </c>
      <c r="K1672" s="8">
        <v>1100.0</v>
      </c>
      <c r="N1672" s="7">
        <v>44582.0</v>
      </c>
    </row>
    <row r="1673">
      <c r="A1673" s="8">
        <v>1672.0</v>
      </c>
      <c r="B1673" s="8" t="s">
        <v>2944</v>
      </c>
      <c r="C1673" s="8" t="s">
        <v>21</v>
      </c>
      <c r="K1673" s="8">
        <v>50.0</v>
      </c>
      <c r="N1673" s="7">
        <v>44840.0</v>
      </c>
    </row>
    <row r="1674">
      <c r="A1674" s="8">
        <v>1673.0</v>
      </c>
      <c r="B1674" s="8" t="s">
        <v>2945</v>
      </c>
      <c r="C1674" s="8" t="s">
        <v>21</v>
      </c>
      <c r="K1674" s="8">
        <v>70.0</v>
      </c>
      <c r="N1674" s="7">
        <v>44144.0</v>
      </c>
    </row>
    <row r="1675">
      <c r="A1675" s="8">
        <v>1674.0</v>
      </c>
      <c r="B1675" s="10" t="s">
        <v>2947</v>
      </c>
      <c r="C1675" s="8" t="s">
        <v>21</v>
      </c>
      <c r="N1675" s="7">
        <v>43873.0</v>
      </c>
    </row>
    <row r="1676">
      <c r="A1676" s="8">
        <v>1675.0</v>
      </c>
      <c r="B1676" s="8" t="s">
        <v>2949</v>
      </c>
      <c r="C1676" s="8" t="s">
        <v>21</v>
      </c>
      <c r="K1676" s="8">
        <v>20.0</v>
      </c>
      <c r="N1676" s="7">
        <v>45873.0</v>
      </c>
    </row>
    <row r="1677">
      <c r="A1677" s="8">
        <v>1676.0</v>
      </c>
      <c r="B1677" s="8" t="s">
        <v>2951</v>
      </c>
      <c r="C1677" s="8" t="s">
        <v>21</v>
      </c>
      <c r="K1677" s="8">
        <v>1900.0</v>
      </c>
      <c r="N1677" s="7">
        <v>44562.0</v>
      </c>
    </row>
    <row r="1678">
      <c r="A1678" s="8">
        <v>1677.0</v>
      </c>
      <c r="B1678" s="8" t="s">
        <v>2952</v>
      </c>
      <c r="C1678" s="8" t="s">
        <v>21</v>
      </c>
      <c r="K1678" s="8">
        <v>350.0</v>
      </c>
      <c r="N1678" s="7">
        <v>44304.0</v>
      </c>
    </row>
    <row r="1679">
      <c r="A1679" s="8">
        <v>1678.0</v>
      </c>
      <c r="B1679" s="8" t="s">
        <v>2953</v>
      </c>
      <c r="C1679" s="8" t="s">
        <v>21</v>
      </c>
      <c r="K1679" s="8">
        <v>60.0</v>
      </c>
      <c r="N1679" s="7">
        <v>44808.0</v>
      </c>
    </row>
    <row r="1680">
      <c r="A1680" s="8">
        <v>1679.0</v>
      </c>
      <c r="B1680" s="8" t="s">
        <v>2955</v>
      </c>
      <c r="C1680" s="8" t="s">
        <v>21</v>
      </c>
      <c r="K1680" s="8">
        <v>250.0</v>
      </c>
      <c r="N1680" s="7">
        <v>44683.0</v>
      </c>
    </row>
    <row r="1681">
      <c r="A1681" s="8">
        <v>1680.0</v>
      </c>
      <c r="B1681" s="8" t="s">
        <v>2956</v>
      </c>
      <c r="C1681" s="8" t="s">
        <v>21</v>
      </c>
      <c r="N1681" s="7">
        <v>44493.0</v>
      </c>
    </row>
    <row r="1682">
      <c r="A1682" s="8">
        <v>1681.0</v>
      </c>
      <c r="B1682" s="8" t="s">
        <v>2957</v>
      </c>
      <c r="C1682" s="8" t="s">
        <v>21</v>
      </c>
      <c r="K1682" s="8">
        <v>150.0</v>
      </c>
      <c r="N1682" s="7">
        <v>44514.0</v>
      </c>
    </row>
    <row r="1683">
      <c r="A1683" s="8">
        <v>1682.0</v>
      </c>
      <c r="B1683" s="8" t="s">
        <v>2958</v>
      </c>
      <c r="C1683" s="8" t="s">
        <v>21</v>
      </c>
      <c r="K1683" s="8">
        <v>800.0</v>
      </c>
      <c r="N1683" s="7">
        <v>44569.0</v>
      </c>
    </row>
    <row r="1684">
      <c r="A1684" s="8">
        <v>1683.0</v>
      </c>
      <c r="B1684" s="8" t="s">
        <v>2959</v>
      </c>
      <c r="C1684" s="8" t="s">
        <v>21</v>
      </c>
      <c r="K1684" s="8">
        <v>1800.0</v>
      </c>
      <c r="N1684" s="7">
        <v>44888.0</v>
      </c>
    </row>
    <row r="1685">
      <c r="A1685" s="8">
        <v>1684.0</v>
      </c>
      <c r="B1685" s="8" t="s">
        <v>124</v>
      </c>
      <c r="C1685" s="8" t="s">
        <v>21</v>
      </c>
      <c r="K1685" s="8">
        <v>60.0</v>
      </c>
      <c r="N1685" s="7">
        <v>44353.0</v>
      </c>
    </row>
    <row r="1686">
      <c r="A1686" s="8">
        <v>1685.0</v>
      </c>
      <c r="B1686" s="8" t="s">
        <v>2961</v>
      </c>
      <c r="C1686" s="8" t="s">
        <v>21</v>
      </c>
      <c r="K1686" s="8">
        <v>400.0</v>
      </c>
      <c r="N1686" s="7">
        <v>45780.0</v>
      </c>
    </row>
    <row r="1687">
      <c r="A1687" s="8">
        <v>1686.0</v>
      </c>
      <c r="B1687" s="8" t="s">
        <v>2962</v>
      </c>
      <c r="C1687" s="8" t="s">
        <v>21</v>
      </c>
      <c r="K1687" s="8">
        <v>3400.0</v>
      </c>
      <c r="N1687" s="7">
        <v>44367.0</v>
      </c>
    </row>
    <row r="1688">
      <c r="A1688" s="8">
        <v>1687.0</v>
      </c>
      <c r="B1688" s="8" t="s">
        <v>2965</v>
      </c>
      <c r="C1688" s="8" t="s">
        <v>21</v>
      </c>
      <c r="K1688" s="8">
        <v>150.0</v>
      </c>
      <c r="N1688" s="7">
        <v>44102.0</v>
      </c>
    </row>
    <row r="1689">
      <c r="A1689" s="8">
        <v>1688.0</v>
      </c>
      <c r="B1689" s="8" t="s">
        <v>2966</v>
      </c>
      <c r="C1689" s="8" t="s">
        <v>21</v>
      </c>
      <c r="K1689" s="8">
        <v>1800.0</v>
      </c>
      <c r="N1689" s="7">
        <v>46008.0</v>
      </c>
    </row>
    <row r="1690">
      <c r="A1690" s="8">
        <v>1689.0</v>
      </c>
      <c r="B1690" s="8" t="s">
        <v>2968</v>
      </c>
      <c r="C1690" s="8" t="s">
        <v>21</v>
      </c>
      <c r="K1690" s="8">
        <v>50.0</v>
      </c>
      <c r="N1690" s="7">
        <v>44802.0</v>
      </c>
    </row>
    <row r="1691">
      <c r="A1691" s="8">
        <v>1690.0</v>
      </c>
      <c r="B1691" s="8" t="s">
        <v>2969</v>
      </c>
      <c r="C1691" s="8" t="s">
        <v>21</v>
      </c>
      <c r="K1691" s="8">
        <v>150.0</v>
      </c>
      <c r="N1691" s="7">
        <v>45161.0</v>
      </c>
    </row>
    <row r="1692">
      <c r="A1692" s="8">
        <v>1691.0</v>
      </c>
      <c r="B1692" s="8" t="s">
        <v>2971</v>
      </c>
      <c r="C1692" s="8" t="s">
        <v>21</v>
      </c>
      <c r="K1692" s="8">
        <v>1400.0</v>
      </c>
      <c r="N1692" s="7">
        <v>44597.0</v>
      </c>
    </row>
    <row r="1693">
      <c r="A1693" s="8">
        <v>1692.0</v>
      </c>
      <c r="B1693" s="8" t="s">
        <v>2972</v>
      </c>
      <c r="C1693" s="8" t="s">
        <v>21</v>
      </c>
      <c r="K1693" s="8">
        <v>700.0</v>
      </c>
      <c r="N1693" s="7">
        <v>44722.0</v>
      </c>
    </row>
    <row r="1694">
      <c r="A1694" s="8">
        <v>1693.0</v>
      </c>
      <c r="B1694" s="8" t="s">
        <v>2973</v>
      </c>
      <c r="C1694" s="8" t="s">
        <v>21</v>
      </c>
      <c r="K1694" s="8">
        <v>50.0</v>
      </c>
      <c r="N1694" s="7">
        <v>44456.0</v>
      </c>
    </row>
    <row r="1695">
      <c r="A1695" s="8">
        <v>1694.0</v>
      </c>
      <c r="B1695" s="8" t="s">
        <v>2975</v>
      </c>
      <c r="C1695" s="8" t="s">
        <v>21</v>
      </c>
      <c r="N1695" s="7">
        <v>45010.0</v>
      </c>
    </row>
    <row r="1696">
      <c r="A1696" s="8">
        <v>1695.0</v>
      </c>
      <c r="B1696" s="8" t="s">
        <v>2976</v>
      </c>
      <c r="C1696" s="8" t="s">
        <v>21</v>
      </c>
      <c r="N1696" s="7">
        <v>44342.0</v>
      </c>
    </row>
    <row r="1697">
      <c r="A1697" s="8">
        <v>1696.0</v>
      </c>
      <c r="B1697" s="8" t="s">
        <v>2977</v>
      </c>
      <c r="C1697" s="8" t="s">
        <v>21</v>
      </c>
      <c r="K1697" s="8">
        <v>10.0</v>
      </c>
      <c r="N1697" s="7">
        <v>44338.0</v>
      </c>
    </row>
    <row r="1698">
      <c r="A1698" s="8">
        <v>1697.0</v>
      </c>
      <c r="B1698" s="8" t="s">
        <v>2978</v>
      </c>
      <c r="C1698" s="8" t="s">
        <v>21</v>
      </c>
      <c r="K1698" s="8">
        <v>350.0</v>
      </c>
      <c r="N1698" s="7">
        <v>43947.0</v>
      </c>
    </row>
    <row r="1699">
      <c r="A1699" s="8">
        <v>1698.0</v>
      </c>
      <c r="B1699" s="8" t="s">
        <v>2980</v>
      </c>
      <c r="C1699" s="8" t="s">
        <v>21</v>
      </c>
      <c r="K1699" s="8">
        <v>2500.0</v>
      </c>
      <c r="N1699" s="7">
        <v>44395.0</v>
      </c>
    </row>
    <row r="1700">
      <c r="A1700" s="8">
        <v>1699.0</v>
      </c>
      <c r="B1700" s="8" t="s">
        <v>2981</v>
      </c>
      <c r="C1700" s="8" t="s">
        <v>21</v>
      </c>
      <c r="K1700" s="8">
        <v>200.0</v>
      </c>
      <c r="N1700" s="7">
        <v>45867.0</v>
      </c>
    </row>
    <row r="1701">
      <c r="A1701" s="8">
        <v>1700.0</v>
      </c>
      <c r="B1701" s="8" t="s">
        <v>2983</v>
      </c>
      <c r="C1701" s="8" t="s">
        <v>21</v>
      </c>
      <c r="N1701" s="7">
        <v>44097.0</v>
      </c>
    </row>
    <row r="1702">
      <c r="A1702" s="8">
        <v>1701.0</v>
      </c>
      <c r="B1702" s="8" t="s">
        <v>2985</v>
      </c>
      <c r="C1702" s="8" t="s">
        <v>21</v>
      </c>
      <c r="K1702" s="8">
        <v>2300.0</v>
      </c>
      <c r="N1702" s="7">
        <v>44910.0</v>
      </c>
    </row>
    <row r="1703">
      <c r="A1703" s="8">
        <v>1702.0</v>
      </c>
      <c r="B1703" s="8" t="s">
        <v>126</v>
      </c>
      <c r="C1703" s="8" t="s">
        <v>21</v>
      </c>
      <c r="K1703" s="8">
        <v>1200.0</v>
      </c>
      <c r="N1703" s="7">
        <v>44108.0</v>
      </c>
    </row>
    <row r="1704">
      <c r="A1704" s="8">
        <v>1703.0</v>
      </c>
      <c r="B1704" s="8" t="s">
        <v>2987</v>
      </c>
      <c r="C1704" s="8" t="s">
        <v>21</v>
      </c>
      <c r="K1704" s="8">
        <v>60.0</v>
      </c>
      <c r="N1704" s="7">
        <v>44838.0</v>
      </c>
    </row>
    <row r="1705">
      <c r="A1705" s="8">
        <v>1704.0</v>
      </c>
      <c r="B1705" s="8" t="s">
        <v>2989</v>
      </c>
      <c r="C1705" s="8" t="s">
        <v>21</v>
      </c>
      <c r="K1705" s="8">
        <v>400.0</v>
      </c>
      <c r="N1705" s="7">
        <v>44018.0</v>
      </c>
    </row>
    <row r="1706">
      <c r="A1706" s="8">
        <v>1705.0</v>
      </c>
      <c r="B1706" s="8" t="s">
        <v>2990</v>
      </c>
      <c r="C1706" s="8" t="s">
        <v>21</v>
      </c>
      <c r="K1706" s="8">
        <v>20.0</v>
      </c>
      <c r="N1706" s="7">
        <v>43349.0</v>
      </c>
      <c r="O1706" s="8" t="s">
        <v>107</v>
      </c>
      <c r="P1706" s="8" t="s">
        <v>28</v>
      </c>
      <c r="S1706" s="8" t="s">
        <v>32</v>
      </c>
    </row>
    <row r="1707">
      <c r="A1707" s="8">
        <v>1706.0</v>
      </c>
      <c r="B1707" s="8" t="s">
        <v>2992</v>
      </c>
      <c r="C1707" s="8" t="s">
        <v>21</v>
      </c>
      <c r="K1707" s="8">
        <v>150.0</v>
      </c>
      <c r="N1707" s="7">
        <v>44414.0</v>
      </c>
    </row>
    <row r="1708">
      <c r="A1708" s="8">
        <v>1707.0</v>
      </c>
      <c r="B1708" s="8" t="s">
        <v>2994</v>
      </c>
      <c r="C1708" s="8" t="s">
        <v>21</v>
      </c>
      <c r="K1708" s="8">
        <v>20.0</v>
      </c>
      <c r="N1708" s="7">
        <v>45876.0</v>
      </c>
    </row>
    <row r="1709">
      <c r="A1709" s="8">
        <v>1708.0</v>
      </c>
      <c r="B1709" s="8" t="s">
        <v>2997</v>
      </c>
      <c r="C1709" s="8" t="s">
        <v>21</v>
      </c>
      <c r="K1709" s="8">
        <v>2900.0</v>
      </c>
      <c r="N1709" s="7">
        <v>43868.0</v>
      </c>
    </row>
    <row r="1710">
      <c r="A1710" s="8">
        <v>1709.0</v>
      </c>
      <c r="B1710" s="8" t="s">
        <v>2998</v>
      </c>
      <c r="C1710" s="8" t="s">
        <v>21</v>
      </c>
      <c r="N1710" s="7">
        <v>46017.0</v>
      </c>
    </row>
    <row r="1711">
      <c r="A1711" s="8">
        <v>1710.0</v>
      </c>
      <c r="B1711" s="8" t="s">
        <v>3000</v>
      </c>
      <c r="C1711" s="8" t="s">
        <v>21</v>
      </c>
      <c r="N1711" s="7">
        <v>42256.0</v>
      </c>
    </row>
    <row r="1712">
      <c r="A1712" s="8">
        <v>1711.0</v>
      </c>
      <c r="B1712" s="8" t="s">
        <v>3001</v>
      </c>
      <c r="C1712" s="8" t="s">
        <v>21</v>
      </c>
      <c r="K1712" s="8">
        <v>10.0</v>
      </c>
      <c r="N1712" s="7">
        <v>44025.0</v>
      </c>
    </row>
    <row r="1713">
      <c r="A1713" s="8">
        <v>1712.0</v>
      </c>
      <c r="B1713" s="8" t="s">
        <v>3003</v>
      </c>
      <c r="C1713" s="8" t="s">
        <v>21</v>
      </c>
      <c r="K1713" s="8">
        <v>1300.0</v>
      </c>
      <c r="N1713" s="7">
        <v>44728.0</v>
      </c>
    </row>
    <row r="1714">
      <c r="A1714" s="8">
        <v>1713.0</v>
      </c>
      <c r="B1714" s="8" t="s">
        <v>3005</v>
      </c>
      <c r="C1714" s="8" t="s">
        <v>21</v>
      </c>
      <c r="N1714" s="7">
        <v>45048.0</v>
      </c>
    </row>
    <row r="1715">
      <c r="A1715" s="8">
        <v>1714.0</v>
      </c>
      <c r="B1715" s="8" t="s">
        <v>3006</v>
      </c>
      <c r="C1715" s="8" t="s">
        <v>21</v>
      </c>
      <c r="K1715" s="8">
        <v>100.0</v>
      </c>
      <c r="N1715" s="7">
        <v>45100.0</v>
      </c>
    </row>
    <row r="1716">
      <c r="A1716" s="8">
        <v>1715.0</v>
      </c>
      <c r="B1716" s="8" t="s">
        <v>3009</v>
      </c>
      <c r="C1716" s="8" t="s">
        <v>21</v>
      </c>
      <c r="K1716" s="8">
        <v>500.0</v>
      </c>
      <c r="N1716" s="7">
        <v>44447.0</v>
      </c>
    </row>
    <row r="1717">
      <c r="A1717" s="8">
        <v>1716.0</v>
      </c>
      <c r="B1717" s="8" t="s">
        <v>3010</v>
      </c>
      <c r="C1717" s="8" t="s">
        <v>21</v>
      </c>
      <c r="N1717" s="7">
        <v>44169.0</v>
      </c>
    </row>
    <row r="1718">
      <c r="A1718" s="8">
        <v>1717.0</v>
      </c>
      <c r="B1718" s="8" t="s">
        <v>3011</v>
      </c>
      <c r="C1718" s="8" t="s">
        <v>21</v>
      </c>
      <c r="N1718" s="7">
        <v>44825.0</v>
      </c>
    </row>
    <row r="1719">
      <c r="A1719" s="8">
        <v>1718.0</v>
      </c>
      <c r="B1719" s="8" t="s">
        <v>3013</v>
      </c>
      <c r="C1719" s="8" t="s">
        <v>21</v>
      </c>
      <c r="K1719" s="8">
        <v>100.0</v>
      </c>
      <c r="N1719" s="7">
        <v>44440.0</v>
      </c>
    </row>
    <row r="1720">
      <c r="A1720" s="8">
        <v>1719.0</v>
      </c>
      <c r="B1720" s="8" t="s">
        <v>3014</v>
      </c>
      <c r="C1720" s="8" t="s">
        <v>21</v>
      </c>
      <c r="N1720" s="7">
        <v>44396.0</v>
      </c>
    </row>
    <row r="1721">
      <c r="A1721" s="8">
        <v>1720.0</v>
      </c>
      <c r="B1721" s="8" t="s">
        <v>3016</v>
      </c>
      <c r="C1721" s="8" t="s">
        <v>21</v>
      </c>
      <c r="K1721" s="8">
        <v>1000.0</v>
      </c>
      <c r="N1721" s="7">
        <v>44535.0</v>
      </c>
    </row>
    <row r="1722">
      <c r="A1722" s="8">
        <v>1721.0</v>
      </c>
      <c r="B1722" s="8" t="s">
        <v>3017</v>
      </c>
      <c r="C1722" s="8" t="s">
        <v>21</v>
      </c>
      <c r="K1722" s="8">
        <v>7600.0</v>
      </c>
      <c r="N1722" s="7">
        <v>44396.0</v>
      </c>
    </row>
    <row r="1723">
      <c r="A1723" s="8">
        <v>1722.0</v>
      </c>
      <c r="B1723" s="8" t="s">
        <v>3018</v>
      </c>
      <c r="C1723" s="8" t="s">
        <v>21</v>
      </c>
      <c r="K1723" s="8">
        <v>1700.0</v>
      </c>
      <c r="N1723" s="7">
        <v>44475.0</v>
      </c>
    </row>
    <row r="1724">
      <c r="A1724" s="8">
        <v>1723.0</v>
      </c>
      <c r="B1724" s="8" t="s">
        <v>3020</v>
      </c>
      <c r="C1724" s="8" t="s">
        <v>21</v>
      </c>
      <c r="K1724" s="8">
        <v>900.0</v>
      </c>
      <c r="N1724" s="7">
        <v>44109.0</v>
      </c>
    </row>
    <row r="1725">
      <c r="A1725" s="8">
        <v>1724.0</v>
      </c>
      <c r="B1725" s="8" t="s">
        <v>3021</v>
      </c>
      <c r="C1725" s="8" t="s">
        <v>21</v>
      </c>
      <c r="K1725" s="8">
        <v>100.0</v>
      </c>
      <c r="N1725" s="7">
        <v>45159.0</v>
      </c>
    </row>
    <row r="1726">
      <c r="A1726" s="8">
        <v>1725.0</v>
      </c>
      <c r="B1726" s="8" t="s">
        <v>3023</v>
      </c>
      <c r="C1726" s="8" t="s">
        <v>21</v>
      </c>
      <c r="K1726" s="8">
        <v>30.0</v>
      </c>
      <c r="N1726" s="7">
        <v>43973.0</v>
      </c>
    </row>
    <row r="1727">
      <c r="A1727" s="8">
        <v>1726.0</v>
      </c>
      <c r="B1727" s="8" t="s">
        <v>3024</v>
      </c>
      <c r="C1727" s="8" t="s">
        <v>21</v>
      </c>
      <c r="K1727" s="8">
        <v>1500.0</v>
      </c>
      <c r="N1727" s="7">
        <v>45481.0</v>
      </c>
    </row>
    <row r="1728">
      <c r="A1728" s="8">
        <v>1727.0</v>
      </c>
      <c r="B1728" s="8" t="s">
        <v>3025</v>
      </c>
      <c r="C1728" s="8" t="s">
        <v>21</v>
      </c>
      <c r="K1728" s="8">
        <v>250.0</v>
      </c>
      <c r="N1728" s="7">
        <v>45078.0</v>
      </c>
    </row>
    <row r="1729">
      <c r="A1729" s="8">
        <v>1728.0</v>
      </c>
      <c r="B1729" s="8" t="s">
        <v>3027</v>
      </c>
      <c r="C1729" s="8" t="s">
        <v>21</v>
      </c>
      <c r="K1729" s="8">
        <v>700.0</v>
      </c>
      <c r="N1729" s="7">
        <v>44102.0</v>
      </c>
    </row>
    <row r="1730">
      <c r="A1730" s="8">
        <v>1729.0</v>
      </c>
      <c r="B1730" s="8" t="s">
        <v>3028</v>
      </c>
      <c r="C1730" s="8" t="s">
        <v>21</v>
      </c>
      <c r="K1730" s="8">
        <v>13000.0</v>
      </c>
      <c r="N1730" s="7">
        <v>44267.0</v>
      </c>
    </row>
    <row r="1731">
      <c r="A1731" s="8">
        <v>1730.0</v>
      </c>
      <c r="B1731" s="8" t="s">
        <v>3030</v>
      </c>
      <c r="C1731" s="8" t="s">
        <v>21</v>
      </c>
      <c r="N1731" s="7">
        <v>44304.0</v>
      </c>
    </row>
    <row r="1732">
      <c r="A1732" s="8">
        <v>1731.0</v>
      </c>
      <c r="B1732" s="8" t="s">
        <v>3031</v>
      </c>
      <c r="C1732" s="8" t="s">
        <v>21</v>
      </c>
      <c r="K1732" s="8">
        <v>2200.0</v>
      </c>
      <c r="N1732" s="7">
        <v>45343.0</v>
      </c>
    </row>
    <row r="1733">
      <c r="A1733" s="8">
        <v>1732.0</v>
      </c>
      <c r="B1733" s="8" t="s">
        <v>3032</v>
      </c>
      <c r="C1733" s="8" t="s">
        <v>21</v>
      </c>
      <c r="K1733" s="8">
        <v>10.0</v>
      </c>
      <c r="N1733" s="7">
        <v>44263.0</v>
      </c>
    </row>
    <row r="1734">
      <c r="A1734" s="8">
        <v>1733.0</v>
      </c>
      <c r="B1734" s="8" t="s">
        <v>3034</v>
      </c>
      <c r="C1734" s="8" t="s">
        <v>21</v>
      </c>
      <c r="K1734" s="8">
        <v>250.0</v>
      </c>
      <c r="N1734" s="7">
        <v>44211.0</v>
      </c>
    </row>
    <row r="1735">
      <c r="A1735" s="8">
        <v>1734.0</v>
      </c>
      <c r="B1735" s="8" t="s">
        <v>3035</v>
      </c>
      <c r="C1735" s="8" t="s">
        <v>21</v>
      </c>
      <c r="K1735" s="8">
        <v>20.0</v>
      </c>
      <c r="N1735" s="7">
        <v>44841.0</v>
      </c>
    </row>
    <row r="1736">
      <c r="A1736" s="8">
        <v>1735.0</v>
      </c>
      <c r="B1736" s="8" t="s">
        <v>3037</v>
      </c>
      <c r="C1736" s="8" t="s">
        <v>21</v>
      </c>
      <c r="N1736" s="7">
        <v>44890.0</v>
      </c>
      <c r="O1736" s="8" t="s">
        <v>107</v>
      </c>
      <c r="P1736" s="8" t="s">
        <v>28</v>
      </c>
      <c r="S1736" s="8" t="s">
        <v>32</v>
      </c>
    </row>
    <row r="1737">
      <c r="A1737" s="8">
        <v>1736.0</v>
      </c>
      <c r="B1737" s="8" t="s">
        <v>3038</v>
      </c>
      <c r="C1737" s="8" t="s">
        <v>21</v>
      </c>
      <c r="K1737" s="8">
        <v>2200.0</v>
      </c>
      <c r="N1737" s="7">
        <v>44713.0</v>
      </c>
    </row>
    <row r="1738">
      <c r="A1738" s="8">
        <v>1737.0</v>
      </c>
      <c r="B1738" s="8" t="s">
        <v>3040</v>
      </c>
      <c r="C1738" s="8" t="s">
        <v>21</v>
      </c>
      <c r="K1738" s="8">
        <v>60.0</v>
      </c>
      <c r="N1738" s="7">
        <v>45184.0</v>
      </c>
    </row>
    <row r="1739">
      <c r="A1739" s="8">
        <v>1738.0</v>
      </c>
      <c r="B1739" s="8" t="s">
        <v>3041</v>
      </c>
      <c r="C1739" s="8" t="s">
        <v>21</v>
      </c>
      <c r="K1739" s="8">
        <v>30.0</v>
      </c>
      <c r="N1739" s="7">
        <v>44154.0</v>
      </c>
    </row>
    <row r="1740">
      <c r="A1740" s="8">
        <v>1739.0</v>
      </c>
      <c r="B1740" s="8" t="s">
        <v>3042</v>
      </c>
      <c r="C1740" s="8" t="s">
        <v>21</v>
      </c>
      <c r="K1740" s="8">
        <v>50.0</v>
      </c>
      <c r="N1740" s="7">
        <v>45410.0</v>
      </c>
    </row>
    <row r="1741">
      <c r="A1741" s="8">
        <v>1740.0</v>
      </c>
      <c r="B1741" s="8" t="s">
        <v>3043</v>
      </c>
      <c r="C1741" s="8" t="s">
        <v>21</v>
      </c>
      <c r="N1741" s="7">
        <v>44094.0</v>
      </c>
    </row>
    <row r="1742">
      <c r="A1742" s="8">
        <v>1741.0</v>
      </c>
      <c r="B1742" s="8" t="s">
        <v>3045</v>
      </c>
      <c r="C1742" s="8" t="s">
        <v>21</v>
      </c>
      <c r="K1742" s="8">
        <v>150.0</v>
      </c>
      <c r="N1742" s="7">
        <v>44409.0</v>
      </c>
    </row>
    <row r="1743">
      <c r="A1743" s="8">
        <v>1742.0</v>
      </c>
      <c r="B1743" s="8" t="s">
        <v>3046</v>
      </c>
      <c r="C1743" s="8" t="s">
        <v>21</v>
      </c>
      <c r="K1743" s="8">
        <v>10.0</v>
      </c>
      <c r="N1743" s="7">
        <v>44019.0</v>
      </c>
    </row>
    <row r="1744">
      <c r="A1744" s="8">
        <v>1743.0</v>
      </c>
      <c r="B1744" s="8" t="s">
        <v>3047</v>
      </c>
      <c r="C1744" s="8" t="s">
        <v>21</v>
      </c>
      <c r="K1744" s="8">
        <v>5000.0</v>
      </c>
      <c r="N1744" s="7">
        <v>44471.0</v>
      </c>
    </row>
    <row r="1745">
      <c r="A1745" s="8">
        <v>1744.0</v>
      </c>
      <c r="B1745" s="8" t="s">
        <v>3049</v>
      </c>
      <c r="C1745" s="8" t="s">
        <v>21</v>
      </c>
      <c r="K1745" s="8">
        <v>250.0</v>
      </c>
      <c r="N1745" s="7">
        <v>44522.0</v>
      </c>
    </row>
    <row r="1746">
      <c r="A1746" s="8">
        <v>1745.0</v>
      </c>
      <c r="B1746" s="8" t="s">
        <v>3050</v>
      </c>
      <c r="C1746" s="8" t="s">
        <v>21</v>
      </c>
      <c r="K1746" s="8">
        <v>3200.0</v>
      </c>
      <c r="N1746" s="7">
        <v>45746.0</v>
      </c>
    </row>
    <row r="1747">
      <c r="A1747" s="8">
        <v>1746.0</v>
      </c>
      <c r="B1747" s="8" t="s">
        <v>3052</v>
      </c>
      <c r="C1747" s="8" t="s">
        <v>21</v>
      </c>
      <c r="K1747" s="8">
        <v>10.0</v>
      </c>
      <c r="N1747" s="7">
        <v>45873.0</v>
      </c>
    </row>
    <row r="1748">
      <c r="A1748" s="8">
        <v>1747.0</v>
      </c>
      <c r="B1748" s="8" t="s">
        <v>3053</v>
      </c>
      <c r="C1748" s="8" t="s">
        <v>21</v>
      </c>
      <c r="K1748" s="8">
        <v>30.0</v>
      </c>
      <c r="N1748" s="7">
        <v>44345.0</v>
      </c>
    </row>
    <row r="1749">
      <c r="A1749" s="8">
        <v>1748.0</v>
      </c>
      <c r="B1749" s="8" t="s">
        <v>3054</v>
      </c>
      <c r="C1749" s="8" t="s">
        <v>21</v>
      </c>
      <c r="K1749" s="8">
        <v>20.0</v>
      </c>
      <c r="N1749" s="7">
        <v>45407.0</v>
      </c>
    </row>
    <row r="1750">
      <c r="A1750" s="8">
        <v>1749.0</v>
      </c>
      <c r="B1750" s="8" t="s">
        <v>3056</v>
      </c>
      <c r="C1750" s="8" t="s">
        <v>21</v>
      </c>
      <c r="K1750" s="8">
        <v>350.0</v>
      </c>
      <c r="N1750" s="7">
        <v>44537.0</v>
      </c>
    </row>
    <row r="1751">
      <c r="A1751" s="8">
        <v>1750.0</v>
      </c>
      <c r="B1751" s="8" t="s">
        <v>3057</v>
      </c>
      <c r="C1751" s="8" t="s">
        <v>21</v>
      </c>
      <c r="N1751" s="7">
        <v>42407.0</v>
      </c>
    </row>
    <row r="1752">
      <c r="A1752" s="8">
        <v>1751.0</v>
      </c>
      <c r="B1752" s="8" t="s">
        <v>3058</v>
      </c>
      <c r="C1752" s="8" t="s">
        <v>21</v>
      </c>
      <c r="K1752" s="8">
        <v>300.0</v>
      </c>
      <c r="N1752" s="7">
        <v>45949.0</v>
      </c>
    </row>
    <row r="1753">
      <c r="A1753" s="8">
        <v>1752.0</v>
      </c>
      <c r="B1753" s="8" t="s">
        <v>3060</v>
      </c>
      <c r="C1753" s="8" t="s">
        <v>21</v>
      </c>
      <c r="K1753" s="8">
        <v>20.0</v>
      </c>
      <c r="N1753" s="7">
        <v>44263.0</v>
      </c>
    </row>
    <row r="1754">
      <c r="A1754" s="8">
        <v>1753.0</v>
      </c>
      <c r="B1754" s="8" t="s">
        <v>3061</v>
      </c>
      <c r="C1754" s="8" t="s">
        <v>21</v>
      </c>
      <c r="K1754" s="8">
        <v>200.0</v>
      </c>
      <c r="N1754" s="7">
        <v>44524.0</v>
      </c>
    </row>
    <row r="1755">
      <c r="A1755" s="8">
        <v>1754.0</v>
      </c>
      <c r="B1755" s="8" t="s">
        <v>130</v>
      </c>
      <c r="C1755" s="8" t="s">
        <v>21</v>
      </c>
      <c r="K1755" s="8">
        <v>200.0</v>
      </c>
      <c r="N1755" s="7">
        <v>45909.0</v>
      </c>
    </row>
    <row r="1756">
      <c r="A1756" s="8">
        <v>1755.0</v>
      </c>
      <c r="B1756" s="8" t="s">
        <v>3064</v>
      </c>
      <c r="C1756" s="8" t="s">
        <v>21</v>
      </c>
      <c r="K1756" s="8">
        <v>300.0</v>
      </c>
      <c r="N1756" s="7">
        <v>43904.0</v>
      </c>
    </row>
    <row r="1757">
      <c r="A1757" s="8">
        <v>1756.0</v>
      </c>
      <c r="B1757" s="8" t="s">
        <v>3065</v>
      </c>
      <c r="C1757" s="8" t="s">
        <v>21</v>
      </c>
      <c r="K1757" s="8">
        <v>30.0</v>
      </c>
      <c r="N1757" s="7">
        <v>44345.0</v>
      </c>
    </row>
    <row r="1758">
      <c r="A1758" s="8">
        <v>1757.0</v>
      </c>
      <c r="B1758" s="8" t="s">
        <v>3067</v>
      </c>
      <c r="C1758" s="8" t="s">
        <v>21</v>
      </c>
      <c r="K1758" s="8">
        <v>20.0</v>
      </c>
      <c r="N1758" s="7">
        <v>45563.0</v>
      </c>
    </row>
    <row r="1759">
      <c r="A1759" s="8">
        <v>1758.0</v>
      </c>
      <c r="B1759" s="8" t="s">
        <v>3069</v>
      </c>
      <c r="C1759" s="8" t="s">
        <v>21</v>
      </c>
      <c r="K1759" s="8">
        <v>1700.0</v>
      </c>
      <c r="N1759" s="7">
        <v>44820.0</v>
      </c>
    </row>
    <row r="1760">
      <c r="A1760" s="8">
        <v>1759.0</v>
      </c>
      <c r="B1760" s="8" t="s">
        <v>3070</v>
      </c>
      <c r="C1760" s="8" t="s">
        <v>21</v>
      </c>
      <c r="K1760" s="8">
        <v>350.0</v>
      </c>
      <c r="N1760" s="7">
        <v>44333.0</v>
      </c>
    </row>
    <row r="1761">
      <c r="A1761" s="8">
        <v>1760.0</v>
      </c>
      <c r="B1761" s="8" t="s">
        <v>3072</v>
      </c>
      <c r="C1761" s="8" t="s">
        <v>21</v>
      </c>
      <c r="K1761" s="8">
        <v>20.0</v>
      </c>
      <c r="N1761" s="7">
        <v>45441.0</v>
      </c>
    </row>
    <row r="1762">
      <c r="A1762" s="8">
        <v>1761.0</v>
      </c>
      <c r="B1762" s="8" t="s">
        <v>3073</v>
      </c>
      <c r="C1762" s="8" t="s">
        <v>21</v>
      </c>
      <c r="K1762" s="8">
        <v>200.0</v>
      </c>
      <c r="N1762" s="7">
        <v>45154.0</v>
      </c>
    </row>
    <row r="1763">
      <c r="A1763" s="8">
        <v>1762.0</v>
      </c>
      <c r="B1763" s="8" t="s">
        <v>3074</v>
      </c>
      <c r="C1763" s="8" t="s">
        <v>21</v>
      </c>
      <c r="K1763" s="8">
        <v>30.0</v>
      </c>
      <c r="N1763" s="7">
        <v>45201.0</v>
      </c>
    </row>
    <row r="1764">
      <c r="A1764" s="8">
        <v>1763.0</v>
      </c>
      <c r="B1764" s="8" t="s">
        <v>3076</v>
      </c>
      <c r="C1764" s="8" t="s">
        <v>21</v>
      </c>
      <c r="N1764" s="7">
        <v>44974.0</v>
      </c>
    </row>
    <row r="1765">
      <c r="A1765" s="8">
        <v>1764.0</v>
      </c>
      <c r="B1765" s="8" t="s">
        <v>3077</v>
      </c>
      <c r="C1765" s="8" t="s">
        <v>21</v>
      </c>
      <c r="K1765" s="8">
        <v>100.0</v>
      </c>
      <c r="N1765" s="7">
        <v>44770.0</v>
      </c>
    </row>
    <row r="1766">
      <c r="A1766" s="8">
        <v>1765.0</v>
      </c>
      <c r="B1766" s="8" t="s">
        <v>3078</v>
      </c>
      <c r="C1766" s="8" t="s">
        <v>21</v>
      </c>
      <c r="K1766" s="8">
        <v>40.0</v>
      </c>
      <c r="N1766" s="7">
        <v>44694.0</v>
      </c>
    </row>
    <row r="1767">
      <c r="A1767" s="8">
        <v>1766.0</v>
      </c>
      <c r="B1767" s="8" t="s">
        <v>3079</v>
      </c>
      <c r="C1767" s="8" t="s">
        <v>21</v>
      </c>
      <c r="K1767" s="8">
        <v>2600.0</v>
      </c>
      <c r="N1767" s="7">
        <v>43868.0</v>
      </c>
    </row>
    <row r="1768">
      <c r="A1768" s="8">
        <v>1767.0</v>
      </c>
      <c r="B1768" s="8" t="s">
        <v>3081</v>
      </c>
      <c r="C1768" s="8" t="s">
        <v>21</v>
      </c>
      <c r="K1768" s="8">
        <v>20.0</v>
      </c>
      <c r="N1768" s="7">
        <v>44859.0</v>
      </c>
    </row>
    <row r="1769">
      <c r="A1769" s="8">
        <v>1768.0</v>
      </c>
      <c r="B1769" s="8" t="s">
        <v>3083</v>
      </c>
      <c r="C1769" s="8" t="s">
        <v>21</v>
      </c>
      <c r="K1769" s="8">
        <v>1600.0</v>
      </c>
      <c r="N1769" s="7">
        <v>44657.0</v>
      </c>
    </row>
    <row r="1770">
      <c r="A1770" s="8">
        <v>1769.0</v>
      </c>
      <c r="B1770" s="8" t="s">
        <v>3084</v>
      </c>
      <c r="C1770" s="8" t="s">
        <v>21</v>
      </c>
      <c r="K1770" s="8">
        <v>20.0</v>
      </c>
      <c r="N1770" s="7">
        <v>44884.0</v>
      </c>
    </row>
    <row r="1771">
      <c r="A1771" s="8">
        <v>1770.0</v>
      </c>
      <c r="B1771" s="8" t="s">
        <v>3085</v>
      </c>
      <c r="C1771" s="8" t="s">
        <v>21</v>
      </c>
      <c r="K1771" s="8">
        <v>1500.0</v>
      </c>
      <c r="N1771" s="7">
        <v>44018.0</v>
      </c>
    </row>
    <row r="1772">
      <c r="A1772" s="8">
        <v>1771.0</v>
      </c>
      <c r="B1772" s="8" t="s">
        <v>3087</v>
      </c>
      <c r="C1772" s="8" t="s">
        <v>21</v>
      </c>
      <c r="K1772" s="8">
        <v>150.0</v>
      </c>
      <c r="N1772" s="7">
        <v>44482.0</v>
      </c>
    </row>
    <row r="1773">
      <c r="A1773" s="8">
        <v>1772.0</v>
      </c>
      <c r="B1773" s="8" t="s">
        <v>3088</v>
      </c>
      <c r="C1773" s="8" t="s">
        <v>21</v>
      </c>
      <c r="K1773" s="8">
        <v>87000.0</v>
      </c>
      <c r="N1773" s="7">
        <v>44543.0</v>
      </c>
    </row>
    <row r="1774">
      <c r="A1774" s="8">
        <v>1773.0</v>
      </c>
      <c r="B1774" s="8" t="s">
        <v>3089</v>
      </c>
      <c r="C1774" s="8" t="s">
        <v>21</v>
      </c>
      <c r="K1774" s="8">
        <v>20.0</v>
      </c>
      <c r="N1774" s="7">
        <v>44596.0</v>
      </c>
    </row>
    <row r="1775">
      <c r="A1775" s="8">
        <v>1774.0</v>
      </c>
      <c r="B1775" s="8" t="s">
        <v>3090</v>
      </c>
      <c r="C1775" s="8" t="s">
        <v>21</v>
      </c>
      <c r="K1775" s="8">
        <v>30.0</v>
      </c>
      <c r="N1775" s="7">
        <v>45116.0</v>
      </c>
    </row>
    <row r="1776">
      <c r="A1776" s="8">
        <v>1775.0</v>
      </c>
      <c r="B1776" s="8" t="s">
        <v>3092</v>
      </c>
      <c r="C1776" s="8" t="s">
        <v>21</v>
      </c>
      <c r="N1776" s="7">
        <v>43981.0</v>
      </c>
    </row>
    <row r="1777">
      <c r="A1777" s="8">
        <v>1776.0</v>
      </c>
      <c r="B1777" s="8" t="s">
        <v>3093</v>
      </c>
      <c r="C1777" s="8" t="s">
        <v>21</v>
      </c>
      <c r="K1777" s="8">
        <v>150.0</v>
      </c>
      <c r="N1777" s="7">
        <v>44063.0</v>
      </c>
    </row>
    <row r="1778">
      <c r="A1778" s="8">
        <v>1777.0</v>
      </c>
      <c r="B1778" s="8" t="s">
        <v>3094</v>
      </c>
      <c r="C1778" s="8" t="s">
        <v>21</v>
      </c>
      <c r="K1778" s="8">
        <v>10.0</v>
      </c>
      <c r="N1778" s="7">
        <v>43849.0</v>
      </c>
    </row>
    <row r="1779">
      <c r="A1779" s="8">
        <v>1778.0</v>
      </c>
      <c r="B1779" s="8" t="s">
        <v>3095</v>
      </c>
      <c r="C1779" s="8" t="s">
        <v>21</v>
      </c>
      <c r="K1779" s="8">
        <v>300.0</v>
      </c>
      <c r="N1779" s="7">
        <v>45086.0</v>
      </c>
    </row>
    <row r="1780">
      <c r="A1780" s="8">
        <v>1779.0</v>
      </c>
      <c r="B1780" s="8" t="s">
        <v>3098</v>
      </c>
      <c r="C1780" s="8" t="s">
        <v>21</v>
      </c>
      <c r="K1780" s="8">
        <v>2800.0</v>
      </c>
      <c r="N1780" s="7">
        <v>45144.0</v>
      </c>
    </row>
    <row r="1781">
      <c r="A1781" s="8">
        <v>1780.0</v>
      </c>
      <c r="B1781" s="8" t="s">
        <v>3099</v>
      </c>
      <c r="C1781" s="8" t="s">
        <v>21</v>
      </c>
      <c r="K1781" s="8">
        <v>4200.0</v>
      </c>
      <c r="N1781" s="7">
        <v>44519.0</v>
      </c>
    </row>
    <row r="1782">
      <c r="A1782" s="8">
        <v>1781.0</v>
      </c>
      <c r="B1782" s="8" t="s">
        <v>3100</v>
      </c>
      <c r="C1782" s="8" t="s">
        <v>21</v>
      </c>
      <c r="K1782" s="8">
        <v>200.0</v>
      </c>
      <c r="N1782" s="7">
        <v>43014.0</v>
      </c>
    </row>
    <row r="1783">
      <c r="A1783" s="8">
        <v>1782.0</v>
      </c>
      <c r="B1783" s="8" t="s">
        <v>3101</v>
      </c>
      <c r="C1783" s="8" t="s">
        <v>21</v>
      </c>
      <c r="N1783" s="7">
        <v>44805.0</v>
      </c>
    </row>
    <row r="1784">
      <c r="A1784" s="8">
        <v>1783.0</v>
      </c>
      <c r="B1784" s="8" t="s">
        <v>3103</v>
      </c>
      <c r="C1784" s="8" t="s">
        <v>21</v>
      </c>
      <c r="K1784" s="8">
        <v>150.0</v>
      </c>
      <c r="N1784" s="7">
        <v>44812.0</v>
      </c>
    </row>
    <row r="1785">
      <c r="A1785" s="8">
        <v>1784.0</v>
      </c>
      <c r="B1785" s="8" t="s">
        <v>3105</v>
      </c>
      <c r="C1785" s="8" t="s">
        <v>21</v>
      </c>
      <c r="K1785" s="8">
        <v>150.0</v>
      </c>
      <c r="N1785" s="7">
        <v>45122.0</v>
      </c>
    </row>
    <row r="1786">
      <c r="A1786" s="8">
        <v>1785.0</v>
      </c>
      <c r="B1786" s="8" t="s">
        <v>3106</v>
      </c>
      <c r="C1786" s="8" t="s">
        <v>21</v>
      </c>
      <c r="K1786" s="8">
        <v>800.0</v>
      </c>
      <c r="N1786" s="7">
        <v>44613.0</v>
      </c>
    </row>
    <row r="1787">
      <c r="A1787" s="8">
        <v>1786.0</v>
      </c>
      <c r="B1787" s="8" t="s">
        <v>3108</v>
      </c>
      <c r="C1787" s="8" t="s">
        <v>21</v>
      </c>
      <c r="K1787" s="8">
        <v>700.0</v>
      </c>
      <c r="N1787" s="7">
        <v>44266.0</v>
      </c>
    </row>
    <row r="1788">
      <c r="A1788" s="8">
        <v>1787.0</v>
      </c>
      <c r="B1788" s="8" t="s">
        <v>3109</v>
      </c>
      <c r="C1788" s="8" t="s">
        <v>21</v>
      </c>
      <c r="K1788" s="8">
        <v>10.0</v>
      </c>
      <c r="N1788" s="7">
        <v>44661.0</v>
      </c>
    </row>
    <row r="1789">
      <c r="A1789" s="8">
        <v>1788.0</v>
      </c>
      <c r="B1789" s="8" t="s">
        <v>3110</v>
      </c>
      <c r="C1789" s="8" t="s">
        <v>21</v>
      </c>
      <c r="K1789" s="8">
        <v>10.0</v>
      </c>
      <c r="N1789" s="7">
        <v>44616.0</v>
      </c>
    </row>
    <row r="1790">
      <c r="A1790" s="8">
        <v>1789.0</v>
      </c>
      <c r="B1790" s="8" t="s">
        <v>3111</v>
      </c>
      <c r="C1790" s="8" t="s">
        <v>21</v>
      </c>
      <c r="K1790" s="8">
        <v>4100.0</v>
      </c>
      <c r="N1790" s="7">
        <v>44846.0</v>
      </c>
    </row>
    <row r="1791">
      <c r="A1791" s="8">
        <v>1790.0</v>
      </c>
      <c r="B1791" s="8" t="s">
        <v>3113</v>
      </c>
      <c r="C1791" s="8" t="s">
        <v>21</v>
      </c>
      <c r="K1791" s="8">
        <v>4200.0</v>
      </c>
      <c r="N1791" s="7">
        <v>44168.0</v>
      </c>
    </row>
    <row r="1792">
      <c r="A1792" s="8">
        <v>1791.0</v>
      </c>
      <c r="B1792" s="8" t="s">
        <v>3114</v>
      </c>
      <c r="C1792" s="8" t="s">
        <v>21</v>
      </c>
      <c r="K1792" s="8">
        <v>600.0</v>
      </c>
      <c r="N1792" s="7">
        <v>43967.0</v>
      </c>
    </row>
    <row r="1793">
      <c r="A1793" s="8">
        <v>1792.0</v>
      </c>
      <c r="B1793" s="8" t="s">
        <v>3115</v>
      </c>
      <c r="C1793" s="8" t="s">
        <v>21</v>
      </c>
      <c r="K1793" s="8">
        <v>50.0</v>
      </c>
      <c r="N1793" s="7">
        <v>44193.0</v>
      </c>
    </row>
    <row r="1794">
      <c r="A1794" s="8">
        <v>1793.0</v>
      </c>
      <c r="B1794" s="8" t="s">
        <v>3117</v>
      </c>
      <c r="C1794" s="8" t="s">
        <v>21</v>
      </c>
      <c r="K1794" s="8">
        <v>500.0</v>
      </c>
      <c r="N1794" s="7">
        <v>45453.0</v>
      </c>
    </row>
    <row r="1795">
      <c r="A1795" s="8">
        <v>1794.0</v>
      </c>
      <c r="B1795" s="8" t="s">
        <v>3118</v>
      </c>
      <c r="C1795" s="8" t="s">
        <v>21</v>
      </c>
      <c r="K1795" s="8">
        <v>100.0</v>
      </c>
      <c r="N1795" s="7">
        <v>44508.0</v>
      </c>
    </row>
    <row r="1796">
      <c r="A1796" s="8">
        <v>1795.0</v>
      </c>
      <c r="B1796" s="8" t="s">
        <v>3119</v>
      </c>
      <c r="C1796" s="8" t="s">
        <v>21</v>
      </c>
      <c r="K1796" s="8">
        <v>20.0</v>
      </c>
      <c r="N1796" s="7">
        <v>45873.0</v>
      </c>
    </row>
    <row r="1797">
      <c r="A1797" s="8">
        <v>1796.0</v>
      </c>
      <c r="B1797" s="8" t="s">
        <v>3120</v>
      </c>
      <c r="C1797" s="8" t="s">
        <v>21</v>
      </c>
      <c r="K1797" s="8">
        <v>30.0</v>
      </c>
      <c r="N1797" s="7">
        <v>45192.0</v>
      </c>
    </row>
    <row r="1798">
      <c r="A1798" s="8">
        <v>1797.0</v>
      </c>
      <c r="B1798" s="8" t="s">
        <v>3122</v>
      </c>
      <c r="C1798" s="8" t="s">
        <v>21</v>
      </c>
      <c r="K1798" s="8">
        <v>450.0</v>
      </c>
      <c r="N1798" s="7">
        <v>44542.0</v>
      </c>
    </row>
    <row r="1799">
      <c r="A1799" s="8">
        <v>1798.0</v>
      </c>
      <c r="B1799" s="8" t="s">
        <v>3123</v>
      </c>
      <c r="C1799" s="8" t="s">
        <v>21</v>
      </c>
      <c r="K1799" s="8">
        <v>10.0</v>
      </c>
      <c r="N1799" s="7">
        <v>45554.0</v>
      </c>
    </row>
    <row r="1800">
      <c r="A1800" s="8">
        <v>1799.0</v>
      </c>
      <c r="B1800" s="8" t="s">
        <v>3124</v>
      </c>
      <c r="C1800" s="8" t="s">
        <v>21</v>
      </c>
      <c r="K1800" s="8">
        <v>150.0</v>
      </c>
      <c r="N1800" s="7">
        <v>44945.0</v>
      </c>
    </row>
    <row r="1801">
      <c r="A1801" s="8">
        <v>1800.0</v>
      </c>
      <c r="B1801" s="8" t="s">
        <v>3126</v>
      </c>
      <c r="C1801" s="8" t="s">
        <v>21</v>
      </c>
      <c r="K1801" s="8">
        <v>20.0</v>
      </c>
      <c r="N1801" s="7">
        <v>44684.0</v>
      </c>
    </row>
    <row r="1802">
      <c r="A1802" s="8">
        <v>1801.0</v>
      </c>
      <c r="B1802" s="8" t="s">
        <v>3127</v>
      </c>
      <c r="C1802" s="8" t="s">
        <v>21</v>
      </c>
      <c r="N1802" s="7">
        <v>44920.0</v>
      </c>
    </row>
    <row r="1803">
      <c r="A1803" s="8">
        <v>1802.0</v>
      </c>
      <c r="B1803" s="8" t="s">
        <v>3128</v>
      </c>
      <c r="C1803" s="8" t="s">
        <v>21</v>
      </c>
      <c r="K1803" s="8">
        <v>100.0</v>
      </c>
      <c r="N1803" s="7">
        <v>44899.0</v>
      </c>
    </row>
    <row r="1804">
      <c r="A1804" s="8">
        <v>1803.0</v>
      </c>
      <c r="B1804" s="8" t="s">
        <v>3129</v>
      </c>
      <c r="C1804" s="8" t="s">
        <v>21</v>
      </c>
      <c r="K1804" s="8">
        <v>200.0</v>
      </c>
      <c r="N1804" s="7">
        <v>45859.0</v>
      </c>
    </row>
    <row r="1805">
      <c r="A1805" s="8">
        <v>1804.0</v>
      </c>
      <c r="B1805" s="8" t="s">
        <v>3131</v>
      </c>
      <c r="C1805" s="8" t="s">
        <v>21</v>
      </c>
      <c r="N1805" s="7">
        <v>44292.0</v>
      </c>
    </row>
    <row r="1806">
      <c r="A1806" s="8">
        <v>1805.0</v>
      </c>
      <c r="B1806" s="8" t="s">
        <v>3132</v>
      </c>
      <c r="C1806" s="8" t="s">
        <v>21</v>
      </c>
      <c r="N1806" s="7">
        <v>44567.0</v>
      </c>
    </row>
    <row r="1807">
      <c r="A1807" s="8">
        <v>1806.0</v>
      </c>
      <c r="B1807" s="8" t="s">
        <v>3133</v>
      </c>
      <c r="C1807" s="8" t="s">
        <v>21</v>
      </c>
      <c r="K1807" s="8">
        <v>60.0</v>
      </c>
      <c r="N1807" s="7">
        <v>44490.0</v>
      </c>
    </row>
    <row r="1808">
      <c r="A1808" s="8">
        <v>1807.0</v>
      </c>
      <c r="B1808" s="8" t="s">
        <v>3135</v>
      </c>
      <c r="C1808" s="8" t="s">
        <v>21</v>
      </c>
      <c r="K1808" s="8">
        <v>250.0</v>
      </c>
      <c r="N1808" s="7">
        <v>44274.0</v>
      </c>
    </row>
    <row r="1809">
      <c r="A1809" s="8">
        <v>1808.0</v>
      </c>
      <c r="B1809" s="8" t="s">
        <v>3137</v>
      </c>
      <c r="C1809" s="8" t="s">
        <v>21</v>
      </c>
      <c r="K1809" s="8">
        <v>1500.0</v>
      </c>
      <c r="N1809" s="7">
        <v>44530.0</v>
      </c>
    </row>
    <row r="1810">
      <c r="A1810" s="8">
        <v>1809.0</v>
      </c>
      <c r="B1810" s="8" t="s">
        <v>3138</v>
      </c>
      <c r="C1810" s="8" t="s">
        <v>21</v>
      </c>
      <c r="K1810" s="8">
        <v>150.0</v>
      </c>
      <c r="N1810" s="7">
        <v>44393.0</v>
      </c>
    </row>
    <row r="1811">
      <c r="A1811" s="8">
        <v>1810.0</v>
      </c>
      <c r="B1811" s="8" t="s">
        <v>3139</v>
      </c>
      <c r="C1811" s="8" t="s">
        <v>21</v>
      </c>
      <c r="K1811" s="8">
        <v>2100.0</v>
      </c>
      <c r="N1811" s="7">
        <v>44345.0</v>
      </c>
    </row>
    <row r="1812">
      <c r="A1812" s="8">
        <v>1811.0</v>
      </c>
      <c r="B1812" s="8" t="s">
        <v>3141</v>
      </c>
      <c r="C1812" s="8" t="s">
        <v>21</v>
      </c>
      <c r="K1812" s="8">
        <v>5600.0</v>
      </c>
      <c r="N1812" s="7">
        <v>43888.0</v>
      </c>
    </row>
    <row r="1813">
      <c r="A1813" s="8">
        <v>1812.0</v>
      </c>
      <c r="B1813" s="8" t="s">
        <v>3142</v>
      </c>
      <c r="C1813" s="8" t="s">
        <v>21</v>
      </c>
      <c r="K1813" s="8">
        <v>10.0</v>
      </c>
      <c r="N1813" s="7">
        <v>45277.0</v>
      </c>
    </row>
    <row r="1814">
      <c r="A1814" s="8">
        <v>1813.0</v>
      </c>
      <c r="B1814" s="8" t="s">
        <v>3143</v>
      </c>
      <c r="C1814" s="8" t="s">
        <v>21</v>
      </c>
      <c r="K1814" s="8">
        <v>20.0</v>
      </c>
      <c r="N1814" s="7">
        <v>44725.0</v>
      </c>
    </row>
    <row r="1815">
      <c r="A1815" s="8">
        <v>1814.0</v>
      </c>
      <c r="B1815" s="8" t="s">
        <v>3144</v>
      </c>
      <c r="C1815" s="8" t="s">
        <v>21</v>
      </c>
      <c r="K1815" s="8">
        <v>1900.0</v>
      </c>
      <c r="N1815" s="7">
        <v>43860.0</v>
      </c>
    </row>
    <row r="1816">
      <c r="A1816" s="8">
        <v>1815.0</v>
      </c>
      <c r="B1816" s="8" t="s">
        <v>3146</v>
      </c>
      <c r="C1816" s="8" t="s">
        <v>21</v>
      </c>
      <c r="K1816" s="8">
        <v>3400.0</v>
      </c>
      <c r="N1816" s="7">
        <v>44786.0</v>
      </c>
    </row>
    <row r="1817">
      <c r="A1817" s="8">
        <v>1816.0</v>
      </c>
      <c r="B1817" s="8" t="s">
        <v>3147</v>
      </c>
      <c r="C1817" s="8" t="s">
        <v>21</v>
      </c>
      <c r="K1817" s="8">
        <v>4800.0</v>
      </c>
      <c r="N1817" s="7">
        <v>44023.0</v>
      </c>
    </row>
    <row r="1818">
      <c r="A1818" s="8">
        <v>1817.0</v>
      </c>
      <c r="B1818" s="8" t="s">
        <v>3148</v>
      </c>
      <c r="C1818" s="8" t="s">
        <v>21</v>
      </c>
      <c r="K1818" s="8">
        <v>200.0</v>
      </c>
      <c r="N1818" s="7">
        <v>45516.0</v>
      </c>
    </row>
    <row r="1819">
      <c r="A1819" s="8">
        <v>1818.0</v>
      </c>
      <c r="B1819" s="8" t="s">
        <v>3149</v>
      </c>
      <c r="C1819" s="8" t="s">
        <v>21</v>
      </c>
      <c r="N1819" s="7">
        <v>45100.0</v>
      </c>
    </row>
    <row r="1820">
      <c r="A1820" s="8">
        <v>1819.0</v>
      </c>
      <c r="B1820" s="8" t="s">
        <v>3150</v>
      </c>
      <c r="C1820" s="8" t="s">
        <v>21</v>
      </c>
      <c r="K1820" s="8">
        <v>60.0</v>
      </c>
      <c r="N1820" s="7">
        <v>44568.0</v>
      </c>
    </row>
    <row r="1821">
      <c r="A1821" s="8">
        <v>1820.0</v>
      </c>
      <c r="B1821" s="8" t="s">
        <v>3152</v>
      </c>
      <c r="C1821" s="8" t="s">
        <v>21</v>
      </c>
      <c r="K1821" s="8">
        <v>40.0</v>
      </c>
      <c r="N1821" s="7">
        <v>44215.0</v>
      </c>
    </row>
    <row r="1822">
      <c r="A1822" s="8">
        <v>1821.0</v>
      </c>
      <c r="B1822" s="8" t="s">
        <v>3153</v>
      </c>
      <c r="C1822" s="8" t="s">
        <v>21</v>
      </c>
      <c r="K1822" s="8">
        <v>350.0</v>
      </c>
      <c r="N1822" s="7">
        <v>43900.0</v>
      </c>
    </row>
    <row r="1823">
      <c r="A1823" s="8">
        <v>1822.0</v>
      </c>
      <c r="B1823" s="8" t="s">
        <v>3155</v>
      </c>
      <c r="C1823" s="8" t="s">
        <v>21</v>
      </c>
      <c r="K1823" s="8">
        <v>4800.0</v>
      </c>
      <c r="N1823" s="7">
        <v>45502.0</v>
      </c>
    </row>
    <row r="1824">
      <c r="A1824" s="8">
        <v>1823.0</v>
      </c>
      <c r="B1824" s="8" t="s">
        <v>3157</v>
      </c>
      <c r="C1824" s="8" t="s">
        <v>21</v>
      </c>
      <c r="N1824" s="7">
        <v>44377.0</v>
      </c>
    </row>
    <row r="1825">
      <c r="A1825" s="8">
        <v>1824.0</v>
      </c>
      <c r="B1825" s="8" t="s">
        <v>3158</v>
      </c>
      <c r="C1825" s="8" t="s">
        <v>21</v>
      </c>
      <c r="K1825" s="8">
        <v>100.0</v>
      </c>
      <c r="N1825" s="7">
        <v>44527.0</v>
      </c>
    </row>
    <row r="1826">
      <c r="A1826" s="8">
        <v>1825.0</v>
      </c>
      <c r="B1826" s="8" t="s">
        <v>3160</v>
      </c>
      <c r="C1826" s="8" t="s">
        <v>21</v>
      </c>
      <c r="K1826" s="8">
        <v>40.0</v>
      </c>
      <c r="N1826" s="7">
        <v>43978.0</v>
      </c>
    </row>
    <row r="1827">
      <c r="A1827" s="8">
        <v>1826.0</v>
      </c>
      <c r="B1827" s="8" t="s">
        <v>3161</v>
      </c>
      <c r="C1827" s="8" t="s">
        <v>21</v>
      </c>
      <c r="K1827" s="8">
        <v>300.0</v>
      </c>
      <c r="N1827" s="7">
        <v>44452.0</v>
      </c>
      <c r="O1827" s="8" t="s">
        <v>147</v>
      </c>
      <c r="P1827" s="8" t="s">
        <v>28</v>
      </c>
      <c r="S1827" s="8" t="s">
        <v>32</v>
      </c>
    </row>
    <row r="1828">
      <c r="A1828" s="8">
        <v>1827.0</v>
      </c>
      <c r="B1828" s="8" t="s">
        <v>3163</v>
      </c>
      <c r="C1828" s="8" t="s">
        <v>21</v>
      </c>
      <c r="K1828" s="8">
        <v>300.0</v>
      </c>
      <c r="N1828" s="7">
        <v>44478.0</v>
      </c>
    </row>
    <row r="1829">
      <c r="A1829" s="8">
        <v>1828.0</v>
      </c>
      <c r="B1829" s="8" t="s">
        <v>3164</v>
      </c>
      <c r="C1829" s="8" t="s">
        <v>21</v>
      </c>
      <c r="N1829" s="7">
        <v>44538.0</v>
      </c>
    </row>
    <row r="1830">
      <c r="A1830" s="8">
        <v>1829.0</v>
      </c>
      <c r="B1830" s="8" t="s">
        <v>3166</v>
      </c>
      <c r="C1830" s="8" t="s">
        <v>21</v>
      </c>
      <c r="K1830" s="8">
        <v>150.0</v>
      </c>
      <c r="N1830" s="7">
        <v>44975.0</v>
      </c>
    </row>
    <row r="1831">
      <c r="A1831" s="8">
        <v>1830.0</v>
      </c>
      <c r="B1831" s="8" t="s">
        <v>3167</v>
      </c>
      <c r="C1831" s="8" t="s">
        <v>21</v>
      </c>
      <c r="N1831" s="7">
        <v>45993.0</v>
      </c>
    </row>
    <row r="1832">
      <c r="A1832" s="8">
        <v>1831.0</v>
      </c>
      <c r="B1832" s="8" t="s">
        <v>3169</v>
      </c>
      <c r="C1832" s="8" t="s">
        <v>21</v>
      </c>
      <c r="K1832" s="8">
        <v>10.0</v>
      </c>
      <c r="N1832" s="7">
        <v>44204.0</v>
      </c>
    </row>
    <row r="1833">
      <c r="A1833" s="8">
        <v>1832.0</v>
      </c>
      <c r="B1833" s="8" t="s">
        <v>3170</v>
      </c>
      <c r="C1833" s="8" t="s">
        <v>21</v>
      </c>
      <c r="K1833" s="8">
        <v>40.0</v>
      </c>
      <c r="N1833" s="7">
        <v>44979.0</v>
      </c>
    </row>
    <row r="1834">
      <c r="A1834" s="8">
        <v>1833.0</v>
      </c>
      <c r="B1834" s="8" t="s">
        <v>3171</v>
      </c>
      <c r="C1834" s="8" t="s">
        <v>21</v>
      </c>
      <c r="K1834" s="8">
        <v>2100.0</v>
      </c>
      <c r="N1834" s="7">
        <v>45116.0</v>
      </c>
    </row>
    <row r="1835">
      <c r="A1835" s="8">
        <v>1834.0</v>
      </c>
      <c r="B1835" s="8" t="s">
        <v>3173</v>
      </c>
      <c r="C1835" s="8" t="s">
        <v>21</v>
      </c>
      <c r="K1835" s="8">
        <v>700.0</v>
      </c>
      <c r="N1835" s="7">
        <v>44738.0</v>
      </c>
    </row>
    <row r="1836">
      <c r="A1836" s="8">
        <v>1835.0</v>
      </c>
      <c r="B1836" s="8" t="s">
        <v>3175</v>
      </c>
      <c r="C1836" s="8" t="s">
        <v>21</v>
      </c>
      <c r="K1836" s="8">
        <v>20.0</v>
      </c>
      <c r="N1836" s="7">
        <v>44780.0</v>
      </c>
    </row>
    <row r="1837">
      <c r="A1837" s="8">
        <v>1836.0</v>
      </c>
      <c r="B1837" s="8" t="s">
        <v>3177</v>
      </c>
      <c r="C1837" s="8" t="s">
        <v>21</v>
      </c>
      <c r="K1837" s="8">
        <v>1200.0</v>
      </c>
      <c r="N1837" s="7">
        <v>44225.0</v>
      </c>
    </row>
    <row r="1838">
      <c r="A1838" s="8">
        <v>1837.0</v>
      </c>
      <c r="B1838" s="8" t="s">
        <v>3178</v>
      </c>
      <c r="C1838" s="8" t="s">
        <v>21</v>
      </c>
      <c r="K1838" s="8">
        <v>50.0</v>
      </c>
      <c r="N1838" s="7">
        <v>44116.0</v>
      </c>
    </row>
    <row r="1839">
      <c r="A1839" s="8">
        <v>1838.0</v>
      </c>
      <c r="B1839" s="8" t="s">
        <v>3180</v>
      </c>
      <c r="C1839" s="8" t="s">
        <v>21</v>
      </c>
      <c r="K1839" s="8">
        <v>40.0</v>
      </c>
      <c r="N1839" s="7">
        <v>44314.0</v>
      </c>
    </row>
    <row r="1840">
      <c r="A1840" s="8">
        <v>1839.0</v>
      </c>
      <c r="B1840" s="8" t="s">
        <v>3181</v>
      </c>
      <c r="C1840" s="8" t="s">
        <v>21</v>
      </c>
      <c r="K1840" s="8">
        <v>600.0</v>
      </c>
      <c r="N1840" s="7">
        <v>45390.0</v>
      </c>
    </row>
    <row r="1841">
      <c r="A1841" s="8">
        <v>1840.0</v>
      </c>
      <c r="B1841" s="8" t="s">
        <v>3182</v>
      </c>
      <c r="C1841" s="8" t="s">
        <v>21</v>
      </c>
      <c r="K1841" s="8">
        <v>300.0</v>
      </c>
      <c r="N1841" s="7">
        <v>44333.0</v>
      </c>
    </row>
    <row r="1842">
      <c r="A1842" s="8">
        <v>1841.0</v>
      </c>
      <c r="B1842" s="8" t="s">
        <v>3184</v>
      </c>
      <c r="C1842" s="8" t="s">
        <v>21</v>
      </c>
      <c r="K1842" s="8">
        <v>10.0</v>
      </c>
      <c r="N1842" s="7">
        <v>44768.0</v>
      </c>
    </row>
    <row r="1843">
      <c r="A1843" s="8">
        <v>1842.0</v>
      </c>
      <c r="B1843" s="8" t="s">
        <v>3185</v>
      </c>
      <c r="C1843" s="8" t="s">
        <v>21</v>
      </c>
      <c r="K1843" s="8">
        <v>20.0</v>
      </c>
      <c r="N1843" s="7">
        <v>43892.0</v>
      </c>
    </row>
    <row r="1844">
      <c r="A1844" s="8">
        <v>1843.0</v>
      </c>
      <c r="B1844" s="8" t="s">
        <v>3186</v>
      </c>
      <c r="C1844" s="8" t="s">
        <v>21</v>
      </c>
      <c r="N1844" s="7">
        <v>44042.0</v>
      </c>
    </row>
    <row r="1845">
      <c r="A1845" s="8">
        <v>1844.0</v>
      </c>
      <c r="B1845" s="8" t="s">
        <v>3188</v>
      </c>
      <c r="C1845" s="8" t="s">
        <v>21</v>
      </c>
      <c r="N1845" s="7">
        <v>45531.0</v>
      </c>
    </row>
    <row r="1846">
      <c r="A1846" s="8">
        <v>1845.0</v>
      </c>
      <c r="B1846" s="8" t="s">
        <v>3189</v>
      </c>
      <c r="C1846" s="8" t="s">
        <v>21</v>
      </c>
      <c r="N1846" s="7">
        <v>44475.0</v>
      </c>
    </row>
    <row r="1847">
      <c r="A1847" s="8">
        <v>1846.0</v>
      </c>
      <c r="B1847" s="8" t="s">
        <v>3190</v>
      </c>
      <c r="C1847" s="8" t="s">
        <v>21</v>
      </c>
      <c r="K1847" s="8">
        <v>60.0</v>
      </c>
      <c r="N1847" s="7">
        <v>43869.0</v>
      </c>
    </row>
    <row r="1848">
      <c r="A1848" s="8">
        <v>1847.0</v>
      </c>
      <c r="B1848" s="8" t="s">
        <v>3192</v>
      </c>
      <c r="C1848" s="8" t="s">
        <v>21</v>
      </c>
      <c r="K1848" s="8">
        <v>400.0</v>
      </c>
      <c r="N1848" s="7">
        <v>45084.0</v>
      </c>
    </row>
    <row r="1849">
      <c r="A1849" s="8">
        <v>1848.0</v>
      </c>
      <c r="B1849" s="8" t="s">
        <v>3193</v>
      </c>
      <c r="C1849" s="8" t="s">
        <v>21</v>
      </c>
      <c r="K1849" s="8">
        <v>250.0</v>
      </c>
      <c r="N1849" s="7">
        <v>44088.0</v>
      </c>
    </row>
    <row r="1850">
      <c r="A1850" s="8">
        <v>1849.0</v>
      </c>
      <c r="B1850" s="8" t="s">
        <v>3194</v>
      </c>
      <c r="C1850" s="8" t="s">
        <v>21</v>
      </c>
      <c r="K1850" s="8">
        <v>1800.0</v>
      </c>
      <c r="N1850" s="7">
        <v>44596.0</v>
      </c>
    </row>
    <row r="1851">
      <c r="A1851" s="8">
        <v>1850.0</v>
      </c>
      <c r="B1851" s="8" t="s">
        <v>3196</v>
      </c>
      <c r="C1851" s="8" t="s">
        <v>21</v>
      </c>
      <c r="N1851" s="7">
        <v>44631.0</v>
      </c>
    </row>
    <row r="1852">
      <c r="A1852" s="8">
        <v>1851.0</v>
      </c>
      <c r="B1852" s="8" t="s">
        <v>3197</v>
      </c>
      <c r="C1852" s="8" t="s">
        <v>21</v>
      </c>
      <c r="N1852" s="7">
        <v>44375.0</v>
      </c>
    </row>
    <row r="1853">
      <c r="A1853" s="8">
        <v>1852.0</v>
      </c>
      <c r="B1853" s="8" t="s">
        <v>3199</v>
      </c>
      <c r="C1853" s="8" t="s">
        <v>21</v>
      </c>
      <c r="K1853" s="8">
        <v>20.0</v>
      </c>
      <c r="N1853" s="7">
        <v>44264.0</v>
      </c>
    </row>
    <row r="1854">
      <c r="A1854" s="8">
        <v>1853.0</v>
      </c>
      <c r="B1854" s="8" t="s">
        <v>3200</v>
      </c>
      <c r="C1854" s="8" t="s">
        <v>21</v>
      </c>
      <c r="K1854" s="8">
        <v>1700.0</v>
      </c>
      <c r="N1854" s="7">
        <v>44489.0</v>
      </c>
    </row>
    <row r="1855">
      <c r="A1855" s="8">
        <v>1854.0</v>
      </c>
      <c r="B1855" s="8" t="s">
        <v>3201</v>
      </c>
      <c r="C1855" s="8" t="s">
        <v>21</v>
      </c>
      <c r="N1855" s="7">
        <v>45622.0</v>
      </c>
    </row>
    <row r="1856">
      <c r="A1856" s="8">
        <v>1855.0</v>
      </c>
      <c r="B1856" s="8" t="s">
        <v>3203</v>
      </c>
      <c r="C1856" s="8" t="s">
        <v>21</v>
      </c>
      <c r="N1856" s="7">
        <v>45004.0</v>
      </c>
    </row>
    <row r="1857">
      <c r="A1857" s="8">
        <v>1856.0</v>
      </c>
      <c r="B1857" s="8" t="s">
        <v>3204</v>
      </c>
      <c r="C1857" s="8" t="s">
        <v>21</v>
      </c>
      <c r="K1857" s="8">
        <v>10.0</v>
      </c>
      <c r="N1857" s="7">
        <v>43915.0</v>
      </c>
    </row>
    <row r="1858">
      <c r="A1858" s="8">
        <v>1857.0</v>
      </c>
      <c r="B1858" s="8" t="s">
        <v>3205</v>
      </c>
      <c r="C1858" s="8" t="s">
        <v>21</v>
      </c>
      <c r="N1858" s="7">
        <v>44463.0</v>
      </c>
    </row>
    <row r="1859">
      <c r="A1859" s="8">
        <v>1858.0</v>
      </c>
      <c r="B1859" s="8" t="s">
        <v>3207</v>
      </c>
      <c r="C1859" s="8" t="s">
        <v>21</v>
      </c>
      <c r="K1859" s="8">
        <v>70.0</v>
      </c>
      <c r="N1859" s="7">
        <v>44194.0</v>
      </c>
    </row>
    <row r="1860">
      <c r="A1860" s="8">
        <v>1859.0</v>
      </c>
      <c r="B1860" s="8" t="s">
        <v>3208</v>
      </c>
      <c r="C1860" s="8" t="s">
        <v>21</v>
      </c>
      <c r="K1860" s="8">
        <v>150.0</v>
      </c>
      <c r="N1860" s="7">
        <v>44514.0</v>
      </c>
    </row>
    <row r="1861">
      <c r="A1861" s="8">
        <v>1860.0</v>
      </c>
      <c r="B1861" s="8" t="s">
        <v>2844</v>
      </c>
      <c r="C1861" s="8" t="s">
        <v>21</v>
      </c>
      <c r="D1861" s="8">
        <v>57.0</v>
      </c>
      <c r="H1861" s="8" t="s">
        <v>1733</v>
      </c>
      <c r="I1861" s="9">
        <v>46160.509351851855</v>
      </c>
      <c r="K1861" s="8">
        <v>50.0</v>
      </c>
      <c r="L1861" s="8">
        <v>20.0</v>
      </c>
      <c r="M1861" s="8">
        <v>1000.0</v>
      </c>
      <c r="N1861" s="7">
        <v>44262.0</v>
      </c>
      <c r="O1861" s="8" t="s">
        <v>147</v>
      </c>
      <c r="P1861" s="8" t="s">
        <v>28</v>
      </c>
      <c r="S1861" s="8" t="s">
        <v>32</v>
      </c>
    </row>
    <row r="1862">
      <c r="A1862" s="8">
        <v>1861.0</v>
      </c>
      <c r="B1862" s="8" t="s">
        <v>3211</v>
      </c>
      <c r="C1862" s="8" t="s">
        <v>21</v>
      </c>
      <c r="K1862" s="8">
        <v>2000.0</v>
      </c>
      <c r="N1862" s="7">
        <v>45214.0</v>
      </c>
    </row>
    <row r="1863">
      <c r="A1863" s="8">
        <v>1862.0</v>
      </c>
      <c r="B1863" s="8" t="s">
        <v>3212</v>
      </c>
      <c r="C1863" s="8" t="s">
        <v>21</v>
      </c>
      <c r="K1863" s="8">
        <v>40.0</v>
      </c>
      <c r="N1863" s="7">
        <v>44723.0</v>
      </c>
    </row>
    <row r="1864">
      <c r="A1864" s="8">
        <v>1863.0</v>
      </c>
      <c r="B1864" s="8" t="s">
        <v>3213</v>
      </c>
      <c r="C1864" s="8" t="s">
        <v>21</v>
      </c>
      <c r="K1864" s="8">
        <v>150.0</v>
      </c>
      <c r="N1864" s="7">
        <v>43915.0</v>
      </c>
    </row>
    <row r="1865">
      <c r="A1865" s="8">
        <v>1864.0</v>
      </c>
      <c r="B1865" s="8" t="s">
        <v>3214</v>
      </c>
      <c r="C1865" s="8" t="s">
        <v>21</v>
      </c>
      <c r="K1865" s="8">
        <v>8700.0</v>
      </c>
      <c r="N1865" s="7">
        <v>44436.0</v>
      </c>
    </row>
    <row r="1866">
      <c r="A1866" s="8">
        <v>1865.0</v>
      </c>
      <c r="B1866" s="8" t="s">
        <v>3215</v>
      </c>
      <c r="C1866" s="8" t="s">
        <v>21</v>
      </c>
      <c r="K1866" s="8">
        <v>5500.0</v>
      </c>
      <c r="N1866" s="7">
        <v>45109.0</v>
      </c>
    </row>
    <row r="1867">
      <c r="A1867" s="8">
        <v>1866.0</v>
      </c>
      <c r="B1867" s="8" t="s">
        <v>3217</v>
      </c>
      <c r="C1867" s="8" t="s">
        <v>21</v>
      </c>
      <c r="N1867" s="7">
        <v>44532.0</v>
      </c>
    </row>
    <row r="1868">
      <c r="A1868" s="8">
        <v>1867.0</v>
      </c>
      <c r="B1868" s="8" t="s">
        <v>3220</v>
      </c>
      <c r="C1868" s="8" t="s">
        <v>21</v>
      </c>
      <c r="K1868" s="8">
        <v>10.0</v>
      </c>
      <c r="N1868" s="7">
        <v>45885.0</v>
      </c>
    </row>
    <row r="1869">
      <c r="A1869" s="8">
        <v>1868.0</v>
      </c>
      <c r="B1869" s="8" t="s">
        <v>133</v>
      </c>
      <c r="C1869" s="8" t="s">
        <v>21</v>
      </c>
      <c r="K1869" s="8">
        <v>1600.0</v>
      </c>
      <c r="N1869" s="7">
        <v>46046.0</v>
      </c>
    </row>
    <row r="1870">
      <c r="A1870" s="8">
        <v>1869.0</v>
      </c>
      <c r="B1870" s="8" t="s">
        <v>3221</v>
      </c>
      <c r="C1870" s="8" t="s">
        <v>21</v>
      </c>
      <c r="N1870" s="7">
        <v>45245.0</v>
      </c>
    </row>
    <row r="1871">
      <c r="A1871" s="8">
        <v>1870.0</v>
      </c>
      <c r="B1871" s="8" t="s">
        <v>3223</v>
      </c>
      <c r="C1871" s="8" t="s">
        <v>21</v>
      </c>
      <c r="K1871" s="8">
        <v>600.0</v>
      </c>
      <c r="N1871" s="7">
        <v>45254.0</v>
      </c>
    </row>
    <row r="1872">
      <c r="A1872" s="8">
        <v>1871.0</v>
      </c>
      <c r="B1872" s="8" t="s">
        <v>3224</v>
      </c>
      <c r="C1872" s="8" t="s">
        <v>21</v>
      </c>
      <c r="K1872" s="8">
        <v>2700.0</v>
      </c>
      <c r="N1872" s="7">
        <v>44137.0</v>
      </c>
    </row>
    <row r="1873">
      <c r="A1873" s="8">
        <v>1872.0</v>
      </c>
      <c r="B1873" s="8" t="s">
        <v>3225</v>
      </c>
      <c r="C1873" s="8" t="s">
        <v>21</v>
      </c>
      <c r="K1873" s="8">
        <v>150.0</v>
      </c>
      <c r="N1873" s="7">
        <v>44191.0</v>
      </c>
    </row>
    <row r="1874">
      <c r="A1874" s="8">
        <v>1873.0</v>
      </c>
      <c r="B1874" s="8" t="s">
        <v>3227</v>
      </c>
      <c r="C1874" s="8" t="s">
        <v>21</v>
      </c>
      <c r="K1874" s="8">
        <v>50.0</v>
      </c>
      <c r="N1874" s="7">
        <v>44533.0</v>
      </c>
    </row>
    <row r="1875">
      <c r="A1875" s="8">
        <v>1874.0</v>
      </c>
      <c r="B1875" s="8" t="s">
        <v>3228</v>
      </c>
      <c r="C1875" s="8" t="s">
        <v>21</v>
      </c>
      <c r="K1875" s="8">
        <v>60.0</v>
      </c>
      <c r="N1875" s="7">
        <v>45337.0</v>
      </c>
    </row>
    <row r="1876">
      <c r="A1876" s="8">
        <v>1875.0</v>
      </c>
      <c r="B1876" s="8" t="s">
        <v>3230</v>
      </c>
      <c r="C1876" s="8" t="s">
        <v>21</v>
      </c>
      <c r="K1876" s="8">
        <v>200.0</v>
      </c>
      <c r="N1876" s="7">
        <v>45107.0</v>
      </c>
    </row>
    <row r="1877">
      <c r="A1877" s="8">
        <v>1876.0</v>
      </c>
      <c r="B1877" s="8" t="s">
        <v>3231</v>
      </c>
      <c r="C1877" s="8" t="s">
        <v>21</v>
      </c>
      <c r="K1877" s="8">
        <v>30.0</v>
      </c>
      <c r="N1877" s="7">
        <v>44177.0</v>
      </c>
    </row>
    <row r="1878">
      <c r="A1878" s="8">
        <v>1877.0</v>
      </c>
      <c r="B1878" s="8" t="s">
        <v>3232</v>
      </c>
      <c r="C1878" s="8" t="s">
        <v>21</v>
      </c>
      <c r="D1878" s="8">
        <v>0.0</v>
      </c>
      <c r="H1878" s="8" t="s">
        <v>3234</v>
      </c>
      <c r="N1878" s="7">
        <v>42362.0</v>
      </c>
      <c r="O1878" s="8" t="s">
        <v>26</v>
      </c>
      <c r="P1878" s="8" t="s">
        <v>28</v>
      </c>
      <c r="S1878" s="8" t="s">
        <v>32</v>
      </c>
    </row>
    <row r="1879">
      <c r="A1879" s="8">
        <v>1878.0</v>
      </c>
      <c r="B1879" s="8" t="s">
        <v>3235</v>
      </c>
      <c r="C1879" s="8" t="s">
        <v>21</v>
      </c>
      <c r="K1879" s="8">
        <v>900.0</v>
      </c>
      <c r="N1879" s="7">
        <v>44779.0</v>
      </c>
    </row>
    <row r="1880">
      <c r="A1880" s="8">
        <v>1879.0</v>
      </c>
      <c r="B1880" s="8" t="s">
        <v>3236</v>
      </c>
      <c r="C1880" s="8" t="s">
        <v>21</v>
      </c>
      <c r="K1880" s="8">
        <v>1900.0</v>
      </c>
      <c r="N1880" s="7">
        <v>44925.0</v>
      </c>
    </row>
    <row r="1881">
      <c r="A1881" s="8">
        <v>1880.0</v>
      </c>
      <c r="B1881" s="8" t="s">
        <v>3238</v>
      </c>
      <c r="C1881" s="8" t="s">
        <v>21</v>
      </c>
      <c r="K1881" s="8">
        <v>7000.0</v>
      </c>
      <c r="N1881" s="7">
        <v>44648.0</v>
      </c>
    </row>
    <row r="1882">
      <c r="A1882" s="8">
        <v>1881.0</v>
      </c>
      <c r="B1882" s="8" t="s">
        <v>3239</v>
      </c>
      <c r="C1882" s="8" t="s">
        <v>21</v>
      </c>
      <c r="N1882" s="7">
        <v>43933.0</v>
      </c>
    </row>
    <row r="1883">
      <c r="A1883" s="8">
        <v>1882.0</v>
      </c>
      <c r="B1883" s="8" t="s">
        <v>135</v>
      </c>
      <c r="C1883" s="8" t="s">
        <v>21</v>
      </c>
      <c r="K1883" s="8">
        <v>100.0</v>
      </c>
      <c r="N1883" s="7">
        <v>45125.0</v>
      </c>
    </row>
    <row r="1884">
      <c r="A1884" s="8">
        <v>1883.0</v>
      </c>
      <c r="B1884" s="8" t="s">
        <v>2846</v>
      </c>
      <c r="C1884" s="8" t="s">
        <v>21</v>
      </c>
      <c r="D1884" s="8">
        <v>20.0</v>
      </c>
      <c r="H1884" s="8" t="s">
        <v>473</v>
      </c>
      <c r="I1884" s="9">
        <v>46142.22949074074</v>
      </c>
      <c r="J1884" s="8" t="s">
        <v>476</v>
      </c>
      <c r="L1884" s="8">
        <v>60.0</v>
      </c>
      <c r="M1884" s="8">
        <v>100.0</v>
      </c>
      <c r="N1884" s="7">
        <v>42631.0</v>
      </c>
      <c r="O1884" s="8" t="s">
        <v>147</v>
      </c>
      <c r="P1884" s="8" t="s">
        <v>28</v>
      </c>
      <c r="S1884" s="8" t="s">
        <v>32</v>
      </c>
    </row>
    <row r="1885">
      <c r="A1885" s="8">
        <v>1884.0</v>
      </c>
      <c r="B1885" s="8" t="s">
        <v>3242</v>
      </c>
      <c r="C1885" s="8" t="s">
        <v>21</v>
      </c>
      <c r="K1885" s="8">
        <v>60.0</v>
      </c>
      <c r="N1885" s="7">
        <v>45033.0</v>
      </c>
    </row>
    <row r="1886">
      <c r="A1886" s="8">
        <v>1885.0</v>
      </c>
      <c r="B1886" s="8" t="s">
        <v>3243</v>
      </c>
      <c r="C1886" s="8" t="s">
        <v>21</v>
      </c>
      <c r="K1886" s="8">
        <v>200.0</v>
      </c>
      <c r="N1886" s="7">
        <v>44588.0</v>
      </c>
    </row>
    <row r="1887">
      <c r="A1887" s="8">
        <v>1886.0</v>
      </c>
      <c r="B1887" s="8" t="s">
        <v>3245</v>
      </c>
      <c r="C1887" s="8" t="s">
        <v>21</v>
      </c>
      <c r="K1887" s="8">
        <v>10.0</v>
      </c>
      <c r="N1887" s="7">
        <v>44650.0</v>
      </c>
    </row>
    <row r="1888">
      <c r="A1888" s="8">
        <v>1887.0</v>
      </c>
      <c r="B1888" s="8" t="s">
        <v>137</v>
      </c>
      <c r="C1888" s="8" t="s">
        <v>21</v>
      </c>
      <c r="N1888" s="7">
        <v>44091.0</v>
      </c>
    </row>
    <row r="1889">
      <c r="A1889" s="8">
        <v>1888.0</v>
      </c>
      <c r="B1889" s="8" t="s">
        <v>3247</v>
      </c>
      <c r="C1889" s="8" t="s">
        <v>21</v>
      </c>
      <c r="K1889" s="8">
        <v>600.0</v>
      </c>
      <c r="N1889" s="7">
        <v>44510.0</v>
      </c>
    </row>
    <row r="1890">
      <c r="A1890" s="8">
        <v>1889.0</v>
      </c>
      <c r="B1890" s="8" t="s">
        <v>3248</v>
      </c>
      <c r="C1890" s="8" t="s">
        <v>21</v>
      </c>
      <c r="K1890" s="8">
        <v>350.0</v>
      </c>
      <c r="N1890" s="7">
        <v>44510.0</v>
      </c>
    </row>
    <row r="1891">
      <c r="A1891" s="8">
        <v>1890.0</v>
      </c>
      <c r="B1891" s="8" t="s">
        <v>3249</v>
      </c>
      <c r="C1891" s="8" t="s">
        <v>21</v>
      </c>
      <c r="K1891" s="8">
        <v>150.0</v>
      </c>
      <c r="N1891" s="7">
        <v>44625.0</v>
      </c>
    </row>
    <row r="1892">
      <c r="A1892" s="8">
        <v>1891.0</v>
      </c>
      <c r="B1892" s="8" t="s">
        <v>3251</v>
      </c>
      <c r="C1892" s="8" t="s">
        <v>21</v>
      </c>
      <c r="K1892" s="8">
        <v>150.0</v>
      </c>
      <c r="N1892" s="7">
        <v>45667.0</v>
      </c>
    </row>
    <row r="1893">
      <c r="A1893" s="8">
        <v>1892.0</v>
      </c>
      <c r="B1893" s="8" t="s">
        <v>3252</v>
      </c>
      <c r="C1893" s="8" t="s">
        <v>21</v>
      </c>
      <c r="K1893" s="8">
        <v>350.0</v>
      </c>
      <c r="N1893" s="7">
        <v>44546.0</v>
      </c>
    </row>
    <row r="1894">
      <c r="A1894" s="8">
        <v>1893.0</v>
      </c>
      <c r="B1894" s="8" t="s">
        <v>3253</v>
      </c>
      <c r="C1894" s="8" t="s">
        <v>21</v>
      </c>
      <c r="K1894" s="8">
        <v>450.0</v>
      </c>
      <c r="N1894" s="7">
        <v>44674.0</v>
      </c>
    </row>
    <row r="1895">
      <c r="A1895" s="8">
        <v>1894.0</v>
      </c>
      <c r="B1895" s="8" t="s">
        <v>3255</v>
      </c>
      <c r="C1895" s="8" t="s">
        <v>21</v>
      </c>
      <c r="N1895" s="7">
        <v>42656.0</v>
      </c>
    </row>
    <row r="1896">
      <c r="A1896" s="8">
        <v>1895.0</v>
      </c>
      <c r="B1896" s="8" t="s">
        <v>3256</v>
      </c>
      <c r="C1896" s="8" t="s">
        <v>21</v>
      </c>
      <c r="K1896" s="8">
        <v>600.0</v>
      </c>
      <c r="N1896" s="7">
        <v>44775.0</v>
      </c>
    </row>
    <row r="1897">
      <c r="A1897" s="8">
        <v>1896.0</v>
      </c>
      <c r="B1897" s="8" t="s">
        <v>3257</v>
      </c>
      <c r="C1897" s="8" t="s">
        <v>21</v>
      </c>
      <c r="K1897" s="8">
        <v>50.0</v>
      </c>
      <c r="N1897" s="7">
        <v>44531.0</v>
      </c>
    </row>
    <row r="1898">
      <c r="A1898" s="8">
        <v>1897.0</v>
      </c>
      <c r="B1898" s="8" t="s">
        <v>3259</v>
      </c>
      <c r="C1898" s="8" t="s">
        <v>21</v>
      </c>
      <c r="K1898" s="8">
        <v>200.0</v>
      </c>
      <c r="N1898" s="7">
        <v>44321.0</v>
      </c>
    </row>
    <row r="1899">
      <c r="A1899" s="8">
        <v>1898.0</v>
      </c>
      <c r="B1899" s="8" t="s">
        <v>3260</v>
      </c>
      <c r="C1899" s="8" t="s">
        <v>21</v>
      </c>
      <c r="K1899" s="8">
        <v>700.0</v>
      </c>
      <c r="N1899" s="7">
        <v>44564.0</v>
      </c>
    </row>
    <row r="1900">
      <c r="A1900" s="8">
        <v>1899.0</v>
      </c>
      <c r="B1900" s="8" t="s">
        <v>139</v>
      </c>
      <c r="C1900" s="8" t="s">
        <v>21</v>
      </c>
      <c r="K1900" s="8">
        <v>90.0</v>
      </c>
      <c r="N1900" s="7">
        <v>44797.0</v>
      </c>
    </row>
    <row r="1901">
      <c r="A1901" s="8">
        <v>1900.0</v>
      </c>
      <c r="B1901" s="8" t="s">
        <v>3262</v>
      </c>
      <c r="C1901" s="8" t="s">
        <v>21</v>
      </c>
      <c r="K1901" s="8">
        <v>1900.0</v>
      </c>
      <c r="N1901" s="7">
        <v>45368.0</v>
      </c>
    </row>
    <row r="1902">
      <c r="A1902" s="8">
        <v>1901.0</v>
      </c>
      <c r="B1902" s="8" t="s">
        <v>3264</v>
      </c>
      <c r="C1902" s="8" t="s">
        <v>21</v>
      </c>
      <c r="N1902" s="7">
        <v>44686.0</v>
      </c>
    </row>
    <row r="1903">
      <c r="A1903" s="8">
        <v>1902.0</v>
      </c>
      <c r="B1903" s="8" t="s">
        <v>3265</v>
      </c>
      <c r="C1903" s="8" t="s">
        <v>21</v>
      </c>
      <c r="K1903" s="8">
        <v>150.0</v>
      </c>
      <c r="N1903" s="7">
        <v>44599.0</v>
      </c>
    </row>
    <row r="1904">
      <c r="A1904" s="8">
        <v>1903.0</v>
      </c>
      <c r="B1904" s="8" t="s">
        <v>3266</v>
      </c>
      <c r="C1904" s="8" t="s">
        <v>21</v>
      </c>
      <c r="K1904" s="8">
        <v>50.0</v>
      </c>
      <c r="N1904" s="7">
        <v>44603.0</v>
      </c>
    </row>
    <row r="1905">
      <c r="A1905" s="8">
        <v>1904.0</v>
      </c>
      <c r="B1905" s="8" t="s">
        <v>3268</v>
      </c>
      <c r="C1905" s="8" t="s">
        <v>21</v>
      </c>
      <c r="K1905" s="8">
        <v>40.0</v>
      </c>
      <c r="N1905" s="7">
        <v>44454.0</v>
      </c>
    </row>
    <row r="1906">
      <c r="A1906" s="8">
        <v>1905.0</v>
      </c>
      <c r="B1906" s="8" t="s">
        <v>141</v>
      </c>
      <c r="C1906" s="8" t="s">
        <v>21</v>
      </c>
      <c r="K1906" s="8">
        <v>200.0</v>
      </c>
      <c r="N1906" s="7">
        <v>44638.0</v>
      </c>
    </row>
    <row r="1907">
      <c r="A1907" s="8">
        <v>1906.0</v>
      </c>
      <c r="B1907" s="8" t="s">
        <v>3269</v>
      </c>
      <c r="C1907" s="8" t="s">
        <v>21</v>
      </c>
      <c r="K1907" s="8">
        <v>90.0</v>
      </c>
      <c r="N1907" s="7">
        <v>44427.0</v>
      </c>
    </row>
    <row r="1908">
      <c r="A1908" s="8">
        <v>1907.0</v>
      </c>
      <c r="B1908" s="8" t="s">
        <v>3271</v>
      </c>
      <c r="C1908" s="8" t="s">
        <v>21</v>
      </c>
      <c r="K1908" s="8">
        <v>2400.0</v>
      </c>
      <c r="N1908" s="7">
        <v>43397.0</v>
      </c>
    </row>
    <row r="1909">
      <c r="A1909" s="8">
        <v>1908.0</v>
      </c>
      <c r="B1909" s="8" t="s">
        <v>3272</v>
      </c>
      <c r="C1909" s="8" t="s">
        <v>21</v>
      </c>
      <c r="K1909" s="8">
        <v>90.0</v>
      </c>
      <c r="N1909" s="7">
        <v>44283.0</v>
      </c>
    </row>
    <row r="1910">
      <c r="A1910" s="8">
        <v>1909.0</v>
      </c>
      <c r="B1910" s="8" t="s">
        <v>3274</v>
      </c>
      <c r="C1910" s="8" t="s">
        <v>21</v>
      </c>
      <c r="K1910" s="8">
        <v>250.0</v>
      </c>
      <c r="N1910" s="7">
        <v>44742.0</v>
      </c>
    </row>
    <row r="1911">
      <c r="A1911" s="8">
        <v>1910.0</v>
      </c>
      <c r="B1911" s="8" t="s">
        <v>3275</v>
      </c>
      <c r="C1911" s="8" t="s">
        <v>21</v>
      </c>
      <c r="N1911" s="7">
        <v>44801.0</v>
      </c>
    </row>
    <row r="1912">
      <c r="A1912" s="8">
        <v>1911.0</v>
      </c>
      <c r="B1912" s="8" t="s">
        <v>142</v>
      </c>
      <c r="C1912" s="8" t="s">
        <v>21</v>
      </c>
      <c r="K1912" s="8">
        <v>40.0</v>
      </c>
      <c r="N1912" s="7">
        <v>44764.0</v>
      </c>
    </row>
    <row r="1913">
      <c r="A1913" s="8">
        <v>1912.0</v>
      </c>
      <c r="B1913" s="8" t="s">
        <v>3277</v>
      </c>
      <c r="C1913" s="8" t="s">
        <v>21</v>
      </c>
      <c r="K1913" s="8">
        <v>1000.0</v>
      </c>
      <c r="N1913" s="7">
        <v>45124.0</v>
      </c>
    </row>
    <row r="1914">
      <c r="A1914" s="8">
        <v>1913.0</v>
      </c>
      <c r="B1914" s="8" t="s">
        <v>3278</v>
      </c>
      <c r="C1914" s="8" t="s">
        <v>21</v>
      </c>
      <c r="K1914" s="8">
        <v>10.0</v>
      </c>
      <c r="N1914" s="7">
        <v>43377.0</v>
      </c>
    </row>
    <row r="1915">
      <c r="A1915" s="8">
        <v>1914.0</v>
      </c>
      <c r="B1915" s="8" t="s">
        <v>3280</v>
      </c>
      <c r="C1915" s="8" t="s">
        <v>21</v>
      </c>
      <c r="N1915" s="7">
        <v>45819.0</v>
      </c>
    </row>
    <row r="1916">
      <c r="A1916" s="8">
        <v>1915.0</v>
      </c>
      <c r="B1916" s="8" t="s">
        <v>3281</v>
      </c>
      <c r="C1916" s="8" t="s">
        <v>21</v>
      </c>
      <c r="K1916" s="8">
        <v>3300.0</v>
      </c>
      <c r="N1916" s="7">
        <v>44892.0</v>
      </c>
    </row>
    <row r="1917">
      <c r="A1917" s="8">
        <v>1916.0</v>
      </c>
      <c r="B1917" s="8" t="s">
        <v>3282</v>
      </c>
      <c r="C1917" s="8" t="s">
        <v>21</v>
      </c>
      <c r="K1917" s="8">
        <v>50.0</v>
      </c>
      <c r="N1917" s="7">
        <v>43888.0</v>
      </c>
    </row>
    <row r="1918">
      <c r="A1918" s="8">
        <v>1917.0</v>
      </c>
      <c r="B1918" s="8" t="s">
        <v>3283</v>
      </c>
      <c r="C1918" s="8" t="s">
        <v>21</v>
      </c>
      <c r="K1918" s="8">
        <v>200.0</v>
      </c>
      <c r="N1918" s="7">
        <v>43873.0</v>
      </c>
    </row>
    <row r="1919">
      <c r="A1919" s="8">
        <v>1918.0</v>
      </c>
      <c r="B1919" s="8" t="s">
        <v>3285</v>
      </c>
      <c r="C1919" s="8" t="s">
        <v>21</v>
      </c>
      <c r="K1919" s="8">
        <v>20.0</v>
      </c>
      <c r="N1919" s="7">
        <v>44897.0</v>
      </c>
    </row>
    <row r="1920">
      <c r="A1920" s="8">
        <v>1919.0</v>
      </c>
      <c r="B1920" s="8" t="s">
        <v>3286</v>
      </c>
      <c r="C1920" s="8" t="s">
        <v>21</v>
      </c>
      <c r="K1920" s="8">
        <v>40.0</v>
      </c>
      <c r="N1920" s="7">
        <v>44241.0</v>
      </c>
    </row>
    <row r="1921">
      <c r="A1921" s="8">
        <v>1920.0</v>
      </c>
      <c r="B1921" s="8" t="s">
        <v>145</v>
      </c>
      <c r="C1921" s="8" t="s">
        <v>21</v>
      </c>
      <c r="K1921" s="8">
        <v>20.0</v>
      </c>
      <c r="N1921" s="7">
        <v>44032.0</v>
      </c>
    </row>
    <row r="1922">
      <c r="A1922" s="8">
        <v>1921.0</v>
      </c>
      <c r="B1922" s="8" t="s">
        <v>3287</v>
      </c>
      <c r="C1922" s="8" t="s">
        <v>21</v>
      </c>
      <c r="K1922" s="8">
        <v>200.0</v>
      </c>
      <c r="N1922" s="7">
        <v>44240.0</v>
      </c>
    </row>
    <row r="1923">
      <c r="A1923" s="8">
        <v>1922.0</v>
      </c>
      <c r="B1923" s="8" t="s">
        <v>3289</v>
      </c>
      <c r="C1923" s="8" t="s">
        <v>21</v>
      </c>
      <c r="K1923" s="8">
        <v>20.0</v>
      </c>
      <c r="N1923" s="7">
        <v>44961.0</v>
      </c>
    </row>
    <row r="1924">
      <c r="A1924" s="8">
        <v>1923.0</v>
      </c>
      <c r="B1924" s="8" t="s">
        <v>3290</v>
      </c>
      <c r="C1924" s="8" t="s">
        <v>21</v>
      </c>
      <c r="K1924" s="8">
        <v>350.0</v>
      </c>
      <c r="N1924" s="7">
        <v>43898.0</v>
      </c>
    </row>
    <row r="1925">
      <c r="A1925" s="8">
        <v>1924.0</v>
      </c>
      <c r="B1925" s="8" t="s">
        <v>3291</v>
      </c>
      <c r="C1925" s="8" t="s">
        <v>21</v>
      </c>
      <c r="K1925" s="8">
        <v>450.0</v>
      </c>
      <c r="N1925" s="7">
        <v>44897.0</v>
      </c>
    </row>
    <row r="1926">
      <c r="A1926" s="8">
        <v>1925.0</v>
      </c>
      <c r="B1926" s="8" t="s">
        <v>3293</v>
      </c>
      <c r="C1926" s="8" t="s">
        <v>21</v>
      </c>
      <c r="K1926" s="8">
        <v>200.0</v>
      </c>
      <c r="N1926" s="7">
        <v>44339.0</v>
      </c>
    </row>
    <row r="1927">
      <c r="A1927" s="8">
        <v>1926.0</v>
      </c>
      <c r="B1927" s="8" t="s">
        <v>3294</v>
      </c>
      <c r="C1927" s="8" t="s">
        <v>21</v>
      </c>
      <c r="N1927" s="7">
        <v>44771.0</v>
      </c>
    </row>
    <row r="1928">
      <c r="A1928" s="8">
        <v>1927.0</v>
      </c>
      <c r="B1928" s="8" t="s">
        <v>3295</v>
      </c>
      <c r="C1928" s="8" t="s">
        <v>21</v>
      </c>
      <c r="K1928" s="8">
        <v>150.0</v>
      </c>
      <c r="N1928" s="7">
        <v>44765.0</v>
      </c>
    </row>
    <row r="1929">
      <c r="A1929" s="8">
        <v>1928.0</v>
      </c>
      <c r="B1929" s="8" t="s">
        <v>3297</v>
      </c>
      <c r="C1929" s="8" t="s">
        <v>21</v>
      </c>
      <c r="N1929" s="7">
        <v>44787.0</v>
      </c>
    </row>
    <row r="1930">
      <c r="A1930" s="8">
        <v>1929.0</v>
      </c>
      <c r="B1930" s="8" t="s">
        <v>3298</v>
      </c>
      <c r="C1930" s="8" t="s">
        <v>21</v>
      </c>
      <c r="K1930" s="8">
        <v>30.0</v>
      </c>
      <c r="N1930" s="7">
        <v>44145.0</v>
      </c>
    </row>
    <row r="1931">
      <c r="A1931" s="8">
        <v>1930.0</v>
      </c>
      <c r="B1931" s="8" t="s">
        <v>146</v>
      </c>
      <c r="C1931" s="8" t="s">
        <v>21</v>
      </c>
      <c r="N1931" s="7">
        <v>44107.0</v>
      </c>
    </row>
    <row r="1932">
      <c r="A1932" s="8">
        <v>1931.0</v>
      </c>
      <c r="B1932" s="8" t="s">
        <v>3300</v>
      </c>
      <c r="C1932" s="8" t="s">
        <v>21</v>
      </c>
      <c r="K1932" s="8">
        <v>300.0</v>
      </c>
      <c r="N1932" s="7">
        <v>45309.0</v>
      </c>
    </row>
    <row r="1933">
      <c r="A1933" s="8">
        <v>1932.0</v>
      </c>
      <c r="B1933" s="8" t="s">
        <v>3301</v>
      </c>
      <c r="C1933" s="8" t="s">
        <v>21</v>
      </c>
      <c r="K1933" s="8">
        <v>70.0</v>
      </c>
      <c r="N1933" s="7">
        <v>44165.0</v>
      </c>
    </row>
    <row r="1934">
      <c r="A1934" s="8">
        <v>1933.0</v>
      </c>
      <c r="B1934" s="8" t="s">
        <v>3303</v>
      </c>
      <c r="C1934" s="8" t="s">
        <v>21</v>
      </c>
      <c r="K1934" s="8">
        <v>2500.0</v>
      </c>
      <c r="N1934" s="7">
        <v>43952.0</v>
      </c>
    </row>
    <row r="1935">
      <c r="A1935" s="8">
        <v>1934.0</v>
      </c>
      <c r="B1935" s="8" t="s">
        <v>3305</v>
      </c>
      <c r="C1935" s="8" t="s">
        <v>21</v>
      </c>
      <c r="K1935" s="8">
        <v>20.0</v>
      </c>
      <c r="N1935" s="7">
        <v>42383.0</v>
      </c>
    </row>
    <row r="1936">
      <c r="A1936" s="8">
        <v>1935.0</v>
      </c>
      <c r="B1936" s="8" t="s">
        <v>3306</v>
      </c>
      <c r="C1936" s="8" t="s">
        <v>21</v>
      </c>
      <c r="K1936" s="8">
        <v>50.0</v>
      </c>
      <c r="N1936" s="7">
        <v>44419.0</v>
      </c>
    </row>
    <row r="1937">
      <c r="A1937" s="8">
        <v>1936.0</v>
      </c>
      <c r="B1937" s="8" t="s">
        <v>3307</v>
      </c>
      <c r="C1937" s="8" t="s">
        <v>21</v>
      </c>
      <c r="K1937" s="8">
        <v>20.0</v>
      </c>
      <c r="N1937" s="7">
        <v>44832.0</v>
      </c>
    </row>
    <row r="1938">
      <c r="A1938" s="8">
        <v>1937.0</v>
      </c>
      <c r="B1938" s="8" t="s">
        <v>3308</v>
      </c>
      <c r="C1938" s="8" t="s">
        <v>21</v>
      </c>
      <c r="N1938" s="7">
        <v>44382.0</v>
      </c>
    </row>
    <row r="1939">
      <c r="A1939" s="8">
        <v>1938.0</v>
      </c>
      <c r="B1939" s="8" t="s">
        <v>3309</v>
      </c>
      <c r="C1939" s="8" t="s">
        <v>21</v>
      </c>
      <c r="K1939" s="8">
        <v>2500.0</v>
      </c>
      <c r="N1939" s="7">
        <v>45577.0</v>
      </c>
    </row>
    <row r="1940">
      <c r="A1940" s="8">
        <v>1939.0</v>
      </c>
      <c r="B1940" s="8" t="s">
        <v>3311</v>
      </c>
      <c r="C1940" s="8" t="s">
        <v>21</v>
      </c>
      <c r="K1940" s="8">
        <v>20.0</v>
      </c>
      <c r="N1940" s="7">
        <v>44686.0</v>
      </c>
    </row>
    <row r="1941">
      <c r="A1941" s="8">
        <v>1940.0</v>
      </c>
      <c r="B1941" s="8" t="s">
        <v>3312</v>
      </c>
      <c r="C1941" s="8" t="s">
        <v>21</v>
      </c>
      <c r="K1941" s="8">
        <v>60.0</v>
      </c>
      <c r="N1941" s="7">
        <v>44442.0</v>
      </c>
    </row>
    <row r="1942">
      <c r="A1942" s="8">
        <v>1941.0</v>
      </c>
      <c r="B1942" s="8" t="s">
        <v>3314</v>
      </c>
      <c r="C1942" s="8" t="s">
        <v>21</v>
      </c>
      <c r="K1942" s="8">
        <v>3200.0</v>
      </c>
      <c r="N1942" s="7">
        <v>44521.0</v>
      </c>
    </row>
    <row r="1943">
      <c r="A1943" s="8">
        <v>1942.0</v>
      </c>
      <c r="B1943" s="8" t="s">
        <v>3315</v>
      </c>
      <c r="C1943" s="8" t="s">
        <v>21</v>
      </c>
      <c r="K1943" s="8">
        <v>200.0</v>
      </c>
      <c r="N1943" s="7">
        <v>44532.0</v>
      </c>
    </row>
    <row r="1944">
      <c r="A1944" s="8">
        <v>1943.0</v>
      </c>
      <c r="B1944" s="8" t="s">
        <v>3316</v>
      </c>
      <c r="C1944" s="8" t="s">
        <v>21</v>
      </c>
      <c r="N1944" s="7">
        <v>44508.0</v>
      </c>
    </row>
    <row r="1945">
      <c r="A1945" s="8">
        <v>1944.0</v>
      </c>
      <c r="B1945" s="8" t="s">
        <v>151</v>
      </c>
      <c r="C1945" s="8" t="s">
        <v>21</v>
      </c>
      <c r="K1945" s="8">
        <v>150.0</v>
      </c>
      <c r="N1945" s="7">
        <v>44317.0</v>
      </c>
    </row>
    <row r="1946">
      <c r="A1946" s="8">
        <v>1945.0</v>
      </c>
      <c r="B1946" s="8" t="s">
        <v>3318</v>
      </c>
      <c r="C1946" s="8" t="s">
        <v>21</v>
      </c>
      <c r="K1946" s="8">
        <v>150.0</v>
      </c>
      <c r="N1946" s="7">
        <v>43884.0</v>
      </c>
    </row>
    <row r="1947">
      <c r="A1947" s="8">
        <v>1946.0</v>
      </c>
      <c r="B1947" s="8" t="s">
        <v>156</v>
      </c>
      <c r="C1947" s="8" t="s">
        <v>21</v>
      </c>
      <c r="K1947" s="8">
        <v>30.0</v>
      </c>
      <c r="N1947" s="7">
        <v>44935.0</v>
      </c>
    </row>
    <row r="1948">
      <c r="A1948" s="8">
        <v>1947.0</v>
      </c>
      <c r="B1948" s="8" t="s">
        <v>158</v>
      </c>
      <c r="C1948" s="8" t="s">
        <v>21</v>
      </c>
      <c r="N1948" s="7">
        <v>45694.0</v>
      </c>
    </row>
    <row r="1949">
      <c r="A1949" s="8">
        <v>1948.0</v>
      </c>
      <c r="B1949" s="8" t="s">
        <v>3320</v>
      </c>
      <c r="C1949" s="8" t="s">
        <v>21</v>
      </c>
      <c r="K1949" s="8">
        <v>1200.0</v>
      </c>
      <c r="N1949" s="7">
        <v>45348.0</v>
      </c>
    </row>
    <row r="1950">
      <c r="A1950" s="8">
        <v>1949.0</v>
      </c>
      <c r="B1950" s="8" t="s">
        <v>154</v>
      </c>
      <c r="C1950" s="8" t="s">
        <v>21</v>
      </c>
      <c r="K1950" s="8">
        <v>60.0</v>
      </c>
      <c r="N1950" s="7">
        <v>44636.0</v>
      </c>
    </row>
    <row r="1951">
      <c r="A1951" s="8">
        <v>1950.0</v>
      </c>
      <c r="B1951" s="8" t="s">
        <v>3322</v>
      </c>
      <c r="C1951" s="8" t="s">
        <v>21</v>
      </c>
      <c r="N1951" s="7">
        <v>45752.0</v>
      </c>
    </row>
    <row r="1952">
      <c r="A1952" s="8">
        <v>1951.0</v>
      </c>
      <c r="B1952" s="8" t="s">
        <v>3324</v>
      </c>
      <c r="C1952" s="8" t="s">
        <v>21</v>
      </c>
      <c r="K1952" s="8">
        <v>800.0</v>
      </c>
      <c r="N1952" s="7">
        <v>45077.0</v>
      </c>
    </row>
    <row r="1953">
      <c r="A1953" s="8">
        <v>1952.0</v>
      </c>
      <c r="B1953" s="8" t="s">
        <v>3326</v>
      </c>
      <c r="C1953" s="8" t="s">
        <v>21</v>
      </c>
      <c r="K1953" s="8">
        <v>250.0</v>
      </c>
      <c r="N1953" s="7">
        <v>44519.0</v>
      </c>
    </row>
    <row r="1954">
      <c r="A1954" s="8">
        <v>1953.0</v>
      </c>
      <c r="B1954" s="8" t="s">
        <v>3328</v>
      </c>
      <c r="C1954" s="8" t="s">
        <v>21</v>
      </c>
      <c r="K1954" s="8">
        <v>350.0</v>
      </c>
      <c r="N1954" s="7">
        <v>44025.0</v>
      </c>
    </row>
    <row r="1955">
      <c r="A1955" s="8">
        <v>1954.0</v>
      </c>
      <c r="B1955" s="8" t="s">
        <v>3329</v>
      </c>
      <c r="C1955" s="8" t="s">
        <v>21</v>
      </c>
      <c r="K1955" s="8">
        <v>150.0</v>
      </c>
      <c r="N1955" s="7">
        <v>44394.0</v>
      </c>
    </row>
    <row r="1956">
      <c r="A1956" s="8">
        <v>1955.0</v>
      </c>
      <c r="B1956" s="8" t="s">
        <v>3331</v>
      </c>
      <c r="C1956" s="8" t="s">
        <v>21</v>
      </c>
      <c r="K1956" s="8">
        <v>900.0</v>
      </c>
      <c r="N1956" s="7">
        <v>44554.0</v>
      </c>
    </row>
    <row r="1957">
      <c r="A1957" s="8">
        <v>1956.0</v>
      </c>
      <c r="B1957" s="8" t="s">
        <v>3333</v>
      </c>
      <c r="C1957" s="8" t="s">
        <v>21</v>
      </c>
      <c r="K1957" s="8">
        <v>10.0</v>
      </c>
      <c r="N1957" s="7">
        <v>43869.0</v>
      </c>
    </row>
    <row r="1958">
      <c r="A1958" s="8">
        <v>1957.0</v>
      </c>
      <c r="B1958" s="8" t="s">
        <v>3334</v>
      </c>
      <c r="C1958" s="8" t="s">
        <v>21</v>
      </c>
      <c r="K1958" s="8">
        <v>1100.0</v>
      </c>
      <c r="N1958" s="7">
        <v>45775.0</v>
      </c>
    </row>
    <row r="1959">
      <c r="A1959" s="8">
        <v>1958.0</v>
      </c>
      <c r="B1959" s="8" t="s">
        <v>3336</v>
      </c>
      <c r="C1959" s="8" t="s">
        <v>21</v>
      </c>
      <c r="N1959" s="7">
        <v>44734.0</v>
      </c>
    </row>
    <row r="1960">
      <c r="A1960" s="8">
        <v>1959.0</v>
      </c>
      <c r="B1960" s="8" t="s">
        <v>3337</v>
      </c>
      <c r="C1960" s="8" t="s">
        <v>21</v>
      </c>
      <c r="K1960" s="8">
        <v>150.0</v>
      </c>
      <c r="N1960" s="7">
        <v>44591.0</v>
      </c>
    </row>
    <row r="1961">
      <c r="A1961" s="8">
        <v>1960.0</v>
      </c>
      <c r="B1961" s="8" t="s">
        <v>3339</v>
      </c>
      <c r="C1961" s="8" t="s">
        <v>21</v>
      </c>
      <c r="K1961" s="8">
        <v>50.0</v>
      </c>
      <c r="N1961" s="7">
        <v>45873.0</v>
      </c>
    </row>
    <row r="1962">
      <c r="A1962" s="8">
        <v>1961.0</v>
      </c>
      <c r="B1962" s="8" t="s">
        <v>3341</v>
      </c>
      <c r="C1962" s="8" t="s">
        <v>21</v>
      </c>
      <c r="N1962" s="7">
        <v>44563.0</v>
      </c>
    </row>
    <row r="1963">
      <c r="A1963" s="8">
        <v>1962.0</v>
      </c>
      <c r="B1963" s="8" t="s">
        <v>3342</v>
      </c>
      <c r="C1963" s="8" t="s">
        <v>21</v>
      </c>
      <c r="K1963" s="8">
        <v>40.0</v>
      </c>
      <c r="N1963" s="7">
        <v>44442.0</v>
      </c>
    </row>
    <row r="1964">
      <c r="A1964" s="8">
        <v>1963.0</v>
      </c>
      <c r="B1964" s="8" t="s">
        <v>3344</v>
      </c>
      <c r="C1964" s="8" t="s">
        <v>21</v>
      </c>
      <c r="N1964" s="7">
        <v>44099.0</v>
      </c>
    </row>
    <row r="1965">
      <c r="A1965" s="8">
        <v>1964.0</v>
      </c>
      <c r="B1965" s="8" t="s">
        <v>3345</v>
      </c>
      <c r="C1965" s="8" t="s">
        <v>21</v>
      </c>
      <c r="K1965" s="8">
        <v>200.0</v>
      </c>
      <c r="N1965" s="7">
        <v>44273.0</v>
      </c>
    </row>
    <row r="1966">
      <c r="A1966" s="8">
        <v>1965.0</v>
      </c>
      <c r="B1966" s="8" t="s">
        <v>162</v>
      </c>
      <c r="C1966" s="8" t="s">
        <v>21</v>
      </c>
      <c r="K1966" s="8">
        <v>100.0</v>
      </c>
      <c r="N1966" s="7">
        <v>45230.0</v>
      </c>
    </row>
    <row r="1967">
      <c r="A1967" s="8">
        <v>1966.0</v>
      </c>
      <c r="B1967" s="8" t="s">
        <v>3347</v>
      </c>
      <c r="C1967" s="8" t="s">
        <v>21</v>
      </c>
      <c r="K1967" s="8">
        <v>300.0</v>
      </c>
      <c r="N1967" s="7">
        <v>44383.0</v>
      </c>
    </row>
    <row r="1968">
      <c r="A1968" s="8">
        <v>1967.0</v>
      </c>
      <c r="B1968" s="8" t="s">
        <v>3348</v>
      </c>
      <c r="C1968" s="8" t="s">
        <v>21</v>
      </c>
      <c r="K1968" s="8">
        <v>1600.0</v>
      </c>
      <c r="N1968" s="7">
        <v>44797.0</v>
      </c>
    </row>
    <row r="1969">
      <c r="A1969" s="8">
        <v>1968.0</v>
      </c>
      <c r="B1969" s="8" t="s">
        <v>3349</v>
      </c>
      <c r="C1969" s="8" t="s">
        <v>21</v>
      </c>
      <c r="K1969" s="8">
        <v>10.0</v>
      </c>
      <c r="N1969" s="7">
        <v>44333.0</v>
      </c>
    </row>
    <row r="1970">
      <c r="A1970" s="8">
        <v>1969.0</v>
      </c>
      <c r="B1970" s="8" t="s">
        <v>3351</v>
      </c>
      <c r="C1970" s="8" t="s">
        <v>21</v>
      </c>
      <c r="K1970" s="8">
        <v>100.0</v>
      </c>
      <c r="N1970" s="7">
        <v>45114.0</v>
      </c>
    </row>
    <row r="1971">
      <c r="A1971" s="8">
        <v>1970.0</v>
      </c>
      <c r="B1971" s="8" t="s">
        <v>3352</v>
      </c>
      <c r="C1971" s="8" t="s">
        <v>21</v>
      </c>
      <c r="K1971" s="8">
        <v>100.0</v>
      </c>
      <c r="N1971" s="7">
        <v>44651.0</v>
      </c>
    </row>
    <row r="1972">
      <c r="A1972" s="8">
        <v>1971.0</v>
      </c>
      <c r="B1972" s="8" t="s">
        <v>3353</v>
      </c>
      <c r="C1972" s="8" t="s">
        <v>21</v>
      </c>
      <c r="K1972" s="8">
        <v>2000.0</v>
      </c>
      <c r="N1972" s="7">
        <v>43885.0</v>
      </c>
    </row>
    <row r="1973">
      <c r="A1973" s="8">
        <v>1972.0</v>
      </c>
      <c r="B1973" s="8" t="s">
        <v>3355</v>
      </c>
      <c r="C1973" s="8" t="s">
        <v>21</v>
      </c>
      <c r="K1973" s="8">
        <v>100.0</v>
      </c>
      <c r="N1973" s="7">
        <v>44385.0</v>
      </c>
    </row>
    <row r="1974">
      <c r="A1974" s="8">
        <v>1973.0</v>
      </c>
      <c r="B1974" s="8" t="s">
        <v>3356</v>
      </c>
      <c r="C1974" s="8" t="s">
        <v>21</v>
      </c>
      <c r="K1974" s="8">
        <v>100.0</v>
      </c>
      <c r="N1974" s="7">
        <v>43966.0</v>
      </c>
    </row>
    <row r="1975">
      <c r="A1975" s="8">
        <v>1974.0</v>
      </c>
      <c r="B1975" s="8" t="s">
        <v>3358</v>
      </c>
      <c r="C1975" s="8" t="s">
        <v>21</v>
      </c>
      <c r="K1975" s="8">
        <v>90.0</v>
      </c>
      <c r="N1975" s="7">
        <v>44629.0</v>
      </c>
    </row>
    <row r="1976">
      <c r="A1976" s="8">
        <v>1975.0</v>
      </c>
      <c r="B1976" s="8" t="s">
        <v>3359</v>
      </c>
      <c r="C1976" s="8" t="s">
        <v>21</v>
      </c>
      <c r="K1976" s="8">
        <v>200.0</v>
      </c>
      <c r="N1976" s="7">
        <v>44016.0</v>
      </c>
    </row>
    <row r="1977">
      <c r="A1977" s="8">
        <v>1976.0</v>
      </c>
      <c r="B1977" s="8" t="s">
        <v>3360</v>
      </c>
      <c r="C1977" s="8" t="s">
        <v>21</v>
      </c>
      <c r="K1977" s="8">
        <v>100.0</v>
      </c>
      <c r="N1977" s="7">
        <v>45315.0</v>
      </c>
    </row>
    <row r="1978">
      <c r="A1978" s="8">
        <v>1977.0</v>
      </c>
      <c r="B1978" s="8" t="s">
        <v>3362</v>
      </c>
      <c r="C1978" s="8" t="s">
        <v>21</v>
      </c>
      <c r="N1978" s="7">
        <v>42291.0</v>
      </c>
      <c r="O1978" s="8" t="s">
        <v>107</v>
      </c>
      <c r="P1978" s="8" t="s">
        <v>28</v>
      </c>
      <c r="S1978" s="8" t="s">
        <v>32</v>
      </c>
    </row>
    <row r="1979">
      <c r="A1979" s="8">
        <v>1978.0</v>
      </c>
      <c r="B1979" s="8" t="s">
        <v>3363</v>
      </c>
      <c r="C1979" s="8" t="s">
        <v>21</v>
      </c>
      <c r="K1979" s="8">
        <v>100.0</v>
      </c>
      <c r="N1979" s="7">
        <v>46121.0</v>
      </c>
    </row>
    <row r="1980">
      <c r="A1980" s="8">
        <v>1979.0</v>
      </c>
      <c r="B1980" s="8" t="s">
        <v>3365</v>
      </c>
      <c r="C1980" s="8" t="s">
        <v>21</v>
      </c>
      <c r="K1980" s="8">
        <v>200.0</v>
      </c>
      <c r="N1980" s="7">
        <v>44400.0</v>
      </c>
    </row>
    <row r="1981">
      <c r="A1981" s="8">
        <v>1980.0</v>
      </c>
      <c r="B1981" s="8" t="s">
        <v>3366</v>
      </c>
      <c r="C1981" s="8" t="s">
        <v>21</v>
      </c>
      <c r="K1981" s="8">
        <v>90.0</v>
      </c>
      <c r="N1981" s="7">
        <v>44293.0</v>
      </c>
    </row>
    <row r="1982">
      <c r="A1982" s="8">
        <v>1981.0</v>
      </c>
      <c r="B1982" s="8" t="s">
        <v>3368</v>
      </c>
      <c r="C1982" s="8" t="s">
        <v>21</v>
      </c>
      <c r="K1982" s="8">
        <v>30.0</v>
      </c>
      <c r="N1982" s="7">
        <v>44725.0</v>
      </c>
    </row>
    <row r="1983">
      <c r="A1983" s="8">
        <v>1982.0</v>
      </c>
      <c r="B1983" s="8" t="s">
        <v>3369</v>
      </c>
      <c r="C1983" s="8" t="s">
        <v>21</v>
      </c>
      <c r="K1983" s="8">
        <v>60.0</v>
      </c>
      <c r="N1983" s="7">
        <v>44782.0</v>
      </c>
    </row>
    <row r="1984">
      <c r="A1984" s="8">
        <v>1983.0</v>
      </c>
      <c r="B1984" s="8" t="s">
        <v>3371</v>
      </c>
      <c r="C1984" s="8" t="s">
        <v>21</v>
      </c>
      <c r="N1984" s="7">
        <v>45206.0</v>
      </c>
    </row>
    <row r="1985">
      <c r="A1985" s="8">
        <v>1984.0</v>
      </c>
      <c r="B1985" s="8" t="s">
        <v>3372</v>
      </c>
      <c r="C1985" s="8" t="s">
        <v>21</v>
      </c>
      <c r="K1985" s="8">
        <v>30.0</v>
      </c>
      <c r="N1985" s="7">
        <v>44581.0</v>
      </c>
    </row>
    <row r="1986">
      <c r="A1986" s="8">
        <v>1985.0</v>
      </c>
      <c r="B1986" s="8" t="s">
        <v>3373</v>
      </c>
      <c r="C1986" s="8" t="s">
        <v>21</v>
      </c>
      <c r="K1986" s="8">
        <v>800.0</v>
      </c>
      <c r="N1986" s="7">
        <v>44143.0</v>
      </c>
    </row>
    <row r="1987">
      <c r="A1987" s="8">
        <v>1986.0</v>
      </c>
      <c r="B1987" s="8" t="s">
        <v>3375</v>
      </c>
      <c r="C1987" s="8" t="s">
        <v>21</v>
      </c>
      <c r="K1987" s="8">
        <v>90.0</v>
      </c>
      <c r="N1987" s="7">
        <v>44568.0</v>
      </c>
    </row>
    <row r="1988">
      <c r="A1988" s="8">
        <v>1987.0</v>
      </c>
      <c r="B1988" s="8" t="s">
        <v>3376</v>
      </c>
      <c r="C1988" s="8" t="s">
        <v>21</v>
      </c>
      <c r="K1988" s="8">
        <v>150.0</v>
      </c>
      <c r="N1988" s="7">
        <v>44189.0</v>
      </c>
    </row>
    <row r="1989">
      <c r="A1989" s="8">
        <v>1988.0</v>
      </c>
      <c r="B1989" s="8" t="s">
        <v>3378</v>
      </c>
      <c r="C1989" s="8" t="s">
        <v>21</v>
      </c>
      <c r="K1989" s="8">
        <v>70.0</v>
      </c>
      <c r="N1989" s="7">
        <v>44084.0</v>
      </c>
    </row>
    <row r="1990">
      <c r="A1990" s="8">
        <v>1989.0</v>
      </c>
      <c r="B1990" s="8" t="s">
        <v>3379</v>
      </c>
      <c r="C1990" s="8" t="s">
        <v>21</v>
      </c>
      <c r="K1990" s="8">
        <v>1800.0</v>
      </c>
      <c r="N1990" s="7">
        <v>45389.0</v>
      </c>
    </row>
    <row r="1991">
      <c r="A1991" s="8">
        <v>1990.0</v>
      </c>
      <c r="B1991" s="8" t="s">
        <v>3381</v>
      </c>
      <c r="C1991" s="8" t="s">
        <v>21</v>
      </c>
      <c r="K1991" s="8">
        <v>700.0</v>
      </c>
      <c r="N1991" s="7">
        <v>44096.0</v>
      </c>
    </row>
    <row r="1992">
      <c r="A1992" s="8">
        <v>1991.0</v>
      </c>
      <c r="B1992" s="8" t="s">
        <v>3382</v>
      </c>
      <c r="C1992" s="8" t="s">
        <v>21</v>
      </c>
      <c r="K1992" s="8">
        <v>350.0</v>
      </c>
      <c r="N1992" s="7">
        <v>45176.0</v>
      </c>
    </row>
    <row r="1993">
      <c r="A1993" s="8">
        <v>1992.0</v>
      </c>
      <c r="B1993" s="8" t="s">
        <v>3383</v>
      </c>
      <c r="C1993" s="8" t="s">
        <v>21</v>
      </c>
      <c r="K1993" s="8">
        <v>60.0</v>
      </c>
      <c r="N1993" s="7">
        <v>44873.0</v>
      </c>
    </row>
    <row r="1994">
      <c r="A1994" s="8">
        <v>1993.0</v>
      </c>
      <c r="B1994" s="8" t="s">
        <v>3384</v>
      </c>
      <c r="C1994" s="8" t="s">
        <v>21</v>
      </c>
      <c r="D1994" s="8">
        <v>74.0</v>
      </c>
      <c r="H1994" s="8" t="s">
        <v>2658</v>
      </c>
      <c r="I1994" s="9">
        <v>46077.59307870371</v>
      </c>
      <c r="J1994" s="8" t="s">
        <v>545</v>
      </c>
      <c r="K1994" s="8">
        <v>450.0</v>
      </c>
      <c r="L1994" s="8">
        <v>100.0</v>
      </c>
      <c r="M1994" s="8">
        <v>56000.0</v>
      </c>
      <c r="N1994" s="7">
        <v>42423.0</v>
      </c>
      <c r="O1994" s="8" t="s">
        <v>31</v>
      </c>
      <c r="P1994" s="8" t="s">
        <v>28</v>
      </c>
      <c r="S1994" s="8" t="s">
        <v>32</v>
      </c>
    </row>
    <row r="1995">
      <c r="A1995" s="8">
        <v>1994.0</v>
      </c>
      <c r="B1995" s="8" t="s">
        <v>3385</v>
      </c>
      <c r="C1995" s="8" t="s">
        <v>21</v>
      </c>
      <c r="K1995" s="8">
        <v>700.0</v>
      </c>
      <c r="N1995" s="7">
        <v>45780.0</v>
      </c>
    </row>
    <row r="1996">
      <c r="A1996" s="8">
        <v>1995.0</v>
      </c>
      <c r="B1996" s="8" t="s">
        <v>3386</v>
      </c>
      <c r="C1996" s="8" t="s">
        <v>21</v>
      </c>
      <c r="N1996" s="7">
        <v>42581.0</v>
      </c>
      <c r="O1996" s="8" t="s">
        <v>26</v>
      </c>
      <c r="P1996" s="8" t="s">
        <v>28</v>
      </c>
      <c r="S1996" s="8" t="s">
        <v>32</v>
      </c>
    </row>
    <row r="1997">
      <c r="A1997" s="8">
        <v>1996.0</v>
      </c>
      <c r="B1997" s="8" t="s">
        <v>164</v>
      </c>
      <c r="C1997" s="8" t="s">
        <v>21</v>
      </c>
      <c r="K1997" s="8">
        <v>60.0</v>
      </c>
      <c r="N1997" s="7">
        <v>44817.0</v>
      </c>
    </row>
    <row r="1998">
      <c r="A1998" s="8">
        <v>1997.0</v>
      </c>
      <c r="B1998" s="8" t="s">
        <v>3387</v>
      </c>
      <c r="C1998" s="8" t="s">
        <v>21</v>
      </c>
      <c r="K1998" s="8">
        <v>1000.0</v>
      </c>
      <c r="N1998" s="7">
        <v>45790.0</v>
      </c>
    </row>
    <row r="1999">
      <c r="A1999" s="8">
        <v>1998.0</v>
      </c>
      <c r="B1999" s="8" t="s">
        <v>3388</v>
      </c>
      <c r="C1999" s="8" t="s">
        <v>21</v>
      </c>
      <c r="K1999" s="8">
        <v>70.0</v>
      </c>
      <c r="N1999" s="7">
        <v>45189.0</v>
      </c>
    </row>
    <row r="2000">
      <c r="A2000" s="8">
        <v>1999.0</v>
      </c>
      <c r="B2000" s="8" t="s">
        <v>166</v>
      </c>
      <c r="C2000" s="8" t="s">
        <v>21</v>
      </c>
      <c r="K2000" s="8">
        <v>50.0</v>
      </c>
      <c r="N2000" s="7">
        <v>44977.0</v>
      </c>
    </row>
    <row r="2001">
      <c r="A2001" s="8">
        <v>2000.0</v>
      </c>
      <c r="B2001" s="8" t="s">
        <v>3389</v>
      </c>
      <c r="C2001" s="8" t="s">
        <v>21</v>
      </c>
      <c r="K2001" s="8">
        <v>1900.0</v>
      </c>
      <c r="N2001" s="7">
        <v>43897.0</v>
      </c>
    </row>
    <row r="2002">
      <c r="A2002" s="8">
        <v>2001.0</v>
      </c>
      <c r="B2002" s="8" t="s">
        <v>3390</v>
      </c>
      <c r="C2002" s="8" t="s">
        <v>21</v>
      </c>
      <c r="K2002" s="8">
        <v>700.0</v>
      </c>
      <c r="N2002" s="7">
        <v>45316.0</v>
      </c>
    </row>
    <row r="2003">
      <c r="A2003" s="8">
        <v>2002.0</v>
      </c>
      <c r="B2003" s="8" t="s">
        <v>3391</v>
      </c>
      <c r="C2003" s="8" t="s">
        <v>21</v>
      </c>
      <c r="K2003" s="8">
        <v>10.0</v>
      </c>
      <c r="N2003" s="7">
        <v>45075.0</v>
      </c>
    </row>
    <row r="2004">
      <c r="A2004" s="8">
        <v>2003.0</v>
      </c>
      <c r="B2004" s="8" t="s">
        <v>3392</v>
      </c>
      <c r="C2004" s="8" t="s">
        <v>21</v>
      </c>
      <c r="K2004" s="8">
        <v>150.0</v>
      </c>
      <c r="N2004" s="7">
        <v>44981.0</v>
      </c>
    </row>
    <row r="2005">
      <c r="A2005" s="8">
        <v>2004.0</v>
      </c>
      <c r="B2005" s="8" t="s">
        <v>3393</v>
      </c>
      <c r="C2005" s="8" t="s">
        <v>21</v>
      </c>
      <c r="K2005" s="8">
        <v>100.0</v>
      </c>
      <c r="N2005" s="7">
        <v>44592.0</v>
      </c>
    </row>
    <row r="2006">
      <c r="A2006" s="8">
        <v>2005.0</v>
      </c>
      <c r="B2006" s="8" t="s">
        <v>3394</v>
      </c>
      <c r="C2006" s="8" t="s">
        <v>21</v>
      </c>
      <c r="K2006" s="8">
        <v>1400.0</v>
      </c>
      <c r="N2006" s="7">
        <v>43936.0</v>
      </c>
    </row>
    <row r="2007">
      <c r="A2007" s="8">
        <v>2006.0</v>
      </c>
      <c r="B2007" s="8" t="s">
        <v>3395</v>
      </c>
      <c r="C2007" s="8" t="s">
        <v>21</v>
      </c>
      <c r="K2007" s="8">
        <v>250.0</v>
      </c>
      <c r="N2007" s="7">
        <v>44544.0</v>
      </c>
    </row>
    <row r="2008">
      <c r="A2008" s="8">
        <v>2007.0</v>
      </c>
      <c r="B2008" s="8" t="s">
        <v>3396</v>
      </c>
      <c r="C2008" s="8" t="s">
        <v>21</v>
      </c>
      <c r="K2008" s="8">
        <v>800.0</v>
      </c>
      <c r="N2008" s="7">
        <v>45873.0</v>
      </c>
    </row>
    <row r="2009">
      <c r="A2009" s="8">
        <v>2008.0</v>
      </c>
      <c r="B2009" s="8" t="s">
        <v>3397</v>
      </c>
      <c r="C2009" s="8" t="s">
        <v>21</v>
      </c>
      <c r="K2009" s="8">
        <v>10.0</v>
      </c>
      <c r="N2009" s="7">
        <v>44811.0</v>
      </c>
    </row>
    <row r="2010">
      <c r="A2010" s="8">
        <v>2009.0</v>
      </c>
      <c r="B2010" s="8" t="s">
        <v>3398</v>
      </c>
      <c r="C2010" s="8" t="s">
        <v>21</v>
      </c>
      <c r="K2010" s="8">
        <v>100.0</v>
      </c>
      <c r="N2010" s="7">
        <v>44307.0</v>
      </c>
    </row>
    <row r="2011">
      <c r="A2011" s="8">
        <v>2010.0</v>
      </c>
      <c r="B2011" s="8" t="s">
        <v>3399</v>
      </c>
      <c r="C2011" s="8" t="s">
        <v>21</v>
      </c>
      <c r="K2011" s="8">
        <v>80.0</v>
      </c>
      <c r="N2011" s="7">
        <v>42717.0</v>
      </c>
    </row>
    <row r="2012">
      <c r="A2012" s="8">
        <v>2011.0</v>
      </c>
      <c r="B2012" s="8" t="s">
        <v>3400</v>
      </c>
      <c r="C2012" s="8" t="s">
        <v>21</v>
      </c>
      <c r="K2012" s="8">
        <v>600.0</v>
      </c>
      <c r="N2012" s="7">
        <v>45252.0</v>
      </c>
    </row>
    <row r="2013">
      <c r="A2013" s="8">
        <v>2012.0</v>
      </c>
      <c r="B2013" s="8" t="s">
        <v>3401</v>
      </c>
      <c r="C2013" s="8" t="s">
        <v>21</v>
      </c>
      <c r="K2013" s="8">
        <v>100.0</v>
      </c>
      <c r="N2013" s="7">
        <v>43977.0</v>
      </c>
    </row>
    <row r="2014">
      <c r="A2014" s="8">
        <v>2013.0</v>
      </c>
      <c r="B2014" s="8" t="s">
        <v>3402</v>
      </c>
      <c r="C2014" s="8" t="s">
        <v>21</v>
      </c>
      <c r="K2014" s="8">
        <v>600.0</v>
      </c>
      <c r="N2014" s="7">
        <v>44999.0</v>
      </c>
    </row>
    <row r="2015">
      <c r="A2015" s="8">
        <v>2014.0</v>
      </c>
      <c r="B2015" s="8" t="s">
        <v>3403</v>
      </c>
      <c r="C2015" s="8" t="s">
        <v>21</v>
      </c>
      <c r="K2015" s="8">
        <v>30.0</v>
      </c>
      <c r="N2015" s="7">
        <v>43970.0</v>
      </c>
      <c r="O2015" s="8" t="s">
        <v>147</v>
      </c>
      <c r="P2015" s="8" t="s">
        <v>28</v>
      </c>
      <c r="S2015" s="8" t="s">
        <v>32</v>
      </c>
    </row>
    <row r="2016">
      <c r="A2016" s="8">
        <v>2015.0</v>
      </c>
      <c r="B2016" s="8" t="s">
        <v>3404</v>
      </c>
      <c r="C2016" s="8" t="s">
        <v>21</v>
      </c>
      <c r="K2016" s="8">
        <v>10.0</v>
      </c>
      <c r="N2016" s="7">
        <v>43978.0</v>
      </c>
    </row>
    <row r="2017">
      <c r="A2017" s="8">
        <v>2016.0</v>
      </c>
      <c r="B2017" s="8" t="s">
        <v>3405</v>
      </c>
      <c r="C2017" s="8" t="s">
        <v>21</v>
      </c>
      <c r="K2017" s="8">
        <v>4100.0</v>
      </c>
      <c r="N2017" s="7">
        <v>44103.0</v>
      </c>
    </row>
    <row r="2018">
      <c r="A2018" s="8">
        <v>2017.0</v>
      </c>
      <c r="B2018" s="8" t="s">
        <v>3406</v>
      </c>
      <c r="C2018" s="8" t="s">
        <v>21</v>
      </c>
      <c r="K2018" s="8">
        <v>10.0</v>
      </c>
      <c r="N2018" s="7">
        <v>44326.0</v>
      </c>
    </row>
    <row r="2019">
      <c r="A2019" s="8">
        <v>2018.0</v>
      </c>
      <c r="B2019" s="8" t="s">
        <v>3407</v>
      </c>
      <c r="C2019" s="8" t="s">
        <v>21</v>
      </c>
      <c r="K2019" s="8">
        <v>200.0</v>
      </c>
      <c r="N2019" s="7">
        <v>44257.0</v>
      </c>
    </row>
    <row r="2020">
      <c r="A2020" s="8">
        <v>2019.0</v>
      </c>
      <c r="B2020" s="8" t="s">
        <v>3408</v>
      </c>
      <c r="C2020" s="8" t="s">
        <v>21</v>
      </c>
      <c r="N2020" s="7">
        <v>44101.0</v>
      </c>
    </row>
    <row r="2021">
      <c r="A2021" s="8">
        <v>2020.0</v>
      </c>
      <c r="B2021" s="8" t="s">
        <v>3409</v>
      </c>
      <c r="C2021" s="8" t="s">
        <v>21</v>
      </c>
      <c r="N2021" s="7">
        <v>44347.0</v>
      </c>
    </row>
    <row r="2022">
      <c r="A2022" s="8">
        <v>2021.0</v>
      </c>
      <c r="B2022" s="8" t="s">
        <v>3410</v>
      </c>
      <c r="C2022" s="8" t="s">
        <v>21</v>
      </c>
      <c r="K2022" s="8">
        <v>400.0</v>
      </c>
      <c r="N2022" s="7">
        <v>42278.0</v>
      </c>
    </row>
    <row r="2023">
      <c r="A2023" s="8">
        <v>2022.0</v>
      </c>
      <c r="B2023" s="8" t="s">
        <v>3411</v>
      </c>
      <c r="C2023" s="8" t="s">
        <v>21</v>
      </c>
      <c r="K2023" s="8">
        <v>4500.0</v>
      </c>
      <c r="N2023" s="7">
        <v>44339.0</v>
      </c>
    </row>
    <row r="2024">
      <c r="A2024" s="8">
        <v>2023.0</v>
      </c>
      <c r="B2024" s="8" t="s">
        <v>3412</v>
      </c>
      <c r="C2024" s="8" t="s">
        <v>21</v>
      </c>
      <c r="K2024" s="8">
        <v>150.0</v>
      </c>
      <c r="N2024" s="7">
        <v>45248.0</v>
      </c>
    </row>
    <row r="2025">
      <c r="A2025" s="8">
        <v>2024.0</v>
      </c>
      <c r="B2025" s="8" t="s">
        <v>3413</v>
      </c>
      <c r="C2025" s="8" t="s">
        <v>21</v>
      </c>
      <c r="K2025" s="8">
        <v>2300.0</v>
      </c>
      <c r="N2025" s="7">
        <v>43872.0</v>
      </c>
    </row>
    <row r="2026">
      <c r="A2026" s="8">
        <v>2025.0</v>
      </c>
      <c r="B2026" s="8" t="s">
        <v>3414</v>
      </c>
      <c r="C2026" s="8" t="s">
        <v>21</v>
      </c>
      <c r="K2026" s="8">
        <v>800.0</v>
      </c>
      <c r="N2026" s="7">
        <v>43978.0</v>
      </c>
    </row>
    <row r="2027">
      <c r="A2027" s="8">
        <v>2026.0</v>
      </c>
      <c r="B2027" s="8" t="s">
        <v>3415</v>
      </c>
      <c r="C2027" s="8" t="s">
        <v>21</v>
      </c>
      <c r="K2027" s="8">
        <v>3500.0</v>
      </c>
      <c r="N2027" s="7">
        <v>45056.0</v>
      </c>
    </row>
    <row r="2028">
      <c r="A2028" s="8">
        <v>2027.0</v>
      </c>
      <c r="B2028" s="8" t="s">
        <v>3416</v>
      </c>
      <c r="C2028" s="8" t="s">
        <v>21</v>
      </c>
      <c r="N2028" s="7">
        <v>44873.0</v>
      </c>
    </row>
    <row r="2029">
      <c r="A2029" s="8">
        <v>2028.0</v>
      </c>
      <c r="B2029" s="8" t="s">
        <v>3417</v>
      </c>
      <c r="C2029" s="8" t="s">
        <v>21</v>
      </c>
      <c r="N2029" s="7">
        <v>45349.0</v>
      </c>
    </row>
    <row r="2030">
      <c r="A2030" s="8">
        <v>2029.0</v>
      </c>
      <c r="B2030" s="8" t="s">
        <v>3418</v>
      </c>
      <c r="C2030" s="8" t="s">
        <v>21</v>
      </c>
      <c r="K2030" s="8">
        <v>50.0</v>
      </c>
      <c r="N2030" s="7">
        <v>45007.0</v>
      </c>
    </row>
    <row r="2031">
      <c r="A2031" s="8">
        <v>2030.0</v>
      </c>
      <c r="B2031" s="8" t="s">
        <v>3419</v>
      </c>
      <c r="C2031" s="8" t="s">
        <v>21</v>
      </c>
      <c r="K2031" s="8">
        <v>50.0</v>
      </c>
      <c r="N2031" s="7">
        <v>45233.0</v>
      </c>
    </row>
    <row r="2032">
      <c r="A2032" s="8">
        <v>2031.0</v>
      </c>
      <c r="B2032" s="8" t="s">
        <v>3420</v>
      </c>
      <c r="C2032" s="8" t="s">
        <v>21</v>
      </c>
      <c r="K2032" s="8">
        <v>50.0</v>
      </c>
      <c r="N2032" s="7">
        <v>44239.0</v>
      </c>
    </row>
    <row r="2033">
      <c r="A2033" s="8">
        <v>2032.0</v>
      </c>
      <c r="B2033" s="8" t="s">
        <v>3421</v>
      </c>
      <c r="C2033" s="8" t="s">
        <v>21</v>
      </c>
      <c r="K2033" s="8">
        <v>250.0</v>
      </c>
      <c r="N2033" s="7">
        <v>44955.0</v>
      </c>
    </row>
    <row r="2034">
      <c r="A2034" s="8">
        <v>2033.0</v>
      </c>
      <c r="B2034" s="8" t="s">
        <v>3422</v>
      </c>
      <c r="C2034" s="8" t="s">
        <v>21</v>
      </c>
      <c r="K2034" s="8">
        <v>1100.0</v>
      </c>
      <c r="N2034" s="7">
        <v>45601.0</v>
      </c>
    </row>
    <row r="2035">
      <c r="A2035" s="8">
        <v>2034.0</v>
      </c>
      <c r="B2035" s="8" t="s">
        <v>3423</v>
      </c>
      <c r="C2035" s="8" t="s">
        <v>21</v>
      </c>
      <c r="K2035" s="8">
        <v>2500.0</v>
      </c>
      <c r="N2035" s="7">
        <v>44615.0</v>
      </c>
    </row>
    <row r="2036">
      <c r="A2036" s="8">
        <v>2035.0</v>
      </c>
      <c r="B2036" s="8" t="s">
        <v>3424</v>
      </c>
      <c r="C2036" s="8" t="s">
        <v>21</v>
      </c>
      <c r="K2036" s="8">
        <v>10.0</v>
      </c>
      <c r="N2036" s="7">
        <v>45984.0</v>
      </c>
    </row>
    <row r="2037">
      <c r="A2037" s="8">
        <v>2036.0</v>
      </c>
      <c r="B2037" s="8" t="s">
        <v>3425</v>
      </c>
      <c r="C2037" s="8" t="s">
        <v>21</v>
      </c>
      <c r="K2037" s="8">
        <v>150.0</v>
      </c>
      <c r="N2037" s="7">
        <v>44439.0</v>
      </c>
    </row>
    <row r="2038">
      <c r="A2038" s="8">
        <v>2037.0</v>
      </c>
      <c r="B2038" s="8" t="s">
        <v>3426</v>
      </c>
      <c r="C2038" s="8" t="s">
        <v>21</v>
      </c>
      <c r="K2038" s="8">
        <v>1300.0</v>
      </c>
      <c r="N2038" s="7">
        <v>44250.0</v>
      </c>
    </row>
    <row r="2039">
      <c r="A2039" s="8">
        <v>2038.0</v>
      </c>
      <c r="B2039" s="8" t="s">
        <v>3427</v>
      </c>
      <c r="C2039" s="8" t="s">
        <v>21</v>
      </c>
      <c r="N2039" s="7">
        <v>44231.0</v>
      </c>
    </row>
    <row r="2040">
      <c r="A2040" s="8">
        <v>2039.0</v>
      </c>
      <c r="B2040" s="8" t="s">
        <v>3428</v>
      </c>
      <c r="C2040" s="8" t="s">
        <v>21</v>
      </c>
      <c r="N2040" s="7">
        <v>42396.0</v>
      </c>
    </row>
    <row r="2041">
      <c r="A2041" s="8">
        <v>2040.0</v>
      </c>
      <c r="B2041" s="8" t="s">
        <v>3429</v>
      </c>
      <c r="C2041" s="8" t="s">
        <v>21</v>
      </c>
      <c r="K2041" s="8">
        <v>400.0</v>
      </c>
      <c r="N2041" s="7">
        <v>44705.0</v>
      </c>
    </row>
    <row r="2042">
      <c r="A2042" s="8">
        <v>2041.0</v>
      </c>
      <c r="B2042" s="8" t="s">
        <v>3430</v>
      </c>
      <c r="C2042" s="8" t="s">
        <v>21</v>
      </c>
      <c r="N2042" s="7">
        <v>44260.0</v>
      </c>
    </row>
    <row r="2043">
      <c r="A2043" s="8">
        <v>2042.0</v>
      </c>
      <c r="B2043" s="8" t="s">
        <v>3431</v>
      </c>
      <c r="C2043" s="8" t="s">
        <v>21</v>
      </c>
      <c r="K2043" s="8">
        <v>60.0</v>
      </c>
      <c r="N2043" s="7">
        <v>44623.0</v>
      </c>
    </row>
    <row r="2044">
      <c r="A2044" s="8">
        <v>2043.0</v>
      </c>
      <c r="B2044" s="8" t="s">
        <v>3432</v>
      </c>
      <c r="C2044" s="8" t="s">
        <v>21</v>
      </c>
      <c r="N2044" s="7">
        <v>44654.0</v>
      </c>
    </row>
    <row r="2045">
      <c r="A2045" s="8">
        <v>2044.0</v>
      </c>
      <c r="B2045" s="8" t="s">
        <v>3433</v>
      </c>
      <c r="C2045" s="8" t="s">
        <v>21</v>
      </c>
      <c r="K2045" s="8">
        <v>150.0</v>
      </c>
      <c r="N2045" s="7">
        <v>44632.0</v>
      </c>
    </row>
    <row r="2046">
      <c r="A2046" s="8">
        <v>2045.0</v>
      </c>
      <c r="B2046" s="8" t="s">
        <v>3434</v>
      </c>
      <c r="C2046" s="8" t="s">
        <v>21</v>
      </c>
      <c r="K2046" s="8">
        <v>250.0</v>
      </c>
      <c r="N2046" s="7">
        <v>44986.0</v>
      </c>
    </row>
    <row r="2047">
      <c r="A2047" s="8">
        <v>2046.0</v>
      </c>
      <c r="B2047" s="8" t="s">
        <v>3435</v>
      </c>
      <c r="C2047" s="8" t="s">
        <v>21</v>
      </c>
      <c r="K2047" s="8">
        <v>600.0</v>
      </c>
      <c r="N2047" s="7">
        <v>44750.0</v>
      </c>
    </row>
    <row r="2048">
      <c r="A2048" s="8">
        <v>2047.0</v>
      </c>
      <c r="B2048" s="8" t="s">
        <v>3436</v>
      </c>
      <c r="C2048" s="8" t="s">
        <v>21</v>
      </c>
      <c r="K2048" s="8">
        <v>200.0</v>
      </c>
      <c r="N2048" s="7">
        <v>44897.0</v>
      </c>
    </row>
    <row r="2049">
      <c r="A2049" s="8">
        <v>2048.0</v>
      </c>
      <c r="B2049" s="8" t="s">
        <v>3437</v>
      </c>
      <c r="C2049" s="8" t="s">
        <v>21</v>
      </c>
      <c r="K2049" s="8">
        <v>30.0</v>
      </c>
      <c r="N2049" s="7">
        <v>44714.0</v>
      </c>
    </row>
    <row r="2050">
      <c r="A2050" s="8">
        <v>2049.0</v>
      </c>
      <c r="B2050" s="8" t="s">
        <v>3438</v>
      </c>
      <c r="C2050" s="8" t="s">
        <v>21</v>
      </c>
      <c r="N2050" s="7">
        <v>44773.0</v>
      </c>
    </row>
    <row r="2051">
      <c r="A2051" s="8">
        <v>2050.0</v>
      </c>
      <c r="B2051" s="8" t="s">
        <v>3439</v>
      </c>
      <c r="C2051" s="8" t="s">
        <v>21</v>
      </c>
      <c r="K2051" s="8">
        <v>150.0</v>
      </c>
      <c r="N2051" s="7">
        <v>44518.0</v>
      </c>
    </row>
    <row r="2052">
      <c r="A2052" s="8">
        <v>2051.0</v>
      </c>
      <c r="B2052" s="8" t="s">
        <v>3440</v>
      </c>
      <c r="C2052" s="8" t="s">
        <v>21</v>
      </c>
      <c r="K2052" s="8">
        <v>100.0</v>
      </c>
      <c r="N2052" s="7">
        <v>44454.0</v>
      </c>
    </row>
    <row r="2053">
      <c r="A2053" s="8">
        <v>2052.0</v>
      </c>
      <c r="B2053" s="8" t="s">
        <v>3441</v>
      </c>
      <c r="C2053" s="8" t="s">
        <v>21</v>
      </c>
      <c r="K2053" s="8">
        <v>28000.0</v>
      </c>
      <c r="N2053" s="7">
        <v>45071.0</v>
      </c>
    </row>
    <row r="2054">
      <c r="A2054" s="8">
        <v>2053.0</v>
      </c>
      <c r="B2054" s="8" t="s">
        <v>3442</v>
      </c>
      <c r="C2054" s="8" t="s">
        <v>21</v>
      </c>
      <c r="K2054" s="8">
        <v>3800.0</v>
      </c>
      <c r="N2054" s="7">
        <v>45034.0</v>
      </c>
    </row>
    <row r="2055">
      <c r="A2055" s="8">
        <v>2054.0</v>
      </c>
      <c r="B2055" s="8" t="s">
        <v>3443</v>
      </c>
      <c r="C2055" s="8" t="s">
        <v>21</v>
      </c>
      <c r="K2055" s="8">
        <v>10.0</v>
      </c>
      <c r="N2055" s="7">
        <v>45654.0</v>
      </c>
    </row>
    <row r="2056">
      <c r="A2056" s="8">
        <v>2055.0</v>
      </c>
      <c r="B2056" s="8" t="s">
        <v>169</v>
      </c>
      <c r="C2056" s="8" t="s">
        <v>21</v>
      </c>
      <c r="K2056" s="8">
        <v>100.0</v>
      </c>
      <c r="N2056" s="7">
        <v>44059.0</v>
      </c>
    </row>
    <row r="2057">
      <c r="A2057" s="8">
        <v>2056.0</v>
      </c>
      <c r="B2057" s="8" t="s">
        <v>3444</v>
      </c>
      <c r="C2057" s="8" t="s">
        <v>21</v>
      </c>
      <c r="K2057" s="8">
        <v>1300.0</v>
      </c>
      <c r="N2057" s="7">
        <v>44256.0</v>
      </c>
    </row>
    <row r="2058">
      <c r="A2058" s="8">
        <v>2057.0</v>
      </c>
      <c r="B2058" s="8" t="s">
        <v>3445</v>
      </c>
      <c r="C2058" s="8" t="s">
        <v>21</v>
      </c>
      <c r="K2058" s="8">
        <v>1300.0</v>
      </c>
      <c r="N2058" s="7">
        <v>45578.0</v>
      </c>
    </row>
    <row r="2059">
      <c r="A2059" s="8">
        <v>2058.0</v>
      </c>
      <c r="B2059" s="8" t="s">
        <v>3446</v>
      </c>
      <c r="C2059" s="8" t="s">
        <v>21</v>
      </c>
      <c r="K2059" s="8">
        <v>20.0</v>
      </c>
      <c r="N2059" s="7">
        <v>44332.0</v>
      </c>
    </row>
    <row r="2060">
      <c r="A2060" s="8">
        <v>2059.0</v>
      </c>
      <c r="B2060" s="8" t="s">
        <v>3447</v>
      </c>
      <c r="C2060" s="8" t="s">
        <v>21</v>
      </c>
      <c r="N2060" s="7">
        <v>45513.0</v>
      </c>
    </row>
    <row r="2061">
      <c r="A2061" s="8">
        <v>2060.0</v>
      </c>
      <c r="B2061" s="8" t="s">
        <v>3448</v>
      </c>
      <c r="C2061" s="8" t="s">
        <v>21</v>
      </c>
      <c r="K2061" s="8">
        <v>1200.0</v>
      </c>
      <c r="N2061" s="7">
        <v>43905.0</v>
      </c>
    </row>
    <row r="2062">
      <c r="A2062" s="8">
        <v>2061.0</v>
      </c>
      <c r="B2062" s="8" t="s">
        <v>3449</v>
      </c>
      <c r="C2062" s="8" t="s">
        <v>21</v>
      </c>
      <c r="N2062" s="7">
        <v>45520.0</v>
      </c>
    </row>
    <row r="2063">
      <c r="A2063" s="8">
        <v>2062.0</v>
      </c>
      <c r="B2063" s="8" t="s">
        <v>3450</v>
      </c>
      <c r="C2063" s="8" t="s">
        <v>21</v>
      </c>
      <c r="K2063" s="8">
        <v>200.0</v>
      </c>
      <c r="N2063" s="7">
        <v>44188.0</v>
      </c>
    </row>
    <row r="2064">
      <c r="A2064" s="8">
        <v>2063.0</v>
      </c>
      <c r="B2064" s="8" t="s">
        <v>3451</v>
      </c>
      <c r="C2064" s="8" t="s">
        <v>21</v>
      </c>
      <c r="K2064" s="8">
        <v>150.0</v>
      </c>
      <c r="N2064" s="7">
        <v>43879.0</v>
      </c>
    </row>
    <row r="2065">
      <c r="A2065" s="8">
        <v>2064.0</v>
      </c>
      <c r="B2065" s="8" t="s">
        <v>3452</v>
      </c>
      <c r="C2065" s="8" t="s">
        <v>21</v>
      </c>
      <c r="N2065" s="7">
        <v>44786.0</v>
      </c>
      <c r="O2065" s="8" t="s">
        <v>147</v>
      </c>
      <c r="P2065" s="8" t="s">
        <v>28</v>
      </c>
      <c r="S2065" s="8" t="s">
        <v>32</v>
      </c>
    </row>
    <row r="2066">
      <c r="A2066" s="8">
        <v>2065.0</v>
      </c>
      <c r="B2066" s="8" t="s">
        <v>3453</v>
      </c>
      <c r="C2066" s="8" t="s">
        <v>21</v>
      </c>
      <c r="K2066" s="8">
        <v>700.0</v>
      </c>
      <c r="N2066" s="7">
        <v>44587.0</v>
      </c>
    </row>
    <row r="2067">
      <c r="A2067" s="8">
        <v>2066.0</v>
      </c>
      <c r="B2067" s="8" t="s">
        <v>3454</v>
      </c>
      <c r="C2067" s="8" t="s">
        <v>21</v>
      </c>
      <c r="K2067" s="8">
        <v>5100.0</v>
      </c>
      <c r="N2067" s="7">
        <v>44460.0</v>
      </c>
    </row>
    <row r="2068">
      <c r="A2068" s="8">
        <v>2067.0</v>
      </c>
      <c r="B2068" s="8" t="s">
        <v>3455</v>
      </c>
      <c r="C2068" s="8" t="s">
        <v>21</v>
      </c>
      <c r="K2068" s="8">
        <v>100.0</v>
      </c>
      <c r="N2068" s="7">
        <v>45068.0</v>
      </c>
    </row>
    <row r="2069">
      <c r="A2069" s="8">
        <v>2068.0</v>
      </c>
      <c r="B2069" s="8" t="s">
        <v>3456</v>
      </c>
      <c r="C2069" s="8" t="s">
        <v>21</v>
      </c>
      <c r="N2069" s="7">
        <v>45487.0</v>
      </c>
    </row>
    <row r="2070">
      <c r="A2070" s="8">
        <v>2069.0</v>
      </c>
      <c r="B2070" s="8" t="s">
        <v>3457</v>
      </c>
      <c r="C2070" s="8" t="s">
        <v>21</v>
      </c>
      <c r="K2070" s="8">
        <v>60.0</v>
      </c>
      <c r="N2070" s="7">
        <v>44629.0</v>
      </c>
    </row>
    <row r="2071">
      <c r="A2071" s="8">
        <v>2070.0</v>
      </c>
      <c r="B2071" s="8" t="s">
        <v>3458</v>
      </c>
      <c r="C2071" s="8" t="s">
        <v>21</v>
      </c>
      <c r="K2071" s="8">
        <v>400.0</v>
      </c>
      <c r="N2071" s="7">
        <v>44059.0</v>
      </c>
    </row>
    <row r="2072">
      <c r="A2072" s="8">
        <v>2071.0</v>
      </c>
      <c r="B2072" s="8" t="s">
        <v>3459</v>
      </c>
      <c r="C2072" s="8" t="s">
        <v>21</v>
      </c>
      <c r="K2072" s="8">
        <v>100.0</v>
      </c>
      <c r="N2072" s="7">
        <v>45284.0</v>
      </c>
    </row>
    <row r="2073">
      <c r="A2073" s="8">
        <v>2072.0</v>
      </c>
      <c r="B2073" s="8" t="s">
        <v>172</v>
      </c>
      <c r="C2073" s="8" t="s">
        <v>21</v>
      </c>
      <c r="K2073" s="8">
        <v>10.0</v>
      </c>
      <c r="N2073" s="7">
        <v>45049.0</v>
      </c>
    </row>
    <row r="2074">
      <c r="A2074" s="8">
        <v>2073.0</v>
      </c>
      <c r="B2074" s="8" t="s">
        <v>178</v>
      </c>
      <c r="C2074" s="8" t="s">
        <v>21</v>
      </c>
      <c r="K2074" s="8">
        <v>10.0</v>
      </c>
      <c r="N2074" s="7">
        <v>42442.0</v>
      </c>
    </row>
    <row r="2075">
      <c r="A2075" s="8">
        <v>2074.0</v>
      </c>
      <c r="B2075" s="8" t="s">
        <v>3460</v>
      </c>
      <c r="C2075" s="8" t="s">
        <v>21</v>
      </c>
      <c r="K2075" s="8">
        <v>700.0</v>
      </c>
      <c r="N2075" s="7">
        <v>45688.0</v>
      </c>
    </row>
    <row r="2076">
      <c r="A2076" s="8">
        <v>2075.0</v>
      </c>
      <c r="B2076" s="8" t="s">
        <v>3461</v>
      </c>
      <c r="C2076" s="8" t="s">
        <v>21</v>
      </c>
      <c r="N2076" s="7">
        <v>44418.0</v>
      </c>
    </row>
    <row r="2077">
      <c r="A2077" s="8">
        <v>2076.0</v>
      </c>
      <c r="B2077" s="8" t="s">
        <v>3462</v>
      </c>
      <c r="C2077" s="8" t="s">
        <v>21</v>
      </c>
      <c r="N2077" s="7">
        <v>43961.0</v>
      </c>
    </row>
    <row r="2078">
      <c r="A2078" s="8">
        <v>2077.0</v>
      </c>
      <c r="B2078" s="8" t="s">
        <v>3463</v>
      </c>
      <c r="C2078" s="8" t="s">
        <v>21</v>
      </c>
      <c r="K2078" s="8">
        <v>10000.0</v>
      </c>
      <c r="N2078" s="7">
        <v>43149.0</v>
      </c>
      <c r="O2078" s="8" t="s">
        <v>147</v>
      </c>
      <c r="P2078" s="8" t="s">
        <v>28</v>
      </c>
      <c r="S2078" s="8" t="s">
        <v>32</v>
      </c>
    </row>
    <row r="2079">
      <c r="A2079" s="8">
        <v>2078.0</v>
      </c>
      <c r="B2079" s="8" t="s">
        <v>3464</v>
      </c>
      <c r="C2079" s="8" t="s">
        <v>21</v>
      </c>
      <c r="K2079" s="8">
        <v>60.0</v>
      </c>
      <c r="N2079" s="7">
        <v>44188.0</v>
      </c>
    </row>
    <row r="2080">
      <c r="A2080" s="8">
        <v>2079.0</v>
      </c>
      <c r="B2080" s="8" t="s">
        <v>3465</v>
      </c>
      <c r="C2080" s="8" t="s">
        <v>21</v>
      </c>
      <c r="K2080" s="8">
        <v>800.0</v>
      </c>
      <c r="N2080" s="7">
        <v>43897.0</v>
      </c>
    </row>
    <row r="2081">
      <c r="A2081" s="8">
        <v>2080.0</v>
      </c>
      <c r="B2081" s="8" t="s">
        <v>3466</v>
      </c>
      <c r="C2081" s="8" t="s">
        <v>21</v>
      </c>
      <c r="K2081" s="8">
        <v>70.0</v>
      </c>
      <c r="N2081" s="7">
        <v>45092.0</v>
      </c>
    </row>
    <row r="2082">
      <c r="A2082" s="8">
        <v>2081.0</v>
      </c>
      <c r="B2082" s="8" t="s">
        <v>3467</v>
      </c>
      <c r="C2082" s="8" t="s">
        <v>21</v>
      </c>
      <c r="K2082" s="8">
        <v>10.0</v>
      </c>
      <c r="N2082" s="7">
        <v>44085.0</v>
      </c>
    </row>
    <row r="2083">
      <c r="A2083" s="8">
        <v>2082.0</v>
      </c>
      <c r="B2083" s="8" t="s">
        <v>3468</v>
      </c>
      <c r="C2083" s="8" t="s">
        <v>21</v>
      </c>
      <c r="K2083" s="8">
        <v>450.0</v>
      </c>
      <c r="N2083" s="7">
        <v>43963.0</v>
      </c>
    </row>
    <row r="2084">
      <c r="A2084" s="8">
        <v>2083.0</v>
      </c>
      <c r="B2084" s="8" t="s">
        <v>3469</v>
      </c>
      <c r="C2084" s="8" t="s">
        <v>21</v>
      </c>
      <c r="K2084" s="8">
        <v>350.0</v>
      </c>
      <c r="N2084" s="7">
        <v>45122.0</v>
      </c>
    </row>
    <row r="2085">
      <c r="A2085" s="8">
        <v>2084.0</v>
      </c>
      <c r="B2085" s="8" t="s">
        <v>3470</v>
      </c>
      <c r="C2085" s="8" t="s">
        <v>21</v>
      </c>
      <c r="K2085" s="8">
        <v>250.0</v>
      </c>
      <c r="N2085" s="7">
        <v>44541.0</v>
      </c>
    </row>
    <row r="2086">
      <c r="A2086" s="8">
        <v>2085.0</v>
      </c>
      <c r="B2086" s="8" t="s">
        <v>3471</v>
      </c>
      <c r="C2086" s="8" t="s">
        <v>21</v>
      </c>
      <c r="N2086" s="7">
        <v>42801.0</v>
      </c>
      <c r="O2086" s="8" t="s">
        <v>26</v>
      </c>
      <c r="P2086" s="8" t="s">
        <v>28</v>
      </c>
      <c r="S2086" s="8" t="s">
        <v>32</v>
      </c>
    </row>
    <row r="2087">
      <c r="A2087" s="8">
        <v>2086.0</v>
      </c>
      <c r="B2087" s="8" t="s">
        <v>3472</v>
      </c>
      <c r="C2087" s="8" t="s">
        <v>21</v>
      </c>
      <c r="K2087" s="8">
        <v>700.0</v>
      </c>
      <c r="N2087" s="7">
        <v>44525.0</v>
      </c>
    </row>
    <row r="2088">
      <c r="A2088" s="8">
        <v>2087.0</v>
      </c>
      <c r="B2088" s="8" t="s">
        <v>3473</v>
      </c>
      <c r="C2088" s="8" t="s">
        <v>21</v>
      </c>
      <c r="K2088" s="8">
        <v>100.0</v>
      </c>
      <c r="N2088" s="7">
        <v>44355.0</v>
      </c>
    </row>
    <row r="2089">
      <c r="A2089" s="8">
        <v>2088.0</v>
      </c>
      <c r="B2089" s="8" t="s">
        <v>3474</v>
      </c>
      <c r="C2089" s="8" t="s">
        <v>21</v>
      </c>
      <c r="K2089" s="8">
        <v>150.0</v>
      </c>
      <c r="N2089" s="7">
        <v>44903.0</v>
      </c>
    </row>
    <row r="2090">
      <c r="A2090" s="8">
        <v>2089.0</v>
      </c>
      <c r="B2090" s="8" t="s">
        <v>3475</v>
      </c>
      <c r="C2090" s="8" t="s">
        <v>21</v>
      </c>
      <c r="K2090" s="8">
        <v>100.0</v>
      </c>
      <c r="N2090" s="7">
        <v>44078.0</v>
      </c>
    </row>
    <row r="2091">
      <c r="A2091" s="8">
        <v>2090.0</v>
      </c>
      <c r="B2091" s="8" t="s">
        <v>3476</v>
      </c>
      <c r="C2091" s="8" t="s">
        <v>21</v>
      </c>
      <c r="K2091" s="8">
        <v>20.0</v>
      </c>
      <c r="N2091" s="7">
        <v>45620.0</v>
      </c>
    </row>
    <row r="2092">
      <c r="A2092" s="8">
        <v>2091.0</v>
      </c>
      <c r="B2092" s="8" t="s">
        <v>175</v>
      </c>
      <c r="C2092" s="8" t="s">
        <v>21</v>
      </c>
      <c r="K2092" s="8">
        <v>10.0</v>
      </c>
      <c r="N2092" s="7">
        <v>44212.0</v>
      </c>
    </row>
    <row r="2093">
      <c r="A2093" s="8">
        <v>2092.0</v>
      </c>
      <c r="B2093" s="8" t="s">
        <v>3477</v>
      </c>
      <c r="C2093" s="8" t="s">
        <v>21</v>
      </c>
      <c r="K2093" s="8">
        <v>1300.0</v>
      </c>
      <c r="N2093" s="7">
        <v>44581.0</v>
      </c>
    </row>
    <row r="2094">
      <c r="A2094" s="8">
        <v>2093.0</v>
      </c>
      <c r="B2094" s="8" t="s">
        <v>3478</v>
      </c>
      <c r="C2094" s="8" t="s">
        <v>21</v>
      </c>
      <c r="K2094" s="8">
        <v>300.0</v>
      </c>
      <c r="N2094" s="7">
        <v>44630.0</v>
      </c>
    </row>
    <row r="2095">
      <c r="A2095" s="8">
        <v>2094.0</v>
      </c>
      <c r="B2095" s="8" t="s">
        <v>3479</v>
      </c>
      <c r="C2095" s="8" t="s">
        <v>21</v>
      </c>
      <c r="K2095" s="8">
        <v>250.0</v>
      </c>
      <c r="N2095" s="7">
        <v>44142.0</v>
      </c>
    </row>
    <row r="2096">
      <c r="A2096" s="8">
        <v>2095.0</v>
      </c>
      <c r="B2096" s="8" t="s">
        <v>3480</v>
      </c>
      <c r="C2096" s="8" t="s">
        <v>21</v>
      </c>
      <c r="N2096" s="7">
        <v>45083.0</v>
      </c>
    </row>
    <row r="2097">
      <c r="A2097" s="8">
        <v>2096.0</v>
      </c>
      <c r="B2097" s="8" t="s">
        <v>3481</v>
      </c>
      <c r="C2097" s="8" t="s">
        <v>21</v>
      </c>
      <c r="K2097" s="8">
        <v>100.0</v>
      </c>
      <c r="N2097" s="7">
        <v>44402.0</v>
      </c>
    </row>
    <row r="2098">
      <c r="A2098" s="8">
        <v>2097.0</v>
      </c>
      <c r="B2098" s="8" t="s">
        <v>3482</v>
      </c>
      <c r="C2098" s="8" t="s">
        <v>21</v>
      </c>
      <c r="K2098" s="8">
        <v>700.0</v>
      </c>
      <c r="N2098" s="7">
        <v>44034.0</v>
      </c>
    </row>
    <row r="2099">
      <c r="A2099" s="8">
        <v>2098.0</v>
      </c>
      <c r="B2099" s="8" t="s">
        <v>3483</v>
      </c>
      <c r="C2099" s="8" t="s">
        <v>21</v>
      </c>
      <c r="K2099" s="8">
        <v>30000.0</v>
      </c>
      <c r="N2099" s="7">
        <v>44180.0</v>
      </c>
    </row>
    <row r="2100">
      <c r="A2100" s="8">
        <v>2099.0</v>
      </c>
      <c r="B2100" s="8" t="s">
        <v>3484</v>
      </c>
      <c r="C2100" s="8" t="s">
        <v>21</v>
      </c>
      <c r="K2100" s="8">
        <v>600.0</v>
      </c>
      <c r="N2100" s="7">
        <v>44342.0</v>
      </c>
    </row>
    <row r="2101">
      <c r="A2101" s="8">
        <v>2100.0</v>
      </c>
      <c r="B2101" s="8" t="s">
        <v>3485</v>
      </c>
      <c r="C2101" s="8" t="s">
        <v>21</v>
      </c>
      <c r="N2101" s="7">
        <v>45522.0</v>
      </c>
    </row>
    <row r="2102">
      <c r="A2102" s="8">
        <v>2101.0</v>
      </c>
      <c r="B2102" s="8" t="s">
        <v>3486</v>
      </c>
      <c r="C2102" s="8" t="s">
        <v>21</v>
      </c>
      <c r="N2102" s="7">
        <v>44469.0</v>
      </c>
    </row>
    <row r="2103">
      <c r="A2103" s="8">
        <v>2102.0</v>
      </c>
      <c r="B2103" s="8" t="s">
        <v>3487</v>
      </c>
      <c r="C2103" s="8" t="s">
        <v>21</v>
      </c>
      <c r="K2103" s="8">
        <v>40.0</v>
      </c>
      <c r="N2103" s="7">
        <v>43904.0</v>
      </c>
    </row>
    <row r="2104">
      <c r="A2104" s="8">
        <v>2103.0</v>
      </c>
      <c r="B2104" s="8" t="s">
        <v>3488</v>
      </c>
      <c r="C2104" s="8" t="s">
        <v>21</v>
      </c>
      <c r="K2104" s="8">
        <v>1500.0</v>
      </c>
      <c r="N2104" s="7">
        <v>44768.0</v>
      </c>
    </row>
    <row r="2105">
      <c r="A2105" s="8">
        <v>2104.0</v>
      </c>
      <c r="B2105" s="8" t="s">
        <v>3489</v>
      </c>
      <c r="C2105" s="8" t="s">
        <v>21</v>
      </c>
      <c r="N2105" s="7">
        <v>44540.0</v>
      </c>
    </row>
    <row r="2106">
      <c r="A2106" s="8">
        <v>2105.0</v>
      </c>
      <c r="B2106" s="8" t="s">
        <v>3490</v>
      </c>
      <c r="C2106" s="8" t="s">
        <v>21</v>
      </c>
      <c r="K2106" s="8">
        <v>100.0</v>
      </c>
      <c r="N2106" s="7">
        <v>44904.0</v>
      </c>
    </row>
    <row r="2107">
      <c r="A2107" s="8">
        <v>2106.0</v>
      </c>
      <c r="B2107" s="8" t="s">
        <v>3491</v>
      </c>
      <c r="C2107" s="8" t="s">
        <v>21</v>
      </c>
      <c r="K2107" s="8">
        <v>50.0</v>
      </c>
      <c r="N2107" s="7">
        <v>44760.0</v>
      </c>
    </row>
    <row r="2108">
      <c r="A2108" s="8">
        <v>2107.0</v>
      </c>
      <c r="B2108" s="8" t="s">
        <v>3492</v>
      </c>
      <c r="C2108" s="8" t="s">
        <v>21</v>
      </c>
      <c r="K2108" s="8">
        <v>1600.0</v>
      </c>
      <c r="N2108" s="7">
        <v>43933.0</v>
      </c>
    </row>
    <row r="2109">
      <c r="A2109" s="8">
        <v>2108.0</v>
      </c>
      <c r="B2109" s="8" t="s">
        <v>3493</v>
      </c>
      <c r="C2109" s="8" t="s">
        <v>21</v>
      </c>
      <c r="K2109" s="8">
        <v>2400.0</v>
      </c>
      <c r="N2109" s="7">
        <v>42464.0</v>
      </c>
    </row>
    <row r="2110">
      <c r="A2110" s="8">
        <v>2109.0</v>
      </c>
      <c r="B2110" s="8" t="s">
        <v>3494</v>
      </c>
      <c r="C2110" s="8" t="s">
        <v>21</v>
      </c>
      <c r="K2110" s="8">
        <v>350.0</v>
      </c>
      <c r="N2110" s="7">
        <v>44731.0</v>
      </c>
    </row>
    <row r="2111">
      <c r="A2111" s="8">
        <v>2110.0</v>
      </c>
      <c r="B2111" s="8" t="s">
        <v>3495</v>
      </c>
      <c r="C2111" s="8" t="s">
        <v>21</v>
      </c>
      <c r="K2111" s="8">
        <v>1000.0</v>
      </c>
      <c r="N2111" s="7">
        <v>44933.0</v>
      </c>
    </row>
    <row r="2112">
      <c r="A2112" s="8">
        <v>2111.0</v>
      </c>
      <c r="B2112" s="8" t="s">
        <v>3496</v>
      </c>
      <c r="C2112" s="8" t="s">
        <v>21</v>
      </c>
      <c r="K2112" s="8">
        <v>2400.0</v>
      </c>
      <c r="N2112" s="7">
        <v>44560.0</v>
      </c>
    </row>
    <row r="2113">
      <c r="A2113" s="8">
        <v>2112.0</v>
      </c>
      <c r="B2113" s="8" t="s">
        <v>3497</v>
      </c>
      <c r="C2113" s="8" t="s">
        <v>21</v>
      </c>
      <c r="N2113" s="7">
        <v>44789.0</v>
      </c>
    </row>
    <row r="2114">
      <c r="A2114" s="8">
        <v>2113.0</v>
      </c>
      <c r="B2114" s="8" t="s">
        <v>3498</v>
      </c>
      <c r="C2114" s="8" t="s">
        <v>21</v>
      </c>
      <c r="N2114" s="7">
        <v>44656.0</v>
      </c>
    </row>
    <row r="2115">
      <c r="A2115" s="8">
        <v>2114.0</v>
      </c>
      <c r="B2115" s="8" t="s">
        <v>3499</v>
      </c>
      <c r="C2115" s="8" t="s">
        <v>21</v>
      </c>
      <c r="K2115" s="8">
        <v>60.0</v>
      </c>
      <c r="N2115" s="7">
        <v>45474.0</v>
      </c>
    </row>
    <row r="2116">
      <c r="A2116" s="8">
        <v>2115.0</v>
      </c>
      <c r="B2116" s="8" t="s">
        <v>3500</v>
      </c>
      <c r="C2116" s="8" t="s">
        <v>21</v>
      </c>
      <c r="K2116" s="8">
        <v>15000.0</v>
      </c>
      <c r="N2116" s="7">
        <v>44923.0</v>
      </c>
    </row>
    <row r="2117">
      <c r="A2117" s="8">
        <v>2116.0</v>
      </c>
      <c r="B2117" s="8" t="s">
        <v>3501</v>
      </c>
      <c r="C2117" s="8" t="s">
        <v>21</v>
      </c>
      <c r="K2117" s="8">
        <v>100.0</v>
      </c>
      <c r="N2117" s="7">
        <v>44176.0</v>
      </c>
    </row>
    <row r="2118">
      <c r="A2118" s="8">
        <v>2117.0</v>
      </c>
      <c r="B2118" s="8" t="s">
        <v>3502</v>
      </c>
      <c r="C2118" s="8" t="s">
        <v>21</v>
      </c>
      <c r="N2118" s="7">
        <v>44921.0</v>
      </c>
    </row>
    <row r="2119">
      <c r="A2119" s="8">
        <v>2118.0</v>
      </c>
      <c r="B2119" s="8" t="s">
        <v>3503</v>
      </c>
      <c r="C2119" s="8" t="s">
        <v>21</v>
      </c>
      <c r="N2119" s="7">
        <v>42552.0</v>
      </c>
      <c r="O2119" s="8" t="s">
        <v>26</v>
      </c>
      <c r="P2119" s="8" t="s">
        <v>28</v>
      </c>
      <c r="Q2119" s="8" t="s">
        <v>3504</v>
      </c>
      <c r="R2119" s="8">
        <v>1.0</v>
      </c>
      <c r="S2119" s="8" t="s">
        <v>32</v>
      </c>
    </row>
    <row r="2120">
      <c r="A2120" s="8">
        <v>2119.0</v>
      </c>
      <c r="B2120" s="8" t="s">
        <v>3505</v>
      </c>
      <c r="C2120" s="8" t="s">
        <v>21</v>
      </c>
      <c r="K2120" s="8">
        <v>50.0</v>
      </c>
      <c r="N2120" s="7">
        <v>45651.0</v>
      </c>
    </row>
    <row r="2121">
      <c r="A2121" s="8">
        <v>2120.0</v>
      </c>
      <c r="B2121" s="8" t="s">
        <v>3506</v>
      </c>
      <c r="C2121" s="8" t="s">
        <v>21</v>
      </c>
      <c r="K2121" s="8">
        <v>2900.0</v>
      </c>
      <c r="N2121" s="7">
        <v>44145.0</v>
      </c>
    </row>
    <row r="2122">
      <c r="A2122" s="8">
        <v>2121.0</v>
      </c>
      <c r="B2122" s="8" t="s">
        <v>3507</v>
      </c>
      <c r="C2122" s="8" t="s">
        <v>21</v>
      </c>
      <c r="K2122" s="8">
        <v>1600.0</v>
      </c>
      <c r="N2122" s="7">
        <v>42366.0</v>
      </c>
    </row>
    <row r="2123">
      <c r="A2123" s="8">
        <v>2122.0</v>
      </c>
      <c r="B2123" s="8" t="s">
        <v>3508</v>
      </c>
      <c r="C2123" s="8" t="s">
        <v>21</v>
      </c>
      <c r="K2123" s="8">
        <v>20.0</v>
      </c>
      <c r="N2123" s="7">
        <v>44242.0</v>
      </c>
    </row>
    <row r="2124">
      <c r="A2124" s="8">
        <v>2123.0</v>
      </c>
      <c r="B2124" s="8" t="s">
        <v>3509</v>
      </c>
      <c r="C2124" s="8" t="s">
        <v>21</v>
      </c>
      <c r="K2124" s="8">
        <v>1800.0</v>
      </c>
      <c r="N2124" s="7">
        <v>44082.0</v>
      </c>
    </row>
    <row r="2125">
      <c r="A2125" s="8">
        <v>2124.0</v>
      </c>
      <c r="B2125" s="8" t="s">
        <v>3510</v>
      </c>
      <c r="C2125" s="8" t="s">
        <v>21</v>
      </c>
      <c r="K2125" s="8">
        <v>10.0</v>
      </c>
      <c r="N2125" s="7">
        <v>43879.0</v>
      </c>
    </row>
    <row r="2126">
      <c r="A2126" s="8">
        <v>2125.0</v>
      </c>
      <c r="B2126" s="8" t="s">
        <v>3511</v>
      </c>
      <c r="C2126" s="8" t="s">
        <v>21</v>
      </c>
      <c r="K2126" s="8">
        <v>30.0</v>
      </c>
      <c r="N2126" s="7">
        <v>44221.0</v>
      </c>
    </row>
    <row r="2127">
      <c r="A2127" s="8">
        <v>2126.0</v>
      </c>
      <c r="B2127" s="8" t="s">
        <v>3512</v>
      </c>
      <c r="C2127" s="8" t="s">
        <v>21</v>
      </c>
      <c r="K2127" s="8">
        <v>600.0</v>
      </c>
      <c r="N2127" s="7">
        <v>44676.0</v>
      </c>
    </row>
    <row r="2128">
      <c r="A2128" s="8">
        <v>2127.0</v>
      </c>
      <c r="B2128" s="8" t="s">
        <v>3513</v>
      </c>
      <c r="C2128" s="8" t="s">
        <v>21</v>
      </c>
      <c r="K2128" s="8">
        <v>500.0</v>
      </c>
      <c r="N2128" s="7">
        <v>44585.0</v>
      </c>
    </row>
    <row r="2129">
      <c r="A2129" s="8">
        <v>2128.0</v>
      </c>
      <c r="B2129" s="8" t="s">
        <v>3514</v>
      </c>
      <c r="C2129" s="8" t="s">
        <v>21</v>
      </c>
      <c r="K2129" s="8">
        <v>350.0</v>
      </c>
      <c r="N2129" s="7">
        <v>45173.0</v>
      </c>
    </row>
    <row r="2130">
      <c r="A2130" s="8">
        <v>2129.0</v>
      </c>
      <c r="B2130" s="8" t="s">
        <v>3515</v>
      </c>
      <c r="C2130" s="8" t="s">
        <v>21</v>
      </c>
      <c r="K2130" s="8">
        <v>700.0</v>
      </c>
      <c r="N2130" s="7">
        <v>44543.0</v>
      </c>
    </row>
    <row r="2131">
      <c r="A2131" s="8">
        <v>2130.0</v>
      </c>
      <c r="B2131" s="8" t="s">
        <v>3516</v>
      </c>
      <c r="C2131" s="8" t="s">
        <v>21</v>
      </c>
      <c r="N2131" s="7">
        <v>44353.0</v>
      </c>
    </row>
    <row r="2132">
      <c r="A2132" s="8">
        <v>2131.0</v>
      </c>
      <c r="B2132" s="8" t="s">
        <v>3517</v>
      </c>
      <c r="C2132" s="8" t="s">
        <v>21</v>
      </c>
      <c r="K2132" s="8">
        <v>15000.0</v>
      </c>
      <c r="N2132" s="7">
        <v>45138.0</v>
      </c>
    </row>
    <row r="2133">
      <c r="A2133" s="8">
        <v>2132.0</v>
      </c>
      <c r="B2133" s="8" t="s">
        <v>3518</v>
      </c>
      <c r="C2133" s="8" t="s">
        <v>21</v>
      </c>
      <c r="K2133" s="8">
        <v>700.0</v>
      </c>
      <c r="N2133" s="7">
        <v>44074.0</v>
      </c>
    </row>
    <row r="2134">
      <c r="A2134" s="8">
        <v>2133.0</v>
      </c>
      <c r="B2134" s="8" t="s">
        <v>3519</v>
      </c>
      <c r="C2134" s="8" t="s">
        <v>21</v>
      </c>
      <c r="K2134" s="8">
        <v>40.0</v>
      </c>
      <c r="N2134" s="7">
        <v>44846.0</v>
      </c>
    </row>
    <row r="2135">
      <c r="A2135" s="8">
        <v>2134.0</v>
      </c>
      <c r="B2135" s="8" t="s">
        <v>3520</v>
      </c>
      <c r="C2135" s="8" t="s">
        <v>21</v>
      </c>
      <c r="K2135" s="8">
        <v>700.0</v>
      </c>
      <c r="N2135" s="7">
        <v>44693.0</v>
      </c>
    </row>
    <row r="2136">
      <c r="A2136" s="8">
        <v>2135.0</v>
      </c>
      <c r="B2136" s="8" t="s">
        <v>3521</v>
      </c>
      <c r="C2136" s="8" t="s">
        <v>21</v>
      </c>
      <c r="K2136" s="8">
        <v>40.0</v>
      </c>
      <c r="N2136" s="7">
        <v>45558.0</v>
      </c>
    </row>
    <row r="2137">
      <c r="A2137" s="8">
        <v>2136.0</v>
      </c>
      <c r="B2137" s="8" t="s">
        <v>3522</v>
      </c>
      <c r="C2137" s="8" t="s">
        <v>21</v>
      </c>
      <c r="K2137" s="8">
        <v>70.0</v>
      </c>
      <c r="N2137" s="7">
        <v>46039.0</v>
      </c>
    </row>
    <row r="2138">
      <c r="A2138" s="8">
        <v>2137.0</v>
      </c>
      <c r="B2138" s="8" t="s">
        <v>3523</v>
      </c>
      <c r="C2138" s="8" t="s">
        <v>21</v>
      </c>
      <c r="K2138" s="8">
        <v>6000.0</v>
      </c>
      <c r="N2138" s="7">
        <v>44562.0</v>
      </c>
    </row>
    <row r="2139">
      <c r="A2139" s="8">
        <v>2138.0</v>
      </c>
      <c r="B2139" s="8" t="s">
        <v>180</v>
      </c>
      <c r="C2139" s="8" t="s">
        <v>21</v>
      </c>
      <c r="K2139" s="8">
        <v>50.0</v>
      </c>
      <c r="N2139" s="7">
        <v>44617.0</v>
      </c>
    </row>
    <row r="2140">
      <c r="A2140" s="8">
        <v>2139.0</v>
      </c>
      <c r="B2140" s="8" t="s">
        <v>3524</v>
      </c>
      <c r="C2140" s="8" t="s">
        <v>21</v>
      </c>
      <c r="K2140" s="8">
        <v>80.0</v>
      </c>
      <c r="N2140" s="7">
        <v>44566.0</v>
      </c>
    </row>
    <row r="2141">
      <c r="A2141" s="8">
        <v>2140.0</v>
      </c>
      <c r="B2141" s="8" t="s">
        <v>3525</v>
      </c>
      <c r="C2141" s="8" t="s">
        <v>21</v>
      </c>
      <c r="N2141" s="7">
        <v>42923.0</v>
      </c>
    </row>
    <row r="2142">
      <c r="A2142" s="8">
        <v>2141.0</v>
      </c>
      <c r="B2142" s="8" t="s">
        <v>3526</v>
      </c>
      <c r="C2142" s="8" t="s">
        <v>21</v>
      </c>
      <c r="K2142" s="8">
        <v>3800.0</v>
      </c>
      <c r="N2142" s="7">
        <v>44140.0</v>
      </c>
    </row>
    <row r="2143">
      <c r="A2143" s="8">
        <v>2142.0</v>
      </c>
      <c r="B2143" s="8" t="s">
        <v>3527</v>
      </c>
      <c r="C2143" s="8" t="s">
        <v>21</v>
      </c>
      <c r="K2143" s="8">
        <v>70.0</v>
      </c>
      <c r="N2143" s="7">
        <v>44563.0</v>
      </c>
    </row>
    <row r="2144">
      <c r="A2144" s="8">
        <v>2143.0</v>
      </c>
      <c r="B2144" s="8" t="s">
        <v>3528</v>
      </c>
      <c r="C2144" s="8" t="s">
        <v>21</v>
      </c>
      <c r="K2144" s="8">
        <v>800.0</v>
      </c>
      <c r="N2144" s="7">
        <v>43978.0</v>
      </c>
    </row>
    <row r="2145">
      <c r="A2145" s="8">
        <v>2144.0</v>
      </c>
      <c r="B2145" s="8" t="s">
        <v>3529</v>
      </c>
      <c r="C2145" s="8" t="s">
        <v>21</v>
      </c>
      <c r="K2145" s="8">
        <v>1100.0</v>
      </c>
      <c r="N2145" s="7">
        <v>44445.0</v>
      </c>
    </row>
    <row r="2146">
      <c r="A2146" s="8">
        <v>2145.0</v>
      </c>
      <c r="B2146" s="8" t="s">
        <v>3530</v>
      </c>
      <c r="C2146" s="8" t="s">
        <v>21</v>
      </c>
      <c r="K2146" s="8">
        <v>200.0</v>
      </c>
      <c r="N2146" s="7">
        <v>44521.0</v>
      </c>
    </row>
    <row r="2147">
      <c r="A2147" s="8">
        <v>2146.0</v>
      </c>
      <c r="B2147" s="8" t="s">
        <v>3531</v>
      </c>
      <c r="C2147" s="8" t="s">
        <v>21</v>
      </c>
      <c r="K2147" s="8">
        <v>225000.0</v>
      </c>
      <c r="N2147" s="7">
        <v>44355.0</v>
      </c>
    </row>
    <row r="2148">
      <c r="A2148" s="8">
        <v>2147.0</v>
      </c>
      <c r="B2148" s="8" t="s">
        <v>3532</v>
      </c>
      <c r="C2148" s="8" t="s">
        <v>21</v>
      </c>
      <c r="K2148" s="8">
        <v>90.0</v>
      </c>
      <c r="N2148" s="7">
        <v>44744.0</v>
      </c>
    </row>
    <row r="2149">
      <c r="A2149" s="8">
        <v>2148.0</v>
      </c>
      <c r="B2149" s="8" t="s">
        <v>3533</v>
      </c>
      <c r="C2149" s="8" t="s">
        <v>21</v>
      </c>
      <c r="K2149" s="8">
        <v>150.0</v>
      </c>
      <c r="N2149" s="7">
        <v>44668.0</v>
      </c>
    </row>
    <row r="2150">
      <c r="A2150" s="8">
        <v>2149.0</v>
      </c>
      <c r="B2150" s="8" t="s">
        <v>3534</v>
      </c>
      <c r="C2150" s="8" t="s">
        <v>21</v>
      </c>
      <c r="K2150" s="8">
        <v>900.0</v>
      </c>
      <c r="N2150" s="7">
        <v>44610.0</v>
      </c>
    </row>
    <row r="2151">
      <c r="A2151" s="8">
        <v>2150.0</v>
      </c>
      <c r="B2151" s="8" t="s">
        <v>3535</v>
      </c>
      <c r="C2151" s="8" t="s">
        <v>21</v>
      </c>
      <c r="K2151" s="8">
        <v>4000.0</v>
      </c>
      <c r="N2151" s="7">
        <v>45082.0</v>
      </c>
    </row>
    <row r="2152">
      <c r="A2152" s="8">
        <v>2151.0</v>
      </c>
      <c r="B2152" s="8" t="s">
        <v>3536</v>
      </c>
      <c r="C2152" s="8" t="s">
        <v>21</v>
      </c>
      <c r="K2152" s="8">
        <v>200.0</v>
      </c>
      <c r="N2152" s="7">
        <v>44911.0</v>
      </c>
    </row>
    <row r="2153">
      <c r="A2153" s="8">
        <v>2152.0</v>
      </c>
      <c r="B2153" s="8" t="s">
        <v>3537</v>
      </c>
      <c r="C2153" s="8" t="s">
        <v>21</v>
      </c>
      <c r="K2153" s="8">
        <v>10.0</v>
      </c>
      <c r="N2153" s="7">
        <v>45133.0</v>
      </c>
    </row>
    <row r="2154">
      <c r="A2154" s="8">
        <v>2153.0</v>
      </c>
      <c r="B2154" s="8" t="s">
        <v>177</v>
      </c>
      <c r="C2154" s="8" t="s">
        <v>21</v>
      </c>
      <c r="N2154" s="7">
        <v>44155.0</v>
      </c>
    </row>
    <row r="2155">
      <c r="A2155" s="8">
        <v>2154.0</v>
      </c>
      <c r="B2155" s="8" t="s">
        <v>3538</v>
      </c>
      <c r="C2155" s="8" t="s">
        <v>21</v>
      </c>
      <c r="K2155" s="8">
        <v>2000.0</v>
      </c>
      <c r="N2155" s="7">
        <v>44358.0</v>
      </c>
    </row>
    <row r="2156">
      <c r="A2156" s="8">
        <v>2155.0</v>
      </c>
      <c r="B2156" s="8" t="s">
        <v>3539</v>
      </c>
      <c r="C2156" s="8" t="s">
        <v>21</v>
      </c>
      <c r="K2156" s="8">
        <v>10.0</v>
      </c>
      <c r="N2156" s="7">
        <v>44852.0</v>
      </c>
    </row>
    <row r="2157">
      <c r="A2157" s="8">
        <v>2156.0</v>
      </c>
      <c r="B2157" s="8" t="s">
        <v>3540</v>
      </c>
      <c r="C2157" s="8" t="s">
        <v>21</v>
      </c>
      <c r="K2157" s="8">
        <v>20.0</v>
      </c>
      <c r="N2157" s="7">
        <v>44647.0</v>
      </c>
    </row>
    <row r="2158">
      <c r="A2158" s="8">
        <v>2157.0</v>
      </c>
      <c r="B2158" s="8" t="s">
        <v>3541</v>
      </c>
      <c r="C2158" s="8" t="s">
        <v>21</v>
      </c>
      <c r="N2158" s="7">
        <v>44330.0</v>
      </c>
    </row>
    <row r="2159">
      <c r="A2159" s="8">
        <v>2158.0</v>
      </c>
      <c r="B2159" s="8" t="s">
        <v>3542</v>
      </c>
      <c r="C2159" s="8" t="s">
        <v>21</v>
      </c>
      <c r="N2159" s="7">
        <v>44446.0</v>
      </c>
    </row>
    <row r="2160">
      <c r="A2160" s="8">
        <v>2159.0</v>
      </c>
      <c r="B2160" s="8" t="s">
        <v>3543</v>
      </c>
      <c r="C2160" s="8" t="s">
        <v>21</v>
      </c>
      <c r="K2160" s="8">
        <v>150.0</v>
      </c>
      <c r="N2160" s="7">
        <v>44947.0</v>
      </c>
    </row>
    <row r="2161">
      <c r="A2161" s="8">
        <v>2160.0</v>
      </c>
      <c r="B2161" s="8" t="s">
        <v>3544</v>
      </c>
      <c r="C2161" s="8" t="s">
        <v>21</v>
      </c>
      <c r="K2161" s="8">
        <v>6800.0</v>
      </c>
      <c r="N2161" s="7">
        <v>44591.0</v>
      </c>
    </row>
    <row r="2162">
      <c r="A2162" s="8">
        <v>2161.0</v>
      </c>
      <c r="B2162" s="8" t="s">
        <v>3545</v>
      </c>
      <c r="C2162" s="8" t="s">
        <v>21</v>
      </c>
      <c r="K2162" s="8">
        <v>10.0</v>
      </c>
      <c r="N2162" s="7">
        <v>44148.0</v>
      </c>
    </row>
    <row r="2163">
      <c r="A2163" s="8">
        <v>2162.0</v>
      </c>
      <c r="B2163" s="8" t="s">
        <v>3546</v>
      </c>
      <c r="C2163" s="8" t="s">
        <v>21</v>
      </c>
      <c r="K2163" s="8">
        <v>500.0</v>
      </c>
      <c r="N2163" s="7">
        <v>45596.0</v>
      </c>
    </row>
    <row r="2164">
      <c r="A2164" s="8">
        <v>2163.0</v>
      </c>
      <c r="B2164" s="8" t="s">
        <v>179</v>
      </c>
      <c r="C2164" s="8" t="s">
        <v>21</v>
      </c>
      <c r="K2164" s="8">
        <v>150.0</v>
      </c>
      <c r="N2164" s="7">
        <v>44565.0</v>
      </c>
    </row>
    <row r="2165">
      <c r="A2165" s="8">
        <v>2164.0</v>
      </c>
      <c r="B2165" s="8" t="s">
        <v>3547</v>
      </c>
      <c r="C2165" s="8" t="s">
        <v>21</v>
      </c>
      <c r="K2165" s="8">
        <v>40.0</v>
      </c>
      <c r="N2165" s="7">
        <v>44408.0</v>
      </c>
    </row>
    <row r="2166">
      <c r="A2166" s="8">
        <v>2165.0</v>
      </c>
      <c r="B2166" s="8" t="s">
        <v>3548</v>
      </c>
      <c r="C2166" s="8" t="s">
        <v>21</v>
      </c>
      <c r="K2166" s="8">
        <v>800.0</v>
      </c>
      <c r="N2166" s="7">
        <v>44169.0</v>
      </c>
    </row>
    <row r="2167">
      <c r="A2167" s="8">
        <v>2166.0</v>
      </c>
      <c r="B2167" s="8" t="s">
        <v>3549</v>
      </c>
      <c r="C2167" s="8" t="s">
        <v>21</v>
      </c>
      <c r="K2167" s="8">
        <v>40.0</v>
      </c>
      <c r="N2167" s="7">
        <v>43911.0</v>
      </c>
    </row>
    <row r="2168">
      <c r="A2168" s="8">
        <v>2167.0</v>
      </c>
      <c r="B2168" s="8" t="s">
        <v>3550</v>
      </c>
      <c r="C2168" s="8" t="s">
        <v>21</v>
      </c>
      <c r="N2168" s="7">
        <v>42577.0</v>
      </c>
    </row>
    <row r="2169">
      <c r="A2169" s="8">
        <v>2168.0</v>
      </c>
      <c r="B2169" s="8" t="s">
        <v>3551</v>
      </c>
      <c r="C2169" s="8" t="s">
        <v>21</v>
      </c>
      <c r="K2169" s="8">
        <v>200.0</v>
      </c>
      <c r="N2169" s="7">
        <v>44544.0</v>
      </c>
    </row>
    <row r="2170">
      <c r="A2170" s="8">
        <v>2169.0</v>
      </c>
      <c r="B2170" s="8" t="s">
        <v>3552</v>
      </c>
      <c r="C2170" s="8" t="s">
        <v>21</v>
      </c>
      <c r="K2170" s="8">
        <v>40.0</v>
      </c>
      <c r="N2170" s="7">
        <v>44299.0</v>
      </c>
    </row>
    <row r="2171">
      <c r="A2171" s="8">
        <v>2170.0</v>
      </c>
      <c r="B2171" s="8" t="s">
        <v>3553</v>
      </c>
      <c r="C2171" s="8" t="s">
        <v>21</v>
      </c>
      <c r="K2171" s="8">
        <v>30.0</v>
      </c>
      <c r="N2171" s="7">
        <v>45231.0</v>
      </c>
    </row>
    <row r="2172">
      <c r="A2172" s="8">
        <v>2171.0</v>
      </c>
      <c r="B2172" s="8" t="s">
        <v>3554</v>
      </c>
      <c r="C2172" s="8" t="s">
        <v>21</v>
      </c>
      <c r="N2172" s="7">
        <v>44181.0</v>
      </c>
    </row>
    <row r="2173">
      <c r="A2173" s="8">
        <v>2172.0</v>
      </c>
      <c r="B2173" s="8" t="s">
        <v>3555</v>
      </c>
      <c r="C2173" s="8" t="s">
        <v>21</v>
      </c>
      <c r="K2173" s="8">
        <v>4400.0</v>
      </c>
      <c r="N2173" s="7">
        <v>44081.0</v>
      </c>
    </row>
    <row r="2174">
      <c r="A2174" s="8">
        <v>2173.0</v>
      </c>
      <c r="B2174" s="8" t="s">
        <v>3556</v>
      </c>
      <c r="C2174" s="8" t="s">
        <v>21</v>
      </c>
      <c r="K2174" s="8">
        <v>600.0</v>
      </c>
      <c r="N2174" s="7">
        <v>45199.0</v>
      </c>
    </row>
    <row r="2175">
      <c r="A2175" s="8">
        <v>2174.0</v>
      </c>
      <c r="B2175" s="8" t="s">
        <v>3557</v>
      </c>
      <c r="C2175" s="8" t="s">
        <v>21</v>
      </c>
      <c r="N2175" s="7">
        <v>44505.0</v>
      </c>
    </row>
    <row r="2176">
      <c r="A2176" s="8">
        <v>2175.0</v>
      </c>
      <c r="B2176" s="8" t="s">
        <v>3558</v>
      </c>
      <c r="C2176" s="8" t="s">
        <v>21</v>
      </c>
      <c r="K2176" s="8">
        <v>150.0</v>
      </c>
      <c r="N2176" s="7">
        <v>44627.0</v>
      </c>
    </row>
    <row r="2177">
      <c r="A2177" s="8">
        <v>2176.0</v>
      </c>
      <c r="B2177" s="8" t="s">
        <v>3559</v>
      </c>
      <c r="C2177" s="8" t="s">
        <v>21</v>
      </c>
      <c r="K2177" s="8">
        <v>10.0</v>
      </c>
      <c r="N2177" s="7">
        <v>44230.0</v>
      </c>
    </row>
    <row r="2178">
      <c r="A2178" s="8">
        <v>2177.0</v>
      </c>
      <c r="B2178" s="8" t="s">
        <v>3560</v>
      </c>
      <c r="C2178" s="8" t="s">
        <v>21</v>
      </c>
      <c r="N2178" s="7">
        <v>44589.0</v>
      </c>
    </row>
    <row r="2179">
      <c r="A2179" s="8">
        <v>2178.0</v>
      </c>
      <c r="B2179" s="8" t="s">
        <v>3561</v>
      </c>
      <c r="C2179" s="8" t="s">
        <v>21</v>
      </c>
      <c r="N2179" s="7">
        <v>42337.0</v>
      </c>
      <c r="O2179" s="8" t="s">
        <v>26</v>
      </c>
      <c r="P2179" s="8" t="s">
        <v>28</v>
      </c>
      <c r="S2179" s="8" t="s">
        <v>32</v>
      </c>
    </row>
    <row r="2180">
      <c r="A2180" s="8">
        <v>2179.0</v>
      </c>
      <c r="B2180" s="8" t="s">
        <v>183</v>
      </c>
      <c r="C2180" s="8" t="s">
        <v>21</v>
      </c>
      <c r="K2180" s="8">
        <v>250.0</v>
      </c>
      <c r="N2180" s="7">
        <v>44884.0</v>
      </c>
    </row>
    <row r="2181">
      <c r="A2181" s="8">
        <v>2180.0</v>
      </c>
      <c r="B2181" s="8" t="s">
        <v>3562</v>
      </c>
      <c r="C2181" s="8" t="s">
        <v>21</v>
      </c>
      <c r="K2181" s="8">
        <v>10.0</v>
      </c>
      <c r="N2181" s="7">
        <v>45100.0</v>
      </c>
    </row>
    <row r="2182">
      <c r="A2182" s="8">
        <v>2181.0</v>
      </c>
      <c r="B2182" s="8" t="s">
        <v>3563</v>
      </c>
      <c r="C2182" s="8" t="s">
        <v>21</v>
      </c>
      <c r="K2182" s="8">
        <v>800.0</v>
      </c>
      <c r="N2182" s="7">
        <v>44791.0</v>
      </c>
    </row>
    <row r="2183">
      <c r="A2183" s="8">
        <v>2182.0</v>
      </c>
      <c r="B2183" s="8" t="s">
        <v>3564</v>
      </c>
      <c r="C2183" s="8" t="s">
        <v>21</v>
      </c>
      <c r="K2183" s="8">
        <v>150.0</v>
      </c>
      <c r="N2183" s="7">
        <v>43892.0</v>
      </c>
    </row>
    <row r="2184">
      <c r="A2184" s="8">
        <v>2183.0</v>
      </c>
      <c r="B2184" s="8" t="s">
        <v>3565</v>
      </c>
      <c r="C2184" s="8" t="s">
        <v>21</v>
      </c>
      <c r="D2184" s="8">
        <v>72.0</v>
      </c>
      <c r="H2184" s="8" t="s">
        <v>939</v>
      </c>
      <c r="I2184" s="9">
        <v>46122.787986111114</v>
      </c>
      <c r="J2184" s="8" t="s">
        <v>90</v>
      </c>
      <c r="K2184" s="8">
        <v>9100.0</v>
      </c>
      <c r="L2184" s="8">
        <v>20.0</v>
      </c>
      <c r="M2184" s="8">
        <v>23000.0</v>
      </c>
      <c r="N2184" s="7">
        <v>44364.0</v>
      </c>
      <c r="O2184" s="8" t="s">
        <v>107</v>
      </c>
      <c r="P2184" s="8" t="s">
        <v>28</v>
      </c>
      <c r="S2184" s="8" t="s">
        <v>32</v>
      </c>
    </row>
    <row r="2185">
      <c r="A2185" s="8">
        <v>2184.0</v>
      </c>
      <c r="B2185" s="8" t="s">
        <v>3566</v>
      </c>
      <c r="C2185" s="8" t="s">
        <v>21</v>
      </c>
      <c r="K2185" s="8">
        <v>500.0</v>
      </c>
      <c r="N2185" s="7">
        <v>44315.0</v>
      </c>
    </row>
    <row r="2186">
      <c r="A2186" s="8">
        <v>2185.0</v>
      </c>
      <c r="B2186" s="8" t="s">
        <v>3567</v>
      </c>
      <c r="C2186" s="8" t="s">
        <v>21</v>
      </c>
      <c r="K2186" s="8">
        <v>600.0</v>
      </c>
      <c r="N2186" s="7">
        <v>45076.0</v>
      </c>
    </row>
    <row r="2187">
      <c r="A2187" s="8">
        <v>2186.0</v>
      </c>
      <c r="B2187" s="8" t="s">
        <v>3568</v>
      </c>
      <c r="C2187" s="8" t="s">
        <v>21</v>
      </c>
      <c r="K2187" s="8">
        <v>800.0</v>
      </c>
      <c r="N2187" s="7">
        <v>44536.0</v>
      </c>
    </row>
    <row r="2188">
      <c r="A2188" s="8">
        <v>2187.0</v>
      </c>
      <c r="B2188" s="8" t="s">
        <v>3569</v>
      </c>
      <c r="C2188" s="8" t="s">
        <v>21</v>
      </c>
      <c r="K2188" s="8">
        <v>1000.0</v>
      </c>
      <c r="N2188" s="7">
        <v>44078.0</v>
      </c>
    </row>
    <row r="2189">
      <c r="A2189" s="8">
        <v>2188.0</v>
      </c>
      <c r="B2189" s="8" t="s">
        <v>3570</v>
      </c>
      <c r="C2189" s="8" t="s">
        <v>21</v>
      </c>
      <c r="K2189" s="8">
        <v>400.0</v>
      </c>
      <c r="N2189" s="7">
        <v>43917.0</v>
      </c>
    </row>
    <row r="2190">
      <c r="A2190" s="8">
        <v>2189.0</v>
      </c>
      <c r="B2190" s="8" t="s">
        <v>3571</v>
      </c>
      <c r="C2190" s="8" t="s">
        <v>21</v>
      </c>
      <c r="K2190" s="8">
        <v>100.0</v>
      </c>
      <c r="N2190" s="7">
        <v>45659.0</v>
      </c>
    </row>
    <row r="2191">
      <c r="A2191" s="8">
        <v>2190.0</v>
      </c>
      <c r="B2191" s="8" t="s">
        <v>3572</v>
      </c>
      <c r="C2191" s="8" t="s">
        <v>21</v>
      </c>
      <c r="K2191" s="8">
        <v>10.0</v>
      </c>
      <c r="N2191" s="7">
        <v>42891.0</v>
      </c>
    </row>
    <row r="2192">
      <c r="A2192" s="8">
        <v>2191.0</v>
      </c>
      <c r="B2192" s="8" t="s">
        <v>3573</v>
      </c>
      <c r="C2192" s="8" t="s">
        <v>21</v>
      </c>
      <c r="K2192" s="8">
        <v>60.0</v>
      </c>
      <c r="N2192" s="7">
        <v>45268.0</v>
      </c>
    </row>
    <row r="2193">
      <c r="A2193" s="8">
        <v>2192.0</v>
      </c>
      <c r="B2193" s="8" t="s">
        <v>3574</v>
      </c>
      <c r="C2193" s="8" t="s">
        <v>21</v>
      </c>
      <c r="K2193" s="8">
        <v>1900.0</v>
      </c>
      <c r="N2193" s="7">
        <v>44524.0</v>
      </c>
    </row>
    <row r="2194">
      <c r="A2194" s="8">
        <v>2193.0</v>
      </c>
      <c r="B2194" s="8" t="s">
        <v>3575</v>
      </c>
      <c r="C2194" s="8" t="s">
        <v>21</v>
      </c>
      <c r="N2194" s="7">
        <v>44212.0</v>
      </c>
    </row>
    <row r="2195">
      <c r="A2195" s="8">
        <v>2194.0</v>
      </c>
      <c r="B2195" s="8" t="s">
        <v>3576</v>
      </c>
      <c r="C2195" s="8" t="s">
        <v>21</v>
      </c>
      <c r="K2195" s="8">
        <v>70.0</v>
      </c>
      <c r="N2195" s="7">
        <v>45109.0</v>
      </c>
    </row>
    <row r="2196">
      <c r="A2196" s="8">
        <v>2195.0</v>
      </c>
      <c r="B2196" s="8" t="s">
        <v>3577</v>
      </c>
      <c r="C2196" s="8" t="s">
        <v>21</v>
      </c>
      <c r="K2196" s="8">
        <v>1100.0</v>
      </c>
      <c r="N2196" s="7">
        <v>44216.0</v>
      </c>
    </row>
    <row r="2197">
      <c r="A2197" s="8">
        <v>2196.0</v>
      </c>
      <c r="B2197" s="8" t="s">
        <v>3578</v>
      </c>
      <c r="C2197" s="8" t="s">
        <v>21</v>
      </c>
      <c r="K2197" s="8">
        <v>23000.0</v>
      </c>
      <c r="N2197" s="7">
        <v>42371.0</v>
      </c>
    </row>
    <row r="2198">
      <c r="A2198" s="8">
        <v>2197.0</v>
      </c>
      <c r="B2198" s="8" t="s">
        <v>3579</v>
      </c>
      <c r="C2198" s="8" t="s">
        <v>21</v>
      </c>
      <c r="K2198" s="8">
        <v>250.0</v>
      </c>
      <c r="N2198" s="7">
        <v>44323.0</v>
      </c>
    </row>
    <row r="2199">
      <c r="A2199" s="8">
        <v>2198.0</v>
      </c>
      <c r="B2199" s="8" t="s">
        <v>3580</v>
      </c>
      <c r="C2199" s="8" t="s">
        <v>21</v>
      </c>
      <c r="K2199" s="8">
        <v>50.0</v>
      </c>
      <c r="N2199" s="7">
        <v>44094.0</v>
      </c>
    </row>
    <row r="2200">
      <c r="A2200" s="8">
        <v>2199.0</v>
      </c>
      <c r="B2200" s="8" t="s">
        <v>3581</v>
      </c>
      <c r="C2200" s="8" t="s">
        <v>21</v>
      </c>
      <c r="K2200" s="8">
        <v>40.0</v>
      </c>
      <c r="N2200" s="7">
        <v>45873.0</v>
      </c>
    </row>
    <row r="2201">
      <c r="A2201" s="8">
        <v>2200.0</v>
      </c>
      <c r="B2201" s="8" t="s">
        <v>3582</v>
      </c>
      <c r="C2201" s="8" t="s">
        <v>21</v>
      </c>
      <c r="K2201" s="8">
        <v>800.0</v>
      </c>
      <c r="N2201" s="7">
        <v>44123.0</v>
      </c>
    </row>
    <row r="2202">
      <c r="A2202" s="8">
        <v>2201.0</v>
      </c>
      <c r="B2202" s="8" t="s">
        <v>3583</v>
      </c>
      <c r="C2202" s="8" t="s">
        <v>21</v>
      </c>
      <c r="K2202" s="8">
        <v>450.0</v>
      </c>
      <c r="N2202" s="7">
        <v>44112.0</v>
      </c>
    </row>
    <row r="2203">
      <c r="A2203" s="8">
        <v>2202.0</v>
      </c>
      <c r="B2203" s="8" t="s">
        <v>186</v>
      </c>
      <c r="C2203" s="8" t="s">
        <v>21</v>
      </c>
      <c r="K2203" s="8">
        <v>10.0</v>
      </c>
      <c r="N2203" s="7">
        <v>43874.0</v>
      </c>
    </row>
    <row r="2204">
      <c r="A2204" s="8">
        <v>2203.0</v>
      </c>
      <c r="B2204" s="8" t="s">
        <v>3584</v>
      </c>
      <c r="C2204" s="8" t="s">
        <v>21</v>
      </c>
      <c r="K2204" s="8">
        <v>1100.0</v>
      </c>
      <c r="N2204" s="7">
        <v>44550.0</v>
      </c>
    </row>
    <row r="2205">
      <c r="A2205" s="8">
        <v>2204.0</v>
      </c>
      <c r="B2205" s="8" t="s">
        <v>3585</v>
      </c>
      <c r="C2205" s="8" t="s">
        <v>21</v>
      </c>
      <c r="K2205" s="8">
        <v>150.0</v>
      </c>
      <c r="N2205" s="7">
        <v>45177.0</v>
      </c>
    </row>
    <row r="2206">
      <c r="A2206" s="8">
        <v>2205.0</v>
      </c>
      <c r="B2206" s="8" t="s">
        <v>3586</v>
      </c>
      <c r="C2206" s="8" t="s">
        <v>21</v>
      </c>
      <c r="K2206" s="8">
        <v>700.0</v>
      </c>
      <c r="N2206" s="7">
        <v>43868.0</v>
      </c>
    </row>
    <row r="2207">
      <c r="A2207" s="8">
        <v>2206.0</v>
      </c>
      <c r="B2207" s="8" t="s">
        <v>3587</v>
      </c>
      <c r="C2207" s="8" t="s">
        <v>21</v>
      </c>
      <c r="K2207" s="8">
        <v>100.0</v>
      </c>
      <c r="N2207" s="7">
        <v>44130.0</v>
      </c>
    </row>
    <row r="2208">
      <c r="A2208" s="8">
        <v>2207.0</v>
      </c>
      <c r="B2208" s="8" t="s">
        <v>3588</v>
      </c>
      <c r="C2208" s="8" t="s">
        <v>21</v>
      </c>
      <c r="K2208" s="8">
        <v>10.0</v>
      </c>
      <c r="N2208" s="7">
        <v>44317.0</v>
      </c>
    </row>
    <row r="2209">
      <c r="A2209" s="8">
        <v>2208.0</v>
      </c>
      <c r="B2209" s="8" t="s">
        <v>3589</v>
      </c>
      <c r="C2209" s="8" t="s">
        <v>21</v>
      </c>
      <c r="K2209" s="8">
        <v>250.0</v>
      </c>
      <c r="N2209" s="7">
        <v>44578.0</v>
      </c>
    </row>
    <row r="2210">
      <c r="A2210" s="8">
        <v>2209.0</v>
      </c>
      <c r="B2210" s="8" t="s">
        <v>3590</v>
      </c>
      <c r="C2210" s="8" t="s">
        <v>21</v>
      </c>
      <c r="K2210" s="8">
        <v>450.0</v>
      </c>
      <c r="N2210" s="7">
        <v>44173.0</v>
      </c>
    </row>
    <row r="2211">
      <c r="A2211" s="8">
        <v>2210.0</v>
      </c>
      <c r="B2211" s="8" t="s">
        <v>3591</v>
      </c>
      <c r="C2211" s="8" t="s">
        <v>21</v>
      </c>
      <c r="K2211" s="8">
        <v>40.0</v>
      </c>
      <c r="N2211" s="7">
        <v>44544.0</v>
      </c>
    </row>
    <row r="2212">
      <c r="A2212" s="8">
        <v>2211.0</v>
      </c>
      <c r="B2212" s="8" t="s">
        <v>3592</v>
      </c>
      <c r="C2212" s="8" t="s">
        <v>21</v>
      </c>
      <c r="K2212" s="8">
        <v>200.0</v>
      </c>
      <c r="N2212" s="7">
        <v>44018.0</v>
      </c>
    </row>
    <row r="2213">
      <c r="A2213" s="8">
        <v>2212.0</v>
      </c>
      <c r="B2213" s="8" t="s">
        <v>3593</v>
      </c>
      <c r="C2213" s="8" t="s">
        <v>21</v>
      </c>
      <c r="K2213" s="8">
        <v>200.0</v>
      </c>
      <c r="N2213" s="7">
        <v>45436.0</v>
      </c>
    </row>
    <row r="2214">
      <c r="A2214" s="8">
        <v>2213.0</v>
      </c>
      <c r="B2214" s="8" t="s">
        <v>3594</v>
      </c>
      <c r="C2214" s="8" t="s">
        <v>21</v>
      </c>
      <c r="K2214" s="8">
        <v>10.0</v>
      </c>
      <c r="N2214" s="7">
        <v>45205.0</v>
      </c>
    </row>
    <row r="2215">
      <c r="A2215" s="8">
        <v>2214.0</v>
      </c>
      <c r="B2215" s="8" t="s">
        <v>3595</v>
      </c>
      <c r="C2215" s="8" t="s">
        <v>21</v>
      </c>
      <c r="N2215" s="7">
        <v>42370.0</v>
      </c>
    </row>
    <row r="2216">
      <c r="A2216" s="8">
        <v>2215.0</v>
      </c>
      <c r="B2216" s="8" t="s">
        <v>3596</v>
      </c>
      <c r="C2216" s="8" t="s">
        <v>21</v>
      </c>
      <c r="K2216" s="8">
        <v>1000.0</v>
      </c>
      <c r="N2216" s="7">
        <v>43879.0</v>
      </c>
    </row>
    <row r="2217">
      <c r="A2217" s="8">
        <v>2216.0</v>
      </c>
      <c r="B2217" s="8" t="s">
        <v>3597</v>
      </c>
      <c r="C2217" s="8" t="s">
        <v>21</v>
      </c>
      <c r="K2217" s="8">
        <v>50.0</v>
      </c>
      <c r="N2217" s="7">
        <v>44294.0</v>
      </c>
    </row>
    <row r="2218">
      <c r="A2218" s="8">
        <v>2217.0</v>
      </c>
      <c r="B2218" s="8" t="s">
        <v>3598</v>
      </c>
      <c r="C2218" s="8" t="s">
        <v>21</v>
      </c>
      <c r="K2218" s="8">
        <v>600.0</v>
      </c>
      <c r="N2218" s="7">
        <v>45531.0</v>
      </c>
    </row>
    <row r="2219">
      <c r="A2219" s="8">
        <v>2218.0</v>
      </c>
      <c r="B2219" s="8" t="s">
        <v>188</v>
      </c>
      <c r="C2219" s="8" t="s">
        <v>21</v>
      </c>
      <c r="N2219" s="7">
        <v>44888.0</v>
      </c>
    </row>
    <row r="2220">
      <c r="A2220" s="8">
        <v>2219.0</v>
      </c>
      <c r="B2220" s="8" t="s">
        <v>3599</v>
      </c>
      <c r="C2220" s="8" t="s">
        <v>21</v>
      </c>
      <c r="N2220" s="7">
        <v>45666.0</v>
      </c>
    </row>
    <row r="2221">
      <c r="A2221" s="8">
        <v>2220.0</v>
      </c>
      <c r="B2221" s="8" t="s">
        <v>3600</v>
      </c>
      <c r="C2221" s="8" t="s">
        <v>21</v>
      </c>
      <c r="K2221" s="8">
        <v>150.0</v>
      </c>
      <c r="N2221" s="7">
        <v>44266.0</v>
      </c>
    </row>
    <row r="2222">
      <c r="A2222" s="8">
        <v>2221.0</v>
      </c>
      <c r="B2222" s="8" t="s">
        <v>3601</v>
      </c>
      <c r="C2222" s="8" t="s">
        <v>21</v>
      </c>
      <c r="K2222" s="8">
        <v>200.0</v>
      </c>
      <c r="N2222" s="7">
        <v>44241.0</v>
      </c>
    </row>
    <row r="2223">
      <c r="A2223" s="8">
        <v>2222.0</v>
      </c>
      <c r="B2223" s="8" t="s">
        <v>3602</v>
      </c>
      <c r="C2223" s="8" t="s">
        <v>21</v>
      </c>
      <c r="K2223" s="8">
        <v>13000.0</v>
      </c>
      <c r="N2223" s="7">
        <v>43037.0</v>
      </c>
    </row>
    <row r="2224">
      <c r="A2224" s="8">
        <v>2223.0</v>
      </c>
      <c r="B2224" s="8" t="s">
        <v>3603</v>
      </c>
      <c r="C2224" s="8" t="s">
        <v>21</v>
      </c>
      <c r="K2224" s="8">
        <v>10.0</v>
      </c>
      <c r="N2224" s="7">
        <v>44275.0</v>
      </c>
    </row>
    <row r="2225">
      <c r="A2225" s="8">
        <v>2224.0</v>
      </c>
      <c r="B2225" s="8" t="s">
        <v>3604</v>
      </c>
      <c r="C2225" s="8" t="s">
        <v>21</v>
      </c>
      <c r="K2225" s="8">
        <v>200.0</v>
      </c>
      <c r="N2225" s="7">
        <v>44201.0</v>
      </c>
    </row>
    <row r="2226">
      <c r="A2226" s="8">
        <v>2225.0</v>
      </c>
      <c r="B2226" s="8" t="s">
        <v>3605</v>
      </c>
      <c r="C2226" s="8" t="s">
        <v>21</v>
      </c>
      <c r="K2226" s="8">
        <v>900.0</v>
      </c>
      <c r="N2226" s="7">
        <v>45416.0</v>
      </c>
    </row>
    <row r="2227">
      <c r="A2227" s="8">
        <v>2226.0</v>
      </c>
      <c r="B2227" s="8" t="s">
        <v>3606</v>
      </c>
      <c r="C2227" s="8" t="s">
        <v>21</v>
      </c>
      <c r="K2227" s="8">
        <v>3600.0</v>
      </c>
      <c r="N2227" s="7">
        <v>43968.0</v>
      </c>
    </row>
    <row r="2228">
      <c r="A2228" s="8">
        <v>2227.0</v>
      </c>
      <c r="B2228" s="8" t="s">
        <v>3607</v>
      </c>
      <c r="C2228" s="8" t="s">
        <v>21</v>
      </c>
      <c r="K2228" s="8">
        <v>450.0</v>
      </c>
      <c r="N2228" s="7">
        <v>44518.0</v>
      </c>
    </row>
    <row r="2229">
      <c r="A2229" s="8">
        <v>2228.0</v>
      </c>
      <c r="B2229" s="8" t="s">
        <v>3608</v>
      </c>
      <c r="C2229" s="8" t="s">
        <v>21</v>
      </c>
      <c r="K2229" s="8">
        <v>1500.0</v>
      </c>
      <c r="N2229" s="7">
        <v>44007.0</v>
      </c>
    </row>
    <row r="2230">
      <c r="A2230" s="8">
        <v>2229.0</v>
      </c>
      <c r="B2230" s="8" t="s">
        <v>3609</v>
      </c>
      <c r="C2230" s="8" t="s">
        <v>21</v>
      </c>
      <c r="K2230" s="8">
        <v>150.0</v>
      </c>
      <c r="N2230" s="7">
        <v>44349.0</v>
      </c>
    </row>
    <row r="2231">
      <c r="A2231" s="8">
        <v>2230.0</v>
      </c>
      <c r="B2231" s="8" t="s">
        <v>3610</v>
      </c>
      <c r="C2231" s="8" t="s">
        <v>21</v>
      </c>
      <c r="N2231" s="7">
        <v>44527.0</v>
      </c>
    </row>
    <row r="2232">
      <c r="A2232" s="8">
        <v>2231.0</v>
      </c>
      <c r="B2232" s="8" t="s">
        <v>3611</v>
      </c>
      <c r="C2232" s="8" t="s">
        <v>21</v>
      </c>
      <c r="K2232" s="8">
        <v>70.0</v>
      </c>
      <c r="N2232" s="7">
        <v>44548.0</v>
      </c>
    </row>
    <row r="2233">
      <c r="A2233" s="8">
        <v>2232.0</v>
      </c>
      <c r="B2233" s="8" t="s">
        <v>3612</v>
      </c>
      <c r="C2233" s="8" t="s">
        <v>21</v>
      </c>
      <c r="N2233" s="7">
        <v>44247.0</v>
      </c>
    </row>
    <row r="2234">
      <c r="A2234" s="8">
        <v>2233.0</v>
      </c>
      <c r="B2234" s="8" t="s">
        <v>3613</v>
      </c>
      <c r="C2234" s="8" t="s">
        <v>21</v>
      </c>
      <c r="K2234" s="8">
        <v>40.0</v>
      </c>
      <c r="N2234" s="7">
        <v>42935.0</v>
      </c>
    </row>
    <row r="2235">
      <c r="A2235" s="8">
        <v>2234.0</v>
      </c>
      <c r="B2235" s="8" t="s">
        <v>3614</v>
      </c>
      <c r="C2235" s="8" t="s">
        <v>21</v>
      </c>
      <c r="K2235" s="8">
        <v>50.0</v>
      </c>
      <c r="N2235" s="7">
        <v>44106.0</v>
      </c>
    </row>
    <row r="2236">
      <c r="A2236" s="8">
        <v>2235.0</v>
      </c>
      <c r="B2236" s="8" t="s">
        <v>3615</v>
      </c>
      <c r="C2236" s="8" t="s">
        <v>21</v>
      </c>
      <c r="K2236" s="8">
        <v>50.0</v>
      </c>
      <c r="N2236" s="7">
        <v>45256.0</v>
      </c>
    </row>
    <row r="2237">
      <c r="A2237" s="8">
        <v>2236.0</v>
      </c>
      <c r="B2237" s="8" t="s">
        <v>3616</v>
      </c>
      <c r="C2237" s="8" t="s">
        <v>21</v>
      </c>
      <c r="K2237" s="8">
        <v>20.0</v>
      </c>
      <c r="N2237" s="7">
        <v>44339.0</v>
      </c>
    </row>
    <row r="2238">
      <c r="A2238" s="8">
        <v>2237.0</v>
      </c>
      <c r="B2238" s="8" t="s">
        <v>3617</v>
      </c>
      <c r="C2238" s="8" t="s">
        <v>21</v>
      </c>
      <c r="K2238" s="8">
        <v>30.0</v>
      </c>
      <c r="N2238" s="7">
        <v>44618.0</v>
      </c>
    </row>
    <row r="2239">
      <c r="A2239" s="8">
        <v>2238.0</v>
      </c>
      <c r="B2239" s="8" t="s">
        <v>3618</v>
      </c>
      <c r="C2239" s="8" t="s">
        <v>21</v>
      </c>
      <c r="N2239" s="7">
        <v>44345.0</v>
      </c>
    </row>
    <row r="2240">
      <c r="A2240" s="8">
        <v>2239.0</v>
      </c>
      <c r="B2240" s="8" t="s">
        <v>3619</v>
      </c>
      <c r="C2240" s="8" t="s">
        <v>21</v>
      </c>
      <c r="N2240" s="7">
        <v>45359.0</v>
      </c>
    </row>
    <row r="2241">
      <c r="A2241" s="8">
        <v>2240.0</v>
      </c>
      <c r="B2241" s="8" t="s">
        <v>3620</v>
      </c>
      <c r="C2241" s="8" t="s">
        <v>21</v>
      </c>
      <c r="K2241" s="8">
        <v>1600.0</v>
      </c>
      <c r="N2241" s="7">
        <v>45086.0</v>
      </c>
    </row>
    <row r="2242">
      <c r="A2242" s="8">
        <v>2241.0</v>
      </c>
      <c r="B2242" s="8" t="s">
        <v>3621</v>
      </c>
      <c r="C2242" s="8" t="s">
        <v>21</v>
      </c>
      <c r="N2242" s="7">
        <v>44262.0</v>
      </c>
    </row>
    <row r="2243">
      <c r="A2243" s="8">
        <v>2242.0</v>
      </c>
      <c r="B2243" s="8" t="s">
        <v>3622</v>
      </c>
      <c r="C2243" s="8" t="s">
        <v>21</v>
      </c>
      <c r="K2243" s="8">
        <v>200.0</v>
      </c>
      <c r="N2243" s="7">
        <v>44827.0</v>
      </c>
    </row>
    <row r="2244">
      <c r="A2244" s="8">
        <v>2243.0</v>
      </c>
      <c r="B2244" s="8" t="s">
        <v>3623</v>
      </c>
      <c r="C2244" s="8" t="s">
        <v>21</v>
      </c>
      <c r="N2244" s="7">
        <v>44363.0</v>
      </c>
    </row>
    <row r="2245">
      <c r="A2245" s="8">
        <v>2244.0</v>
      </c>
      <c r="B2245" s="8" t="s">
        <v>3624</v>
      </c>
      <c r="C2245" s="8" t="s">
        <v>21</v>
      </c>
      <c r="K2245" s="8">
        <v>30.0</v>
      </c>
      <c r="N2245" s="7">
        <v>45873.0</v>
      </c>
    </row>
    <row r="2246">
      <c r="A2246" s="8">
        <v>2245.0</v>
      </c>
      <c r="B2246" s="8" t="s">
        <v>3625</v>
      </c>
      <c r="C2246" s="8" t="s">
        <v>21</v>
      </c>
      <c r="K2246" s="8">
        <v>4700.0</v>
      </c>
      <c r="N2246" s="7">
        <v>43885.0</v>
      </c>
    </row>
    <row r="2247">
      <c r="A2247" s="8">
        <v>2246.0</v>
      </c>
      <c r="B2247" s="8" t="s">
        <v>3626</v>
      </c>
      <c r="C2247" s="8" t="s">
        <v>21</v>
      </c>
      <c r="K2247" s="8">
        <v>50.0</v>
      </c>
      <c r="N2247" s="7">
        <v>45089.0</v>
      </c>
    </row>
    <row r="2248">
      <c r="A2248" s="8">
        <v>2247.0</v>
      </c>
      <c r="B2248" s="8" t="s">
        <v>3627</v>
      </c>
      <c r="C2248" s="8" t="s">
        <v>21</v>
      </c>
      <c r="K2248" s="8">
        <v>90.0</v>
      </c>
      <c r="N2248" s="7">
        <v>44221.0</v>
      </c>
    </row>
    <row r="2249">
      <c r="A2249" s="8">
        <v>2248.0</v>
      </c>
      <c r="B2249" s="8" t="s">
        <v>3628</v>
      </c>
      <c r="C2249" s="8" t="s">
        <v>21</v>
      </c>
      <c r="K2249" s="8">
        <v>30.0</v>
      </c>
      <c r="N2249" s="7">
        <v>44253.0</v>
      </c>
    </row>
    <row r="2250">
      <c r="A2250" s="8">
        <v>2249.0</v>
      </c>
      <c r="B2250" s="8" t="s">
        <v>3629</v>
      </c>
      <c r="C2250" s="8" t="s">
        <v>21</v>
      </c>
      <c r="K2250" s="8">
        <v>1400.0</v>
      </c>
      <c r="N2250" s="7">
        <v>44220.0</v>
      </c>
    </row>
    <row r="2251">
      <c r="A2251" s="8">
        <v>2250.0</v>
      </c>
      <c r="B2251" s="8" t="s">
        <v>3630</v>
      </c>
      <c r="C2251" s="8" t="s">
        <v>21</v>
      </c>
      <c r="K2251" s="8">
        <v>3500.0</v>
      </c>
      <c r="N2251" s="7">
        <v>45047.0</v>
      </c>
    </row>
    <row r="2252">
      <c r="A2252" s="8">
        <v>2251.0</v>
      </c>
      <c r="B2252" s="8" t="s">
        <v>3631</v>
      </c>
      <c r="C2252" s="8" t="s">
        <v>21</v>
      </c>
      <c r="N2252" s="7">
        <v>44211.0</v>
      </c>
    </row>
    <row r="2253">
      <c r="A2253" s="8">
        <v>2252.0</v>
      </c>
      <c r="B2253" s="8" t="s">
        <v>3632</v>
      </c>
      <c r="C2253" s="8" t="s">
        <v>21</v>
      </c>
      <c r="K2253" s="8">
        <v>1200.0</v>
      </c>
      <c r="N2253" s="7">
        <v>44146.0</v>
      </c>
    </row>
    <row r="2254">
      <c r="A2254" s="8">
        <v>2253.0</v>
      </c>
      <c r="B2254" s="8" t="s">
        <v>192</v>
      </c>
      <c r="C2254" s="8" t="s">
        <v>21</v>
      </c>
      <c r="K2254" s="8">
        <v>70.0</v>
      </c>
      <c r="N2254" s="7">
        <v>45015.0</v>
      </c>
    </row>
    <row r="2255">
      <c r="A2255" s="8">
        <v>2254.0</v>
      </c>
      <c r="B2255" s="8" t="s">
        <v>3633</v>
      </c>
      <c r="C2255" s="8" t="s">
        <v>21</v>
      </c>
      <c r="K2255" s="8">
        <v>450.0</v>
      </c>
      <c r="N2255" s="7">
        <v>44014.0</v>
      </c>
    </row>
    <row r="2256">
      <c r="A2256" s="8">
        <v>2255.0</v>
      </c>
      <c r="B2256" s="8" t="s">
        <v>3634</v>
      </c>
      <c r="C2256" s="8" t="s">
        <v>21</v>
      </c>
      <c r="K2256" s="8">
        <v>50.0</v>
      </c>
      <c r="N2256" s="7">
        <v>45453.0</v>
      </c>
    </row>
    <row r="2257">
      <c r="A2257" s="8">
        <v>2256.0</v>
      </c>
      <c r="B2257" s="8" t="s">
        <v>3635</v>
      </c>
      <c r="C2257" s="8" t="s">
        <v>21</v>
      </c>
      <c r="K2257" s="8">
        <v>2400.0</v>
      </c>
      <c r="N2257" s="7">
        <v>43881.0</v>
      </c>
    </row>
    <row r="2258">
      <c r="A2258" s="8">
        <v>2257.0</v>
      </c>
      <c r="B2258" s="8" t="s">
        <v>3636</v>
      </c>
      <c r="C2258" s="8" t="s">
        <v>21</v>
      </c>
      <c r="K2258" s="8">
        <v>10.0</v>
      </c>
      <c r="N2258" s="7">
        <v>44252.0</v>
      </c>
    </row>
    <row r="2259">
      <c r="A2259" s="8">
        <v>2258.0</v>
      </c>
      <c r="B2259" s="8" t="s">
        <v>3637</v>
      </c>
      <c r="C2259" s="8" t="s">
        <v>21</v>
      </c>
      <c r="N2259" s="7">
        <v>44073.0</v>
      </c>
    </row>
    <row r="2260">
      <c r="A2260" s="8">
        <v>2259.0</v>
      </c>
      <c r="B2260" s="8" t="s">
        <v>3638</v>
      </c>
      <c r="C2260" s="8" t="s">
        <v>21</v>
      </c>
      <c r="K2260" s="8">
        <v>2400.0</v>
      </c>
      <c r="N2260" s="7">
        <v>44627.0</v>
      </c>
    </row>
    <row r="2261">
      <c r="A2261" s="8">
        <v>2260.0</v>
      </c>
      <c r="B2261" s="8" t="s">
        <v>3639</v>
      </c>
      <c r="C2261" s="8" t="s">
        <v>21</v>
      </c>
      <c r="K2261" s="8">
        <v>150.0</v>
      </c>
      <c r="N2261" s="7">
        <v>44497.0</v>
      </c>
    </row>
    <row r="2262">
      <c r="A2262" s="8">
        <v>2261.0</v>
      </c>
      <c r="B2262" s="8" t="s">
        <v>3640</v>
      </c>
      <c r="C2262" s="8" t="s">
        <v>21</v>
      </c>
      <c r="K2262" s="8">
        <v>200.0</v>
      </c>
      <c r="N2262" s="7">
        <v>44795.0</v>
      </c>
    </row>
    <row r="2263">
      <c r="A2263" s="8">
        <v>2262.0</v>
      </c>
      <c r="B2263" s="8" t="s">
        <v>3641</v>
      </c>
      <c r="C2263" s="8" t="s">
        <v>21</v>
      </c>
      <c r="K2263" s="8">
        <v>500.0</v>
      </c>
      <c r="N2263" s="7">
        <v>45045.0</v>
      </c>
    </row>
    <row r="2264">
      <c r="A2264" s="8">
        <v>2263.0</v>
      </c>
      <c r="B2264" s="8" t="s">
        <v>3642</v>
      </c>
      <c r="C2264" s="8" t="s">
        <v>21</v>
      </c>
      <c r="N2264" s="7">
        <v>45128.0</v>
      </c>
    </row>
    <row r="2265">
      <c r="A2265" s="8">
        <v>2264.0</v>
      </c>
      <c r="B2265" s="8" t="s">
        <v>3643</v>
      </c>
      <c r="C2265" s="8" t="s">
        <v>21</v>
      </c>
      <c r="N2265" s="7">
        <v>45391.0</v>
      </c>
    </row>
    <row r="2266">
      <c r="A2266" s="8">
        <v>2265.0</v>
      </c>
      <c r="B2266" s="8" t="s">
        <v>3644</v>
      </c>
      <c r="C2266" s="8" t="s">
        <v>21</v>
      </c>
      <c r="K2266" s="8">
        <v>60.0</v>
      </c>
      <c r="N2266" s="7">
        <v>44597.0</v>
      </c>
    </row>
    <row r="2267">
      <c r="A2267" s="8">
        <v>2266.0</v>
      </c>
      <c r="B2267" s="8" t="s">
        <v>3645</v>
      </c>
      <c r="C2267" s="8" t="s">
        <v>21</v>
      </c>
      <c r="K2267" s="8">
        <v>50.0</v>
      </c>
      <c r="N2267" s="7">
        <v>44313.0</v>
      </c>
    </row>
    <row r="2268">
      <c r="A2268" s="8">
        <v>2267.0</v>
      </c>
      <c r="B2268" s="8" t="s">
        <v>3646</v>
      </c>
      <c r="C2268" s="8" t="s">
        <v>21</v>
      </c>
      <c r="K2268" s="8">
        <v>350.0</v>
      </c>
      <c r="N2268" s="7">
        <v>45470.0</v>
      </c>
    </row>
    <row r="2269">
      <c r="A2269" s="8">
        <v>2268.0</v>
      </c>
      <c r="B2269" s="8" t="s">
        <v>3647</v>
      </c>
      <c r="C2269" s="8" t="s">
        <v>21</v>
      </c>
      <c r="K2269" s="8">
        <v>350.0</v>
      </c>
      <c r="N2269" s="7">
        <v>44133.0</v>
      </c>
    </row>
    <row r="2270">
      <c r="A2270" s="8">
        <v>2269.0</v>
      </c>
      <c r="B2270" s="8" t="s">
        <v>3648</v>
      </c>
      <c r="C2270" s="8" t="s">
        <v>21</v>
      </c>
      <c r="K2270" s="8">
        <v>200.0</v>
      </c>
      <c r="N2270" s="7">
        <v>44126.0</v>
      </c>
    </row>
    <row r="2271">
      <c r="A2271" s="8">
        <v>2270.0</v>
      </c>
      <c r="B2271" s="8" t="s">
        <v>3649</v>
      </c>
      <c r="C2271" s="8" t="s">
        <v>21</v>
      </c>
      <c r="K2271" s="8">
        <v>450.0</v>
      </c>
      <c r="N2271" s="7">
        <v>44540.0</v>
      </c>
    </row>
    <row r="2272">
      <c r="A2272" s="8">
        <v>2271.0</v>
      </c>
      <c r="B2272" s="8" t="s">
        <v>3650</v>
      </c>
      <c r="C2272" s="8" t="s">
        <v>21</v>
      </c>
      <c r="K2272" s="8">
        <v>150.0</v>
      </c>
      <c r="N2272" s="7">
        <v>44759.0</v>
      </c>
    </row>
    <row r="2273">
      <c r="A2273" s="8">
        <v>2272.0</v>
      </c>
      <c r="B2273" s="8" t="s">
        <v>3651</v>
      </c>
      <c r="C2273" s="8" t="s">
        <v>21</v>
      </c>
      <c r="K2273" s="8">
        <v>3700.0</v>
      </c>
      <c r="N2273" s="7">
        <v>44197.0</v>
      </c>
    </row>
    <row r="2274">
      <c r="A2274" s="8">
        <v>2273.0</v>
      </c>
      <c r="B2274" s="8" t="s">
        <v>3652</v>
      </c>
      <c r="C2274" s="8" t="s">
        <v>21</v>
      </c>
      <c r="K2274" s="8">
        <v>18000.0</v>
      </c>
      <c r="N2274" s="7">
        <v>43937.0</v>
      </c>
    </row>
    <row r="2275">
      <c r="A2275" s="8">
        <v>2274.0</v>
      </c>
      <c r="B2275" s="8" t="s">
        <v>3653</v>
      </c>
      <c r="C2275" s="8" t="s">
        <v>21</v>
      </c>
      <c r="K2275" s="8">
        <v>1600.0</v>
      </c>
      <c r="N2275" s="7">
        <v>44706.0</v>
      </c>
    </row>
    <row r="2276">
      <c r="A2276" s="8">
        <v>2275.0</v>
      </c>
      <c r="B2276" s="8" t="s">
        <v>3654</v>
      </c>
      <c r="C2276" s="8" t="s">
        <v>21</v>
      </c>
      <c r="K2276" s="8">
        <v>400.0</v>
      </c>
      <c r="N2276" s="7">
        <v>44574.0</v>
      </c>
    </row>
    <row r="2277">
      <c r="A2277" s="8">
        <v>2276.0</v>
      </c>
      <c r="B2277" s="8" t="s">
        <v>3655</v>
      </c>
      <c r="C2277" s="8" t="s">
        <v>21</v>
      </c>
      <c r="K2277" s="8">
        <v>10.0</v>
      </c>
      <c r="N2277" s="7">
        <v>45958.0</v>
      </c>
    </row>
    <row r="2278">
      <c r="A2278" s="8">
        <v>2277.0</v>
      </c>
      <c r="B2278" s="8" t="s">
        <v>3656</v>
      </c>
      <c r="C2278" s="8" t="s">
        <v>21</v>
      </c>
      <c r="K2278" s="8">
        <v>40.0</v>
      </c>
      <c r="N2278" s="7">
        <v>44347.0</v>
      </c>
    </row>
    <row r="2279">
      <c r="A2279" s="8">
        <v>2278.0</v>
      </c>
      <c r="B2279" s="8" t="s">
        <v>3657</v>
      </c>
      <c r="C2279" s="8" t="s">
        <v>21</v>
      </c>
      <c r="K2279" s="8">
        <v>350.0</v>
      </c>
      <c r="N2279" s="7">
        <v>45184.0</v>
      </c>
    </row>
    <row r="2280">
      <c r="A2280" s="8">
        <v>2279.0</v>
      </c>
      <c r="B2280" s="8" t="s">
        <v>3658</v>
      </c>
      <c r="C2280" s="8" t="s">
        <v>21</v>
      </c>
      <c r="K2280" s="8">
        <v>40.0</v>
      </c>
      <c r="N2280" s="7">
        <v>44007.0</v>
      </c>
    </row>
    <row r="2281">
      <c r="A2281" s="8">
        <v>2280.0</v>
      </c>
      <c r="B2281" s="8" t="s">
        <v>3659</v>
      </c>
      <c r="C2281" s="8" t="s">
        <v>21</v>
      </c>
      <c r="N2281" s="7">
        <v>44567.0</v>
      </c>
    </row>
    <row r="2282">
      <c r="A2282" s="8">
        <v>2281.0</v>
      </c>
      <c r="B2282" s="8" t="s">
        <v>3660</v>
      </c>
      <c r="C2282" s="8" t="s">
        <v>21</v>
      </c>
      <c r="K2282" s="8">
        <v>30.0</v>
      </c>
      <c r="N2282" s="7">
        <v>44045.0</v>
      </c>
    </row>
    <row r="2283">
      <c r="A2283" s="8">
        <v>2282.0</v>
      </c>
      <c r="B2283" s="8" t="s">
        <v>3661</v>
      </c>
      <c r="C2283" s="8" t="s">
        <v>21</v>
      </c>
      <c r="K2283" s="8">
        <v>40.0</v>
      </c>
      <c r="N2283" s="7">
        <v>45404.0</v>
      </c>
    </row>
    <row r="2284">
      <c r="A2284" s="8">
        <v>2283.0</v>
      </c>
      <c r="B2284" s="8" t="s">
        <v>3662</v>
      </c>
      <c r="C2284" s="8" t="s">
        <v>21</v>
      </c>
      <c r="K2284" s="8">
        <v>1100.0</v>
      </c>
      <c r="N2284" s="7">
        <v>44743.0</v>
      </c>
    </row>
    <row r="2285">
      <c r="A2285" s="8">
        <v>2284.0</v>
      </c>
      <c r="B2285" s="8" t="s">
        <v>3663</v>
      </c>
      <c r="C2285" s="8" t="s">
        <v>21</v>
      </c>
      <c r="K2285" s="8">
        <v>200.0</v>
      </c>
      <c r="N2285" s="7">
        <v>44632.0</v>
      </c>
    </row>
    <row r="2286">
      <c r="A2286" s="8">
        <v>2285.0</v>
      </c>
      <c r="B2286" s="8" t="s">
        <v>3664</v>
      </c>
      <c r="C2286" s="8" t="s">
        <v>21</v>
      </c>
      <c r="K2286" s="8">
        <v>100.0</v>
      </c>
      <c r="N2286" s="7">
        <v>44792.0</v>
      </c>
    </row>
    <row r="2287">
      <c r="A2287" s="8">
        <v>2286.0</v>
      </c>
      <c r="B2287" s="8" t="s">
        <v>3665</v>
      </c>
      <c r="C2287" s="8" t="s">
        <v>21</v>
      </c>
      <c r="K2287" s="8">
        <v>18000.0</v>
      </c>
      <c r="N2287" s="7">
        <v>44199.0</v>
      </c>
    </row>
    <row r="2288">
      <c r="A2288" s="8">
        <v>2287.0</v>
      </c>
      <c r="B2288" s="8" t="s">
        <v>3666</v>
      </c>
      <c r="C2288" s="8" t="s">
        <v>21</v>
      </c>
      <c r="N2288" s="7">
        <v>44241.0</v>
      </c>
    </row>
    <row r="2289">
      <c r="A2289" s="8">
        <v>2288.0</v>
      </c>
      <c r="B2289" s="8" t="s">
        <v>3667</v>
      </c>
      <c r="C2289" s="8" t="s">
        <v>21</v>
      </c>
      <c r="K2289" s="8">
        <v>3500.0</v>
      </c>
      <c r="N2289" s="7">
        <v>44719.0</v>
      </c>
    </row>
    <row r="2290">
      <c r="A2290" s="8">
        <v>2289.0</v>
      </c>
      <c r="B2290" s="8" t="s">
        <v>3668</v>
      </c>
      <c r="C2290" s="8" t="s">
        <v>21</v>
      </c>
      <c r="K2290" s="8">
        <v>90.0</v>
      </c>
      <c r="N2290" s="7">
        <v>44989.0</v>
      </c>
    </row>
    <row r="2291">
      <c r="A2291" s="8">
        <v>2290.0</v>
      </c>
      <c r="B2291" s="8" t="s">
        <v>3669</v>
      </c>
      <c r="C2291" s="8" t="s">
        <v>21</v>
      </c>
      <c r="K2291" s="8">
        <v>41000.0</v>
      </c>
      <c r="N2291" s="7">
        <v>44623.0</v>
      </c>
    </row>
    <row r="2292">
      <c r="A2292" s="8">
        <v>2291.0</v>
      </c>
      <c r="B2292" s="8" t="s">
        <v>3670</v>
      </c>
      <c r="C2292" s="8" t="s">
        <v>21</v>
      </c>
      <c r="N2292" s="7">
        <v>45006.0</v>
      </c>
    </row>
    <row r="2293">
      <c r="A2293" s="8">
        <v>2292.0</v>
      </c>
      <c r="B2293" s="8" t="s">
        <v>3671</v>
      </c>
      <c r="C2293" s="8" t="s">
        <v>21</v>
      </c>
      <c r="K2293" s="8">
        <v>250.0</v>
      </c>
      <c r="N2293" s="7">
        <v>45317.0</v>
      </c>
    </row>
    <row r="2294">
      <c r="A2294" s="8">
        <v>2293.0</v>
      </c>
      <c r="B2294" s="8" t="s">
        <v>3672</v>
      </c>
      <c r="C2294" s="8" t="s">
        <v>21</v>
      </c>
      <c r="K2294" s="8">
        <v>150.0</v>
      </c>
      <c r="N2294" s="7">
        <v>44305.0</v>
      </c>
    </row>
    <row r="2295">
      <c r="A2295" s="8">
        <v>2294.0</v>
      </c>
      <c r="B2295" s="8" t="s">
        <v>3673</v>
      </c>
      <c r="C2295" s="8" t="s">
        <v>21</v>
      </c>
      <c r="K2295" s="8">
        <v>150.0</v>
      </c>
      <c r="N2295" s="7">
        <v>45746.0</v>
      </c>
    </row>
    <row r="2296">
      <c r="A2296" s="8">
        <v>2295.0</v>
      </c>
      <c r="B2296" s="8" t="s">
        <v>2915</v>
      </c>
      <c r="C2296" s="8" t="s">
        <v>21</v>
      </c>
      <c r="D2296" s="8">
        <v>77.0</v>
      </c>
      <c r="H2296" s="8" t="s">
        <v>123</v>
      </c>
      <c r="I2296" s="9">
        <v>46147.880057870374</v>
      </c>
      <c r="L2296" s="8">
        <v>5400.0</v>
      </c>
      <c r="M2296" s="8">
        <v>493000.0</v>
      </c>
      <c r="N2296" s="7">
        <v>45094.0</v>
      </c>
      <c r="O2296" s="8" t="s">
        <v>107</v>
      </c>
      <c r="P2296" s="8" t="s">
        <v>28</v>
      </c>
      <c r="S2296" s="8" t="s">
        <v>32</v>
      </c>
    </row>
    <row r="2297">
      <c r="A2297" s="8">
        <v>2296.0</v>
      </c>
      <c r="B2297" s="8" t="s">
        <v>3674</v>
      </c>
      <c r="C2297" s="8" t="s">
        <v>21</v>
      </c>
      <c r="K2297" s="8">
        <v>70.0</v>
      </c>
      <c r="N2297" s="7">
        <v>44849.0</v>
      </c>
    </row>
    <row r="2298">
      <c r="A2298" s="8">
        <v>2297.0</v>
      </c>
      <c r="B2298" s="8" t="s">
        <v>3675</v>
      </c>
      <c r="C2298" s="8" t="s">
        <v>21</v>
      </c>
      <c r="K2298" s="8">
        <v>400.0</v>
      </c>
      <c r="N2298" s="7">
        <v>44947.0</v>
      </c>
    </row>
    <row r="2299">
      <c r="A2299" s="8">
        <v>2298.0</v>
      </c>
      <c r="B2299" s="8" t="s">
        <v>3676</v>
      </c>
      <c r="C2299" s="8" t="s">
        <v>21</v>
      </c>
      <c r="K2299" s="8">
        <v>20.0</v>
      </c>
      <c r="N2299" s="7">
        <v>44258.0</v>
      </c>
    </row>
    <row r="2300">
      <c r="A2300" s="8">
        <v>2299.0</v>
      </c>
      <c r="B2300" s="8" t="s">
        <v>3677</v>
      </c>
      <c r="C2300" s="8" t="s">
        <v>21</v>
      </c>
      <c r="K2300" s="8">
        <v>3900.0</v>
      </c>
      <c r="N2300" s="7">
        <v>44202.0</v>
      </c>
    </row>
    <row r="2301">
      <c r="A2301" s="8">
        <v>2300.0</v>
      </c>
      <c r="B2301" s="8" t="s">
        <v>3678</v>
      </c>
      <c r="C2301" s="8" t="s">
        <v>21</v>
      </c>
      <c r="K2301" s="8">
        <v>100.0</v>
      </c>
      <c r="N2301" s="7">
        <v>44126.0</v>
      </c>
    </row>
    <row r="2302">
      <c r="A2302" s="8">
        <v>2301.0</v>
      </c>
      <c r="B2302" s="8" t="s">
        <v>3679</v>
      </c>
      <c r="C2302" s="8" t="s">
        <v>21</v>
      </c>
      <c r="K2302" s="8">
        <v>20.0</v>
      </c>
      <c r="N2302" s="7">
        <v>44660.0</v>
      </c>
    </row>
    <row r="2303">
      <c r="A2303" s="8">
        <v>2302.0</v>
      </c>
      <c r="B2303" s="8" t="s">
        <v>3680</v>
      </c>
      <c r="C2303" s="8" t="s">
        <v>21</v>
      </c>
      <c r="K2303" s="8">
        <v>60.0</v>
      </c>
      <c r="N2303" s="7">
        <v>44962.0</v>
      </c>
    </row>
    <row r="2304">
      <c r="A2304" s="8">
        <v>2303.0</v>
      </c>
      <c r="B2304" s="8" t="s">
        <v>3681</v>
      </c>
      <c r="C2304" s="8" t="s">
        <v>21</v>
      </c>
      <c r="N2304" s="7">
        <v>44212.0</v>
      </c>
    </row>
    <row r="2305">
      <c r="A2305" s="8">
        <v>2304.0</v>
      </c>
      <c r="B2305" s="8" t="s">
        <v>3682</v>
      </c>
      <c r="C2305" s="8" t="s">
        <v>21</v>
      </c>
      <c r="N2305" s="7">
        <v>42518.0</v>
      </c>
      <c r="O2305" s="8" t="s">
        <v>26</v>
      </c>
      <c r="P2305" s="8" t="s">
        <v>28</v>
      </c>
      <c r="S2305" s="8" t="s">
        <v>32</v>
      </c>
    </row>
    <row r="2306">
      <c r="A2306" s="8">
        <v>2305.0</v>
      </c>
      <c r="B2306" s="8" t="s">
        <v>3683</v>
      </c>
      <c r="C2306" s="8" t="s">
        <v>21</v>
      </c>
      <c r="K2306" s="8">
        <v>2200.0</v>
      </c>
      <c r="N2306" s="7">
        <v>42908.0</v>
      </c>
      <c r="O2306" s="8" t="s">
        <v>107</v>
      </c>
      <c r="P2306" s="8" t="s">
        <v>28</v>
      </c>
      <c r="S2306" s="8" t="s">
        <v>32</v>
      </c>
    </row>
    <row r="2307">
      <c r="A2307" s="8">
        <v>2306.0</v>
      </c>
      <c r="B2307" s="8" t="s">
        <v>3684</v>
      </c>
      <c r="C2307" s="8" t="s">
        <v>21</v>
      </c>
      <c r="K2307" s="8">
        <v>150.0</v>
      </c>
      <c r="N2307" s="7">
        <v>44868.0</v>
      </c>
    </row>
    <row r="2308">
      <c r="A2308" s="8">
        <v>2307.0</v>
      </c>
      <c r="B2308" s="8" t="s">
        <v>3685</v>
      </c>
      <c r="C2308" s="8" t="s">
        <v>21</v>
      </c>
      <c r="K2308" s="8">
        <v>150.0</v>
      </c>
      <c r="N2308" s="7">
        <v>45197.0</v>
      </c>
    </row>
    <row r="2309">
      <c r="A2309" s="8">
        <v>2308.0</v>
      </c>
      <c r="B2309" s="8" t="s">
        <v>195</v>
      </c>
      <c r="C2309" s="8" t="s">
        <v>21</v>
      </c>
      <c r="K2309" s="8">
        <v>40.0</v>
      </c>
      <c r="N2309" s="7">
        <v>45480.0</v>
      </c>
    </row>
    <row r="2310">
      <c r="A2310" s="8">
        <v>2309.0</v>
      </c>
      <c r="B2310" s="8" t="s">
        <v>3686</v>
      </c>
      <c r="C2310" s="8" t="s">
        <v>21</v>
      </c>
      <c r="K2310" s="8">
        <v>300.0</v>
      </c>
      <c r="N2310" s="7">
        <v>44170.0</v>
      </c>
    </row>
    <row r="2311">
      <c r="A2311" s="8">
        <v>2310.0</v>
      </c>
      <c r="B2311" s="8" t="s">
        <v>3687</v>
      </c>
      <c r="C2311" s="8" t="s">
        <v>21</v>
      </c>
      <c r="K2311" s="8">
        <v>50.0</v>
      </c>
      <c r="N2311" s="7">
        <v>45250.0</v>
      </c>
    </row>
    <row r="2312">
      <c r="A2312" s="8">
        <v>2311.0</v>
      </c>
      <c r="B2312" s="8" t="s">
        <v>3688</v>
      </c>
      <c r="C2312" s="8" t="s">
        <v>21</v>
      </c>
      <c r="K2312" s="8">
        <v>80.0</v>
      </c>
      <c r="N2312" s="7">
        <v>43893.0</v>
      </c>
    </row>
    <row r="2313">
      <c r="A2313" s="8">
        <v>2312.0</v>
      </c>
      <c r="B2313" s="8" t="s">
        <v>3689</v>
      </c>
      <c r="C2313" s="8" t="s">
        <v>21</v>
      </c>
      <c r="K2313" s="8">
        <v>90.0</v>
      </c>
      <c r="N2313" s="7">
        <v>44553.0</v>
      </c>
    </row>
    <row r="2314">
      <c r="A2314" s="8">
        <v>2313.0</v>
      </c>
      <c r="B2314" s="8" t="s">
        <v>3690</v>
      </c>
      <c r="C2314" s="8" t="s">
        <v>21</v>
      </c>
      <c r="K2314" s="8">
        <v>4400.0</v>
      </c>
      <c r="N2314" s="7">
        <v>44146.0</v>
      </c>
    </row>
    <row r="2315">
      <c r="A2315" s="8">
        <v>2314.0</v>
      </c>
      <c r="B2315" s="8" t="s">
        <v>3691</v>
      </c>
      <c r="C2315" s="8" t="s">
        <v>21</v>
      </c>
      <c r="N2315" s="7">
        <v>44575.0</v>
      </c>
    </row>
    <row r="2316">
      <c r="A2316" s="8">
        <v>2315.0</v>
      </c>
      <c r="B2316" s="8" t="s">
        <v>3692</v>
      </c>
      <c r="C2316" s="8" t="s">
        <v>21</v>
      </c>
      <c r="K2316" s="8">
        <v>10.0</v>
      </c>
      <c r="N2316" s="7">
        <v>44270.0</v>
      </c>
    </row>
    <row r="2317">
      <c r="A2317" s="8">
        <v>2316.0</v>
      </c>
      <c r="B2317" s="8" t="s">
        <v>3693</v>
      </c>
      <c r="C2317" s="8" t="s">
        <v>21</v>
      </c>
      <c r="K2317" s="8">
        <v>200.0</v>
      </c>
      <c r="N2317" s="7">
        <v>43898.0</v>
      </c>
    </row>
    <row r="2318">
      <c r="A2318" s="8">
        <v>2317.0</v>
      </c>
      <c r="B2318" s="8" t="s">
        <v>3694</v>
      </c>
      <c r="C2318" s="8" t="s">
        <v>21</v>
      </c>
      <c r="K2318" s="8">
        <v>100.0</v>
      </c>
      <c r="N2318" s="7">
        <v>44470.0</v>
      </c>
    </row>
    <row r="2319">
      <c r="A2319" s="8">
        <v>2318.0</v>
      </c>
      <c r="B2319" s="8" t="s">
        <v>3695</v>
      </c>
      <c r="C2319" s="8" t="s">
        <v>21</v>
      </c>
      <c r="K2319" s="8">
        <v>30.0</v>
      </c>
      <c r="N2319" s="7">
        <v>44265.0</v>
      </c>
    </row>
    <row r="2320">
      <c r="A2320" s="8">
        <v>2319.0</v>
      </c>
      <c r="B2320" s="8" t="s">
        <v>3696</v>
      </c>
      <c r="C2320" s="8" t="s">
        <v>21</v>
      </c>
      <c r="K2320" s="8">
        <v>800.0</v>
      </c>
      <c r="N2320" s="7">
        <v>44798.0</v>
      </c>
    </row>
    <row r="2321">
      <c r="A2321" s="8">
        <v>2320.0</v>
      </c>
      <c r="B2321" s="8" t="s">
        <v>3697</v>
      </c>
      <c r="C2321" s="8" t="s">
        <v>21</v>
      </c>
      <c r="N2321" s="7">
        <v>44240.0</v>
      </c>
    </row>
    <row r="2322">
      <c r="A2322" s="8">
        <v>2321.0</v>
      </c>
      <c r="B2322" s="8" t="s">
        <v>3698</v>
      </c>
      <c r="C2322" s="8" t="s">
        <v>21</v>
      </c>
      <c r="K2322" s="8">
        <v>150.0</v>
      </c>
      <c r="N2322" s="7">
        <v>44128.0</v>
      </c>
    </row>
    <row r="2323">
      <c r="A2323" s="8">
        <v>2322.0</v>
      </c>
      <c r="B2323" s="8" t="s">
        <v>3699</v>
      </c>
      <c r="C2323" s="8" t="s">
        <v>21</v>
      </c>
      <c r="K2323" s="8">
        <v>12000.0</v>
      </c>
      <c r="N2323" s="7">
        <v>44632.0</v>
      </c>
    </row>
    <row r="2324">
      <c r="A2324" s="8">
        <v>2323.0</v>
      </c>
      <c r="B2324" s="8" t="s">
        <v>3700</v>
      </c>
      <c r="C2324" s="8" t="s">
        <v>21</v>
      </c>
      <c r="N2324" s="7">
        <v>43845.0</v>
      </c>
    </row>
    <row r="2325">
      <c r="A2325" s="8">
        <v>2324.0</v>
      </c>
      <c r="B2325" s="8" t="s">
        <v>3701</v>
      </c>
      <c r="C2325" s="8" t="s">
        <v>21</v>
      </c>
      <c r="N2325" s="7">
        <v>44894.0</v>
      </c>
    </row>
    <row r="2326">
      <c r="A2326" s="8">
        <v>2325.0</v>
      </c>
      <c r="B2326" s="8" t="s">
        <v>3702</v>
      </c>
      <c r="C2326" s="8" t="s">
        <v>21</v>
      </c>
      <c r="K2326" s="8">
        <v>800.0</v>
      </c>
      <c r="N2326" s="7">
        <v>44516.0</v>
      </c>
    </row>
    <row r="2327">
      <c r="A2327" s="8">
        <v>2326.0</v>
      </c>
      <c r="B2327" s="8" t="s">
        <v>3703</v>
      </c>
      <c r="C2327" s="8" t="s">
        <v>21</v>
      </c>
      <c r="N2327" s="7">
        <v>44976.0</v>
      </c>
    </row>
    <row r="2328">
      <c r="A2328" s="8">
        <v>2327.0</v>
      </c>
      <c r="B2328" s="8" t="s">
        <v>3704</v>
      </c>
      <c r="C2328" s="8" t="s">
        <v>21</v>
      </c>
      <c r="N2328" s="7">
        <v>45408.0</v>
      </c>
    </row>
    <row r="2329">
      <c r="A2329" s="8">
        <v>2328.0</v>
      </c>
      <c r="B2329" s="8" t="s">
        <v>3705</v>
      </c>
      <c r="C2329" s="8" t="s">
        <v>21</v>
      </c>
      <c r="K2329" s="8">
        <v>150.0</v>
      </c>
      <c r="N2329" s="7">
        <v>45082.0</v>
      </c>
    </row>
    <row r="2330">
      <c r="A2330" s="8">
        <v>2329.0</v>
      </c>
      <c r="B2330" s="8" t="s">
        <v>3706</v>
      </c>
      <c r="C2330" s="8" t="s">
        <v>21</v>
      </c>
      <c r="N2330" s="7">
        <v>43876.0</v>
      </c>
    </row>
    <row r="2331">
      <c r="A2331" s="8">
        <v>2330.0</v>
      </c>
      <c r="B2331" s="8" t="s">
        <v>184</v>
      </c>
      <c r="C2331" s="8" t="s">
        <v>21</v>
      </c>
      <c r="K2331" s="8">
        <v>63000.0</v>
      </c>
      <c r="N2331" s="7">
        <v>44613.0</v>
      </c>
    </row>
    <row r="2332">
      <c r="A2332" s="8">
        <v>2331.0</v>
      </c>
      <c r="B2332" s="8" t="s">
        <v>3707</v>
      </c>
      <c r="C2332" s="8" t="s">
        <v>21</v>
      </c>
      <c r="K2332" s="8">
        <v>1100.0</v>
      </c>
      <c r="N2332" s="7">
        <v>44080.0</v>
      </c>
    </row>
    <row r="2333">
      <c r="A2333" s="8">
        <v>2332.0</v>
      </c>
      <c r="B2333" s="8" t="s">
        <v>3708</v>
      </c>
      <c r="C2333" s="8" t="s">
        <v>21</v>
      </c>
      <c r="K2333" s="8">
        <v>10.0</v>
      </c>
      <c r="N2333" s="7">
        <v>44481.0</v>
      </c>
    </row>
    <row r="2334">
      <c r="A2334" s="8">
        <v>2333.0</v>
      </c>
      <c r="B2334" s="8" t="s">
        <v>3709</v>
      </c>
      <c r="C2334" s="8" t="s">
        <v>21</v>
      </c>
      <c r="K2334" s="8">
        <v>10.0</v>
      </c>
      <c r="N2334" s="7">
        <v>45460.0</v>
      </c>
    </row>
    <row r="2335">
      <c r="A2335" s="8">
        <v>2334.0</v>
      </c>
      <c r="B2335" s="8" t="s">
        <v>3710</v>
      </c>
      <c r="C2335" s="8" t="s">
        <v>21</v>
      </c>
      <c r="N2335" s="7">
        <v>44419.0</v>
      </c>
    </row>
    <row r="2336">
      <c r="A2336" s="8">
        <v>2335.0</v>
      </c>
      <c r="B2336" s="8" t="s">
        <v>3711</v>
      </c>
      <c r="C2336" s="8" t="s">
        <v>21</v>
      </c>
      <c r="K2336" s="8">
        <v>10.0</v>
      </c>
      <c r="N2336" s="7">
        <v>44498.0</v>
      </c>
    </row>
    <row r="2337">
      <c r="A2337" s="8">
        <v>2336.0</v>
      </c>
      <c r="B2337" s="8" t="s">
        <v>3712</v>
      </c>
      <c r="C2337" s="8" t="s">
        <v>21</v>
      </c>
      <c r="N2337" s="7">
        <v>42338.0</v>
      </c>
    </row>
    <row r="2338">
      <c r="A2338" s="8">
        <v>2337.0</v>
      </c>
      <c r="B2338" s="8" t="s">
        <v>3713</v>
      </c>
      <c r="C2338" s="8" t="s">
        <v>21</v>
      </c>
      <c r="N2338" s="7">
        <v>43925.0</v>
      </c>
    </row>
    <row r="2339">
      <c r="A2339" s="8">
        <v>2338.0</v>
      </c>
      <c r="B2339" s="8" t="s">
        <v>199</v>
      </c>
      <c r="C2339" s="8" t="s">
        <v>21</v>
      </c>
      <c r="K2339" s="8">
        <v>10.0</v>
      </c>
      <c r="N2339" s="7">
        <v>45328.0</v>
      </c>
    </row>
    <row r="2340">
      <c r="A2340" s="8">
        <v>2339.0</v>
      </c>
      <c r="B2340" s="8" t="s">
        <v>3714</v>
      </c>
      <c r="C2340" s="8" t="s">
        <v>21</v>
      </c>
      <c r="K2340" s="8">
        <v>10.0</v>
      </c>
      <c r="N2340" s="7">
        <v>44948.0</v>
      </c>
    </row>
    <row r="2341">
      <c r="A2341" s="8">
        <v>2340.0</v>
      </c>
      <c r="B2341" s="8" t="s">
        <v>3715</v>
      </c>
      <c r="C2341" s="8" t="s">
        <v>21</v>
      </c>
      <c r="K2341" s="8">
        <v>1900.0</v>
      </c>
      <c r="N2341" s="7">
        <v>44017.0</v>
      </c>
    </row>
    <row r="2342">
      <c r="A2342" s="8">
        <v>2341.0</v>
      </c>
      <c r="B2342" s="8" t="s">
        <v>3716</v>
      </c>
      <c r="C2342" s="8" t="s">
        <v>21</v>
      </c>
      <c r="K2342" s="8">
        <v>150.0</v>
      </c>
      <c r="N2342" s="7">
        <v>45185.0</v>
      </c>
    </row>
    <row r="2343">
      <c r="A2343" s="8">
        <v>2342.0</v>
      </c>
      <c r="B2343" s="8" t="s">
        <v>3717</v>
      </c>
      <c r="C2343" s="8" t="s">
        <v>21</v>
      </c>
      <c r="K2343" s="8">
        <v>50.0</v>
      </c>
      <c r="N2343" s="7">
        <v>44310.0</v>
      </c>
    </row>
    <row r="2344">
      <c r="A2344" s="8">
        <v>2343.0</v>
      </c>
      <c r="B2344" s="8" t="s">
        <v>3718</v>
      </c>
      <c r="C2344" s="8" t="s">
        <v>21</v>
      </c>
      <c r="K2344" s="8">
        <v>600.0</v>
      </c>
      <c r="N2344" s="7">
        <v>45057.0</v>
      </c>
    </row>
    <row r="2345">
      <c r="A2345" s="8">
        <v>2344.0</v>
      </c>
      <c r="B2345" s="8" t="s">
        <v>3719</v>
      </c>
      <c r="C2345" s="8" t="s">
        <v>21</v>
      </c>
      <c r="K2345" s="8">
        <v>90.0</v>
      </c>
      <c r="N2345" s="7">
        <v>44080.0</v>
      </c>
    </row>
    <row r="2346">
      <c r="A2346" s="8">
        <v>2345.0</v>
      </c>
      <c r="B2346" s="8" t="s">
        <v>3720</v>
      </c>
      <c r="C2346" s="8" t="s">
        <v>21</v>
      </c>
      <c r="K2346" s="8">
        <v>50.0</v>
      </c>
      <c r="N2346" s="7">
        <v>44169.0</v>
      </c>
    </row>
    <row r="2347">
      <c r="A2347" s="8">
        <v>2346.0</v>
      </c>
      <c r="B2347" s="8" t="s">
        <v>3721</v>
      </c>
      <c r="C2347" s="8" t="s">
        <v>21</v>
      </c>
      <c r="K2347" s="8">
        <v>500.0</v>
      </c>
      <c r="N2347" s="7">
        <v>44550.0</v>
      </c>
    </row>
    <row r="2348">
      <c r="A2348" s="8">
        <v>2347.0</v>
      </c>
      <c r="B2348" s="8" t="s">
        <v>3722</v>
      </c>
      <c r="C2348" s="8" t="s">
        <v>21</v>
      </c>
      <c r="K2348" s="8">
        <v>400.0</v>
      </c>
      <c r="N2348" s="7">
        <v>44809.0</v>
      </c>
    </row>
    <row r="2349">
      <c r="A2349" s="8">
        <v>2348.0</v>
      </c>
      <c r="B2349" s="8" t="s">
        <v>3723</v>
      </c>
      <c r="C2349" s="8" t="s">
        <v>21</v>
      </c>
      <c r="K2349" s="8">
        <v>1000.0</v>
      </c>
      <c r="N2349" s="7">
        <v>44682.0</v>
      </c>
    </row>
    <row r="2350">
      <c r="A2350" s="8">
        <v>2349.0</v>
      </c>
      <c r="B2350" s="8" t="s">
        <v>3724</v>
      </c>
      <c r="C2350" s="8" t="s">
        <v>21</v>
      </c>
      <c r="K2350" s="8">
        <v>800.0</v>
      </c>
      <c r="N2350" s="7">
        <v>42732.0</v>
      </c>
      <c r="O2350" s="8" t="s">
        <v>147</v>
      </c>
      <c r="P2350" s="8" t="s">
        <v>28</v>
      </c>
      <c r="S2350" s="8" t="s">
        <v>32</v>
      </c>
    </row>
    <row r="2351">
      <c r="A2351" s="8">
        <v>2350.0</v>
      </c>
      <c r="B2351" s="8" t="s">
        <v>3725</v>
      </c>
      <c r="C2351" s="8" t="s">
        <v>21</v>
      </c>
      <c r="K2351" s="8">
        <v>1000.0</v>
      </c>
      <c r="N2351" s="7">
        <v>44540.0</v>
      </c>
    </row>
    <row r="2352">
      <c r="A2352" s="8">
        <v>2351.0</v>
      </c>
      <c r="B2352" s="8" t="s">
        <v>187</v>
      </c>
      <c r="C2352" s="8" t="s">
        <v>21</v>
      </c>
      <c r="K2352" s="8">
        <v>9600.0</v>
      </c>
      <c r="N2352" s="7">
        <v>44395.0</v>
      </c>
    </row>
    <row r="2353">
      <c r="A2353" s="8">
        <v>2352.0</v>
      </c>
      <c r="B2353" s="8" t="s">
        <v>3726</v>
      </c>
      <c r="C2353" s="8" t="s">
        <v>21</v>
      </c>
      <c r="K2353" s="8">
        <v>3800.0</v>
      </c>
      <c r="N2353" s="7">
        <v>44102.0</v>
      </c>
    </row>
    <row r="2354">
      <c r="A2354" s="8">
        <v>2353.0</v>
      </c>
      <c r="B2354" s="8" t="s">
        <v>3727</v>
      </c>
      <c r="C2354" s="8" t="s">
        <v>21</v>
      </c>
      <c r="K2354" s="8">
        <v>100.0</v>
      </c>
      <c r="N2354" s="7">
        <v>45730.0</v>
      </c>
    </row>
    <row r="2355">
      <c r="A2355" s="8">
        <v>2354.0</v>
      </c>
      <c r="B2355" s="8" t="s">
        <v>3728</v>
      </c>
      <c r="C2355" s="8" t="s">
        <v>21</v>
      </c>
      <c r="K2355" s="8">
        <v>10.0</v>
      </c>
      <c r="N2355" s="7">
        <v>44933.0</v>
      </c>
    </row>
    <row r="2356">
      <c r="A2356" s="8">
        <v>2355.0</v>
      </c>
      <c r="B2356" s="8" t="s">
        <v>3729</v>
      </c>
      <c r="C2356" s="8" t="s">
        <v>21</v>
      </c>
      <c r="K2356" s="8">
        <v>1100.0</v>
      </c>
      <c r="N2356" s="7">
        <v>44361.0</v>
      </c>
    </row>
    <row r="2357">
      <c r="A2357" s="8">
        <v>2356.0</v>
      </c>
      <c r="B2357" s="8" t="s">
        <v>3730</v>
      </c>
      <c r="C2357" s="8" t="s">
        <v>21</v>
      </c>
      <c r="K2357" s="8">
        <v>250.0</v>
      </c>
      <c r="N2357" s="7">
        <v>44132.0</v>
      </c>
    </row>
    <row r="2358">
      <c r="A2358" s="8">
        <v>2357.0</v>
      </c>
      <c r="B2358" s="8" t="s">
        <v>3731</v>
      </c>
      <c r="C2358" s="8" t="s">
        <v>21</v>
      </c>
      <c r="K2358" s="8">
        <v>90.0</v>
      </c>
      <c r="N2358" s="7">
        <v>44538.0</v>
      </c>
    </row>
    <row r="2359">
      <c r="A2359" s="8">
        <v>2358.0</v>
      </c>
      <c r="B2359" s="8" t="s">
        <v>3732</v>
      </c>
      <c r="C2359" s="8" t="s">
        <v>21</v>
      </c>
      <c r="K2359" s="8">
        <v>1700.0</v>
      </c>
      <c r="N2359" s="7">
        <v>44297.0</v>
      </c>
    </row>
    <row r="2360">
      <c r="A2360" s="8">
        <v>2359.0</v>
      </c>
      <c r="B2360" s="8" t="s">
        <v>3733</v>
      </c>
      <c r="C2360" s="8" t="s">
        <v>21</v>
      </c>
      <c r="K2360" s="8">
        <v>30.0</v>
      </c>
      <c r="N2360" s="7">
        <v>44442.0</v>
      </c>
    </row>
    <row r="2361">
      <c r="A2361" s="8">
        <v>2360.0</v>
      </c>
      <c r="B2361" s="8" t="s">
        <v>3734</v>
      </c>
      <c r="C2361" s="8" t="s">
        <v>21</v>
      </c>
      <c r="K2361" s="8">
        <v>100.0</v>
      </c>
      <c r="N2361" s="7">
        <v>46039.0</v>
      </c>
    </row>
    <row r="2362">
      <c r="A2362" s="8">
        <v>2361.0</v>
      </c>
      <c r="B2362" s="8" t="s">
        <v>3735</v>
      </c>
      <c r="C2362" s="8" t="s">
        <v>21</v>
      </c>
      <c r="K2362" s="8">
        <v>80.0</v>
      </c>
      <c r="N2362" s="7">
        <v>44557.0</v>
      </c>
    </row>
    <row r="2363">
      <c r="A2363" s="8">
        <v>2362.0</v>
      </c>
      <c r="B2363" s="8" t="s">
        <v>3736</v>
      </c>
      <c r="C2363" s="8" t="s">
        <v>21</v>
      </c>
      <c r="N2363" s="7">
        <v>44651.0</v>
      </c>
    </row>
    <row r="2364">
      <c r="A2364" s="8">
        <v>2363.0</v>
      </c>
      <c r="B2364" s="8" t="s">
        <v>3737</v>
      </c>
      <c r="C2364" s="8" t="s">
        <v>21</v>
      </c>
      <c r="K2364" s="8">
        <v>60.0</v>
      </c>
      <c r="N2364" s="7">
        <v>44527.0</v>
      </c>
    </row>
    <row r="2365">
      <c r="A2365" s="8">
        <v>2364.0</v>
      </c>
      <c r="B2365" s="8" t="s">
        <v>3738</v>
      </c>
      <c r="C2365" s="8" t="s">
        <v>21</v>
      </c>
      <c r="N2365" s="7">
        <v>44818.0</v>
      </c>
    </row>
    <row r="2366">
      <c r="A2366" s="8">
        <v>2365.0</v>
      </c>
      <c r="B2366" s="8" t="s">
        <v>3739</v>
      </c>
      <c r="C2366" s="8" t="s">
        <v>21</v>
      </c>
      <c r="K2366" s="8">
        <v>1400.0</v>
      </c>
      <c r="N2366" s="7">
        <v>45565.0</v>
      </c>
    </row>
    <row r="2367">
      <c r="A2367" s="8">
        <v>2366.0</v>
      </c>
      <c r="B2367" s="8" t="s">
        <v>3740</v>
      </c>
      <c r="C2367" s="8" t="s">
        <v>21</v>
      </c>
      <c r="K2367" s="8">
        <v>60.0</v>
      </c>
      <c r="N2367" s="7">
        <v>44507.0</v>
      </c>
    </row>
    <row r="2368">
      <c r="A2368" s="8">
        <v>2367.0</v>
      </c>
      <c r="B2368" s="8" t="s">
        <v>3741</v>
      </c>
      <c r="C2368" s="8" t="s">
        <v>21</v>
      </c>
      <c r="K2368" s="8">
        <v>4300.0</v>
      </c>
      <c r="N2368" s="7">
        <v>44538.0</v>
      </c>
    </row>
    <row r="2369">
      <c r="A2369" s="8">
        <v>2368.0</v>
      </c>
      <c r="B2369" s="8" t="s">
        <v>3742</v>
      </c>
      <c r="C2369" s="8" t="s">
        <v>21</v>
      </c>
      <c r="K2369" s="8">
        <v>1800.0</v>
      </c>
      <c r="N2369" s="7">
        <v>44650.0</v>
      </c>
    </row>
    <row r="2370">
      <c r="A2370" s="8">
        <v>2369.0</v>
      </c>
      <c r="B2370" s="8" t="s">
        <v>3743</v>
      </c>
      <c r="C2370" s="8" t="s">
        <v>21</v>
      </c>
      <c r="K2370" s="8">
        <v>3200.0</v>
      </c>
      <c r="N2370" s="7">
        <v>44771.0</v>
      </c>
    </row>
    <row r="2371">
      <c r="A2371" s="8">
        <v>2370.0</v>
      </c>
      <c r="B2371" s="8" t="s">
        <v>3744</v>
      </c>
      <c r="C2371" s="8" t="s">
        <v>21</v>
      </c>
      <c r="K2371" s="8">
        <v>1400.0</v>
      </c>
      <c r="N2371" s="7">
        <v>44219.0</v>
      </c>
    </row>
    <row r="2372">
      <c r="A2372" s="8">
        <v>2371.0</v>
      </c>
      <c r="B2372" s="8" t="s">
        <v>3745</v>
      </c>
      <c r="C2372" s="8" t="s">
        <v>21</v>
      </c>
      <c r="K2372" s="8">
        <v>2400.0</v>
      </c>
      <c r="N2372" s="7">
        <v>44237.0</v>
      </c>
    </row>
    <row r="2373">
      <c r="A2373" s="8">
        <v>2372.0</v>
      </c>
      <c r="B2373" s="8" t="s">
        <v>3746</v>
      </c>
      <c r="C2373" s="8" t="s">
        <v>21</v>
      </c>
      <c r="K2373" s="8">
        <v>150.0</v>
      </c>
      <c r="N2373" s="7">
        <v>43866.0</v>
      </c>
    </row>
    <row r="2374">
      <c r="A2374" s="8">
        <v>2373.0</v>
      </c>
      <c r="B2374" s="8" t="s">
        <v>3747</v>
      </c>
      <c r="C2374" s="8" t="s">
        <v>21</v>
      </c>
      <c r="K2374" s="8">
        <v>200.0</v>
      </c>
      <c r="N2374" s="7">
        <v>45353.0</v>
      </c>
    </row>
    <row r="2375">
      <c r="A2375" s="8">
        <v>2374.0</v>
      </c>
      <c r="B2375" s="8" t="s">
        <v>3748</v>
      </c>
      <c r="C2375" s="8" t="s">
        <v>21</v>
      </c>
      <c r="K2375" s="8">
        <v>70.0</v>
      </c>
      <c r="N2375" s="7">
        <v>44526.0</v>
      </c>
    </row>
    <row r="2376">
      <c r="A2376" s="8">
        <v>2375.0</v>
      </c>
      <c r="B2376" s="8" t="s">
        <v>3749</v>
      </c>
      <c r="C2376" s="8" t="s">
        <v>21</v>
      </c>
      <c r="K2376" s="8">
        <v>20.0</v>
      </c>
      <c r="N2376" s="7">
        <v>44140.0</v>
      </c>
    </row>
    <row r="2377">
      <c r="A2377" s="8">
        <v>2376.0</v>
      </c>
      <c r="B2377" s="8" t="s">
        <v>3750</v>
      </c>
      <c r="C2377" s="8" t="s">
        <v>21</v>
      </c>
      <c r="K2377" s="8">
        <v>350.0</v>
      </c>
      <c r="N2377" s="7">
        <v>44347.0</v>
      </c>
    </row>
    <row r="2378">
      <c r="A2378" s="8">
        <v>2377.0</v>
      </c>
      <c r="B2378" s="8" t="s">
        <v>3751</v>
      </c>
      <c r="C2378" s="8" t="s">
        <v>21</v>
      </c>
      <c r="K2378" s="8">
        <v>20.0</v>
      </c>
      <c r="N2378" s="7">
        <v>44027.0</v>
      </c>
    </row>
    <row r="2379">
      <c r="A2379" s="8">
        <v>2378.0</v>
      </c>
      <c r="B2379" s="8" t="s">
        <v>3752</v>
      </c>
      <c r="C2379" s="8" t="s">
        <v>21</v>
      </c>
      <c r="K2379" s="8">
        <v>30.0</v>
      </c>
      <c r="N2379" s="7">
        <v>44176.0</v>
      </c>
    </row>
    <row r="2380">
      <c r="A2380" s="8">
        <v>2379.0</v>
      </c>
      <c r="B2380" s="8" t="s">
        <v>3753</v>
      </c>
      <c r="C2380" s="8" t="s">
        <v>21</v>
      </c>
      <c r="K2380" s="8">
        <v>1700.0</v>
      </c>
      <c r="N2380" s="7">
        <v>44599.0</v>
      </c>
    </row>
    <row r="2381">
      <c r="A2381" s="8">
        <v>2380.0</v>
      </c>
      <c r="B2381" s="8" t="s">
        <v>3754</v>
      </c>
      <c r="C2381" s="8" t="s">
        <v>21</v>
      </c>
      <c r="K2381" s="8">
        <v>450.0</v>
      </c>
      <c r="N2381" s="7">
        <v>45254.0</v>
      </c>
    </row>
    <row r="2382">
      <c r="A2382" s="8">
        <v>2381.0</v>
      </c>
      <c r="B2382" s="8" t="s">
        <v>3755</v>
      </c>
      <c r="C2382" s="8" t="s">
        <v>21</v>
      </c>
      <c r="D2382" s="8">
        <v>69.0</v>
      </c>
      <c r="H2382" s="8" t="s">
        <v>279</v>
      </c>
      <c r="I2382" s="9">
        <v>46160.411087962966</v>
      </c>
      <c r="K2382" s="8">
        <v>200.0</v>
      </c>
      <c r="L2382" s="8">
        <v>3200.0</v>
      </c>
      <c r="M2382" s="8">
        <v>61000.0</v>
      </c>
      <c r="N2382" s="7">
        <v>43868.0</v>
      </c>
      <c r="O2382" s="8" t="s">
        <v>147</v>
      </c>
      <c r="P2382" s="8" t="s">
        <v>28</v>
      </c>
      <c r="S2382" s="8" t="s">
        <v>32</v>
      </c>
    </row>
    <row r="2383">
      <c r="A2383" s="8">
        <v>2382.0</v>
      </c>
      <c r="B2383" s="8" t="s">
        <v>3756</v>
      </c>
      <c r="C2383" s="8" t="s">
        <v>21</v>
      </c>
      <c r="N2383" s="7">
        <v>45765.0</v>
      </c>
    </row>
    <row r="2384">
      <c r="A2384" s="8">
        <v>2383.0</v>
      </c>
      <c r="B2384" s="8" t="s">
        <v>3757</v>
      </c>
      <c r="C2384" s="8" t="s">
        <v>21</v>
      </c>
      <c r="N2384" s="7">
        <v>45602.0</v>
      </c>
    </row>
    <row r="2385">
      <c r="A2385" s="8">
        <v>2384.0</v>
      </c>
      <c r="B2385" s="8" t="s">
        <v>3758</v>
      </c>
      <c r="C2385" s="8" t="s">
        <v>21</v>
      </c>
      <c r="N2385" s="7">
        <v>44027.0</v>
      </c>
    </row>
    <row r="2386">
      <c r="A2386" s="8">
        <v>2385.0</v>
      </c>
      <c r="B2386" s="8" t="s">
        <v>3759</v>
      </c>
      <c r="C2386" s="8" t="s">
        <v>21</v>
      </c>
      <c r="K2386" s="8">
        <v>100.0</v>
      </c>
      <c r="N2386" s="7">
        <v>45057.0</v>
      </c>
    </row>
    <row r="2387">
      <c r="A2387" s="8">
        <v>2386.0</v>
      </c>
      <c r="B2387" s="8" t="s">
        <v>3760</v>
      </c>
      <c r="C2387" s="8" t="s">
        <v>21</v>
      </c>
      <c r="N2387" s="7">
        <v>43004.0</v>
      </c>
    </row>
    <row r="2388">
      <c r="A2388" s="8">
        <v>2387.0</v>
      </c>
      <c r="B2388" s="8" t="s">
        <v>3761</v>
      </c>
      <c r="C2388" s="8" t="s">
        <v>21</v>
      </c>
      <c r="K2388" s="8">
        <v>250.0</v>
      </c>
      <c r="N2388" s="7">
        <v>44564.0</v>
      </c>
    </row>
    <row r="2389">
      <c r="A2389" s="8">
        <v>2388.0</v>
      </c>
      <c r="B2389" s="8" t="s">
        <v>3762</v>
      </c>
      <c r="C2389" s="8" t="s">
        <v>21</v>
      </c>
      <c r="K2389" s="8">
        <v>150.0</v>
      </c>
      <c r="N2389" s="7">
        <v>44875.0</v>
      </c>
    </row>
    <row r="2390">
      <c r="A2390" s="8">
        <v>2389.0</v>
      </c>
      <c r="B2390" s="8" t="s">
        <v>3763</v>
      </c>
      <c r="C2390" s="8" t="s">
        <v>21</v>
      </c>
      <c r="K2390" s="8">
        <v>30.0</v>
      </c>
      <c r="N2390" s="7">
        <v>45069.0</v>
      </c>
    </row>
    <row r="2391">
      <c r="A2391" s="8">
        <v>2390.0</v>
      </c>
      <c r="B2391" s="8" t="s">
        <v>202</v>
      </c>
      <c r="C2391" s="8" t="s">
        <v>21</v>
      </c>
      <c r="K2391" s="8">
        <v>30.0</v>
      </c>
      <c r="N2391" s="7">
        <v>45450.0</v>
      </c>
    </row>
    <row r="2392">
      <c r="A2392" s="8">
        <v>2391.0</v>
      </c>
      <c r="B2392" s="8" t="s">
        <v>3764</v>
      </c>
      <c r="C2392" s="8" t="s">
        <v>21</v>
      </c>
      <c r="K2392" s="8">
        <v>30.0</v>
      </c>
      <c r="N2392" s="7">
        <v>45943.0</v>
      </c>
    </row>
    <row r="2393">
      <c r="A2393" s="8">
        <v>2392.0</v>
      </c>
      <c r="B2393" s="8" t="s">
        <v>3765</v>
      </c>
      <c r="C2393" s="8" t="s">
        <v>21</v>
      </c>
      <c r="K2393" s="8">
        <v>20.0</v>
      </c>
      <c r="N2393" s="7">
        <v>44358.0</v>
      </c>
    </row>
    <row r="2394">
      <c r="A2394" s="8">
        <v>2393.0</v>
      </c>
      <c r="B2394" s="8" t="s">
        <v>2935</v>
      </c>
      <c r="C2394" s="8" t="s">
        <v>21</v>
      </c>
      <c r="D2394" s="8">
        <v>77.0</v>
      </c>
      <c r="H2394" s="8" t="s">
        <v>123</v>
      </c>
      <c r="I2394" s="9">
        <v>46144.90069444444</v>
      </c>
      <c r="J2394" s="8" t="s">
        <v>96</v>
      </c>
      <c r="K2394" s="8">
        <v>70.0</v>
      </c>
      <c r="L2394" s="8">
        <v>5400.0</v>
      </c>
      <c r="M2394" s="8">
        <v>479000.0</v>
      </c>
      <c r="N2394" s="7">
        <v>42698.0</v>
      </c>
      <c r="O2394" s="8" t="s">
        <v>107</v>
      </c>
      <c r="P2394" s="8" t="s">
        <v>28</v>
      </c>
      <c r="S2394" s="8" t="s">
        <v>32</v>
      </c>
    </row>
    <row r="2395">
      <c r="A2395" s="8">
        <v>2394.0</v>
      </c>
      <c r="B2395" s="8" t="s">
        <v>3766</v>
      </c>
      <c r="C2395" s="8" t="s">
        <v>21</v>
      </c>
      <c r="K2395" s="8">
        <v>200.0</v>
      </c>
      <c r="N2395" s="7">
        <v>44540.0</v>
      </c>
    </row>
    <row r="2396">
      <c r="A2396" s="8">
        <v>2395.0</v>
      </c>
      <c r="B2396" s="8" t="s">
        <v>3767</v>
      </c>
      <c r="C2396" s="8" t="s">
        <v>21</v>
      </c>
      <c r="K2396" s="8">
        <v>200.0</v>
      </c>
      <c r="N2396" s="7">
        <v>44788.0</v>
      </c>
    </row>
    <row r="2397">
      <c r="A2397" s="8">
        <v>2396.0</v>
      </c>
      <c r="B2397" s="8" t="s">
        <v>3768</v>
      </c>
      <c r="C2397" s="8" t="s">
        <v>21</v>
      </c>
      <c r="K2397" s="8">
        <v>30.0</v>
      </c>
      <c r="N2397" s="7">
        <v>44720.0</v>
      </c>
    </row>
    <row r="2398">
      <c r="A2398" s="8">
        <v>2397.0</v>
      </c>
      <c r="B2398" s="8" t="s">
        <v>3769</v>
      </c>
      <c r="C2398" s="8" t="s">
        <v>21</v>
      </c>
      <c r="K2398" s="8">
        <v>1100.0</v>
      </c>
      <c r="N2398" s="7">
        <v>44155.0</v>
      </c>
    </row>
    <row r="2399">
      <c r="A2399" s="8">
        <v>2398.0</v>
      </c>
      <c r="B2399" s="8" t="s">
        <v>3770</v>
      </c>
      <c r="C2399" s="8" t="s">
        <v>21</v>
      </c>
      <c r="K2399" s="8">
        <v>1300.0</v>
      </c>
      <c r="N2399" s="7">
        <v>44076.0</v>
      </c>
    </row>
    <row r="2400">
      <c r="A2400" s="8">
        <v>2399.0</v>
      </c>
      <c r="B2400" s="8" t="s">
        <v>3771</v>
      </c>
      <c r="C2400" s="8" t="s">
        <v>21</v>
      </c>
      <c r="K2400" s="8">
        <v>1300.0</v>
      </c>
      <c r="N2400" s="7">
        <v>44621.0</v>
      </c>
    </row>
    <row r="2401">
      <c r="A2401" s="8">
        <v>2400.0</v>
      </c>
      <c r="B2401" s="8" t="s">
        <v>3772</v>
      </c>
      <c r="C2401" s="8" t="s">
        <v>21</v>
      </c>
      <c r="K2401" s="8">
        <v>150.0</v>
      </c>
      <c r="N2401" s="7">
        <v>44438.0</v>
      </c>
    </row>
    <row r="2402">
      <c r="A2402" s="8">
        <v>2401.0</v>
      </c>
      <c r="B2402" s="8" t="s">
        <v>3773</v>
      </c>
      <c r="C2402" s="8" t="s">
        <v>21</v>
      </c>
      <c r="N2402" s="7">
        <v>44308.0</v>
      </c>
      <c r="O2402" s="8" t="s">
        <v>31</v>
      </c>
      <c r="P2402" s="8" t="s">
        <v>28</v>
      </c>
      <c r="S2402" s="8" t="s">
        <v>32</v>
      </c>
    </row>
    <row r="2403">
      <c r="A2403" s="8">
        <v>2402.0</v>
      </c>
      <c r="B2403" s="8" t="s">
        <v>3774</v>
      </c>
      <c r="C2403" s="8" t="s">
        <v>21</v>
      </c>
      <c r="K2403" s="8">
        <v>20.0</v>
      </c>
      <c r="N2403" s="7">
        <v>44502.0</v>
      </c>
    </row>
    <row r="2404">
      <c r="A2404" s="8">
        <v>2403.0</v>
      </c>
      <c r="B2404" s="8" t="s">
        <v>3775</v>
      </c>
      <c r="C2404" s="8" t="s">
        <v>21</v>
      </c>
      <c r="K2404" s="8">
        <v>350.0</v>
      </c>
      <c r="N2404" s="7">
        <v>45355.0</v>
      </c>
    </row>
    <row r="2405">
      <c r="A2405" s="8">
        <v>2404.0</v>
      </c>
      <c r="B2405" s="8" t="s">
        <v>3776</v>
      </c>
      <c r="C2405" s="8" t="s">
        <v>21</v>
      </c>
      <c r="K2405" s="8">
        <v>200.0</v>
      </c>
      <c r="N2405" s="7">
        <v>44132.0</v>
      </c>
    </row>
    <row r="2406">
      <c r="A2406" s="8">
        <v>2405.0</v>
      </c>
      <c r="B2406" s="8" t="s">
        <v>3777</v>
      </c>
      <c r="C2406" s="8" t="s">
        <v>21</v>
      </c>
      <c r="K2406" s="8">
        <v>30.0</v>
      </c>
      <c r="N2406" s="7">
        <v>45747.0</v>
      </c>
    </row>
    <row r="2407">
      <c r="A2407" s="8">
        <v>2406.0</v>
      </c>
      <c r="B2407" s="8" t="s">
        <v>3778</v>
      </c>
      <c r="C2407" s="8" t="s">
        <v>21</v>
      </c>
      <c r="K2407" s="8">
        <v>350.0</v>
      </c>
      <c r="N2407" s="7">
        <v>44756.0</v>
      </c>
    </row>
    <row r="2408">
      <c r="A2408" s="8">
        <v>2407.0</v>
      </c>
      <c r="B2408" s="8" t="s">
        <v>3779</v>
      </c>
      <c r="C2408" s="8" t="s">
        <v>21</v>
      </c>
      <c r="K2408" s="8">
        <v>1000.0</v>
      </c>
      <c r="N2408" s="7">
        <v>43982.0</v>
      </c>
    </row>
    <row r="2409">
      <c r="A2409" s="8">
        <v>2408.0</v>
      </c>
      <c r="B2409" s="8" t="s">
        <v>3780</v>
      </c>
      <c r="C2409" s="8" t="s">
        <v>21</v>
      </c>
      <c r="K2409" s="8">
        <v>250.0</v>
      </c>
      <c r="N2409" s="7">
        <v>43868.0</v>
      </c>
    </row>
    <row r="2410">
      <c r="A2410" s="8">
        <v>2409.0</v>
      </c>
      <c r="B2410" s="8" t="s">
        <v>3781</v>
      </c>
      <c r="C2410" s="8" t="s">
        <v>21</v>
      </c>
      <c r="K2410" s="8">
        <v>1800.0</v>
      </c>
      <c r="N2410" s="7">
        <v>44109.0</v>
      </c>
    </row>
    <row r="2411">
      <c r="A2411" s="8">
        <v>2410.0</v>
      </c>
      <c r="B2411" s="8" t="s">
        <v>3782</v>
      </c>
      <c r="C2411" s="8" t="s">
        <v>21</v>
      </c>
      <c r="K2411" s="8">
        <v>150.0</v>
      </c>
      <c r="N2411" s="7">
        <v>44536.0</v>
      </c>
    </row>
    <row r="2412">
      <c r="A2412" s="8">
        <v>2411.0</v>
      </c>
      <c r="B2412" s="8" t="s">
        <v>3783</v>
      </c>
      <c r="C2412" s="8" t="s">
        <v>21</v>
      </c>
      <c r="K2412" s="8">
        <v>10.0</v>
      </c>
      <c r="N2412" s="7">
        <v>44846.0</v>
      </c>
    </row>
    <row r="2413">
      <c r="A2413" s="8">
        <v>2412.0</v>
      </c>
      <c r="B2413" s="8" t="s">
        <v>3784</v>
      </c>
      <c r="C2413" s="8" t="s">
        <v>21</v>
      </c>
      <c r="K2413" s="8">
        <v>90.0</v>
      </c>
      <c r="N2413" s="7">
        <v>44212.0</v>
      </c>
    </row>
    <row r="2414">
      <c r="A2414" s="8">
        <v>2413.0</v>
      </c>
      <c r="B2414" s="8" t="s">
        <v>3785</v>
      </c>
      <c r="C2414" s="8" t="s">
        <v>21</v>
      </c>
      <c r="K2414" s="8">
        <v>500.0</v>
      </c>
      <c r="N2414" s="7">
        <v>45139.0</v>
      </c>
    </row>
    <row r="2415">
      <c r="A2415" s="8">
        <v>2414.0</v>
      </c>
      <c r="B2415" s="8" t="s">
        <v>3786</v>
      </c>
      <c r="C2415" s="8" t="s">
        <v>21</v>
      </c>
      <c r="N2415" s="7">
        <v>44524.0</v>
      </c>
    </row>
    <row r="2416">
      <c r="A2416" s="8">
        <v>2415.0</v>
      </c>
      <c r="B2416" s="8" t="s">
        <v>3787</v>
      </c>
      <c r="C2416" s="8" t="s">
        <v>21</v>
      </c>
      <c r="K2416" s="8">
        <v>60.0</v>
      </c>
      <c r="N2416" s="7">
        <v>44736.0</v>
      </c>
    </row>
    <row r="2417">
      <c r="A2417" s="8">
        <v>2416.0</v>
      </c>
      <c r="B2417" s="8" t="s">
        <v>3788</v>
      </c>
      <c r="C2417" s="8" t="s">
        <v>21</v>
      </c>
      <c r="K2417" s="8">
        <v>20.0</v>
      </c>
      <c r="N2417" s="7">
        <v>44257.0</v>
      </c>
    </row>
    <row r="2418">
      <c r="A2418" s="8">
        <v>2417.0</v>
      </c>
      <c r="B2418" s="8" t="s">
        <v>3789</v>
      </c>
      <c r="C2418" s="8" t="s">
        <v>21</v>
      </c>
      <c r="K2418" s="8">
        <v>1300.0</v>
      </c>
      <c r="N2418" s="7">
        <v>44797.0</v>
      </c>
    </row>
    <row r="2419">
      <c r="A2419" s="8">
        <v>2418.0</v>
      </c>
      <c r="B2419" s="8" t="s">
        <v>3790</v>
      </c>
      <c r="C2419" s="8" t="s">
        <v>21</v>
      </c>
      <c r="K2419" s="8">
        <v>400.0</v>
      </c>
      <c r="N2419" s="7">
        <v>44696.0</v>
      </c>
    </row>
    <row r="2420">
      <c r="A2420" s="8">
        <v>2419.0</v>
      </c>
      <c r="B2420" s="8" t="s">
        <v>3791</v>
      </c>
      <c r="C2420" s="8" t="s">
        <v>21</v>
      </c>
      <c r="K2420" s="8">
        <v>350.0</v>
      </c>
      <c r="N2420" s="7">
        <v>45099.0</v>
      </c>
    </row>
    <row r="2421">
      <c r="A2421" s="8">
        <v>2420.0</v>
      </c>
      <c r="B2421" s="8" t="s">
        <v>3792</v>
      </c>
      <c r="C2421" s="8" t="s">
        <v>21</v>
      </c>
      <c r="K2421" s="8">
        <v>1000.0</v>
      </c>
      <c r="N2421" s="7">
        <v>44382.0</v>
      </c>
    </row>
    <row r="2422">
      <c r="A2422" s="8">
        <v>2421.0</v>
      </c>
      <c r="B2422" s="8" t="s">
        <v>3793</v>
      </c>
      <c r="C2422" s="8" t="s">
        <v>21</v>
      </c>
      <c r="K2422" s="8">
        <v>1700.0</v>
      </c>
      <c r="N2422" s="7">
        <v>45019.0</v>
      </c>
    </row>
    <row r="2423">
      <c r="A2423" s="8">
        <v>2422.0</v>
      </c>
      <c r="B2423" s="8" t="s">
        <v>3794</v>
      </c>
      <c r="C2423" s="8" t="s">
        <v>21</v>
      </c>
      <c r="K2423" s="8">
        <v>10.0</v>
      </c>
      <c r="N2423" s="7">
        <v>44631.0</v>
      </c>
    </row>
    <row r="2424">
      <c r="A2424" s="8">
        <v>2423.0</v>
      </c>
      <c r="B2424" s="8" t="s">
        <v>3795</v>
      </c>
      <c r="C2424" s="8" t="s">
        <v>21</v>
      </c>
      <c r="K2424" s="8">
        <v>150.0</v>
      </c>
      <c r="N2424" s="7">
        <v>44553.0</v>
      </c>
    </row>
    <row r="2425">
      <c r="A2425" s="8">
        <v>2424.0</v>
      </c>
      <c r="B2425" s="8" t="s">
        <v>3796</v>
      </c>
      <c r="C2425" s="8" t="s">
        <v>21</v>
      </c>
      <c r="N2425" s="7">
        <v>45535.0</v>
      </c>
    </row>
    <row r="2426">
      <c r="A2426" s="8">
        <v>2425.0</v>
      </c>
      <c r="B2426" s="8" t="s">
        <v>3797</v>
      </c>
      <c r="C2426" s="8" t="s">
        <v>21</v>
      </c>
      <c r="K2426" s="8">
        <v>450.0</v>
      </c>
      <c r="N2426" s="7">
        <v>46110.0</v>
      </c>
    </row>
    <row r="2427">
      <c r="A2427" s="8">
        <v>2426.0</v>
      </c>
      <c r="B2427" s="8" t="s">
        <v>3798</v>
      </c>
      <c r="C2427" s="8" t="s">
        <v>21</v>
      </c>
      <c r="K2427" s="8">
        <v>200.0</v>
      </c>
      <c r="N2427" s="7">
        <v>44040.0</v>
      </c>
    </row>
    <row r="2428">
      <c r="A2428" s="8">
        <v>2427.0</v>
      </c>
      <c r="B2428" s="8" t="s">
        <v>3799</v>
      </c>
      <c r="C2428" s="8" t="s">
        <v>21</v>
      </c>
      <c r="K2428" s="8">
        <v>2000.0</v>
      </c>
      <c r="N2428" s="7">
        <v>44849.0</v>
      </c>
    </row>
    <row r="2429">
      <c r="A2429" s="8">
        <v>2428.0</v>
      </c>
      <c r="B2429" s="8" t="s">
        <v>3800</v>
      </c>
      <c r="C2429" s="8" t="s">
        <v>21</v>
      </c>
      <c r="K2429" s="8">
        <v>10.0</v>
      </c>
      <c r="N2429" s="7">
        <v>43961.0</v>
      </c>
    </row>
    <row r="2430">
      <c r="A2430" s="8">
        <v>2429.0</v>
      </c>
      <c r="B2430" s="8" t="s">
        <v>3801</v>
      </c>
      <c r="C2430" s="8" t="s">
        <v>21</v>
      </c>
      <c r="K2430" s="8">
        <v>1100.0</v>
      </c>
      <c r="N2430" s="7">
        <v>44768.0</v>
      </c>
    </row>
    <row r="2431">
      <c r="A2431" s="8">
        <v>2430.0</v>
      </c>
      <c r="B2431" s="8" t="s">
        <v>3802</v>
      </c>
      <c r="C2431" s="8" t="s">
        <v>21</v>
      </c>
      <c r="K2431" s="8">
        <v>1200.0</v>
      </c>
      <c r="N2431" s="7">
        <v>45031.0</v>
      </c>
    </row>
    <row r="2432">
      <c r="A2432" s="8">
        <v>2431.0</v>
      </c>
      <c r="B2432" s="8" t="s">
        <v>3803</v>
      </c>
      <c r="C2432" s="8" t="s">
        <v>21</v>
      </c>
      <c r="K2432" s="8">
        <v>50.0</v>
      </c>
      <c r="N2432" s="7">
        <v>44044.0</v>
      </c>
    </row>
    <row r="2433">
      <c r="A2433" s="8">
        <v>2432.0</v>
      </c>
      <c r="B2433" s="8" t="s">
        <v>3804</v>
      </c>
      <c r="C2433" s="8" t="s">
        <v>21</v>
      </c>
      <c r="K2433" s="8">
        <v>700.0</v>
      </c>
      <c r="N2433" s="7">
        <v>44219.0</v>
      </c>
    </row>
    <row r="2434">
      <c r="A2434" s="8">
        <v>2433.0</v>
      </c>
      <c r="B2434" s="8" t="s">
        <v>3805</v>
      </c>
      <c r="C2434" s="8" t="s">
        <v>21</v>
      </c>
      <c r="K2434" s="8">
        <v>500.0</v>
      </c>
      <c r="N2434" s="7">
        <v>44198.0</v>
      </c>
    </row>
    <row r="2435">
      <c r="A2435" s="8">
        <v>2434.0</v>
      </c>
      <c r="B2435" s="8" t="s">
        <v>3806</v>
      </c>
      <c r="C2435" s="8" t="s">
        <v>21</v>
      </c>
      <c r="K2435" s="8">
        <v>450.0</v>
      </c>
      <c r="N2435" s="7">
        <v>43875.0</v>
      </c>
    </row>
    <row r="2436">
      <c r="A2436" s="8">
        <v>2435.0</v>
      </c>
      <c r="B2436" s="8" t="s">
        <v>3807</v>
      </c>
      <c r="C2436" s="8" t="s">
        <v>21</v>
      </c>
      <c r="N2436" s="7">
        <v>43943.0</v>
      </c>
    </row>
    <row r="2437">
      <c r="A2437" s="8">
        <v>2436.0</v>
      </c>
      <c r="B2437" s="8" t="s">
        <v>3808</v>
      </c>
      <c r="C2437" s="8" t="s">
        <v>21</v>
      </c>
      <c r="N2437" s="7">
        <v>44872.0</v>
      </c>
    </row>
    <row r="2438">
      <c r="A2438" s="8">
        <v>2437.0</v>
      </c>
      <c r="B2438" s="8" t="s">
        <v>3809</v>
      </c>
      <c r="C2438" s="8" t="s">
        <v>21</v>
      </c>
      <c r="K2438" s="8">
        <v>600.0</v>
      </c>
      <c r="N2438" s="7">
        <v>44004.0</v>
      </c>
    </row>
    <row r="2439">
      <c r="A2439" s="8">
        <v>2438.0</v>
      </c>
      <c r="B2439" s="8" t="s">
        <v>3810</v>
      </c>
      <c r="C2439" s="8" t="s">
        <v>21</v>
      </c>
      <c r="N2439" s="7">
        <v>44266.0</v>
      </c>
    </row>
    <row r="2440">
      <c r="A2440" s="8">
        <v>2439.0</v>
      </c>
      <c r="B2440" s="8" t="s">
        <v>3811</v>
      </c>
      <c r="C2440" s="8" t="s">
        <v>21</v>
      </c>
      <c r="N2440" s="7">
        <v>45116.0</v>
      </c>
    </row>
    <row r="2441">
      <c r="A2441" s="8">
        <v>2440.0</v>
      </c>
      <c r="B2441" s="8" t="s">
        <v>3812</v>
      </c>
      <c r="C2441" s="8" t="s">
        <v>21</v>
      </c>
      <c r="N2441" s="7">
        <v>44702.0</v>
      </c>
    </row>
    <row r="2442">
      <c r="A2442" s="8">
        <v>2441.0</v>
      </c>
      <c r="B2442" s="8" t="s">
        <v>3813</v>
      </c>
      <c r="C2442" s="8" t="s">
        <v>21</v>
      </c>
      <c r="K2442" s="8">
        <v>10.0</v>
      </c>
      <c r="N2442" s="7">
        <v>44489.0</v>
      </c>
    </row>
    <row r="2443">
      <c r="A2443" s="8">
        <v>2442.0</v>
      </c>
      <c r="B2443" s="8" t="s">
        <v>3814</v>
      </c>
      <c r="C2443" s="8" t="s">
        <v>21</v>
      </c>
      <c r="N2443" s="7">
        <v>44370.0</v>
      </c>
    </row>
    <row r="2444">
      <c r="A2444" s="8">
        <v>2443.0</v>
      </c>
      <c r="B2444" s="8" t="s">
        <v>3815</v>
      </c>
      <c r="C2444" s="8" t="s">
        <v>21</v>
      </c>
      <c r="K2444" s="8">
        <v>50.0</v>
      </c>
      <c r="N2444" s="7">
        <v>44333.0</v>
      </c>
    </row>
    <row r="2445">
      <c r="A2445" s="8">
        <v>2444.0</v>
      </c>
      <c r="B2445" s="8" t="s">
        <v>3816</v>
      </c>
      <c r="C2445" s="8" t="s">
        <v>21</v>
      </c>
      <c r="K2445" s="8">
        <v>450.0</v>
      </c>
      <c r="N2445" s="7">
        <v>45844.0</v>
      </c>
    </row>
    <row r="2446">
      <c r="A2446" s="8">
        <v>2445.0</v>
      </c>
      <c r="B2446" s="8" t="s">
        <v>3817</v>
      </c>
      <c r="C2446" s="8" t="s">
        <v>21</v>
      </c>
      <c r="K2446" s="8">
        <v>9400.0</v>
      </c>
      <c r="N2446" s="7">
        <v>43998.0</v>
      </c>
    </row>
    <row r="2447">
      <c r="A2447" s="8">
        <v>2446.0</v>
      </c>
      <c r="B2447" s="8" t="s">
        <v>3818</v>
      </c>
      <c r="C2447" s="8" t="s">
        <v>21</v>
      </c>
      <c r="K2447" s="8">
        <v>60.0</v>
      </c>
      <c r="N2447" s="7">
        <v>44629.0</v>
      </c>
    </row>
    <row r="2448">
      <c r="A2448" s="8">
        <v>2447.0</v>
      </c>
      <c r="B2448" s="8" t="s">
        <v>3819</v>
      </c>
      <c r="C2448" s="8" t="s">
        <v>21</v>
      </c>
      <c r="N2448" s="7">
        <v>44140.0</v>
      </c>
    </row>
    <row r="2449">
      <c r="A2449" s="8">
        <v>2448.0</v>
      </c>
      <c r="B2449" s="8" t="s">
        <v>204</v>
      </c>
      <c r="C2449" s="8" t="s">
        <v>21</v>
      </c>
      <c r="K2449" s="8">
        <v>40.0</v>
      </c>
      <c r="N2449" s="7">
        <v>44466.0</v>
      </c>
    </row>
    <row r="2450">
      <c r="A2450" s="8">
        <v>2449.0</v>
      </c>
      <c r="B2450" s="8" t="s">
        <v>3820</v>
      </c>
      <c r="C2450" s="8" t="s">
        <v>21</v>
      </c>
      <c r="K2450" s="8">
        <v>10.0</v>
      </c>
      <c r="N2450" s="7">
        <v>44778.0</v>
      </c>
    </row>
    <row r="2451">
      <c r="A2451" s="8">
        <v>2450.0</v>
      </c>
      <c r="B2451" s="8" t="s">
        <v>3821</v>
      </c>
      <c r="C2451" s="8" t="s">
        <v>21</v>
      </c>
      <c r="K2451" s="8">
        <v>600.0</v>
      </c>
      <c r="N2451" s="7">
        <v>44436.0</v>
      </c>
    </row>
    <row r="2452">
      <c r="A2452" s="8">
        <v>2451.0</v>
      </c>
      <c r="B2452" s="8" t="s">
        <v>3822</v>
      </c>
      <c r="C2452" s="8" t="s">
        <v>21</v>
      </c>
      <c r="K2452" s="8">
        <v>300.0</v>
      </c>
      <c r="N2452" s="7">
        <v>44019.0</v>
      </c>
    </row>
    <row r="2453">
      <c r="A2453" s="8">
        <v>2452.0</v>
      </c>
      <c r="B2453" s="8" t="s">
        <v>205</v>
      </c>
      <c r="C2453" s="8" t="s">
        <v>21</v>
      </c>
      <c r="N2453" s="7">
        <v>45167.0</v>
      </c>
    </row>
    <row r="2454">
      <c r="A2454" s="8">
        <v>2453.0</v>
      </c>
      <c r="B2454" s="8" t="s">
        <v>3823</v>
      </c>
      <c r="C2454" s="8" t="s">
        <v>21</v>
      </c>
      <c r="K2454" s="8">
        <v>300.0</v>
      </c>
      <c r="N2454" s="7">
        <v>44554.0</v>
      </c>
    </row>
    <row r="2455">
      <c r="A2455" s="8">
        <v>2454.0</v>
      </c>
      <c r="B2455" s="8" t="s">
        <v>3824</v>
      </c>
      <c r="C2455" s="8" t="s">
        <v>21</v>
      </c>
      <c r="K2455" s="8">
        <v>2400.0</v>
      </c>
      <c r="N2455" s="7">
        <v>43902.0</v>
      </c>
    </row>
    <row r="2456">
      <c r="A2456" s="8">
        <v>2455.0</v>
      </c>
      <c r="B2456" s="8" t="s">
        <v>3825</v>
      </c>
      <c r="C2456" s="8" t="s">
        <v>21</v>
      </c>
      <c r="K2456" s="8">
        <v>700.0</v>
      </c>
      <c r="N2456" s="7">
        <v>45323.0</v>
      </c>
    </row>
    <row r="2457">
      <c r="A2457" s="8">
        <v>2456.0</v>
      </c>
      <c r="B2457" s="8" t="s">
        <v>3826</v>
      </c>
      <c r="C2457" s="8" t="s">
        <v>21</v>
      </c>
      <c r="K2457" s="8">
        <v>150.0</v>
      </c>
      <c r="N2457" s="7">
        <v>44269.0</v>
      </c>
    </row>
    <row r="2458">
      <c r="A2458" s="8">
        <v>2457.0</v>
      </c>
      <c r="B2458" s="8" t="s">
        <v>3827</v>
      </c>
      <c r="C2458" s="8" t="s">
        <v>21</v>
      </c>
      <c r="K2458" s="8">
        <v>1700.0</v>
      </c>
      <c r="N2458" s="7">
        <v>43965.0</v>
      </c>
    </row>
    <row r="2459">
      <c r="A2459" s="8">
        <v>2458.0</v>
      </c>
      <c r="B2459" s="8" t="s">
        <v>3828</v>
      </c>
      <c r="C2459" s="8" t="s">
        <v>21</v>
      </c>
      <c r="K2459" s="8">
        <v>500.0</v>
      </c>
      <c r="N2459" s="7">
        <v>44595.0</v>
      </c>
    </row>
    <row r="2460">
      <c r="A2460" s="8">
        <v>2459.0</v>
      </c>
      <c r="B2460" s="8" t="s">
        <v>3829</v>
      </c>
      <c r="C2460" s="8" t="s">
        <v>21</v>
      </c>
      <c r="K2460" s="8">
        <v>200.0</v>
      </c>
      <c r="N2460" s="7">
        <v>44170.0</v>
      </c>
    </row>
    <row r="2461">
      <c r="A2461" s="8">
        <v>2460.0</v>
      </c>
      <c r="B2461" s="8" t="s">
        <v>3830</v>
      </c>
      <c r="C2461" s="8" t="s">
        <v>21</v>
      </c>
      <c r="K2461" s="8">
        <v>450.0</v>
      </c>
      <c r="N2461" s="7">
        <v>45219.0</v>
      </c>
    </row>
    <row r="2462">
      <c r="A2462" s="8">
        <v>2461.0</v>
      </c>
      <c r="B2462" s="8" t="s">
        <v>3831</v>
      </c>
      <c r="C2462" s="8" t="s">
        <v>21</v>
      </c>
      <c r="N2462" s="7">
        <v>44787.0</v>
      </c>
    </row>
    <row r="2463">
      <c r="A2463" s="8">
        <v>2462.0</v>
      </c>
      <c r="B2463" s="8" t="s">
        <v>3832</v>
      </c>
      <c r="C2463" s="8" t="s">
        <v>21</v>
      </c>
      <c r="K2463" s="8">
        <v>1800.0</v>
      </c>
      <c r="N2463" s="7">
        <v>43894.0</v>
      </c>
    </row>
    <row r="2464">
      <c r="A2464" s="8">
        <v>2463.0</v>
      </c>
      <c r="B2464" s="8" t="s">
        <v>3833</v>
      </c>
      <c r="C2464" s="8" t="s">
        <v>21</v>
      </c>
      <c r="K2464" s="8">
        <v>800.0</v>
      </c>
      <c r="N2464" s="7">
        <v>44854.0</v>
      </c>
    </row>
    <row r="2465">
      <c r="A2465" s="8">
        <v>2464.0</v>
      </c>
      <c r="B2465" s="8" t="s">
        <v>3834</v>
      </c>
      <c r="C2465" s="8" t="s">
        <v>21</v>
      </c>
      <c r="K2465" s="8">
        <v>30.0</v>
      </c>
      <c r="N2465" s="7">
        <v>44463.0</v>
      </c>
    </row>
    <row r="2466">
      <c r="A2466" s="8">
        <v>2465.0</v>
      </c>
      <c r="B2466" s="8" t="s">
        <v>3835</v>
      </c>
      <c r="C2466" s="8" t="s">
        <v>21</v>
      </c>
      <c r="K2466" s="8">
        <v>30.0</v>
      </c>
      <c r="N2466" s="7">
        <v>45873.0</v>
      </c>
    </row>
    <row r="2467">
      <c r="A2467" s="8">
        <v>2466.0</v>
      </c>
      <c r="B2467" s="8" t="s">
        <v>3836</v>
      </c>
      <c r="C2467" s="8" t="s">
        <v>21</v>
      </c>
      <c r="K2467" s="8">
        <v>100.0</v>
      </c>
      <c r="N2467" s="7">
        <v>44640.0</v>
      </c>
    </row>
    <row r="2468">
      <c r="A2468" s="8">
        <v>2467.0</v>
      </c>
      <c r="B2468" s="8" t="s">
        <v>3837</v>
      </c>
      <c r="C2468" s="8" t="s">
        <v>21</v>
      </c>
      <c r="K2468" s="8">
        <v>150.0</v>
      </c>
      <c r="N2468" s="7">
        <v>44268.0</v>
      </c>
      <c r="O2468" s="8" t="s">
        <v>147</v>
      </c>
      <c r="P2468" s="8" t="s">
        <v>28</v>
      </c>
      <c r="S2468" s="8" t="s">
        <v>32</v>
      </c>
    </row>
    <row r="2469">
      <c r="A2469" s="8">
        <v>2468.0</v>
      </c>
      <c r="B2469" s="8" t="s">
        <v>3838</v>
      </c>
      <c r="C2469" s="8" t="s">
        <v>21</v>
      </c>
      <c r="K2469" s="8">
        <v>200.0</v>
      </c>
      <c r="N2469" s="7">
        <v>44341.0</v>
      </c>
    </row>
    <row r="2470">
      <c r="A2470" s="8">
        <v>2469.0</v>
      </c>
      <c r="B2470" s="8" t="s">
        <v>3839</v>
      </c>
      <c r="C2470" s="8" t="s">
        <v>21</v>
      </c>
      <c r="K2470" s="8">
        <v>150.0</v>
      </c>
      <c r="N2470" s="7">
        <v>45346.0</v>
      </c>
    </row>
    <row r="2471">
      <c r="A2471" s="8">
        <v>2470.0</v>
      </c>
      <c r="B2471" s="8" t="s">
        <v>3840</v>
      </c>
      <c r="C2471" s="8" t="s">
        <v>21</v>
      </c>
      <c r="K2471" s="8">
        <v>350.0</v>
      </c>
      <c r="N2471" s="7">
        <v>44979.0</v>
      </c>
      <c r="O2471" s="8" t="s">
        <v>107</v>
      </c>
      <c r="P2471" s="8" t="s">
        <v>28</v>
      </c>
      <c r="S2471" s="8" t="s">
        <v>32</v>
      </c>
    </row>
    <row r="2472">
      <c r="A2472" s="8">
        <v>2471.0</v>
      </c>
      <c r="B2472" s="8" t="s">
        <v>3841</v>
      </c>
      <c r="C2472" s="8" t="s">
        <v>21</v>
      </c>
      <c r="K2472" s="8">
        <v>450.0</v>
      </c>
      <c r="N2472" s="7">
        <v>44544.0</v>
      </c>
    </row>
    <row r="2473">
      <c r="A2473" s="8">
        <v>2472.0</v>
      </c>
      <c r="B2473" s="8" t="s">
        <v>3842</v>
      </c>
      <c r="C2473" s="8" t="s">
        <v>21</v>
      </c>
      <c r="N2473" s="7">
        <v>44106.0</v>
      </c>
    </row>
    <row r="2474">
      <c r="A2474" s="8">
        <v>2473.0</v>
      </c>
      <c r="B2474" s="8" t="s">
        <v>3843</v>
      </c>
      <c r="C2474" s="8" t="s">
        <v>21</v>
      </c>
      <c r="N2474" s="7">
        <v>44630.0</v>
      </c>
    </row>
    <row r="2475">
      <c r="A2475" s="8">
        <v>2474.0</v>
      </c>
      <c r="B2475" s="8" t="s">
        <v>2950</v>
      </c>
      <c r="C2475" s="8" t="s">
        <v>21</v>
      </c>
      <c r="D2475" s="8">
        <v>72.0</v>
      </c>
      <c r="H2475" s="8" t="s">
        <v>35</v>
      </c>
      <c r="I2475" s="9">
        <v>46149.419907407406</v>
      </c>
      <c r="L2475" s="8">
        <v>11000.0</v>
      </c>
      <c r="M2475" s="8">
        <v>11000.0</v>
      </c>
      <c r="N2475" s="7">
        <v>45207.0</v>
      </c>
      <c r="O2475" s="8" t="s">
        <v>26</v>
      </c>
      <c r="P2475" s="8" t="s">
        <v>28</v>
      </c>
      <c r="S2475" s="8" t="s">
        <v>32</v>
      </c>
    </row>
    <row r="2476">
      <c r="A2476" s="8">
        <v>2475.0</v>
      </c>
      <c r="B2476" s="8" t="s">
        <v>3844</v>
      </c>
      <c r="C2476" s="8" t="s">
        <v>21</v>
      </c>
      <c r="K2476" s="8">
        <v>100.0</v>
      </c>
      <c r="N2476" s="7">
        <v>44187.0</v>
      </c>
    </row>
    <row r="2477">
      <c r="A2477" s="8">
        <v>2476.0</v>
      </c>
      <c r="B2477" s="8" t="s">
        <v>193</v>
      </c>
      <c r="C2477" s="8" t="s">
        <v>21</v>
      </c>
      <c r="K2477" s="8">
        <v>2900.0</v>
      </c>
      <c r="N2477" s="7">
        <v>44446.0</v>
      </c>
    </row>
    <row r="2478">
      <c r="A2478" s="8">
        <v>2477.0</v>
      </c>
      <c r="B2478" s="8" t="s">
        <v>3845</v>
      </c>
      <c r="C2478" s="8" t="s">
        <v>21</v>
      </c>
      <c r="K2478" s="8">
        <v>80.0</v>
      </c>
      <c r="N2478" s="7">
        <v>44046.0</v>
      </c>
    </row>
    <row r="2479">
      <c r="A2479" s="8">
        <v>2478.0</v>
      </c>
      <c r="B2479" s="8" t="s">
        <v>3846</v>
      </c>
      <c r="C2479" s="8" t="s">
        <v>21</v>
      </c>
      <c r="K2479" s="8">
        <v>20.0</v>
      </c>
      <c r="N2479" s="7">
        <v>45839.0</v>
      </c>
    </row>
    <row r="2480">
      <c r="A2480" s="8">
        <v>2479.0</v>
      </c>
      <c r="B2480" s="8" t="s">
        <v>3847</v>
      </c>
      <c r="C2480" s="8" t="s">
        <v>21</v>
      </c>
      <c r="N2480" s="7">
        <v>44314.0</v>
      </c>
    </row>
    <row r="2481">
      <c r="A2481" s="8">
        <v>2480.0</v>
      </c>
      <c r="B2481" s="8" t="s">
        <v>3848</v>
      </c>
      <c r="C2481" s="8" t="s">
        <v>21</v>
      </c>
      <c r="K2481" s="8">
        <v>450.0</v>
      </c>
      <c r="N2481" s="7">
        <v>44535.0</v>
      </c>
    </row>
    <row r="2482">
      <c r="A2482" s="8">
        <v>2481.0</v>
      </c>
      <c r="B2482" s="8" t="s">
        <v>3849</v>
      </c>
      <c r="C2482" s="8" t="s">
        <v>21</v>
      </c>
      <c r="K2482" s="8">
        <v>150.0</v>
      </c>
      <c r="N2482" s="7">
        <v>44182.0</v>
      </c>
    </row>
    <row r="2483">
      <c r="A2483" s="8">
        <v>2482.0</v>
      </c>
      <c r="B2483" s="8" t="s">
        <v>3850</v>
      </c>
      <c r="C2483" s="8" t="s">
        <v>21</v>
      </c>
      <c r="K2483" s="8">
        <v>400.0</v>
      </c>
      <c r="N2483" s="7">
        <v>44916.0</v>
      </c>
    </row>
    <row r="2484">
      <c r="A2484" s="8">
        <v>2483.0</v>
      </c>
      <c r="B2484" s="8" t="s">
        <v>3851</v>
      </c>
      <c r="C2484" s="8" t="s">
        <v>21</v>
      </c>
      <c r="K2484" s="8">
        <v>1900.0</v>
      </c>
      <c r="N2484" s="7">
        <v>45775.0</v>
      </c>
    </row>
    <row r="2485">
      <c r="A2485" s="8">
        <v>2484.0</v>
      </c>
      <c r="B2485" s="8" t="s">
        <v>3852</v>
      </c>
      <c r="C2485" s="8" t="s">
        <v>21</v>
      </c>
      <c r="K2485" s="8">
        <v>200.0</v>
      </c>
      <c r="N2485" s="7">
        <v>45482.0</v>
      </c>
    </row>
    <row r="2486">
      <c r="A2486" s="8">
        <v>2485.0</v>
      </c>
      <c r="B2486" s="8" t="s">
        <v>3853</v>
      </c>
      <c r="C2486" s="8" t="s">
        <v>21</v>
      </c>
      <c r="K2486" s="8">
        <v>1800.0</v>
      </c>
      <c r="N2486" s="7">
        <v>44516.0</v>
      </c>
    </row>
    <row r="2487">
      <c r="A2487" s="8">
        <v>2486.0</v>
      </c>
      <c r="B2487" s="8" t="s">
        <v>3854</v>
      </c>
      <c r="C2487" s="8" t="s">
        <v>21</v>
      </c>
      <c r="K2487" s="8">
        <v>90.0</v>
      </c>
      <c r="N2487" s="7">
        <v>44502.0</v>
      </c>
    </row>
    <row r="2488">
      <c r="A2488" s="8">
        <v>2487.0</v>
      </c>
      <c r="B2488" s="8" t="s">
        <v>3855</v>
      </c>
      <c r="C2488" s="8" t="s">
        <v>21</v>
      </c>
      <c r="K2488" s="8">
        <v>1300.0</v>
      </c>
      <c r="N2488" s="7">
        <v>45145.0</v>
      </c>
    </row>
    <row r="2489">
      <c r="A2489" s="8">
        <v>2488.0</v>
      </c>
      <c r="B2489" s="8" t="s">
        <v>3856</v>
      </c>
      <c r="C2489" s="8" t="s">
        <v>21</v>
      </c>
      <c r="K2489" s="8">
        <v>9500.0</v>
      </c>
      <c r="N2489" s="7">
        <v>44559.0</v>
      </c>
    </row>
    <row r="2490">
      <c r="A2490" s="8">
        <v>2489.0</v>
      </c>
      <c r="B2490" s="8" t="s">
        <v>3857</v>
      </c>
      <c r="C2490" s="8" t="s">
        <v>21</v>
      </c>
      <c r="K2490" s="8">
        <v>200.0</v>
      </c>
      <c r="N2490" s="7">
        <v>44252.0</v>
      </c>
    </row>
    <row r="2491">
      <c r="A2491" s="8">
        <v>2490.0</v>
      </c>
      <c r="B2491" s="8" t="s">
        <v>3858</v>
      </c>
      <c r="C2491" s="8" t="s">
        <v>21</v>
      </c>
      <c r="K2491" s="8">
        <v>800.0</v>
      </c>
      <c r="N2491" s="7">
        <v>44371.0</v>
      </c>
    </row>
    <row r="2492">
      <c r="A2492" s="8">
        <v>2491.0</v>
      </c>
      <c r="B2492" s="8" t="s">
        <v>3859</v>
      </c>
      <c r="C2492" s="8" t="s">
        <v>21</v>
      </c>
      <c r="K2492" s="8">
        <v>14000.0</v>
      </c>
      <c r="N2492" s="7">
        <v>44304.0</v>
      </c>
    </row>
    <row r="2493">
      <c r="A2493" s="8">
        <v>2492.0</v>
      </c>
      <c r="B2493" s="8" t="s">
        <v>3860</v>
      </c>
      <c r="C2493" s="8" t="s">
        <v>21</v>
      </c>
      <c r="K2493" s="8">
        <v>200.0</v>
      </c>
      <c r="N2493" s="7">
        <v>44436.0</v>
      </c>
    </row>
    <row r="2494">
      <c r="A2494" s="8">
        <v>2493.0</v>
      </c>
      <c r="B2494" s="8" t="s">
        <v>3861</v>
      </c>
      <c r="C2494" s="8" t="s">
        <v>21</v>
      </c>
      <c r="K2494" s="8">
        <v>2500.0</v>
      </c>
      <c r="N2494" s="7">
        <v>44706.0</v>
      </c>
    </row>
    <row r="2495">
      <c r="A2495" s="8">
        <v>2494.0</v>
      </c>
      <c r="B2495" s="8" t="s">
        <v>3862</v>
      </c>
      <c r="C2495" s="8" t="s">
        <v>21</v>
      </c>
      <c r="K2495" s="8">
        <v>60.0</v>
      </c>
      <c r="N2495" s="7">
        <v>45873.0</v>
      </c>
    </row>
    <row r="2496">
      <c r="A2496" s="8">
        <v>2495.0</v>
      </c>
      <c r="B2496" s="8" t="s">
        <v>3863</v>
      </c>
      <c r="C2496" s="8" t="s">
        <v>21</v>
      </c>
      <c r="K2496" s="8">
        <v>10.0</v>
      </c>
      <c r="N2496" s="7">
        <v>44989.0</v>
      </c>
    </row>
    <row r="2497">
      <c r="A2497" s="8">
        <v>2496.0</v>
      </c>
      <c r="B2497" s="8" t="s">
        <v>3864</v>
      </c>
      <c r="C2497" s="8" t="s">
        <v>21</v>
      </c>
      <c r="N2497" s="7">
        <v>44599.0</v>
      </c>
    </row>
    <row r="2498">
      <c r="A2498" s="8">
        <v>2497.0</v>
      </c>
      <c r="B2498" s="8" t="s">
        <v>3865</v>
      </c>
      <c r="C2498" s="8" t="s">
        <v>21</v>
      </c>
      <c r="K2498" s="8">
        <v>200.0</v>
      </c>
      <c r="N2498" s="7">
        <v>44801.0</v>
      </c>
    </row>
    <row r="2499">
      <c r="A2499" s="8">
        <v>2498.0</v>
      </c>
      <c r="B2499" s="8" t="s">
        <v>3866</v>
      </c>
      <c r="C2499" s="8" t="s">
        <v>21</v>
      </c>
      <c r="K2499" s="8">
        <v>70.0</v>
      </c>
      <c r="N2499" s="7">
        <v>44618.0</v>
      </c>
    </row>
    <row r="2500">
      <c r="A2500" s="8">
        <v>2499.0</v>
      </c>
      <c r="B2500" s="8" t="s">
        <v>208</v>
      </c>
      <c r="C2500" s="8" t="s">
        <v>21</v>
      </c>
      <c r="K2500" s="8">
        <v>50.0</v>
      </c>
      <c r="N2500" s="7">
        <v>45731.0</v>
      </c>
    </row>
    <row r="2501">
      <c r="A2501" s="8">
        <v>2500.0</v>
      </c>
      <c r="B2501" s="8" t="s">
        <v>3867</v>
      </c>
      <c r="C2501" s="8" t="s">
        <v>21</v>
      </c>
      <c r="K2501" s="8">
        <v>10.0</v>
      </c>
      <c r="N2501" s="7">
        <v>44733.0</v>
      </c>
      <c r="O2501" s="8" t="s">
        <v>107</v>
      </c>
      <c r="P2501" s="8" t="s">
        <v>28</v>
      </c>
      <c r="S2501" s="8" t="s">
        <v>32</v>
      </c>
    </row>
    <row r="2502">
      <c r="A2502" s="8">
        <v>2501.0</v>
      </c>
      <c r="B2502" s="8" t="s">
        <v>3868</v>
      </c>
      <c r="C2502" s="8" t="s">
        <v>21</v>
      </c>
      <c r="K2502" s="8">
        <v>2500.0</v>
      </c>
      <c r="N2502" s="7">
        <v>44572.0</v>
      </c>
    </row>
    <row r="2503">
      <c r="A2503" s="8">
        <v>2502.0</v>
      </c>
      <c r="B2503" s="8" t="s">
        <v>2954</v>
      </c>
      <c r="C2503" s="8" t="s">
        <v>21</v>
      </c>
      <c r="D2503" s="8">
        <v>64.0</v>
      </c>
      <c r="H2503" s="8" t="s">
        <v>2256</v>
      </c>
      <c r="I2503" s="9">
        <v>46143.34753472222</v>
      </c>
      <c r="K2503" s="8">
        <v>10.0</v>
      </c>
      <c r="L2503" s="8">
        <v>30.0</v>
      </c>
      <c r="M2503" s="8">
        <v>6300.0</v>
      </c>
      <c r="N2503" s="7">
        <v>44262.0</v>
      </c>
      <c r="O2503" s="8" t="s">
        <v>147</v>
      </c>
      <c r="P2503" s="8" t="s">
        <v>28</v>
      </c>
      <c r="S2503" s="8" t="s">
        <v>32</v>
      </c>
    </row>
    <row r="2504">
      <c r="A2504" s="8">
        <v>2503.0</v>
      </c>
      <c r="B2504" s="8" t="s">
        <v>3869</v>
      </c>
      <c r="C2504" s="8" t="s">
        <v>21</v>
      </c>
      <c r="K2504" s="8">
        <v>1600.0</v>
      </c>
      <c r="N2504" s="7">
        <v>43494.0</v>
      </c>
    </row>
    <row r="2505">
      <c r="A2505" s="8">
        <v>2504.0</v>
      </c>
      <c r="B2505" s="8" t="s">
        <v>3870</v>
      </c>
      <c r="C2505" s="8" t="s">
        <v>21</v>
      </c>
      <c r="K2505" s="8">
        <v>400.0</v>
      </c>
      <c r="N2505" s="7">
        <v>44261.0</v>
      </c>
    </row>
    <row r="2506">
      <c r="A2506" s="8">
        <v>2505.0</v>
      </c>
      <c r="B2506" s="8" t="s">
        <v>3871</v>
      </c>
      <c r="C2506" s="8" t="s">
        <v>21</v>
      </c>
      <c r="K2506" s="8">
        <v>2400.0</v>
      </c>
      <c r="N2506" s="7">
        <v>44536.0</v>
      </c>
    </row>
    <row r="2507">
      <c r="A2507" s="8">
        <v>2506.0</v>
      </c>
      <c r="B2507" s="8" t="s">
        <v>211</v>
      </c>
      <c r="C2507" s="8" t="s">
        <v>21</v>
      </c>
      <c r="K2507" s="8">
        <v>10.0</v>
      </c>
      <c r="N2507" s="7">
        <v>44884.0</v>
      </c>
    </row>
    <row r="2508">
      <c r="A2508" s="8">
        <v>2507.0</v>
      </c>
      <c r="B2508" s="8" t="s">
        <v>3872</v>
      </c>
      <c r="C2508" s="8" t="s">
        <v>21</v>
      </c>
      <c r="K2508" s="8">
        <v>3600.0</v>
      </c>
      <c r="N2508" s="7">
        <v>44169.0</v>
      </c>
    </row>
    <row r="2509">
      <c r="A2509" s="8">
        <v>2508.0</v>
      </c>
      <c r="B2509" s="8" t="s">
        <v>3873</v>
      </c>
      <c r="C2509" s="8" t="s">
        <v>21</v>
      </c>
      <c r="K2509" s="8">
        <v>200.0</v>
      </c>
      <c r="N2509" s="7">
        <v>44941.0</v>
      </c>
    </row>
    <row r="2510">
      <c r="A2510" s="8">
        <v>2509.0</v>
      </c>
      <c r="B2510" s="8" t="s">
        <v>3874</v>
      </c>
      <c r="C2510" s="8" t="s">
        <v>21</v>
      </c>
      <c r="K2510" s="8">
        <v>500.0</v>
      </c>
      <c r="N2510" s="7">
        <v>44150.0</v>
      </c>
    </row>
    <row r="2511">
      <c r="A2511" s="8">
        <v>2510.0</v>
      </c>
      <c r="B2511" s="8" t="s">
        <v>3875</v>
      </c>
      <c r="C2511" s="8" t="s">
        <v>21</v>
      </c>
      <c r="K2511" s="8">
        <v>10.0</v>
      </c>
      <c r="N2511" s="7">
        <v>44251.0</v>
      </c>
    </row>
    <row r="2512">
      <c r="A2512" s="8">
        <v>2511.0</v>
      </c>
      <c r="B2512" s="8" t="s">
        <v>3876</v>
      </c>
      <c r="C2512" s="8" t="s">
        <v>21</v>
      </c>
      <c r="N2512" s="7">
        <v>42460.0</v>
      </c>
    </row>
    <row r="2513">
      <c r="A2513" s="8">
        <v>2512.0</v>
      </c>
      <c r="B2513" s="8" t="s">
        <v>3877</v>
      </c>
      <c r="C2513" s="8" t="s">
        <v>21</v>
      </c>
      <c r="K2513" s="8">
        <v>400.0</v>
      </c>
      <c r="N2513" s="7">
        <v>43871.0</v>
      </c>
    </row>
    <row r="2514">
      <c r="A2514" s="8">
        <v>2513.0</v>
      </c>
      <c r="B2514" s="8" t="s">
        <v>3878</v>
      </c>
      <c r="C2514" s="8" t="s">
        <v>21</v>
      </c>
      <c r="K2514" s="8">
        <v>400.0</v>
      </c>
      <c r="N2514" s="7">
        <v>44587.0</v>
      </c>
    </row>
    <row r="2515">
      <c r="A2515" s="8">
        <v>2514.0</v>
      </c>
      <c r="B2515" s="8" t="s">
        <v>3879</v>
      </c>
      <c r="C2515" s="8" t="s">
        <v>21</v>
      </c>
      <c r="K2515" s="8">
        <v>350.0</v>
      </c>
      <c r="N2515" s="7">
        <v>44359.0</v>
      </c>
    </row>
    <row r="2516">
      <c r="A2516" s="8">
        <v>2515.0</v>
      </c>
      <c r="B2516" s="8" t="s">
        <v>3880</v>
      </c>
      <c r="C2516" s="8" t="s">
        <v>21</v>
      </c>
      <c r="N2516" s="7">
        <v>42669.0</v>
      </c>
      <c r="O2516" s="8" t="s">
        <v>26</v>
      </c>
      <c r="P2516" s="8" t="s">
        <v>28</v>
      </c>
      <c r="S2516" s="8" t="s">
        <v>32</v>
      </c>
    </row>
    <row r="2517">
      <c r="A2517" s="8">
        <v>2516.0</v>
      </c>
      <c r="B2517" s="8" t="s">
        <v>3881</v>
      </c>
      <c r="C2517" s="8" t="s">
        <v>21</v>
      </c>
      <c r="K2517" s="8">
        <v>100.0</v>
      </c>
      <c r="N2517" s="7">
        <v>44444.0</v>
      </c>
      <c r="O2517" s="8" t="s">
        <v>127</v>
      </c>
      <c r="P2517" s="8" t="s">
        <v>28</v>
      </c>
      <c r="S2517" s="8" t="s">
        <v>32</v>
      </c>
    </row>
    <row r="2518">
      <c r="A2518" s="8">
        <v>2517.0</v>
      </c>
      <c r="B2518" s="8" t="s">
        <v>3882</v>
      </c>
      <c r="C2518" s="8" t="s">
        <v>21</v>
      </c>
      <c r="K2518" s="8">
        <v>3300.0</v>
      </c>
      <c r="N2518" s="7">
        <v>44368.0</v>
      </c>
    </row>
    <row r="2519">
      <c r="A2519" s="8">
        <v>2518.0</v>
      </c>
      <c r="B2519" s="8" t="s">
        <v>3883</v>
      </c>
      <c r="C2519" s="8" t="s">
        <v>21</v>
      </c>
      <c r="K2519" s="8">
        <v>20.0</v>
      </c>
      <c r="N2519" s="7">
        <v>44447.0</v>
      </c>
    </row>
    <row r="2520">
      <c r="A2520" s="8">
        <v>2519.0</v>
      </c>
      <c r="B2520" s="8" t="s">
        <v>3884</v>
      </c>
      <c r="C2520" s="8" t="s">
        <v>21</v>
      </c>
      <c r="K2520" s="8">
        <v>900.0</v>
      </c>
      <c r="N2520" s="7">
        <v>44860.0</v>
      </c>
    </row>
    <row r="2521">
      <c r="A2521" s="8">
        <v>2520.0</v>
      </c>
      <c r="B2521" s="8" t="s">
        <v>3885</v>
      </c>
      <c r="C2521" s="8" t="s">
        <v>21</v>
      </c>
      <c r="K2521" s="8">
        <v>350.0</v>
      </c>
      <c r="N2521" s="7">
        <v>44933.0</v>
      </c>
    </row>
    <row r="2522">
      <c r="A2522" s="8">
        <v>2521.0</v>
      </c>
      <c r="B2522" s="8" t="s">
        <v>3886</v>
      </c>
      <c r="C2522" s="8" t="s">
        <v>21</v>
      </c>
      <c r="K2522" s="8">
        <v>60.0</v>
      </c>
      <c r="N2522" s="7">
        <v>43978.0</v>
      </c>
    </row>
    <row r="2523">
      <c r="A2523" s="8">
        <v>2522.0</v>
      </c>
      <c r="B2523" s="8" t="s">
        <v>3887</v>
      </c>
      <c r="C2523" s="8" t="s">
        <v>21</v>
      </c>
      <c r="N2523" s="7">
        <v>42402.0</v>
      </c>
    </row>
    <row r="2524">
      <c r="A2524" s="8">
        <v>2523.0</v>
      </c>
      <c r="B2524" s="8" t="s">
        <v>3888</v>
      </c>
      <c r="C2524" s="8" t="s">
        <v>21</v>
      </c>
      <c r="K2524" s="8">
        <v>350.0</v>
      </c>
      <c r="N2524" s="7">
        <v>42875.0</v>
      </c>
    </row>
    <row r="2525">
      <c r="A2525" s="8">
        <v>2524.0</v>
      </c>
      <c r="B2525" s="8" t="s">
        <v>3889</v>
      </c>
      <c r="C2525" s="8" t="s">
        <v>21</v>
      </c>
      <c r="K2525" s="8">
        <v>150.0</v>
      </c>
      <c r="N2525" s="7">
        <v>44670.0</v>
      </c>
    </row>
    <row r="2526">
      <c r="A2526" s="8">
        <v>2525.0</v>
      </c>
      <c r="B2526" s="8" t="s">
        <v>3890</v>
      </c>
      <c r="C2526" s="8" t="s">
        <v>21</v>
      </c>
      <c r="K2526" s="8">
        <v>450.0</v>
      </c>
      <c r="N2526" s="7">
        <v>43876.0</v>
      </c>
    </row>
    <row r="2527">
      <c r="A2527" s="8">
        <v>2526.0</v>
      </c>
      <c r="B2527" s="8" t="s">
        <v>3891</v>
      </c>
      <c r="C2527" s="8" t="s">
        <v>21</v>
      </c>
      <c r="K2527" s="8">
        <v>400.0</v>
      </c>
      <c r="N2527" s="7">
        <v>44129.0</v>
      </c>
    </row>
    <row r="2528">
      <c r="A2528" s="8">
        <v>2527.0</v>
      </c>
      <c r="B2528" s="8" t="s">
        <v>3892</v>
      </c>
      <c r="C2528" s="8" t="s">
        <v>21</v>
      </c>
      <c r="K2528" s="8">
        <v>10.0</v>
      </c>
      <c r="N2528" s="7">
        <v>44702.0</v>
      </c>
    </row>
    <row r="2529">
      <c r="A2529" s="8">
        <v>2528.0</v>
      </c>
      <c r="B2529" s="8" t="s">
        <v>213</v>
      </c>
      <c r="C2529" s="8" t="s">
        <v>21</v>
      </c>
      <c r="N2529" s="7">
        <v>44698.0</v>
      </c>
    </row>
    <row r="2530">
      <c r="A2530" s="8">
        <v>2529.0</v>
      </c>
      <c r="B2530" s="8" t="s">
        <v>3893</v>
      </c>
      <c r="C2530" s="8" t="s">
        <v>21</v>
      </c>
      <c r="N2530" s="7">
        <v>42370.0</v>
      </c>
    </row>
    <row r="2531">
      <c r="A2531" s="8">
        <v>2530.0</v>
      </c>
      <c r="B2531" s="8" t="s">
        <v>3894</v>
      </c>
      <c r="C2531" s="8" t="s">
        <v>21</v>
      </c>
      <c r="N2531" s="7">
        <v>44714.0</v>
      </c>
    </row>
    <row r="2532">
      <c r="A2532" s="8">
        <v>2531.0</v>
      </c>
      <c r="B2532" s="8" t="s">
        <v>3895</v>
      </c>
      <c r="C2532" s="8" t="s">
        <v>21</v>
      </c>
      <c r="K2532" s="8">
        <v>250.0</v>
      </c>
      <c r="N2532" s="7">
        <v>44328.0</v>
      </c>
    </row>
    <row r="2533">
      <c r="A2533" s="8">
        <v>2532.0</v>
      </c>
      <c r="B2533" s="8" t="s">
        <v>3896</v>
      </c>
      <c r="C2533" s="8" t="s">
        <v>21</v>
      </c>
      <c r="K2533" s="8">
        <v>70.0</v>
      </c>
      <c r="N2533" s="7">
        <v>45080.0</v>
      </c>
    </row>
    <row r="2534">
      <c r="A2534" s="8">
        <v>2533.0</v>
      </c>
      <c r="B2534" s="8" t="s">
        <v>3897</v>
      </c>
      <c r="C2534" s="8" t="s">
        <v>21</v>
      </c>
      <c r="K2534" s="8">
        <v>40.0</v>
      </c>
      <c r="N2534" s="7">
        <v>44647.0</v>
      </c>
    </row>
    <row r="2535">
      <c r="A2535" s="8">
        <v>2534.0</v>
      </c>
      <c r="B2535" s="8" t="s">
        <v>3898</v>
      </c>
      <c r="C2535" s="8" t="s">
        <v>21</v>
      </c>
      <c r="K2535" s="8">
        <v>250.0</v>
      </c>
      <c r="N2535" s="7">
        <v>44918.0</v>
      </c>
    </row>
    <row r="2536">
      <c r="A2536" s="8">
        <v>2535.0</v>
      </c>
      <c r="B2536" s="8" t="s">
        <v>214</v>
      </c>
      <c r="C2536" s="8" t="s">
        <v>21</v>
      </c>
      <c r="K2536" s="8">
        <v>150.0</v>
      </c>
      <c r="N2536" s="7">
        <v>45407.0</v>
      </c>
    </row>
    <row r="2537">
      <c r="A2537" s="8">
        <v>2536.0</v>
      </c>
      <c r="B2537" s="8" t="s">
        <v>3899</v>
      </c>
      <c r="C2537" s="8" t="s">
        <v>21</v>
      </c>
      <c r="N2537" s="7">
        <v>44367.0</v>
      </c>
    </row>
    <row r="2538">
      <c r="A2538" s="8">
        <v>2537.0</v>
      </c>
      <c r="B2538" s="8" t="s">
        <v>3900</v>
      </c>
      <c r="C2538" s="8" t="s">
        <v>21</v>
      </c>
      <c r="K2538" s="8">
        <v>10.0</v>
      </c>
      <c r="N2538" s="7">
        <v>44453.0</v>
      </c>
    </row>
    <row r="2539">
      <c r="A2539" s="8">
        <v>2538.0</v>
      </c>
      <c r="B2539" s="8" t="s">
        <v>3901</v>
      </c>
      <c r="C2539" s="8" t="s">
        <v>21</v>
      </c>
      <c r="K2539" s="8">
        <v>1700.0</v>
      </c>
      <c r="N2539" s="7">
        <v>44545.0</v>
      </c>
    </row>
    <row r="2540">
      <c r="A2540" s="8">
        <v>2539.0</v>
      </c>
      <c r="B2540" s="8" t="s">
        <v>3902</v>
      </c>
      <c r="C2540" s="8" t="s">
        <v>21</v>
      </c>
      <c r="K2540" s="8">
        <v>12000.0</v>
      </c>
      <c r="N2540" s="7">
        <v>44273.0</v>
      </c>
    </row>
    <row r="2541">
      <c r="A2541" s="8">
        <v>2540.0</v>
      </c>
      <c r="B2541" s="8" t="s">
        <v>3903</v>
      </c>
      <c r="C2541" s="8" t="s">
        <v>21</v>
      </c>
      <c r="K2541" s="8">
        <v>30.0</v>
      </c>
      <c r="N2541" s="7">
        <v>42904.0</v>
      </c>
    </row>
    <row r="2542">
      <c r="A2542" s="8">
        <v>2541.0</v>
      </c>
      <c r="B2542" s="8" t="s">
        <v>3904</v>
      </c>
      <c r="C2542" s="8" t="s">
        <v>21</v>
      </c>
      <c r="K2542" s="8">
        <v>500.0</v>
      </c>
      <c r="N2542" s="7">
        <v>44111.0</v>
      </c>
    </row>
    <row r="2543">
      <c r="A2543" s="8">
        <v>2542.0</v>
      </c>
      <c r="B2543" s="8" t="s">
        <v>3905</v>
      </c>
      <c r="C2543" s="8" t="s">
        <v>21</v>
      </c>
      <c r="N2543" s="7">
        <v>44217.0</v>
      </c>
    </row>
    <row r="2544">
      <c r="A2544" s="8">
        <v>2543.0</v>
      </c>
      <c r="B2544" s="8" t="s">
        <v>3906</v>
      </c>
      <c r="C2544" s="8" t="s">
        <v>21</v>
      </c>
      <c r="K2544" s="8">
        <v>100.0</v>
      </c>
      <c r="N2544" s="7">
        <v>43888.0</v>
      </c>
    </row>
    <row r="2545">
      <c r="A2545" s="8">
        <v>2544.0</v>
      </c>
      <c r="B2545" s="8" t="s">
        <v>3907</v>
      </c>
      <c r="C2545" s="8" t="s">
        <v>21</v>
      </c>
      <c r="K2545" s="8">
        <v>700.0</v>
      </c>
      <c r="N2545" s="7">
        <v>44310.0</v>
      </c>
    </row>
    <row r="2546">
      <c r="A2546" s="8">
        <v>2545.0</v>
      </c>
      <c r="B2546" s="8" t="s">
        <v>3908</v>
      </c>
      <c r="C2546" s="8" t="s">
        <v>21</v>
      </c>
      <c r="K2546" s="8">
        <v>100.0</v>
      </c>
      <c r="N2546" s="7">
        <v>45132.0</v>
      </c>
    </row>
    <row r="2547">
      <c r="A2547" s="8">
        <v>2546.0</v>
      </c>
      <c r="B2547" s="8" t="s">
        <v>3909</v>
      </c>
      <c r="C2547" s="8" t="s">
        <v>21</v>
      </c>
      <c r="K2547" s="8">
        <v>900.0</v>
      </c>
      <c r="N2547" s="7">
        <v>44536.0</v>
      </c>
    </row>
    <row r="2548">
      <c r="A2548" s="8">
        <v>2547.0</v>
      </c>
      <c r="B2548" s="8" t="s">
        <v>3910</v>
      </c>
      <c r="C2548" s="8" t="s">
        <v>21</v>
      </c>
      <c r="K2548" s="8">
        <v>300.0</v>
      </c>
      <c r="N2548" s="7">
        <v>44392.0</v>
      </c>
    </row>
    <row r="2549">
      <c r="A2549" s="8">
        <v>2548.0</v>
      </c>
      <c r="B2549" s="8" t="s">
        <v>3911</v>
      </c>
      <c r="C2549" s="8" t="s">
        <v>21</v>
      </c>
      <c r="K2549" s="8">
        <v>40.0</v>
      </c>
      <c r="N2549" s="7">
        <v>44208.0</v>
      </c>
    </row>
    <row r="2550">
      <c r="A2550" s="8">
        <v>2549.0</v>
      </c>
      <c r="B2550" s="8" t="s">
        <v>3912</v>
      </c>
      <c r="C2550" s="8" t="s">
        <v>21</v>
      </c>
      <c r="N2550" s="7">
        <v>44679.0</v>
      </c>
    </row>
    <row r="2551">
      <c r="A2551" s="8">
        <v>2550.0</v>
      </c>
      <c r="B2551" s="8" t="s">
        <v>3913</v>
      </c>
      <c r="C2551" s="8" t="s">
        <v>21</v>
      </c>
      <c r="K2551" s="8">
        <v>1400.0</v>
      </c>
      <c r="N2551" s="7">
        <v>44773.0</v>
      </c>
    </row>
    <row r="2552">
      <c r="A2552" s="8">
        <v>2551.0</v>
      </c>
      <c r="B2552" s="8" t="s">
        <v>3914</v>
      </c>
      <c r="C2552" s="8" t="s">
        <v>21</v>
      </c>
      <c r="K2552" s="8">
        <v>400.0</v>
      </c>
      <c r="N2552" s="7">
        <v>44339.0</v>
      </c>
    </row>
    <row r="2553">
      <c r="A2553" s="8">
        <v>2552.0</v>
      </c>
      <c r="B2553" s="8" t="s">
        <v>3915</v>
      </c>
      <c r="C2553" s="8" t="s">
        <v>21</v>
      </c>
      <c r="K2553" s="8">
        <v>10.0</v>
      </c>
      <c r="N2553" s="7">
        <v>44091.0</v>
      </c>
    </row>
    <row r="2554">
      <c r="A2554" s="8">
        <v>2553.0</v>
      </c>
      <c r="B2554" s="8" t="s">
        <v>3916</v>
      </c>
      <c r="C2554" s="8" t="s">
        <v>21</v>
      </c>
      <c r="K2554" s="8">
        <v>60.0</v>
      </c>
      <c r="N2554" s="7">
        <v>44149.0</v>
      </c>
    </row>
    <row r="2555">
      <c r="A2555" s="8">
        <v>2554.0</v>
      </c>
      <c r="B2555" s="8" t="s">
        <v>3917</v>
      </c>
      <c r="C2555" s="8" t="s">
        <v>21</v>
      </c>
      <c r="K2555" s="8">
        <v>20.0</v>
      </c>
      <c r="N2555" s="7">
        <v>44763.0</v>
      </c>
    </row>
    <row r="2556">
      <c r="A2556" s="8">
        <v>2555.0</v>
      </c>
      <c r="B2556" s="8" t="s">
        <v>3918</v>
      </c>
      <c r="C2556" s="8" t="s">
        <v>21</v>
      </c>
      <c r="K2556" s="8">
        <v>20.0</v>
      </c>
      <c r="N2556" s="7">
        <v>43926.0</v>
      </c>
    </row>
    <row r="2557">
      <c r="A2557" s="8">
        <v>2556.0</v>
      </c>
      <c r="B2557" s="8" t="s">
        <v>3919</v>
      </c>
      <c r="C2557" s="8" t="s">
        <v>21</v>
      </c>
      <c r="K2557" s="8">
        <v>1200.0</v>
      </c>
      <c r="N2557" s="7">
        <v>45027.0</v>
      </c>
    </row>
    <row r="2558">
      <c r="A2558" s="8">
        <v>2557.0</v>
      </c>
      <c r="B2558" s="8" t="s">
        <v>3920</v>
      </c>
      <c r="C2558" s="8" t="s">
        <v>21</v>
      </c>
      <c r="K2558" s="8">
        <v>1200.0</v>
      </c>
      <c r="N2558" s="7">
        <v>44515.0</v>
      </c>
    </row>
    <row r="2559">
      <c r="A2559" s="8">
        <v>2558.0</v>
      </c>
      <c r="B2559" s="8" t="s">
        <v>3921</v>
      </c>
      <c r="C2559" s="8" t="s">
        <v>21</v>
      </c>
      <c r="N2559" s="7">
        <v>42549.0</v>
      </c>
      <c r="O2559" s="8" t="s">
        <v>107</v>
      </c>
      <c r="P2559" s="8" t="s">
        <v>28</v>
      </c>
      <c r="S2559" s="8" t="s">
        <v>32</v>
      </c>
    </row>
    <row r="2560">
      <c r="A2560" s="8">
        <v>2559.0</v>
      </c>
      <c r="B2560" s="8" t="s">
        <v>3922</v>
      </c>
      <c r="C2560" s="8" t="s">
        <v>21</v>
      </c>
      <c r="K2560" s="8">
        <v>150.0</v>
      </c>
      <c r="N2560" s="7">
        <v>44100.0</v>
      </c>
    </row>
    <row r="2561">
      <c r="A2561" s="8">
        <v>2560.0</v>
      </c>
      <c r="B2561" s="8" t="s">
        <v>3923</v>
      </c>
      <c r="C2561" s="8" t="s">
        <v>21</v>
      </c>
      <c r="K2561" s="8">
        <v>1700.0</v>
      </c>
      <c r="N2561" s="7">
        <v>44870.0</v>
      </c>
    </row>
    <row r="2562">
      <c r="A2562" s="8">
        <v>2561.0</v>
      </c>
      <c r="B2562" s="8" t="s">
        <v>3924</v>
      </c>
      <c r="C2562" s="8" t="s">
        <v>21</v>
      </c>
      <c r="K2562" s="8">
        <v>1900.0</v>
      </c>
      <c r="N2562" s="7">
        <v>44406.0</v>
      </c>
    </row>
    <row r="2563">
      <c r="A2563" s="8">
        <v>2562.0</v>
      </c>
      <c r="B2563" s="8" t="s">
        <v>3925</v>
      </c>
      <c r="C2563" s="8" t="s">
        <v>21</v>
      </c>
      <c r="K2563" s="8">
        <v>40.0</v>
      </c>
      <c r="N2563" s="7">
        <v>44330.0</v>
      </c>
    </row>
    <row r="2564">
      <c r="A2564" s="8">
        <v>2563.0</v>
      </c>
      <c r="B2564" s="8" t="s">
        <v>3926</v>
      </c>
      <c r="C2564" s="8" t="s">
        <v>21</v>
      </c>
      <c r="K2564" s="8">
        <v>50.0</v>
      </c>
      <c r="N2564" s="7">
        <v>44799.0</v>
      </c>
    </row>
    <row r="2565">
      <c r="A2565" s="8">
        <v>2564.0</v>
      </c>
      <c r="B2565" s="8" t="s">
        <v>3927</v>
      </c>
      <c r="C2565" s="8" t="s">
        <v>21</v>
      </c>
      <c r="K2565" s="8">
        <v>150.0</v>
      </c>
      <c r="N2565" s="7">
        <v>44552.0</v>
      </c>
    </row>
    <row r="2566">
      <c r="A2566" s="8">
        <v>2565.0</v>
      </c>
      <c r="B2566" s="8" t="s">
        <v>3928</v>
      </c>
      <c r="C2566" s="8" t="s">
        <v>21</v>
      </c>
      <c r="N2566" s="7">
        <v>45941.0</v>
      </c>
    </row>
    <row r="2567">
      <c r="A2567" s="8">
        <v>2566.0</v>
      </c>
      <c r="B2567" s="8" t="s">
        <v>3929</v>
      </c>
      <c r="C2567" s="8" t="s">
        <v>21</v>
      </c>
      <c r="K2567" s="8">
        <v>10.0</v>
      </c>
      <c r="N2567" s="7">
        <v>45182.0</v>
      </c>
    </row>
    <row r="2568">
      <c r="A2568" s="8">
        <v>2567.0</v>
      </c>
      <c r="B2568" s="8" t="s">
        <v>3930</v>
      </c>
      <c r="C2568" s="8" t="s">
        <v>21</v>
      </c>
      <c r="K2568" s="8">
        <v>250.0</v>
      </c>
      <c r="N2568" s="7">
        <v>44296.0</v>
      </c>
    </row>
    <row r="2569">
      <c r="A2569" s="8">
        <v>2568.0</v>
      </c>
      <c r="B2569" s="8" t="s">
        <v>3931</v>
      </c>
      <c r="C2569" s="8" t="s">
        <v>21</v>
      </c>
      <c r="N2569" s="7">
        <v>45593.0</v>
      </c>
    </row>
    <row r="2570">
      <c r="A2570" s="8">
        <v>2569.0</v>
      </c>
      <c r="B2570" s="8" t="s">
        <v>3932</v>
      </c>
      <c r="C2570" s="8" t="s">
        <v>21</v>
      </c>
      <c r="K2570" s="8">
        <v>1300.0</v>
      </c>
      <c r="N2570" s="7">
        <v>42284.0</v>
      </c>
    </row>
    <row r="2571">
      <c r="A2571" s="8">
        <v>2570.0</v>
      </c>
      <c r="B2571" s="8" t="s">
        <v>3933</v>
      </c>
      <c r="C2571" s="8" t="s">
        <v>21</v>
      </c>
      <c r="K2571" s="8">
        <v>100.0</v>
      </c>
      <c r="N2571" s="7">
        <v>44369.0</v>
      </c>
    </row>
    <row r="2572">
      <c r="A2572" s="8">
        <v>2571.0</v>
      </c>
      <c r="B2572" s="8" t="s">
        <v>3934</v>
      </c>
      <c r="C2572" s="8" t="s">
        <v>21</v>
      </c>
      <c r="K2572" s="8">
        <v>20.0</v>
      </c>
      <c r="N2572" s="7">
        <v>44268.0</v>
      </c>
      <c r="O2572" s="8" t="s">
        <v>147</v>
      </c>
      <c r="P2572" s="8" t="s">
        <v>28</v>
      </c>
      <c r="S2572" s="8" t="s">
        <v>32</v>
      </c>
    </row>
    <row r="2573">
      <c r="A2573" s="8">
        <v>2572.0</v>
      </c>
      <c r="B2573" s="8" t="s">
        <v>3935</v>
      </c>
      <c r="C2573" s="8" t="s">
        <v>21</v>
      </c>
      <c r="N2573" s="7">
        <v>43984.0</v>
      </c>
    </row>
    <row r="2574">
      <c r="A2574" s="8">
        <v>2573.0</v>
      </c>
      <c r="B2574" s="8" t="s">
        <v>3936</v>
      </c>
      <c r="C2574" s="8" t="s">
        <v>21</v>
      </c>
      <c r="K2574" s="8">
        <v>450.0</v>
      </c>
      <c r="N2574" s="7">
        <v>44000.0</v>
      </c>
    </row>
    <row r="2575">
      <c r="A2575" s="8">
        <v>2574.0</v>
      </c>
      <c r="B2575" s="8" t="s">
        <v>3937</v>
      </c>
      <c r="C2575" s="8" t="s">
        <v>21</v>
      </c>
      <c r="K2575" s="8">
        <v>900.0</v>
      </c>
      <c r="N2575" s="7">
        <v>45407.0</v>
      </c>
    </row>
    <row r="2576">
      <c r="A2576" s="8">
        <v>2575.0</v>
      </c>
      <c r="B2576" s="8" t="s">
        <v>3938</v>
      </c>
      <c r="C2576" s="8" t="s">
        <v>21</v>
      </c>
      <c r="K2576" s="8">
        <v>10.0</v>
      </c>
      <c r="N2576" s="7">
        <v>44989.0</v>
      </c>
    </row>
    <row r="2577">
      <c r="A2577" s="8">
        <v>2576.0</v>
      </c>
      <c r="B2577" s="8" t="s">
        <v>3939</v>
      </c>
      <c r="C2577" s="8" t="s">
        <v>21</v>
      </c>
      <c r="K2577" s="8">
        <v>70.0</v>
      </c>
      <c r="N2577" s="7">
        <v>45326.0</v>
      </c>
    </row>
    <row r="2578">
      <c r="A2578" s="8">
        <v>2577.0</v>
      </c>
      <c r="B2578" s="8" t="s">
        <v>3940</v>
      </c>
      <c r="C2578" s="8" t="s">
        <v>21</v>
      </c>
      <c r="K2578" s="8">
        <v>200.0</v>
      </c>
      <c r="N2578" s="7">
        <v>44234.0</v>
      </c>
    </row>
    <row r="2579">
      <c r="A2579" s="8">
        <v>2578.0</v>
      </c>
      <c r="B2579" s="8" t="s">
        <v>3941</v>
      </c>
      <c r="C2579" s="8" t="s">
        <v>21</v>
      </c>
      <c r="K2579" s="8">
        <v>300.0</v>
      </c>
      <c r="N2579" s="7">
        <v>44497.0</v>
      </c>
    </row>
    <row r="2580">
      <c r="A2580" s="8">
        <v>2579.0</v>
      </c>
      <c r="B2580" s="8" t="s">
        <v>3942</v>
      </c>
      <c r="C2580" s="8" t="s">
        <v>21</v>
      </c>
      <c r="K2580" s="8">
        <v>4000.0</v>
      </c>
      <c r="N2580" s="7">
        <v>44033.0</v>
      </c>
    </row>
    <row r="2581">
      <c r="A2581" s="8">
        <v>2580.0</v>
      </c>
      <c r="B2581" s="8" t="s">
        <v>3943</v>
      </c>
      <c r="C2581" s="8" t="s">
        <v>21</v>
      </c>
      <c r="K2581" s="8">
        <v>10.0</v>
      </c>
      <c r="N2581" s="7">
        <v>45431.0</v>
      </c>
    </row>
    <row r="2582">
      <c r="A2582" s="8">
        <v>2581.0</v>
      </c>
      <c r="B2582" s="8" t="s">
        <v>3944</v>
      </c>
      <c r="C2582" s="8" t="s">
        <v>21</v>
      </c>
      <c r="K2582" s="8">
        <v>10.0</v>
      </c>
      <c r="N2582" s="7">
        <v>43868.0</v>
      </c>
    </row>
    <row r="2583">
      <c r="A2583" s="8">
        <v>2582.0</v>
      </c>
      <c r="B2583" s="8" t="s">
        <v>3945</v>
      </c>
      <c r="C2583" s="8" t="s">
        <v>21</v>
      </c>
      <c r="K2583" s="8">
        <v>1500.0</v>
      </c>
      <c r="N2583" s="7">
        <v>44925.0</v>
      </c>
    </row>
    <row r="2584">
      <c r="A2584" s="8">
        <v>2583.0</v>
      </c>
      <c r="B2584" s="8" t="s">
        <v>3946</v>
      </c>
      <c r="C2584" s="8" t="s">
        <v>21</v>
      </c>
      <c r="K2584" s="8">
        <v>400.0</v>
      </c>
      <c r="N2584" s="7">
        <v>44593.0</v>
      </c>
    </row>
    <row r="2585">
      <c r="A2585" s="8">
        <v>2584.0</v>
      </c>
      <c r="B2585" s="8" t="s">
        <v>3947</v>
      </c>
      <c r="C2585" s="8" t="s">
        <v>21</v>
      </c>
      <c r="K2585" s="8">
        <v>150.0</v>
      </c>
      <c r="N2585" s="7">
        <v>44125.0</v>
      </c>
    </row>
    <row r="2586">
      <c r="A2586" s="8">
        <v>2585.0</v>
      </c>
      <c r="B2586" s="8" t="s">
        <v>3948</v>
      </c>
      <c r="C2586" s="8" t="s">
        <v>21</v>
      </c>
      <c r="K2586" s="8">
        <v>600.0</v>
      </c>
      <c r="N2586" s="7">
        <v>45236.0</v>
      </c>
    </row>
    <row r="2587">
      <c r="A2587" s="8">
        <v>2586.0</v>
      </c>
      <c r="B2587" s="8" t="s">
        <v>3949</v>
      </c>
      <c r="C2587" s="8" t="s">
        <v>21</v>
      </c>
      <c r="N2587" s="7">
        <v>44307.0</v>
      </c>
    </row>
    <row r="2588">
      <c r="A2588" s="8">
        <v>2587.0</v>
      </c>
      <c r="B2588" s="8" t="s">
        <v>3950</v>
      </c>
      <c r="C2588" s="8" t="s">
        <v>21</v>
      </c>
      <c r="K2588" s="8">
        <v>3900.0</v>
      </c>
      <c r="N2588" s="7">
        <v>44140.0</v>
      </c>
    </row>
    <row r="2589">
      <c r="A2589" s="8">
        <v>2588.0</v>
      </c>
      <c r="B2589" s="8" t="s">
        <v>3951</v>
      </c>
      <c r="C2589" s="8" t="s">
        <v>21</v>
      </c>
      <c r="K2589" s="8">
        <v>10.0</v>
      </c>
      <c r="N2589" s="7">
        <v>45096.0</v>
      </c>
    </row>
    <row r="2590">
      <c r="A2590" s="8">
        <v>2589.0</v>
      </c>
      <c r="B2590" s="8" t="s">
        <v>3952</v>
      </c>
      <c r="C2590" s="8" t="s">
        <v>21</v>
      </c>
      <c r="K2590" s="8">
        <v>200.0</v>
      </c>
      <c r="N2590" s="7">
        <v>44968.0</v>
      </c>
    </row>
    <row r="2591">
      <c r="A2591" s="8">
        <v>2590.0</v>
      </c>
      <c r="B2591" s="8" t="s">
        <v>3953</v>
      </c>
      <c r="C2591" s="8" t="s">
        <v>21</v>
      </c>
      <c r="K2591" s="8">
        <v>30.0</v>
      </c>
      <c r="N2591" s="7">
        <v>44934.0</v>
      </c>
    </row>
    <row r="2592">
      <c r="A2592" s="8">
        <v>2591.0</v>
      </c>
      <c r="B2592" s="8" t="s">
        <v>3954</v>
      </c>
      <c r="C2592" s="8" t="s">
        <v>21</v>
      </c>
      <c r="K2592" s="8">
        <v>150.0</v>
      </c>
      <c r="N2592" s="7">
        <v>45001.0</v>
      </c>
    </row>
    <row r="2593">
      <c r="A2593" s="8">
        <v>2592.0</v>
      </c>
      <c r="B2593" s="8" t="s">
        <v>3955</v>
      </c>
      <c r="C2593" s="8" t="s">
        <v>21</v>
      </c>
      <c r="K2593" s="8">
        <v>7100.0</v>
      </c>
      <c r="N2593" s="7">
        <v>44436.0</v>
      </c>
    </row>
    <row r="2594">
      <c r="A2594" s="8">
        <v>2593.0</v>
      </c>
      <c r="B2594" s="8" t="s">
        <v>3956</v>
      </c>
      <c r="C2594" s="8" t="s">
        <v>21</v>
      </c>
      <c r="K2594" s="8">
        <v>250.0</v>
      </c>
      <c r="N2594" s="7">
        <v>45468.0</v>
      </c>
    </row>
    <row r="2595">
      <c r="A2595" s="8">
        <v>2594.0</v>
      </c>
      <c r="B2595" s="8" t="s">
        <v>3957</v>
      </c>
      <c r="C2595" s="8" t="s">
        <v>21</v>
      </c>
      <c r="K2595" s="8">
        <v>1000.0</v>
      </c>
      <c r="N2595" s="7">
        <v>44466.0</v>
      </c>
    </row>
    <row r="2596">
      <c r="A2596" s="8">
        <v>2595.0</v>
      </c>
      <c r="B2596" s="8" t="s">
        <v>3958</v>
      </c>
      <c r="C2596" s="8" t="s">
        <v>21</v>
      </c>
      <c r="K2596" s="8">
        <v>6500.0</v>
      </c>
      <c r="N2596" s="7">
        <v>44155.0</v>
      </c>
    </row>
    <row r="2597">
      <c r="A2597" s="8">
        <v>2596.0</v>
      </c>
      <c r="B2597" s="8" t="s">
        <v>3959</v>
      </c>
      <c r="C2597" s="8" t="s">
        <v>21</v>
      </c>
      <c r="K2597" s="8">
        <v>350.0</v>
      </c>
      <c r="N2597" s="7">
        <v>44838.0</v>
      </c>
    </row>
    <row r="2598">
      <c r="A2598" s="8">
        <v>2597.0</v>
      </c>
      <c r="B2598" s="8" t="s">
        <v>3960</v>
      </c>
      <c r="C2598" s="8" t="s">
        <v>21</v>
      </c>
      <c r="K2598" s="8">
        <v>1000.0</v>
      </c>
      <c r="N2598" s="7">
        <v>44018.0</v>
      </c>
    </row>
    <row r="2599">
      <c r="A2599" s="8">
        <v>2598.0</v>
      </c>
      <c r="B2599" s="8" t="s">
        <v>3961</v>
      </c>
      <c r="C2599" s="8" t="s">
        <v>21</v>
      </c>
      <c r="K2599" s="8">
        <v>2800.0</v>
      </c>
      <c r="N2599" s="7">
        <v>44309.0</v>
      </c>
    </row>
    <row r="2600">
      <c r="A2600" s="8">
        <v>2599.0</v>
      </c>
      <c r="B2600" s="8" t="s">
        <v>3962</v>
      </c>
      <c r="C2600" s="8" t="s">
        <v>21</v>
      </c>
      <c r="N2600" s="7">
        <v>45468.0</v>
      </c>
    </row>
    <row r="2601">
      <c r="A2601" s="8">
        <v>2600.0</v>
      </c>
      <c r="B2601" s="8" t="s">
        <v>3963</v>
      </c>
      <c r="C2601" s="8" t="s">
        <v>21</v>
      </c>
      <c r="K2601" s="8">
        <v>3000.0</v>
      </c>
      <c r="N2601" s="7">
        <v>44378.0</v>
      </c>
    </row>
    <row r="2602">
      <c r="A2602" s="8">
        <v>2601.0</v>
      </c>
      <c r="B2602" s="8" t="s">
        <v>3964</v>
      </c>
      <c r="C2602" s="8" t="s">
        <v>21</v>
      </c>
      <c r="K2602" s="8">
        <v>1200.0</v>
      </c>
      <c r="N2602" s="7">
        <v>45661.0</v>
      </c>
    </row>
    <row r="2603">
      <c r="A2603" s="8">
        <v>2602.0</v>
      </c>
      <c r="B2603" s="8" t="s">
        <v>3965</v>
      </c>
      <c r="C2603" s="8" t="s">
        <v>21</v>
      </c>
      <c r="N2603" s="7">
        <v>44983.0</v>
      </c>
    </row>
    <row r="2604">
      <c r="A2604" s="8">
        <v>2603.0</v>
      </c>
      <c r="B2604" s="8" t="s">
        <v>3966</v>
      </c>
      <c r="C2604" s="8" t="s">
        <v>21</v>
      </c>
      <c r="K2604" s="8">
        <v>10.0</v>
      </c>
      <c r="N2604" s="7">
        <v>44166.0</v>
      </c>
    </row>
    <row r="2605">
      <c r="A2605" s="8">
        <v>2604.0</v>
      </c>
      <c r="B2605" s="8" t="s">
        <v>3967</v>
      </c>
      <c r="C2605" s="8" t="s">
        <v>21</v>
      </c>
      <c r="N2605" s="7">
        <v>43872.0</v>
      </c>
    </row>
    <row r="2606">
      <c r="A2606" s="8">
        <v>2605.0</v>
      </c>
      <c r="B2606" s="8" t="s">
        <v>3968</v>
      </c>
      <c r="C2606" s="8" t="s">
        <v>21</v>
      </c>
      <c r="K2606" s="8">
        <v>350.0</v>
      </c>
      <c r="N2606" s="7">
        <v>44940.0</v>
      </c>
    </row>
    <row r="2607">
      <c r="A2607" s="8">
        <v>2606.0</v>
      </c>
      <c r="B2607" s="8" t="s">
        <v>3969</v>
      </c>
      <c r="C2607" s="8" t="s">
        <v>21</v>
      </c>
      <c r="K2607" s="8">
        <v>150.0</v>
      </c>
      <c r="N2607" s="7">
        <v>45376.0</v>
      </c>
    </row>
    <row r="2608">
      <c r="A2608" s="8">
        <v>2607.0</v>
      </c>
      <c r="B2608" s="8" t="s">
        <v>3970</v>
      </c>
      <c r="C2608" s="8" t="s">
        <v>21</v>
      </c>
      <c r="K2608" s="8">
        <v>150.0</v>
      </c>
      <c r="N2608" s="7">
        <v>44607.0</v>
      </c>
    </row>
    <row r="2609">
      <c r="A2609" s="8">
        <v>2608.0</v>
      </c>
      <c r="B2609" s="8" t="s">
        <v>3971</v>
      </c>
      <c r="C2609" s="8" t="s">
        <v>21</v>
      </c>
      <c r="K2609" s="8">
        <v>2100.0</v>
      </c>
      <c r="N2609" s="7">
        <v>44138.0</v>
      </c>
    </row>
    <row r="2610">
      <c r="A2610" s="8">
        <v>2609.0</v>
      </c>
      <c r="B2610" s="8" t="s">
        <v>3972</v>
      </c>
      <c r="C2610" s="8" t="s">
        <v>21</v>
      </c>
      <c r="K2610" s="8">
        <v>900.0</v>
      </c>
      <c r="N2610" s="7">
        <v>44461.0</v>
      </c>
    </row>
    <row r="2611">
      <c r="A2611" s="8">
        <v>2610.0</v>
      </c>
      <c r="B2611" s="8" t="s">
        <v>3973</v>
      </c>
      <c r="C2611" s="8" t="s">
        <v>21</v>
      </c>
      <c r="K2611" s="8">
        <v>10.0</v>
      </c>
      <c r="N2611" s="7">
        <v>44294.0</v>
      </c>
    </row>
    <row r="2612">
      <c r="A2612" s="8">
        <v>2611.0</v>
      </c>
      <c r="B2612" s="8" t="s">
        <v>3974</v>
      </c>
      <c r="C2612" s="8" t="s">
        <v>21</v>
      </c>
      <c r="K2612" s="8">
        <v>250.0</v>
      </c>
      <c r="N2612" s="7">
        <v>44200.0</v>
      </c>
    </row>
    <row r="2613">
      <c r="A2613" s="8">
        <v>2612.0</v>
      </c>
      <c r="B2613" s="8" t="s">
        <v>3975</v>
      </c>
      <c r="C2613" s="8" t="s">
        <v>21</v>
      </c>
      <c r="K2613" s="8">
        <v>200.0</v>
      </c>
      <c r="N2613" s="7">
        <v>44580.0</v>
      </c>
    </row>
    <row r="2614">
      <c r="A2614" s="8">
        <v>2613.0</v>
      </c>
      <c r="B2614" s="8" t="s">
        <v>3976</v>
      </c>
      <c r="C2614" s="8" t="s">
        <v>21</v>
      </c>
      <c r="K2614" s="8">
        <v>1300.0</v>
      </c>
      <c r="N2614" s="7">
        <v>44152.0</v>
      </c>
    </row>
    <row r="2615">
      <c r="A2615" s="8">
        <v>2614.0</v>
      </c>
      <c r="B2615" s="8" t="s">
        <v>3977</v>
      </c>
      <c r="C2615" s="8" t="s">
        <v>21</v>
      </c>
      <c r="K2615" s="8">
        <v>90.0</v>
      </c>
      <c r="N2615" s="7">
        <v>45823.0</v>
      </c>
    </row>
    <row r="2616">
      <c r="A2616" s="8">
        <v>2615.0</v>
      </c>
      <c r="B2616" s="8" t="s">
        <v>3978</v>
      </c>
      <c r="C2616" s="8" t="s">
        <v>21</v>
      </c>
      <c r="K2616" s="8">
        <v>5800.0</v>
      </c>
      <c r="N2616" s="7">
        <v>44545.0</v>
      </c>
    </row>
    <row r="2617">
      <c r="A2617" s="8">
        <v>2616.0</v>
      </c>
      <c r="B2617" s="8" t="s">
        <v>3979</v>
      </c>
      <c r="C2617" s="8" t="s">
        <v>21</v>
      </c>
      <c r="N2617" s="7">
        <v>42416.0</v>
      </c>
    </row>
    <row r="2618">
      <c r="A2618" s="8">
        <v>2617.0</v>
      </c>
      <c r="B2618" s="8" t="s">
        <v>3980</v>
      </c>
      <c r="C2618" s="8" t="s">
        <v>21</v>
      </c>
      <c r="N2618" s="7">
        <v>44280.0</v>
      </c>
    </row>
    <row r="2619">
      <c r="A2619" s="8">
        <v>2618.0</v>
      </c>
      <c r="B2619" s="8" t="s">
        <v>3981</v>
      </c>
      <c r="C2619" s="8" t="s">
        <v>21</v>
      </c>
      <c r="K2619" s="8">
        <v>150.0</v>
      </c>
      <c r="N2619" s="7">
        <v>44172.0</v>
      </c>
    </row>
    <row r="2620">
      <c r="A2620" s="8">
        <v>2619.0</v>
      </c>
      <c r="B2620" s="8" t="s">
        <v>3982</v>
      </c>
      <c r="C2620" s="8" t="s">
        <v>21</v>
      </c>
      <c r="K2620" s="8">
        <v>200.0</v>
      </c>
      <c r="N2620" s="7">
        <v>44706.0</v>
      </c>
    </row>
    <row r="2621">
      <c r="A2621" s="8">
        <v>2620.0</v>
      </c>
      <c r="B2621" s="8" t="s">
        <v>3983</v>
      </c>
      <c r="C2621" s="8" t="s">
        <v>21</v>
      </c>
      <c r="K2621" s="8">
        <v>800.0</v>
      </c>
      <c r="N2621" s="7">
        <v>44975.0</v>
      </c>
    </row>
    <row r="2622">
      <c r="A2622" s="8">
        <v>2621.0</v>
      </c>
      <c r="B2622" s="8" t="s">
        <v>3984</v>
      </c>
      <c r="C2622" s="8" t="s">
        <v>21</v>
      </c>
      <c r="K2622" s="8">
        <v>10.0</v>
      </c>
      <c r="N2622" s="7">
        <v>44771.0</v>
      </c>
    </row>
    <row r="2623">
      <c r="A2623" s="8">
        <v>2622.0</v>
      </c>
      <c r="B2623" s="8" t="s">
        <v>3985</v>
      </c>
      <c r="C2623" s="8" t="s">
        <v>21</v>
      </c>
      <c r="K2623" s="8">
        <v>900.0</v>
      </c>
      <c r="N2623" s="7">
        <v>44233.0</v>
      </c>
    </row>
    <row r="2624">
      <c r="A2624" s="8">
        <v>2623.0</v>
      </c>
      <c r="B2624" s="8" t="s">
        <v>3986</v>
      </c>
      <c r="C2624" s="8" t="s">
        <v>21</v>
      </c>
      <c r="K2624" s="8">
        <v>700.0</v>
      </c>
      <c r="N2624" s="7">
        <v>43986.0</v>
      </c>
    </row>
    <row r="2625">
      <c r="A2625" s="8">
        <v>2624.0</v>
      </c>
      <c r="B2625" s="8" t="s">
        <v>3987</v>
      </c>
      <c r="C2625" s="8" t="s">
        <v>21</v>
      </c>
      <c r="K2625" s="8">
        <v>30.0</v>
      </c>
      <c r="N2625" s="7">
        <v>44371.0</v>
      </c>
    </row>
    <row r="2626">
      <c r="A2626" s="8">
        <v>2625.0</v>
      </c>
      <c r="B2626" s="8" t="s">
        <v>3988</v>
      </c>
      <c r="C2626" s="8" t="s">
        <v>21</v>
      </c>
      <c r="N2626" s="7">
        <v>42301.0</v>
      </c>
      <c r="O2626" s="8" t="s">
        <v>26</v>
      </c>
      <c r="P2626" s="8" t="s">
        <v>28</v>
      </c>
      <c r="S2626" s="8" t="s">
        <v>32</v>
      </c>
    </row>
    <row r="2627">
      <c r="A2627" s="8">
        <v>2626.0</v>
      </c>
      <c r="B2627" s="8" t="s">
        <v>3989</v>
      </c>
      <c r="C2627" s="8" t="s">
        <v>21</v>
      </c>
      <c r="K2627" s="8">
        <v>30.0</v>
      </c>
      <c r="N2627" s="7">
        <v>45015.0</v>
      </c>
    </row>
    <row r="2628">
      <c r="A2628" s="8">
        <v>2627.0</v>
      </c>
      <c r="B2628" s="8" t="s">
        <v>3990</v>
      </c>
      <c r="C2628" s="8" t="s">
        <v>21</v>
      </c>
      <c r="K2628" s="8">
        <v>40.0</v>
      </c>
      <c r="N2628" s="7">
        <v>44768.0</v>
      </c>
    </row>
    <row r="2629">
      <c r="A2629" s="8">
        <v>2628.0</v>
      </c>
      <c r="B2629" s="8" t="s">
        <v>3991</v>
      </c>
      <c r="C2629" s="8" t="s">
        <v>21</v>
      </c>
      <c r="K2629" s="8">
        <v>30.0</v>
      </c>
      <c r="N2629" s="7">
        <v>44683.0</v>
      </c>
    </row>
    <row r="2630">
      <c r="A2630" s="8">
        <v>2629.0</v>
      </c>
      <c r="B2630" s="8" t="s">
        <v>3992</v>
      </c>
      <c r="C2630" s="8" t="s">
        <v>21</v>
      </c>
      <c r="K2630" s="8">
        <v>3800.0</v>
      </c>
      <c r="N2630" s="7">
        <v>45855.0</v>
      </c>
    </row>
    <row r="2631">
      <c r="A2631" s="8">
        <v>2630.0</v>
      </c>
      <c r="B2631" s="8" t="s">
        <v>3993</v>
      </c>
      <c r="C2631" s="8" t="s">
        <v>21</v>
      </c>
      <c r="K2631" s="8">
        <v>800.0</v>
      </c>
      <c r="N2631" s="7">
        <v>43881.0</v>
      </c>
    </row>
    <row r="2632">
      <c r="A2632" s="8">
        <v>2631.0</v>
      </c>
      <c r="B2632" s="8" t="s">
        <v>3994</v>
      </c>
      <c r="C2632" s="8" t="s">
        <v>21</v>
      </c>
      <c r="N2632" s="7">
        <v>42835.0</v>
      </c>
      <c r="O2632" s="8" t="s">
        <v>31</v>
      </c>
      <c r="P2632" s="8" t="s">
        <v>28</v>
      </c>
      <c r="S2632" s="8" t="s">
        <v>32</v>
      </c>
    </row>
    <row r="2633">
      <c r="A2633" s="8">
        <v>2632.0</v>
      </c>
      <c r="B2633" s="8" t="s">
        <v>217</v>
      </c>
      <c r="C2633" s="8" t="s">
        <v>21</v>
      </c>
      <c r="K2633" s="8">
        <v>150.0</v>
      </c>
      <c r="N2633" s="7">
        <v>44500.0</v>
      </c>
    </row>
    <row r="2634">
      <c r="A2634" s="8">
        <v>2633.0</v>
      </c>
      <c r="B2634" s="8" t="s">
        <v>3995</v>
      </c>
      <c r="C2634" s="8" t="s">
        <v>21</v>
      </c>
      <c r="K2634" s="8">
        <v>1700.0</v>
      </c>
      <c r="N2634" s="7">
        <v>45049.0</v>
      </c>
    </row>
    <row r="2635">
      <c r="A2635" s="8">
        <v>2634.0</v>
      </c>
      <c r="B2635" s="8" t="s">
        <v>219</v>
      </c>
      <c r="C2635" s="8" t="s">
        <v>21</v>
      </c>
      <c r="K2635" s="8">
        <v>90.0</v>
      </c>
      <c r="N2635" s="7">
        <v>44574.0</v>
      </c>
    </row>
    <row r="2636">
      <c r="A2636" s="8">
        <v>2635.0</v>
      </c>
      <c r="B2636" s="8" t="s">
        <v>3996</v>
      </c>
      <c r="C2636" s="8" t="s">
        <v>21</v>
      </c>
      <c r="K2636" s="8">
        <v>60.0</v>
      </c>
      <c r="N2636" s="7">
        <v>44573.0</v>
      </c>
    </row>
    <row r="2637">
      <c r="A2637" s="8">
        <v>2636.0</v>
      </c>
      <c r="B2637" s="8" t="s">
        <v>3997</v>
      </c>
      <c r="C2637" s="8" t="s">
        <v>21</v>
      </c>
      <c r="K2637" s="8">
        <v>200.0</v>
      </c>
      <c r="N2637" s="7">
        <v>44557.0</v>
      </c>
    </row>
    <row r="2638">
      <c r="A2638" s="8">
        <v>2637.0</v>
      </c>
      <c r="B2638" s="8" t="s">
        <v>3998</v>
      </c>
      <c r="C2638" s="8" t="s">
        <v>21</v>
      </c>
      <c r="K2638" s="8">
        <v>400.0</v>
      </c>
      <c r="N2638" s="7">
        <v>44611.0</v>
      </c>
    </row>
    <row r="2639">
      <c r="A2639" s="8">
        <v>2638.0</v>
      </c>
      <c r="B2639" s="8" t="s">
        <v>3999</v>
      </c>
      <c r="C2639" s="8" t="s">
        <v>21</v>
      </c>
      <c r="K2639" s="8">
        <v>70.0</v>
      </c>
      <c r="N2639" s="7">
        <v>45448.0</v>
      </c>
    </row>
    <row r="2640">
      <c r="A2640" s="8">
        <v>2639.0</v>
      </c>
      <c r="B2640" s="8" t="s">
        <v>4000</v>
      </c>
      <c r="C2640" s="8" t="s">
        <v>21</v>
      </c>
      <c r="K2640" s="8">
        <v>1600.0</v>
      </c>
      <c r="N2640" s="7">
        <v>44113.0</v>
      </c>
    </row>
    <row r="2641">
      <c r="A2641" s="8">
        <v>2640.0</v>
      </c>
      <c r="B2641" s="8" t="s">
        <v>4001</v>
      </c>
      <c r="C2641" s="8" t="s">
        <v>21</v>
      </c>
      <c r="K2641" s="8">
        <v>11000.0</v>
      </c>
      <c r="N2641" s="7">
        <v>44167.0</v>
      </c>
    </row>
    <row r="2642">
      <c r="A2642" s="8">
        <v>2641.0</v>
      </c>
      <c r="B2642" s="8" t="s">
        <v>4002</v>
      </c>
      <c r="C2642" s="8" t="s">
        <v>21</v>
      </c>
      <c r="K2642" s="8">
        <v>150.0</v>
      </c>
      <c r="N2642" s="7">
        <v>44532.0</v>
      </c>
    </row>
    <row r="2643">
      <c r="A2643" s="8">
        <v>2642.0</v>
      </c>
      <c r="B2643" s="8" t="s">
        <v>4003</v>
      </c>
      <c r="C2643" s="8" t="s">
        <v>21</v>
      </c>
      <c r="K2643" s="8">
        <v>900.0</v>
      </c>
      <c r="N2643" s="7">
        <v>44880.0</v>
      </c>
    </row>
    <row r="2644">
      <c r="A2644" s="8">
        <v>2643.0</v>
      </c>
      <c r="B2644" s="8" t="s">
        <v>4004</v>
      </c>
      <c r="C2644" s="8" t="s">
        <v>21</v>
      </c>
      <c r="K2644" s="8">
        <v>250.0</v>
      </c>
      <c r="N2644" s="7">
        <v>44534.0</v>
      </c>
    </row>
    <row r="2645">
      <c r="A2645" s="8">
        <v>2644.0</v>
      </c>
      <c r="B2645" s="8" t="s">
        <v>4005</v>
      </c>
      <c r="C2645" s="8" t="s">
        <v>21</v>
      </c>
      <c r="K2645" s="8">
        <v>100.0</v>
      </c>
      <c r="N2645" s="7">
        <v>44528.0</v>
      </c>
    </row>
    <row r="2646">
      <c r="A2646" s="8">
        <v>2645.0</v>
      </c>
      <c r="B2646" s="8" t="s">
        <v>4006</v>
      </c>
      <c r="C2646" s="8" t="s">
        <v>21</v>
      </c>
      <c r="K2646" s="8">
        <v>60.0</v>
      </c>
      <c r="N2646" s="7">
        <v>44771.0</v>
      </c>
    </row>
    <row r="2647">
      <c r="A2647" s="8">
        <v>2646.0</v>
      </c>
      <c r="B2647" s="8" t="s">
        <v>4007</v>
      </c>
      <c r="C2647" s="8" t="s">
        <v>21</v>
      </c>
      <c r="K2647" s="8">
        <v>20.0</v>
      </c>
      <c r="N2647" s="7">
        <v>44628.0</v>
      </c>
    </row>
    <row r="2648">
      <c r="A2648" s="8">
        <v>2647.0</v>
      </c>
      <c r="B2648" s="8" t="s">
        <v>4008</v>
      </c>
      <c r="C2648" s="8" t="s">
        <v>21</v>
      </c>
      <c r="K2648" s="8">
        <v>30.0</v>
      </c>
      <c r="N2648" s="7">
        <v>45876.0</v>
      </c>
    </row>
    <row r="2649">
      <c r="A2649" s="8">
        <v>2648.0</v>
      </c>
      <c r="B2649" s="8" t="s">
        <v>4009</v>
      </c>
      <c r="C2649" s="8" t="s">
        <v>21</v>
      </c>
      <c r="K2649" s="8">
        <v>500.0</v>
      </c>
      <c r="N2649" s="7">
        <v>45395.0</v>
      </c>
    </row>
    <row r="2650">
      <c r="A2650" s="8">
        <v>2649.0</v>
      </c>
      <c r="B2650" s="8" t="s">
        <v>4010</v>
      </c>
      <c r="C2650" s="8" t="s">
        <v>21</v>
      </c>
      <c r="K2650" s="8">
        <v>200.0</v>
      </c>
      <c r="N2650" s="7">
        <v>44536.0</v>
      </c>
    </row>
    <row r="2651">
      <c r="A2651" s="8">
        <v>2650.0</v>
      </c>
      <c r="B2651" s="8" t="s">
        <v>4011</v>
      </c>
      <c r="C2651" s="8" t="s">
        <v>21</v>
      </c>
      <c r="K2651" s="8">
        <v>150.0</v>
      </c>
      <c r="N2651" s="7">
        <v>44521.0</v>
      </c>
    </row>
    <row r="2652">
      <c r="A2652" s="8">
        <v>2651.0</v>
      </c>
      <c r="B2652" s="8" t="s">
        <v>4012</v>
      </c>
      <c r="C2652" s="8" t="s">
        <v>21</v>
      </c>
      <c r="D2652" s="8">
        <v>75.0</v>
      </c>
      <c r="H2652" s="8" t="s">
        <v>406</v>
      </c>
      <c r="I2652" s="9">
        <v>46098.4328125</v>
      </c>
      <c r="J2652" s="8" t="s">
        <v>96</v>
      </c>
      <c r="K2652" s="8">
        <v>7500.0</v>
      </c>
      <c r="L2652" s="8">
        <v>50.0</v>
      </c>
      <c r="M2652" s="8">
        <v>135000.0</v>
      </c>
      <c r="N2652" s="7">
        <v>42867.0</v>
      </c>
      <c r="O2652" s="8" t="s">
        <v>107</v>
      </c>
      <c r="P2652" s="8" t="s">
        <v>28</v>
      </c>
      <c r="S2652" s="8" t="s">
        <v>32</v>
      </c>
    </row>
    <row r="2653">
      <c r="A2653" s="8">
        <v>2652.0</v>
      </c>
      <c r="B2653" s="8" t="s">
        <v>4013</v>
      </c>
      <c r="C2653" s="8" t="s">
        <v>21</v>
      </c>
      <c r="K2653" s="8">
        <v>20.0</v>
      </c>
      <c r="N2653" s="7">
        <v>44423.0</v>
      </c>
    </row>
    <row r="2654">
      <c r="A2654" s="8">
        <v>2653.0</v>
      </c>
      <c r="B2654" s="8" t="s">
        <v>4014</v>
      </c>
      <c r="C2654" s="8" t="s">
        <v>21</v>
      </c>
      <c r="K2654" s="8">
        <v>200.0</v>
      </c>
      <c r="N2654" s="7">
        <v>42379.0</v>
      </c>
    </row>
    <row r="2655">
      <c r="A2655" s="8">
        <v>2654.0</v>
      </c>
      <c r="B2655" s="8" t="s">
        <v>4015</v>
      </c>
      <c r="C2655" s="8" t="s">
        <v>21</v>
      </c>
      <c r="K2655" s="8">
        <v>50.0</v>
      </c>
      <c r="N2655" s="7">
        <v>45873.0</v>
      </c>
    </row>
    <row r="2656">
      <c r="A2656" s="8">
        <v>2655.0</v>
      </c>
      <c r="B2656" s="8" t="s">
        <v>4016</v>
      </c>
      <c r="C2656" s="8" t="s">
        <v>21</v>
      </c>
      <c r="K2656" s="8">
        <v>4700.0</v>
      </c>
      <c r="N2656" s="7">
        <v>44209.0</v>
      </c>
    </row>
    <row r="2657">
      <c r="A2657" s="8">
        <v>2656.0</v>
      </c>
      <c r="B2657" s="8" t="s">
        <v>4017</v>
      </c>
      <c r="C2657" s="8" t="s">
        <v>21</v>
      </c>
      <c r="K2657" s="8">
        <v>100.0</v>
      </c>
      <c r="N2657" s="7">
        <v>44137.0</v>
      </c>
    </row>
    <row r="2658">
      <c r="A2658" s="8">
        <v>2657.0</v>
      </c>
      <c r="B2658" s="8" t="s">
        <v>4018</v>
      </c>
      <c r="C2658" s="8" t="s">
        <v>21</v>
      </c>
      <c r="K2658" s="8">
        <v>300.0</v>
      </c>
      <c r="N2658" s="7">
        <v>44744.0</v>
      </c>
    </row>
    <row r="2659">
      <c r="A2659" s="8">
        <v>2658.0</v>
      </c>
      <c r="B2659" s="8" t="s">
        <v>4019</v>
      </c>
      <c r="C2659" s="8" t="s">
        <v>21</v>
      </c>
      <c r="K2659" s="8">
        <v>10.0</v>
      </c>
      <c r="N2659" s="7">
        <v>44442.0</v>
      </c>
    </row>
    <row r="2660">
      <c r="A2660" s="8">
        <v>2659.0</v>
      </c>
      <c r="B2660" s="8" t="s">
        <v>4020</v>
      </c>
      <c r="C2660" s="8" t="s">
        <v>21</v>
      </c>
      <c r="K2660" s="8">
        <v>1400.0</v>
      </c>
      <c r="N2660" s="7">
        <v>44817.0</v>
      </c>
    </row>
    <row r="2661">
      <c r="A2661" s="8">
        <v>2660.0</v>
      </c>
      <c r="B2661" s="8" t="s">
        <v>4021</v>
      </c>
      <c r="C2661" s="8" t="s">
        <v>21</v>
      </c>
      <c r="K2661" s="8">
        <v>1500.0</v>
      </c>
      <c r="N2661" s="7">
        <v>45104.0</v>
      </c>
    </row>
    <row r="2662">
      <c r="A2662" s="8">
        <v>2661.0</v>
      </c>
      <c r="B2662" s="8" t="s">
        <v>4022</v>
      </c>
      <c r="C2662" s="8" t="s">
        <v>21</v>
      </c>
      <c r="K2662" s="8">
        <v>900.0</v>
      </c>
      <c r="N2662" s="7">
        <v>43892.0</v>
      </c>
    </row>
    <row r="2663">
      <c r="A2663" s="8">
        <v>2662.0</v>
      </c>
      <c r="B2663" s="8" t="s">
        <v>4023</v>
      </c>
      <c r="C2663" s="8" t="s">
        <v>21</v>
      </c>
      <c r="K2663" s="8">
        <v>350.0</v>
      </c>
      <c r="N2663" s="7">
        <v>43894.0</v>
      </c>
    </row>
    <row r="2664">
      <c r="A2664" s="8">
        <v>2663.0</v>
      </c>
      <c r="B2664" s="8" t="s">
        <v>4024</v>
      </c>
      <c r="C2664" s="8" t="s">
        <v>21</v>
      </c>
      <c r="K2664" s="8">
        <v>300.0</v>
      </c>
      <c r="N2664" s="7">
        <v>44685.0</v>
      </c>
    </row>
    <row r="2665">
      <c r="A2665" s="8">
        <v>2664.0</v>
      </c>
      <c r="B2665" s="8" t="s">
        <v>4025</v>
      </c>
      <c r="C2665" s="8" t="s">
        <v>21</v>
      </c>
      <c r="K2665" s="8">
        <v>150.0</v>
      </c>
      <c r="N2665" s="7">
        <v>44531.0</v>
      </c>
    </row>
    <row r="2666">
      <c r="A2666" s="8">
        <v>2665.0</v>
      </c>
      <c r="B2666" s="8" t="s">
        <v>4026</v>
      </c>
      <c r="C2666" s="8" t="s">
        <v>21</v>
      </c>
      <c r="N2666" s="7">
        <v>44944.0</v>
      </c>
    </row>
    <row r="2667">
      <c r="A2667" s="8">
        <v>2666.0</v>
      </c>
      <c r="B2667" s="8" t="s">
        <v>4027</v>
      </c>
      <c r="C2667" s="8" t="s">
        <v>21</v>
      </c>
      <c r="K2667" s="8">
        <v>10.0</v>
      </c>
      <c r="N2667" s="7">
        <v>44358.0</v>
      </c>
    </row>
    <row r="2668">
      <c r="A2668" s="8">
        <v>2667.0</v>
      </c>
      <c r="B2668" s="8" t="s">
        <v>4028</v>
      </c>
      <c r="C2668" s="8" t="s">
        <v>21</v>
      </c>
      <c r="K2668" s="8">
        <v>11000.0</v>
      </c>
      <c r="N2668" s="7">
        <v>45480.0</v>
      </c>
    </row>
    <row r="2669">
      <c r="A2669" s="8">
        <v>2668.0</v>
      </c>
      <c r="B2669" s="8" t="s">
        <v>4029</v>
      </c>
      <c r="C2669" s="8" t="s">
        <v>21</v>
      </c>
      <c r="N2669" s="7">
        <v>44503.0</v>
      </c>
    </row>
    <row r="2670">
      <c r="A2670" s="8">
        <v>2669.0</v>
      </c>
      <c r="B2670" s="8" t="s">
        <v>4030</v>
      </c>
      <c r="C2670" s="8" t="s">
        <v>21</v>
      </c>
      <c r="K2670" s="8">
        <v>35000.0</v>
      </c>
      <c r="N2670" s="7">
        <v>44731.0</v>
      </c>
    </row>
    <row r="2671">
      <c r="A2671" s="8">
        <v>2670.0</v>
      </c>
      <c r="B2671" s="8" t="s">
        <v>4031</v>
      </c>
      <c r="C2671" s="8" t="s">
        <v>21</v>
      </c>
      <c r="K2671" s="8">
        <v>20.0</v>
      </c>
      <c r="N2671" s="7">
        <v>43948.0</v>
      </c>
    </row>
    <row r="2672">
      <c r="A2672" s="8">
        <v>2671.0</v>
      </c>
      <c r="B2672" s="8" t="s">
        <v>4032</v>
      </c>
      <c r="C2672" s="8" t="s">
        <v>21</v>
      </c>
      <c r="K2672" s="8">
        <v>450.0</v>
      </c>
      <c r="N2672" s="7">
        <v>44132.0</v>
      </c>
    </row>
    <row r="2673">
      <c r="A2673" s="8">
        <v>2672.0</v>
      </c>
      <c r="B2673" s="8" t="s">
        <v>4033</v>
      </c>
      <c r="C2673" s="8" t="s">
        <v>21</v>
      </c>
      <c r="K2673" s="8">
        <v>200.0</v>
      </c>
      <c r="N2673" s="7">
        <v>42777.0</v>
      </c>
    </row>
    <row r="2674">
      <c r="A2674" s="8">
        <v>2673.0</v>
      </c>
      <c r="B2674" s="8" t="s">
        <v>4034</v>
      </c>
      <c r="C2674" s="8" t="s">
        <v>21</v>
      </c>
      <c r="K2674" s="8">
        <v>250.0</v>
      </c>
      <c r="N2674" s="7">
        <v>45323.0</v>
      </c>
    </row>
    <row r="2675">
      <c r="A2675" s="8">
        <v>2674.0</v>
      </c>
      <c r="B2675" s="8" t="s">
        <v>4035</v>
      </c>
      <c r="C2675" s="8" t="s">
        <v>21</v>
      </c>
      <c r="N2675" s="7">
        <v>43871.0</v>
      </c>
    </row>
    <row r="2676">
      <c r="A2676" s="8">
        <v>2675.0</v>
      </c>
      <c r="B2676" s="8" t="s">
        <v>4036</v>
      </c>
      <c r="C2676" s="8" t="s">
        <v>21</v>
      </c>
      <c r="K2676" s="8">
        <v>150.0</v>
      </c>
      <c r="N2676" s="7">
        <v>44340.0</v>
      </c>
    </row>
    <row r="2677">
      <c r="A2677" s="8">
        <v>2676.0</v>
      </c>
      <c r="B2677" s="8" t="s">
        <v>4037</v>
      </c>
      <c r="C2677" s="8" t="s">
        <v>21</v>
      </c>
      <c r="K2677" s="8">
        <v>100.0</v>
      </c>
      <c r="N2677" s="7">
        <v>45738.0</v>
      </c>
    </row>
    <row r="2678">
      <c r="A2678" s="8">
        <v>2677.0</v>
      </c>
      <c r="B2678" s="8" t="s">
        <v>4038</v>
      </c>
      <c r="C2678" s="8" t="s">
        <v>21</v>
      </c>
      <c r="N2678" s="7">
        <v>44633.0</v>
      </c>
    </row>
    <row r="2679">
      <c r="A2679" s="8">
        <v>2678.0</v>
      </c>
      <c r="B2679" s="8" t="s">
        <v>4039</v>
      </c>
      <c r="C2679" s="8" t="s">
        <v>21</v>
      </c>
      <c r="K2679" s="8">
        <v>70.0</v>
      </c>
      <c r="N2679" s="7">
        <v>43882.0</v>
      </c>
    </row>
    <row r="2680">
      <c r="A2680" s="8">
        <v>2679.0</v>
      </c>
      <c r="B2680" s="8" t="s">
        <v>4040</v>
      </c>
      <c r="C2680" s="8" t="s">
        <v>21</v>
      </c>
      <c r="K2680" s="8">
        <v>900.0</v>
      </c>
      <c r="N2680" s="7">
        <v>44493.0</v>
      </c>
    </row>
    <row r="2681">
      <c r="A2681" s="8">
        <v>2680.0</v>
      </c>
      <c r="B2681" s="8" t="s">
        <v>4041</v>
      </c>
      <c r="C2681" s="8" t="s">
        <v>21</v>
      </c>
      <c r="K2681" s="8">
        <v>1200.0</v>
      </c>
      <c r="N2681" s="7">
        <v>45714.0</v>
      </c>
    </row>
    <row r="2682">
      <c r="A2682" s="8">
        <v>2681.0</v>
      </c>
      <c r="B2682" s="8" t="s">
        <v>4042</v>
      </c>
      <c r="C2682" s="8" t="s">
        <v>21</v>
      </c>
      <c r="K2682" s="8">
        <v>90.0</v>
      </c>
      <c r="N2682" s="7">
        <v>44545.0</v>
      </c>
    </row>
    <row r="2683">
      <c r="A2683" s="8">
        <v>2682.0</v>
      </c>
      <c r="B2683" s="8" t="s">
        <v>4043</v>
      </c>
      <c r="C2683" s="8" t="s">
        <v>21</v>
      </c>
      <c r="N2683" s="7">
        <v>44652.0</v>
      </c>
    </row>
    <row r="2684">
      <c r="A2684" s="8">
        <v>2683.0</v>
      </c>
      <c r="B2684" s="8" t="s">
        <v>4044</v>
      </c>
      <c r="C2684" s="8" t="s">
        <v>21</v>
      </c>
      <c r="K2684" s="8">
        <v>100.0</v>
      </c>
      <c r="N2684" s="7">
        <v>44566.0</v>
      </c>
    </row>
    <row r="2685">
      <c r="A2685" s="8">
        <v>2684.0</v>
      </c>
      <c r="B2685" s="8" t="s">
        <v>4045</v>
      </c>
      <c r="C2685" s="8" t="s">
        <v>21</v>
      </c>
      <c r="K2685" s="8">
        <v>2200.0</v>
      </c>
      <c r="N2685" s="7">
        <v>44579.0</v>
      </c>
    </row>
    <row r="2686">
      <c r="A2686" s="8">
        <v>2685.0</v>
      </c>
      <c r="B2686" s="8" t="s">
        <v>4046</v>
      </c>
      <c r="C2686" s="8" t="s">
        <v>21</v>
      </c>
      <c r="K2686" s="8">
        <v>10.0</v>
      </c>
      <c r="N2686" s="7">
        <v>44579.0</v>
      </c>
    </row>
    <row r="2687">
      <c r="A2687" s="8">
        <v>2686.0</v>
      </c>
      <c r="B2687" s="8" t="s">
        <v>4047</v>
      </c>
      <c r="C2687" s="8" t="s">
        <v>21</v>
      </c>
      <c r="K2687" s="8">
        <v>70.0</v>
      </c>
      <c r="N2687" s="7">
        <v>43505.0</v>
      </c>
      <c r="O2687" s="8" t="s">
        <v>107</v>
      </c>
      <c r="P2687" s="8" t="s">
        <v>28</v>
      </c>
      <c r="S2687" s="8" t="s">
        <v>32</v>
      </c>
    </row>
    <row r="2688">
      <c r="A2688" s="8">
        <v>2687.0</v>
      </c>
      <c r="B2688" s="8" t="s">
        <v>4048</v>
      </c>
      <c r="C2688" s="8" t="s">
        <v>21</v>
      </c>
      <c r="N2688" s="7">
        <v>44395.0</v>
      </c>
    </row>
    <row r="2689">
      <c r="A2689" s="8">
        <v>2688.0</v>
      </c>
      <c r="B2689" s="8" t="s">
        <v>4049</v>
      </c>
      <c r="C2689" s="8" t="s">
        <v>21</v>
      </c>
      <c r="N2689" s="7">
        <v>43987.0</v>
      </c>
    </row>
    <row r="2690">
      <c r="A2690" s="8">
        <v>2689.0</v>
      </c>
      <c r="B2690" s="8" t="s">
        <v>4050</v>
      </c>
      <c r="C2690" s="8" t="s">
        <v>21</v>
      </c>
      <c r="K2690" s="8">
        <v>100.0</v>
      </c>
      <c r="N2690" s="7">
        <v>44020.0</v>
      </c>
    </row>
    <row r="2691">
      <c r="A2691" s="8">
        <v>2690.0</v>
      </c>
      <c r="B2691" s="8" t="s">
        <v>4051</v>
      </c>
      <c r="C2691" s="8" t="s">
        <v>21</v>
      </c>
      <c r="N2691" s="7">
        <v>43871.0</v>
      </c>
    </row>
    <row r="2692">
      <c r="A2692" s="8">
        <v>2691.0</v>
      </c>
      <c r="B2692" s="8" t="s">
        <v>4052</v>
      </c>
      <c r="C2692" s="8" t="s">
        <v>21</v>
      </c>
      <c r="K2692" s="8">
        <v>13000.0</v>
      </c>
      <c r="N2692" s="7">
        <v>43122.0</v>
      </c>
    </row>
    <row r="2693">
      <c r="A2693" s="8">
        <v>2692.0</v>
      </c>
      <c r="B2693" s="8" t="s">
        <v>4053</v>
      </c>
      <c r="C2693" s="8" t="s">
        <v>21</v>
      </c>
      <c r="K2693" s="8">
        <v>100.0</v>
      </c>
      <c r="N2693" s="7">
        <v>45033.0</v>
      </c>
    </row>
    <row r="2694">
      <c r="A2694" s="8">
        <v>2693.0</v>
      </c>
      <c r="B2694" s="8" t="s">
        <v>4054</v>
      </c>
      <c r="C2694" s="8" t="s">
        <v>21</v>
      </c>
      <c r="K2694" s="8">
        <v>10.0</v>
      </c>
      <c r="N2694" s="7">
        <v>45141.0</v>
      </c>
    </row>
    <row r="2695">
      <c r="A2695" s="8">
        <v>2694.0</v>
      </c>
      <c r="B2695" s="8" t="s">
        <v>4055</v>
      </c>
      <c r="C2695" s="8" t="s">
        <v>21</v>
      </c>
      <c r="K2695" s="8">
        <v>400.0</v>
      </c>
      <c r="N2695" s="7">
        <v>43907.0</v>
      </c>
    </row>
    <row r="2696">
      <c r="A2696" s="8">
        <v>2695.0</v>
      </c>
      <c r="B2696" s="8" t="s">
        <v>4056</v>
      </c>
      <c r="C2696" s="8" t="s">
        <v>21</v>
      </c>
      <c r="K2696" s="8">
        <v>10.0</v>
      </c>
      <c r="N2696" s="7">
        <v>44481.0</v>
      </c>
    </row>
    <row r="2697">
      <c r="A2697" s="8">
        <v>2696.0</v>
      </c>
      <c r="B2697" s="8" t="s">
        <v>4057</v>
      </c>
      <c r="C2697" s="8" t="s">
        <v>21</v>
      </c>
      <c r="K2697" s="8">
        <v>350.0</v>
      </c>
      <c r="N2697" s="7">
        <v>44547.0</v>
      </c>
    </row>
    <row r="2698">
      <c r="A2698" s="8">
        <v>2697.0</v>
      </c>
      <c r="B2698" s="8" t="s">
        <v>4058</v>
      </c>
      <c r="C2698" s="8" t="s">
        <v>21</v>
      </c>
      <c r="K2698" s="8">
        <v>450.0</v>
      </c>
      <c r="N2698" s="7">
        <v>43136.0</v>
      </c>
    </row>
    <row r="2699">
      <c r="A2699" s="8">
        <v>2698.0</v>
      </c>
      <c r="B2699" s="8" t="s">
        <v>4059</v>
      </c>
      <c r="C2699" s="8" t="s">
        <v>21</v>
      </c>
      <c r="K2699" s="8">
        <v>100.0</v>
      </c>
      <c r="N2699" s="7">
        <v>45105.0</v>
      </c>
    </row>
    <row r="2700">
      <c r="A2700" s="8">
        <v>2699.0</v>
      </c>
      <c r="B2700" s="8" t="s">
        <v>4060</v>
      </c>
      <c r="C2700" s="8" t="s">
        <v>21</v>
      </c>
      <c r="N2700" s="7">
        <v>44946.0</v>
      </c>
    </row>
    <row r="2701">
      <c r="A2701" s="8">
        <v>2700.0</v>
      </c>
      <c r="B2701" s="8" t="s">
        <v>4061</v>
      </c>
      <c r="C2701" s="8" t="s">
        <v>21</v>
      </c>
      <c r="N2701" s="7">
        <v>45748.0</v>
      </c>
    </row>
    <row r="2702">
      <c r="A2702" s="8">
        <v>2701.0</v>
      </c>
      <c r="B2702" s="8" t="s">
        <v>4062</v>
      </c>
      <c r="C2702" s="8" t="s">
        <v>21</v>
      </c>
      <c r="K2702" s="8">
        <v>20.0</v>
      </c>
      <c r="N2702" s="7">
        <v>44562.0</v>
      </c>
    </row>
    <row r="2703">
      <c r="A2703" s="8">
        <v>2702.0</v>
      </c>
      <c r="B2703" s="8" t="s">
        <v>4063</v>
      </c>
      <c r="C2703" s="8" t="s">
        <v>21</v>
      </c>
      <c r="K2703" s="8">
        <v>10.0</v>
      </c>
      <c r="N2703" s="7">
        <v>44400.0</v>
      </c>
    </row>
    <row r="2704">
      <c r="A2704" s="8">
        <v>2703.0</v>
      </c>
      <c r="B2704" s="8" t="s">
        <v>4064</v>
      </c>
      <c r="C2704" s="8" t="s">
        <v>21</v>
      </c>
      <c r="K2704" s="8">
        <v>250.0</v>
      </c>
      <c r="N2704" s="7">
        <v>45171.0</v>
      </c>
    </row>
    <row r="2705">
      <c r="A2705" s="8">
        <v>2704.0</v>
      </c>
      <c r="B2705" s="8" t="s">
        <v>4065</v>
      </c>
      <c r="C2705" s="8" t="s">
        <v>21</v>
      </c>
      <c r="K2705" s="8">
        <v>40.0</v>
      </c>
      <c r="N2705" s="7">
        <v>44224.0</v>
      </c>
    </row>
    <row r="2706">
      <c r="A2706" s="8">
        <v>2705.0</v>
      </c>
      <c r="B2706" s="8" t="s">
        <v>4066</v>
      </c>
      <c r="C2706" s="8" t="s">
        <v>21</v>
      </c>
      <c r="K2706" s="8">
        <v>30.0</v>
      </c>
      <c r="N2706" s="7">
        <v>43877.0</v>
      </c>
    </row>
    <row r="2707">
      <c r="A2707" s="8">
        <v>2706.0</v>
      </c>
      <c r="B2707" s="8" t="s">
        <v>4067</v>
      </c>
      <c r="C2707" s="8" t="s">
        <v>21</v>
      </c>
      <c r="K2707" s="8">
        <v>250.0</v>
      </c>
      <c r="N2707" s="7">
        <v>45168.0</v>
      </c>
    </row>
    <row r="2708">
      <c r="A2708" s="8">
        <v>2707.0</v>
      </c>
      <c r="B2708" s="8" t="s">
        <v>4068</v>
      </c>
      <c r="C2708" s="8" t="s">
        <v>21</v>
      </c>
      <c r="K2708" s="8">
        <v>1300.0</v>
      </c>
      <c r="N2708" s="7">
        <v>44019.0</v>
      </c>
    </row>
    <row r="2709">
      <c r="A2709" s="8">
        <v>2708.0</v>
      </c>
      <c r="B2709" s="8" t="s">
        <v>4069</v>
      </c>
      <c r="C2709" s="8" t="s">
        <v>21</v>
      </c>
      <c r="N2709" s="7">
        <v>44810.0</v>
      </c>
      <c r="O2709" s="8" t="s">
        <v>26</v>
      </c>
      <c r="P2709" s="8" t="s">
        <v>28</v>
      </c>
      <c r="S2709" s="8" t="s">
        <v>32</v>
      </c>
    </row>
    <row r="2710">
      <c r="A2710" s="8">
        <v>2709.0</v>
      </c>
      <c r="B2710" s="8" t="s">
        <v>4070</v>
      </c>
      <c r="C2710" s="8" t="s">
        <v>21</v>
      </c>
      <c r="K2710" s="8">
        <v>450.0</v>
      </c>
      <c r="N2710" s="7">
        <v>43874.0</v>
      </c>
    </row>
    <row r="2711">
      <c r="A2711" s="8">
        <v>2710.0</v>
      </c>
      <c r="B2711" s="8" t="s">
        <v>4071</v>
      </c>
      <c r="C2711" s="8" t="s">
        <v>21</v>
      </c>
      <c r="K2711" s="8">
        <v>60.0</v>
      </c>
      <c r="N2711" s="7">
        <v>43994.0</v>
      </c>
      <c r="O2711" s="8" t="s">
        <v>107</v>
      </c>
      <c r="P2711" s="8" t="s">
        <v>28</v>
      </c>
      <c r="S2711" s="8" t="s">
        <v>32</v>
      </c>
    </row>
    <row r="2712">
      <c r="A2712" s="8">
        <v>2711.0</v>
      </c>
      <c r="B2712" s="8" t="s">
        <v>4072</v>
      </c>
      <c r="C2712" s="8" t="s">
        <v>21</v>
      </c>
      <c r="K2712" s="8">
        <v>90.0</v>
      </c>
      <c r="N2712" s="7">
        <v>44536.0</v>
      </c>
    </row>
    <row r="2713">
      <c r="A2713" s="8">
        <v>2712.0</v>
      </c>
      <c r="B2713" s="8" t="s">
        <v>4073</v>
      </c>
      <c r="C2713" s="8" t="s">
        <v>21</v>
      </c>
      <c r="K2713" s="8">
        <v>150.0</v>
      </c>
      <c r="N2713" s="7">
        <v>44383.0</v>
      </c>
    </row>
    <row r="2714">
      <c r="A2714" s="8">
        <v>2713.0</v>
      </c>
      <c r="B2714" s="8" t="s">
        <v>4074</v>
      </c>
      <c r="C2714" s="8" t="s">
        <v>21</v>
      </c>
      <c r="K2714" s="8">
        <v>10.0</v>
      </c>
      <c r="N2714" s="7">
        <v>45188.0</v>
      </c>
    </row>
    <row r="2715">
      <c r="A2715" s="8">
        <v>2714.0</v>
      </c>
      <c r="B2715" s="8" t="s">
        <v>4075</v>
      </c>
      <c r="C2715" s="8" t="s">
        <v>21</v>
      </c>
      <c r="N2715" s="7">
        <v>44424.0</v>
      </c>
    </row>
    <row r="2716">
      <c r="A2716" s="8">
        <v>2715.0</v>
      </c>
      <c r="B2716" s="8" t="s">
        <v>4076</v>
      </c>
      <c r="C2716" s="8" t="s">
        <v>21</v>
      </c>
      <c r="K2716" s="8">
        <v>800.0</v>
      </c>
      <c r="N2716" s="7">
        <v>45247.0</v>
      </c>
    </row>
    <row r="2717">
      <c r="A2717" s="8">
        <v>2716.0</v>
      </c>
      <c r="B2717" s="8" t="s">
        <v>4077</v>
      </c>
      <c r="C2717" s="8" t="s">
        <v>21</v>
      </c>
      <c r="K2717" s="8">
        <v>15000.0</v>
      </c>
      <c r="N2717" s="7">
        <v>44032.0</v>
      </c>
    </row>
    <row r="2718">
      <c r="A2718" s="8">
        <v>2717.0</v>
      </c>
      <c r="B2718" s="8" t="s">
        <v>4078</v>
      </c>
      <c r="C2718" s="8" t="s">
        <v>21</v>
      </c>
      <c r="K2718" s="8">
        <v>40.0</v>
      </c>
      <c r="N2718" s="7">
        <v>45873.0</v>
      </c>
    </row>
    <row r="2719">
      <c r="A2719" s="8">
        <v>2718.0</v>
      </c>
      <c r="B2719" s="8" t="s">
        <v>4079</v>
      </c>
      <c r="C2719" s="8" t="s">
        <v>21</v>
      </c>
      <c r="N2719" s="7">
        <v>45712.0</v>
      </c>
    </row>
    <row r="2720">
      <c r="A2720" s="8">
        <v>2719.0</v>
      </c>
      <c r="B2720" s="8" t="s">
        <v>4080</v>
      </c>
      <c r="C2720" s="8" t="s">
        <v>21</v>
      </c>
      <c r="K2720" s="8">
        <v>700.0</v>
      </c>
      <c r="N2720" s="7">
        <v>44595.0</v>
      </c>
    </row>
    <row r="2721">
      <c r="A2721" s="8">
        <v>2720.0</v>
      </c>
      <c r="B2721" s="8" t="s">
        <v>4081</v>
      </c>
      <c r="C2721" s="8" t="s">
        <v>21</v>
      </c>
      <c r="K2721" s="8">
        <v>1100.0</v>
      </c>
      <c r="N2721" s="7">
        <v>44063.0</v>
      </c>
    </row>
    <row r="2722">
      <c r="A2722" s="8">
        <v>2721.0</v>
      </c>
      <c r="B2722" s="8" t="s">
        <v>4082</v>
      </c>
      <c r="C2722" s="8" t="s">
        <v>21</v>
      </c>
      <c r="K2722" s="8">
        <v>40.0</v>
      </c>
      <c r="N2722" s="7">
        <v>44423.0</v>
      </c>
    </row>
    <row r="2723">
      <c r="A2723" s="8">
        <v>2722.0</v>
      </c>
      <c r="B2723" s="8" t="s">
        <v>4083</v>
      </c>
      <c r="C2723" s="8" t="s">
        <v>21</v>
      </c>
      <c r="K2723" s="8">
        <v>1700.0</v>
      </c>
      <c r="N2723" s="7">
        <v>44352.0</v>
      </c>
    </row>
    <row r="2724">
      <c r="A2724" s="8">
        <v>2723.0</v>
      </c>
      <c r="B2724" s="8" t="s">
        <v>221</v>
      </c>
      <c r="C2724" s="8" t="s">
        <v>21</v>
      </c>
      <c r="K2724" s="8">
        <v>40.0</v>
      </c>
      <c r="N2724" s="7">
        <v>44168.0</v>
      </c>
    </row>
    <row r="2725">
      <c r="A2725" s="8">
        <v>2724.0</v>
      </c>
      <c r="B2725" s="8" t="s">
        <v>4084</v>
      </c>
      <c r="C2725" s="8" t="s">
        <v>21</v>
      </c>
      <c r="K2725" s="8">
        <v>500.0</v>
      </c>
      <c r="N2725" s="7">
        <v>44012.0</v>
      </c>
    </row>
    <row r="2726">
      <c r="A2726" s="8">
        <v>2725.0</v>
      </c>
      <c r="B2726" s="8" t="s">
        <v>4085</v>
      </c>
      <c r="C2726" s="8" t="s">
        <v>21</v>
      </c>
      <c r="K2726" s="8">
        <v>600.0</v>
      </c>
      <c r="N2726" s="7">
        <v>44565.0</v>
      </c>
    </row>
    <row r="2727">
      <c r="A2727" s="8">
        <v>2726.0</v>
      </c>
      <c r="B2727" s="8" t="s">
        <v>4086</v>
      </c>
      <c r="C2727" s="8" t="s">
        <v>21</v>
      </c>
      <c r="K2727" s="8">
        <v>3100.0</v>
      </c>
      <c r="N2727" s="7">
        <v>43996.0</v>
      </c>
    </row>
    <row r="2728">
      <c r="A2728" s="8">
        <v>2727.0</v>
      </c>
      <c r="B2728" s="8" t="s">
        <v>4087</v>
      </c>
      <c r="C2728" s="8" t="s">
        <v>21</v>
      </c>
      <c r="K2728" s="8">
        <v>1000.0</v>
      </c>
      <c r="N2728" s="7">
        <v>45118.0</v>
      </c>
    </row>
    <row r="2729">
      <c r="A2729" s="8">
        <v>2728.0</v>
      </c>
      <c r="B2729" s="8" t="s">
        <v>4088</v>
      </c>
      <c r="C2729" s="8" t="s">
        <v>21</v>
      </c>
      <c r="K2729" s="8">
        <v>4000.0</v>
      </c>
      <c r="N2729" s="7">
        <v>44697.0</v>
      </c>
    </row>
    <row r="2730">
      <c r="A2730" s="8">
        <v>2729.0</v>
      </c>
      <c r="B2730" s="8" t="s">
        <v>4089</v>
      </c>
      <c r="C2730" s="8" t="s">
        <v>21</v>
      </c>
      <c r="K2730" s="8">
        <v>450.0</v>
      </c>
      <c r="N2730" s="7">
        <v>44042.0</v>
      </c>
    </row>
    <row r="2731">
      <c r="A2731" s="8">
        <v>2730.0</v>
      </c>
      <c r="B2731" s="8" t="s">
        <v>4090</v>
      </c>
      <c r="C2731" s="8" t="s">
        <v>21</v>
      </c>
      <c r="N2731" s="7">
        <v>44805.0</v>
      </c>
    </row>
    <row r="2732">
      <c r="A2732" s="8">
        <v>2731.0</v>
      </c>
      <c r="B2732" s="8" t="s">
        <v>4091</v>
      </c>
      <c r="C2732" s="8" t="s">
        <v>21</v>
      </c>
      <c r="K2732" s="8">
        <v>300.0</v>
      </c>
      <c r="N2732" s="7">
        <v>43908.0</v>
      </c>
    </row>
    <row r="2733">
      <c r="A2733" s="8">
        <v>2732.0</v>
      </c>
      <c r="B2733" s="8" t="s">
        <v>4092</v>
      </c>
      <c r="C2733" s="8" t="s">
        <v>21</v>
      </c>
      <c r="K2733" s="8">
        <v>350.0</v>
      </c>
      <c r="N2733" s="7">
        <v>44589.0</v>
      </c>
    </row>
    <row r="2734">
      <c r="A2734" s="8">
        <v>2733.0</v>
      </c>
      <c r="B2734" s="8" t="s">
        <v>4093</v>
      </c>
      <c r="C2734" s="8" t="s">
        <v>21</v>
      </c>
      <c r="K2734" s="8">
        <v>10.0</v>
      </c>
      <c r="N2734" s="7">
        <v>44808.0</v>
      </c>
    </row>
    <row r="2735">
      <c r="A2735" s="8">
        <v>2734.0</v>
      </c>
      <c r="B2735" s="8" t="s">
        <v>4094</v>
      </c>
      <c r="C2735" s="8" t="s">
        <v>21</v>
      </c>
      <c r="K2735" s="8">
        <v>2500.0</v>
      </c>
      <c r="N2735" s="7">
        <v>44884.0</v>
      </c>
    </row>
    <row r="2736">
      <c r="A2736" s="8">
        <v>2735.0</v>
      </c>
      <c r="B2736" s="8" t="s">
        <v>4095</v>
      </c>
      <c r="C2736" s="8" t="s">
        <v>21</v>
      </c>
      <c r="K2736" s="8">
        <v>400.0</v>
      </c>
      <c r="N2736" s="7">
        <v>45106.0</v>
      </c>
    </row>
    <row r="2737">
      <c r="A2737" s="8">
        <v>2736.0</v>
      </c>
      <c r="B2737" s="8" t="s">
        <v>4096</v>
      </c>
      <c r="C2737" s="8" t="s">
        <v>21</v>
      </c>
      <c r="K2737" s="8">
        <v>1800.0</v>
      </c>
      <c r="N2737" s="7">
        <v>44186.0</v>
      </c>
    </row>
    <row r="2738">
      <c r="A2738" s="8">
        <v>2737.0</v>
      </c>
      <c r="B2738" s="8" t="s">
        <v>4097</v>
      </c>
      <c r="C2738" s="8" t="s">
        <v>21</v>
      </c>
      <c r="K2738" s="8">
        <v>3100.0</v>
      </c>
      <c r="N2738" s="7">
        <v>44099.0</v>
      </c>
    </row>
    <row r="2739">
      <c r="A2739" s="8">
        <v>2738.0</v>
      </c>
      <c r="B2739" s="8" t="s">
        <v>4098</v>
      </c>
      <c r="C2739" s="8" t="s">
        <v>21</v>
      </c>
      <c r="K2739" s="8">
        <v>40.0</v>
      </c>
      <c r="N2739" s="7">
        <v>45232.0</v>
      </c>
    </row>
    <row r="2740">
      <c r="A2740" s="8">
        <v>2739.0</v>
      </c>
      <c r="B2740" s="8" t="s">
        <v>4099</v>
      </c>
      <c r="C2740" s="8" t="s">
        <v>21</v>
      </c>
      <c r="K2740" s="8">
        <v>20.0</v>
      </c>
      <c r="N2740" s="7">
        <v>46074.0</v>
      </c>
    </row>
    <row r="2741">
      <c r="A2741" s="8">
        <v>2740.0</v>
      </c>
      <c r="B2741" s="8" t="s">
        <v>4100</v>
      </c>
      <c r="C2741" s="8" t="s">
        <v>21</v>
      </c>
      <c r="K2741" s="8">
        <v>1800.0</v>
      </c>
      <c r="N2741" s="7">
        <v>44705.0</v>
      </c>
    </row>
    <row r="2742">
      <c r="A2742" s="8">
        <v>2741.0</v>
      </c>
      <c r="B2742" s="8" t="s">
        <v>4101</v>
      </c>
      <c r="C2742" s="8" t="s">
        <v>21</v>
      </c>
      <c r="K2742" s="8">
        <v>70.0</v>
      </c>
      <c r="N2742" s="7">
        <v>43871.0</v>
      </c>
    </row>
    <row r="2743">
      <c r="A2743" s="8">
        <v>2742.0</v>
      </c>
      <c r="B2743" s="8" t="s">
        <v>4102</v>
      </c>
      <c r="C2743" s="8" t="s">
        <v>21</v>
      </c>
      <c r="K2743" s="8">
        <v>10.0</v>
      </c>
      <c r="N2743" s="7">
        <v>44005.0</v>
      </c>
    </row>
    <row r="2744">
      <c r="A2744" s="8">
        <v>2743.0</v>
      </c>
      <c r="B2744" s="8" t="s">
        <v>4103</v>
      </c>
      <c r="C2744" s="8" t="s">
        <v>21</v>
      </c>
      <c r="K2744" s="8">
        <v>500.0</v>
      </c>
      <c r="N2744" s="7">
        <v>44555.0</v>
      </c>
    </row>
    <row r="2745">
      <c r="A2745" s="8">
        <v>2744.0</v>
      </c>
      <c r="B2745" s="8" t="s">
        <v>4104</v>
      </c>
      <c r="C2745" s="8" t="s">
        <v>21</v>
      </c>
      <c r="K2745" s="8">
        <v>150.0</v>
      </c>
      <c r="N2745" s="7">
        <v>43178.0</v>
      </c>
    </row>
    <row r="2746">
      <c r="A2746" s="8">
        <v>2745.0</v>
      </c>
      <c r="B2746" s="8" t="s">
        <v>4105</v>
      </c>
      <c r="C2746" s="8" t="s">
        <v>21</v>
      </c>
      <c r="N2746" s="7">
        <v>44338.0</v>
      </c>
    </row>
    <row r="2747">
      <c r="A2747" s="8">
        <v>2746.0</v>
      </c>
      <c r="B2747" s="8" t="s">
        <v>4106</v>
      </c>
      <c r="C2747" s="8" t="s">
        <v>21</v>
      </c>
      <c r="N2747" s="7">
        <v>42472.0</v>
      </c>
      <c r="O2747" s="8" t="s">
        <v>26</v>
      </c>
      <c r="P2747" s="8" t="s">
        <v>28</v>
      </c>
      <c r="S2747" s="8" t="s">
        <v>32</v>
      </c>
    </row>
    <row r="2748">
      <c r="A2748" s="8">
        <v>2747.0</v>
      </c>
      <c r="B2748" s="8" t="s">
        <v>4107</v>
      </c>
      <c r="C2748" s="8" t="s">
        <v>21</v>
      </c>
      <c r="K2748" s="8">
        <v>200.0</v>
      </c>
      <c r="N2748" s="7">
        <v>44266.0</v>
      </c>
    </row>
    <row r="2749">
      <c r="A2749" s="8">
        <v>2748.0</v>
      </c>
      <c r="B2749" s="8" t="s">
        <v>4108</v>
      </c>
      <c r="C2749" s="8" t="s">
        <v>21</v>
      </c>
      <c r="K2749" s="8">
        <v>8600.0</v>
      </c>
      <c r="N2749" s="7">
        <v>44007.0</v>
      </c>
    </row>
    <row r="2750">
      <c r="A2750" s="8">
        <v>2749.0</v>
      </c>
      <c r="B2750" s="8" t="s">
        <v>4109</v>
      </c>
      <c r="C2750" s="8" t="s">
        <v>21</v>
      </c>
      <c r="K2750" s="8">
        <v>3400.0</v>
      </c>
      <c r="N2750" s="7">
        <v>44533.0</v>
      </c>
    </row>
    <row r="2751">
      <c r="A2751" s="8">
        <v>2750.0</v>
      </c>
      <c r="B2751" s="8" t="s">
        <v>4110</v>
      </c>
      <c r="C2751" s="8" t="s">
        <v>21</v>
      </c>
      <c r="K2751" s="8">
        <v>30.0</v>
      </c>
      <c r="N2751" s="7">
        <v>44360.0</v>
      </c>
    </row>
    <row r="2752">
      <c r="A2752" s="8">
        <v>2751.0</v>
      </c>
      <c r="B2752" s="8" t="s">
        <v>4111</v>
      </c>
      <c r="C2752" s="8" t="s">
        <v>21</v>
      </c>
      <c r="K2752" s="8">
        <v>1000.0</v>
      </c>
      <c r="N2752" s="7">
        <v>44166.0</v>
      </c>
    </row>
    <row r="2753">
      <c r="A2753" s="8">
        <v>2752.0</v>
      </c>
      <c r="B2753" s="8" t="s">
        <v>4112</v>
      </c>
      <c r="C2753" s="8" t="s">
        <v>21</v>
      </c>
      <c r="K2753" s="8">
        <v>600.0</v>
      </c>
      <c r="N2753" s="7">
        <v>44033.0</v>
      </c>
    </row>
    <row r="2754">
      <c r="A2754" s="8">
        <v>2753.0</v>
      </c>
      <c r="B2754" s="8" t="s">
        <v>4113</v>
      </c>
      <c r="C2754" s="8" t="s">
        <v>21</v>
      </c>
      <c r="K2754" s="8">
        <v>40.0</v>
      </c>
      <c r="N2754" s="7">
        <v>44303.0</v>
      </c>
    </row>
    <row r="2755">
      <c r="A2755" s="8">
        <v>2754.0</v>
      </c>
      <c r="B2755" s="8" t="s">
        <v>4114</v>
      </c>
      <c r="C2755" s="8" t="s">
        <v>21</v>
      </c>
      <c r="K2755" s="8">
        <v>450.0</v>
      </c>
      <c r="N2755" s="7">
        <v>44296.0</v>
      </c>
    </row>
    <row r="2756">
      <c r="A2756" s="8">
        <v>2755.0</v>
      </c>
      <c r="B2756" s="8" t="s">
        <v>4115</v>
      </c>
      <c r="C2756" s="8" t="s">
        <v>21</v>
      </c>
      <c r="K2756" s="8">
        <v>400.0</v>
      </c>
      <c r="N2756" s="7">
        <v>43889.0</v>
      </c>
    </row>
    <row r="2757">
      <c r="A2757" s="8">
        <v>2756.0</v>
      </c>
      <c r="B2757" s="8" t="s">
        <v>4116</v>
      </c>
      <c r="C2757" s="8" t="s">
        <v>21</v>
      </c>
      <c r="N2757" s="7">
        <v>44204.0</v>
      </c>
      <c r="O2757" s="8" t="s">
        <v>26</v>
      </c>
      <c r="P2757" s="8" t="s">
        <v>28</v>
      </c>
      <c r="S2757" s="8" t="s">
        <v>32</v>
      </c>
    </row>
    <row r="2758">
      <c r="A2758" s="8">
        <v>2757.0</v>
      </c>
      <c r="B2758" s="8" t="s">
        <v>4117</v>
      </c>
      <c r="C2758" s="8" t="s">
        <v>21</v>
      </c>
      <c r="K2758" s="8">
        <v>4000.0</v>
      </c>
      <c r="N2758" s="7">
        <v>45265.0</v>
      </c>
    </row>
    <row r="2759">
      <c r="A2759" s="8">
        <v>2758.0</v>
      </c>
      <c r="B2759" s="8" t="s">
        <v>4118</v>
      </c>
      <c r="C2759" s="8" t="s">
        <v>21</v>
      </c>
      <c r="N2759" s="7">
        <v>43103.0</v>
      </c>
    </row>
    <row r="2760">
      <c r="A2760" s="8">
        <v>2759.0</v>
      </c>
      <c r="B2760" s="8" t="s">
        <v>4119</v>
      </c>
      <c r="C2760" s="8" t="s">
        <v>21</v>
      </c>
      <c r="K2760" s="8">
        <v>1600.0</v>
      </c>
      <c r="N2760" s="7">
        <v>44870.0</v>
      </c>
    </row>
    <row r="2761">
      <c r="A2761" s="8">
        <v>2760.0</v>
      </c>
      <c r="B2761" s="8" t="s">
        <v>4120</v>
      </c>
      <c r="C2761" s="8" t="s">
        <v>21</v>
      </c>
      <c r="K2761" s="8">
        <v>2300.0</v>
      </c>
      <c r="N2761" s="7">
        <v>44161.0</v>
      </c>
    </row>
    <row r="2762">
      <c r="A2762" s="8">
        <v>2761.0</v>
      </c>
      <c r="B2762" s="8" t="s">
        <v>4121</v>
      </c>
      <c r="C2762" s="8" t="s">
        <v>21</v>
      </c>
      <c r="K2762" s="8">
        <v>300.0</v>
      </c>
      <c r="N2762" s="7">
        <v>43980.0</v>
      </c>
    </row>
    <row r="2763">
      <c r="A2763" s="8">
        <v>2762.0</v>
      </c>
      <c r="B2763" s="8" t="s">
        <v>4122</v>
      </c>
      <c r="C2763" s="8" t="s">
        <v>21</v>
      </c>
      <c r="K2763" s="8">
        <v>700.0</v>
      </c>
      <c r="N2763" s="7">
        <v>44357.0</v>
      </c>
    </row>
    <row r="2764">
      <c r="A2764" s="8">
        <v>2763.0</v>
      </c>
      <c r="B2764" s="8" t="s">
        <v>4123</v>
      </c>
      <c r="C2764" s="8" t="s">
        <v>21</v>
      </c>
      <c r="K2764" s="8">
        <v>1400.0</v>
      </c>
      <c r="N2764" s="7">
        <v>44335.0</v>
      </c>
    </row>
    <row r="2765">
      <c r="A2765" s="8">
        <v>2764.0</v>
      </c>
      <c r="B2765" s="8" t="s">
        <v>4124</v>
      </c>
      <c r="C2765" s="8" t="s">
        <v>21</v>
      </c>
      <c r="K2765" s="8">
        <v>80.0</v>
      </c>
      <c r="N2765" s="7">
        <v>44440.0</v>
      </c>
    </row>
    <row r="2766">
      <c r="A2766" s="8">
        <v>2765.0</v>
      </c>
      <c r="B2766" s="8" t="s">
        <v>4125</v>
      </c>
      <c r="C2766" s="8" t="s">
        <v>21</v>
      </c>
      <c r="K2766" s="8">
        <v>20.0</v>
      </c>
      <c r="N2766" s="7">
        <v>44963.0</v>
      </c>
    </row>
    <row r="2767">
      <c r="A2767" s="8">
        <v>2766.0</v>
      </c>
      <c r="B2767" s="8" t="s">
        <v>4126</v>
      </c>
      <c r="C2767" s="8" t="s">
        <v>21</v>
      </c>
      <c r="K2767" s="8">
        <v>100.0</v>
      </c>
      <c r="N2767" s="7">
        <v>43855.0</v>
      </c>
    </row>
    <row r="2768">
      <c r="A2768" s="8">
        <v>2767.0</v>
      </c>
      <c r="B2768" s="8" t="s">
        <v>4127</v>
      </c>
      <c r="C2768" s="8" t="s">
        <v>21</v>
      </c>
      <c r="N2768" s="7">
        <v>44553.0</v>
      </c>
    </row>
    <row r="2769">
      <c r="A2769" s="8">
        <v>2768.0</v>
      </c>
      <c r="B2769" s="8" t="s">
        <v>4128</v>
      </c>
      <c r="C2769" s="8" t="s">
        <v>21</v>
      </c>
      <c r="K2769" s="8">
        <v>20.0</v>
      </c>
      <c r="N2769" s="7">
        <v>45319.0</v>
      </c>
    </row>
    <row r="2770">
      <c r="A2770" s="8">
        <v>2769.0</v>
      </c>
      <c r="B2770" s="8" t="s">
        <v>4129</v>
      </c>
      <c r="C2770" s="8" t="s">
        <v>21</v>
      </c>
      <c r="K2770" s="8">
        <v>4100.0</v>
      </c>
      <c r="N2770" s="7">
        <v>44500.0</v>
      </c>
    </row>
    <row r="2771">
      <c r="A2771" s="8">
        <v>2770.0</v>
      </c>
      <c r="B2771" s="8" t="s">
        <v>4130</v>
      </c>
      <c r="C2771" s="8" t="s">
        <v>21</v>
      </c>
      <c r="K2771" s="8">
        <v>500.0</v>
      </c>
      <c r="N2771" s="7">
        <v>44464.0</v>
      </c>
    </row>
    <row r="2772">
      <c r="A2772" s="8">
        <v>2771.0</v>
      </c>
      <c r="B2772" s="8" t="s">
        <v>4131</v>
      </c>
      <c r="C2772" s="8" t="s">
        <v>21</v>
      </c>
      <c r="K2772" s="8">
        <v>20.0</v>
      </c>
      <c r="N2772" s="7">
        <v>45819.0</v>
      </c>
    </row>
    <row r="2773">
      <c r="A2773" s="8">
        <v>2772.0</v>
      </c>
      <c r="B2773" s="8" t="s">
        <v>4132</v>
      </c>
      <c r="C2773" s="8" t="s">
        <v>21</v>
      </c>
      <c r="K2773" s="8">
        <v>200.0</v>
      </c>
      <c r="N2773" s="7">
        <v>44520.0</v>
      </c>
    </row>
    <row r="2774">
      <c r="A2774" s="8">
        <v>2773.0</v>
      </c>
      <c r="B2774" s="8" t="s">
        <v>4133</v>
      </c>
      <c r="C2774" s="8" t="s">
        <v>21</v>
      </c>
      <c r="K2774" s="8">
        <v>87000.0</v>
      </c>
      <c r="N2774" s="7">
        <v>43928.0</v>
      </c>
    </row>
    <row r="2775">
      <c r="A2775" s="8">
        <v>2774.0</v>
      </c>
      <c r="B2775" s="8" t="s">
        <v>4134</v>
      </c>
      <c r="C2775" s="8" t="s">
        <v>21</v>
      </c>
      <c r="K2775" s="8">
        <v>1500.0</v>
      </c>
      <c r="N2775" s="7">
        <v>44500.0</v>
      </c>
    </row>
    <row r="2776">
      <c r="A2776" s="8">
        <v>2775.0</v>
      </c>
      <c r="B2776" s="8" t="s">
        <v>4135</v>
      </c>
      <c r="C2776" s="8" t="s">
        <v>21</v>
      </c>
      <c r="K2776" s="8">
        <v>1500.0</v>
      </c>
      <c r="N2776" s="7">
        <v>44536.0</v>
      </c>
    </row>
    <row r="2777">
      <c r="A2777" s="8">
        <v>2776.0</v>
      </c>
      <c r="B2777" s="8" t="s">
        <v>4136</v>
      </c>
      <c r="C2777" s="8" t="s">
        <v>21</v>
      </c>
      <c r="K2777" s="8">
        <v>350.0</v>
      </c>
      <c r="N2777" s="7">
        <v>43958.0</v>
      </c>
    </row>
    <row r="2778">
      <c r="A2778" s="8">
        <v>2777.0</v>
      </c>
      <c r="B2778" s="8" t="s">
        <v>4137</v>
      </c>
      <c r="C2778" s="8" t="s">
        <v>21</v>
      </c>
      <c r="K2778" s="8">
        <v>20.0</v>
      </c>
      <c r="N2778" s="7">
        <v>44742.0</v>
      </c>
    </row>
    <row r="2779">
      <c r="A2779" s="8">
        <v>2778.0</v>
      </c>
      <c r="B2779" s="8" t="s">
        <v>4138</v>
      </c>
      <c r="C2779" s="8" t="s">
        <v>21</v>
      </c>
      <c r="K2779" s="8">
        <v>250.0</v>
      </c>
      <c r="N2779" s="7">
        <v>44360.0</v>
      </c>
    </row>
    <row r="2780">
      <c r="A2780" s="8">
        <v>2779.0</v>
      </c>
      <c r="B2780" s="8" t="s">
        <v>4139</v>
      </c>
      <c r="C2780" s="8" t="s">
        <v>21</v>
      </c>
      <c r="K2780" s="8">
        <v>450.0</v>
      </c>
      <c r="N2780" s="7">
        <v>44564.0</v>
      </c>
    </row>
    <row r="2781">
      <c r="A2781" s="8">
        <v>2780.0</v>
      </c>
      <c r="B2781" s="8" t="s">
        <v>4140</v>
      </c>
      <c r="C2781" s="8" t="s">
        <v>21</v>
      </c>
      <c r="K2781" s="8">
        <v>400.0</v>
      </c>
      <c r="N2781" s="7">
        <v>44559.0</v>
      </c>
    </row>
    <row r="2782">
      <c r="A2782" s="8">
        <v>2781.0</v>
      </c>
      <c r="B2782" s="8" t="s">
        <v>4141</v>
      </c>
      <c r="C2782" s="8" t="s">
        <v>21</v>
      </c>
      <c r="K2782" s="8">
        <v>450.0</v>
      </c>
      <c r="N2782" s="7">
        <v>45861.0</v>
      </c>
    </row>
    <row r="2783">
      <c r="A2783" s="8">
        <v>2782.0</v>
      </c>
      <c r="B2783" s="8" t="s">
        <v>4142</v>
      </c>
      <c r="C2783" s="8" t="s">
        <v>21</v>
      </c>
      <c r="K2783" s="8">
        <v>50.0</v>
      </c>
      <c r="N2783" s="7">
        <v>44961.0</v>
      </c>
    </row>
    <row r="2784">
      <c r="A2784" s="8">
        <v>2783.0</v>
      </c>
      <c r="B2784" s="8" t="s">
        <v>4143</v>
      </c>
      <c r="C2784" s="8" t="s">
        <v>21</v>
      </c>
      <c r="K2784" s="8">
        <v>300.0</v>
      </c>
      <c r="N2784" s="7">
        <v>44538.0</v>
      </c>
    </row>
    <row r="2785">
      <c r="A2785" s="8">
        <v>2784.0</v>
      </c>
      <c r="B2785" s="8" t="s">
        <v>4144</v>
      </c>
      <c r="C2785" s="8" t="s">
        <v>21</v>
      </c>
      <c r="K2785" s="8">
        <v>1700.0</v>
      </c>
      <c r="N2785" s="7">
        <v>44187.0</v>
      </c>
    </row>
    <row r="2786">
      <c r="A2786" s="8">
        <v>2785.0</v>
      </c>
      <c r="B2786" s="8" t="s">
        <v>4145</v>
      </c>
      <c r="C2786" s="8" t="s">
        <v>21</v>
      </c>
      <c r="K2786" s="8">
        <v>5400.0</v>
      </c>
      <c r="N2786" s="7">
        <v>43939.0</v>
      </c>
    </row>
    <row r="2787">
      <c r="A2787" s="8">
        <v>2786.0</v>
      </c>
      <c r="B2787" s="8" t="s">
        <v>4146</v>
      </c>
      <c r="C2787" s="8" t="s">
        <v>21</v>
      </c>
      <c r="K2787" s="8">
        <v>350.0</v>
      </c>
      <c r="N2787" s="7">
        <v>43886.0</v>
      </c>
    </row>
    <row r="2788">
      <c r="A2788" s="8">
        <v>2787.0</v>
      </c>
      <c r="B2788" s="8" t="s">
        <v>4147</v>
      </c>
      <c r="C2788" s="8" t="s">
        <v>21</v>
      </c>
      <c r="K2788" s="8">
        <v>900.0</v>
      </c>
      <c r="N2788" s="7">
        <v>44406.0</v>
      </c>
    </row>
    <row r="2789">
      <c r="A2789" s="8">
        <v>2788.0</v>
      </c>
      <c r="B2789" s="8" t="s">
        <v>4148</v>
      </c>
      <c r="C2789" s="8" t="s">
        <v>21</v>
      </c>
      <c r="K2789" s="8">
        <v>20.0</v>
      </c>
      <c r="N2789" s="7">
        <v>45873.0</v>
      </c>
    </row>
    <row r="2790">
      <c r="A2790" s="8">
        <v>2789.0</v>
      </c>
      <c r="B2790" s="8" t="s">
        <v>4149</v>
      </c>
      <c r="C2790" s="8" t="s">
        <v>21</v>
      </c>
      <c r="K2790" s="8">
        <v>3400.0</v>
      </c>
      <c r="N2790" s="7">
        <v>44177.0</v>
      </c>
    </row>
    <row r="2791">
      <c r="A2791" s="8">
        <v>2790.0</v>
      </c>
      <c r="B2791" s="8" t="s">
        <v>4150</v>
      </c>
      <c r="C2791" s="8" t="s">
        <v>21</v>
      </c>
      <c r="K2791" s="8">
        <v>2100.0</v>
      </c>
      <c r="N2791" s="7">
        <v>44581.0</v>
      </c>
    </row>
    <row r="2792">
      <c r="A2792" s="8">
        <v>2791.0</v>
      </c>
      <c r="B2792" s="8" t="s">
        <v>4151</v>
      </c>
      <c r="C2792" s="8" t="s">
        <v>21</v>
      </c>
      <c r="N2792" s="7">
        <v>45138.0</v>
      </c>
    </row>
    <row r="2793">
      <c r="A2793" s="8">
        <v>2792.0</v>
      </c>
      <c r="B2793" s="8" t="s">
        <v>4152</v>
      </c>
      <c r="C2793" s="8" t="s">
        <v>21</v>
      </c>
      <c r="K2793" s="8">
        <v>30.0</v>
      </c>
      <c r="N2793" s="7">
        <v>44470.0</v>
      </c>
    </row>
    <row r="2794">
      <c r="A2794" s="8">
        <v>2793.0</v>
      </c>
      <c r="B2794" s="8" t="s">
        <v>4153</v>
      </c>
      <c r="C2794" s="8" t="s">
        <v>21</v>
      </c>
      <c r="K2794" s="8">
        <v>40.0</v>
      </c>
      <c r="N2794" s="7">
        <v>44764.0</v>
      </c>
    </row>
    <row r="2795">
      <c r="A2795" s="8">
        <v>2794.0</v>
      </c>
      <c r="B2795" s="8" t="s">
        <v>4154</v>
      </c>
      <c r="C2795" s="8" t="s">
        <v>21</v>
      </c>
      <c r="K2795" s="8">
        <v>10.0</v>
      </c>
      <c r="N2795" s="7">
        <v>44260.0</v>
      </c>
    </row>
    <row r="2796">
      <c r="A2796" s="8">
        <v>2795.0</v>
      </c>
      <c r="B2796" s="8" t="s">
        <v>4155</v>
      </c>
      <c r="C2796" s="8" t="s">
        <v>21</v>
      </c>
      <c r="K2796" s="8">
        <v>1600.0</v>
      </c>
      <c r="N2796" s="7">
        <v>44517.0</v>
      </c>
    </row>
    <row r="2797">
      <c r="A2797" s="8">
        <v>2796.0</v>
      </c>
      <c r="B2797" s="8" t="s">
        <v>4156</v>
      </c>
      <c r="C2797" s="8" t="s">
        <v>21</v>
      </c>
      <c r="K2797" s="8">
        <v>30.0</v>
      </c>
      <c r="N2797" s="7">
        <v>44722.0</v>
      </c>
    </row>
    <row r="2798">
      <c r="A2798" s="8">
        <v>2797.0</v>
      </c>
      <c r="B2798" s="8" t="s">
        <v>4157</v>
      </c>
      <c r="C2798" s="8" t="s">
        <v>21</v>
      </c>
      <c r="N2798" s="7">
        <v>44222.0</v>
      </c>
    </row>
    <row r="2799">
      <c r="A2799" s="8">
        <v>2798.0</v>
      </c>
      <c r="B2799" s="8" t="s">
        <v>4158</v>
      </c>
      <c r="C2799" s="8" t="s">
        <v>21</v>
      </c>
      <c r="N2799" s="7">
        <v>44424.0</v>
      </c>
    </row>
    <row r="2800">
      <c r="A2800" s="8">
        <v>2799.0</v>
      </c>
      <c r="B2800" s="8" t="s">
        <v>4159</v>
      </c>
      <c r="C2800" s="8" t="s">
        <v>21</v>
      </c>
      <c r="K2800" s="8">
        <v>60.0</v>
      </c>
      <c r="N2800" s="7">
        <v>45278.0</v>
      </c>
    </row>
    <row r="2801">
      <c r="A2801" s="8">
        <v>2800.0</v>
      </c>
      <c r="B2801" s="8" t="s">
        <v>4160</v>
      </c>
      <c r="C2801" s="8" t="s">
        <v>21</v>
      </c>
      <c r="K2801" s="8">
        <v>1000.0</v>
      </c>
      <c r="N2801" s="7">
        <v>45134.0</v>
      </c>
    </row>
    <row r="2802">
      <c r="A2802" s="8">
        <v>2801.0</v>
      </c>
      <c r="B2802" s="8" t="s">
        <v>4161</v>
      </c>
      <c r="C2802" s="8" t="s">
        <v>21</v>
      </c>
      <c r="K2802" s="8">
        <v>450.0</v>
      </c>
      <c r="N2802" s="7">
        <v>45000.0</v>
      </c>
    </row>
    <row r="2803">
      <c r="A2803" s="8">
        <v>2802.0</v>
      </c>
      <c r="B2803" s="8" t="s">
        <v>4162</v>
      </c>
      <c r="C2803" s="8" t="s">
        <v>21</v>
      </c>
      <c r="N2803" s="7">
        <v>45090.0</v>
      </c>
    </row>
    <row r="2804">
      <c r="A2804" s="8">
        <v>2803.0</v>
      </c>
      <c r="B2804" s="8" t="s">
        <v>4163</v>
      </c>
      <c r="C2804" s="8" t="s">
        <v>21</v>
      </c>
      <c r="K2804" s="8">
        <v>150.0</v>
      </c>
      <c r="N2804" s="7">
        <v>44409.0</v>
      </c>
    </row>
    <row r="2805">
      <c r="A2805" s="8">
        <v>2804.0</v>
      </c>
      <c r="B2805" s="8" t="s">
        <v>4164</v>
      </c>
      <c r="C2805" s="8" t="s">
        <v>21</v>
      </c>
      <c r="K2805" s="8">
        <v>60.0</v>
      </c>
      <c r="N2805" s="7">
        <v>42598.0</v>
      </c>
    </row>
    <row r="2806">
      <c r="A2806" s="8">
        <v>2805.0</v>
      </c>
      <c r="B2806" s="8" t="s">
        <v>4165</v>
      </c>
      <c r="C2806" s="8" t="s">
        <v>21</v>
      </c>
      <c r="N2806" s="7">
        <v>44756.0</v>
      </c>
    </row>
    <row r="2807">
      <c r="A2807" s="8">
        <v>2806.0</v>
      </c>
      <c r="B2807" s="8" t="s">
        <v>4166</v>
      </c>
      <c r="C2807" s="8" t="s">
        <v>21</v>
      </c>
      <c r="K2807" s="8">
        <v>70.0</v>
      </c>
      <c r="N2807" s="7">
        <v>44796.0</v>
      </c>
    </row>
    <row r="2808">
      <c r="A2808" s="8">
        <v>2807.0</v>
      </c>
      <c r="B2808" s="8" t="s">
        <v>4167</v>
      </c>
      <c r="C2808" s="8" t="s">
        <v>21</v>
      </c>
      <c r="K2808" s="8">
        <v>150.0</v>
      </c>
      <c r="N2808" s="7">
        <v>44705.0</v>
      </c>
    </row>
    <row r="2809">
      <c r="A2809" s="8">
        <v>2808.0</v>
      </c>
      <c r="B2809" s="8" t="s">
        <v>4168</v>
      </c>
      <c r="C2809" s="8" t="s">
        <v>21</v>
      </c>
      <c r="K2809" s="8">
        <v>10.0</v>
      </c>
      <c r="N2809" s="7">
        <v>44665.0</v>
      </c>
    </row>
    <row r="2810">
      <c r="A2810" s="8">
        <v>2809.0</v>
      </c>
      <c r="B2810" s="8" t="s">
        <v>4169</v>
      </c>
      <c r="C2810" s="8" t="s">
        <v>21</v>
      </c>
      <c r="N2810" s="7">
        <v>42888.0</v>
      </c>
    </row>
    <row r="2811">
      <c r="A2811" s="8">
        <v>2810.0</v>
      </c>
      <c r="B2811" s="8" t="s">
        <v>4170</v>
      </c>
      <c r="C2811" s="8" t="s">
        <v>21</v>
      </c>
      <c r="N2811" s="7">
        <v>45714.0</v>
      </c>
    </row>
    <row r="2812">
      <c r="A2812" s="8">
        <v>2811.0</v>
      </c>
      <c r="B2812" s="8" t="s">
        <v>4171</v>
      </c>
      <c r="C2812" s="8" t="s">
        <v>21</v>
      </c>
      <c r="K2812" s="8">
        <v>100.0</v>
      </c>
      <c r="N2812" s="7">
        <v>44540.0</v>
      </c>
    </row>
    <row r="2813">
      <c r="A2813" s="8">
        <v>2812.0</v>
      </c>
      <c r="B2813" s="8" t="s">
        <v>4172</v>
      </c>
      <c r="C2813" s="8" t="s">
        <v>21</v>
      </c>
      <c r="K2813" s="8">
        <v>1500.0</v>
      </c>
      <c r="N2813" s="7">
        <v>44240.0</v>
      </c>
    </row>
    <row r="2814">
      <c r="A2814" s="8">
        <v>2813.0</v>
      </c>
      <c r="B2814" s="8" t="s">
        <v>4173</v>
      </c>
      <c r="C2814" s="8" t="s">
        <v>21</v>
      </c>
      <c r="K2814" s="8">
        <v>500.0</v>
      </c>
      <c r="N2814" s="7">
        <v>45017.0</v>
      </c>
    </row>
    <row r="2815">
      <c r="A2815" s="8">
        <v>2814.0</v>
      </c>
      <c r="B2815" s="8" t="s">
        <v>4174</v>
      </c>
      <c r="C2815" s="8" t="s">
        <v>21</v>
      </c>
      <c r="K2815" s="8">
        <v>20.0</v>
      </c>
      <c r="N2815" s="7">
        <v>45946.0</v>
      </c>
    </row>
    <row r="2816">
      <c r="A2816" s="8">
        <v>2815.0</v>
      </c>
      <c r="B2816" s="8" t="s">
        <v>4175</v>
      </c>
      <c r="C2816" s="8" t="s">
        <v>21</v>
      </c>
      <c r="N2816" s="7">
        <v>45089.0</v>
      </c>
    </row>
    <row r="2817">
      <c r="A2817" s="8">
        <v>2816.0</v>
      </c>
      <c r="B2817" s="8" t="s">
        <v>4176</v>
      </c>
      <c r="C2817" s="8" t="s">
        <v>21</v>
      </c>
      <c r="G2817" s="8">
        <v>1.0</v>
      </c>
      <c r="K2817" s="8">
        <v>10.0</v>
      </c>
      <c r="N2817" s="7">
        <v>42277.0</v>
      </c>
      <c r="O2817" s="8" t="s">
        <v>26</v>
      </c>
      <c r="P2817" s="8" t="s">
        <v>28</v>
      </c>
      <c r="S2817" s="8" t="s">
        <v>32</v>
      </c>
    </row>
    <row r="2818">
      <c r="A2818" s="8">
        <v>2817.0</v>
      </c>
      <c r="B2818" s="8" t="s">
        <v>4177</v>
      </c>
      <c r="C2818" s="8" t="s">
        <v>21</v>
      </c>
      <c r="K2818" s="8">
        <v>20.0</v>
      </c>
      <c r="N2818" s="7">
        <v>44668.0</v>
      </c>
    </row>
    <row r="2819">
      <c r="A2819" s="8">
        <v>2818.0</v>
      </c>
      <c r="B2819" s="8" t="s">
        <v>4178</v>
      </c>
      <c r="C2819" s="8" t="s">
        <v>21</v>
      </c>
      <c r="K2819" s="8">
        <v>400.0</v>
      </c>
      <c r="N2819" s="7">
        <v>43931.0</v>
      </c>
    </row>
    <row r="2820">
      <c r="A2820" s="8">
        <v>2819.0</v>
      </c>
      <c r="B2820" s="8" t="s">
        <v>4179</v>
      </c>
      <c r="C2820" s="8" t="s">
        <v>21</v>
      </c>
      <c r="K2820" s="8">
        <v>100.0</v>
      </c>
      <c r="N2820" s="7">
        <v>45201.0</v>
      </c>
    </row>
    <row r="2821">
      <c r="A2821" s="8">
        <v>2820.0</v>
      </c>
      <c r="B2821" s="8" t="s">
        <v>4180</v>
      </c>
      <c r="C2821" s="8" t="s">
        <v>21</v>
      </c>
      <c r="K2821" s="8">
        <v>10.0</v>
      </c>
      <c r="N2821" s="7">
        <v>45259.0</v>
      </c>
    </row>
    <row r="2822">
      <c r="A2822" s="8">
        <v>2821.0</v>
      </c>
      <c r="B2822" s="8" t="s">
        <v>4181</v>
      </c>
      <c r="C2822" s="8" t="s">
        <v>21</v>
      </c>
      <c r="K2822" s="8">
        <v>400.0</v>
      </c>
      <c r="N2822" s="7">
        <v>44886.0</v>
      </c>
    </row>
    <row r="2823">
      <c r="A2823" s="8">
        <v>2822.0</v>
      </c>
      <c r="B2823" s="8" t="s">
        <v>4182</v>
      </c>
      <c r="C2823" s="8" t="s">
        <v>21</v>
      </c>
      <c r="K2823" s="8">
        <v>20.0</v>
      </c>
      <c r="N2823" s="7">
        <v>44828.0</v>
      </c>
    </row>
    <row r="2824">
      <c r="A2824" s="8">
        <v>2823.0</v>
      </c>
      <c r="B2824" s="8" t="s">
        <v>4183</v>
      </c>
      <c r="C2824" s="8" t="s">
        <v>21</v>
      </c>
      <c r="F2824" s="8">
        <v>0.4</v>
      </c>
      <c r="K2824" s="8">
        <v>10.0</v>
      </c>
      <c r="N2824" s="7">
        <v>44226.0</v>
      </c>
    </row>
    <row r="2825">
      <c r="A2825" s="8">
        <v>2824.0</v>
      </c>
      <c r="B2825" s="8" t="s">
        <v>224</v>
      </c>
      <c r="C2825" s="8" t="s">
        <v>21</v>
      </c>
      <c r="N2825" s="7">
        <v>45064.0</v>
      </c>
    </row>
    <row r="2826">
      <c r="A2826" s="8">
        <v>2825.0</v>
      </c>
      <c r="B2826" s="8" t="s">
        <v>4184</v>
      </c>
      <c r="C2826" s="8" t="s">
        <v>21</v>
      </c>
      <c r="K2826" s="8">
        <v>200.0</v>
      </c>
      <c r="N2826" s="7">
        <v>44493.0</v>
      </c>
    </row>
    <row r="2827">
      <c r="A2827" s="8">
        <v>2826.0</v>
      </c>
      <c r="B2827" s="8" t="s">
        <v>4185</v>
      </c>
      <c r="C2827" s="8" t="s">
        <v>21</v>
      </c>
      <c r="K2827" s="8">
        <v>60.0</v>
      </c>
      <c r="N2827" s="7">
        <v>44435.0</v>
      </c>
    </row>
    <row r="2828">
      <c r="A2828" s="8">
        <v>2827.0</v>
      </c>
      <c r="B2828" s="8" t="s">
        <v>4186</v>
      </c>
      <c r="C2828" s="8" t="s">
        <v>21</v>
      </c>
      <c r="K2828" s="8">
        <v>700.0</v>
      </c>
      <c r="N2828" s="7">
        <v>43947.0</v>
      </c>
    </row>
    <row r="2829">
      <c r="A2829" s="8">
        <v>2828.0</v>
      </c>
      <c r="B2829" s="8" t="s">
        <v>4187</v>
      </c>
      <c r="C2829" s="8" t="s">
        <v>21</v>
      </c>
      <c r="N2829" s="7">
        <v>45111.0</v>
      </c>
    </row>
    <row r="2830">
      <c r="A2830" s="8">
        <v>2829.0</v>
      </c>
      <c r="B2830" s="8" t="s">
        <v>4188</v>
      </c>
      <c r="C2830" s="8" t="s">
        <v>21</v>
      </c>
      <c r="K2830" s="8">
        <v>70.0</v>
      </c>
      <c r="N2830" s="7">
        <v>44520.0</v>
      </c>
    </row>
    <row r="2831">
      <c r="A2831" s="8">
        <v>2830.0</v>
      </c>
      <c r="B2831" s="8" t="s">
        <v>4189</v>
      </c>
      <c r="C2831" s="8" t="s">
        <v>21</v>
      </c>
      <c r="N2831" s="7">
        <v>44138.0</v>
      </c>
    </row>
    <row r="2832">
      <c r="A2832" s="8">
        <v>2831.0</v>
      </c>
      <c r="B2832" s="8" t="s">
        <v>4190</v>
      </c>
      <c r="C2832" s="8" t="s">
        <v>21</v>
      </c>
      <c r="K2832" s="8">
        <v>3100.0</v>
      </c>
      <c r="N2832" s="7">
        <v>44085.0</v>
      </c>
    </row>
    <row r="2833">
      <c r="A2833" s="8">
        <v>2832.0</v>
      </c>
      <c r="B2833" s="8" t="s">
        <v>4191</v>
      </c>
      <c r="C2833" s="8" t="s">
        <v>21</v>
      </c>
      <c r="K2833" s="8">
        <v>600.0</v>
      </c>
      <c r="N2833" s="7">
        <v>44272.0</v>
      </c>
    </row>
    <row r="2834">
      <c r="A2834" s="8">
        <v>2833.0</v>
      </c>
      <c r="B2834" s="8" t="s">
        <v>4192</v>
      </c>
      <c r="C2834" s="8" t="s">
        <v>21</v>
      </c>
      <c r="K2834" s="8">
        <v>1000.0</v>
      </c>
      <c r="N2834" s="7">
        <v>44972.0</v>
      </c>
    </row>
    <row r="2835">
      <c r="A2835" s="8">
        <v>2834.0</v>
      </c>
      <c r="B2835" s="8" t="s">
        <v>4193</v>
      </c>
      <c r="C2835" s="8" t="s">
        <v>21</v>
      </c>
      <c r="N2835" s="7">
        <v>43946.0</v>
      </c>
      <c r="O2835" s="8" t="s">
        <v>127</v>
      </c>
      <c r="P2835" s="8" t="s">
        <v>28</v>
      </c>
      <c r="S2835" s="8" t="s">
        <v>32</v>
      </c>
    </row>
    <row r="2836">
      <c r="A2836" s="8">
        <v>2835.0</v>
      </c>
      <c r="B2836" s="8" t="s">
        <v>4194</v>
      </c>
      <c r="C2836" s="8" t="s">
        <v>21</v>
      </c>
      <c r="N2836" s="7">
        <v>43868.0</v>
      </c>
    </row>
    <row r="2837">
      <c r="A2837" s="8">
        <v>2836.0</v>
      </c>
      <c r="B2837" s="8" t="s">
        <v>4195</v>
      </c>
      <c r="C2837" s="8" t="s">
        <v>21</v>
      </c>
      <c r="K2837" s="8">
        <v>20.0</v>
      </c>
      <c r="N2837" s="7">
        <v>44059.0</v>
      </c>
    </row>
    <row r="2838">
      <c r="A2838" s="8">
        <v>2837.0</v>
      </c>
      <c r="B2838" s="8" t="s">
        <v>4196</v>
      </c>
      <c r="C2838" s="8" t="s">
        <v>21</v>
      </c>
      <c r="K2838" s="8">
        <v>600.0</v>
      </c>
      <c r="N2838" s="7">
        <v>43876.0</v>
      </c>
    </row>
    <row r="2839">
      <c r="A2839" s="8">
        <v>2838.0</v>
      </c>
      <c r="B2839" s="8" t="s">
        <v>4197</v>
      </c>
      <c r="C2839" s="8" t="s">
        <v>21</v>
      </c>
      <c r="K2839" s="8">
        <v>7000.0</v>
      </c>
      <c r="N2839" s="7">
        <v>45194.0</v>
      </c>
    </row>
    <row r="2840">
      <c r="A2840" s="8">
        <v>2839.0</v>
      </c>
      <c r="B2840" s="8" t="s">
        <v>4198</v>
      </c>
      <c r="C2840" s="8" t="s">
        <v>21</v>
      </c>
      <c r="K2840" s="8">
        <v>450.0</v>
      </c>
      <c r="N2840" s="7">
        <v>44131.0</v>
      </c>
      <c r="O2840" s="8" t="s">
        <v>147</v>
      </c>
      <c r="P2840" s="8" t="s">
        <v>28</v>
      </c>
      <c r="S2840" s="8" t="s">
        <v>32</v>
      </c>
    </row>
    <row r="2841">
      <c r="A2841" s="8">
        <v>2840.0</v>
      </c>
      <c r="B2841" s="8" t="s">
        <v>4199</v>
      </c>
      <c r="C2841" s="8" t="s">
        <v>21</v>
      </c>
      <c r="K2841" s="8">
        <v>250.0</v>
      </c>
      <c r="N2841" s="7">
        <v>44208.0</v>
      </c>
    </row>
    <row r="2842">
      <c r="A2842" s="8">
        <v>2841.0</v>
      </c>
      <c r="B2842" s="8" t="s">
        <v>4200</v>
      </c>
      <c r="C2842" s="8" t="s">
        <v>21</v>
      </c>
      <c r="K2842" s="8">
        <v>40.0</v>
      </c>
      <c r="N2842" s="7">
        <v>44090.0</v>
      </c>
    </row>
    <row r="2843">
      <c r="A2843" s="8">
        <v>2842.0</v>
      </c>
      <c r="B2843" s="8" t="s">
        <v>4201</v>
      </c>
      <c r="C2843" s="8" t="s">
        <v>21</v>
      </c>
      <c r="K2843" s="8">
        <v>80.0</v>
      </c>
      <c r="N2843" s="7">
        <v>44543.0</v>
      </c>
    </row>
    <row r="2844">
      <c r="A2844" s="8">
        <v>2843.0</v>
      </c>
      <c r="B2844" s="8" t="s">
        <v>4202</v>
      </c>
      <c r="C2844" s="8" t="s">
        <v>21</v>
      </c>
      <c r="K2844" s="8">
        <v>600.0</v>
      </c>
      <c r="N2844" s="7">
        <v>45082.0</v>
      </c>
    </row>
    <row r="2845">
      <c r="A2845" s="8">
        <v>2844.0</v>
      </c>
      <c r="B2845" s="8" t="s">
        <v>4203</v>
      </c>
      <c r="C2845" s="8" t="s">
        <v>21</v>
      </c>
      <c r="N2845" s="7">
        <v>45565.0</v>
      </c>
    </row>
    <row r="2846">
      <c r="A2846" s="8">
        <v>2845.0</v>
      </c>
      <c r="B2846" s="8" t="s">
        <v>4204</v>
      </c>
      <c r="C2846" s="8" t="s">
        <v>21</v>
      </c>
      <c r="K2846" s="8">
        <v>20.0</v>
      </c>
      <c r="N2846" s="7">
        <v>44649.0</v>
      </c>
    </row>
    <row r="2847">
      <c r="A2847" s="8">
        <v>2846.0</v>
      </c>
      <c r="B2847" s="8" t="s">
        <v>4205</v>
      </c>
      <c r="C2847" s="8" t="s">
        <v>21</v>
      </c>
      <c r="K2847" s="8">
        <v>150.0</v>
      </c>
      <c r="N2847" s="7">
        <v>45874.0</v>
      </c>
    </row>
    <row r="2848">
      <c r="A2848" s="8">
        <v>2847.0</v>
      </c>
      <c r="B2848" s="8" t="s">
        <v>4206</v>
      </c>
      <c r="C2848" s="8" t="s">
        <v>21</v>
      </c>
      <c r="K2848" s="8">
        <v>30.0</v>
      </c>
      <c r="N2848" s="7">
        <v>44498.0</v>
      </c>
    </row>
    <row r="2849">
      <c r="A2849" s="8">
        <v>2848.0</v>
      </c>
      <c r="B2849" s="8" t="s">
        <v>4207</v>
      </c>
      <c r="C2849" s="8" t="s">
        <v>21</v>
      </c>
      <c r="K2849" s="8">
        <v>20.0</v>
      </c>
      <c r="N2849" s="7">
        <v>42311.0</v>
      </c>
    </row>
    <row r="2850">
      <c r="A2850" s="8">
        <v>2849.0</v>
      </c>
      <c r="B2850" s="8" t="s">
        <v>4208</v>
      </c>
      <c r="C2850" s="8" t="s">
        <v>21</v>
      </c>
      <c r="N2850" s="7">
        <v>45859.0</v>
      </c>
    </row>
    <row r="2851">
      <c r="A2851" s="8">
        <v>2850.0</v>
      </c>
      <c r="B2851" s="8" t="s">
        <v>4209</v>
      </c>
      <c r="C2851" s="8" t="s">
        <v>21</v>
      </c>
      <c r="K2851" s="8">
        <v>60.0</v>
      </c>
      <c r="N2851" s="7">
        <v>44464.0</v>
      </c>
    </row>
    <row r="2852">
      <c r="A2852" s="8">
        <v>2851.0</v>
      </c>
      <c r="B2852" s="8" t="s">
        <v>4210</v>
      </c>
      <c r="C2852" s="8" t="s">
        <v>21</v>
      </c>
      <c r="K2852" s="8">
        <v>450.0</v>
      </c>
      <c r="N2852" s="7">
        <v>44463.0</v>
      </c>
    </row>
    <row r="2853">
      <c r="A2853" s="8">
        <v>2852.0</v>
      </c>
      <c r="B2853" s="8" t="s">
        <v>4211</v>
      </c>
      <c r="C2853" s="8" t="s">
        <v>21</v>
      </c>
      <c r="K2853" s="8">
        <v>250.0</v>
      </c>
      <c r="N2853" s="7">
        <v>44828.0</v>
      </c>
    </row>
    <row r="2854">
      <c r="A2854" s="8">
        <v>2853.0</v>
      </c>
      <c r="B2854" s="8" t="s">
        <v>4212</v>
      </c>
      <c r="C2854" s="8" t="s">
        <v>21</v>
      </c>
      <c r="K2854" s="8">
        <v>2800.0</v>
      </c>
      <c r="N2854" s="7">
        <v>44097.0</v>
      </c>
    </row>
    <row r="2855">
      <c r="A2855" s="8">
        <v>2854.0</v>
      </c>
      <c r="B2855" s="8" t="s">
        <v>4213</v>
      </c>
      <c r="C2855" s="8" t="s">
        <v>21</v>
      </c>
      <c r="K2855" s="8">
        <v>20.0</v>
      </c>
      <c r="N2855" s="7">
        <v>42287.0</v>
      </c>
    </row>
    <row r="2856">
      <c r="A2856" s="8">
        <v>2855.0</v>
      </c>
      <c r="B2856" s="8" t="s">
        <v>4214</v>
      </c>
      <c r="C2856" s="8" t="s">
        <v>21</v>
      </c>
      <c r="K2856" s="8">
        <v>600.0</v>
      </c>
      <c r="N2856" s="7">
        <v>44820.0</v>
      </c>
    </row>
    <row r="2857">
      <c r="A2857" s="8">
        <v>2856.0</v>
      </c>
      <c r="B2857" s="8" t="s">
        <v>4215</v>
      </c>
      <c r="C2857" s="8" t="s">
        <v>21</v>
      </c>
      <c r="K2857" s="8">
        <v>200.0</v>
      </c>
      <c r="N2857" s="7">
        <v>44555.0</v>
      </c>
    </row>
    <row r="2858">
      <c r="A2858" s="8">
        <v>2857.0</v>
      </c>
      <c r="B2858" s="8" t="s">
        <v>4216</v>
      </c>
      <c r="C2858" s="8" t="s">
        <v>21</v>
      </c>
      <c r="K2858" s="8">
        <v>350.0</v>
      </c>
      <c r="N2858" s="7">
        <v>43407.0</v>
      </c>
    </row>
    <row r="2859">
      <c r="A2859" s="8">
        <v>2858.0</v>
      </c>
      <c r="B2859" s="8" t="s">
        <v>4217</v>
      </c>
      <c r="C2859" s="8" t="s">
        <v>21</v>
      </c>
      <c r="K2859" s="8">
        <v>300.0</v>
      </c>
      <c r="N2859" s="7">
        <v>44851.0</v>
      </c>
    </row>
    <row r="2860">
      <c r="A2860" s="8">
        <v>2859.0</v>
      </c>
      <c r="B2860" s="8" t="s">
        <v>4218</v>
      </c>
      <c r="C2860" s="8" t="s">
        <v>21</v>
      </c>
      <c r="K2860" s="8">
        <v>1300.0</v>
      </c>
      <c r="N2860" s="7">
        <v>44790.0</v>
      </c>
    </row>
    <row r="2861">
      <c r="A2861" s="8">
        <v>2860.0</v>
      </c>
      <c r="B2861" s="8" t="s">
        <v>4219</v>
      </c>
      <c r="C2861" s="8" t="s">
        <v>21</v>
      </c>
      <c r="K2861" s="8">
        <v>60.0</v>
      </c>
      <c r="N2861" s="7">
        <v>44923.0</v>
      </c>
    </row>
    <row r="2862">
      <c r="A2862" s="8">
        <v>2861.0</v>
      </c>
      <c r="B2862" s="8" t="s">
        <v>4220</v>
      </c>
      <c r="C2862" s="8" t="s">
        <v>21</v>
      </c>
      <c r="K2862" s="8">
        <v>2200.0</v>
      </c>
      <c r="N2862" s="7">
        <v>42869.0</v>
      </c>
    </row>
    <row r="2863">
      <c r="A2863" s="8">
        <v>2862.0</v>
      </c>
      <c r="B2863" s="8" t="s">
        <v>4221</v>
      </c>
      <c r="C2863" s="8" t="s">
        <v>21</v>
      </c>
      <c r="K2863" s="8">
        <v>10.0</v>
      </c>
      <c r="N2863" s="7">
        <v>44631.0</v>
      </c>
    </row>
    <row r="2864">
      <c r="A2864" s="8">
        <v>2863.0</v>
      </c>
      <c r="B2864" s="8" t="s">
        <v>4222</v>
      </c>
      <c r="C2864" s="8" t="s">
        <v>21</v>
      </c>
      <c r="N2864" s="7">
        <v>44210.0</v>
      </c>
    </row>
    <row r="2865">
      <c r="A2865" s="8">
        <v>2864.0</v>
      </c>
      <c r="B2865" s="8" t="s">
        <v>4223</v>
      </c>
      <c r="C2865" s="8" t="s">
        <v>21</v>
      </c>
      <c r="K2865" s="8">
        <v>20.0</v>
      </c>
      <c r="N2865" s="7">
        <v>44423.0</v>
      </c>
    </row>
    <row r="2866">
      <c r="A2866" s="8">
        <v>2865.0</v>
      </c>
      <c r="B2866" s="8" t="s">
        <v>4224</v>
      </c>
      <c r="C2866" s="8" t="s">
        <v>21</v>
      </c>
      <c r="K2866" s="8">
        <v>40.0</v>
      </c>
      <c r="N2866" s="7">
        <v>44854.0</v>
      </c>
    </row>
    <row r="2867">
      <c r="A2867" s="8">
        <v>2866.0</v>
      </c>
      <c r="B2867" s="8" t="s">
        <v>4225</v>
      </c>
      <c r="C2867" s="8" t="s">
        <v>21</v>
      </c>
      <c r="K2867" s="8">
        <v>40.0</v>
      </c>
      <c r="N2867" s="7">
        <v>45577.0</v>
      </c>
    </row>
    <row r="2868">
      <c r="A2868" s="8">
        <v>2867.0</v>
      </c>
      <c r="B2868" s="8" t="s">
        <v>4226</v>
      </c>
      <c r="C2868" s="8" t="s">
        <v>21</v>
      </c>
      <c r="K2868" s="8">
        <v>5000.0</v>
      </c>
      <c r="N2868" s="7">
        <v>44353.0</v>
      </c>
    </row>
    <row r="2869">
      <c r="A2869" s="8">
        <v>2868.0</v>
      </c>
      <c r="B2869" s="8" t="s">
        <v>4227</v>
      </c>
      <c r="C2869" s="8" t="s">
        <v>21</v>
      </c>
      <c r="K2869" s="8">
        <v>8700.0</v>
      </c>
      <c r="N2869" s="7">
        <v>45151.0</v>
      </c>
    </row>
    <row r="2870">
      <c r="A2870" s="8">
        <v>2869.0</v>
      </c>
      <c r="B2870" s="8" t="s">
        <v>4228</v>
      </c>
      <c r="C2870" s="8" t="s">
        <v>21</v>
      </c>
      <c r="K2870" s="8">
        <v>10.0</v>
      </c>
      <c r="N2870" s="7">
        <v>44307.0</v>
      </c>
    </row>
    <row r="2871">
      <c r="A2871" s="8">
        <v>2870.0</v>
      </c>
      <c r="B2871" s="8" t="s">
        <v>4229</v>
      </c>
      <c r="C2871" s="8" t="s">
        <v>21</v>
      </c>
      <c r="K2871" s="8">
        <v>80.0</v>
      </c>
      <c r="N2871" s="7">
        <v>44306.0</v>
      </c>
    </row>
    <row r="2872">
      <c r="A2872" s="8">
        <v>2871.0</v>
      </c>
      <c r="B2872" s="8" t="s">
        <v>4230</v>
      </c>
      <c r="C2872" s="8" t="s">
        <v>21</v>
      </c>
      <c r="K2872" s="8">
        <v>400.0</v>
      </c>
      <c r="N2872" s="7">
        <v>43855.0</v>
      </c>
    </row>
    <row r="2873">
      <c r="A2873" s="8">
        <v>2872.0</v>
      </c>
      <c r="B2873" s="8" t="s">
        <v>4231</v>
      </c>
      <c r="C2873" s="8" t="s">
        <v>21</v>
      </c>
      <c r="K2873" s="8">
        <v>3400.0</v>
      </c>
      <c r="N2873" s="7">
        <v>44260.0</v>
      </c>
    </row>
    <row r="2874">
      <c r="A2874" s="8">
        <v>2873.0</v>
      </c>
      <c r="B2874" s="8" t="s">
        <v>4232</v>
      </c>
      <c r="C2874" s="8" t="s">
        <v>21</v>
      </c>
      <c r="K2874" s="8">
        <v>70.0</v>
      </c>
      <c r="N2874" s="7">
        <v>44528.0</v>
      </c>
    </row>
    <row r="2875">
      <c r="A2875" s="8">
        <v>2874.0</v>
      </c>
      <c r="B2875" s="8" t="s">
        <v>4233</v>
      </c>
      <c r="C2875" s="8" t="s">
        <v>21</v>
      </c>
      <c r="K2875" s="8">
        <v>1800.0</v>
      </c>
      <c r="N2875" s="7">
        <v>44447.0</v>
      </c>
    </row>
    <row r="2876">
      <c r="A2876" s="8">
        <v>2875.0</v>
      </c>
      <c r="B2876" s="8" t="s">
        <v>4234</v>
      </c>
      <c r="C2876" s="8" t="s">
        <v>21</v>
      </c>
      <c r="K2876" s="8">
        <v>1200.0</v>
      </c>
      <c r="N2876" s="7">
        <v>44141.0</v>
      </c>
      <c r="O2876" s="8" t="s">
        <v>107</v>
      </c>
      <c r="P2876" s="8" t="s">
        <v>28</v>
      </c>
      <c r="S2876" s="8" t="s">
        <v>32</v>
      </c>
    </row>
    <row r="2877">
      <c r="A2877" s="8">
        <v>2876.0</v>
      </c>
      <c r="B2877" s="8" t="s">
        <v>4235</v>
      </c>
      <c r="C2877" s="8" t="s">
        <v>21</v>
      </c>
      <c r="K2877" s="8">
        <v>300.0</v>
      </c>
      <c r="N2877" s="7">
        <v>45102.0</v>
      </c>
    </row>
    <row r="2878">
      <c r="A2878" s="8">
        <v>2877.0</v>
      </c>
      <c r="B2878" s="8" t="s">
        <v>4236</v>
      </c>
      <c r="C2878" s="8" t="s">
        <v>21</v>
      </c>
      <c r="K2878" s="8">
        <v>100.0</v>
      </c>
      <c r="N2878" s="7">
        <v>45409.0</v>
      </c>
    </row>
    <row r="2879">
      <c r="A2879" s="8">
        <v>2878.0</v>
      </c>
      <c r="B2879" s="8" t="s">
        <v>4237</v>
      </c>
      <c r="C2879" s="8" t="s">
        <v>21</v>
      </c>
      <c r="N2879" s="7">
        <v>44240.0</v>
      </c>
    </row>
    <row r="2880">
      <c r="A2880" s="8">
        <v>2879.0</v>
      </c>
      <c r="B2880" s="8" t="s">
        <v>4238</v>
      </c>
      <c r="C2880" s="8" t="s">
        <v>21</v>
      </c>
      <c r="K2880" s="8">
        <v>70.0</v>
      </c>
      <c r="N2880" s="7">
        <v>44131.0</v>
      </c>
    </row>
    <row r="2881">
      <c r="A2881" s="8">
        <v>2880.0</v>
      </c>
      <c r="B2881" s="8" t="s">
        <v>4239</v>
      </c>
      <c r="C2881" s="8" t="s">
        <v>21</v>
      </c>
      <c r="K2881" s="8">
        <v>1900.0</v>
      </c>
      <c r="N2881" s="7">
        <v>44132.0</v>
      </c>
    </row>
    <row r="2882">
      <c r="A2882" s="8">
        <v>2881.0</v>
      </c>
      <c r="B2882" s="8" t="s">
        <v>4240</v>
      </c>
      <c r="C2882" s="8" t="s">
        <v>21</v>
      </c>
      <c r="K2882" s="8">
        <v>100.0</v>
      </c>
      <c r="N2882" s="7">
        <v>42281.0</v>
      </c>
    </row>
    <row r="2883">
      <c r="A2883" s="8">
        <v>2882.0</v>
      </c>
      <c r="B2883" s="8" t="s">
        <v>4241</v>
      </c>
      <c r="C2883" s="8" t="s">
        <v>21</v>
      </c>
      <c r="N2883" s="7">
        <v>44934.0</v>
      </c>
    </row>
    <row r="2884">
      <c r="A2884" s="8">
        <v>2883.0</v>
      </c>
      <c r="B2884" s="8" t="s">
        <v>4242</v>
      </c>
      <c r="C2884" s="8" t="s">
        <v>21</v>
      </c>
      <c r="K2884" s="8">
        <v>10.0</v>
      </c>
      <c r="N2884" s="7">
        <v>44267.0</v>
      </c>
    </row>
    <row r="2885">
      <c r="A2885" s="8">
        <v>2884.0</v>
      </c>
      <c r="B2885" s="8" t="s">
        <v>4243</v>
      </c>
      <c r="C2885" s="8" t="s">
        <v>21</v>
      </c>
      <c r="K2885" s="8">
        <v>90.0</v>
      </c>
      <c r="N2885" s="7">
        <v>44728.0</v>
      </c>
    </row>
    <row r="2886">
      <c r="A2886" s="8">
        <v>2885.0</v>
      </c>
      <c r="B2886" s="8" t="s">
        <v>4244</v>
      </c>
      <c r="C2886" s="8" t="s">
        <v>21</v>
      </c>
      <c r="K2886" s="8">
        <v>50.0</v>
      </c>
      <c r="N2886" s="7">
        <v>45256.0</v>
      </c>
    </row>
    <row r="2887">
      <c r="A2887" s="8">
        <v>2886.0</v>
      </c>
      <c r="B2887" s="8" t="s">
        <v>4245</v>
      </c>
      <c r="C2887" s="8" t="s">
        <v>21</v>
      </c>
      <c r="N2887" s="7">
        <v>44152.0</v>
      </c>
    </row>
    <row r="2888">
      <c r="A2888" s="8">
        <v>2887.0</v>
      </c>
      <c r="B2888" s="8" t="s">
        <v>4246</v>
      </c>
      <c r="C2888" s="8" t="s">
        <v>21</v>
      </c>
      <c r="K2888" s="8">
        <v>600.0</v>
      </c>
      <c r="N2888" s="7">
        <v>44211.0</v>
      </c>
    </row>
    <row r="2889">
      <c r="A2889" s="8">
        <v>2888.0</v>
      </c>
      <c r="B2889" s="8" t="s">
        <v>4247</v>
      </c>
      <c r="C2889" s="8" t="s">
        <v>21</v>
      </c>
      <c r="K2889" s="8">
        <v>900.0</v>
      </c>
      <c r="N2889" s="7">
        <v>44021.0</v>
      </c>
    </row>
    <row r="2890">
      <c r="A2890" s="8">
        <v>2889.0</v>
      </c>
      <c r="B2890" s="8" t="s">
        <v>4248</v>
      </c>
      <c r="C2890" s="8" t="s">
        <v>21</v>
      </c>
      <c r="K2890" s="8">
        <v>1200.0</v>
      </c>
      <c r="N2890" s="7">
        <v>44866.0</v>
      </c>
    </row>
    <row r="2891">
      <c r="A2891" s="8">
        <v>2890.0</v>
      </c>
      <c r="B2891" s="8" t="s">
        <v>4249</v>
      </c>
      <c r="C2891" s="8" t="s">
        <v>21</v>
      </c>
      <c r="K2891" s="8">
        <v>200.0</v>
      </c>
      <c r="N2891" s="7">
        <v>44923.0</v>
      </c>
    </row>
    <row r="2892">
      <c r="A2892" s="8">
        <v>2891.0</v>
      </c>
      <c r="B2892" s="8" t="s">
        <v>4250</v>
      </c>
      <c r="C2892" s="8" t="s">
        <v>21</v>
      </c>
      <c r="K2892" s="8">
        <v>60.0</v>
      </c>
      <c r="N2892" s="7">
        <v>45339.0</v>
      </c>
    </row>
    <row r="2893">
      <c r="A2893" s="8">
        <v>2892.0</v>
      </c>
      <c r="B2893" s="8" t="s">
        <v>4251</v>
      </c>
      <c r="C2893" s="8" t="s">
        <v>21</v>
      </c>
      <c r="K2893" s="8">
        <v>150.0</v>
      </c>
      <c r="N2893" s="7">
        <v>44171.0</v>
      </c>
    </row>
    <row r="2894">
      <c r="A2894" s="8">
        <v>2893.0</v>
      </c>
      <c r="B2894" s="8" t="s">
        <v>4252</v>
      </c>
      <c r="C2894" s="8" t="s">
        <v>21</v>
      </c>
      <c r="K2894" s="8">
        <v>10.0</v>
      </c>
      <c r="N2894" s="7">
        <v>44657.0</v>
      </c>
    </row>
    <row r="2895">
      <c r="A2895" s="8">
        <v>2894.0</v>
      </c>
      <c r="B2895" s="8" t="s">
        <v>4253</v>
      </c>
      <c r="C2895" s="8" t="s">
        <v>21</v>
      </c>
      <c r="K2895" s="8">
        <v>100.0</v>
      </c>
      <c r="N2895" s="7">
        <v>45568.0</v>
      </c>
    </row>
    <row r="2896">
      <c r="A2896" s="8">
        <v>2895.0</v>
      </c>
      <c r="B2896" s="8" t="s">
        <v>4254</v>
      </c>
      <c r="C2896" s="8" t="s">
        <v>21</v>
      </c>
      <c r="K2896" s="8">
        <v>300.0</v>
      </c>
      <c r="N2896" s="7">
        <v>44629.0</v>
      </c>
    </row>
    <row r="2897">
      <c r="A2897" s="8">
        <v>2896.0</v>
      </c>
      <c r="B2897" s="8" t="s">
        <v>4255</v>
      </c>
      <c r="C2897" s="8" t="s">
        <v>21</v>
      </c>
      <c r="K2897" s="8">
        <v>1400.0</v>
      </c>
      <c r="N2897" s="7">
        <v>44116.0</v>
      </c>
    </row>
    <row r="2898">
      <c r="A2898" s="8">
        <v>2897.0</v>
      </c>
      <c r="B2898" s="8" t="s">
        <v>3015</v>
      </c>
      <c r="C2898" s="8" t="s">
        <v>21</v>
      </c>
      <c r="D2898" s="8">
        <v>80.0</v>
      </c>
      <c r="H2898" s="8" t="s">
        <v>20</v>
      </c>
      <c r="I2898" s="9">
        <v>46085.46328703704</v>
      </c>
      <c r="J2898" s="8" t="s">
        <v>58</v>
      </c>
      <c r="K2898" s="8">
        <v>2400.0</v>
      </c>
      <c r="L2898" s="8">
        <v>1500.0</v>
      </c>
      <c r="M2898" s="8">
        <v>46000.0</v>
      </c>
      <c r="N2898" s="7">
        <v>43863.0</v>
      </c>
      <c r="O2898" s="8" t="s">
        <v>31</v>
      </c>
      <c r="P2898" s="8" t="s">
        <v>28</v>
      </c>
      <c r="S2898" s="8" t="s">
        <v>32</v>
      </c>
    </row>
    <row r="2899">
      <c r="A2899" s="8">
        <v>2898.0</v>
      </c>
      <c r="B2899" s="8" t="s">
        <v>3019</v>
      </c>
      <c r="C2899" s="8" t="s">
        <v>21</v>
      </c>
      <c r="D2899" s="8">
        <v>77.0</v>
      </c>
      <c r="H2899" s="8" t="s">
        <v>123</v>
      </c>
      <c r="I2899" s="9">
        <v>46125.045219907406</v>
      </c>
      <c r="L2899" s="8">
        <v>700.0</v>
      </c>
      <c r="M2899" s="8">
        <v>205000.0</v>
      </c>
      <c r="N2899" s="7">
        <v>42419.0</v>
      </c>
      <c r="O2899" s="8" t="s">
        <v>147</v>
      </c>
      <c r="P2899" s="8" t="s">
        <v>28</v>
      </c>
      <c r="S2899" s="8" t="s">
        <v>32</v>
      </c>
    </row>
    <row r="2900">
      <c r="A2900" s="8">
        <v>2899.0</v>
      </c>
      <c r="B2900" s="8" t="s">
        <v>4256</v>
      </c>
      <c r="C2900" s="8" t="s">
        <v>21</v>
      </c>
      <c r="N2900" s="7">
        <v>43916.0</v>
      </c>
    </row>
    <row r="2901">
      <c r="A2901" s="8">
        <v>2900.0</v>
      </c>
      <c r="B2901" s="8" t="s">
        <v>4257</v>
      </c>
      <c r="C2901" s="8" t="s">
        <v>21</v>
      </c>
      <c r="K2901" s="8">
        <v>1700.0</v>
      </c>
      <c r="N2901" s="7">
        <v>44610.0</v>
      </c>
    </row>
    <row r="2902">
      <c r="A2902" s="8">
        <v>2901.0</v>
      </c>
      <c r="B2902" s="8" t="s">
        <v>4258</v>
      </c>
      <c r="C2902" s="8" t="s">
        <v>21</v>
      </c>
      <c r="N2902" s="7">
        <v>45055.0</v>
      </c>
    </row>
    <row r="2903">
      <c r="A2903" s="8">
        <v>2902.0</v>
      </c>
      <c r="B2903" s="8" t="s">
        <v>4259</v>
      </c>
      <c r="C2903" s="8" t="s">
        <v>21</v>
      </c>
      <c r="K2903" s="8">
        <v>400.0</v>
      </c>
      <c r="N2903" s="7">
        <v>44632.0</v>
      </c>
    </row>
    <row r="2904">
      <c r="A2904" s="8">
        <v>2903.0</v>
      </c>
      <c r="B2904" s="8" t="s">
        <v>4260</v>
      </c>
      <c r="C2904" s="8" t="s">
        <v>21</v>
      </c>
      <c r="K2904" s="8">
        <v>300.0</v>
      </c>
      <c r="N2904" s="7">
        <v>43889.0</v>
      </c>
    </row>
    <row r="2905">
      <c r="A2905" s="8">
        <v>2904.0</v>
      </c>
      <c r="B2905" s="8" t="s">
        <v>4261</v>
      </c>
      <c r="C2905" s="8" t="s">
        <v>21</v>
      </c>
      <c r="K2905" s="8">
        <v>200.0</v>
      </c>
      <c r="N2905" s="7">
        <v>44109.0</v>
      </c>
    </row>
    <row r="2906">
      <c r="A2906" s="8">
        <v>2905.0</v>
      </c>
      <c r="B2906" s="8" t="s">
        <v>4262</v>
      </c>
      <c r="C2906" s="8" t="s">
        <v>21</v>
      </c>
      <c r="K2906" s="8">
        <v>10.0</v>
      </c>
      <c r="N2906" s="7">
        <v>44339.0</v>
      </c>
    </row>
    <row r="2907">
      <c r="A2907" s="8">
        <v>2906.0</v>
      </c>
      <c r="B2907" s="8" t="s">
        <v>4263</v>
      </c>
      <c r="C2907" s="8" t="s">
        <v>21</v>
      </c>
      <c r="K2907" s="8">
        <v>70.0</v>
      </c>
      <c r="N2907" s="7">
        <v>45445.0</v>
      </c>
    </row>
    <row r="2908">
      <c r="A2908" s="8">
        <v>2907.0</v>
      </c>
      <c r="B2908" s="8" t="s">
        <v>4264</v>
      </c>
      <c r="C2908" s="8" t="s">
        <v>21</v>
      </c>
      <c r="K2908" s="8">
        <v>1000.0</v>
      </c>
      <c r="N2908" s="7">
        <v>45143.0</v>
      </c>
    </row>
    <row r="2909">
      <c r="A2909" s="8">
        <v>2908.0</v>
      </c>
      <c r="B2909" s="8" t="s">
        <v>4265</v>
      </c>
      <c r="C2909" s="8" t="s">
        <v>21</v>
      </c>
      <c r="K2909" s="8">
        <v>200.0</v>
      </c>
      <c r="N2909" s="7">
        <v>44707.0</v>
      </c>
    </row>
    <row r="2910">
      <c r="A2910" s="8">
        <v>2909.0</v>
      </c>
      <c r="B2910" s="8" t="s">
        <v>4266</v>
      </c>
      <c r="C2910" s="8" t="s">
        <v>21</v>
      </c>
      <c r="K2910" s="8">
        <v>2300.0</v>
      </c>
      <c r="N2910" s="7">
        <v>43901.0</v>
      </c>
    </row>
    <row r="2911">
      <c r="A2911" s="8">
        <v>2910.0</v>
      </c>
      <c r="B2911" s="8" t="s">
        <v>4267</v>
      </c>
      <c r="C2911" s="8" t="s">
        <v>21</v>
      </c>
      <c r="K2911" s="8">
        <v>200.0</v>
      </c>
      <c r="N2911" s="7">
        <v>44497.0</v>
      </c>
    </row>
    <row r="2912">
      <c r="A2912" s="8">
        <v>2911.0</v>
      </c>
      <c r="B2912" s="8" t="s">
        <v>4268</v>
      </c>
      <c r="C2912" s="8" t="s">
        <v>21</v>
      </c>
      <c r="N2912" s="7">
        <v>44780.0</v>
      </c>
    </row>
    <row r="2913">
      <c r="A2913" s="8">
        <v>2912.0</v>
      </c>
      <c r="B2913" s="8" t="s">
        <v>4269</v>
      </c>
      <c r="C2913" s="8" t="s">
        <v>21</v>
      </c>
      <c r="K2913" s="8">
        <v>150.0</v>
      </c>
      <c r="N2913" s="7">
        <v>44988.0</v>
      </c>
    </row>
    <row r="2914">
      <c r="A2914" s="8">
        <v>2913.0</v>
      </c>
      <c r="B2914" s="8" t="s">
        <v>4270</v>
      </c>
      <c r="C2914" s="8" t="s">
        <v>21</v>
      </c>
      <c r="N2914" s="7">
        <v>45160.0</v>
      </c>
    </row>
    <row r="2915">
      <c r="A2915" s="8">
        <v>2914.0</v>
      </c>
      <c r="B2915" s="8" t="s">
        <v>4271</v>
      </c>
      <c r="C2915" s="8" t="s">
        <v>21</v>
      </c>
      <c r="N2915" s="7">
        <v>43882.0</v>
      </c>
    </row>
    <row r="2916">
      <c r="A2916" s="8">
        <v>2915.0</v>
      </c>
      <c r="B2916" s="8" t="s">
        <v>4272</v>
      </c>
      <c r="C2916" s="8" t="s">
        <v>21</v>
      </c>
      <c r="K2916" s="8">
        <v>150.0</v>
      </c>
      <c r="N2916" s="7">
        <v>44597.0</v>
      </c>
    </row>
    <row r="2917">
      <c r="A2917" s="8">
        <v>2916.0</v>
      </c>
      <c r="B2917" s="8" t="s">
        <v>4273</v>
      </c>
      <c r="C2917" s="8" t="s">
        <v>21</v>
      </c>
      <c r="K2917" s="8">
        <v>200.0</v>
      </c>
      <c r="N2917" s="7">
        <v>45188.0</v>
      </c>
    </row>
    <row r="2918">
      <c r="A2918" s="8">
        <v>2917.0</v>
      </c>
      <c r="B2918" s="8" t="s">
        <v>4274</v>
      </c>
      <c r="C2918" s="8" t="s">
        <v>21</v>
      </c>
      <c r="K2918" s="8">
        <v>60.0</v>
      </c>
      <c r="N2918" s="7">
        <v>45592.0</v>
      </c>
    </row>
    <row r="2919">
      <c r="A2919" s="8">
        <v>2918.0</v>
      </c>
      <c r="B2919" s="8" t="s">
        <v>4275</v>
      </c>
      <c r="C2919" s="8" t="s">
        <v>21</v>
      </c>
      <c r="N2919" s="7">
        <v>44252.0</v>
      </c>
    </row>
    <row r="2920">
      <c r="A2920" s="8">
        <v>2919.0</v>
      </c>
      <c r="B2920" s="8" t="s">
        <v>4276</v>
      </c>
      <c r="C2920" s="8" t="s">
        <v>21</v>
      </c>
      <c r="K2920" s="8">
        <v>300.0</v>
      </c>
      <c r="N2920" s="7">
        <v>43046.0</v>
      </c>
    </row>
    <row r="2921">
      <c r="A2921" s="8">
        <v>2920.0</v>
      </c>
      <c r="B2921" s="8" t="s">
        <v>4277</v>
      </c>
      <c r="C2921" s="8" t="s">
        <v>21</v>
      </c>
      <c r="K2921" s="8">
        <v>200.0</v>
      </c>
      <c r="N2921" s="7">
        <v>44864.0</v>
      </c>
    </row>
    <row r="2922">
      <c r="A2922" s="8">
        <v>2921.0</v>
      </c>
      <c r="B2922" s="8" t="s">
        <v>4278</v>
      </c>
      <c r="C2922" s="8" t="s">
        <v>21</v>
      </c>
      <c r="K2922" s="8">
        <v>10.0</v>
      </c>
      <c r="N2922" s="7">
        <v>44343.0</v>
      </c>
    </row>
    <row r="2923">
      <c r="A2923" s="8">
        <v>2922.0</v>
      </c>
      <c r="B2923" s="8" t="s">
        <v>4279</v>
      </c>
      <c r="C2923" s="8" t="s">
        <v>21</v>
      </c>
      <c r="K2923" s="8">
        <v>10.0</v>
      </c>
      <c r="N2923" s="7">
        <v>44183.0</v>
      </c>
    </row>
    <row r="2924">
      <c r="A2924" s="8">
        <v>2923.0</v>
      </c>
      <c r="B2924" s="8" t="s">
        <v>4280</v>
      </c>
      <c r="C2924" s="8" t="s">
        <v>21</v>
      </c>
      <c r="K2924" s="8">
        <v>400.0</v>
      </c>
      <c r="N2924" s="7">
        <v>44892.0</v>
      </c>
    </row>
    <row r="2925">
      <c r="A2925" s="8">
        <v>2924.0</v>
      </c>
      <c r="B2925" s="8" t="s">
        <v>4281</v>
      </c>
      <c r="C2925" s="8" t="s">
        <v>21</v>
      </c>
      <c r="K2925" s="8">
        <v>800.0</v>
      </c>
      <c r="N2925" s="7">
        <v>44594.0</v>
      </c>
    </row>
    <row r="2926">
      <c r="A2926" s="8">
        <v>2925.0</v>
      </c>
      <c r="B2926" s="8" t="s">
        <v>4282</v>
      </c>
      <c r="C2926" s="8" t="s">
        <v>21</v>
      </c>
      <c r="K2926" s="8">
        <v>450.0</v>
      </c>
      <c r="N2926" s="7">
        <v>43953.0</v>
      </c>
    </row>
    <row r="2927">
      <c r="A2927" s="8">
        <v>2926.0</v>
      </c>
      <c r="B2927" s="8" t="s">
        <v>4283</v>
      </c>
      <c r="C2927" s="8" t="s">
        <v>21</v>
      </c>
      <c r="K2927" s="8">
        <v>300.0</v>
      </c>
      <c r="N2927" s="7">
        <v>44764.0</v>
      </c>
    </row>
    <row r="2928">
      <c r="A2928" s="8">
        <v>2927.0</v>
      </c>
      <c r="B2928" s="8" t="s">
        <v>4284</v>
      </c>
      <c r="C2928" s="8" t="s">
        <v>21</v>
      </c>
      <c r="K2928" s="8">
        <v>200.0</v>
      </c>
      <c r="N2928" s="7">
        <v>44613.0</v>
      </c>
    </row>
    <row r="2929">
      <c r="A2929" s="8">
        <v>2928.0</v>
      </c>
      <c r="B2929" s="8" t="s">
        <v>4285</v>
      </c>
      <c r="C2929" s="8" t="s">
        <v>21</v>
      </c>
      <c r="N2929" s="7">
        <v>42924.0</v>
      </c>
    </row>
    <row r="2930">
      <c r="A2930" s="8">
        <v>2929.0</v>
      </c>
      <c r="B2930" s="8" t="s">
        <v>4286</v>
      </c>
      <c r="C2930" s="8" t="s">
        <v>21</v>
      </c>
      <c r="K2930" s="8">
        <v>1100.0</v>
      </c>
      <c r="N2930" s="7">
        <v>44587.0</v>
      </c>
    </row>
    <row r="2931">
      <c r="A2931" s="8">
        <v>2930.0</v>
      </c>
      <c r="B2931" s="8" t="s">
        <v>4287</v>
      </c>
      <c r="C2931" s="8" t="s">
        <v>21</v>
      </c>
      <c r="K2931" s="8">
        <v>300.0</v>
      </c>
      <c r="N2931" s="7">
        <v>44508.0</v>
      </c>
    </row>
    <row r="2932">
      <c r="A2932" s="8">
        <v>2931.0</v>
      </c>
      <c r="B2932" s="8" t="s">
        <v>4288</v>
      </c>
      <c r="C2932" s="8" t="s">
        <v>21</v>
      </c>
      <c r="N2932" s="7">
        <v>45343.0</v>
      </c>
    </row>
    <row r="2933">
      <c r="A2933" s="8">
        <v>2932.0</v>
      </c>
      <c r="B2933" s="8" t="s">
        <v>4289</v>
      </c>
      <c r="C2933" s="8" t="s">
        <v>21</v>
      </c>
      <c r="K2933" s="8">
        <v>90.0</v>
      </c>
      <c r="N2933" s="7">
        <v>45839.0</v>
      </c>
    </row>
    <row r="2934">
      <c r="A2934" s="8">
        <v>2933.0</v>
      </c>
      <c r="B2934" s="8" t="s">
        <v>4290</v>
      </c>
      <c r="C2934" s="8" t="s">
        <v>21</v>
      </c>
      <c r="K2934" s="8">
        <v>600.0</v>
      </c>
      <c r="N2934" s="7">
        <v>44084.0</v>
      </c>
    </row>
    <row r="2935">
      <c r="A2935" s="8">
        <v>2934.0</v>
      </c>
      <c r="B2935" s="8" t="s">
        <v>4291</v>
      </c>
      <c r="C2935" s="8" t="s">
        <v>21</v>
      </c>
      <c r="K2935" s="8">
        <v>250.0</v>
      </c>
      <c r="N2935" s="7">
        <v>44014.0</v>
      </c>
    </row>
    <row r="2936">
      <c r="A2936" s="8">
        <v>2935.0</v>
      </c>
      <c r="B2936" s="8" t="s">
        <v>4292</v>
      </c>
      <c r="C2936" s="8" t="s">
        <v>21</v>
      </c>
      <c r="K2936" s="8">
        <v>300.0</v>
      </c>
      <c r="N2936" s="7">
        <v>44127.0</v>
      </c>
    </row>
    <row r="2937">
      <c r="A2937" s="8">
        <v>2936.0</v>
      </c>
      <c r="B2937" s="8" t="s">
        <v>4293</v>
      </c>
      <c r="C2937" s="8" t="s">
        <v>21</v>
      </c>
      <c r="K2937" s="8">
        <v>20.0</v>
      </c>
      <c r="N2937" s="7">
        <v>45152.0</v>
      </c>
    </row>
    <row r="2938">
      <c r="A2938" s="8">
        <v>2937.0</v>
      </c>
      <c r="B2938" s="8" t="s">
        <v>4294</v>
      </c>
      <c r="C2938" s="8" t="s">
        <v>21</v>
      </c>
      <c r="K2938" s="8">
        <v>1000.0</v>
      </c>
      <c r="N2938" s="7">
        <v>44158.0</v>
      </c>
    </row>
    <row r="2939">
      <c r="A2939" s="8">
        <v>2938.0</v>
      </c>
      <c r="B2939" s="8" t="s">
        <v>4295</v>
      </c>
      <c r="C2939" s="8" t="s">
        <v>21</v>
      </c>
      <c r="K2939" s="8">
        <v>900.0</v>
      </c>
      <c r="N2939" s="7">
        <v>45314.0</v>
      </c>
    </row>
    <row r="2940">
      <c r="A2940" s="8">
        <v>2939.0</v>
      </c>
      <c r="B2940" s="8" t="s">
        <v>225</v>
      </c>
      <c r="C2940" s="8" t="s">
        <v>21</v>
      </c>
      <c r="K2940" s="8">
        <v>1300.0</v>
      </c>
      <c r="N2940" s="7">
        <v>44726.0</v>
      </c>
    </row>
    <row r="2941">
      <c r="A2941" s="8">
        <v>2940.0</v>
      </c>
      <c r="B2941" s="8" t="s">
        <v>4296</v>
      </c>
      <c r="C2941" s="8" t="s">
        <v>21</v>
      </c>
      <c r="K2941" s="8">
        <v>80.0</v>
      </c>
      <c r="N2941" s="7">
        <v>45873.0</v>
      </c>
    </row>
    <row r="2942">
      <c r="A2942" s="8">
        <v>2941.0</v>
      </c>
      <c r="B2942" s="8" t="s">
        <v>4297</v>
      </c>
      <c r="C2942" s="8" t="s">
        <v>21</v>
      </c>
      <c r="K2942" s="8">
        <v>400.0</v>
      </c>
      <c r="N2942" s="7">
        <v>44926.0</v>
      </c>
    </row>
    <row r="2943">
      <c r="A2943" s="8">
        <v>2942.0</v>
      </c>
      <c r="B2943" s="8" t="s">
        <v>4298</v>
      </c>
      <c r="C2943" s="8" t="s">
        <v>21</v>
      </c>
      <c r="K2943" s="8">
        <v>3300.0</v>
      </c>
      <c r="N2943" s="7">
        <v>44855.0</v>
      </c>
    </row>
    <row r="2944">
      <c r="A2944" s="8">
        <v>2943.0</v>
      </c>
      <c r="B2944" s="8" t="s">
        <v>4299</v>
      </c>
      <c r="C2944" s="8" t="s">
        <v>21</v>
      </c>
      <c r="N2944" s="7">
        <v>43942.0</v>
      </c>
    </row>
    <row r="2945">
      <c r="A2945" s="8">
        <v>2944.0</v>
      </c>
      <c r="B2945" s="8" t="s">
        <v>4300</v>
      </c>
      <c r="C2945" s="8" t="s">
        <v>21</v>
      </c>
      <c r="K2945" s="8">
        <v>3700.0</v>
      </c>
      <c r="N2945" s="7">
        <v>44571.0</v>
      </c>
    </row>
    <row r="2946">
      <c r="A2946" s="8">
        <v>2945.0</v>
      </c>
      <c r="B2946" s="8" t="s">
        <v>4301</v>
      </c>
      <c r="C2946" s="8" t="s">
        <v>21</v>
      </c>
      <c r="K2946" s="8">
        <v>10.0</v>
      </c>
      <c r="N2946" s="7">
        <v>44910.0</v>
      </c>
    </row>
    <row r="2947">
      <c r="A2947" s="8">
        <v>2946.0</v>
      </c>
      <c r="B2947" s="8" t="s">
        <v>4302</v>
      </c>
      <c r="C2947" s="8" t="s">
        <v>21</v>
      </c>
      <c r="K2947" s="8">
        <v>900.0</v>
      </c>
      <c r="N2947" s="7">
        <v>44100.0</v>
      </c>
    </row>
    <row r="2948">
      <c r="A2948" s="8">
        <v>2947.0</v>
      </c>
      <c r="B2948" s="8" t="s">
        <v>4303</v>
      </c>
      <c r="C2948" s="8" t="s">
        <v>21</v>
      </c>
      <c r="K2948" s="8">
        <v>35000.0</v>
      </c>
      <c r="N2948" s="7">
        <v>43879.0</v>
      </c>
    </row>
    <row r="2949">
      <c r="A2949" s="8">
        <v>2948.0</v>
      </c>
      <c r="B2949" s="8" t="s">
        <v>4304</v>
      </c>
      <c r="C2949" s="8" t="s">
        <v>21</v>
      </c>
      <c r="K2949" s="8">
        <v>200.0</v>
      </c>
      <c r="N2949" s="7">
        <v>45251.0</v>
      </c>
    </row>
    <row r="2950">
      <c r="A2950" s="8">
        <v>2949.0</v>
      </c>
      <c r="B2950" s="8" t="s">
        <v>4305</v>
      </c>
      <c r="C2950" s="8" t="s">
        <v>21</v>
      </c>
      <c r="K2950" s="8">
        <v>80.0</v>
      </c>
      <c r="N2950" s="7">
        <v>44403.0</v>
      </c>
    </row>
    <row r="2951">
      <c r="A2951" s="8">
        <v>2950.0</v>
      </c>
      <c r="B2951" s="8" t="s">
        <v>4306</v>
      </c>
      <c r="C2951" s="8" t="s">
        <v>21</v>
      </c>
      <c r="K2951" s="8">
        <v>200.0</v>
      </c>
      <c r="N2951" s="7">
        <v>44626.0</v>
      </c>
    </row>
    <row r="2952">
      <c r="A2952" s="8">
        <v>2951.0</v>
      </c>
      <c r="B2952" s="8" t="s">
        <v>4307</v>
      </c>
      <c r="C2952" s="8" t="s">
        <v>21</v>
      </c>
      <c r="N2952" s="7">
        <v>45640.0</v>
      </c>
    </row>
    <row r="2953">
      <c r="A2953" s="8">
        <v>2952.0</v>
      </c>
      <c r="B2953" s="8" t="s">
        <v>4308</v>
      </c>
      <c r="C2953" s="8" t="s">
        <v>21</v>
      </c>
      <c r="K2953" s="8">
        <v>600.0</v>
      </c>
      <c r="N2953" s="7">
        <v>43870.0</v>
      </c>
    </row>
    <row r="2954">
      <c r="A2954" s="8">
        <v>2953.0</v>
      </c>
      <c r="B2954" s="8" t="s">
        <v>4309</v>
      </c>
      <c r="C2954" s="8" t="s">
        <v>21</v>
      </c>
      <c r="K2954" s="8">
        <v>10.0</v>
      </c>
      <c r="N2954" s="7">
        <v>44468.0</v>
      </c>
    </row>
    <row r="2955">
      <c r="A2955" s="8">
        <v>2954.0</v>
      </c>
      <c r="B2955" s="8" t="s">
        <v>4310</v>
      </c>
      <c r="C2955" s="8" t="s">
        <v>21</v>
      </c>
      <c r="N2955" s="7">
        <v>43881.0</v>
      </c>
      <c r="O2955" s="8" t="s">
        <v>107</v>
      </c>
      <c r="P2955" s="8" t="s">
        <v>28</v>
      </c>
      <c r="S2955" s="8" t="s">
        <v>32</v>
      </c>
    </row>
    <row r="2956">
      <c r="A2956" s="8">
        <v>2955.0</v>
      </c>
      <c r="B2956" s="8" t="s">
        <v>4311</v>
      </c>
      <c r="C2956" s="8" t="s">
        <v>21</v>
      </c>
      <c r="K2956" s="8">
        <v>900.0</v>
      </c>
      <c r="N2956" s="7">
        <v>44052.0</v>
      </c>
    </row>
    <row r="2957">
      <c r="A2957" s="8">
        <v>2956.0</v>
      </c>
      <c r="B2957" s="8" t="s">
        <v>4312</v>
      </c>
      <c r="C2957" s="8" t="s">
        <v>21</v>
      </c>
      <c r="N2957" s="7">
        <v>43800.0</v>
      </c>
    </row>
    <row r="2958">
      <c r="A2958" s="8">
        <v>2957.0</v>
      </c>
      <c r="B2958" s="8" t="s">
        <v>4313</v>
      </c>
      <c r="C2958" s="8" t="s">
        <v>21</v>
      </c>
      <c r="K2958" s="8">
        <v>29000.0</v>
      </c>
      <c r="N2958" s="7">
        <v>44618.0</v>
      </c>
    </row>
    <row r="2959">
      <c r="A2959" s="8">
        <v>2958.0</v>
      </c>
      <c r="B2959" s="8" t="s">
        <v>4314</v>
      </c>
      <c r="C2959" s="8" t="s">
        <v>21</v>
      </c>
      <c r="N2959" s="7">
        <v>44404.0</v>
      </c>
    </row>
    <row r="2960">
      <c r="A2960" s="8">
        <v>2959.0</v>
      </c>
      <c r="B2960" s="8" t="s">
        <v>4315</v>
      </c>
      <c r="C2960" s="8" t="s">
        <v>21</v>
      </c>
      <c r="K2960" s="8">
        <v>350.0</v>
      </c>
      <c r="N2960" s="7">
        <v>44355.0</v>
      </c>
    </row>
    <row r="2961">
      <c r="A2961" s="8">
        <v>2960.0</v>
      </c>
      <c r="B2961" s="8" t="s">
        <v>4316</v>
      </c>
      <c r="C2961" s="8" t="s">
        <v>21</v>
      </c>
      <c r="K2961" s="8">
        <v>30.0</v>
      </c>
      <c r="N2961" s="7">
        <v>44046.0</v>
      </c>
    </row>
    <row r="2962">
      <c r="A2962" s="8">
        <v>2961.0</v>
      </c>
      <c r="B2962" s="8" t="s">
        <v>4317</v>
      </c>
      <c r="C2962" s="8" t="s">
        <v>21</v>
      </c>
      <c r="K2962" s="8">
        <v>300.0</v>
      </c>
      <c r="N2962" s="7">
        <v>45064.0</v>
      </c>
    </row>
    <row r="2963">
      <c r="A2963" s="8">
        <v>2962.0</v>
      </c>
      <c r="B2963" s="8" t="s">
        <v>4318</v>
      </c>
      <c r="C2963" s="8" t="s">
        <v>21</v>
      </c>
      <c r="K2963" s="8">
        <v>10.0</v>
      </c>
      <c r="N2963" s="7">
        <v>43894.0</v>
      </c>
    </row>
    <row r="2964">
      <c r="A2964" s="8">
        <v>2963.0</v>
      </c>
      <c r="B2964" s="8" t="s">
        <v>4319</v>
      </c>
      <c r="C2964" s="8" t="s">
        <v>21</v>
      </c>
      <c r="K2964" s="8">
        <v>10.0</v>
      </c>
      <c r="N2964" s="7">
        <v>44799.0</v>
      </c>
    </row>
    <row r="2965">
      <c r="A2965" s="8">
        <v>2964.0</v>
      </c>
      <c r="B2965" s="8" t="s">
        <v>4320</v>
      </c>
      <c r="C2965" s="8" t="s">
        <v>21</v>
      </c>
      <c r="K2965" s="8">
        <v>250.0</v>
      </c>
      <c r="N2965" s="7">
        <v>44263.0</v>
      </c>
    </row>
    <row r="2966">
      <c r="A2966" s="8">
        <v>2965.0</v>
      </c>
      <c r="B2966" s="8" t="s">
        <v>4321</v>
      </c>
      <c r="C2966" s="8" t="s">
        <v>21</v>
      </c>
      <c r="K2966" s="8">
        <v>20.0</v>
      </c>
      <c r="N2966" s="7">
        <v>44659.0</v>
      </c>
    </row>
    <row r="2967">
      <c r="A2967" s="8">
        <v>2966.0</v>
      </c>
      <c r="B2967" s="8" t="s">
        <v>4322</v>
      </c>
      <c r="C2967" s="8" t="s">
        <v>21</v>
      </c>
      <c r="K2967" s="8">
        <v>5200.0</v>
      </c>
      <c r="N2967" s="7">
        <v>44726.0</v>
      </c>
    </row>
    <row r="2968">
      <c r="A2968" s="8">
        <v>2967.0</v>
      </c>
      <c r="B2968" s="8" t="s">
        <v>4323</v>
      </c>
      <c r="C2968" s="8" t="s">
        <v>21</v>
      </c>
      <c r="K2968" s="8">
        <v>50.0</v>
      </c>
      <c r="N2968" s="7">
        <v>44540.0</v>
      </c>
    </row>
    <row r="2969">
      <c r="A2969" s="8">
        <v>2968.0</v>
      </c>
      <c r="B2969" s="8" t="s">
        <v>4324</v>
      </c>
      <c r="C2969" s="8" t="s">
        <v>21</v>
      </c>
      <c r="K2969" s="8">
        <v>350.0</v>
      </c>
      <c r="N2969" s="7">
        <v>44791.0</v>
      </c>
    </row>
    <row r="2970">
      <c r="A2970" s="8">
        <v>2969.0</v>
      </c>
      <c r="B2970" s="8" t="s">
        <v>4325</v>
      </c>
      <c r="C2970" s="8" t="s">
        <v>21</v>
      </c>
      <c r="N2970" s="7">
        <v>44794.0</v>
      </c>
    </row>
    <row r="2971">
      <c r="A2971" s="8">
        <v>2970.0</v>
      </c>
      <c r="B2971" s="8" t="s">
        <v>4326</v>
      </c>
      <c r="C2971" s="8" t="s">
        <v>21</v>
      </c>
      <c r="K2971" s="8">
        <v>10.0</v>
      </c>
      <c r="N2971" s="7">
        <v>44322.0</v>
      </c>
    </row>
    <row r="2972">
      <c r="A2972" s="8">
        <v>2971.0</v>
      </c>
      <c r="B2972" s="8" t="s">
        <v>4327</v>
      </c>
      <c r="C2972" s="8" t="s">
        <v>21</v>
      </c>
      <c r="K2972" s="8">
        <v>900.0</v>
      </c>
      <c r="N2972" s="7">
        <v>44643.0</v>
      </c>
    </row>
    <row r="2973">
      <c r="A2973" s="8">
        <v>2972.0</v>
      </c>
      <c r="B2973" s="8" t="s">
        <v>4328</v>
      </c>
      <c r="C2973" s="8" t="s">
        <v>21</v>
      </c>
      <c r="K2973" s="8">
        <v>10.0</v>
      </c>
      <c r="N2973" s="7">
        <v>44080.0</v>
      </c>
    </row>
    <row r="2974">
      <c r="A2974" s="8">
        <v>2973.0</v>
      </c>
      <c r="B2974" s="8" t="s">
        <v>4329</v>
      </c>
      <c r="C2974" s="8" t="s">
        <v>21</v>
      </c>
      <c r="K2974" s="8">
        <v>1400.0</v>
      </c>
      <c r="N2974" s="7">
        <v>43412.0</v>
      </c>
    </row>
    <row r="2975">
      <c r="A2975" s="8">
        <v>2974.0</v>
      </c>
      <c r="B2975" s="8" t="s">
        <v>4330</v>
      </c>
      <c r="C2975" s="8" t="s">
        <v>21</v>
      </c>
      <c r="N2975" s="7">
        <v>45616.0</v>
      </c>
    </row>
    <row r="2976">
      <c r="A2976" s="8">
        <v>2975.0</v>
      </c>
      <c r="B2976" s="8" t="s">
        <v>4331</v>
      </c>
      <c r="C2976" s="8" t="s">
        <v>21</v>
      </c>
      <c r="K2976" s="8">
        <v>250.0</v>
      </c>
      <c r="N2976" s="7">
        <v>44237.0</v>
      </c>
    </row>
    <row r="2977">
      <c r="A2977" s="8">
        <v>2976.0</v>
      </c>
      <c r="B2977" s="8" t="s">
        <v>4332</v>
      </c>
      <c r="C2977" s="8" t="s">
        <v>21</v>
      </c>
      <c r="K2977" s="8">
        <v>700.0</v>
      </c>
      <c r="N2977" s="7">
        <v>44703.0</v>
      </c>
    </row>
    <row r="2978">
      <c r="A2978" s="8">
        <v>2977.0</v>
      </c>
      <c r="B2978" s="8" t="s">
        <v>4333</v>
      </c>
      <c r="C2978" s="8" t="s">
        <v>21</v>
      </c>
      <c r="K2978" s="8">
        <v>250.0</v>
      </c>
      <c r="N2978" s="7">
        <v>44506.0</v>
      </c>
    </row>
    <row r="2979">
      <c r="A2979" s="8">
        <v>2978.0</v>
      </c>
      <c r="B2979" s="8" t="s">
        <v>4334</v>
      </c>
      <c r="C2979" s="8" t="s">
        <v>21</v>
      </c>
      <c r="K2979" s="8">
        <v>800.0</v>
      </c>
      <c r="N2979" s="7">
        <v>44963.0</v>
      </c>
    </row>
    <row r="2980">
      <c r="A2980" s="8">
        <v>2979.0</v>
      </c>
      <c r="B2980" s="8" t="s">
        <v>4335</v>
      </c>
      <c r="C2980" s="8" t="s">
        <v>21</v>
      </c>
      <c r="K2980" s="8">
        <v>150.0</v>
      </c>
      <c r="N2980" s="7">
        <v>44380.0</v>
      </c>
    </row>
    <row r="2981">
      <c r="A2981" s="8">
        <v>2980.0</v>
      </c>
      <c r="B2981" s="8" t="s">
        <v>3026</v>
      </c>
      <c r="C2981" s="8" t="s">
        <v>21</v>
      </c>
      <c r="D2981" s="8">
        <v>81.0</v>
      </c>
      <c r="H2981" s="8" t="s">
        <v>123</v>
      </c>
      <c r="I2981" s="9">
        <v>46123.453206018516</v>
      </c>
      <c r="J2981" s="8" t="s">
        <v>96</v>
      </c>
      <c r="K2981" s="8">
        <v>1100.0</v>
      </c>
      <c r="L2981" s="8">
        <v>5100.0</v>
      </c>
      <c r="M2981" s="8">
        <v>629000.0</v>
      </c>
      <c r="N2981" s="7">
        <v>42846.0</v>
      </c>
      <c r="O2981" s="8" t="s">
        <v>1314</v>
      </c>
      <c r="P2981" s="8" t="s">
        <v>28</v>
      </c>
      <c r="S2981" s="8" t="s">
        <v>32</v>
      </c>
    </row>
    <row r="2982">
      <c r="A2982" s="8">
        <v>2981.0</v>
      </c>
      <c r="B2982" s="8" t="s">
        <v>4336</v>
      </c>
      <c r="C2982" s="8" t="s">
        <v>21</v>
      </c>
      <c r="K2982" s="8">
        <v>60.0</v>
      </c>
      <c r="N2982" s="7">
        <v>44420.0</v>
      </c>
    </row>
    <row r="2983">
      <c r="A2983" s="8">
        <v>2982.0</v>
      </c>
      <c r="B2983" s="8" t="s">
        <v>4337</v>
      </c>
      <c r="C2983" s="8" t="s">
        <v>21</v>
      </c>
      <c r="K2983" s="8">
        <v>20.0</v>
      </c>
      <c r="N2983" s="7">
        <v>44352.0</v>
      </c>
    </row>
    <row r="2984">
      <c r="A2984" s="8">
        <v>2983.0</v>
      </c>
      <c r="B2984" s="8" t="s">
        <v>4338</v>
      </c>
      <c r="C2984" s="8" t="s">
        <v>21</v>
      </c>
      <c r="K2984" s="8">
        <v>20.0</v>
      </c>
      <c r="N2984" s="7">
        <v>44563.0</v>
      </c>
    </row>
    <row r="2985">
      <c r="A2985" s="8">
        <v>2984.0</v>
      </c>
      <c r="B2985" s="8" t="s">
        <v>4339</v>
      </c>
      <c r="C2985" s="8" t="s">
        <v>21</v>
      </c>
      <c r="K2985" s="8">
        <v>40.0</v>
      </c>
      <c r="N2985" s="7">
        <v>45087.0</v>
      </c>
    </row>
    <row r="2986">
      <c r="A2986" s="8">
        <v>2985.0</v>
      </c>
      <c r="B2986" s="8" t="s">
        <v>4340</v>
      </c>
      <c r="C2986" s="8" t="s">
        <v>21</v>
      </c>
      <c r="K2986" s="8">
        <v>200.0</v>
      </c>
      <c r="N2986" s="7">
        <v>44282.0</v>
      </c>
    </row>
    <row r="2987">
      <c r="A2987" s="8">
        <v>2986.0</v>
      </c>
      <c r="B2987" s="8" t="s">
        <v>4341</v>
      </c>
      <c r="C2987" s="8" t="s">
        <v>21</v>
      </c>
      <c r="K2987" s="8">
        <v>2100.0</v>
      </c>
      <c r="N2987" s="7">
        <v>44943.0</v>
      </c>
    </row>
    <row r="2988">
      <c r="A2988" s="8">
        <v>2987.0</v>
      </c>
      <c r="B2988" s="8" t="s">
        <v>4342</v>
      </c>
      <c r="C2988" s="8" t="s">
        <v>21</v>
      </c>
      <c r="K2988" s="8">
        <v>2100.0</v>
      </c>
      <c r="N2988" s="7">
        <v>44822.0</v>
      </c>
    </row>
    <row r="2989">
      <c r="A2989" s="8">
        <v>2988.0</v>
      </c>
      <c r="B2989" s="8" t="s">
        <v>4343</v>
      </c>
      <c r="C2989" s="8" t="s">
        <v>21</v>
      </c>
      <c r="K2989" s="8">
        <v>300.0</v>
      </c>
      <c r="N2989" s="7">
        <v>46083.0</v>
      </c>
    </row>
    <row r="2990">
      <c r="A2990" s="8">
        <v>2989.0</v>
      </c>
      <c r="B2990" s="8" t="s">
        <v>4344</v>
      </c>
      <c r="C2990" s="8" t="s">
        <v>21</v>
      </c>
      <c r="K2990" s="8">
        <v>1900.0</v>
      </c>
      <c r="N2990" s="7">
        <v>44020.0</v>
      </c>
    </row>
    <row r="2991">
      <c r="A2991" s="8">
        <v>2990.0</v>
      </c>
      <c r="B2991" s="8" t="s">
        <v>4345</v>
      </c>
      <c r="C2991" s="8" t="s">
        <v>21</v>
      </c>
      <c r="N2991" s="7">
        <v>45581.0</v>
      </c>
    </row>
    <row r="2992">
      <c r="A2992" s="8">
        <v>2991.0</v>
      </c>
      <c r="B2992" s="8" t="s">
        <v>4346</v>
      </c>
      <c r="C2992" s="8" t="s">
        <v>21</v>
      </c>
      <c r="N2992" s="7">
        <v>45147.0</v>
      </c>
    </row>
    <row r="2993">
      <c r="A2993" s="8">
        <v>2992.0</v>
      </c>
      <c r="B2993" s="8" t="s">
        <v>4347</v>
      </c>
      <c r="C2993" s="8" t="s">
        <v>21</v>
      </c>
      <c r="K2993" s="8">
        <v>150.0</v>
      </c>
      <c r="N2993" s="7">
        <v>44972.0</v>
      </c>
    </row>
    <row r="2994">
      <c r="A2994" s="8">
        <v>2993.0</v>
      </c>
      <c r="B2994" s="8" t="s">
        <v>4348</v>
      </c>
      <c r="C2994" s="8" t="s">
        <v>21</v>
      </c>
      <c r="N2994" s="7">
        <v>42248.0</v>
      </c>
      <c r="O2994" s="8" t="s">
        <v>26</v>
      </c>
      <c r="P2994" s="8" t="s">
        <v>28</v>
      </c>
      <c r="S2994" s="8" t="s">
        <v>32</v>
      </c>
    </row>
    <row r="2995">
      <c r="A2995" s="8">
        <v>2994.0</v>
      </c>
      <c r="B2995" s="8" t="s">
        <v>227</v>
      </c>
      <c r="C2995" s="8" t="s">
        <v>21</v>
      </c>
      <c r="K2995" s="8">
        <v>200.0</v>
      </c>
      <c r="N2995" s="7">
        <v>45211.0</v>
      </c>
    </row>
    <row r="2996">
      <c r="A2996" s="8">
        <v>2995.0</v>
      </c>
      <c r="B2996" s="8" t="s">
        <v>4349</v>
      </c>
      <c r="C2996" s="8" t="s">
        <v>21</v>
      </c>
      <c r="K2996" s="8">
        <v>20.0</v>
      </c>
      <c r="N2996" s="7">
        <v>44415.0</v>
      </c>
    </row>
    <row r="2997">
      <c r="A2997" s="8">
        <v>2996.0</v>
      </c>
      <c r="B2997" s="8" t="s">
        <v>4350</v>
      </c>
      <c r="C2997" s="8" t="s">
        <v>21</v>
      </c>
      <c r="K2997" s="8">
        <v>150.0</v>
      </c>
      <c r="N2997" s="7">
        <v>45129.0</v>
      </c>
    </row>
    <row r="2998">
      <c r="A2998" s="8">
        <v>2997.0</v>
      </c>
      <c r="B2998" s="8" t="s">
        <v>4351</v>
      </c>
      <c r="C2998" s="8" t="s">
        <v>21</v>
      </c>
      <c r="K2998" s="8">
        <v>30.0</v>
      </c>
      <c r="N2998" s="7">
        <v>45341.0</v>
      </c>
    </row>
    <row r="2999">
      <c r="A2999" s="8">
        <v>2998.0</v>
      </c>
      <c r="B2999" s="8" t="s">
        <v>4352</v>
      </c>
      <c r="C2999" s="8" t="s">
        <v>21</v>
      </c>
      <c r="K2999" s="8">
        <v>200.0</v>
      </c>
      <c r="N2999" s="7">
        <v>44431.0</v>
      </c>
    </row>
    <row r="3000">
      <c r="A3000" s="8">
        <v>2999.0</v>
      </c>
      <c r="B3000" s="8" t="s">
        <v>4353</v>
      </c>
      <c r="C3000" s="8" t="s">
        <v>21</v>
      </c>
      <c r="K3000" s="8">
        <v>6400.0</v>
      </c>
      <c r="N3000" s="7">
        <v>44634.0</v>
      </c>
    </row>
    <row r="3001">
      <c r="A3001" s="8">
        <v>3000.0</v>
      </c>
      <c r="B3001" s="8" t="s">
        <v>4354</v>
      </c>
      <c r="C3001" s="8" t="s">
        <v>21</v>
      </c>
      <c r="K3001" s="8">
        <v>1200.0</v>
      </c>
      <c r="N3001" s="7">
        <v>44090.0</v>
      </c>
    </row>
    <row r="3002">
      <c r="A3002" s="8">
        <v>3001.0</v>
      </c>
      <c r="B3002" s="8" t="s">
        <v>4355</v>
      </c>
      <c r="C3002" s="8" t="s">
        <v>21</v>
      </c>
      <c r="K3002" s="8">
        <v>11000.0</v>
      </c>
      <c r="N3002" s="7">
        <v>44236.0</v>
      </c>
    </row>
    <row r="3003">
      <c r="A3003" s="8">
        <v>3002.0</v>
      </c>
      <c r="B3003" s="8" t="s">
        <v>4356</v>
      </c>
      <c r="C3003" s="8" t="s">
        <v>21</v>
      </c>
      <c r="N3003" s="7">
        <v>44118.0</v>
      </c>
    </row>
    <row r="3004">
      <c r="A3004" s="8">
        <v>3003.0</v>
      </c>
      <c r="B3004" s="8" t="s">
        <v>4357</v>
      </c>
      <c r="C3004" s="8" t="s">
        <v>21</v>
      </c>
      <c r="K3004" s="8">
        <v>100.0</v>
      </c>
      <c r="N3004" s="7">
        <v>43871.0</v>
      </c>
    </row>
    <row r="3005">
      <c r="A3005" s="8">
        <v>3004.0</v>
      </c>
      <c r="B3005" s="8" t="s">
        <v>4358</v>
      </c>
      <c r="C3005" s="8" t="s">
        <v>21</v>
      </c>
      <c r="K3005" s="8">
        <v>9500.0</v>
      </c>
      <c r="N3005" s="7">
        <v>44553.0</v>
      </c>
    </row>
    <row r="3006">
      <c r="A3006" s="8">
        <v>3005.0</v>
      </c>
      <c r="B3006" s="8" t="s">
        <v>4359</v>
      </c>
      <c r="C3006" s="8" t="s">
        <v>21</v>
      </c>
      <c r="K3006" s="8">
        <v>30.0</v>
      </c>
      <c r="N3006" s="7">
        <v>45105.0</v>
      </c>
    </row>
    <row r="3007">
      <c r="A3007" s="8">
        <v>3006.0</v>
      </c>
      <c r="B3007" s="8" t="s">
        <v>4360</v>
      </c>
      <c r="C3007" s="8" t="s">
        <v>21</v>
      </c>
      <c r="K3007" s="8">
        <v>200.0</v>
      </c>
      <c r="N3007" s="7">
        <v>44873.0</v>
      </c>
    </row>
    <row r="3008">
      <c r="A3008" s="8">
        <v>3007.0</v>
      </c>
      <c r="B3008" s="8" t="s">
        <v>4361</v>
      </c>
      <c r="C3008" s="8" t="s">
        <v>21</v>
      </c>
      <c r="K3008" s="8">
        <v>450.0</v>
      </c>
      <c r="N3008" s="7">
        <v>45281.0</v>
      </c>
    </row>
    <row r="3009">
      <c r="A3009" s="8">
        <v>3008.0</v>
      </c>
      <c r="B3009" s="8" t="s">
        <v>4362</v>
      </c>
      <c r="C3009" s="8" t="s">
        <v>21</v>
      </c>
      <c r="K3009" s="8">
        <v>40.0</v>
      </c>
      <c r="N3009" s="7">
        <v>44502.0</v>
      </c>
    </row>
    <row r="3010">
      <c r="A3010" s="8">
        <v>3009.0</v>
      </c>
      <c r="B3010" s="8" t="s">
        <v>4363</v>
      </c>
      <c r="C3010" s="8" t="s">
        <v>21</v>
      </c>
      <c r="K3010" s="8">
        <v>20.0</v>
      </c>
      <c r="N3010" s="7">
        <v>42728.0</v>
      </c>
    </row>
    <row r="3011">
      <c r="A3011" s="8">
        <v>3010.0</v>
      </c>
      <c r="B3011" s="8" t="s">
        <v>4364</v>
      </c>
      <c r="C3011" s="8" t="s">
        <v>21</v>
      </c>
      <c r="K3011" s="8">
        <v>30.0</v>
      </c>
      <c r="N3011" s="7">
        <v>44918.0</v>
      </c>
    </row>
    <row r="3012">
      <c r="A3012" s="8">
        <v>3011.0</v>
      </c>
      <c r="B3012" s="8" t="s">
        <v>4365</v>
      </c>
      <c r="C3012" s="8" t="s">
        <v>21</v>
      </c>
      <c r="K3012" s="8">
        <v>20.0</v>
      </c>
      <c r="N3012" s="7">
        <v>45163.0</v>
      </c>
    </row>
    <row r="3013">
      <c r="A3013" s="8">
        <v>3012.0</v>
      </c>
      <c r="B3013" s="8" t="s">
        <v>4366</v>
      </c>
      <c r="C3013" s="8" t="s">
        <v>21</v>
      </c>
      <c r="K3013" s="8">
        <v>150.0</v>
      </c>
      <c r="N3013" s="7">
        <v>44651.0</v>
      </c>
    </row>
    <row r="3014">
      <c r="A3014" s="8">
        <v>3013.0</v>
      </c>
      <c r="B3014" s="8" t="s">
        <v>4367</v>
      </c>
      <c r="C3014" s="8" t="s">
        <v>21</v>
      </c>
      <c r="K3014" s="8">
        <v>1200.0</v>
      </c>
      <c r="N3014" s="7">
        <v>44031.0</v>
      </c>
    </row>
    <row r="3015">
      <c r="A3015" s="8">
        <v>3014.0</v>
      </c>
      <c r="B3015" s="8" t="s">
        <v>4368</v>
      </c>
      <c r="C3015" s="8" t="s">
        <v>21</v>
      </c>
      <c r="K3015" s="8">
        <v>20.0</v>
      </c>
      <c r="N3015" s="7">
        <v>44311.0</v>
      </c>
    </row>
    <row r="3016">
      <c r="A3016" s="8">
        <v>3015.0</v>
      </c>
      <c r="B3016" s="8" t="s">
        <v>4369</v>
      </c>
      <c r="C3016" s="8" t="s">
        <v>21</v>
      </c>
      <c r="K3016" s="8">
        <v>20.0</v>
      </c>
      <c r="N3016" s="7">
        <v>44483.0</v>
      </c>
    </row>
    <row r="3017">
      <c r="A3017" s="8">
        <v>3016.0</v>
      </c>
      <c r="B3017" s="8" t="s">
        <v>4370</v>
      </c>
      <c r="C3017" s="8" t="s">
        <v>21</v>
      </c>
      <c r="N3017" s="7">
        <v>44246.0</v>
      </c>
    </row>
    <row r="3018">
      <c r="A3018" s="8">
        <v>3017.0</v>
      </c>
      <c r="B3018" s="8" t="s">
        <v>4371</v>
      </c>
      <c r="C3018" s="8" t="s">
        <v>21</v>
      </c>
      <c r="K3018" s="8">
        <v>20.0</v>
      </c>
      <c r="N3018" s="7">
        <v>45410.0</v>
      </c>
    </row>
    <row r="3019">
      <c r="A3019" s="8">
        <v>3018.0</v>
      </c>
      <c r="B3019" s="8" t="s">
        <v>4372</v>
      </c>
      <c r="C3019" s="8" t="s">
        <v>21</v>
      </c>
      <c r="K3019" s="8">
        <v>40.0</v>
      </c>
      <c r="N3019" s="7">
        <v>44872.0</v>
      </c>
    </row>
    <row r="3020">
      <c r="A3020" s="8">
        <v>3019.0</v>
      </c>
      <c r="B3020" s="8" t="s">
        <v>4373</v>
      </c>
      <c r="C3020" s="8" t="s">
        <v>21</v>
      </c>
      <c r="K3020" s="8">
        <v>200.0</v>
      </c>
      <c r="N3020" s="7">
        <v>45023.0</v>
      </c>
    </row>
    <row r="3021">
      <c r="A3021" s="8">
        <v>3020.0</v>
      </c>
      <c r="B3021" s="8" t="s">
        <v>4374</v>
      </c>
      <c r="C3021" s="8" t="s">
        <v>21</v>
      </c>
      <c r="K3021" s="8">
        <v>100.0</v>
      </c>
      <c r="N3021" s="7">
        <v>44898.0</v>
      </c>
    </row>
    <row r="3022">
      <c r="A3022" s="8">
        <v>3021.0</v>
      </c>
      <c r="B3022" s="8" t="s">
        <v>4375</v>
      </c>
      <c r="C3022" s="8" t="s">
        <v>21</v>
      </c>
      <c r="K3022" s="8">
        <v>30.0</v>
      </c>
      <c r="N3022" s="7">
        <v>45785.0</v>
      </c>
    </row>
    <row r="3023">
      <c r="A3023" s="8">
        <v>3022.0</v>
      </c>
      <c r="B3023" s="8" t="s">
        <v>200</v>
      </c>
      <c r="C3023" s="8" t="s">
        <v>21</v>
      </c>
      <c r="K3023" s="8">
        <v>100.0</v>
      </c>
      <c r="N3023" s="7">
        <v>44591.0</v>
      </c>
    </row>
    <row r="3024">
      <c r="A3024" s="8">
        <v>3023.0</v>
      </c>
      <c r="B3024" s="8" t="s">
        <v>4376</v>
      </c>
      <c r="C3024" s="8" t="s">
        <v>21</v>
      </c>
      <c r="K3024" s="8">
        <v>40.0</v>
      </c>
      <c r="N3024" s="7">
        <v>45352.0</v>
      </c>
    </row>
    <row r="3025">
      <c r="A3025" s="8">
        <v>3024.0</v>
      </c>
      <c r="B3025" s="8" t="s">
        <v>4377</v>
      </c>
      <c r="C3025" s="8" t="s">
        <v>21</v>
      </c>
      <c r="K3025" s="8">
        <v>100.0</v>
      </c>
      <c r="N3025" s="7">
        <v>44072.0</v>
      </c>
    </row>
    <row r="3026">
      <c r="A3026" s="8">
        <v>3025.0</v>
      </c>
      <c r="B3026" s="8" t="s">
        <v>4378</v>
      </c>
      <c r="C3026" s="8" t="s">
        <v>21</v>
      </c>
      <c r="K3026" s="8">
        <v>500.0</v>
      </c>
      <c r="N3026" s="7">
        <v>44532.0</v>
      </c>
    </row>
    <row r="3027">
      <c r="A3027" s="8">
        <v>3026.0</v>
      </c>
      <c r="B3027" s="8" t="s">
        <v>4379</v>
      </c>
      <c r="C3027" s="8" t="s">
        <v>21</v>
      </c>
      <c r="K3027" s="8">
        <v>24000.0</v>
      </c>
      <c r="N3027" s="7">
        <v>43988.0</v>
      </c>
    </row>
    <row r="3028">
      <c r="A3028" s="8">
        <v>3027.0</v>
      </c>
      <c r="B3028" s="8" t="s">
        <v>4380</v>
      </c>
      <c r="C3028" s="8" t="s">
        <v>21</v>
      </c>
      <c r="K3028" s="8">
        <v>6100.0</v>
      </c>
      <c r="N3028" s="7">
        <v>45251.0</v>
      </c>
    </row>
    <row r="3029">
      <c r="A3029" s="8">
        <v>3028.0</v>
      </c>
      <c r="B3029" s="8" t="s">
        <v>230</v>
      </c>
      <c r="C3029" s="8" t="s">
        <v>21</v>
      </c>
      <c r="K3029" s="8">
        <v>40.0</v>
      </c>
      <c r="N3029" s="7">
        <v>44780.0</v>
      </c>
    </row>
    <row r="3030">
      <c r="A3030" s="8">
        <v>3029.0</v>
      </c>
      <c r="B3030" s="8" t="s">
        <v>4381</v>
      </c>
      <c r="C3030" s="8" t="s">
        <v>21</v>
      </c>
      <c r="K3030" s="8">
        <v>10.0</v>
      </c>
      <c r="N3030" s="7">
        <v>46015.0</v>
      </c>
    </row>
    <row r="3031">
      <c r="A3031" s="8">
        <v>3030.0</v>
      </c>
      <c r="B3031" s="8" t="s">
        <v>4382</v>
      </c>
      <c r="C3031" s="8" t="s">
        <v>21</v>
      </c>
      <c r="K3031" s="8">
        <v>60.0</v>
      </c>
      <c r="N3031" s="7">
        <v>44860.0</v>
      </c>
    </row>
    <row r="3032">
      <c r="A3032" s="8">
        <v>3031.0</v>
      </c>
      <c r="B3032" s="8" t="s">
        <v>4383</v>
      </c>
      <c r="C3032" s="8" t="s">
        <v>21</v>
      </c>
      <c r="K3032" s="8">
        <v>300.0</v>
      </c>
      <c r="N3032" s="7">
        <v>43894.0</v>
      </c>
    </row>
    <row r="3033">
      <c r="A3033" s="8">
        <v>3032.0</v>
      </c>
      <c r="B3033" s="8" t="s">
        <v>4384</v>
      </c>
      <c r="C3033" s="8" t="s">
        <v>21</v>
      </c>
      <c r="K3033" s="8">
        <v>1500.0</v>
      </c>
      <c r="N3033" s="7">
        <v>44563.0</v>
      </c>
    </row>
    <row r="3034">
      <c r="A3034" s="8">
        <v>3033.0</v>
      </c>
      <c r="B3034" s="8" t="s">
        <v>4385</v>
      </c>
      <c r="C3034" s="8" t="s">
        <v>21</v>
      </c>
      <c r="K3034" s="8">
        <v>40.0</v>
      </c>
      <c r="N3034" s="7">
        <v>44114.0</v>
      </c>
    </row>
    <row r="3035">
      <c r="A3035" s="8">
        <v>3034.0</v>
      </c>
      <c r="B3035" s="8" t="s">
        <v>4386</v>
      </c>
      <c r="C3035" s="8" t="s">
        <v>21</v>
      </c>
      <c r="K3035" s="8">
        <v>2100.0</v>
      </c>
      <c r="N3035" s="7">
        <v>44797.0</v>
      </c>
    </row>
    <row r="3036">
      <c r="A3036" s="8">
        <v>3035.0</v>
      </c>
      <c r="B3036" s="8" t="s">
        <v>4387</v>
      </c>
      <c r="C3036" s="8" t="s">
        <v>21</v>
      </c>
      <c r="N3036" s="7">
        <v>44137.0</v>
      </c>
    </row>
    <row r="3037">
      <c r="A3037" s="8">
        <v>3036.0</v>
      </c>
      <c r="B3037" s="8" t="s">
        <v>4388</v>
      </c>
      <c r="C3037" s="8" t="s">
        <v>21</v>
      </c>
      <c r="K3037" s="8">
        <v>10.0</v>
      </c>
      <c r="N3037" s="7">
        <v>44569.0</v>
      </c>
    </row>
    <row r="3038">
      <c r="A3038" s="8">
        <v>3037.0</v>
      </c>
      <c r="B3038" s="8" t="s">
        <v>4389</v>
      </c>
      <c r="C3038" s="8" t="s">
        <v>21</v>
      </c>
      <c r="K3038" s="8">
        <v>20.0</v>
      </c>
      <c r="N3038" s="7">
        <v>44272.0</v>
      </c>
    </row>
    <row r="3039">
      <c r="A3039" s="8">
        <v>3038.0</v>
      </c>
      <c r="B3039" s="8" t="s">
        <v>4390</v>
      </c>
      <c r="C3039" s="8" t="s">
        <v>21</v>
      </c>
      <c r="K3039" s="8">
        <v>900.0</v>
      </c>
      <c r="N3039" s="7">
        <v>44899.0</v>
      </c>
    </row>
    <row r="3040">
      <c r="A3040" s="8">
        <v>3039.0</v>
      </c>
      <c r="B3040" s="8" t="s">
        <v>4391</v>
      </c>
      <c r="C3040" s="8" t="s">
        <v>21</v>
      </c>
      <c r="K3040" s="8">
        <v>20.0</v>
      </c>
      <c r="N3040" s="7">
        <v>44705.0</v>
      </c>
    </row>
    <row r="3041">
      <c r="A3041" s="8">
        <v>3040.0</v>
      </c>
      <c r="B3041" s="8" t="s">
        <v>4392</v>
      </c>
      <c r="C3041" s="8" t="s">
        <v>21</v>
      </c>
      <c r="K3041" s="8">
        <v>100.0</v>
      </c>
      <c r="N3041" s="7">
        <v>46001.0</v>
      </c>
    </row>
    <row r="3042">
      <c r="A3042" s="8">
        <v>3041.0</v>
      </c>
      <c r="B3042" s="8" t="s">
        <v>4393</v>
      </c>
      <c r="C3042" s="8" t="s">
        <v>21</v>
      </c>
      <c r="K3042" s="8">
        <v>10.0</v>
      </c>
      <c r="N3042" s="7">
        <v>44535.0</v>
      </c>
    </row>
    <row r="3043">
      <c r="A3043" s="8">
        <v>3042.0</v>
      </c>
      <c r="B3043" s="8" t="s">
        <v>3039</v>
      </c>
      <c r="C3043" s="8" t="s">
        <v>21</v>
      </c>
      <c r="D3043" s="8">
        <v>3.0</v>
      </c>
      <c r="H3043" s="8" t="s">
        <v>473</v>
      </c>
      <c r="I3043" s="9">
        <v>46131.550625</v>
      </c>
      <c r="J3043" s="8" t="s">
        <v>476</v>
      </c>
      <c r="K3043" s="8">
        <v>20.0</v>
      </c>
      <c r="L3043" s="8">
        <v>50.0</v>
      </c>
      <c r="M3043" s="8">
        <v>90.0</v>
      </c>
      <c r="N3043" s="7">
        <v>42591.0</v>
      </c>
      <c r="O3043" s="8" t="s">
        <v>26</v>
      </c>
      <c r="P3043" s="8" t="s">
        <v>28</v>
      </c>
      <c r="S3043" s="8" t="s">
        <v>32</v>
      </c>
    </row>
    <row r="3044">
      <c r="A3044" s="8">
        <v>3043.0</v>
      </c>
      <c r="B3044" s="8" t="s">
        <v>4394</v>
      </c>
      <c r="C3044" s="8" t="s">
        <v>21</v>
      </c>
      <c r="K3044" s="8">
        <v>200.0</v>
      </c>
      <c r="N3044" s="7">
        <v>44421.0</v>
      </c>
    </row>
    <row r="3045">
      <c r="A3045" s="8">
        <v>3044.0</v>
      </c>
      <c r="B3045" s="8" t="s">
        <v>4395</v>
      </c>
      <c r="C3045" s="8" t="s">
        <v>21</v>
      </c>
      <c r="K3045" s="8">
        <v>2000.0</v>
      </c>
      <c r="N3045" s="7">
        <v>43929.0</v>
      </c>
    </row>
    <row r="3046">
      <c r="A3046" s="8">
        <v>3045.0</v>
      </c>
      <c r="B3046" s="8" t="s">
        <v>4396</v>
      </c>
      <c r="C3046" s="8" t="s">
        <v>21</v>
      </c>
      <c r="K3046" s="8">
        <v>250.0</v>
      </c>
      <c r="N3046" s="7">
        <v>44256.0</v>
      </c>
    </row>
    <row r="3047">
      <c r="A3047" s="8">
        <v>3046.0</v>
      </c>
      <c r="B3047" s="8" t="s">
        <v>4397</v>
      </c>
      <c r="C3047" s="8" t="s">
        <v>21</v>
      </c>
      <c r="K3047" s="8">
        <v>7600.0</v>
      </c>
      <c r="N3047" s="7">
        <v>43933.0</v>
      </c>
    </row>
    <row r="3048">
      <c r="A3048" s="8">
        <v>3047.0</v>
      </c>
      <c r="B3048" s="8" t="s">
        <v>4398</v>
      </c>
      <c r="C3048" s="8" t="s">
        <v>21</v>
      </c>
      <c r="N3048" s="7">
        <v>44603.0</v>
      </c>
    </row>
    <row r="3049">
      <c r="A3049" s="8">
        <v>3048.0</v>
      </c>
      <c r="B3049" s="8" t="s">
        <v>4399</v>
      </c>
      <c r="C3049" s="8" t="s">
        <v>21</v>
      </c>
      <c r="K3049" s="8">
        <v>10.0</v>
      </c>
      <c r="N3049" s="7">
        <v>43918.0</v>
      </c>
    </row>
    <row r="3050">
      <c r="A3050" s="8">
        <v>3049.0</v>
      </c>
      <c r="B3050" s="8" t="s">
        <v>4400</v>
      </c>
      <c r="C3050" s="8" t="s">
        <v>21</v>
      </c>
      <c r="K3050" s="8">
        <v>300.0</v>
      </c>
      <c r="N3050" s="7">
        <v>44223.0</v>
      </c>
    </row>
    <row r="3051">
      <c r="A3051" s="8">
        <v>3050.0</v>
      </c>
      <c r="B3051" s="8" t="s">
        <v>4401</v>
      </c>
      <c r="C3051" s="8" t="s">
        <v>21</v>
      </c>
      <c r="N3051" s="7">
        <v>44982.0</v>
      </c>
    </row>
    <row r="3052">
      <c r="A3052" s="8">
        <v>3051.0</v>
      </c>
      <c r="B3052" s="8" t="s">
        <v>4402</v>
      </c>
      <c r="C3052" s="8" t="s">
        <v>21</v>
      </c>
      <c r="K3052" s="8">
        <v>2900.0</v>
      </c>
      <c r="N3052" s="7">
        <v>44187.0</v>
      </c>
    </row>
    <row r="3053">
      <c r="A3053" s="8">
        <v>3052.0</v>
      </c>
      <c r="B3053" s="8" t="s">
        <v>4403</v>
      </c>
      <c r="C3053" s="8" t="s">
        <v>21</v>
      </c>
      <c r="K3053" s="8">
        <v>10.0</v>
      </c>
      <c r="N3053" s="7">
        <v>44315.0</v>
      </c>
    </row>
    <row r="3054">
      <c r="A3054" s="8">
        <v>3053.0</v>
      </c>
      <c r="B3054" s="8" t="s">
        <v>4404</v>
      </c>
      <c r="C3054" s="8" t="s">
        <v>21</v>
      </c>
      <c r="K3054" s="8">
        <v>10.0</v>
      </c>
      <c r="N3054" s="7">
        <v>44153.0</v>
      </c>
    </row>
    <row r="3055">
      <c r="A3055" s="8">
        <v>3054.0</v>
      </c>
      <c r="B3055" s="8" t="s">
        <v>4405</v>
      </c>
      <c r="C3055" s="8" t="s">
        <v>21</v>
      </c>
      <c r="K3055" s="8">
        <v>150.0</v>
      </c>
      <c r="N3055" s="7">
        <v>44555.0</v>
      </c>
    </row>
    <row r="3056">
      <c r="A3056" s="8">
        <v>3055.0</v>
      </c>
      <c r="B3056" s="8" t="s">
        <v>4406</v>
      </c>
      <c r="C3056" s="8" t="s">
        <v>21</v>
      </c>
      <c r="K3056" s="8">
        <v>20.0</v>
      </c>
      <c r="N3056" s="7">
        <v>45018.0</v>
      </c>
    </row>
    <row r="3057">
      <c r="A3057" s="8">
        <v>3056.0</v>
      </c>
      <c r="B3057" s="8" t="s">
        <v>4407</v>
      </c>
      <c r="C3057" s="8" t="s">
        <v>21</v>
      </c>
      <c r="K3057" s="8">
        <v>10.0</v>
      </c>
      <c r="N3057" s="7">
        <v>44575.0</v>
      </c>
    </row>
    <row r="3058">
      <c r="A3058" s="8">
        <v>3057.0</v>
      </c>
      <c r="B3058" s="8" t="s">
        <v>4408</v>
      </c>
      <c r="C3058" s="8" t="s">
        <v>21</v>
      </c>
      <c r="K3058" s="8">
        <v>1400.0</v>
      </c>
      <c r="N3058" s="7">
        <v>44476.0</v>
      </c>
    </row>
    <row r="3059">
      <c r="A3059" s="8">
        <v>3058.0</v>
      </c>
      <c r="B3059" s="8" t="s">
        <v>4409</v>
      </c>
      <c r="C3059" s="8" t="s">
        <v>21</v>
      </c>
      <c r="K3059" s="8">
        <v>3100.0</v>
      </c>
      <c r="N3059" s="7">
        <v>45350.0</v>
      </c>
    </row>
    <row r="3060">
      <c r="A3060" s="8">
        <v>3059.0</v>
      </c>
      <c r="B3060" s="8" t="s">
        <v>4410</v>
      </c>
      <c r="C3060" s="8" t="s">
        <v>21</v>
      </c>
      <c r="K3060" s="8">
        <v>2500.0</v>
      </c>
      <c r="N3060" s="7">
        <v>45568.0</v>
      </c>
    </row>
    <row r="3061">
      <c r="A3061" s="8">
        <v>3060.0</v>
      </c>
      <c r="B3061" s="8" t="s">
        <v>4411</v>
      </c>
      <c r="C3061" s="8" t="s">
        <v>21</v>
      </c>
      <c r="K3061" s="8">
        <v>47000.0</v>
      </c>
      <c r="N3061" s="7">
        <v>44987.0</v>
      </c>
    </row>
    <row r="3062">
      <c r="A3062" s="8">
        <v>3061.0</v>
      </c>
      <c r="B3062" s="8" t="s">
        <v>4412</v>
      </c>
      <c r="C3062" s="8" t="s">
        <v>21</v>
      </c>
      <c r="D3062" s="8">
        <v>64.0</v>
      </c>
      <c r="H3062" s="8" t="s">
        <v>279</v>
      </c>
      <c r="I3062" s="9">
        <v>46162.61087962963</v>
      </c>
      <c r="J3062" s="8" t="s">
        <v>62</v>
      </c>
      <c r="K3062" s="8">
        <v>10.0</v>
      </c>
      <c r="L3062" s="8">
        <v>3200.0</v>
      </c>
      <c r="M3062" s="8">
        <v>65000.0</v>
      </c>
      <c r="N3062" s="7">
        <v>42604.0</v>
      </c>
      <c r="O3062" s="8" t="s">
        <v>107</v>
      </c>
      <c r="P3062" s="8" t="s">
        <v>28</v>
      </c>
      <c r="S3062" s="8" t="s">
        <v>32</v>
      </c>
    </row>
    <row r="3063">
      <c r="A3063" s="8">
        <v>3062.0</v>
      </c>
      <c r="B3063" s="8" t="s">
        <v>4413</v>
      </c>
      <c r="C3063" s="8" t="s">
        <v>21</v>
      </c>
      <c r="K3063" s="8">
        <v>10.0</v>
      </c>
      <c r="N3063" s="7">
        <v>45752.0</v>
      </c>
    </row>
    <row r="3064">
      <c r="A3064" s="8">
        <v>3063.0</v>
      </c>
      <c r="B3064" s="8" t="s">
        <v>4414</v>
      </c>
      <c r="C3064" s="8" t="s">
        <v>21</v>
      </c>
      <c r="N3064" s="7">
        <v>44794.0</v>
      </c>
    </row>
    <row r="3065">
      <c r="A3065" s="8">
        <v>3064.0</v>
      </c>
      <c r="B3065" s="8" t="s">
        <v>4415</v>
      </c>
      <c r="C3065" s="8" t="s">
        <v>21</v>
      </c>
      <c r="N3065" s="7">
        <v>44011.0</v>
      </c>
    </row>
    <row r="3066">
      <c r="A3066" s="8">
        <v>3065.0</v>
      </c>
      <c r="B3066" s="8" t="s">
        <v>4416</v>
      </c>
      <c r="C3066" s="8" t="s">
        <v>21</v>
      </c>
      <c r="K3066" s="8">
        <v>350.0</v>
      </c>
      <c r="N3066" s="7">
        <v>44527.0</v>
      </c>
    </row>
    <row r="3067">
      <c r="A3067" s="8">
        <v>3066.0</v>
      </c>
      <c r="B3067" s="8" t="s">
        <v>4417</v>
      </c>
      <c r="C3067" s="8" t="s">
        <v>21</v>
      </c>
      <c r="K3067" s="8">
        <v>50.0</v>
      </c>
      <c r="N3067" s="7">
        <v>44755.0</v>
      </c>
    </row>
    <row r="3068">
      <c r="A3068" s="8">
        <v>3067.0</v>
      </c>
      <c r="B3068" s="8" t="s">
        <v>4418</v>
      </c>
      <c r="C3068" s="8" t="s">
        <v>21</v>
      </c>
      <c r="K3068" s="8">
        <v>150.0</v>
      </c>
      <c r="N3068" s="7">
        <v>44511.0</v>
      </c>
    </row>
    <row r="3069">
      <c r="A3069" s="8">
        <v>3068.0</v>
      </c>
      <c r="B3069" s="8" t="s">
        <v>4419</v>
      </c>
      <c r="C3069" s="8" t="s">
        <v>21</v>
      </c>
      <c r="K3069" s="8">
        <v>200.0</v>
      </c>
      <c r="N3069" s="7">
        <v>44258.0</v>
      </c>
    </row>
    <row r="3070">
      <c r="A3070" s="8">
        <v>3069.0</v>
      </c>
      <c r="B3070" s="8" t="s">
        <v>4420</v>
      </c>
      <c r="C3070" s="8" t="s">
        <v>21</v>
      </c>
      <c r="K3070" s="8">
        <v>500.0</v>
      </c>
      <c r="N3070" s="7">
        <v>44948.0</v>
      </c>
    </row>
    <row r="3071">
      <c r="A3071" s="8">
        <v>3070.0</v>
      </c>
      <c r="B3071" s="8" t="s">
        <v>4421</v>
      </c>
      <c r="C3071" s="8" t="s">
        <v>21</v>
      </c>
      <c r="K3071" s="8">
        <v>100.0</v>
      </c>
      <c r="N3071" s="7">
        <v>44345.0</v>
      </c>
    </row>
    <row r="3072">
      <c r="A3072" s="8">
        <v>3071.0</v>
      </c>
      <c r="B3072" s="8" t="s">
        <v>4422</v>
      </c>
      <c r="C3072" s="8" t="s">
        <v>21</v>
      </c>
      <c r="K3072" s="8">
        <v>200.0</v>
      </c>
      <c r="N3072" s="7">
        <v>44424.0</v>
      </c>
    </row>
    <row r="3073">
      <c r="A3073" s="8">
        <v>3072.0</v>
      </c>
      <c r="B3073" s="8" t="s">
        <v>4423</v>
      </c>
      <c r="C3073" s="8" t="s">
        <v>21</v>
      </c>
      <c r="K3073" s="8">
        <v>250.0</v>
      </c>
      <c r="N3073" s="7">
        <v>44798.0</v>
      </c>
    </row>
    <row r="3074">
      <c r="A3074" s="8">
        <v>3073.0</v>
      </c>
      <c r="B3074" s="8" t="s">
        <v>4424</v>
      </c>
      <c r="C3074" s="8" t="s">
        <v>21</v>
      </c>
      <c r="K3074" s="8">
        <v>14000.0</v>
      </c>
      <c r="N3074" s="7">
        <v>44762.0</v>
      </c>
    </row>
    <row r="3075">
      <c r="A3075" s="8">
        <v>3074.0</v>
      </c>
      <c r="B3075" s="8" t="s">
        <v>4425</v>
      </c>
      <c r="C3075" s="8" t="s">
        <v>21</v>
      </c>
      <c r="N3075" s="7">
        <v>44882.0</v>
      </c>
    </row>
    <row r="3076">
      <c r="A3076" s="8">
        <v>3075.0</v>
      </c>
      <c r="B3076" s="8" t="s">
        <v>4426</v>
      </c>
      <c r="C3076" s="8" t="s">
        <v>21</v>
      </c>
      <c r="K3076" s="8">
        <v>50.0</v>
      </c>
      <c r="N3076" s="7">
        <v>44755.0</v>
      </c>
    </row>
    <row r="3077">
      <c r="A3077" s="8">
        <v>3076.0</v>
      </c>
      <c r="B3077" s="8" t="s">
        <v>4427</v>
      </c>
      <c r="C3077" s="8" t="s">
        <v>21</v>
      </c>
      <c r="K3077" s="8">
        <v>450.0</v>
      </c>
      <c r="N3077" s="7">
        <v>44662.0</v>
      </c>
    </row>
    <row r="3078">
      <c r="A3078" s="8">
        <v>3077.0</v>
      </c>
      <c r="B3078" s="8" t="s">
        <v>4428</v>
      </c>
      <c r="C3078" s="8" t="s">
        <v>21</v>
      </c>
      <c r="K3078" s="8">
        <v>40.0</v>
      </c>
      <c r="N3078" s="7">
        <v>44219.0</v>
      </c>
    </row>
    <row r="3079">
      <c r="A3079" s="8">
        <v>3078.0</v>
      </c>
      <c r="B3079" s="8" t="s">
        <v>4429</v>
      </c>
      <c r="C3079" s="8" t="s">
        <v>21</v>
      </c>
      <c r="K3079" s="8">
        <v>50.0</v>
      </c>
      <c r="N3079" s="7">
        <v>44725.0</v>
      </c>
    </row>
    <row r="3080">
      <c r="A3080" s="8">
        <v>3079.0</v>
      </c>
      <c r="B3080" s="8" t="s">
        <v>4430</v>
      </c>
      <c r="C3080" s="8" t="s">
        <v>21</v>
      </c>
      <c r="N3080" s="7">
        <v>44274.0</v>
      </c>
    </row>
    <row r="3081">
      <c r="A3081" s="8">
        <v>3080.0</v>
      </c>
      <c r="B3081" s="8" t="s">
        <v>4431</v>
      </c>
      <c r="C3081" s="8" t="s">
        <v>21</v>
      </c>
      <c r="K3081" s="8">
        <v>700.0</v>
      </c>
      <c r="N3081" s="7">
        <v>44168.0</v>
      </c>
    </row>
    <row r="3082">
      <c r="A3082" s="8">
        <v>3081.0</v>
      </c>
      <c r="B3082" s="8" t="s">
        <v>4432</v>
      </c>
      <c r="C3082" s="8" t="s">
        <v>21</v>
      </c>
      <c r="N3082" s="7">
        <v>44987.0</v>
      </c>
    </row>
    <row r="3083">
      <c r="A3083" s="8">
        <v>3082.0</v>
      </c>
      <c r="B3083" s="8" t="s">
        <v>4433</v>
      </c>
      <c r="C3083" s="8" t="s">
        <v>21</v>
      </c>
      <c r="K3083" s="8">
        <v>4200.0</v>
      </c>
      <c r="N3083" s="7">
        <v>44985.0</v>
      </c>
    </row>
    <row r="3084">
      <c r="A3084" s="8">
        <v>3083.0</v>
      </c>
      <c r="B3084" s="8" t="s">
        <v>4434</v>
      </c>
      <c r="C3084" s="8" t="s">
        <v>21</v>
      </c>
      <c r="N3084" s="7">
        <v>44531.0</v>
      </c>
    </row>
    <row r="3085">
      <c r="A3085" s="8">
        <v>3084.0</v>
      </c>
      <c r="B3085" s="8" t="s">
        <v>4435</v>
      </c>
      <c r="C3085" s="8" t="s">
        <v>21</v>
      </c>
      <c r="K3085" s="8">
        <v>10.0</v>
      </c>
      <c r="N3085" s="7">
        <v>44793.0</v>
      </c>
    </row>
    <row r="3086">
      <c r="A3086" s="8">
        <v>3085.0</v>
      </c>
      <c r="B3086" s="8" t="s">
        <v>4436</v>
      </c>
      <c r="C3086" s="8" t="s">
        <v>21</v>
      </c>
      <c r="K3086" s="8">
        <v>30.0</v>
      </c>
      <c r="N3086" s="7">
        <v>43963.0</v>
      </c>
    </row>
    <row r="3087">
      <c r="A3087" s="8">
        <v>3086.0</v>
      </c>
      <c r="B3087" s="8" t="s">
        <v>4437</v>
      </c>
      <c r="C3087" s="8" t="s">
        <v>21</v>
      </c>
      <c r="K3087" s="8">
        <v>50.0</v>
      </c>
      <c r="N3087" s="7">
        <v>45873.0</v>
      </c>
    </row>
    <row r="3088">
      <c r="A3088" s="8">
        <v>3087.0</v>
      </c>
      <c r="B3088" s="8" t="s">
        <v>4438</v>
      </c>
      <c r="C3088" s="8" t="s">
        <v>21</v>
      </c>
      <c r="K3088" s="8">
        <v>600.0</v>
      </c>
      <c r="N3088" s="7">
        <v>43888.0</v>
      </c>
    </row>
    <row r="3089">
      <c r="A3089" s="8">
        <v>3088.0</v>
      </c>
      <c r="B3089" s="8" t="s">
        <v>4439</v>
      </c>
      <c r="C3089" s="8" t="s">
        <v>21</v>
      </c>
      <c r="K3089" s="8">
        <v>100.0</v>
      </c>
      <c r="N3089" s="7">
        <v>44814.0</v>
      </c>
    </row>
    <row r="3090">
      <c r="A3090" s="8">
        <v>3089.0</v>
      </c>
      <c r="B3090" s="8" t="s">
        <v>4440</v>
      </c>
      <c r="C3090" s="8" t="s">
        <v>21</v>
      </c>
      <c r="K3090" s="8">
        <v>450.0</v>
      </c>
      <c r="N3090" s="7">
        <v>43880.0</v>
      </c>
    </row>
    <row r="3091">
      <c r="A3091" s="8">
        <v>3090.0</v>
      </c>
      <c r="B3091" s="8" t="s">
        <v>4441</v>
      </c>
      <c r="C3091" s="8" t="s">
        <v>21</v>
      </c>
      <c r="N3091" s="7">
        <v>46016.0</v>
      </c>
    </row>
    <row r="3092">
      <c r="A3092" s="8">
        <v>3091.0</v>
      </c>
      <c r="B3092" s="8" t="s">
        <v>4442</v>
      </c>
      <c r="C3092" s="8" t="s">
        <v>21</v>
      </c>
      <c r="K3092" s="8">
        <v>100.0</v>
      </c>
      <c r="N3092" s="7">
        <v>44572.0</v>
      </c>
    </row>
    <row r="3093">
      <c r="A3093" s="8">
        <v>3092.0</v>
      </c>
      <c r="B3093" s="8" t="s">
        <v>4443</v>
      </c>
      <c r="C3093" s="8" t="s">
        <v>21</v>
      </c>
      <c r="K3093" s="8">
        <v>450.0</v>
      </c>
      <c r="N3093" s="7">
        <v>44424.0</v>
      </c>
    </row>
    <row r="3094">
      <c r="A3094" s="8">
        <v>3093.0</v>
      </c>
      <c r="B3094" s="8" t="s">
        <v>4444</v>
      </c>
      <c r="C3094" s="8" t="s">
        <v>21</v>
      </c>
      <c r="K3094" s="8">
        <v>3800.0</v>
      </c>
      <c r="N3094" s="7">
        <v>44519.0</v>
      </c>
    </row>
    <row r="3095">
      <c r="A3095" s="8">
        <v>3094.0</v>
      </c>
      <c r="B3095" s="8" t="s">
        <v>4445</v>
      </c>
      <c r="C3095" s="8" t="s">
        <v>21</v>
      </c>
      <c r="K3095" s="8">
        <v>50.0</v>
      </c>
      <c r="N3095" s="7">
        <v>44503.0</v>
      </c>
    </row>
    <row r="3096">
      <c r="A3096" s="8">
        <v>3095.0</v>
      </c>
      <c r="B3096" s="8" t="s">
        <v>4446</v>
      </c>
      <c r="C3096" s="8" t="s">
        <v>21</v>
      </c>
      <c r="K3096" s="8">
        <v>60.0</v>
      </c>
      <c r="N3096" s="7">
        <v>44036.0</v>
      </c>
    </row>
    <row r="3097">
      <c r="A3097" s="8">
        <v>3096.0</v>
      </c>
      <c r="B3097" s="8" t="s">
        <v>4447</v>
      </c>
      <c r="C3097" s="8" t="s">
        <v>21</v>
      </c>
      <c r="K3097" s="8">
        <v>60.0</v>
      </c>
      <c r="N3097" s="7">
        <v>44142.0</v>
      </c>
    </row>
    <row r="3098">
      <c r="A3098" s="8">
        <v>3097.0</v>
      </c>
      <c r="B3098" s="8" t="s">
        <v>4448</v>
      </c>
      <c r="C3098" s="8" t="s">
        <v>21</v>
      </c>
      <c r="K3098" s="8">
        <v>100.0</v>
      </c>
      <c r="N3098" s="7">
        <v>43827.0</v>
      </c>
    </row>
    <row r="3099">
      <c r="A3099" s="8">
        <v>3098.0</v>
      </c>
      <c r="B3099" s="8" t="s">
        <v>4449</v>
      </c>
      <c r="C3099" s="8" t="s">
        <v>21</v>
      </c>
      <c r="K3099" s="8">
        <v>200.0</v>
      </c>
      <c r="N3099" s="7">
        <v>44349.0</v>
      </c>
    </row>
    <row r="3100">
      <c r="A3100" s="8">
        <v>3099.0</v>
      </c>
      <c r="B3100" s="8" t="s">
        <v>4450</v>
      </c>
      <c r="C3100" s="8" t="s">
        <v>21</v>
      </c>
      <c r="K3100" s="8">
        <v>10.0</v>
      </c>
      <c r="N3100" s="7">
        <v>44295.0</v>
      </c>
    </row>
    <row r="3101">
      <c r="A3101" s="8">
        <v>3100.0</v>
      </c>
      <c r="B3101" s="8" t="s">
        <v>4451</v>
      </c>
      <c r="C3101" s="8" t="s">
        <v>21</v>
      </c>
      <c r="K3101" s="8">
        <v>169000.0</v>
      </c>
      <c r="N3101" s="7">
        <v>43859.0</v>
      </c>
    </row>
    <row r="3102">
      <c r="A3102" s="8">
        <v>3101.0</v>
      </c>
      <c r="B3102" s="8" t="s">
        <v>4452</v>
      </c>
      <c r="C3102" s="8" t="s">
        <v>21</v>
      </c>
      <c r="N3102" s="7">
        <v>44941.0</v>
      </c>
    </row>
    <row r="3103">
      <c r="A3103" s="8">
        <v>3102.0</v>
      </c>
      <c r="B3103" s="8" t="s">
        <v>4453</v>
      </c>
      <c r="C3103" s="8" t="s">
        <v>21</v>
      </c>
      <c r="K3103" s="8">
        <v>150.0</v>
      </c>
      <c r="N3103" s="7">
        <v>44516.0</v>
      </c>
    </row>
    <row r="3104">
      <c r="A3104" s="8">
        <v>3103.0</v>
      </c>
      <c r="B3104" s="8" t="s">
        <v>4454</v>
      </c>
      <c r="C3104" s="8" t="s">
        <v>21</v>
      </c>
      <c r="K3104" s="8">
        <v>50.0</v>
      </c>
      <c r="N3104" s="7">
        <v>44672.0</v>
      </c>
    </row>
    <row r="3105">
      <c r="A3105" s="8">
        <v>3104.0</v>
      </c>
      <c r="B3105" s="8" t="s">
        <v>4455</v>
      </c>
      <c r="C3105" s="8" t="s">
        <v>21</v>
      </c>
      <c r="K3105" s="8">
        <v>10.0</v>
      </c>
      <c r="N3105" s="7">
        <v>45019.0</v>
      </c>
    </row>
    <row r="3106">
      <c r="A3106" s="8">
        <v>3105.0</v>
      </c>
      <c r="B3106" s="8" t="s">
        <v>4456</v>
      </c>
      <c r="C3106" s="8" t="s">
        <v>21</v>
      </c>
      <c r="K3106" s="8">
        <v>10.0</v>
      </c>
      <c r="N3106" s="7">
        <v>45286.0</v>
      </c>
    </row>
    <row r="3107">
      <c r="A3107" s="8">
        <v>3106.0</v>
      </c>
      <c r="B3107" s="8" t="s">
        <v>4457</v>
      </c>
      <c r="C3107" s="8" t="s">
        <v>21</v>
      </c>
      <c r="K3107" s="8">
        <v>100.0</v>
      </c>
      <c r="N3107" s="7">
        <v>44284.0</v>
      </c>
    </row>
    <row r="3108">
      <c r="A3108" s="8">
        <v>3107.0</v>
      </c>
      <c r="B3108" s="8" t="s">
        <v>4458</v>
      </c>
      <c r="C3108" s="8" t="s">
        <v>21</v>
      </c>
      <c r="N3108" s="7">
        <v>44801.0</v>
      </c>
    </row>
    <row r="3109">
      <c r="A3109" s="8">
        <v>3108.0</v>
      </c>
      <c r="B3109" s="8" t="s">
        <v>4459</v>
      </c>
      <c r="C3109" s="8" t="s">
        <v>21</v>
      </c>
      <c r="K3109" s="8">
        <v>450.0</v>
      </c>
      <c r="N3109" s="7">
        <v>45636.0</v>
      </c>
    </row>
    <row r="3110">
      <c r="A3110" s="8">
        <v>3109.0</v>
      </c>
      <c r="B3110" s="8" t="s">
        <v>4460</v>
      </c>
      <c r="C3110" s="8" t="s">
        <v>21</v>
      </c>
      <c r="K3110" s="8">
        <v>10.0</v>
      </c>
      <c r="N3110" s="7">
        <v>44084.0</v>
      </c>
    </row>
    <row r="3111">
      <c r="A3111" s="8">
        <v>3110.0</v>
      </c>
      <c r="B3111" s="8" t="s">
        <v>4461</v>
      </c>
      <c r="C3111" s="8" t="s">
        <v>21</v>
      </c>
      <c r="K3111" s="8">
        <v>1100.0</v>
      </c>
      <c r="N3111" s="7">
        <v>44195.0</v>
      </c>
    </row>
    <row r="3112">
      <c r="A3112" s="8">
        <v>3111.0</v>
      </c>
      <c r="B3112" s="8" t="s">
        <v>4462</v>
      </c>
      <c r="C3112" s="8" t="s">
        <v>21</v>
      </c>
      <c r="K3112" s="8">
        <v>700.0</v>
      </c>
      <c r="N3112" s="7">
        <v>45209.0</v>
      </c>
    </row>
    <row r="3113">
      <c r="A3113" s="8">
        <v>3112.0</v>
      </c>
      <c r="B3113" s="8" t="s">
        <v>4463</v>
      </c>
      <c r="C3113" s="8" t="s">
        <v>21</v>
      </c>
      <c r="K3113" s="8">
        <v>1400.0</v>
      </c>
      <c r="N3113" s="7">
        <v>45125.0</v>
      </c>
    </row>
    <row r="3114">
      <c r="A3114" s="8">
        <v>3113.0</v>
      </c>
      <c r="B3114" s="8" t="s">
        <v>4464</v>
      </c>
      <c r="C3114" s="8" t="s">
        <v>21</v>
      </c>
      <c r="K3114" s="8">
        <v>2500.0</v>
      </c>
      <c r="N3114" s="7">
        <v>44412.0</v>
      </c>
    </row>
    <row r="3115">
      <c r="A3115" s="8">
        <v>3114.0</v>
      </c>
      <c r="B3115" s="8" t="s">
        <v>4465</v>
      </c>
      <c r="C3115" s="8" t="s">
        <v>21</v>
      </c>
      <c r="K3115" s="8">
        <v>2800.0</v>
      </c>
      <c r="N3115" s="7">
        <v>44947.0</v>
      </c>
    </row>
    <row r="3116">
      <c r="A3116" s="8">
        <v>3115.0</v>
      </c>
      <c r="B3116" s="8" t="s">
        <v>4466</v>
      </c>
      <c r="C3116" s="8" t="s">
        <v>21</v>
      </c>
      <c r="K3116" s="8">
        <v>150.0</v>
      </c>
      <c r="N3116" s="7">
        <v>45427.0</v>
      </c>
    </row>
    <row r="3117">
      <c r="A3117" s="8">
        <v>3116.0</v>
      </c>
      <c r="B3117" s="8" t="s">
        <v>4467</v>
      </c>
      <c r="C3117" s="8" t="s">
        <v>21</v>
      </c>
      <c r="K3117" s="8">
        <v>6000.0</v>
      </c>
      <c r="N3117" s="7">
        <v>45677.0</v>
      </c>
    </row>
    <row r="3118">
      <c r="A3118" s="8">
        <v>3117.0</v>
      </c>
      <c r="B3118" s="8" t="s">
        <v>4468</v>
      </c>
      <c r="C3118" s="8" t="s">
        <v>21</v>
      </c>
      <c r="K3118" s="8">
        <v>200.0</v>
      </c>
      <c r="N3118" s="7">
        <v>44795.0</v>
      </c>
    </row>
    <row r="3119">
      <c r="A3119" s="8">
        <v>3118.0</v>
      </c>
      <c r="B3119" s="8" t="s">
        <v>4469</v>
      </c>
      <c r="C3119" s="8" t="s">
        <v>21</v>
      </c>
      <c r="K3119" s="8">
        <v>100.0</v>
      </c>
      <c r="N3119" s="7">
        <v>44553.0</v>
      </c>
    </row>
    <row r="3120">
      <c r="A3120" s="8">
        <v>3119.0</v>
      </c>
      <c r="B3120" s="8" t="s">
        <v>4470</v>
      </c>
      <c r="C3120" s="8" t="s">
        <v>21</v>
      </c>
      <c r="K3120" s="8">
        <v>400.0</v>
      </c>
      <c r="N3120" s="7">
        <v>43863.0</v>
      </c>
    </row>
    <row r="3121">
      <c r="A3121" s="8">
        <v>3120.0</v>
      </c>
      <c r="B3121" s="8" t="s">
        <v>4471</v>
      </c>
      <c r="C3121" s="8" t="s">
        <v>21</v>
      </c>
      <c r="K3121" s="8">
        <v>10.0</v>
      </c>
      <c r="N3121" s="7">
        <v>44146.0</v>
      </c>
    </row>
    <row r="3122">
      <c r="A3122" s="8">
        <v>3121.0</v>
      </c>
      <c r="B3122" s="8" t="s">
        <v>203</v>
      </c>
      <c r="C3122" s="8" t="s">
        <v>21</v>
      </c>
      <c r="K3122" s="8">
        <v>400.0</v>
      </c>
      <c r="N3122" s="7">
        <v>44581.0</v>
      </c>
    </row>
    <row r="3123">
      <c r="A3123" s="8">
        <v>3122.0</v>
      </c>
      <c r="B3123" s="8" t="s">
        <v>4472</v>
      </c>
      <c r="C3123" s="8" t="s">
        <v>21</v>
      </c>
      <c r="K3123" s="8">
        <v>450.0</v>
      </c>
      <c r="N3123" s="7">
        <v>44622.0</v>
      </c>
    </row>
    <row r="3124">
      <c r="A3124" s="8">
        <v>3123.0</v>
      </c>
      <c r="B3124" s="8" t="s">
        <v>4473</v>
      </c>
      <c r="C3124" s="8" t="s">
        <v>21</v>
      </c>
      <c r="K3124" s="8">
        <v>200.0</v>
      </c>
      <c r="N3124" s="7">
        <v>44001.0</v>
      </c>
    </row>
    <row r="3125">
      <c r="A3125" s="8">
        <v>3124.0</v>
      </c>
      <c r="B3125" s="8" t="s">
        <v>4474</v>
      </c>
      <c r="C3125" s="8" t="s">
        <v>21</v>
      </c>
      <c r="K3125" s="8">
        <v>500.0</v>
      </c>
      <c r="N3125" s="7">
        <v>44629.0</v>
      </c>
    </row>
    <row r="3126">
      <c r="A3126" s="8">
        <v>3125.0</v>
      </c>
      <c r="B3126" s="8" t="s">
        <v>4475</v>
      </c>
      <c r="C3126" s="8" t="s">
        <v>21</v>
      </c>
      <c r="N3126" s="7">
        <v>44155.0</v>
      </c>
    </row>
    <row r="3127">
      <c r="A3127" s="8">
        <v>3126.0</v>
      </c>
      <c r="B3127" s="8" t="s">
        <v>4476</v>
      </c>
      <c r="C3127" s="8" t="s">
        <v>21</v>
      </c>
      <c r="K3127" s="8">
        <v>800.0</v>
      </c>
      <c r="N3127" s="7">
        <v>43909.0</v>
      </c>
    </row>
    <row r="3128">
      <c r="A3128" s="8">
        <v>3127.0</v>
      </c>
      <c r="B3128" s="8" t="s">
        <v>4477</v>
      </c>
      <c r="C3128" s="8" t="s">
        <v>21</v>
      </c>
      <c r="K3128" s="8">
        <v>10.0</v>
      </c>
      <c r="N3128" s="7">
        <v>44897.0</v>
      </c>
    </row>
    <row r="3129">
      <c r="A3129" s="8">
        <v>3128.0</v>
      </c>
      <c r="B3129" s="8" t="s">
        <v>4478</v>
      </c>
      <c r="C3129" s="8" t="s">
        <v>21</v>
      </c>
      <c r="K3129" s="8">
        <v>80.0</v>
      </c>
      <c r="N3129" s="7">
        <v>45293.0</v>
      </c>
    </row>
    <row r="3130">
      <c r="A3130" s="8">
        <v>3129.0</v>
      </c>
      <c r="B3130" s="8" t="s">
        <v>4479</v>
      </c>
      <c r="C3130" s="8" t="s">
        <v>21</v>
      </c>
      <c r="K3130" s="8">
        <v>250.0</v>
      </c>
      <c r="N3130" s="7">
        <v>44532.0</v>
      </c>
    </row>
    <row r="3131">
      <c r="A3131" s="8">
        <v>3130.0</v>
      </c>
      <c r="B3131" s="8" t="s">
        <v>4480</v>
      </c>
      <c r="C3131" s="8" t="s">
        <v>21</v>
      </c>
      <c r="K3131" s="8">
        <v>5200.0</v>
      </c>
      <c r="N3131" s="7">
        <v>44120.0</v>
      </c>
    </row>
    <row r="3132">
      <c r="A3132" s="8">
        <v>3131.0</v>
      </c>
      <c r="B3132" s="8" t="s">
        <v>4481</v>
      </c>
      <c r="C3132" s="8" t="s">
        <v>21</v>
      </c>
      <c r="N3132" s="7">
        <v>44885.0</v>
      </c>
    </row>
    <row r="3133">
      <c r="A3133" s="8">
        <v>3132.0</v>
      </c>
      <c r="B3133" s="8" t="s">
        <v>4482</v>
      </c>
      <c r="C3133" s="8" t="s">
        <v>21</v>
      </c>
      <c r="K3133" s="8">
        <v>100.0</v>
      </c>
      <c r="N3133" s="7">
        <v>45879.0</v>
      </c>
    </row>
    <row r="3134">
      <c r="A3134" s="8">
        <v>3133.0</v>
      </c>
      <c r="B3134" s="8" t="s">
        <v>4483</v>
      </c>
      <c r="C3134" s="8" t="s">
        <v>21</v>
      </c>
      <c r="N3134" s="7">
        <v>44766.0</v>
      </c>
    </row>
    <row r="3135">
      <c r="A3135" s="8">
        <v>3134.0</v>
      </c>
      <c r="B3135" s="8" t="s">
        <v>4484</v>
      </c>
      <c r="C3135" s="8" t="s">
        <v>21</v>
      </c>
      <c r="N3135" s="7">
        <v>44679.0</v>
      </c>
    </row>
    <row r="3136">
      <c r="A3136" s="8">
        <v>3135.0</v>
      </c>
      <c r="B3136" s="8" t="s">
        <v>4485</v>
      </c>
      <c r="C3136" s="8" t="s">
        <v>21</v>
      </c>
      <c r="N3136" s="7">
        <v>45116.0</v>
      </c>
    </row>
    <row r="3137">
      <c r="A3137" s="8">
        <v>3136.0</v>
      </c>
      <c r="B3137" s="8" t="s">
        <v>4486</v>
      </c>
      <c r="C3137" s="8" t="s">
        <v>21</v>
      </c>
      <c r="K3137" s="8">
        <v>150.0</v>
      </c>
      <c r="N3137" s="7">
        <v>45083.0</v>
      </c>
    </row>
    <row r="3138">
      <c r="A3138" s="8">
        <v>3137.0</v>
      </c>
      <c r="B3138" s="8" t="s">
        <v>4487</v>
      </c>
      <c r="C3138" s="8" t="s">
        <v>21</v>
      </c>
      <c r="K3138" s="8">
        <v>80.0</v>
      </c>
      <c r="N3138" s="7">
        <v>45030.0</v>
      </c>
    </row>
    <row r="3139">
      <c r="A3139" s="8">
        <v>3138.0</v>
      </c>
      <c r="B3139" s="8" t="s">
        <v>3055</v>
      </c>
      <c r="C3139" s="8" t="s">
        <v>21</v>
      </c>
      <c r="D3139" s="8">
        <v>72.0</v>
      </c>
      <c r="H3139" s="8" t="s">
        <v>279</v>
      </c>
      <c r="I3139" s="9">
        <v>46143.99753472222</v>
      </c>
      <c r="J3139" s="8" t="s">
        <v>90</v>
      </c>
      <c r="K3139" s="8">
        <v>2500.0</v>
      </c>
      <c r="L3139" s="8">
        <v>3200.0</v>
      </c>
      <c r="M3139" s="8">
        <v>59000.0</v>
      </c>
      <c r="N3139" s="7">
        <v>43880.0</v>
      </c>
      <c r="O3139" s="8" t="s">
        <v>147</v>
      </c>
      <c r="P3139" s="8" t="s">
        <v>28</v>
      </c>
      <c r="S3139" s="8" t="s">
        <v>32</v>
      </c>
    </row>
    <row r="3140">
      <c r="A3140" s="8">
        <v>3139.0</v>
      </c>
      <c r="B3140" s="8" t="s">
        <v>4488</v>
      </c>
      <c r="C3140" s="8" t="s">
        <v>21</v>
      </c>
      <c r="K3140" s="8">
        <v>600.0</v>
      </c>
      <c r="N3140" s="7">
        <v>43882.0</v>
      </c>
    </row>
    <row r="3141">
      <c r="A3141" s="8">
        <v>3140.0</v>
      </c>
      <c r="B3141" s="8" t="s">
        <v>4489</v>
      </c>
      <c r="C3141" s="8" t="s">
        <v>21</v>
      </c>
      <c r="N3141" s="7">
        <v>44869.0</v>
      </c>
    </row>
    <row r="3142">
      <c r="A3142" s="8">
        <v>3141.0</v>
      </c>
      <c r="B3142" s="8" t="s">
        <v>4490</v>
      </c>
      <c r="C3142" s="8" t="s">
        <v>21</v>
      </c>
      <c r="K3142" s="8">
        <v>40.0</v>
      </c>
      <c r="N3142" s="7">
        <v>44689.0</v>
      </c>
    </row>
    <row r="3143">
      <c r="A3143" s="8">
        <v>3142.0</v>
      </c>
      <c r="B3143" s="8" t="s">
        <v>4491</v>
      </c>
      <c r="C3143" s="8" t="s">
        <v>21</v>
      </c>
      <c r="K3143" s="8">
        <v>10.0</v>
      </c>
      <c r="N3143" s="7">
        <v>43878.0</v>
      </c>
    </row>
    <row r="3144">
      <c r="A3144" s="8">
        <v>3143.0</v>
      </c>
      <c r="B3144" s="8" t="s">
        <v>4492</v>
      </c>
      <c r="C3144" s="8" t="s">
        <v>21</v>
      </c>
      <c r="K3144" s="8">
        <v>90.0</v>
      </c>
      <c r="N3144" s="7">
        <v>44166.0</v>
      </c>
    </row>
    <row r="3145">
      <c r="A3145" s="8">
        <v>3144.0</v>
      </c>
      <c r="B3145" s="8" t="s">
        <v>4493</v>
      </c>
      <c r="C3145" s="8" t="s">
        <v>21</v>
      </c>
      <c r="K3145" s="8">
        <v>10.0</v>
      </c>
      <c r="N3145" s="7">
        <v>44620.0</v>
      </c>
    </row>
    <row r="3146">
      <c r="A3146" s="8">
        <v>3145.0</v>
      </c>
      <c r="B3146" s="8" t="s">
        <v>4494</v>
      </c>
      <c r="C3146" s="8" t="s">
        <v>21</v>
      </c>
      <c r="K3146" s="8">
        <v>30.0</v>
      </c>
      <c r="N3146" s="7">
        <v>44752.0</v>
      </c>
    </row>
    <row r="3147">
      <c r="A3147" s="8">
        <v>3146.0</v>
      </c>
      <c r="B3147" s="8" t="s">
        <v>4495</v>
      </c>
      <c r="C3147" s="8" t="s">
        <v>21</v>
      </c>
      <c r="K3147" s="8">
        <v>30.0</v>
      </c>
      <c r="N3147" s="7">
        <v>44192.0</v>
      </c>
    </row>
    <row r="3148">
      <c r="A3148" s="8">
        <v>3147.0</v>
      </c>
      <c r="B3148" s="8" t="s">
        <v>4496</v>
      </c>
      <c r="C3148" s="8" t="s">
        <v>21</v>
      </c>
      <c r="K3148" s="8">
        <v>50.0</v>
      </c>
      <c r="N3148" s="7">
        <v>45141.0</v>
      </c>
    </row>
    <row r="3149">
      <c r="A3149" s="8">
        <v>3148.0</v>
      </c>
      <c r="B3149" s="8" t="s">
        <v>4497</v>
      </c>
      <c r="C3149" s="8" t="s">
        <v>21</v>
      </c>
      <c r="N3149" s="7">
        <v>45315.0</v>
      </c>
    </row>
    <row r="3150">
      <c r="A3150" s="8">
        <v>3149.0</v>
      </c>
      <c r="B3150" s="8" t="s">
        <v>4498</v>
      </c>
      <c r="C3150" s="8" t="s">
        <v>21</v>
      </c>
      <c r="N3150" s="7">
        <v>43878.0</v>
      </c>
    </row>
    <row r="3151">
      <c r="A3151" s="8">
        <v>3150.0</v>
      </c>
      <c r="B3151" s="8" t="s">
        <v>4499</v>
      </c>
      <c r="C3151" s="8" t="s">
        <v>21</v>
      </c>
      <c r="K3151" s="8">
        <v>60.0</v>
      </c>
      <c r="N3151" s="7">
        <v>45740.0</v>
      </c>
    </row>
    <row r="3152">
      <c r="A3152" s="8">
        <v>3151.0</v>
      </c>
      <c r="B3152" s="8" t="s">
        <v>4500</v>
      </c>
      <c r="C3152" s="8" t="s">
        <v>21</v>
      </c>
      <c r="K3152" s="8">
        <v>900.0</v>
      </c>
      <c r="N3152" s="7">
        <v>43869.0</v>
      </c>
    </row>
    <row r="3153">
      <c r="A3153" s="8">
        <v>3152.0</v>
      </c>
      <c r="B3153" s="8" t="s">
        <v>232</v>
      </c>
      <c r="C3153" s="8" t="s">
        <v>21</v>
      </c>
      <c r="N3153" s="7">
        <v>45159.0</v>
      </c>
    </row>
    <row r="3154">
      <c r="A3154" s="8">
        <v>3153.0</v>
      </c>
      <c r="B3154" s="8" t="s">
        <v>4501</v>
      </c>
      <c r="C3154" s="8" t="s">
        <v>21</v>
      </c>
      <c r="N3154" s="7">
        <v>45941.0</v>
      </c>
    </row>
    <row r="3155">
      <c r="A3155" s="8">
        <v>3154.0</v>
      </c>
      <c r="B3155" s="8" t="s">
        <v>4502</v>
      </c>
      <c r="C3155" s="8" t="s">
        <v>21</v>
      </c>
      <c r="K3155" s="8">
        <v>33000.0</v>
      </c>
      <c r="N3155" s="7">
        <v>45016.0</v>
      </c>
    </row>
    <row r="3156">
      <c r="A3156" s="8">
        <v>3155.0</v>
      </c>
      <c r="B3156" s="8" t="s">
        <v>4503</v>
      </c>
      <c r="C3156" s="8" t="s">
        <v>21</v>
      </c>
      <c r="K3156" s="8">
        <v>1300.0</v>
      </c>
      <c r="N3156" s="7">
        <v>43889.0</v>
      </c>
    </row>
    <row r="3157">
      <c r="A3157" s="8">
        <v>3156.0</v>
      </c>
      <c r="B3157" s="8" t="s">
        <v>4504</v>
      </c>
      <c r="C3157" s="8" t="s">
        <v>21</v>
      </c>
      <c r="K3157" s="8">
        <v>10.0</v>
      </c>
      <c r="N3157" s="7">
        <v>44836.0</v>
      </c>
    </row>
    <row r="3158">
      <c r="A3158" s="8">
        <v>3157.0</v>
      </c>
      <c r="B3158" s="8" t="s">
        <v>4505</v>
      </c>
      <c r="C3158" s="8" t="s">
        <v>21</v>
      </c>
      <c r="K3158" s="8">
        <v>150.0</v>
      </c>
      <c r="N3158" s="7">
        <v>44569.0</v>
      </c>
    </row>
    <row r="3159">
      <c r="A3159" s="8">
        <v>3158.0</v>
      </c>
      <c r="B3159" s="8" t="s">
        <v>4506</v>
      </c>
      <c r="C3159" s="8" t="s">
        <v>21</v>
      </c>
      <c r="K3159" s="8">
        <v>1200.0</v>
      </c>
      <c r="N3159" s="7">
        <v>45627.0</v>
      </c>
    </row>
    <row r="3160">
      <c r="A3160" s="8">
        <v>3159.0</v>
      </c>
      <c r="B3160" s="8" t="s">
        <v>4507</v>
      </c>
      <c r="C3160" s="8" t="s">
        <v>21</v>
      </c>
      <c r="K3160" s="8">
        <v>1100.0</v>
      </c>
      <c r="N3160" s="7">
        <v>44983.0</v>
      </c>
    </row>
    <row r="3161">
      <c r="A3161" s="8">
        <v>3160.0</v>
      </c>
      <c r="B3161" s="8" t="s">
        <v>4508</v>
      </c>
      <c r="C3161" s="8" t="s">
        <v>21</v>
      </c>
      <c r="K3161" s="8">
        <v>6600.0</v>
      </c>
      <c r="N3161" s="7">
        <v>44130.0</v>
      </c>
    </row>
    <row r="3162">
      <c r="A3162" s="8">
        <v>3161.0</v>
      </c>
      <c r="B3162" s="8" t="s">
        <v>4509</v>
      </c>
      <c r="C3162" s="8" t="s">
        <v>21</v>
      </c>
      <c r="K3162" s="8">
        <v>60.0</v>
      </c>
      <c r="N3162" s="7">
        <v>45128.0</v>
      </c>
    </row>
    <row r="3163">
      <c r="A3163" s="8">
        <v>3162.0</v>
      </c>
      <c r="B3163" s="8" t="s">
        <v>4510</v>
      </c>
      <c r="C3163" s="8" t="s">
        <v>21</v>
      </c>
      <c r="K3163" s="8">
        <v>1300.0</v>
      </c>
      <c r="N3163" s="7">
        <v>44426.0</v>
      </c>
    </row>
    <row r="3164">
      <c r="A3164" s="8">
        <v>3163.0</v>
      </c>
      <c r="B3164" s="8" t="s">
        <v>4511</v>
      </c>
      <c r="C3164" s="8" t="s">
        <v>21</v>
      </c>
      <c r="K3164" s="8">
        <v>10.0</v>
      </c>
      <c r="N3164" s="7">
        <v>44505.0</v>
      </c>
    </row>
    <row r="3165">
      <c r="A3165" s="8">
        <v>3164.0</v>
      </c>
      <c r="B3165" s="8" t="s">
        <v>4512</v>
      </c>
      <c r="C3165" s="8" t="s">
        <v>21</v>
      </c>
      <c r="N3165" s="7">
        <v>45100.0</v>
      </c>
    </row>
    <row r="3166">
      <c r="A3166" s="8">
        <v>3165.0</v>
      </c>
      <c r="B3166" s="8" t="s">
        <v>4513</v>
      </c>
      <c r="C3166" s="8" t="s">
        <v>21</v>
      </c>
      <c r="K3166" s="8">
        <v>800.0</v>
      </c>
      <c r="N3166" s="7">
        <v>44381.0</v>
      </c>
    </row>
    <row r="3167">
      <c r="A3167" s="8">
        <v>3166.0</v>
      </c>
      <c r="B3167" s="8" t="s">
        <v>4514</v>
      </c>
      <c r="C3167" s="8" t="s">
        <v>21</v>
      </c>
      <c r="K3167" s="8">
        <v>40.0</v>
      </c>
      <c r="N3167" s="7">
        <v>44353.0</v>
      </c>
      <c r="O3167" s="8" t="s">
        <v>31</v>
      </c>
      <c r="P3167" s="8" t="s">
        <v>28</v>
      </c>
      <c r="S3167" s="8" t="s">
        <v>32</v>
      </c>
    </row>
    <row r="3168">
      <c r="A3168" s="8">
        <v>3167.0</v>
      </c>
      <c r="B3168" s="8" t="s">
        <v>4515</v>
      </c>
      <c r="C3168" s="8" t="s">
        <v>21</v>
      </c>
      <c r="K3168" s="8">
        <v>3500.0</v>
      </c>
      <c r="N3168" s="7">
        <v>44080.0</v>
      </c>
    </row>
    <row r="3169">
      <c r="A3169" s="8">
        <v>3168.0</v>
      </c>
      <c r="B3169" s="8" t="s">
        <v>4516</v>
      </c>
      <c r="C3169" s="8" t="s">
        <v>21</v>
      </c>
      <c r="K3169" s="8">
        <v>700.0</v>
      </c>
      <c r="N3169" s="7">
        <v>44494.0</v>
      </c>
    </row>
    <row r="3170">
      <c r="A3170" s="8">
        <v>3169.0</v>
      </c>
      <c r="B3170" s="8" t="s">
        <v>4517</v>
      </c>
      <c r="C3170" s="8" t="s">
        <v>21</v>
      </c>
      <c r="K3170" s="8">
        <v>1400.0</v>
      </c>
      <c r="N3170" s="7">
        <v>44150.0</v>
      </c>
    </row>
    <row r="3171">
      <c r="A3171" s="8">
        <v>3170.0</v>
      </c>
      <c r="B3171" s="8" t="s">
        <v>4518</v>
      </c>
      <c r="C3171" s="8" t="s">
        <v>21</v>
      </c>
      <c r="K3171" s="8">
        <v>1300.0</v>
      </c>
      <c r="N3171" s="7">
        <v>44952.0</v>
      </c>
    </row>
    <row r="3172">
      <c r="A3172" s="8">
        <v>3171.0</v>
      </c>
      <c r="B3172" s="8" t="s">
        <v>4519</v>
      </c>
      <c r="C3172" s="8" t="s">
        <v>21</v>
      </c>
      <c r="K3172" s="8">
        <v>200.0</v>
      </c>
      <c r="N3172" s="7">
        <v>44944.0</v>
      </c>
    </row>
    <row r="3173">
      <c r="A3173" s="8">
        <v>3172.0</v>
      </c>
      <c r="B3173" s="8" t="s">
        <v>4520</v>
      </c>
      <c r="C3173" s="8" t="s">
        <v>21</v>
      </c>
      <c r="K3173" s="8">
        <v>700.0</v>
      </c>
      <c r="N3173" s="7">
        <v>45997.0</v>
      </c>
    </row>
    <row r="3174">
      <c r="A3174" s="8">
        <v>3173.0</v>
      </c>
      <c r="B3174" s="8" t="s">
        <v>4521</v>
      </c>
      <c r="C3174" s="8" t="s">
        <v>21</v>
      </c>
      <c r="K3174" s="8">
        <v>30.0</v>
      </c>
      <c r="N3174" s="7">
        <v>45203.0</v>
      </c>
    </row>
    <row r="3175">
      <c r="A3175" s="8">
        <v>3174.0</v>
      </c>
      <c r="B3175" s="8" t="s">
        <v>4522</v>
      </c>
      <c r="C3175" s="8" t="s">
        <v>21</v>
      </c>
      <c r="K3175" s="8">
        <v>40.0</v>
      </c>
      <c r="N3175" s="7">
        <v>44476.0</v>
      </c>
    </row>
    <row r="3176">
      <c r="A3176" s="8">
        <v>3175.0</v>
      </c>
      <c r="B3176" s="8" t="s">
        <v>4523</v>
      </c>
      <c r="C3176" s="8" t="s">
        <v>21</v>
      </c>
      <c r="K3176" s="8">
        <v>20.0</v>
      </c>
      <c r="N3176" s="7">
        <v>44575.0</v>
      </c>
    </row>
    <row r="3177">
      <c r="A3177" s="8">
        <v>3176.0</v>
      </c>
      <c r="B3177" s="8" t="s">
        <v>4524</v>
      </c>
      <c r="C3177" s="8" t="s">
        <v>21</v>
      </c>
      <c r="K3177" s="8">
        <v>70.0</v>
      </c>
      <c r="N3177" s="7">
        <v>45116.0</v>
      </c>
    </row>
    <row r="3178">
      <c r="A3178" s="8">
        <v>3177.0</v>
      </c>
      <c r="B3178" s="8" t="s">
        <v>4525</v>
      </c>
      <c r="C3178" s="8" t="s">
        <v>21</v>
      </c>
      <c r="K3178" s="8">
        <v>350.0</v>
      </c>
      <c r="N3178" s="7">
        <v>44623.0</v>
      </c>
    </row>
    <row r="3179">
      <c r="A3179" s="8">
        <v>3178.0</v>
      </c>
      <c r="B3179" s="8" t="s">
        <v>4526</v>
      </c>
      <c r="C3179" s="8" t="s">
        <v>21</v>
      </c>
      <c r="K3179" s="8">
        <v>20.0</v>
      </c>
      <c r="N3179" s="7">
        <v>44086.0</v>
      </c>
    </row>
    <row r="3180">
      <c r="A3180" s="8">
        <v>3179.0</v>
      </c>
      <c r="B3180" s="8" t="s">
        <v>4527</v>
      </c>
      <c r="C3180" s="8" t="s">
        <v>21</v>
      </c>
      <c r="K3180" s="8">
        <v>350.0</v>
      </c>
      <c r="N3180" s="7">
        <v>44091.0</v>
      </c>
    </row>
    <row r="3181">
      <c r="A3181" s="8">
        <v>3180.0</v>
      </c>
      <c r="B3181" s="8" t="s">
        <v>4528</v>
      </c>
      <c r="C3181" s="8" t="s">
        <v>21</v>
      </c>
      <c r="K3181" s="8">
        <v>900.0</v>
      </c>
      <c r="N3181" s="7">
        <v>44558.0</v>
      </c>
    </row>
    <row r="3182">
      <c r="A3182" s="8">
        <v>3181.0</v>
      </c>
      <c r="B3182" s="8" t="s">
        <v>235</v>
      </c>
      <c r="C3182" s="8" t="s">
        <v>21</v>
      </c>
      <c r="K3182" s="8">
        <v>30.0</v>
      </c>
      <c r="N3182" s="7">
        <v>44157.0</v>
      </c>
    </row>
    <row r="3183">
      <c r="A3183" s="8">
        <v>3182.0</v>
      </c>
      <c r="B3183" s="8" t="s">
        <v>4529</v>
      </c>
      <c r="C3183" s="8" t="s">
        <v>21</v>
      </c>
      <c r="K3183" s="8">
        <v>80.0</v>
      </c>
      <c r="N3183" s="7">
        <v>45328.0</v>
      </c>
    </row>
    <row r="3184">
      <c r="A3184" s="8">
        <v>3183.0</v>
      </c>
      <c r="B3184" s="8" t="s">
        <v>4530</v>
      </c>
      <c r="C3184" s="8" t="s">
        <v>21</v>
      </c>
      <c r="K3184" s="8">
        <v>15000.0</v>
      </c>
      <c r="N3184" s="7">
        <v>44539.0</v>
      </c>
    </row>
    <row r="3185">
      <c r="A3185" s="8">
        <v>3184.0</v>
      </c>
      <c r="B3185" s="8" t="s">
        <v>4531</v>
      </c>
      <c r="C3185" s="8" t="s">
        <v>21</v>
      </c>
      <c r="N3185" s="7">
        <v>44321.0</v>
      </c>
    </row>
    <row r="3186">
      <c r="A3186" s="8">
        <v>3185.0</v>
      </c>
      <c r="B3186" s="8" t="s">
        <v>4532</v>
      </c>
      <c r="C3186" s="8" t="s">
        <v>21</v>
      </c>
      <c r="K3186" s="8">
        <v>150.0</v>
      </c>
      <c r="N3186" s="7">
        <v>44937.0</v>
      </c>
    </row>
    <row r="3187">
      <c r="A3187" s="8">
        <v>3186.0</v>
      </c>
      <c r="B3187" s="8" t="s">
        <v>233</v>
      </c>
      <c r="C3187" s="8" t="s">
        <v>21</v>
      </c>
      <c r="K3187" s="8">
        <v>70.0</v>
      </c>
      <c r="N3187" s="7">
        <v>45395.0</v>
      </c>
    </row>
    <row r="3188">
      <c r="A3188" s="8">
        <v>3187.0</v>
      </c>
      <c r="B3188" s="8" t="s">
        <v>4533</v>
      </c>
      <c r="C3188" s="8" t="s">
        <v>21</v>
      </c>
      <c r="K3188" s="8">
        <v>150.0</v>
      </c>
      <c r="N3188" s="7">
        <v>45055.0</v>
      </c>
    </row>
    <row r="3189">
      <c r="A3189" s="8">
        <v>3188.0</v>
      </c>
      <c r="B3189" s="8" t="s">
        <v>4534</v>
      </c>
      <c r="C3189" s="8" t="s">
        <v>21</v>
      </c>
      <c r="K3189" s="8">
        <v>30.0</v>
      </c>
      <c r="N3189" s="7">
        <v>43983.0</v>
      </c>
    </row>
    <row r="3190">
      <c r="A3190" s="8">
        <v>3189.0</v>
      </c>
      <c r="B3190" s="8" t="s">
        <v>4535</v>
      </c>
      <c r="C3190" s="8" t="s">
        <v>21</v>
      </c>
      <c r="K3190" s="8">
        <v>1300.0</v>
      </c>
      <c r="N3190" s="7">
        <v>43998.0</v>
      </c>
    </row>
    <row r="3191">
      <c r="A3191" s="8">
        <v>3190.0</v>
      </c>
      <c r="B3191" s="8" t="s">
        <v>4536</v>
      </c>
      <c r="C3191" s="8" t="s">
        <v>21</v>
      </c>
      <c r="K3191" s="8">
        <v>20.0</v>
      </c>
      <c r="N3191" s="7">
        <v>44298.0</v>
      </c>
    </row>
    <row r="3192">
      <c r="A3192" s="8">
        <v>3191.0</v>
      </c>
      <c r="B3192" s="8" t="s">
        <v>4537</v>
      </c>
      <c r="C3192" s="8" t="s">
        <v>21</v>
      </c>
      <c r="K3192" s="8">
        <v>400.0</v>
      </c>
      <c r="N3192" s="7">
        <v>44320.0</v>
      </c>
    </row>
    <row r="3193">
      <c r="A3193" s="8">
        <v>3192.0</v>
      </c>
      <c r="B3193" s="8" t="s">
        <v>4538</v>
      </c>
      <c r="C3193" s="8" t="s">
        <v>21</v>
      </c>
      <c r="K3193" s="8">
        <v>4500.0</v>
      </c>
      <c r="N3193" s="7">
        <v>43884.0</v>
      </c>
    </row>
    <row r="3194">
      <c r="A3194" s="8">
        <v>3193.0</v>
      </c>
      <c r="B3194" s="8" t="s">
        <v>4539</v>
      </c>
      <c r="C3194" s="8" t="s">
        <v>21</v>
      </c>
      <c r="K3194" s="8">
        <v>90.0</v>
      </c>
      <c r="N3194" s="7">
        <v>44523.0</v>
      </c>
    </row>
    <row r="3195">
      <c r="A3195" s="8">
        <v>3194.0</v>
      </c>
      <c r="B3195" s="8" t="s">
        <v>4540</v>
      </c>
      <c r="C3195" s="8" t="s">
        <v>21</v>
      </c>
      <c r="K3195" s="8">
        <v>350.0</v>
      </c>
      <c r="N3195" s="7">
        <v>44083.0</v>
      </c>
    </row>
    <row r="3196">
      <c r="A3196" s="8">
        <v>3195.0</v>
      </c>
      <c r="B3196" s="8" t="s">
        <v>4541</v>
      </c>
      <c r="C3196" s="8" t="s">
        <v>21</v>
      </c>
      <c r="K3196" s="8">
        <v>10.0</v>
      </c>
      <c r="N3196" s="7">
        <v>42310.0</v>
      </c>
    </row>
    <row r="3197">
      <c r="A3197" s="8">
        <v>3196.0</v>
      </c>
      <c r="B3197" s="8" t="s">
        <v>4542</v>
      </c>
      <c r="C3197" s="8" t="s">
        <v>21</v>
      </c>
      <c r="K3197" s="8">
        <v>40.0</v>
      </c>
      <c r="N3197" s="7">
        <v>44308.0</v>
      </c>
    </row>
    <row r="3198">
      <c r="A3198" s="8">
        <v>3197.0</v>
      </c>
      <c r="B3198" s="8" t="s">
        <v>4543</v>
      </c>
      <c r="C3198" s="8" t="s">
        <v>21</v>
      </c>
      <c r="K3198" s="8">
        <v>30.0</v>
      </c>
      <c r="N3198" s="7">
        <v>44412.0</v>
      </c>
    </row>
    <row r="3199">
      <c r="A3199" s="8">
        <v>3198.0</v>
      </c>
      <c r="B3199" s="8" t="s">
        <v>4544</v>
      </c>
      <c r="C3199" s="8" t="s">
        <v>21</v>
      </c>
      <c r="K3199" s="8">
        <v>145000.0</v>
      </c>
      <c r="N3199" s="7">
        <v>44527.0</v>
      </c>
    </row>
    <row r="3200">
      <c r="A3200" s="8">
        <v>3199.0</v>
      </c>
      <c r="B3200" s="8" t="s">
        <v>4545</v>
      </c>
      <c r="C3200" s="8" t="s">
        <v>21</v>
      </c>
      <c r="K3200" s="8">
        <v>150.0</v>
      </c>
      <c r="N3200" s="7">
        <v>44610.0</v>
      </c>
    </row>
    <row r="3201">
      <c r="A3201" s="8">
        <v>3200.0</v>
      </c>
      <c r="B3201" s="8" t="s">
        <v>4546</v>
      </c>
      <c r="C3201" s="8" t="s">
        <v>21</v>
      </c>
      <c r="K3201" s="8">
        <v>28000.0</v>
      </c>
      <c r="N3201" s="7">
        <v>43877.0</v>
      </c>
    </row>
    <row r="3202">
      <c r="A3202" s="8">
        <v>3201.0</v>
      </c>
      <c r="B3202" s="8" t="s">
        <v>4547</v>
      </c>
      <c r="C3202" s="8" t="s">
        <v>21</v>
      </c>
      <c r="K3202" s="8">
        <v>70.0</v>
      </c>
      <c r="N3202" s="7">
        <v>44794.0</v>
      </c>
    </row>
    <row r="3203">
      <c r="A3203" s="8">
        <v>3202.0</v>
      </c>
      <c r="B3203" s="8" t="s">
        <v>4548</v>
      </c>
      <c r="C3203" s="8" t="s">
        <v>21</v>
      </c>
      <c r="K3203" s="8">
        <v>90.0</v>
      </c>
      <c r="N3203" s="7">
        <v>44136.0</v>
      </c>
    </row>
    <row r="3204">
      <c r="A3204" s="8">
        <v>3203.0</v>
      </c>
      <c r="B3204" s="8" t="s">
        <v>4549</v>
      </c>
      <c r="C3204" s="8" t="s">
        <v>21</v>
      </c>
      <c r="K3204" s="8">
        <v>30.0</v>
      </c>
      <c r="N3204" s="7">
        <v>44200.0</v>
      </c>
    </row>
    <row r="3205">
      <c r="A3205" s="8">
        <v>3204.0</v>
      </c>
      <c r="B3205" s="8" t="s">
        <v>4550</v>
      </c>
      <c r="C3205" s="8" t="s">
        <v>21</v>
      </c>
      <c r="K3205" s="8">
        <v>300.0</v>
      </c>
      <c r="N3205" s="7">
        <v>44675.0</v>
      </c>
    </row>
    <row r="3206">
      <c r="A3206" s="8">
        <v>3205.0</v>
      </c>
      <c r="B3206" s="8" t="s">
        <v>4551</v>
      </c>
      <c r="C3206" s="8" t="s">
        <v>21</v>
      </c>
      <c r="N3206" s="7">
        <v>44889.0</v>
      </c>
    </row>
    <row r="3207">
      <c r="A3207" s="8">
        <v>3206.0</v>
      </c>
      <c r="B3207" s="8" t="s">
        <v>4552</v>
      </c>
      <c r="C3207" s="8" t="s">
        <v>21</v>
      </c>
      <c r="K3207" s="8">
        <v>60.0</v>
      </c>
      <c r="N3207" s="7">
        <v>44536.0</v>
      </c>
    </row>
    <row r="3208">
      <c r="A3208" s="8">
        <v>3207.0</v>
      </c>
      <c r="B3208" s="8" t="s">
        <v>4553</v>
      </c>
      <c r="C3208" s="8" t="s">
        <v>21</v>
      </c>
      <c r="K3208" s="8">
        <v>100.0</v>
      </c>
      <c r="N3208" s="7">
        <v>44186.0</v>
      </c>
    </row>
    <row r="3209">
      <c r="A3209" s="8">
        <v>3208.0</v>
      </c>
      <c r="B3209" s="8" t="s">
        <v>4554</v>
      </c>
      <c r="C3209" s="8" t="s">
        <v>21</v>
      </c>
      <c r="K3209" s="8">
        <v>1700.0</v>
      </c>
      <c r="N3209" s="7">
        <v>43850.0</v>
      </c>
    </row>
    <row r="3210">
      <c r="A3210" s="8">
        <v>3209.0</v>
      </c>
      <c r="B3210" s="8" t="s">
        <v>4555</v>
      </c>
      <c r="C3210" s="8" t="s">
        <v>21</v>
      </c>
      <c r="K3210" s="8">
        <v>500.0</v>
      </c>
      <c r="N3210" s="7">
        <v>44830.0</v>
      </c>
    </row>
    <row r="3211">
      <c r="A3211" s="8">
        <v>3210.0</v>
      </c>
      <c r="B3211" s="8" t="s">
        <v>3063</v>
      </c>
      <c r="C3211" s="8" t="s">
        <v>21</v>
      </c>
      <c r="D3211" s="8">
        <v>76.0</v>
      </c>
      <c r="H3211" s="8" t="s">
        <v>398</v>
      </c>
      <c r="I3211" s="9">
        <v>46100.60349537037</v>
      </c>
      <c r="K3211" s="8">
        <v>1300.0</v>
      </c>
      <c r="L3211" s="8">
        <v>150.0</v>
      </c>
      <c r="M3211" s="8">
        <v>301000.0</v>
      </c>
      <c r="N3211" s="7">
        <v>44714.0</v>
      </c>
      <c r="O3211" s="8" t="s">
        <v>147</v>
      </c>
      <c r="P3211" s="8" t="s">
        <v>28</v>
      </c>
      <c r="S3211" s="8" t="s">
        <v>32</v>
      </c>
    </row>
    <row r="3212">
      <c r="A3212" s="8">
        <v>3211.0</v>
      </c>
      <c r="B3212" s="8" t="s">
        <v>4556</v>
      </c>
      <c r="C3212" s="8" t="s">
        <v>21</v>
      </c>
      <c r="K3212" s="8">
        <v>400.0</v>
      </c>
      <c r="N3212" s="7">
        <v>44212.0</v>
      </c>
    </row>
    <row r="3213">
      <c r="A3213" s="8">
        <v>3212.0</v>
      </c>
      <c r="B3213" s="8" t="s">
        <v>4557</v>
      </c>
      <c r="C3213" s="8" t="s">
        <v>21</v>
      </c>
      <c r="K3213" s="8">
        <v>200.0</v>
      </c>
      <c r="N3213" s="7">
        <v>45006.0</v>
      </c>
    </row>
    <row r="3214">
      <c r="A3214" s="8">
        <v>3213.0</v>
      </c>
      <c r="B3214" s="8" t="s">
        <v>4558</v>
      </c>
      <c r="C3214" s="8" t="s">
        <v>21</v>
      </c>
      <c r="K3214" s="8">
        <v>26000.0</v>
      </c>
      <c r="N3214" s="7">
        <v>44424.0</v>
      </c>
    </row>
    <row r="3215">
      <c r="A3215" s="8">
        <v>3214.0</v>
      </c>
      <c r="B3215" s="8" t="s">
        <v>4559</v>
      </c>
      <c r="C3215" s="8" t="s">
        <v>21</v>
      </c>
      <c r="K3215" s="8">
        <v>10.0</v>
      </c>
      <c r="N3215" s="7">
        <v>45100.0</v>
      </c>
    </row>
    <row r="3216">
      <c r="A3216" s="8">
        <v>3215.0</v>
      </c>
      <c r="B3216" s="8" t="s">
        <v>4560</v>
      </c>
      <c r="C3216" s="8" t="s">
        <v>21</v>
      </c>
      <c r="K3216" s="8">
        <v>6500.0</v>
      </c>
      <c r="N3216" s="7">
        <v>42841.0</v>
      </c>
    </row>
    <row r="3217">
      <c r="A3217" s="8">
        <v>3216.0</v>
      </c>
      <c r="B3217" s="8" t="s">
        <v>4561</v>
      </c>
      <c r="C3217" s="8" t="s">
        <v>21</v>
      </c>
      <c r="K3217" s="8">
        <v>100.0</v>
      </c>
      <c r="N3217" s="7">
        <v>44174.0</v>
      </c>
    </row>
    <row r="3218">
      <c r="A3218" s="8">
        <v>3217.0</v>
      </c>
      <c r="B3218" s="8" t="s">
        <v>4562</v>
      </c>
      <c r="C3218" s="8" t="s">
        <v>21</v>
      </c>
      <c r="K3218" s="8">
        <v>50.0</v>
      </c>
      <c r="N3218" s="7">
        <v>44677.0</v>
      </c>
    </row>
    <row r="3219">
      <c r="A3219" s="8">
        <v>3218.0</v>
      </c>
      <c r="B3219" s="8" t="s">
        <v>4563</v>
      </c>
      <c r="C3219" s="8" t="s">
        <v>21</v>
      </c>
      <c r="K3219" s="8">
        <v>50.0</v>
      </c>
      <c r="N3219" s="7">
        <v>43913.0</v>
      </c>
    </row>
    <row r="3220">
      <c r="A3220" s="8">
        <v>3219.0</v>
      </c>
      <c r="B3220" s="8" t="s">
        <v>4564</v>
      </c>
      <c r="C3220" s="8" t="s">
        <v>21</v>
      </c>
      <c r="K3220" s="8">
        <v>60.0</v>
      </c>
      <c r="N3220" s="7">
        <v>44335.0</v>
      </c>
    </row>
    <row r="3221">
      <c r="A3221" s="8">
        <v>3220.0</v>
      </c>
      <c r="B3221" s="8" t="s">
        <v>4565</v>
      </c>
      <c r="C3221" s="8" t="s">
        <v>21</v>
      </c>
      <c r="K3221" s="8">
        <v>2600.0</v>
      </c>
      <c r="N3221" s="7">
        <v>42282.0</v>
      </c>
    </row>
    <row r="3222">
      <c r="A3222" s="8">
        <v>3221.0</v>
      </c>
      <c r="B3222" s="8" t="s">
        <v>4566</v>
      </c>
      <c r="C3222" s="8" t="s">
        <v>21</v>
      </c>
      <c r="K3222" s="8">
        <v>30.0</v>
      </c>
      <c r="N3222" s="7">
        <v>45608.0</v>
      </c>
    </row>
    <row r="3223">
      <c r="A3223" s="8">
        <v>3222.0</v>
      </c>
      <c r="B3223" s="8" t="s">
        <v>4567</v>
      </c>
      <c r="C3223" s="8" t="s">
        <v>21</v>
      </c>
      <c r="K3223" s="8">
        <v>3000.0</v>
      </c>
      <c r="N3223" s="7">
        <v>43911.0</v>
      </c>
    </row>
    <row r="3224">
      <c r="A3224" s="8">
        <v>3223.0</v>
      </c>
      <c r="B3224" s="8" t="s">
        <v>4568</v>
      </c>
      <c r="C3224" s="8" t="s">
        <v>21</v>
      </c>
      <c r="K3224" s="8">
        <v>150.0</v>
      </c>
      <c r="N3224" s="7">
        <v>45196.0</v>
      </c>
    </row>
    <row r="3225">
      <c r="A3225" s="8">
        <v>3224.0</v>
      </c>
      <c r="B3225" s="8" t="s">
        <v>4569</v>
      </c>
      <c r="C3225" s="8" t="s">
        <v>21</v>
      </c>
      <c r="N3225" s="7">
        <v>45156.0</v>
      </c>
    </row>
    <row r="3226">
      <c r="A3226" s="8">
        <v>3225.0</v>
      </c>
      <c r="B3226" s="8" t="s">
        <v>4570</v>
      </c>
      <c r="C3226" s="8" t="s">
        <v>21</v>
      </c>
      <c r="K3226" s="8">
        <v>150.0</v>
      </c>
      <c r="N3226" s="7">
        <v>44075.0</v>
      </c>
    </row>
    <row r="3227">
      <c r="A3227" s="8">
        <v>3226.0</v>
      </c>
      <c r="B3227" s="8" t="s">
        <v>4571</v>
      </c>
      <c r="C3227" s="8" t="s">
        <v>21</v>
      </c>
      <c r="N3227" s="7">
        <v>44767.0</v>
      </c>
    </row>
    <row r="3228">
      <c r="A3228" s="8">
        <v>3227.0</v>
      </c>
      <c r="B3228" s="8" t="s">
        <v>4572</v>
      </c>
      <c r="C3228" s="8" t="s">
        <v>21</v>
      </c>
      <c r="K3228" s="8">
        <v>30.0</v>
      </c>
      <c r="N3228" s="7">
        <v>44508.0</v>
      </c>
    </row>
    <row r="3229">
      <c r="A3229" s="8">
        <v>3228.0</v>
      </c>
      <c r="B3229" s="8" t="s">
        <v>4573</v>
      </c>
      <c r="C3229" s="8" t="s">
        <v>21</v>
      </c>
      <c r="K3229" s="8">
        <v>10.0</v>
      </c>
      <c r="N3229" s="7">
        <v>44924.0</v>
      </c>
    </row>
    <row r="3230">
      <c r="A3230" s="8">
        <v>3229.0</v>
      </c>
      <c r="B3230" s="8" t="s">
        <v>4574</v>
      </c>
      <c r="C3230" s="8" t="s">
        <v>21</v>
      </c>
      <c r="K3230" s="8">
        <v>1500.0</v>
      </c>
      <c r="N3230" s="7">
        <v>44083.0</v>
      </c>
    </row>
    <row r="3231">
      <c r="A3231" s="8">
        <v>3230.0</v>
      </c>
      <c r="B3231" s="8" t="s">
        <v>4575</v>
      </c>
      <c r="C3231" s="8" t="s">
        <v>21</v>
      </c>
      <c r="K3231" s="8">
        <v>30.0</v>
      </c>
      <c r="N3231" s="7">
        <v>44402.0</v>
      </c>
    </row>
    <row r="3232">
      <c r="A3232" s="8">
        <v>3231.0</v>
      </c>
      <c r="B3232" s="8" t="s">
        <v>4576</v>
      </c>
      <c r="C3232" s="8" t="s">
        <v>21</v>
      </c>
      <c r="K3232" s="8">
        <v>78000.0</v>
      </c>
      <c r="N3232" s="7">
        <v>43932.0</v>
      </c>
    </row>
    <row r="3233">
      <c r="A3233" s="8">
        <v>3232.0</v>
      </c>
      <c r="B3233" s="8" t="s">
        <v>4577</v>
      </c>
      <c r="C3233" s="8" t="s">
        <v>21</v>
      </c>
      <c r="K3233" s="8">
        <v>700.0</v>
      </c>
      <c r="N3233" s="7">
        <v>44414.0</v>
      </c>
    </row>
    <row r="3234">
      <c r="A3234" s="8">
        <v>3233.0</v>
      </c>
      <c r="B3234" s="8" t="s">
        <v>4578</v>
      </c>
      <c r="C3234" s="8" t="s">
        <v>21</v>
      </c>
      <c r="K3234" s="8">
        <v>300.0</v>
      </c>
      <c r="N3234" s="7">
        <v>44645.0</v>
      </c>
    </row>
    <row r="3235">
      <c r="A3235" s="8">
        <v>3234.0</v>
      </c>
      <c r="B3235" s="8" t="s">
        <v>4579</v>
      </c>
      <c r="C3235" s="8" t="s">
        <v>21</v>
      </c>
      <c r="K3235" s="8">
        <v>10.0</v>
      </c>
      <c r="N3235" s="7">
        <v>44221.0</v>
      </c>
    </row>
    <row r="3236">
      <c r="A3236" s="8">
        <v>3235.0</v>
      </c>
      <c r="B3236" s="8" t="s">
        <v>4580</v>
      </c>
      <c r="C3236" s="8" t="s">
        <v>21</v>
      </c>
      <c r="K3236" s="8">
        <v>70.0</v>
      </c>
      <c r="N3236" s="7">
        <v>44933.0</v>
      </c>
    </row>
    <row r="3237">
      <c r="A3237" s="8">
        <v>3236.0</v>
      </c>
      <c r="B3237" s="8" t="s">
        <v>4581</v>
      </c>
      <c r="C3237" s="8" t="s">
        <v>21</v>
      </c>
      <c r="K3237" s="8">
        <v>10.0</v>
      </c>
      <c r="N3237" s="7">
        <v>45402.0</v>
      </c>
    </row>
    <row r="3238">
      <c r="A3238" s="8">
        <v>3237.0</v>
      </c>
      <c r="B3238" s="8" t="s">
        <v>4582</v>
      </c>
      <c r="C3238" s="8" t="s">
        <v>21</v>
      </c>
      <c r="N3238" s="7">
        <v>44474.0</v>
      </c>
    </row>
    <row r="3239">
      <c r="A3239" s="8">
        <v>3238.0</v>
      </c>
      <c r="B3239" s="8" t="s">
        <v>4583</v>
      </c>
      <c r="C3239" s="8" t="s">
        <v>21</v>
      </c>
      <c r="K3239" s="8">
        <v>300.0</v>
      </c>
      <c r="N3239" s="7">
        <v>43915.0</v>
      </c>
    </row>
    <row r="3240">
      <c r="A3240" s="8">
        <v>3239.0</v>
      </c>
      <c r="B3240" s="8" t="s">
        <v>4584</v>
      </c>
      <c r="C3240" s="8" t="s">
        <v>21</v>
      </c>
      <c r="K3240" s="8">
        <v>150.0</v>
      </c>
      <c r="N3240" s="7">
        <v>44542.0</v>
      </c>
    </row>
    <row r="3241">
      <c r="A3241" s="8">
        <v>3240.0</v>
      </c>
      <c r="B3241" s="8" t="s">
        <v>4585</v>
      </c>
      <c r="C3241" s="8" t="s">
        <v>21</v>
      </c>
      <c r="N3241" s="7">
        <v>44566.0</v>
      </c>
    </row>
    <row r="3242">
      <c r="A3242" s="8">
        <v>3241.0</v>
      </c>
      <c r="B3242" s="8" t="s">
        <v>4586</v>
      </c>
      <c r="C3242" s="8" t="s">
        <v>21</v>
      </c>
      <c r="K3242" s="8">
        <v>10.0</v>
      </c>
      <c r="N3242" s="7">
        <v>44439.0</v>
      </c>
    </row>
    <row r="3243">
      <c r="A3243" s="8">
        <v>3242.0</v>
      </c>
      <c r="B3243" s="8" t="s">
        <v>4587</v>
      </c>
      <c r="C3243" s="8" t="s">
        <v>21</v>
      </c>
      <c r="K3243" s="8">
        <v>200.0</v>
      </c>
      <c r="N3243" s="7">
        <v>44694.0</v>
      </c>
    </row>
    <row r="3244">
      <c r="A3244" s="8">
        <v>3243.0</v>
      </c>
      <c r="B3244" s="8" t="s">
        <v>4588</v>
      </c>
      <c r="C3244" s="8" t="s">
        <v>21</v>
      </c>
      <c r="N3244" s="7">
        <v>45202.0</v>
      </c>
    </row>
    <row r="3245">
      <c r="A3245" s="8">
        <v>3244.0</v>
      </c>
      <c r="B3245" s="8" t="s">
        <v>4589</v>
      </c>
      <c r="C3245" s="8" t="s">
        <v>21</v>
      </c>
      <c r="K3245" s="8">
        <v>1700.0</v>
      </c>
      <c r="N3245" s="7">
        <v>43919.0</v>
      </c>
    </row>
    <row r="3246">
      <c r="A3246" s="8">
        <v>3245.0</v>
      </c>
      <c r="B3246" s="8" t="s">
        <v>4590</v>
      </c>
      <c r="C3246" s="8" t="s">
        <v>21</v>
      </c>
      <c r="K3246" s="8">
        <v>1300.0</v>
      </c>
      <c r="N3246" s="7">
        <v>44492.0</v>
      </c>
    </row>
    <row r="3247">
      <c r="A3247" s="8">
        <v>3246.0</v>
      </c>
      <c r="B3247" s="8" t="s">
        <v>4591</v>
      </c>
      <c r="C3247" s="8" t="s">
        <v>21</v>
      </c>
      <c r="K3247" s="8">
        <v>30.0</v>
      </c>
      <c r="N3247" s="7">
        <v>44882.0</v>
      </c>
    </row>
    <row r="3248">
      <c r="A3248" s="8">
        <v>3247.0</v>
      </c>
      <c r="B3248" s="8" t="s">
        <v>4592</v>
      </c>
      <c r="C3248" s="8" t="s">
        <v>21</v>
      </c>
      <c r="N3248" s="7">
        <v>44980.0</v>
      </c>
    </row>
    <row r="3249">
      <c r="A3249" s="8">
        <v>3248.0</v>
      </c>
      <c r="B3249" s="8" t="s">
        <v>4593</v>
      </c>
      <c r="C3249" s="8" t="s">
        <v>21</v>
      </c>
      <c r="K3249" s="8">
        <v>2500.0</v>
      </c>
      <c r="N3249" s="7">
        <v>44285.0</v>
      </c>
    </row>
    <row r="3250">
      <c r="A3250" s="8">
        <v>3249.0</v>
      </c>
      <c r="B3250" s="8" t="s">
        <v>4594</v>
      </c>
      <c r="C3250" s="8" t="s">
        <v>21</v>
      </c>
      <c r="N3250" s="7">
        <v>44079.0</v>
      </c>
      <c r="O3250" s="8" t="s">
        <v>127</v>
      </c>
      <c r="P3250" s="8" t="s">
        <v>28</v>
      </c>
      <c r="S3250" s="8" t="s">
        <v>32</v>
      </c>
    </row>
    <row r="3251">
      <c r="A3251" s="8">
        <v>3250.0</v>
      </c>
      <c r="B3251" s="8" t="s">
        <v>4595</v>
      </c>
      <c r="C3251" s="8" t="s">
        <v>21</v>
      </c>
      <c r="K3251" s="8">
        <v>20.0</v>
      </c>
      <c r="N3251" s="7">
        <v>45094.0</v>
      </c>
    </row>
    <row r="3252">
      <c r="A3252" s="8">
        <v>3251.0</v>
      </c>
      <c r="B3252" s="8" t="s">
        <v>4596</v>
      </c>
      <c r="C3252" s="8" t="s">
        <v>21</v>
      </c>
      <c r="K3252" s="8">
        <v>1000.0</v>
      </c>
      <c r="N3252" s="7">
        <v>44548.0</v>
      </c>
    </row>
    <row r="3253">
      <c r="A3253" s="8">
        <v>3252.0</v>
      </c>
      <c r="B3253" s="8" t="s">
        <v>4597</v>
      </c>
      <c r="C3253" s="8" t="s">
        <v>21</v>
      </c>
      <c r="K3253" s="8">
        <v>40.0</v>
      </c>
      <c r="N3253" s="7">
        <v>44547.0</v>
      </c>
    </row>
    <row r="3254">
      <c r="A3254" s="8">
        <v>3253.0</v>
      </c>
      <c r="B3254" s="8" t="s">
        <v>4598</v>
      </c>
      <c r="C3254" s="8" t="s">
        <v>21</v>
      </c>
      <c r="K3254" s="8">
        <v>19000.0</v>
      </c>
      <c r="N3254" s="7">
        <v>44531.0</v>
      </c>
    </row>
    <row r="3255">
      <c r="A3255" s="8">
        <v>3254.0</v>
      </c>
      <c r="B3255" s="8" t="s">
        <v>4599</v>
      </c>
      <c r="C3255" s="8" t="s">
        <v>21</v>
      </c>
      <c r="K3255" s="8">
        <v>350.0</v>
      </c>
      <c r="N3255" s="7">
        <v>43407.0</v>
      </c>
    </row>
    <row r="3256">
      <c r="A3256" s="8">
        <v>3255.0</v>
      </c>
      <c r="B3256" s="8" t="s">
        <v>4600</v>
      </c>
      <c r="C3256" s="8" t="s">
        <v>21</v>
      </c>
      <c r="K3256" s="8">
        <v>100.0</v>
      </c>
      <c r="N3256" s="7">
        <v>44471.0</v>
      </c>
    </row>
    <row r="3257">
      <c r="A3257" s="8">
        <v>3256.0</v>
      </c>
      <c r="B3257" s="8" t="s">
        <v>238</v>
      </c>
      <c r="C3257" s="8" t="s">
        <v>21</v>
      </c>
      <c r="K3257" s="8">
        <v>10.0</v>
      </c>
      <c r="N3257" s="7">
        <v>44427.0</v>
      </c>
    </row>
    <row r="3258">
      <c r="A3258" s="8">
        <v>3257.0</v>
      </c>
      <c r="B3258" s="8" t="s">
        <v>4601</v>
      </c>
      <c r="C3258" s="8" t="s">
        <v>21</v>
      </c>
      <c r="K3258" s="8">
        <v>60.0</v>
      </c>
      <c r="N3258" s="7">
        <v>44080.0</v>
      </c>
    </row>
    <row r="3259">
      <c r="A3259" s="8">
        <v>3258.0</v>
      </c>
      <c r="B3259" s="8" t="s">
        <v>4602</v>
      </c>
      <c r="C3259" s="8" t="s">
        <v>21</v>
      </c>
      <c r="K3259" s="8">
        <v>800.0</v>
      </c>
      <c r="N3259" s="7">
        <v>44211.0</v>
      </c>
    </row>
    <row r="3260">
      <c r="A3260" s="8">
        <v>3259.0</v>
      </c>
      <c r="B3260" s="8" t="s">
        <v>4603</v>
      </c>
      <c r="C3260" s="8" t="s">
        <v>21</v>
      </c>
      <c r="K3260" s="8">
        <v>250.0</v>
      </c>
      <c r="N3260" s="7">
        <v>44336.0</v>
      </c>
    </row>
    <row r="3261">
      <c r="A3261" s="8">
        <v>3260.0</v>
      </c>
      <c r="B3261" s="8" t="s">
        <v>4604</v>
      </c>
      <c r="C3261" s="8" t="s">
        <v>21</v>
      </c>
      <c r="N3261" s="7">
        <v>42371.0</v>
      </c>
    </row>
    <row r="3262">
      <c r="A3262" s="8">
        <v>3261.0</v>
      </c>
      <c r="B3262" s="8" t="s">
        <v>4605</v>
      </c>
      <c r="C3262" s="8" t="s">
        <v>21</v>
      </c>
      <c r="K3262" s="8">
        <v>150.0</v>
      </c>
      <c r="N3262" s="7">
        <v>45119.0</v>
      </c>
    </row>
    <row r="3263">
      <c r="A3263" s="8">
        <v>3262.0</v>
      </c>
      <c r="B3263" s="8" t="s">
        <v>4606</v>
      </c>
      <c r="C3263" s="8" t="s">
        <v>21</v>
      </c>
      <c r="N3263" s="7">
        <v>44298.0</v>
      </c>
    </row>
    <row r="3264">
      <c r="A3264" s="8">
        <v>3263.0</v>
      </c>
      <c r="B3264" s="8" t="s">
        <v>4607</v>
      </c>
      <c r="C3264" s="8" t="s">
        <v>21</v>
      </c>
      <c r="K3264" s="8">
        <v>1600.0</v>
      </c>
      <c r="N3264" s="7">
        <v>44561.0</v>
      </c>
    </row>
    <row r="3265">
      <c r="A3265" s="8">
        <v>3264.0</v>
      </c>
      <c r="B3265" s="8" t="s">
        <v>4608</v>
      </c>
      <c r="C3265" s="8" t="s">
        <v>21</v>
      </c>
      <c r="N3265" s="7">
        <v>45038.0</v>
      </c>
    </row>
    <row r="3266">
      <c r="A3266" s="8">
        <v>3265.0</v>
      </c>
      <c r="B3266" s="8" t="s">
        <v>4609</v>
      </c>
      <c r="C3266" s="8" t="s">
        <v>21</v>
      </c>
      <c r="K3266" s="8">
        <v>700.0</v>
      </c>
      <c r="N3266" s="7">
        <v>44663.0</v>
      </c>
    </row>
    <row r="3267">
      <c r="A3267" s="8">
        <v>3266.0</v>
      </c>
      <c r="B3267" s="8" t="s">
        <v>4610</v>
      </c>
      <c r="C3267" s="8" t="s">
        <v>21</v>
      </c>
      <c r="K3267" s="8">
        <v>20.0</v>
      </c>
      <c r="N3267" s="7">
        <v>44100.0</v>
      </c>
    </row>
    <row r="3268">
      <c r="A3268" s="8">
        <v>3267.0</v>
      </c>
      <c r="B3268" s="8" t="s">
        <v>4611</v>
      </c>
      <c r="C3268" s="8" t="s">
        <v>21</v>
      </c>
      <c r="K3268" s="8">
        <v>150.0</v>
      </c>
      <c r="N3268" s="7">
        <v>44510.0</v>
      </c>
    </row>
    <row r="3269">
      <c r="A3269" s="8">
        <v>3268.0</v>
      </c>
      <c r="B3269" s="8" t="s">
        <v>240</v>
      </c>
      <c r="C3269" s="8" t="s">
        <v>21</v>
      </c>
      <c r="K3269" s="8">
        <v>1300.0</v>
      </c>
      <c r="N3269" s="7">
        <v>46088.0</v>
      </c>
    </row>
    <row r="3270">
      <c r="A3270" s="8">
        <v>3269.0</v>
      </c>
      <c r="B3270" s="8" t="s">
        <v>4612</v>
      </c>
      <c r="C3270" s="8" t="s">
        <v>21</v>
      </c>
      <c r="N3270" s="7">
        <v>45519.0</v>
      </c>
    </row>
    <row r="3271">
      <c r="A3271" s="8">
        <v>3270.0</v>
      </c>
      <c r="B3271" s="8" t="s">
        <v>4613</v>
      </c>
      <c r="C3271" s="8" t="s">
        <v>21</v>
      </c>
      <c r="K3271" s="8">
        <v>50.0</v>
      </c>
      <c r="N3271" s="7">
        <v>44086.0</v>
      </c>
    </row>
    <row r="3272">
      <c r="A3272" s="8">
        <v>3271.0</v>
      </c>
      <c r="B3272" s="8" t="s">
        <v>4614</v>
      </c>
      <c r="C3272" s="8" t="s">
        <v>21</v>
      </c>
      <c r="K3272" s="8">
        <v>450.0</v>
      </c>
      <c r="N3272" s="7">
        <v>44407.0</v>
      </c>
    </row>
    <row r="3273">
      <c r="A3273" s="8">
        <v>3272.0</v>
      </c>
      <c r="B3273" s="8" t="s">
        <v>4615</v>
      </c>
      <c r="C3273" s="8" t="s">
        <v>21</v>
      </c>
      <c r="K3273" s="8">
        <v>50.0</v>
      </c>
      <c r="N3273" s="7">
        <v>44686.0</v>
      </c>
    </row>
    <row r="3274">
      <c r="A3274" s="8">
        <v>3273.0</v>
      </c>
      <c r="B3274" s="8" t="s">
        <v>4616</v>
      </c>
      <c r="C3274" s="8" t="s">
        <v>21</v>
      </c>
      <c r="K3274" s="8">
        <v>900.0</v>
      </c>
      <c r="N3274" s="7">
        <v>44625.0</v>
      </c>
    </row>
    <row r="3275">
      <c r="A3275" s="8">
        <v>3274.0</v>
      </c>
      <c r="B3275" s="8" t="s">
        <v>4617</v>
      </c>
      <c r="C3275" s="8" t="s">
        <v>21</v>
      </c>
      <c r="K3275" s="8">
        <v>9100.0</v>
      </c>
      <c r="N3275" s="7">
        <v>44625.0</v>
      </c>
    </row>
    <row r="3276">
      <c r="A3276" s="8">
        <v>3275.0</v>
      </c>
      <c r="B3276" s="8" t="s">
        <v>4618</v>
      </c>
      <c r="C3276" s="8" t="s">
        <v>21</v>
      </c>
      <c r="K3276" s="8">
        <v>90.0</v>
      </c>
      <c r="N3276" s="7">
        <v>44057.0</v>
      </c>
    </row>
    <row r="3277">
      <c r="A3277" s="8">
        <v>3276.0</v>
      </c>
      <c r="B3277" s="8" t="s">
        <v>4619</v>
      </c>
      <c r="C3277" s="8" t="s">
        <v>21</v>
      </c>
      <c r="K3277" s="8">
        <v>30.0</v>
      </c>
      <c r="N3277" s="7">
        <v>44831.0</v>
      </c>
    </row>
    <row r="3278">
      <c r="A3278" s="8">
        <v>3277.0</v>
      </c>
      <c r="B3278" s="8" t="s">
        <v>4620</v>
      </c>
      <c r="C3278" s="8" t="s">
        <v>21</v>
      </c>
      <c r="K3278" s="8">
        <v>500.0</v>
      </c>
      <c r="N3278" s="7">
        <v>46082.0</v>
      </c>
    </row>
    <row r="3279">
      <c r="A3279" s="8">
        <v>3278.0</v>
      </c>
      <c r="B3279" s="8" t="s">
        <v>4621</v>
      </c>
      <c r="C3279" s="8" t="s">
        <v>21</v>
      </c>
      <c r="K3279" s="8">
        <v>200.0</v>
      </c>
      <c r="N3279" s="7">
        <v>44213.0</v>
      </c>
    </row>
    <row r="3280">
      <c r="A3280" s="8">
        <v>3279.0</v>
      </c>
      <c r="B3280" s="8" t="s">
        <v>4622</v>
      </c>
      <c r="C3280" s="8" t="s">
        <v>21</v>
      </c>
      <c r="K3280" s="8">
        <v>10.0</v>
      </c>
      <c r="N3280" s="7">
        <v>44742.0</v>
      </c>
    </row>
    <row r="3281">
      <c r="A3281" s="8">
        <v>3280.0</v>
      </c>
      <c r="B3281" s="8" t="s">
        <v>4623</v>
      </c>
      <c r="C3281" s="8" t="s">
        <v>21</v>
      </c>
      <c r="K3281" s="8">
        <v>1100.0</v>
      </c>
      <c r="N3281" s="7">
        <v>45063.0</v>
      </c>
    </row>
    <row r="3282">
      <c r="A3282" s="8">
        <v>3281.0</v>
      </c>
      <c r="B3282" s="8" t="s">
        <v>4624</v>
      </c>
      <c r="C3282" s="8" t="s">
        <v>21</v>
      </c>
      <c r="K3282" s="8">
        <v>250.0</v>
      </c>
      <c r="N3282" s="7">
        <v>45379.0</v>
      </c>
    </row>
    <row r="3283">
      <c r="A3283" s="8">
        <v>3282.0</v>
      </c>
      <c r="B3283" s="8" t="s">
        <v>4625</v>
      </c>
      <c r="C3283" s="8" t="s">
        <v>21</v>
      </c>
      <c r="K3283" s="8">
        <v>450.0</v>
      </c>
      <c r="N3283" s="7">
        <v>44609.0</v>
      </c>
    </row>
    <row r="3284">
      <c r="A3284" s="8">
        <v>3283.0</v>
      </c>
      <c r="B3284" s="8" t="s">
        <v>4626</v>
      </c>
      <c r="C3284" s="8" t="s">
        <v>21</v>
      </c>
      <c r="N3284" s="7">
        <v>44301.0</v>
      </c>
    </row>
    <row r="3285">
      <c r="A3285" s="8">
        <v>3284.0</v>
      </c>
      <c r="B3285" s="8" t="s">
        <v>4627</v>
      </c>
      <c r="C3285" s="8" t="s">
        <v>21</v>
      </c>
      <c r="K3285" s="8">
        <v>200.0</v>
      </c>
      <c r="N3285" s="7">
        <v>44630.0</v>
      </c>
    </row>
    <row r="3286">
      <c r="A3286" s="8">
        <v>3285.0</v>
      </c>
      <c r="B3286" s="8" t="s">
        <v>4628</v>
      </c>
      <c r="C3286" s="8" t="s">
        <v>21</v>
      </c>
      <c r="K3286" s="8">
        <v>3300.0</v>
      </c>
      <c r="N3286" s="7">
        <v>44339.0</v>
      </c>
    </row>
    <row r="3287">
      <c r="A3287" s="8">
        <v>3286.0</v>
      </c>
      <c r="B3287" s="8" t="s">
        <v>4629</v>
      </c>
      <c r="C3287" s="8" t="s">
        <v>21</v>
      </c>
      <c r="K3287" s="8">
        <v>80.0</v>
      </c>
      <c r="N3287" s="7">
        <v>44455.0</v>
      </c>
    </row>
    <row r="3288">
      <c r="A3288" s="8">
        <v>3287.0</v>
      </c>
      <c r="B3288" s="8" t="s">
        <v>4630</v>
      </c>
      <c r="C3288" s="8" t="s">
        <v>21</v>
      </c>
      <c r="K3288" s="8">
        <v>700.0</v>
      </c>
      <c r="N3288" s="7">
        <v>44949.0</v>
      </c>
    </row>
    <row r="3289">
      <c r="A3289" s="8">
        <v>3288.0</v>
      </c>
      <c r="B3289" s="8" t="s">
        <v>4631</v>
      </c>
      <c r="C3289" s="8" t="s">
        <v>21</v>
      </c>
      <c r="K3289" s="8">
        <v>10.0</v>
      </c>
      <c r="N3289" s="7">
        <v>44123.0</v>
      </c>
    </row>
    <row r="3290">
      <c r="A3290" s="8">
        <v>3289.0</v>
      </c>
      <c r="B3290" s="8" t="s">
        <v>241</v>
      </c>
      <c r="C3290" s="8" t="s">
        <v>21</v>
      </c>
      <c r="K3290" s="8">
        <v>20.0</v>
      </c>
      <c r="N3290" s="7">
        <v>45150.0</v>
      </c>
    </row>
    <row r="3291">
      <c r="A3291" s="8">
        <v>3290.0</v>
      </c>
      <c r="B3291" s="8" t="s">
        <v>4632</v>
      </c>
      <c r="C3291" s="8" t="s">
        <v>21</v>
      </c>
      <c r="K3291" s="8">
        <v>1700.0</v>
      </c>
      <c r="N3291" s="7">
        <v>45051.0</v>
      </c>
    </row>
    <row r="3292">
      <c r="A3292" s="8">
        <v>3291.0</v>
      </c>
      <c r="B3292" s="8" t="s">
        <v>4633</v>
      </c>
      <c r="C3292" s="8" t="s">
        <v>21</v>
      </c>
      <c r="N3292" s="7">
        <v>42269.0</v>
      </c>
      <c r="O3292" s="8" t="s">
        <v>26</v>
      </c>
      <c r="P3292" s="8" t="s">
        <v>28</v>
      </c>
      <c r="S3292" s="8" t="s">
        <v>32</v>
      </c>
    </row>
    <row r="3293">
      <c r="A3293" s="8">
        <v>3292.0</v>
      </c>
      <c r="B3293" s="8" t="s">
        <v>244</v>
      </c>
      <c r="C3293" s="8" t="s">
        <v>21</v>
      </c>
      <c r="K3293" s="8">
        <v>30.0</v>
      </c>
      <c r="N3293" s="7">
        <v>44539.0</v>
      </c>
    </row>
    <row r="3294">
      <c r="A3294" s="8">
        <v>3293.0</v>
      </c>
      <c r="B3294" s="8" t="s">
        <v>4634</v>
      </c>
      <c r="C3294" s="8" t="s">
        <v>21</v>
      </c>
      <c r="K3294" s="8">
        <v>700.0</v>
      </c>
      <c r="N3294" s="7">
        <v>44296.0</v>
      </c>
    </row>
    <row r="3295">
      <c r="A3295" s="8">
        <v>3294.0</v>
      </c>
      <c r="B3295" s="8" t="s">
        <v>4635</v>
      </c>
      <c r="C3295" s="8" t="s">
        <v>21</v>
      </c>
      <c r="K3295" s="8">
        <v>200.0</v>
      </c>
      <c r="N3295" s="7">
        <v>44340.0</v>
      </c>
    </row>
    <row r="3296">
      <c r="A3296" s="8">
        <v>3295.0</v>
      </c>
      <c r="B3296" s="8" t="s">
        <v>4636</v>
      </c>
      <c r="C3296" s="8" t="s">
        <v>21</v>
      </c>
      <c r="K3296" s="8">
        <v>350.0</v>
      </c>
      <c r="N3296" s="7">
        <v>44014.0</v>
      </c>
    </row>
    <row r="3297">
      <c r="A3297" s="8">
        <v>3296.0</v>
      </c>
      <c r="B3297" s="8" t="s">
        <v>4637</v>
      </c>
      <c r="C3297" s="8" t="s">
        <v>21</v>
      </c>
      <c r="K3297" s="8">
        <v>1300.0</v>
      </c>
      <c r="N3297" s="7">
        <v>44903.0</v>
      </c>
    </row>
    <row r="3298">
      <c r="A3298" s="8">
        <v>3297.0</v>
      </c>
      <c r="B3298" s="8" t="s">
        <v>4638</v>
      </c>
      <c r="C3298" s="8" t="s">
        <v>21</v>
      </c>
      <c r="K3298" s="8">
        <v>50.0</v>
      </c>
      <c r="N3298" s="7">
        <v>44420.0</v>
      </c>
    </row>
    <row r="3299">
      <c r="A3299" s="8">
        <v>3298.0</v>
      </c>
      <c r="B3299" s="8" t="s">
        <v>4639</v>
      </c>
      <c r="C3299" s="8" t="s">
        <v>21</v>
      </c>
      <c r="K3299" s="8">
        <v>300.0</v>
      </c>
      <c r="N3299" s="7">
        <v>43963.0</v>
      </c>
    </row>
    <row r="3300">
      <c r="A3300" s="8">
        <v>3299.0</v>
      </c>
      <c r="B3300" s="8" t="s">
        <v>4640</v>
      </c>
      <c r="C3300" s="8" t="s">
        <v>21</v>
      </c>
      <c r="K3300" s="8">
        <v>900.0</v>
      </c>
      <c r="N3300" s="7">
        <v>44626.0</v>
      </c>
    </row>
    <row r="3301">
      <c r="A3301" s="8">
        <v>3300.0</v>
      </c>
      <c r="B3301" s="8" t="s">
        <v>4641</v>
      </c>
      <c r="C3301" s="8" t="s">
        <v>21</v>
      </c>
      <c r="K3301" s="8">
        <v>250.0</v>
      </c>
      <c r="N3301" s="7">
        <v>44187.0</v>
      </c>
    </row>
    <row r="3302">
      <c r="A3302" s="8">
        <v>3301.0</v>
      </c>
      <c r="B3302" s="8" t="s">
        <v>4642</v>
      </c>
      <c r="C3302" s="8" t="s">
        <v>21</v>
      </c>
      <c r="N3302" s="7">
        <v>44505.0</v>
      </c>
    </row>
    <row r="3303">
      <c r="A3303" s="8">
        <v>3302.0</v>
      </c>
      <c r="B3303" s="8" t="s">
        <v>4643</v>
      </c>
      <c r="C3303" s="8" t="s">
        <v>21</v>
      </c>
      <c r="K3303" s="8">
        <v>50.0</v>
      </c>
      <c r="N3303" s="7">
        <v>45020.0</v>
      </c>
    </row>
    <row r="3304">
      <c r="A3304" s="8">
        <v>3303.0</v>
      </c>
      <c r="B3304" s="8" t="s">
        <v>4644</v>
      </c>
      <c r="C3304" s="8" t="s">
        <v>21</v>
      </c>
      <c r="K3304" s="8">
        <v>10.0</v>
      </c>
      <c r="N3304" s="7">
        <v>43870.0</v>
      </c>
    </row>
    <row r="3305">
      <c r="A3305" s="8">
        <v>3304.0</v>
      </c>
      <c r="B3305" s="8" t="s">
        <v>246</v>
      </c>
      <c r="C3305" s="8" t="s">
        <v>21</v>
      </c>
      <c r="N3305" s="7">
        <v>45245.0</v>
      </c>
    </row>
    <row r="3306">
      <c r="A3306" s="8">
        <v>3305.0</v>
      </c>
      <c r="B3306" s="8" t="s">
        <v>4645</v>
      </c>
      <c r="C3306" s="8" t="s">
        <v>21</v>
      </c>
      <c r="K3306" s="8">
        <v>60.0</v>
      </c>
      <c r="N3306" s="7">
        <v>44012.0</v>
      </c>
    </row>
    <row r="3307">
      <c r="A3307" s="8">
        <v>3306.0</v>
      </c>
      <c r="B3307" s="8" t="s">
        <v>4646</v>
      </c>
      <c r="C3307" s="8" t="s">
        <v>21</v>
      </c>
      <c r="K3307" s="8">
        <v>4000.0</v>
      </c>
      <c r="N3307" s="7">
        <v>44166.0</v>
      </c>
    </row>
    <row r="3308">
      <c r="A3308" s="8">
        <v>3307.0</v>
      </c>
      <c r="B3308" s="8" t="s">
        <v>4647</v>
      </c>
      <c r="C3308" s="8" t="s">
        <v>21</v>
      </c>
      <c r="K3308" s="8">
        <v>450.0</v>
      </c>
      <c r="N3308" s="7">
        <v>44927.0</v>
      </c>
    </row>
    <row r="3309">
      <c r="A3309" s="8">
        <v>3308.0</v>
      </c>
      <c r="B3309" s="8" t="s">
        <v>4648</v>
      </c>
      <c r="C3309" s="8" t="s">
        <v>21</v>
      </c>
      <c r="K3309" s="8">
        <v>20.0</v>
      </c>
      <c r="N3309" s="7">
        <v>45873.0</v>
      </c>
    </row>
    <row r="3310">
      <c r="A3310" s="8">
        <v>3309.0</v>
      </c>
      <c r="B3310" s="8" t="s">
        <v>4649</v>
      </c>
      <c r="C3310" s="8" t="s">
        <v>21</v>
      </c>
      <c r="K3310" s="8">
        <v>60.0</v>
      </c>
      <c r="N3310" s="7">
        <v>44203.0</v>
      </c>
    </row>
    <row r="3311">
      <c r="A3311" s="8">
        <v>3310.0</v>
      </c>
      <c r="B3311" s="8" t="s">
        <v>4650</v>
      </c>
      <c r="C3311" s="8" t="s">
        <v>21</v>
      </c>
      <c r="K3311" s="8">
        <v>150.0</v>
      </c>
      <c r="N3311" s="7">
        <v>45576.0</v>
      </c>
    </row>
    <row r="3312">
      <c r="A3312" s="8">
        <v>3311.0</v>
      </c>
      <c r="B3312" s="8" t="s">
        <v>4651</v>
      </c>
      <c r="C3312" s="8" t="s">
        <v>21</v>
      </c>
      <c r="N3312" s="7">
        <v>42253.0</v>
      </c>
      <c r="O3312" s="8" t="s">
        <v>26</v>
      </c>
      <c r="P3312" s="8" t="s">
        <v>28</v>
      </c>
      <c r="S3312" s="8" t="s">
        <v>32</v>
      </c>
    </row>
    <row r="3313">
      <c r="A3313" s="8">
        <v>3312.0</v>
      </c>
      <c r="B3313" s="8" t="s">
        <v>4652</v>
      </c>
      <c r="C3313" s="8" t="s">
        <v>21</v>
      </c>
      <c r="N3313" s="7">
        <v>42269.0</v>
      </c>
    </row>
    <row r="3314">
      <c r="A3314" s="8">
        <v>3313.0</v>
      </c>
      <c r="B3314" s="8" t="s">
        <v>4653</v>
      </c>
      <c r="C3314" s="8" t="s">
        <v>21</v>
      </c>
      <c r="K3314" s="8">
        <v>10.0</v>
      </c>
      <c r="N3314" s="7">
        <v>44334.0</v>
      </c>
    </row>
    <row r="3315">
      <c r="A3315" s="8">
        <v>3314.0</v>
      </c>
      <c r="B3315" s="8" t="s">
        <v>4654</v>
      </c>
      <c r="C3315" s="8" t="s">
        <v>21</v>
      </c>
      <c r="K3315" s="8">
        <v>70.0</v>
      </c>
      <c r="N3315" s="7">
        <v>44323.0</v>
      </c>
    </row>
    <row r="3316">
      <c r="A3316" s="8">
        <v>3315.0</v>
      </c>
      <c r="B3316" s="8" t="s">
        <v>4655</v>
      </c>
      <c r="C3316" s="8" t="s">
        <v>21</v>
      </c>
      <c r="K3316" s="8">
        <v>32000.0</v>
      </c>
      <c r="N3316" s="7">
        <v>44304.0</v>
      </c>
    </row>
    <row r="3317">
      <c r="A3317" s="8">
        <v>3316.0</v>
      </c>
      <c r="B3317" s="8" t="s">
        <v>4656</v>
      </c>
      <c r="C3317" s="8" t="s">
        <v>21</v>
      </c>
      <c r="N3317" s="7">
        <v>45462.0</v>
      </c>
    </row>
    <row r="3318">
      <c r="A3318" s="8">
        <v>3317.0</v>
      </c>
      <c r="B3318" s="8" t="s">
        <v>4657</v>
      </c>
      <c r="C3318" s="8" t="s">
        <v>21</v>
      </c>
      <c r="K3318" s="8">
        <v>150.0</v>
      </c>
      <c r="N3318" s="7">
        <v>45541.0</v>
      </c>
    </row>
    <row r="3319">
      <c r="A3319" s="8">
        <v>3318.0</v>
      </c>
      <c r="B3319" s="8" t="s">
        <v>4658</v>
      </c>
      <c r="C3319" s="8" t="s">
        <v>21</v>
      </c>
      <c r="K3319" s="8">
        <v>1200.0</v>
      </c>
      <c r="N3319" s="7">
        <v>44285.0</v>
      </c>
    </row>
    <row r="3320">
      <c r="A3320" s="8">
        <v>3319.0</v>
      </c>
      <c r="B3320" s="8" t="s">
        <v>4659</v>
      </c>
      <c r="C3320" s="8" t="s">
        <v>21</v>
      </c>
      <c r="K3320" s="8">
        <v>150.0</v>
      </c>
      <c r="N3320" s="7">
        <v>44311.0</v>
      </c>
    </row>
    <row r="3321">
      <c r="A3321" s="8">
        <v>3320.0</v>
      </c>
      <c r="B3321" s="8" t="s">
        <v>4660</v>
      </c>
      <c r="C3321" s="8" t="s">
        <v>21</v>
      </c>
      <c r="D3321" s="8">
        <v>67.0</v>
      </c>
      <c r="H3321" s="8" t="s">
        <v>428</v>
      </c>
      <c r="I3321" s="9">
        <v>46076.08180555556</v>
      </c>
      <c r="J3321" s="8" t="s">
        <v>90</v>
      </c>
      <c r="K3321" s="8">
        <v>50.0</v>
      </c>
      <c r="L3321" s="8">
        <v>40.0</v>
      </c>
      <c r="M3321" s="8">
        <v>18000.0</v>
      </c>
      <c r="N3321" s="7">
        <v>45141.0</v>
      </c>
      <c r="O3321" s="8" t="s">
        <v>107</v>
      </c>
      <c r="P3321" s="8" t="s">
        <v>28</v>
      </c>
      <c r="S3321" s="8" t="s">
        <v>32</v>
      </c>
    </row>
    <row r="3322">
      <c r="A3322" s="8">
        <v>3321.0</v>
      </c>
      <c r="B3322" s="8" t="s">
        <v>4661</v>
      </c>
      <c r="C3322" s="8" t="s">
        <v>21</v>
      </c>
      <c r="K3322" s="8">
        <v>10.0</v>
      </c>
      <c r="N3322" s="7">
        <v>45256.0</v>
      </c>
    </row>
    <row r="3323">
      <c r="A3323" s="8">
        <v>3322.0</v>
      </c>
      <c r="B3323" s="8" t="s">
        <v>4662</v>
      </c>
      <c r="C3323" s="8" t="s">
        <v>21</v>
      </c>
      <c r="K3323" s="8">
        <v>7300.0</v>
      </c>
      <c r="N3323" s="7">
        <v>44335.0</v>
      </c>
    </row>
    <row r="3324">
      <c r="A3324" s="8">
        <v>3323.0</v>
      </c>
      <c r="B3324" s="8" t="s">
        <v>4663</v>
      </c>
      <c r="C3324" s="8" t="s">
        <v>21</v>
      </c>
      <c r="K3324" s="8">
        <v>20.0</v>
      </c>
      <c r="N3324" s="7">
        <v>45038.0</v>
      </c>
    </row>
    <row r="3325">
      <c r="A3325" s="8">
        <v>3324.0</v>
      </c>
      <c r="B3325" s="8" t="s">
        <v>4664</v>
      </c>
      <c r="C3325" s="8" t="s">
        <v>21</v>
      </c>
      <c r="K3325" s="8">
        <v>200.0</v>
      </c>
      <c r="N3325" s="7">
        <v>44619.0</v>
      </c>
    </row>
    <row r="3326">
      <c r="A3326" s="8">
        <v>3325.0</v>
      </c>
      <c r="B3326" s="8" t="s">
        <v>4665</v>
      </c>
      <c r="C3326" s="8" t="s">
        <v>21</v>
      </c>
      <c r="K3326" s="8">
        <v>60.0</v>
      </c>
      <c r="N3326" s="7">
        <v>43974.0</v>
      </c>
    </row>
    <row r="3327">
      <c r="A3327" s="8">
        <v>3326.0</v>
      </c>
      <c r="B3327" s="8" t="s">
        <v>4666</v>
      </c>
      <c r="C3327" s="8" t="s">
        <v>21</v>
      </c>
      <c r="K3327" s="8">
        <v>20.0</v>
      </c>
      <c r="N3327" s="7">
        <v>43882.0</v>
      </c>
      <c r="O3327" s="8" t="s">
        <v>147</v>
      </c>
      <c r="P3327" s="8" t="s">
        <v>28</v>
      </c>
      <c r="S3327" s="8" t="s">
        <v>32</v>
      </c>
    </row>
    <row r="3328">
      <c r="A3328" s="8">
        <v>3327.0</v>
      </c>
      <c r="B3328" s="8" t="s">
        <v>4667</v>
      </c>
      <c r="C3328" s="8" t="s">
        <v>21</v>
      </c>
      <c r="N3328" s="7">
        <v>45003.0</v>
      </c>
    </row>
    <row r="3329">
      <c r="A3329" s="8">
        <v>3328.0</v>
      </c>
      <c r="B3329" s="8" t="s">
        <v>4668</v>
      </c>
      <c r="C3329" s="8" t="s">
        <v>21</v>
      </c>
      <c r="N3329" s="7">
        <v>46077.0</v>
      </c>
    </row>
    <row r="3330">
      <c r="A3330" s="8">
        <v>3329.0</v>
      </c>
      <c r="B3330" s="8" t="s">
        <v>209</v>
      </c>
      <c r="C3330" s="8" t="s">
        <v>21</v>
      </c>
      <c r="K3330" s="8">
        <v>200.0</v>
      </c>
      <c r="N3330" s="7">
        <v>44170.0</v>
      </c>
    </row>
    <row r="3331">
      <c r="A3331" s="8">
        <v>3330.0</v>
      </c>
      <c r="B3331" s="8" t="s">
        <v>4669</v>
      </c>
      <c r="C3331" s="8" t="s">
        <v>21</v>
      </c>
      <c r="K3331" s="8">
        <v>80.0</v>
      </c>
      <c r="N3331" s="7">
        <v>43870.0</v>
      </c>
    </row>
    <row r="3332">
      <c r="A3332" s="8">
        <v>3331.0</v>
      </c>
      <c r="B3332" s="8" t="s">
        <v>4670</v>
      </c>
      <c r="C3332" s="8" t="s">
        <v>21</v>
      </c>
      <c r="K3332" s="8">
        <v>100.0</v>
      </c>
      <c r="N3332" s="7">
        <v>44402.0</v>
      </c>
    </row>
    <row r="3333">
      <c r="A3333" s="8">
        <v>3332.0</v>
      </c>
      <c r="B3333" s="8" t="s">
        <v>4671</v>
      </c>
      <c r="C3333" s="8" t="s">
        <v>21</v>
      </c>
      <c r="K3333" s="8">
        <v>4100.0</v>
      </c>
      <c r="N3333" s="7">
        <v>43892.0</v>
      </c>
    </row>
    <row r="3334">
      <c r="A3334" s="8">
        <v>3333.0</v>
      </c>
      <c r="B3334" s="8" t="s">
        <v>4672</v>
      </c>
      <c r="C3334" s="8" t="s">
        <v>21</v>
      </c>
      <c r="K3334" s="8">
        <v>300.0</v>
      </c>
      <c r="N3334" s="7">
        <v>43881.0</v>
      </c>
    </row>
    <row r="3335">
      <c r="A3335" s="8">
        <v>3334.0</v>
      </c>
      <c r="B3335" s="8" t="s">
        <v>4673</v>
      </c>
      <c r="C3335" s="8" t="s">
        <v>21</v>
      </c>
      <c r="N3335" s="7">
        <v>44353.0</v>
      </c>
    </row>
    <row r="3336">
      <c r="A3336" s="8">
        <v>3335.0</v>
      </c>
      <c r="B3336" s="8" t="s">
        <v>4674</v>
      </c>
      <c r="C3336" s="8" t="s">
        <v>21</v>
      </c>
      <c r="K3336" s="8">
        <v>10.0</v>
      </c>
      <c r="N3336" s="7">
        <v>43688.0</v>
      </c>
    </row>
    <row r="3337">
      <c r="A3337" s="8">
        <v>3336.0</v>
      </c>
      <c r="B3337" s="8" t="s">
        <v>4675</v>
      </c>
      <c r="C3337" s="8" t="s">
        <v>21</v>
      </c>
      <c r="K3337" s="8">
        <v>33000.0</v>
      </c>
      <c r="N3337" s="7">
        <v>43938.0</v>
      </c>
    </row>
    <row r="3338">
      <c r="A3338" s="8">
        <v>3337.0</v>
      </c>
      <c r="B3338" s="8" t="s">
        <v>4676</v>
      </c>
      <c r="C3338" s="8" t="s">
        <v>21</v>
      </c>
      <c r="K3338" s="8">
        <v>200.0</v>
      </c>
      <c r="N3338" s="7">
        <v>44556.0</v>
      </c>
    </row>
    <row r="3339">
      <c r="A3339" s="8">
        <v>3338.0</v>
      </c>
      <c r="B3339" s="8" t="s">
        <v>4677</v>
      </c>
      <c r="C3339" s="8" t="s">
        <v>21</v>
      </c>
      <c r="K3339" s="8">
        <v>4700.0</v>
      </c>
      <c r="N3339" s="7">
        <v>42885.0</v>
      </c>
    </row>
    <row r="3340">
      <c r="A3340" s="8">
        <v>3339.0</v>
      </c>
      <c r="B3340" s="8" t="s">
        <v>4678</v>
      </c>
      <c r="C3340" s="8" t="s">
        <v>21</v>
      </c>
      <c r="K3340" s="8">
        <v>1800.0</v>
      </c>
      <c r="N3340" s="7">
        <v>44629.0</v>
      </c>
    </row>
    <row r="3341">
      <c r="A3341" s="8">
        <v>3340.0</v>
      </c>
      <c r="B3341" s="8" t="s">
        <v>4679</v>
      </c>
      <c r="C3341" s="8" t="s">
        <v>21</v>
      </c>
      <c r="K3341" s="8">
        <v>700.0</v>
      </c>
      <c r="N3341" s="7">
        <v>44470.0</v>
      </c>
    </row>
    <row r="3342">
      <c r="A3342" s="8">
        <v>3341.0</v>
      </c>
      <c r="B3342" s="8" t="s">
        <v>4680</v>
      </c>
      <c r="C3342" s="8" t="s">
        <v>21</v>
      </c>
      <c r="K3342" s="8">
        <v>10.0</v>
      </c>
      <c r="N3342" s="7">
        <v>44095.0</v>
      </c>
    </row>
    <row r="3343">
      <c r="A3343" s="8">
        <v>3342.0</v>
      </c>
      <c r="B3343" s="8" t="s">
        <v>4681</v>
      </c>
      <c r="C3343" s="8" t="s">
        <v>21</v>
      </c>
      <c r="K3343" s="8">
        <v>2300.0</v>
      </c>
      <c r="N3343" s="7">
        <v>44978.0</v>
      </c>
    </row>
    <row r="3344">
      <c r="A3344" s="8">
        <v>3343.0</v>
      </c>
      <c r="B3344" s="8" t="s">
        <v>4682</v>
      </c>
      <c r="C3344" s="8" t="s">
        <v>21</v>
      </c>
      <c r="K3344" s="8">
        <v>300.0</v>
      </c>
      <c r="N3344" s="7">
        <v>44076.0</v>
      </c>
    </row>
    <row r="3345">
      <c r="A3345" s="8">
        <v>3344.0</v>
      </c>
      <c r="B3345" s="8" t="s">
        <v>4683</v>
      </c>
      <c r="C3345" s="8" t="s">
        <v>21</v>
      </c>
      <c r="N3345" s="7">
        <v>45160.0</v>
      </c>
    </row>
    <row r="3346">
      <c r="A3346" s="8">
        <v>3345.0</v>
      </c>
      <c r="B3346" s="8" t="s">
        <v>4684</v>
      </c>
      <c r="C3346" s="8" t="s">
        <v>21</v>
      </c>
      <c r="K3346" s="8">
        <v>39000.0</v>
      </c>
      <c r="N3346" s="7">
        <v>44534.0</v>
      </c>
    </row>
    <row r="3347">
      <c r="A3347" s="8">
        <v>3346.0</v>
      </c>
      <c r="B3347" s="8" t="s">
        <v>4685</v>
      </c>
      <c r="C3347" s="8" t="s">
        <v>21</v>
      </c>
      <c r="K3347" s="8">
        <v>400.0</v>
      </c>
      <c r="N3347" s="7">
        <v>43932.0</v>
      </c>
    </row>
    <row r="3348">
      <c r="A3348" s="8">
        <v>3347.0</v>
      </c>
      <c r="B3348" s="8" t="s">
        <v>4686</v>
      </c>
      <c r="C3348" s="8" t="s">
        <v>21</v>
      </c>
      <c r="N3348" s="7">
        <v>42413.0</v>
      </c>
      <c r="O3348" s="8" t="s">
        <v>127</v>
      </c>
      <c r="P3348" s="8" t="s">
        <v>28</v>
      </c>
      <c r="S3348" s="8" t="s">
        <v>32</v>
      </c>
    </row>
    <row r="3349">
      <c r="A3349" s="8">
        <v>3348.0</v>
      </c>
      <c r="B3349" s="8" t="s">
        <v>4687</v>
      </c>
      <c r="C3349" s="8" t="s">
        <v>21</v>
      </c>
      <c r="N3349" s="7">
        <v>42521.0</v>
      </c>
    </row>
    <row r="3350">
      <c r="A3350" s="8">
        <v>3349.0</v>
      </c>
      <c r="B3350" s="8" t="s">
        <v>4688</v>
      </c>
      <c r="C3350" s="8" t="s">
        <v>21</v>
      </c>
      <c r="K3350" s="8">
        <v>10.0</v>
      </c>
      <c r="N3350" s="7">
        <v>44509.0</v>
      </c>
    </row>
    <row r="3351">
      <c r="A3351" s="8">
        <v>3350.0</v>
      </c>
      <c r="B3351" s="8" t="s">
        <v>4689</v>
      </c>
      <c r="C3351" s="8" t="s">
        <v>21</v>
      </c>
      <c r="K3351" s="8">
        <v>2200.0</v>
      </c>
      <c r="N3351" s="7">
        <v>44845.0</v>
      </c>
    </row>
    <row r="3352">
      <c r="A3352" s="8">
        <v>3351.0</v>
      </c>
      <c r="B3352" s="8" t="s">
        <v>4690</v>
      </c>
      <c r="C3352" s="8" t="s">
        <v>21</v>
      </c>
      <c r="K3352" s="8">
        <v>60.0</v>
      </c>
      <c r="N3352" s="7">
        <v>44683.0</v>
      </c>
    </row>
    <row r="3353">
      <c r="A3353" s="8">
        <v>3352.0</v>
      </c>
      <c r="B3353" s="8" t="s">
        <v>4691</v>
      </c>
      <c r="C3353" s="8" t="s">
        <v>21</v>
      </c>
      <c r="K3353" s="8">
        <v>2800.0</v>
      </c>
      <c r="N3353" s="7">
        <v>44005.0</v>
      </c>
    </row>
    <row r="3354">
      <c r="A3354" s="8">
        <v>3353.0</v>
      </c>
      <c r="B3354" s="8" t="s">
        <v>4692</v>
      </c>
      <c r="C3354" s="8" t="s">
        <v>21</v>
      </c>
      <c r="K3354" s="8">
        <v>40.0</v>
      </c>
      <c r="N3354" s="7">
        <v>44603.0</v>
      </c>
    </row>
    <row r="3355">
      <c r="A3355" s="8">
        <v>3354.0</v>
      </c>
      <c r="B3355" s="8" t="s">
        <v>4693</v>
      </c>
      <c r="C3355" s="8" t="s">
        <v>21</v>
      </c>
      <c r="N3355" s="7">
        <v>42297.0</v>
      </c>
    </row>
    <row r="3356">
      <c r="A3356" s="8">
        <v>3355.0</v>
      </c>
      <c r="B3356" s="8" t="s">
        <v>4694</v>
      </c>
      <c r="C3356" s="8" t="s">
        <v>21</v>
      </c>
      <c r="K3356" s="8">
        <v>150.0</v>
      </c>
      <c r="N3356" s="7">
        <v>44851.0</v>
      </c>
    </row>
    <row r="3357">
      <c r="A3357" s="8">
        <v>3356.0</v>
      </c>
      <c r="B3357" s="8" t="s">
        <v>4695</v>
      </c>
      <c r="C3357" s="8" t="s">
        <v>21</v>
      </c>
      <c r="K3357" s="8">
        <v>50.0</v>
      </c>
      <c r="N3357" s="7">
        <v>45621.0</v>
      </c>
    </row>
    <row r="3358">
      <c r="A3358" s="8">
        <v>3357.0</v>
      </c>
      <c r="B3358" s="8" t="s">
        <v>4696</v>
      </c>
      <c r="C3358" s="8" t="s">
        <v>21</v>
      </c>
      <c r="K3358" s="8">
        <v>400.0</v>
      </c>
      <c r="N3358" s="7">
        <v>44345.0</v>
      </c>
    </row>
    <row r="3359">
      <c r="A3359" s="8">
        <v>3358.0</v>
      </c>
      <c r="B3359" s="8" t="s">
        <v>4697</v>
      </c>
      <c r="C3359" s="8" t="s">
        <v>21</v>
      </c>
      <c r="K3359" s="8">
        <v>11000.0</v>
      </c>
      <c r="N3359" s="7">
        <v>43880.0</v>
      </c>
    </row>
    <row r="3360">
      <c r="A3360" s="8">
        <v>3359.0</v>
      </c>
      <c r="B3360" s="8" t="s">
        <v>248</v>
      </c>
      <c r="C3360" s="8" t="s">
        <v>21</v>
      </c>
      <c r="K3360" s="8">
        <v>20.0</v>
      </c>
      <c r="N3360" s="7">
        <v>44153.0</v>
      </c>
    </row>
    <row r="3361">
      <c r="A3361" s="8">
        <v>3360.0</v>
      </c>
      <c r="B3361" s="8" t="s">
        <v>4698</v>
      </c>
      <c r="C3361" s="8" t="s">
        <v>21</v>
      </c>
      <c r="K3361" s="8">
        <v>350.0</v>
      </c>
      <c r="N3361" s="7">
        <v>44169.0</v>
      </c>
    </row>
    <row r="3362">
      <c r="A3362" s="8">
        <v>3361.0</v>
      </c>
      <c r="B3362" s="8" t="s">
        <v>4699</v>
      </c>
      <c r="C3362" s="8" t="s">
        <v>21</v>
      </c>
      <c r="K3362" s="8">
        <v>2500.0</v>
      </c>
      <c r="N3362" s="7">
        <v>44156.0</v>
      </c>
    </row>
    <row r="3363">
      <c r="A3363" s="8">
        <v>3362.0</v>
      </c>
      <c r="B3363" s="8" t="s">
        <v>4700</v>
      </c>
      <c r="C3363" s="8" t="s">
        <v>21</v>
      </c>
      <c r="K3363" s="8">
        <v>300.0</v>
      </c>
      <c r="N3363" s="7">
        <v>45902.0</v>
      </c>
    </row>
    <row r="3364">
      <c r="A3364" s="8">
        <v>3363.0</v>
      </c>
      <c r="B3364" s="8" t="s">
        <v>4701</v>
      </c>
      <c r="C3364" s="8" t="s">
        <v>21</v>
      </c>
      <c r="K3364" s="8">
        <v>20.0</v>
      </c>
      <c r="N3364" s="7">
        <v>44256.0</v>
      </c>
    </row>
    <row r="3365">
      <c r="A3365" s="8">
        <v>3364.0</v>
      </c>
      <c r="B3365" s="8" t="s">
        <v>4702</v>
      </c>
      <c r="C3365" s="8" t="s">
        <v>21</v>
      </c>
      <c r="K3365" s="8">
        <v>20.0</v>
      </c>
      <c r="N3365" s="7">
        <v>44464.0</v>
      </c>
    </row>
    <row r="3366">
      <c r="A3366" s="8">
        <v>3365.0</v>
      </c>
      <c r="B3366" s="8" t="s">
        <v>4703</v>
      </c>
      <c r="C3366" s="8" t="s">
        <v>21</v>
      </c>
      <c r="K3366" s="8">
        <v>1800.0</v>
      </c>
      <c r="N3366" s="7">
        <v>44086.0</v>
      </c>
    </row>
    <row r="3367">
      <c r="A3367" s="8">
        <v>3366.0</v>
      </c>
      <c r="B3367" s="8" t="s">
        <v>251</v>
      </c>
      <c r="C3367" s="8" t="s">
        <v>21</v>
      </c>
      <c r="K3367" s="8">
        <v>100.0</v>
      </c>
      <c r="N3367" s="7">
        <v>44394.0</v>
      </c>
    </row>
    <row r="3368">
      <c r="A3368" s="8">
        <v>3367.0</v>
      </c>
      <c r="B3368" s="8" t="s">
        <v>4704</v>
      </c>
      <c r="C3368" s="8" t="s">
        <v>21</v>
      </c>
      <c r="K3368" s="8">
        <v>100.0</v>
      </c>
      <c r="N3368" s="7">
        <v>44638.0</v>
      </c>
    </row>
    <row r="3369">
      <c r="A3369" s="8">
        <v>3368.0</v>
      </c>
      <c r="B3369" s="8" t="s">
        <v>4705</v>
      </c>
      <c r="C3369" s="8" t="s">
        <v>21</v>
      </c>
      <c r="K3369" s="8">
        <v>30.0</v>
      </c>
      <c r="N3369" s="7">
        <v>44401.0</v>
      </c>
    </row>
    <row r="3370">
      <c r="A3370" s="8">
        <v>3369.0</v>
      </c>
      <c r="B3370" s="8" t="s">
        <v>4706</v>
      </c>
      <c r="C3370" s="8" t="s">
        <v>21</v>
      </c>
      <c r="K3370" s="8">
        <v>500.0</v>
      </c>
      <c r="N3370" s="7">
        <v>44384.0</v>
      </c>
    </row>
    <row r="3371">
      <c r="A3371" s="8">
        <v>3370.0</v>
      </c>
      <c r="B3371" s="8" t="s">
        <v>4707</v>
      </c>
      <c r="C3371" s="8" t="s">
        <v>21</v>
      </c>
      <c r="K3371" s="8">
        <v>150.0</v>
      </c>
      <c r="N3371" s="7">
        <v>42795.0</v>
      </c>
    </row>
    <row r="3372">
      <c r="A3372" s="8">
        <v>3371.0</v>
      </c>
      <c r="B3372" s="8" t="s">
        <v>4708</v>
      </c>
      <c r="C3372" s="8" t="s">
        <v>21</v>
      </c>
      <c r="K3372" s="8">
        <v>2400.0</v>
      </c>
      <c r="N3372" s="7">
        <v>44140.0</v>
      </c>
    </row>
    <row r="3373">
      <c r="A3373" s="8">
        <v>3372.0</v>
      </c>
      <c r="B3373" s="8" t="s">
        <v>4709</v>
      </c>
      <c r="C3373" s="8" t="s">
        <v>21</v>
      </c>
      <c r="K3373" s="8">
        <v>232000.0</v>
      </c>
      <c r="N3373" s="7">
        <v>45544.0</v>
      </c>
    </row>
    <row r="3374">
      <c r="A3374" s="8">
        <v>3373.0</v>
      </c>
      <c r="B3374" s="8" t="s">
        <v>4710</v>
      </c>
      <c r="C3374" s="8" t="s">
        <v>21</v>
      </c>
      <c r="K3374" s="8">
        <v>200.0</v>
      </c>
      <c r="N3374" s="7">
        <v>44079.0</v>
      </c>
    </row>
    <row r="3375">
      <c r="A3375" s="8">
        <v>3374.0</v>
      </c>
      <c r="B3375" s="8" t="s">
        <v>4711</v>
      </c>
      <c r="C3375" s="8" t="s">
        <v>21</v>
      </c>
      <c r="K3375" s="8">
        <v>20.0</v>
      </c>
      <c r="N3375" s="7">
        <v>44700.0</v>
      </c>
    </row>
    <row r="3376">
      <c r="A3376" s="8">
        <v>3375.0</v>
      </c>
      <c r="B3376" s="8" t="s">
        <v>4712</v>
      </c>
      <c r="C3376" s="8" t="s">
        <v>21</v>
      </c>
      <c r="K3376" s="8">
        <v>2200.0</v>
      </c>
      <c r="N3376" s="7">
        <v>44622.0</v>
      </c>
    </row>
    <row r="3377">
      <c r="A3377" s="8">
        <v>3376.0</v>
      </c>
      <c r="B3377" s="8" t="s">
        <v>4713</v>
      </c>
      <c r="C3377" s="8" t="s">
        <v>21</v>
      </c>
      <c r="N3377" s="7">
        <v>45188.0</v>
      </c>
    </row>
    <row r="3378">
      <c r="A3378" s="8">
        <v>3377.0</v>
      </c>
      <c r="B3378" s="8" t="s">
        <v>4714</v>
      </c>
      <c r="C3378" s="8" t="s">
        <v>21</v>
      </c>
      <c r="K3378" s="8">
        <v>900.0</v>
      </c>
      <c r="N3378" s="7">
        <v>44345.0</v>
      </c>
    </row>
    <row r="3379">
      <c r="A3379" s="8">
        <v>3378.0</v>
      </c>
      <c r="B3379" s="8" t="s">
        <v>255</v>
      </c>
      <c r="C3379" s="8" t="s">
        <v>21</v>
      </c>
      <c r="K3379" s="8">
        <v>30.0</v>
      </c>
      <c r="N3379" s="7">
        <v>44973.0</v>
      </c>
    </row>
    <row r="3380">
      <c r="A3380" s="8">
        <v>3379.0</v>
      </c>
      <c r="B3380" s="8" t="s">
        <v>4715</v>
      </c>
      <c r="C3380" s="8" t="s">
        <v>21</v>
      </c>
      <c r="K3380" s="8">
        <v>20.0</v>
      </c>
      <c r="N3380" s="7">
        <v>43981.0</v>
      </c>
    </row>
    <row r="3381">
      <c r="A3381" s="8">
        <v>3380.0</v>
      </c>
      <c r="B3381" s="8" t="s">
        <v>4716</v>
      </c>
      <c r="C3381" s="8" t="s">
        <v>21</v>
      </c>
      <c r="K3381" s="8">
        <v>400.0</v>
      </c>
      <c r="N3381" s="7">
        <v>43907.0</v>
      </c>
    </row>
    <row r="3382">
      <c r="A3382" s="8">
        <v>3381.0</v>
      </c>
      <c r="B3382" s="8" t="s">
        <v>257</v>
      </c>
      <c r="C3382" s="8" t="s">
        <v>21</v>
      </c>
      <c r="K3382" s="8">
        <v>40.0</v>
      </c>
      <c r="N3382" s="7">
        <v>44742.0</v>
      </c>
    </row>
    <row r="3383">
      <c r="A3383" s="8">
        <v>3382.0</v>
      </c>
      <c r="B3383" s="8" t="s">
        <v>4717</v>
      </c>
      <c r="C3383" s="8" t="s">
        <v>21</v>
      </c>
      <c r="K3383" s="8">
        <v>10.0</v>
      </c>
      <c r="N3383" s="7">
        <v>44579.0</v>
      </c>
    </row>
    <row r="3384">
      <c r="A3384" s="8">
        <v>3383.0</v>
      </c>
      <c r="B3384" s="8" t="s">
        <v>4718</v>
      </c>
      <c r="C3384" s="8" t="s">
        <v>21</v>
      </c>
      <c r="K3384" s="8">
        <v>20.0</v>
      </c>
      <c r="N3384" s="7">
        <v>45160.0</v>
      </c>
    </row>
    <row r="3385">
      <c r="A3385" s="8">
        <v>3384.0</v>
      </c>
      <c r="B3385" s="8" t="s">
        <v>4719</v>
      </c>
      <c r="C3385" s="8" t="s">
        <v>21</v>
      </c>
      <c r="K3385" s="8">
        <v>90.0</v>
      </c>
      <c r="N3385" s="7">
        <v>44025.0</v>
      </c>
    </row>
    <row r="3386">
      <c r="A3386" s="8">
        <v>3385.0</v>
      </c>
      <c r="B3386" s="8" t="s">
        <v>4720</v>
      </c>
      <c r="C3386" s="8" t="s">
        <v>21</v>
      </c>
      <c r="K3386" s="8">
        <v>700.0</v>
      </c>
      <c r="N3386" s="7">
        <v>42269.0</v>
      </c>
    </row>
    <row r="3387">
      <c r="A3387" s="8">
        <v>3386.0</v>
      </c>
      <c r="B3387" s="8" t="s">
        <v>4721</v>
      </c>
      <c r="C3387" s="8" t="s">
        <v>21</v>
      </c>
      <c r="K3387" s="8">
        <v>250.0</v>
      </c>
      <c r="N3387" s="7">
        <v>44972.0</v>
      </c>
    </row>
    <row r="3388">
      <c r="A3388" s="8">
        <v>3387.0</v>
      </c>
      <c r="B3388" s="8" t="s">
        <v>4722</v>
      </c>
      <c r="C3388" s="8" t="s">
        <v>21</v>
      </c>
      <c r="N3388" s="7">
        <v>45401.0</v>
      </c>
    </row>
    <row r="3389">
      <c r="A3389" s="8">
        <v>3388.0</v>
      </c>
      <c r="B3389" s="8" t="s">
        <v>4723</v>
      </c>
      <c r="C3389" s="8" t="s">
        <v>21</v>
      </c>
      <c r="K3389" s="8">
        <v>1700.0</v>
      </c>
      <c r="N3389" s="7">
        <v>44873.0</v>
      </c>
    </row>
    <row r="3390">
      <c r="A3390" s="8">
        <v>3389.0</v>
      </c>
      <c r="B3390" s="8" t="s">
        <v>3075</v>
      </c>
      <c r="C3390" s="8" t="s">
        <v>21</v>
      </c>
      <c r="D3390" s="8">
        <v>82.0</v>
      </c>
      <c r="H3390" s="8" t="s">
        <v>123</v>
      </c>
      <c r="I3390" s="9">
        <v>46127.162824074076</v>
      </c>
      <c r="J3390" s="8" t="s">
        <v>90</v>
      </c>
      <c r="K3390" s="8">
        <v>2200.0</v>
      </c>
      <c r="L3390" s="8">
        <v>5300.0</v>
      </c>
      <c r="M3390" s="8">
        <v>570000.0</v>
      </c>
      <c r="N3390" s="7">
        <v>42581.0</v>
      </c>
      <c r="O3390" s="8" t="s">
        <v>1314</v>
      </c>
      <c r="P3390" s="8" t="s">
        <v>28</v>
      </c>
      <c r="S3390" s="8" t="s">
        <v>32</v>
      </c>
    </row>
    <row r="3391">
      <c r="A3391" s="8">
        <v>3390.0</v>
      </c>
      <c r="B3391" s="8" t="s">
        <v>4724</v>
      </c>
      <c r="C3391" s="8" t="s">
        <v>21</v>
      </c>
      <c r="K3391" s="8">
        <v>1000.0</v>
      </c>
      <c r="N3391" s="7">
        <v>43869.0</v>
      </c>
    </row>
    <row r="3392">
      <c r="A3392" s="8">
        <v>3391.0</v>
      </c>
      <c r="B3392" s="8" t="s">
        <v>4725</v>
      </c>
      <c r="C3392" s="8" t="s">
        <v>21</v>
      </c>
      <c r="K3392" s="8">
        <v>100.0</v>
      </c>
      <c r="N3392" s="7">
        <v>44539.0</v>
      </c>
    </row>
    <row r="3393">
      <c r="A3393" s="8">
        <v>3392.0</v>
      </c>
      <c r="B3393" s="8" t="s">
        <v>4726</v>
      </c>
      <c r="C3393" s="8" t="s">
        <v>21</v>
      </c>
      <c r="K3393" s="8">
        <v>20.0</v>
      </c>
      <c r="N3393" s="7">
        <v>45073.0</v>
      </c>
    </row>
    <row r="3394">
      <c r="A3394" s="8">
        <v>3393.0</v>
      </c>
      <c r="B3394" s="8" t="s">
        <v>4727</v>
      </c>
      <c r="C3394" s="8" t="s">
        <v>21</v>
      </c>
      <c r="K3394" s="8">
        <v>70.0</v>
      </c>
      <c r="N3394" s="7">
        <v>43069.0</v>
      </c>
    </row>
    <row r="3395">
      <c r="A3395" s="8">
        <v>3394.0</v>
      </c>
      <c r="B3395" s="8" t="s">
        <v>4728</v>
      </c>
      <c r="C3395" s="8" t="s">
        <v>21</v>
      </c>
      <c r="K3395" s="8">
        <v>10.0</v>
      </c>
      <c r="N3395" s="7">
        <v>42392.0</v>
      </c>
    </row>
    <row r="3396">
      <c r="A3396" s="8">
        <v>3395.0</v>
      </c>
      <c r="B3396" s="8" t="s">
        <v>4729</v>
      </c>
      <c r="C3396" s="8" t="s">
        <v>21</v>
      </c>
      <c r="K3396" s="8">
        <v>1100.0</v>
      </c>
      <c r="N3396" s="7">
        <v>44303.0</v>
      </c>
    </row>
    <row r="3397">
      <c r="A3397" s="8">
        <v>3396.0</v>
      </c>
      <c r="B3397" s="8" t="s">
        <v>259</v>
      </c>
      <c r="C3397" s="8" t="s">
        <v>21</v>
      </c>
      <c r="K3397" s="8">
        <v>30.0</v>
      </c>
      <c r="N3397" s="7">
        <v>44588.0</v>
      </c>
    </row>
    <row r="3398">
      <c r="A3398" s="8">
        <v>3397.0</v>
      </c>
      <c r="B3398" s="8" t="s">
        <v>4730</v>
      </c>
      <c r="C3398" s="8" t="s">
        <v>21</v>
      </c>
      <c r="K3398" s="8">
        <v>300.0</v>
      </c>
      <c r="N3398" s="7">
        <v>44591.0</v>
      </c>
    </row>
    <row r="3399">
      <c r="A3399" s="8">
        <v>3398.0</v>
      </c>
      <c r="B3399" s="8" t="s">
        <v>4731</v>
      </c>
      <c r="C3399" s="8" t="s">
        <v>21</v>
      </c>
      <c r="N3399" s="7">
        <v>44943.0</v>
      </c>
    </row>
    <row r="3400">
      <c r="A3400" s="8">
        <v>3399.0</v>
      </c>
      <c r="B3400" s="8" t="s">
        <v>4732</v>
      </c>
      <c r="C3400" s="8" t="s">
        <v>21</v>
      </c>
      <c r="K3400" s="8">
        <v>450.0</v>
      </c>
      <c r="N3400" s="7">
        <v>44995.0</v>
      </c>
    </row>
    <row r="3401">
      <c r="A3401" s="8">
        <v>3400.0</v>
      </c>
      <c r="B3401" s="8" t="s">
        <v>4733</v>
      </c>
      <c r="C3401" s="8" t="s">
        <v>21</v>
      </c>
      <c r="K3401" s="8">
        <v>900.0</v>
      </c>
      <c r="N3401" s="7">
        <v>43874.0</v>
      </c>
    </row>
    <row r="3402">
      <c r="A3402" s="8">
        <v>3401.0</v>
      </c>
      <c r="B3402" s="8" t="s">
        <v>4734</v>
      </c>
      <c r="C3402" s="8" t="s">
        <v>21</v>
      </c>
      <c r="K3402" s="8">
        <v>90.0</v>
      </c>
      <c r="N3402" s="7">
        <v>44961.0</v>
      </c>
    </row>
    <row r="3403">
      <c r="A3403" s="8">
        <v>3402.0</v>
      </c>
      <c r="B3403" s="8" t="s">
        <v>4735</v>
      </c>
      <c r="C3403" s="8" t="s">
        <v>21</v>
      </c>
      <c r="K3403" s="8">
        <v>300.0</v>
      </c>
      <c r="N3403" s="7">
        <v>46075.0</v>
      </c>
    </row>
    <row r="3404">
      <c r="A3404" s="8">
        <v>3403.0</v>
      </c>
      <c r="B3404" s="8" t="s">
        <v>4736</v>
      </c>
      <c r="C3404" s="8" t="s">
        <v>21</v>
      </c>
      <c r="K3404" s="8">
        <v>10.0</v>
      </c>
      <c r="N3404" s="7">
        <v>44532.0</v>
      </c>
    </row>
    <row r="3405">
      <c r="A3405" s="8">
        <v>3404.0</v>
      </c>
      <c r="B3405" s="8" t="s">
        <v>4737</v>
      </c>
      <c r="C3405" s="8" t="s">
        <v>21</v>
      </c>
      <c r="K3405" s="8">
        <v>20.0</v>
      </c>
      <c r="N3405" s="7">
        <v>44324.0</v>
      </c>
    </row>
    <row r="3406">
      <c r="A3406" s="8">
        <v>3405.0</v>
      </c>
      <c r="B3406" s="8" t="s">
        <v>4738</v>
      </c>
      <c r="C3406" s="8" t="s">
        <v>21</v>
      </c>
      <c r="K3406" s="8">
        <v>80.0</v>
      </c>
      <c r="N3406" s="7">
        <v>44732.0</v>
      </c>
    </row>
    <row r="3407">
      <c r="A3407" s="8">
        <v>3406.0</v>
      </c>
      <c r="B3407" s="8" t="s">
        <v>4739</v>
      </c>
      <c r="C3407" s="8" t="s">
        <v>21</v>
      </c>
      <c r="N3407" s="7">
        <v>44649.0</v>
      </c>
    </row>
    <row r="3408">
      <c r="A3408" s="8">
        <v>3407.0</v>
      </c>
      <c r="B3408" s="8" t="s">
        <v>4740</v>
      </c>
      <c r="C3408" s="8" t="s">
        <v>21</v>
      </c>
      <c r="K3408" s="8">
        <v>200.0</v>
      </c>
      <c r="N3408" s="7">
        <v>44588.0</v>
      </c>
    </row>
    <row r="3409">
      <c r="A3409" s="8">
        <v>3408.0</v>
      </c>
      <c r="B3409" s="8" t="s">
        <v>4741</v>
      </c>
      <c r="C3409" s="8" t="s">
        <v>21</v>
      </c>
      <c r="K3409" s="8">
        <v>30.0</v>
      </c>
      <c r="N3409" s="7">
        <v>44522.0</v>
      </c>
    </row>
    <row r="3410">
      <c r="A3410" s="8">
        <v>3409.0</v>
      </c>
      <c r="B3410" s="8" t="s">
        <v>4742</v>
      </c>
      <c r="C3410" s="8" t="s">
        <v>21</v>
      </c>
      <c r="K3410" s="8">
        <v>300.0</v>
      </c>
      <c r="N3410" s="7">
        <v>45106.0</v>
      </c>
    </row>
    <row r="3411">
      <c r="A3411" s="8">
        <v>3410.0</v>
      </c>
      <c r="B3411" s="8" t="s">
        <v>4743</v>
      </c>
      <c r="C3411" s="8" t="s">
        <v>21</v>
      </c>
      <c r="K3411" s="8">
        <v>350.0</v>
      </c>
      <c r="N3411" s="7">
        <v>44782.0</v>
      </c>
    </row>
    <row r="3412">
      <c r="A3412" s="8">
        <v>3411.0</v>
      </c>
      <c r="B3412" s="8" t="s">
        <v>4744</v>
      </c>
      <c r="C3412" s="8" t="s">
        <v>21</v>
      </c>
      <c r="K3412" s="8">
        <v>100.0</v>
      </c>
      <c r="N3412" s="7">
        <v>43923.0</v>
      </c>
    </row>
    <row r="3413">
      <c r="A3413" s="8">
        <v>3412.0</v>
      </c>
      <c r="B3413" s="8" t="s">
        <v>4745</v>
      </c>
      <c r="C3413" s="8" t="s">
        <v>21</v>
      </c>
      <c r="N3413" s="7">
        <v>45406.0</v>
      </c>
    </row>
    <row r="3414">
      <c r="A3414" s="8">
        <v>3413.0</v>
      </c>
      <c r="B3414" s="8" t="s">
        <v>4746</v>
      </c>
      <c r="C3414" s="8" t="s">
        <v>21</v>
      </c>
      <c r="N3414" s="7">
        <v>43895.0</v>
      </c>
    </row>
    <row r="3415">
      <c r="A3415" s="8">
        <v>3414.0</v>
      </c>
      <c r="B3415" s="8" t="s">
        <v>4747</v>
      </c>
      <c r="C3415" s="8" t="s">
        <v>21</v>
      </c>
      <c r="K3415" s="8">
        <v>90.0</v>
      </c>
      <c r="N3415" s="7">
        <v>45414.0</v>
      </c>
    </row>
    <row r="3416">
      <c r="A3416" s="8">
        <v>3415.0</v>
      </c>
      <c r="B3416" s="8" t="s">
        <v>4748</v>
      </c>
      <c r="C3416" s="8" t="s">
        <v>21</v>
      </c>
      <c r="K3416" s="8">
        <v>150.0</v>
      </c>
      <c r="N3416" s="7">
        <v>44379.0</v>
      </c>
    </row>
    <row r="3417">
      <c r="A3417" s="8">
        <v>3416.0</v>
      </c>
      <c r="B3417" s="8" t="s">
        <v>4749</v>
      </c>
      <c r="C3417" s="8" t="s">
        <v>21</v>
      </c>
      <c r="K3417" s="8">
        <v>10.0</v>
      </c>
      <c r="N3417" s="7">
        <v>44022.0</v>
      </c>
    </row>
    <row r="3418">
      <c r="A3418" s="8">
        <v>3417.0</v>
      </c>
      <c r="B3418" s="8" t="s">
        <v>4750</v>
      </c>
      <c r="C3418" s="8" t="s">
        <v>21</v>
      </c>
      <c r="K3418" s="8">
        <v>100.0</v>
      </c>
      <c r="N3418" s="7">
        <v>44718.0</v>
      </c>
    </row>
    <row r="3419">
      <c r="A3419" s="8">
        <v>3418.0</v>
      </c>
      <c r="B3419" s="8" t="s">
        <v>4751</v>
      </c>
      <c r="C3419" s="8" t="s">
        <v>21</v>
      </c>
      <c r="K3419" s="8">
        <v>250.0</v>
      </c>
      <c r="N3419" s="7">
        <v>45314.0</v>
      </c>
    </row>
    <row r="3420">
      <c r="A3420" s="8">
        <v>3419.0</v>
      </c>
      <c r="B3420" s="8" t="s">
        <v>4752</v>
      </c>
      <c r="C3420" s="8" t="s">
        <v>21</v>
      </c>
      <c r="K3420" s="8">
        <v>1200.0</v>
      </c>
      <c r="N3420" s="7">
        <v>43971.0</v>
      </c>
    </row>
    <row r="3421">
      <c r="A3421" s="8">
        <v>3420.0</v>
      </c>
      <c r="B3421" s="8" t="s">
        <v>4753</v>
      </c>
      <c r="C3421" s="8" t="s">
        <v>21</v>
      </c>
      <c r="K3421" s="8">
        <v>150.0</v>
      </c>
      <c r="N3421" s="7">
        <v>44696.0</v>
      </c>
    </row>
    <row r="3422">
      <c r="A3422" s="8">
        <v>3421.0</v>
      </c>
      <c r="B3422" s="8" t="s">
        <v>4754</v>
      </c>
      <c r="C3422" s="8" t="s">
        <v>21</v>
      </c>
      <c r="K3422" s="8">
        <v>4300.0</v>
      </c>
      <c r="N3422" s="7">
        <v>44895.0</v>
      </c>
    </row>
    <row r="3423">
      <c r="A3423" s="8">
        <v>3422.0</v>
      </c>
      <c r="B3423" s="8" t="s">
        <v>4755</v>
      </c>
      <c r="C3423" s="8" t="s">
        <v>21</v>
      </c>
      <c r="K3423" s="8">
        <v>1600.0</v>
      </c>
      <c r="N3423" s="7">
        <v>44711.0</v>
      </c>
    </row>
    <row r="3424">
      <c r="A3424" s="8">
        <v>3423.0</v>
      </c>
      <c r="B3424" s="8" t="s">
        <v>260</v>
      </c>
      <c r="C3424" s="8" t="s">
        <v>21</v>
      </c>
      <c r="K3424" s="8">
        <v>10.0</v>
      </c>
      <c r="N3424" s="7">
        <v>45110.0</v>
      </c>
    </row>
    <row r="3425">
      <c r="A3425" s="8">
        <v>3424.0</v>
      </c>
      <c r="B3425" s="8" t="s">
        <v>4756</v>
      </c>
      <c r="C3425" s="8" t="s">
        <v>21</v>
      </c>
      <c r="K3425" s="8">
        <v>1100.0</v>
      </c>
      <c r="N3425" s="7">
        <v>44733.0</v>
      </c>
    </row>
    <row r="3426">
      <c r="A3426" s="8">
        <v>3425.0</v>
      </c>
      <c r="B3426" s="8" t="s">
        <v>4757</v>
      </c>
      <c r="C3426" s="8" t="s">
        <v>21</v>
      </c>
      <c r="N3426" s="7">
        <v>44425.0</v>
      </c>
    </row>
    <row r="3427">
      <c r="A3427" s="8">
        <v>3426.0</v>
      </c>
      <c r="B3427" s="8" t="s">
        <v>4758</v>
      </c>
      <c r="C3427" s="8" t="s">
        <v>21</v>
      </c>
      <c r="K3427" s="8">
        <v>20000.0</v>
      </c>
      <c r="N3427" s="7">
        <v>44951.0</v>
      </c>
    </row>
    <row r="3428">
      <c r="A3428" s="8">
        <v>3427.0</v>
      </c>
      <c r="B3428" s="8" t="s">
        <v>4759</v>
      </c>
      <c r="C3428" s="8" t="s">
        <v>21</v>
      </c>
      <c r="K3428" s="8">
        <v>200.0</v>
      </c>
      <c r="N3428" s="7">
        <v>44974.0</v>
      </c>
    </row>
    <row r="3429">
      <c r="A3429" s="8">
        <v>3428.0</v>
      </c>
      <c r="B3429" s="8" t="s">
        <v>4760</v>
      </c>
      <c r="C3429" s="8" t="s">
        <v>21</v>
      </c>
      <c r="K3429" s="8">
        <v>100.0</v>
      </c>
      <c r="N3429" s="7">
        <v>44561.0</v>
      </c>
    </row>
    <row r="3430">
      <c r="A3430" s="8">
        <v>3429.0</v>
      </c>
      <c r="B3430" s="8" t="s">
        <v>4761</v>
      </c>
      <c r="C3430" s="8" t="s">
        <v>21</v>
      </c>
      <c r="K3430" s="8">
        <v>150.0</v>
      </c>
      <c r="N3430" s="7">
        <v>44870.0</v>
      </c>
    </row>
    <row r="3431">
      <c r="A3431" s="8">
        <v>3430.0</v>
      </c>
      <c r="B3431" s="8" t="s">
        <v>4762</v>
      </c>
      <c r="C3431" s="8" t="s">
        <v>21</v>
      </c>
      <c r="K3431" s="8">
        <v>500.0</v>
      </c>
      <c r="N3431" s="7">
        <v>44915.0</v>
      </c>
    </row>
    <row r="3432">
      <c r="A3432" s="8">
        <v>3431.0</v>
      </c>
      <c r="B3432" s="8" t="s">
        <v>4763</v>
      </c>
      <c r="C3432" s="8" t="s">
        <v>21</v>
      </c>
      <c r="K3432" s="8">
        <v>60.0</v>
      </c>
      <c r="N3432" s="7">
        <v>44214.0</v>
      </c>
    </row>
    <row r="3433">
      <c r="A3433" s="8">
        <v>3432.0</v>
      </c>
      <c r="B3433" s="8" t="s">
        <v>4764</v>
      </c>
      <c r="C3433" s="8" t="s">
        <v>21</v>
      </c>
      <c r="K3433" s="8">
        <v>3100.0</v>
      </c>
      <c r="N3433" s="7">
        <v>45670.0</v>
      </c>
    </row>
    <row r="3434">
      <c r="A3434" s="8">
        <v>3433.0</v>
      </c>
      <c r="B3434" s="8" t="s">
        <v>4765</v>
      </c>
      <c r="C3434" s="8" t="s">
        <v>21</v>
      </c>
      <c r="K3434" s="8">
        <v>30.0</v>
      </c>
      <c r="N3434" s="7">
        <v>44692.0</v>
      </c>
    </row>
    <row r="3435">
      <c r="A3435" s="8">
        <v>3434.0</v>
      </c>
      <c r="B3435" s="8" t="s">
        <v>262</v>
      </c>
      <c r="C3435" s="8" t="s">
        <v>21</v>
      </c>
      <c r="K3435" s="8">
        <v>10.0</v>
      </c>
      <c r="N3435" s="7">
        <v>44939.0</v>
      </c>
    </row>
    <row r="3436">
      <c r="A3436" s="8">
        <v>3435.0</v>
      </c>
      <c r="B3436" s="8" t="s">
        <v>4766</v>
      </c>
      <c r="C3436" s="8" t="s">
        <v>21</v>
      </c>
      <c r="K3436" s="8">
        <v>1300.0</v>
      </c>
      <c r="N3436" s="7">
        <v>45415.0</v>
      </c>
    </row>
    <row r="3437">
      <c r="A3437" s="8">
        <v>3436.0</v>
      </c>
      <c r="B3437" s="8" t="s">
        <v>4767</v>
      </c>
      <c r="C3437" s="8" t="s">
        <v>21</v>
      </c>
      <c r="K3437" s="8">
        <v>10.0</v>
      </c>
      <c r="N3437" s="7">
        <v>44145.0</v>
      </c>
    </row>
    <row r="3438">
      <c r="A3438" s="8">
        <v>3437.0</v>
      </c>
      <c r="B3438" s="8" t="s">
        <v>4768</v>
      </c>
      <c r="C3438" s="8" t="s">
        <v>21</v>
      </c>
      <c r="K3438" s="8">
        <v>20.0</v>
      </c>
      <c r="N3438" s="7">
        <v>44906.0</v>
      </c>
    </row>
    <row r="3439">
      <c r="A3439" s="8">
        <v>3438.0</v>
      </c>
      <c r="B3439" s="8" t="s">
        <v>4769</v>
      </c>
      <c r="C3439" s="8" t="s">
        <v>21</v>
      </c>
      <c r="N3439" s="7">
        <v>44701.0</v>
      </c>
    </row>
    <row r="3440">
      <c r="A3440" s="8">
        <v>3439.0</v>
      </c>
      <c r="B3440" s="8" t="s">
        <v>4770</v>
      </c>
      <c r="C3440" s="8" t="s">
        <v>21</v>
      </c>
      <c r="K3440" s="8">
        <v>10.0</v>
      </c>
      <c r="N3440" s="7">
        <v>44602.0</v>
      </c>
    </row>
    <row r="3441">
      <c r="A3441" s="8">
        <v>3440.0</v>
      </c>
      <c r="B3441" s="8" t="s">
        <v>4771</v>
      </c>
      <c r="C3441" s="8" t="s">
        <v>21</v>
      </c>
      <c r="K3441" s="8">
        <v>10.0</v>
      </c>
      <c r="N3441" s="7">
        <v>45118.0</v>
      </c>
    </row>
    <row r="3442">
      <c r="A3442" s="8">
        <v>3441.0</v>
      </c>
      <c r="B3442" s="8" t="s">
        <v>4772</v>
      </c>
      <c r="C3442" s="8" t="s">
        <v>21</v>
      </c>
      <c r="K3442" s="8">
        <v>50.0</v>
      </c>
      <c r="N3442" s="7">
        <v>44268.0</v>
      </c>
    </row>
    <row r="3443">
      <c r="A3443" s="8">
        <v>3442.0</v>
      </c>
      <c r="B3443" s="8" t="s">
        <v>4773</v>
      </c>
      <c r="C3443" s="8" t="s">
        <v>21</v>
      </c>
      <c r="K3443" s="8">
        <v>10.0</v>
      </c>
      <c r="N3443" s="7">
        <v>45074.0</v>
      </c>
    </row>
    <row r="3444">
      <c r="A3444" s="8">
        <v>3443.0</v>
      </c>
      <c r="B3444" s="8" t="s">
        <v>4774</v>
      </c>
      <c r="C3444" s="8" t="s">
        <v>21</v>
      </c>
      <c r="K3444" s="8">
        <v>1100.0</v>
      </c>
      <c r="N3444" s="7">
        <v>44482.0</v>
      </c>
    </row>
    <row r="3445">
      <c r="A3445" s="8">
        <v>3444.0</v>
      </c>
      <c r="B3445" s="8" t="s">
        <v>4775</v>
      </c>
      <c r="C3445" s="8" t="s">
        <v>21</v>
      </c>
      <c r="K3445" s="8">
        <v>150.0</v>
      </c>
      <c r="N3445" s="7">
        <v>45574.0</v>
      </c>
    </row>
    <row r="3446">
      <c r="A3446" s="8">
        <v>3445.0</v>
      </c>
      <c r="B3446" s="8" t="s">
        <v>264</v>
      </c>
      <c r="C3446" s="8" t="s">
        <v>21</v>
      </c>
      <c r="K3446" s="8">
        <v>90.0</v>
      </c>
      <c r="N3446" s="7">
        <v>44871.0</v>
      </c>
    </row>
    <row r="3447">
      <c r="A3447" s="8">
        <v>3446.0</v>
      </c>
      <c r="B3447" s="8" t="s">
        <v>4776</v>
      </c>
      <c r="C3447" s="8" t="s">
        <v>21</v>
      </c>
      <c r="K3447" s="8">
        <v>20.0</v>
      </c>
      <c r="N3447" s="7">
        <v>42372.0</v>
      </c>
    </row>
    <row r="3448">
      <c r="A3448" s="8">
        <v>3447.0</v>
      </c>
      <c r="B3448" s="8" t="s">
        <v>4777</v>
      </c>
      <c r="C3448" s="8" t="s">
        <v>21</v>
      </c>
      <c r="K3448" s="8">
        <v>21000.0</v>
      </c>
      <c r="N3448" s="7">
        <v>44080.0</v>
      </c>
    </row>
    <row r="3449">
      <c r="A3449" s="8">
        <v>3448.0</v>
      </c>
      <c r="B3449" s="8" t="s">
        <v>4778</v>
      </c>
      <c r="C3449" s="8" t="s">
        <v>21</v>
      </c>
      <c r="K3449" s="8">
        <v>350.0</v>
      </c>
      <c r="N3449" s="7">
        <v>45116.0</v>
      </c>
    </row>
    <row r="3450">
      <c r="A3450" s="8">
        <v>3449.0</v>
      </c>
      <c r="B3450" s="8" t="s">
        <v>4779</v>
      </c>
      <c r="C3450" s="8" t="s">
        <v>21</v>
      </c>
      <c r="K3450" s="8">
        <v>900.0</v>
      </c>
      <c r="N3450" s="7">
        <v>44518.0</v>
      </c>
    </row>
    <row r="3451">
      <c r="A3451" s="8">
        <v>3450.0</v>
      </c>
      <c r="B3451" s="8" t="s">
        <v>4780</v>
      </c>
      <c r="C3451" s="8" t="s">
        <v>21</v>
      </c>
      <c r="K3451" s="8">
        <v>2500.0</v>
      </c>
      <c r="N3451" s="7">
        <v>44695.0</v>
      </c>
    </row>
    <row r="3452">
      <c r="A3452" s="8">
        <v>3451.0</v>
      </c>
      <c r="B3452" s="8" t="s">
        <v>4781</v>
      </c>
      <c r="C3452" s="8" t="s">
        <v>21</v>
      </c>
      <c r="K3452" s="8">
        <v>150.0</v>
      </c>
      <c r="N3452" s="7">
        <v>44705.0</v>
      </c>
    </row>
    <row r="3453">
      <c r="A3453" s="8">
        <v>3452.0</v>
      </c>
      <c r="B3453" s="8" t="s">
        <v>4782</v>
      </c>
      <c r="C3453" s="8" t="s">
        <v>21</v>
      </c>
      <c r="K3453" s="8">
        <v>700.0</v>
      </c>
      <c r="N3453" s="7">
        <v>44022.0</v>
      </c>
    </row>
    <row r="3454">
      <c r="A3454" s="8">
        <v>3453.0</v>
      </c>
      <c r="B3454" s="8" t="s">
        <v>4783</v>
      </c>
      <c r="C3454" s="8" t="s">
        <v>21</v>
      </c>
      <c r="K3454" s="8">
        <v>30.0</v>
      </c>
      <c r="N3454" s="7">
        <v>45522.0</v>
      </c>
    </row>
    <row r="3455">
      <c r="A3455" s="8">
        <v>3454.0</v>
      </c>
      <c r="B3455" s="8" t="s">
        <v>4784</v>
      </c>
      <c r="C3455" s="8" t="s">
        <v>21</v>
      </c>
      <c r="K3455" s="8">
        <v>10.0</v>
      </c>
      <c r="N3455" s="7">
        <v>44737.0</v>
      </c>
    </row>
    <row r="3456">
      <c r="A3456" s="8">
        <v>3455.0</v>
      </c>
      <c r="B3456" s="8" t="s">
        <v>4785</v>
      </c>
      <c r="C3456" s="8" t="s">
        <v>21</v>
      </c>
      <c r="K3456" s="8">
        <v>6300.0</v>
      </c>
      <c r="N3456" s="7">
        <v>44194.0</v>
      </c>
    </row>
    <row r="3457">
      <c r="A3457" s="8">
        <v>3456.0</v>
      </c>
      <c r="B3457" s="8" t="s">
        <v>4786</v>
      </c>
      <c r="C3457" s="8" t="s">
        <v>21</v>
      </c>
      <c r="K3457" s="8">
        <v>20.0</v>
      </c>
      <c r="N3457" s="7">
        <v>44949.0</v>
      </c>
    </row>
    <row r="3458">
      <c r="A3458" s="8">
        <v>3457.0</v>
      </c>
      <c r="B3458" s="8" t="s">
        <v>4787</v>
      </c>
      <c r="C3458" s="8" t="s">
        <v>21</v>
      </c>
      <c r="K3458" s="8">
        <v>700.0</v>
      </c>
      <c r="N3458" s="7">
        <v>44302.0</v>
      </c>
    </row>
    <row r="3459">
      <c r="A3459" s="8">
        <v>3458.0</v>
      </c>
      <c r="B3459" s="8" t="s">
        <v>4788</v>
      </c>
      <c r="C3459" s="8" t="s">
        <v>21</v>
      </c>
      <c r="K3459" s="8">
        <v>10.0</v>
      </c>
      <c r="N3459" s="7">
        <v>44863.0</v>
      </c>
    </row>
    <row r="3460">
      <c r="A3460" s="8">
        <v>3459.0</v>
      </c>
      <c r="B3460" s="8" t="s">
        <v>4789</v>
      </c>
      <c r="C3460" s="8" t="s">
        <v>21</v>
      </c>
      <c r="K3460" s="8">
        <v>3300.0</v>
      </c>
      <c r="N3460" s="7">
        <v>44908.0</v>
      </c>
    </row>
    <row r="3461">
      <c r="A3461" s="8">
        <v>3460.0</v>
      </c>
      <c r="B3461" s="8" t="s">
        <v>4790</v>
      </c>
      <c r="C3461" s="8" t="s">
        <v>21</v>
      </c>
      <c r="K3461" s="8">
        <v>10.0</v>
      </c>
      <c r="N3461" s="7">
        <v>44252.0</v>
      </c>
    </row>
    <row r="3462">
      <c r="A3462" s="8">
        <v>3461.0</v>
      </c>
      <c r="B3462" s="8" t="s">
        <v>4791</v>
      </c>
      <c r="C3462" s="8" t="s">
        <v>21</v>
      </c>
      <c r="K3462" s="8">
        <v>10.0</v>
      </c>
      <c r="N3462" s="7">
        <v>44045.0</v>
      </c>
    </row>
    <row r="3463">
      <c r="A3463" s="8">
        <v>3462.0</v>
      </c>
      <c r="B3463" s="8" t="s">
        <v>4792</v>
      </c>
      <c r="C3463" s="8" t="s">
        <v>21</v>
      </c>
      <c r="K3463" s="8">
        <v>300.0</v>
      </c>
      <c r="N3463" s="7">
        <v>44831.0</v>
      </c>
    </row>
    <row r="3464">
      <c r="A3464" s="8">
        <v>3463.0</v>
      </c>
      <c r="B3464" s="8" t="s">
        <v>4793</v>
      </c>
      <c r="C3464" s="8" t="s">
        <v>21</v>
      </c>
      <c r="N3464" s="7">
        <v>44043.0</v>
      </c>
    </row>
    <row r="3465">
      <c r="A3465" s="8">
        <v>3464.0</v>
      </c>
      <c r="B3465" s="8" t="s">
        <v>4794</v>
      </c>
      <c r="C3465" s="8" t="s">
        <v>21</v>
      </c>
      <c r="K3465" s="8">
        <v>100.0</v>
      </c>
      <c r="N3465" s="7">
        <v>44990.0</v>
      </c>
    </row>
    <row r="3466">
      <c r="A3466" s="8">
        <v>3465.0</v>
      </c>
      <c r="B3466" s="8" t="s">
        <v>4795</v>
      </c>
      <c r="C3466" s="8" t="s">
        <v>21</v>
      </c>
      <c r="K3466" s="8">
        <v>350.0</v>
      </c>
      <c r="N3466" s="7">
        <v>45054.0</v>
      </c>
    </row>
    <row r="3467">
      <c r="A3467" s="8">
        <v>3466.0</v>
      </c>
      <c r="B3467" s="8" t="s">
        <v>4796</v>
      </c>
      <c r="C3467" s="8" t="s">
        <v>21</v>
      </c>
      <c r="K3467" s="8">
        <v>2000.0</v>
      </c>
      <c r="N3467" s="7">
        <v>44549.0</v>
      </c>
    </row>
    <row r="3468">
      <c r="A3468" s="8">
        <v>3467.0</v>
      </c>
      <c r="B3468" s="8" t="s">
        <v>4797</v>
      </c>
      <c r="C3468" s="8" t="s">
        <v>21</v>
      </c>
      <c r="N3468" s="7">
        <v>44542.0</v>
      </c>
    </row>
    <row r="3469">
      <c r="A3469" s="8">
        <v>3468.0</v>
      </c>
      <c r="B3469" s="8" t="s">
        <v>4798</v>
      </c>
      <c r="C3469" s="8" t="s">
        <v>21</v>
      </c>
      <c r="K3469" s="8">
        <v>600.0</v>
      </c>
      <c r="N3469" s="7">
        <v>43877.0</v>
      </c>
    </row>
    <row r="3470">
      <c r="A3470" s="8">
        <v>3469.0</v>
      </c>
      <c r="B3470" s="8" t="s">
        <v>4799</v>
      </c>
      <c r="C3470" s="8" t="s">
        <v>21</v>
      </c>
      <c r="K3470" s="8">
        <v>400.0</v>
      </c>
      <c r="N3470" s="7">
        <v>44743.0</v>
      </c>
    </row>
    <row r="3471">
      <c r="A3471" s="8">
        <v>3470.0</v>
      </c>
      <c r="B3471" s="8" t="s">
        <v>4800</v>
      </c>
      <c r="C3471" s="8" t="s">
        <v>21</v>
      </c>
      <c r="K3471" s="8">
        <v>80.0</v>
      </c>
      <c r="N3471" s="7">
        <v>44679.0</v>
      </c>
    </row>
    <row r="3472">
      <c r="A3472" s="8">
        <v>3471.0</v>
      </c>
      <c r="B3472" s="8" t="s">
        <v>4801</v>
      </c>
      <c r="C3472" s="8" t="s">
        <v>21</v>
      </c>
      <c r="K3472" s="8">
        <v>70.0</v>
      </c>
      <c r="N3472" s="7">
        <v>45422.0</v>
      </c>
    </row>
    <row r="3473">
      <c r="A3473" s="8">
        <v>3472.0</v>
      </c>
      <c r="B3473" s="8" t="s">
        <v>4802</v>
      </c>
      <c r="C3473" s="8" t="s">
        <v>21</v>
      </c>
      <c r="K3473" s="8">
        <v>2800.0</v>
      </c>
      <c r="N3473" s="7">
        <v>44004.0</v>
      </c>
    </row>
    <row r="3474">
      <c r="A3474" s="8">
        <v>3473.0</v>
      </c>
      <c r="B3474" s="8" t="s">
        <v>4803</v>
      </c>
      <c r="C3474" s="8" t="s">
        <v>21</v>
      </c>
      <c r="K3474" s="8">
        <v>300.0</v>
      </c>
      <c r="N3474" s="7">
        <v>45574.0</v>
      </c>
    </row>
    <row r="3475">
      <c r="A3475" s="8">
        <v>3474.0</v>
      </c>
      <c r="B3475" s="8" t="s">
        <v>4804</v>
      </c>
      <c r="C3475" s="8" t="s">
        <v>21</v>
      </c>
      <c r="N3475" s="7">
        <v>45290.0</v>
      </c>
    </row>
    <row r="3476">
      <c r="A3476" s="8">
        <v>3475.0</v>
      </c>
      <c r="B3476" s="8" t="s">
        <v>4805</v>
      </c>
      <c r="C3476" s="8" t="s">
        <v>21</v>
      </c>
      <c r="K3476" s="8">
        <v>10.0</v>
      </c>
      <c r="N3476" s="7">
        <v>44521.0</v>
      </c>
    </row>
    <row r="3477">
      <c r="A3477" s="8">
        <v>3476.0</v>
      </c>
      <c r="B3477" s="8" t="s">
        <v>212</v>
      </c>
      <c r="C3477" s="8" t="s">
        <v>21</v>
      </c>
      <c r="K3477" s="8">
        <v>3100.0</v>
      </c>
      <c r="N3477" s="7">
        <v>42727.0</v>
      </c>
    </row>
    <row r="3478">
      <c r="A3478" s="8">
        <v>3477.0</v>
      </c>
      <c r="B3478" s="8" t="s">
        <v>4806</v>
      </c>
      <c r="C3478" s="8" t="s">
        <v>21</v>
      </c>
      <c r="N3478" s="7">
        <v>44412.0</v>
      </c>
    </row>
    <row r="3479">
      <c r="A3479" s="8">
        <v>3478.0</v>
      </c>
      <c r="B3479" s="8" t="s">
        <v>4807</v>
      </c>
      <c r="C3479" s="8" t="s">
        <v>21</v>
      </c>
      <c r="K3479" s="8">
        <v>150.0</v>
      </c>
      <c r="N3479" s="7">
        <v>45399.0</v>
      </c>
    </row>
    <row r="3480">
      <c r="A3480" s="8">
        <v>3479.0</v>
      </c>
      <c r="B3480" s="8" t="s">
        <v>4808</v>
      </c>
      <c r="C3480" s="8" t="s">
        <v>21</v>
      </c>
      <c r="K3480" s="8">
        <v>10.0</v>
      </c>
      <c r="N3480" s="7">
        <v>44251.0</v>
      </c>
    </row>
    <row r="3481">
      <c r="A3481" s="8">
        <v>3480.0</v>
      </c>
      <c r="B3481" s="8" t="s">
        <v>4809</v>
      </c>
      <c r="C3481" s="8" t="s">
        <v>21</v>
      </c>
      <c r="K3481" s="8">
        <v>1300.0</v>
      </c>
      <c r="N3481" s="7">
        <v>44345.0</v>
      </c>
    </row>
    <row r="3482">
      <c r="A3482" s="8">
        <v>3481.0</v>
      </c>
      <c r="B3482" s="8" t="s">
        <v>4810</v>
      </c>
      <c r="C3482" s="8" t="s">
        <v>21</v>
      </c>
      <c r="N3482" s="7">
        <v>44264.0</v>
      </c>
    </row>
    <row r="3483">
      <c r="A3483" s="8">
        <v>3482.0</v>
      </c>
      <c r="B3483" s="8" t="s">
        <v>4811</v>
      </c>
      <c r="C3483" s="8" t="s">
        <v>21</v>
      </c>
      <c r="K3483" s="8">
        <v>20.0</v>
      </c>
      <c r="N3483" s="7">
        <v>45352.0</v>
      </c>
    </row>
    <row r="3484">
      <c r="A3484" s="8">
        <v>3483.0</v>
      </c>
      <c r="B3484" s="8" t="s">
        <v>4812</v>
      </c>
      <c r="C3484" s="8" t="s">
        <v>21</v>
      </c>
      <c r="N3484" s="7">
        <v>42419.0</v>
      </c>
    </row>
    <row r="3485">
      <c r="A3485" s="8">
        <v>3484.0</v>
      </c>
      <c r="B3485" s="8" t="s">
        <v>4813</v>
      </c>
      <c r="C3485" s="8" t="s">
        <v>21</v>
      </c>
      <c r="K3485" s="8">
        <v>60.0</v>
      </c>
      <c r="N3485" s="7">
        <v>44676.0</v>
      </c>
    </row>
    <row r="3486">
      <c r="A3486" s="8">
        <v>3485.0</v>
      </c>
      <c r="B3486" s="8" t="s">
        <v>4814</v>
      </c>
      <c r="C3486" s="8" t="s">
        <v>21</v>
      </c>
      <c r="N3486" s="7">
        <v>45325.0</v>
      </c>
    </row>
    <row r="3487">
      <c r="A3487" s="8">
        <v>3486.0</v>
      </c>
      <c r="B3487" s="8" t="s">
        <v>4815</v>
      </c>
      <c r="C3487" s="8" t="s">
        <v>21</v>
      </c>
      <c r="K3487" s="8">
        <v>150.0</v>
      </c>
      <c r="N3487" s="7">
        <v>43909.0</v>
      </c>
    </row>
    <row r="3488">
      <c r="A3488" s="8">
        <v>3487.0</v>
      </c>
      <c r="B3488" s="8" t="s">
        <v>4816</v>
      </c>
      <c r="C3488" s="8" t="s">
        <v>21</v>
      </c>
      <c r="K3488" s="8">
        <v>200.0</v>
      </c>
      <c r="N3488" s="7">
        <v>45208.0</v>
      </c>
    </row>
    <row r="3489">
      <c r="A3489" s="8">
        <v>3488.0</v>
      </c>
      <c r="B3489" s="8" t="s">
        <v>4817</v>
      </c>
      <c r="C3489" s="8" t="s">
        <v>21</v>
      </c>
      <c r="K3489" s="8">
        <v>300.0</v>
      </c>
      <c r="N3489" s="7">
        <v>44712.0</v>
      </c>
    </row>
    <row r="3490">
      <c r="A3490" s="8">
        <v>3489.0</v>
      </c>
      <c r="B3490" s="8" t="s">
        <v>4818</v>
      </c>
      <c r="C3490" s="8" t="s">
        <v>21</v>
      </c>
      <c r="K3490" s="8">
        <v>6000.0</v>
      </c>
      <c r="N3490" s="7">
        <v>45578.0</v>
      </c>
    </row>
    <row r="3491">
      <c r="A3491" s="8">
        <v>3490.0</v>
      </c>
      <c r="B3491" s="8" t="s">
        <v>4819</v>
      </c>
      <c r="C3491" s="8" t="s">
        <v>21</v>
      </c>
      <c r="K3491" s="8">
        <v>100.0</v>
      </c>
      <c r="N3491" s="7">
        <v>44831.0</v>
      </c>
    </row>
    <row r="3492">
      <c r="A3492" s="8">
        <v>3491.0</v>
      </c>
      <c r="B3492" s="8" t="s">
        <v>4820</v>
      </c>
      <c r="C3492" s="8" t="s">
        <v>21</v>
      </c>
      <c r="N3492" s="7">
        <v>45135.0</v>
      </c>
    </row>
    <row r="3493">
      <c r="A3493" s="8">
        <v>3492.0</v>
      </c>
      <c r="B3493" s="8" t="s">
        <v>4821</v>
      </c>
      <c r="C3493" s="8" t="s">
        <v>21</v>
      </c>
      <c r="N3493" s="7">
        <v>44571.0</v>
      </c>
    </row>
    <row r="3494">
      <c r="A3494" s="8">
        <v>3493.0</v>
      </c>
      <c r="B3494" s="8" t="s">
        <v>4822</v>
      </c>
      <c r="C3494" s="8" t="s">
        <v>21</v>
      </c>
      <c r="K3494" s="8">
        <v>18000.0</v>
      </c>
      <c r="N3494" s="7">
        <v>44066.0</v>
      </c>
    </row>
    <row r="3495">
      <c r="A3495" s="8">
        <v>3494.0</v>
      </c>
      <c r="B3495" s="8" t="s">
        <v>4823</v>
      </c>
      <c r="C3495" s="8" t="s">
        <v>21</v>
      </c>
      <c r="K3495" s="8">
        <v>200.0</v>
      </c>
      <c r="N3495" s="7">
        <v>44447.0</v>
      </c>
    </row>
    <row r="3496">
      <c r="A3496" s="8">
        <v>3495.0</v>
      </c>
      <c r="B3496" s="8" t="s">
        <v>4824</v>
      </c>
      <c r="C3496" s="8" t="s">
        <v>21</v>
      </c>
      <c r="K3496" s="8">
        <v>60.0</v>
      </c>
      <c r="N3496" s="7">
        <v>44012.0</v>
      </c>
    </row>
    <row r="3497">
      <c r="A3497" s="8">
        <v>3496.0</v>
      </c>
      <c r="B3497" s="8" t="s">
        <v>4825</v>
      </c>
      <c r="C3497" s="8" t="s">
        <v>21</v>
      </c>
      <c r="N3497" s="7">
        <v>43946.0</v>
      </c>
    </row>
    <row r="3498">
      <c r="A3498" s="8">
        <v>3497.0</v>
      </c>
      <c r="B3498" s="8" t="s">
        <v>4826</v>
      </c>
      <c r="C3498" s="8" t="s">
        <v>21</v>
      </c>
      <c r="K3498" s="8">
        <v>300.0</v>
      </c>
      <c r="N3498" s="7">
        <v>44746.0</v>
      </c>
    </row>
    <row r="3499">
      <c r="A3499" s="8">
        <v>3498.0</v>
      </c>
      <c r="B3499" s="8" t="s">
        <v>4827</v>
      </c>
      <c r="C3499" s="8" t="s">
        <v>21</v>
      </c>
      <c r="K3499" s="8">
        <v>1700.0</v>
      </c>
      <c r="N3499" s="7">
        <v>45006.0</v>
      </c>
    </row>
    <row r="3500">
      <c r="A3500" s="8">
        <v>3499.0</v>
      </c>
      <c r="B3500" s="8" t="s">
        <v>4828</v>
      </c>
      <c r="C3500" s="8" t="s">
        <v>21</v>
      </c>
      <c r="K3500" s="8">
        <v>50.0</v>
      </c>
      <c r="N3500" s="7">
        <v>44699.0</v>
      </c>
    </row>
    <row r="3501">
      <c r="A3501" s="8">
        <v>3500.0</v>
      </c>
      <c r="B3501" s="8" t="s">
        <v>4829</v>
      </c>
      <c r="C3501" s="8" t="s">
        <v>21</v>
      </c>
      <c r="K3501" s="8">
        <v>7900.0</v>
      </c>
      <c r="N3501" s="7">
        <v>44695.0</v>
      </c>
    </row>
    <row r="3502">
      <c r="A3502" s="8">
        <v>3501.0</v>
      </c>
      <c r="B3502" s="8" t="s">
        <v>4830</v>
      </c>
      <c r="C3502" s="8" t="s">
        <v>21</v>
      </c>
      <c r="K3502" s="8">
        <v>90.0</v>
      </c>
      <c r="N3502" s="7">
        <v>45738.0</v>
      </c>
    </row>
    <row r="3503">
      <c r="A3503" s="8">
        <v>3502.0</v>
      </c>
      <c r="B3503" s="8" t="s">
        <v>4831</v>
      </c>
      <c r="C3503" s="8" t="s">
        <v>21</v>
      </c>
      <c r="K3503" s="8">
        <v>7300.0</v>
      </c>
      <c r="N3503" s="7">
        <v>42878.0</v>
      </c>
    </row>
    <row r="3504">
      <c r="A3504" s="8">
        <v>3503.0</v>
      </c>
      <c r="B3504" s="8" t="s">
        <v>4832</v>
      </c>
      <c r="C3504" s="8" t="s">
        <v>21</v>
      </c>
      <c r="K3504" s="8">
        <v>1000.0</v>
      </c>
      <c r="N3504" s="7">
        <v>45554.0</v>
      </c>
    </row>
    <row r="3505">
      <c r="A3505" s="8">
        <v>3504.0</v>
      </c>
      <c r="B3505" s="8" t="s">
        <v>4833</v>
      </c>
      <c r="C3505" s="8" t="s">
        <v>21</v>
      </c>
      <c r="K3505" s="8">
        <v>11000.0</v>
      </c>
      <c r="N3505" s="7">
        <v>44044.0</v>
      </c>
    </row>
    <row r="3506">
      <c r="A3506" s="8">
        <v>3505.0</v>
      </c>
      <c r="B3506" s="8" t="s">
        <v>4834</v>
      </c>
      <c r="C3506" s="8" t="s">
        <v>21</v>
      </c>
      <c r="K3506" s="8">
        <v>700.0</v>
      </c>
      <c r="N3506" s="7">
        <v>44647.0</v>
      </c>
    </row>
    <row r="3507">
      <c r="A3507" s="8">
        <v>3506.0</v>
      </c>
      <c r="B3507" s="8" t="s">
        <v>4835</v>
      </c>
      <c r="C3507" s="8" t="s">
        <v>21</v>
      </c>
      <c r="K3507" s="8">
        <v>100.0</v>
      </c>
      <c r="N3507" s="7">
        <v>45375.0</v>
      </c>
    </row>
    <row r="3508">
      <c r="A3508" s="8">
        <v>3507.0</v>
      </c>
      <c r="B3508" s="8" t="s">
        <v>4836</v>
      </c>
      <c r="C3508" s="8" t="s">
        <v>21</v>
      </c>
      <c r="K3508" s="8">
        <v>20.0</v>
      </c>
      <c r="N3508" s="7">
        <v>44221.0</v>
      </c>
    </row>
    <row r="3509">
      <c r="A3509" s="8">
        <v>3508.0</v>
      </c>
      <c r="B3509" s="8" t="s">
        <v>4837</v>
      </c>
      <c r="C3509" s="8" t="s">
        <v>21</v>
      </c>
      <c r="K3509" s="8">
        <v>200.0</v>
      </c>
      <c r="N3509" s="7">
        <v>44481.0</v>
      </c>
    </row>
    <row r="3510">
      <c r="A3510" s="8">
        <v>3509.0</v>
      </c>
      <c r="B3510" s="8" t="s">
        <v>4838</v>
      </c>
      <c r="C3510" s="8" t="s">
        <v>21</v>
      </c>
      <c r="K3510" s="8">
        <v>250.0</v>
      </c>
      <c r="N3510" s="7">
        <v>44219.0</v>
      </c>
    </row>
    <row r="3511">
      <c r="A3511" s="8">
        <v>3510.0</v>
      </c>
      <c r="B3511" s="8" t="s">
        <v>4839</v>
      </c>
      <c r="C3511" s="8" t="s">
        <v>21</v>
      </c>
      <c r="K3511" s="8">
        <v>9500.0</v>
      </c>
      <c r="N3511" s="7">
        <v>44063.0</v>
      </c>
    </row>
    <row r="3512">
      <c r="A3512" s="8">
        <v>3511.0</v>
      </c>
      <c r="B3512" s="8" t="s">
        <v>215</v>
      </c>
      <c r="C3512" s="8" t="s">
        <v>21</v>
      </c>
      <c r="K3512" s="8">
        <v>600.0</v>
      </c>
      <c r="N3512" s="7">
        <v>44146.0</v>
      </c>
    </row>
    <row r="3513">
      <c r="A3513" s="8">
        <v>3512.0</v>
      </c>
      <c r="B3513" s="8" t="s">
        <v>4840</v>
      </c>
      <c r="C3513" s="8" t="s">
        <v>21</v>
      </c>
      <c r="K3513" s="8">
        <v>20.0</v>
      </c>
      <c r="N3513" s="7">
        <v>45106.0</v>
      </c>
    </row>
    <row r="3514">
      <c r="A3514" s="8">
        <v>3513.0</v>
      </c>
      <c r="B3514" s="8" t="s">
        <v>4841</v>
      </c>
      <c r="C3514" s="8" t="s">
        <v>21</v>
      </c>
      <c r="K3514" s="8">
        <v>600.0</v>
      </c>
      <c r="N3514" s="7">
        <v>44529.0</v>
      </c>
    </row>
    <row r="3515">
      <c r="A3515" s="8">
        <v>3514.0</v>
      </c>
      <c r="B3515" s="8" t="s">
        <v>4842</v>
      </c>
      <c r="C3515" s="8" t="s">
        <v>21</v>
      </c>
      <c r="K3515" s="8">
        <v>80.0</v>
      </c>
      <c r="N3515" s="7">
        <v>44590.0</v>
      </c>
    </row>
    <row r="3516">
      <c r="A3516" s="8">
        <v>3515.0</v>
      </c>
      <c r="B3516" s="8" t="s">
        <v>4843</v>
      </c>
      <c r="C3516" s="8" t="s">
        <v>21</v>
      </c>
      <c r="K3516" s="8">
        <v>90.0</v>
      </c>
      <c r="N3516" s="7">
        <v>44540.0</v>
      </c>
      <c r="O3516" s="8" t="s">
        <v>107</v>
      </c>
      <c r="P3516" s="8" t="s">
        <v>28</v>
      </c>
      <c r="S3516" s="8" t="s">
        <v>32</v>
      </c>
    </row>
    <row r="3517">
      <c r="A3517" s="8">
        <v>3516.0</v>
      </c>
      <c r="B3517" s="8" t="s">
        <v>4844</v>
      </c>
      <c r="C3517" s="8" t="s">
        <v>21</v>
      </c>
      <c r="K3517" s="8">
        <v>400.0</v>
      </c>
      <c r="N3517" s="7">
        <v>44018.0</v>
      </c>
    </row>
    <row r="3518">
      <c r="A3518" s="8">
        <v>3517.0</v>
      </c>
      <c r="B3518" s="8" t="s">
        <v>4845</v>
      </c>
      <c r="C3518" s="8" t="s">
        <v>21</v>
      </c>
      <c r="N3518" s="7">
        <v>44117.0</v>
      </c>
    </row>
    <row r="3519">
      <c r="A3519" s="8">
        <v>3518.0</v>
      </c>
      <c r="B3519" s="8" t="s">
        <v>4846</v>
      </c>
      <c r="C3519" s="8" t="s">
        <v>21</v>
      </c>
      <c r="K3519" s="8">
        <v>80.0</v>
      </c>
      <c r="N3519" s="7">
        <v>44966.0</v>
      </c>
    </row>
    <row r="3520">
      <c r="A3520" s="8">
        <v>3519.0</v>
      </c>
      <c r="B3520" s="8" t="s">
        <v>4847</v>
      </c>
      <c r="C3520" s="8" t="s">
        <v>21</v>
      </c>
      <c r="K3520" s="8">
        <v>200.0</v>
      </c>
      <c r="N3520" s="7">
        <v>44172.0</v>
      </c>
    </row>
    <row r="3521">
      <c r="A3521" s="8">
        <v>3520.0</v>
      </c>
      <c r="B3521" s="8" t="s">
        <v>4848</v>
      </c>
      <c r="C3521" s="8" t="s">
        <v>21</v>
      </c>
      <c r="K3521" s="8">
        <v>3900.0</v>
      </c>
      <c r="N3521" s="7">
        <v>44701.0</v>
      </c>
    </row>
    <row r="3522">
      <c r="A3522" s="8">
        <v>3521.0</v>
      </c>
      <c r="B3522" s="8" t="s">
        <v>4849</v>
      </c>
      <c r="C3522" s="8" t="s">
        <v>21</v>
      </c>
      <c r="K3522" s="8">
        <v>250.0</v>
      </c>
      <c r="N3522" s="7">
        <v>44375.0</v>
      </c>
    </row>
    <row r="3523">
      <c r="A3523" s="8">
        <v>3522.0</v>
      </c>
      <c r="B3523" s="8" t="s">
        <v>4850</v>
      </c>
      <c r="C3523" s="8" t="s">
        <v>21</v>
      </c>
      <c r="K3523" s="8">
        <v>20.0</v>
      </c>
      <c r="N3523" s="7">
        <v>44974.0</v>
      </c>
    </row>
    <row r="3524">
      <c r="A3524" s="8">
        <v>3523.0</v>
      </c>
      <c r="B3524" s="8" t="s">
        <v>4851</v>
      </c>
      <c r="C3524" s="8" t="s">
        <v>21</v>
      </c>
      <c r="K3524" s="8">
        <v>500.0</v>
      </c>
      <c r="N3524" s="7">
        <v>45833.0</v>
      </c>
    </row>
    <row r="3525">
      <c r="A3525" s="8">
        <v>3524.0</v>
      </c>
      <c r="B3525" s="8" t="s">
        <v>4852</v>
      </c>
      <c r="C3525" s="8" t="s">
        <v>21</v>
      </c>
      <c r="K3525" s="8">
        <v>50.0</v>
      </c>
      <c r="N3525" s="7">
        <v>44743.0</v>
      </c>
    </row>
    <row r="3526">
      <c r="A3526" s="8">
        <v>3525.0</v>
      </c>
      <c r="B3526" s="8" t="s">
        <v>4853</v>
      </c>
      <c r="C3526" s="8" t="s">
        <v>21</v>
      </c>
      <c r="K3526" s="8">
        <v>3800.0</v>
      </c>
      <c r="N3526" s="7">
        <v>44663.0</v>
      </c>
    </row>
    <row r="3527">
      <c r="A3527" s="8">
        <v>3526.0</v>
      </c>
      <c r="B3527" s="8" t="s">
        <v>4854</v>
      </c>
      <c r="C3527" s="8" t="s">
        <v>21</v>
      </c>
      <c r="K3527" s="8">
        <v>3800.0</v>
      </c>
      <c r="N3527" s="7">
        <v>44520.0</v>
      </c>
    </row>
    <row r="3528">
      <c r="A3528" s="8">
        <v>3527.0</v>
      </c>
      <c r="B3528" s="8" t="s">
        <v>4855</v>
      </c>
      <c r="C3528" s="8" t="s">
        <v>21</v>
      </c>
      <c r="K3528" s="8">
        <v>10.0</v>
      </c>
      <c r="N3528" s="7">
        <v>44497.0</v>
      </c>
    </row>
    <row r="3529">
      <c r="A3529" s="8">
        <v>3528.0</v>
      </c>
      <c r="B3529" s="8" t="s">
        <v>4856</v>
      </c>
      <c r="C3529" s="8" t="s">
        <v>21</v>
      </c>
      <c r="K3529" s="8">
        <v>250.0</v>
      </c>
      <c r="N3529" s="7">
        <v>45521.0</v>
      </c>
    </row>
    <row r="3530">
      <c r="A3530" s="8">
        <v>3529.0</v>
      </c>
      <c r="B3530" s="8" t="s">
        <v>4857</v>
      </c>
      <c r="C3530" s="8" t="s">
        <v>21</v>
      </c>
      <c r="K3530" s="8">
        <v>900.0</v>
      </c>
      <c r="N3530" s="7">
        <v>43990.0</v>
      </c>
    </row>
    <row r="3531">
      <c r="A3531" s="8">
        <v>3530.0</v>
      </c>
      <c r="B3531" s="8" t="s">
        <v>4858</v>
      </c>
      <c r="C3531" s="8" t="s">
        <v>21</v>
      </c>
      <c r="K3531" s="8">
        <v>60.0</v>
      </c>
      <c r="N3531" s="7">
        <v>44398.0</v>
      </c>
    </row>
    <row r="3532">
      <c r="A3532" s="8">
        <v>3531.0</v>
      </c>
      <c r="B3532" s="8" t="s">
        <v>4859</v>
      </c>
      <c r="C3532" s="8" t="s">
        <v>21</v>
      </c>
      <c r="K3532" s="8">
        <v>80.0</v>
      </c>
      <c r="N3532" s="7">
        <v>44780.0</v>
      </c>
    </row>
    <row r="3533">
      <c r="A3533" s="8">
        <v>3532.0</v>
      </c>
      <c r="B3533" s="8" t="s">
        <v>4860</v>
      </c>
      <c r="C3533" s="8" t="s">
        <v>21</v>
      </c>
      <c r="K3533" s="8">
        <v>2100.0</v>
      </c>
      <c r="N3533" s="7">
        <v>44547.0</v>
      </c>
    </row>
    <row r="3534">
      <c r="A3534" s="8">
        <v>3533.0</v>
      </c>
      <c r="B3534" s="8" t="s">
        <v>4861</v>
      </c>
      <c r="C3534" s="8" t="s">
        <v>21</v>
      </c>
      <c r="N3534" s="7">
        <v>44359.0</v>
      </c>
    </row>
    <row r="3535">
      <c r="A3535" s="8">
        <v>3534.0</v>
      </c>
      <c r="B3535" s="8" t="s">
        <v>4862</v>
      </c>
      <c r="C3535" s="8" t="s">
        <v>21</v>
      </c>
      <c r="K3535" s="8">
        <v>350.0</v>
      </c>
      <c r="N3535" s="7">
        <v>43164.0</v>
      </c>
    </row>
    <row r="3536">
      <c r="A3536" s="8">
        <v>3535.0</v>
      </c>
      <c r="B3536" s="8" t="s">
        <v>4863</v>
      </c>
      <c r="C3536" s="8" t="s">
        <v>21</v>
      </c>
      <c r="K3536" s="8">
        <v>200.0</v>
      </c>
      <c r="N3536" s="7">
        <v>44110.0</v>
      </c>
    </row>
    <row r="3537">
      <c r="A3537" s="8">
        <v>3536.0</v>
      </c>
      <c r="B3537" s="8" t="s">
        <v>4864</v>
      </c>
      <c r="C3537" s="8" t="s">
        <v>21</v>
      </c>
      <c r="N3537" s="7">
        <v>43406.0</v>
      </c>
    </row>
    <row r="3538">
      <c r="A3538" s="8">
        <v>3537.0</v>
      </c>
      <c r="B3538" s="8" t="s">
        <v>4865</v>
      </c>
      <c r="C3538" s="8" t="s">
        <v>21</v>
      </c>
      <c r="K3538" s="8">
        <v>50.0</v>
      </c>
      <c r="N3538" s="7">
        <v>44232.0</v>
      </c>
    </row>
    <row r="3539">
      <c r="A3539" s="8">
        <v>3538.0</v>
      </c>
      <c r="B3539" s="8" t="s">
        <v>4866</v>
      </c>
      <c r="C3539" s="8" t="s">
        <v>21</v>
      </c>
      <c r="K3539" s="8">
        <v>60.0</v>
      </c>
      <c r="N3539" s="7">
        <v>44607.0</v>
      </c>
    </row>
    <row r="3540">
      <c r="A3540" s="8">
        <v>3539.0</v>
      </c>
      <c r="B3540" s="8" t="s">
        <v>4867</v>
      </c>
      <c r="C3540" s="8" t="s">
        <v>21</v>
      </c>
      <c r="K3540" s="8">
        <v>200.0</v>
      </c>
      <c r="N3540" s="7">
        <v>44746.0</v>
      </c>
    </row>
    <row r="3541">
      <c r="A3541" s="8">
        <v>3540.0</v>
      </c>
      <c r="B3541" s="8" t="s">
        <v>4868</v>
      </c>
      <c r="C3541" s="8" t="s">
        <v>21</v>
      </c>
      <c r="K3541" s="8">
        <v>2400.0</v>
      </c>
      <c r="N3541" s="7">
        <v>45350.0</v>
      </c>
    </row>
    <row r="3542">
      <c r="A3542" s="8">
        <v>3541.0</v>
      </c>
      <c r="B3542" s="8" t="s">
        <v>4869</v>
      </c>
      <c r="C3542" s="8" t="s">
        <v>21</v>
      </c>
      <c r="K3542" s="8">
        <v>350.0</v>
      </c>
      <c r="N3542" s="7">
        <v>44975.0</v>
      </c>
    </row>
    <row r="3543">
      <c r="A3543" s="8">
        <v>3542.0</v>
      </c>
      <c r="B3543" s="8" t="s">
        <v>4870</v>
      </c>
      <c r="C3543" s="8" t="s">
        <v>21</v>
      </c>
      <c r="N3543" s="7">
        <v>45652.0</v>
      </c>
    </row>
    <row r="3544">
      <c r="A3544" s="8">
        <v>3543.0</v>
      </c>
      <c r="B3544" s="8" t="s">
        <v>4871</v>
      </c>
      <c r="C3544" s="8" t="s">
        <v>21</v>
      </c>
      <c r="N3544" s="7">
        <v>45868.0</v>
      </c>
    </row>
    <row r="3545">
      <c r="A3545" s="8">
        <v>3544.0</v>
      </c>
      <c r="B3545" s="8" t="s">
        <v>4872</v>
      </c>
      <c r="C3545" s="8" t="s">
        <v>21</v>
      </c>
      <c r="K3545" s="8">
        <v>2600.0</v>
      </c>
      <c r="N3545" s="7">
        <v>44572.0</v>
      </c>
    </row>
    <row r="3546">
      <c r="A3546" s="8">
        <v>3545.0</v>
      </c>
      <c r="B3546" s="8" t="s">
        <v>4873</v>
      </c>
      <c r="C3546" s="8" t="s">
        <v>21</v>
      </c>
      <c r="K3546" s="8">
        <v>350.0</v>
      </c>
      <c r="N3546" s="7">
        <v>44328.0</v>
      </c>
    </row>
    <row r="3547">
      <c r="A3547" s="8">
        <v>3546.0</v>
      </c>
      <c r="B3547" s="8" t="s">
        <v>4874</v>
      </c>
      <c r="C3547" s="8" t="s">
        <v>21</v>
      </c>
      <c r="K3547" s="8">
        <v>400.0</v>
      </c>
      <c r="N3547" s="7">
        <v>44732.0</v>
      </c>
    </row>
    <row r="3548">
      <c r="A3548" s="8">
        <v>3547.0</v>
      </c>
      <c r="B3548" s="8" t="s">
        <v>4875</v>
      </c>
      <c r="C3548" s="8" t="s">
        <v>21</v>
      </c>
      <c r="K3548" s="8">
        <v>400.0</v>
      </c>
      <c r="N3548" s="7">
        <v>44811.0</v>
      </c>
    </row>
    <row r="3549">
      <c r="A3549" s="8">
        <v>3548.0</v>
      </c>
      <c r="B3549" s="8" t="s">
        <v>4876</v>
      </c>
      <c r="C3549" s="8" t="s">
        <v>21</v>
      </c>
      <c r="N3549" s="7">
        <v>44172.0</v>
      </c>
      <c r="O3549" s="8" t="s">
        <v>26</v>
      </c>
      <c r="P3549" s="8" t="s">
        <v>28</v>
      </c>
      <c r="S3549" s="8" t="s">
        <v>32</v>
      </c>
    </row>
    <row r="3550">
      <c r="A3550" s="8">
        <v>3549.0</v>
      </c>
      <c r="B3550" s="8" t="s">
        <v>4877</v>
      </c>
      <c r="C3550" s="8" t="s">
        <v>21</v>
      </c>
      <c r="K3550" s="8">
        <v>200.0</v>
      </c>
      <c r="N3550" s="7">
        <v>44345.0</v>
      </c>
    </row>
    <row r="3551">
      <c r="A3551" s="8">
        <v>3550.0</v>
      </c>
      <c r="B3551" s="8" t="s">
        <v>4878</v>
      </c>
      <c r="C3551" s="8" t="s">
        <v>21</v>
      </c>
      <c r="K3551" s="8">
        <v>1700.0</v>
      </c>
      <c r="N3551" s="7">
        <v>44179.0</v>
      </c>
    </row>
    <row r="3552">
      <c r="A3552" s="8">
        <v>3551.0</v>
      </c>
      <c r="B3552" s="8" t="s">
        <v>266</v>
      </c>
      <c r="C3552" s="8" t="s">
        <v>21</v>
      </c>
      <c r="K3552" s="8">
        <v>60.0</v>
      </c>
      <c r="N3552" s="7">
        <v>45137.0</v>
      </c>
    </row>
    <row r="3553">
      <c r="A3553" s="8">
        <v>3552.0</v>
      </c>
      <c r="B3553" s="8" t="s">
        <v>4879</v>
      </c>
      <c r="C3553" s="8" t="s">
        <v>21</v>
      </c>
      <c r="K3553" s="8">
        <v>450000.0</v>
      </c>
      <c r="N3553" s="7">
        <v>44173.0</v>
      </c>
    </row>
    <row r="3554">
      <c r="A3554" s="8">
        <v>3553.0</v>
      </c>
      <c r="B3554" s="8" t="s">
        <v>4880</v>
      </c>
      <c r="C3554" s="8" t="s">
        <v>21</v>
      </c>
      <c r="K3554" s="8">
        <v>150.0</v>
      </c>
      <c r="N3554" s="7">
        <v>44467.0</v>
      </c>
    </row>
    <row r="3555">
      <c r="A3555" s="8">
        <v>3554.0</v>
      </c>
      <c r="B3555" s="8" t="s">
        <v>4881</v>
      </c>
      <c r="C3555" s="8" t="s">
        <v>21</v>
      </c>
      <c r="K3555" s="8">
        <v>30.0</v>
      </c>
      <c r="N3555" s="7">
        <v>45955.0</v>
      </c>
    </row>
    <row r="3556">
      <c r="A3556" s="8">
        <v>3555.0</v>
      </c>
      <c r="B3556" s="8" t="s">
        <v>268</v>
      </c>
      <c r="C3556" s="8" t="s">
        <v>21</v>
      </c>
      <c r="K3556" s="8">
        <v>100.0</v>
      </c>
      <c r="N3556" s="7">
        <v>44910.0</v>
      </c>
    </row>
    <row r="3557">
      <c r="A3557" s="8">
        <v>3556.0</v>
      </c>
      <c r="B3557" s="8" t="s">
        <v>4882</v>
      </c>
      <c r="C3557" s="8" t="s">
        <v>21</v>
      </c>
      <c r="K3557" s="8">
        <v>150.0</v>
      </c>
      <c r="N3557" s="7">
        <v>44232.0</v>
      </c>
    </row>
    <row r="3558">
      <c r="A3558" s="8">
        <v>3557.0</v>
      </c>
      <c r="B3558" s="8" t="s">
        <v>4883</v>
      </c>
      <c r="C3558" s="8" t="s">
        <v>21</v>
      </c>
      <c r="K3558" s="8">
        <v>10.0</v>
      </c>
      <c r="N3558" s="7">
        <v>44242.0</v>
      </c>
    </row>
    <row r="3559">
      <c r="A3559" s="8">
        <v>3558.0</v>
      </c>
      <c r="B3559" s="8" t="s">
        <v>4884</v>
      </c>
      <c r="C3559" s="8" t="s">
        <v>21</v>
      </c>
      <c r="N3559" s="7">
        <v>44125.0</v>
      </c>
    </row>
    <row r="3560">
      <c r="A3560" s="8">
        <v>3559.0</v>
      </c>
      <c r="B3560" s="8" t="s">
        <v>4885</v>
      </c>
      <c r="C3560" s="8" t="s">
        <v>21</v>
      </c>
      <c r="K3560" s="8">
        <v>800.0</v>
      </c>
      <c r="N3560" s="7">
        <v>44232.0</v>
      </c>
    </row>
    <row r="3561">
      <c r="A3561" s="8">
        <v>3560.0</v>
      </c>
      <c r="B3561" s="8" t="s">
        <v>4886</v>
      </c>
      <c r="C3561" s="8" t="s">
        <v>21</v>
      </c>
      <c r="K3561" s="8">
        <v>30.0</v>
      </c>
      <c r="N3561" s="7">
        <v>45564.0</v>
      </c>
    </row>
    <row r="3562">
      <c r="A3562" s="8">
        <v>3561.0</v>
      </c>
      <c r="B3562" s="8" t="s">
        <v>4887</v>
      </c>
      <c r="C3562" s="8" t="s">
        <v>21</v>
      </c>
      <c r="K3562" s="8">
        <v>900.0</v>
      </c>
      <c r="N3562" s="7">
        <v>44079.0</v>
      </c>
    </row>
    <row r="3563">
      <c r="A3563" s="8">
        <v>3562.0</v>
      </c>
      <c r="B3563" s="8" t="s">
        <v>4888</v>
      </c>
      <c r="C3563" s="8" t="s">
        <v>21</v>
      </c>
      <c r="N3563" s="7">
        <v>43895.0</v>
      </c>
    </row>
    <row r="3564">
      <c r="A3564" s="8">
        <v>3563.0</v>
      </c>
      <c r="B3564" s="8" t="s">
        <v>4889</v>
      </c>
      <c r="C3564" s="8" t="s">
        <v>21</v>
      </c>
      <c r="K3564" s="8">
        <v>1700.0</v>
      </c>
      <c r="N3564" s="7">
        <v>45219.0</v>
      </c>
    </row>
    <row r="3565">
      <c r="A3565" s="8">
        <v>3564.0</v>
      </c>
      <c r="B3565" s="8" t="s">
        <v>4890</v>
      </c>
      <c r="C3565" s="8" t="s">
        <v>21</v>
      </c>
      <c r="K3565" s="8">
        <v>30.0</v>
      </c>
      <c r="N3565" s="7">
        <v>45355.0</v>
      </c>
    </row>
    <row r="3566">
      <c r="A3566" s="8">
        <v>3565.0</v>
      </c>
      <c r="B3566" s="8" t="s">
        <v>4891</v>
      </c>
      <c r="C3566" s="8" t="s">
        <v>21</v>
      </c>
      <c r="K3566" s="8">
        <v>90.0</v>
      </c>
      <c r="N3566" s="7">
        <v>45106.0</v>
      </c>
    </row>
    <row r="3567">
      <c r="A3567" s="8">
        <v>3566.0</v>
      </c>
      <c r="B3567" s="8" t="s">
        <v>4892</v>
      </c>
      <c r="C3567" s="8" t="s">
        <v>21</v>
      </c>
      <c r="K3567" s="8">
        <v>200.0</v>
      </c>
      <c r="N3567" s="7">
        <v>44532.0</v>
      </c>
    </row>
    <row r="3568">
      <c r="A3568" s="8">
        <v>3567.0</v>
      </c>
      <c r="B3568" s="8" t="s">
        <v>4893</v>
      </c>
      <c r="C3568" s="8" t="s">
        <v>21</v>
      </c>
      <c r="K3568" s="8">
        <v>16000.0</v>
      </c>
      <c r="N3568" s="7">
        <v>44427.0</v>
      </c>
      <c r="O3568" s="8" t="s">
        <v>26</v>
      </c>
      <c r="P3568" s="8" t="s">
        <v>28</v>
      </c>
      <c r="S3568" s="8" t="s">
        <v>32</v>
      </c>
    </row>
    <row r="3569">
      <c r="A3569" s="8">
        <v>3568.0</v>
      </c>
      <c r="B3569" s="8" t="s">
        <v>4894</v>
      </c>
      <c r="C3569" s="8" t="s">
        <v>21</v>
      </c>
      <c r="N3569" s="7">
        <v>44302.0</v>
      </c>
    </row>
    <row r="3570">
      <c r="A3570" s="8">
        <v>3569.0</v>
      </c>
      <c r="B3570" s="8" t="s">
        <v>4895</v>
      </c>
      <c r="C3570" s="8" t="s">
        <v>21</v>
      </c>
      <c r="K3570" s="8">
        <v>80.0</v>
      </c>
      <c r="N3570" s="7">
        <v>44102.0</v>
      </c>
    </row>
    <row r="3571">
      <c r="A3571" s="8">
        <v>3570.0</v>
      </c>
      <c r="B3571" s="8" t="s">
        <v>4896</v>
      </c>
      <c r="C3571" s="8" t="s">
        <v>21</v>
      </c>
      <c r="K3571" s="8">
        <v>100.0</v>
      </c>
      <c r="N3571" s="7">
        <v>44614.0</v>
      </c>
    </row>
    <row r="3572">
      <c r="A3572" s="8">
        <v>3571.0</v>
      </c>
      <c r="B3572" s="8" t="s">
        <v>4897</v>
      </c>
      <c r="C3572" s="8" t="s">
        <v>21</v>
      </c>
      <c r="K3572" s="8">
        <v>40.0</v>
      </c>
      <c r="N3572" s="7">
        <v>45873.0</v>
      </c>
    </row>
    <row r="3573">
      <c r="A3573" s="8">
        <v>3572.0</v>
      </c>
      <c r="B3573" s="8" t="s">
        <v>4898</v>
      </c>
      <c r="C3573" s="8" t="s">
        <v>21</v>
      </c>
      <c r="K3573" s="8">
        <v>10.0</v>
      </c>
      <c r="N3573" s="7">
        <v>44262.0</v>
      </c>
    </row>
    <row r="3574">
      <c r="A3574" s="8">
        <v>3573.0</v>
      </c>
      <c r="B3574" s="8" t="s">
        <v>4899</v>
      </c>
      <c r="C3574" s="8" t="s">
        <v>21</v>
      </c>
      <c r="K3574" s="8">
        <v>150.0</v>
      </c>
      <c r="N3574" s="7">
        <v>45057.0</v>
      </c>
    </row>
    <row r="3575">
      <c r="A3575" s="8">
        <v>3574.0</v>
      </c>
      <c r="B3575" s="8" t="s">
        <v>4900</v>
      </c>
      <c r="C3575" s="8" t="s">
        <v>21</v>
      </c>
      <c r="K3575" s="8">
        <v>1100.0</v>
      </c>
      <c r="N3575" s="7">
        <v>44787.0</v>
      </c>
    </row>
    <row r="3576">
      <c r="A3576" s="8">
        <v>3575.0</v>
      </c>
      <c r="B3576" s="8" t="s">
        <v>4901</v>
      </c>
      <c r="C3576" s="8" t="s">
        <v>21</v>
      </c>
      <c r="K3576" s="8">
        <v>600.0</v>
      </c>
      <c r="N3576" s="7">
        <v>44080.0</v>
      </c>
    </row>
    <row r="3577">
      <c r="A3577" s="8">
        <v>3576.0</v>
      </c>
      <c r="B3577" s="8" t="s">
        <v>4902</v>
      </c>
      <c r="C3577" s="8" t="s">
        <v>21</v>
      </c>
      <c r="K3577" s="8">
        <v>10.0</v>
      </c>
      <c r="N3577" s="7">
        <v>44545.0</v>
      </c>
    </row>
    <row r="3578">
      <c r="A3578" s="8">
        <v>3577.0</v>
      </c>
      <c r="B3578" s="8" t="s">
        <v>4903</v>
      </c>
      <c r="C3578" s="8" t="s">
        <v>21</v>
      </c>
      <c r="K3578" s="8">
        <v>40.0</v>
      </c>
      <c r="N3578" s="7">
        <v>44561.0</v>
      </c>
    </row>
    <row r="3579">
      <c r="A3579" s="8">
        <v>3578.0</v>
      </c>
      <c r="B3579" s="8" t="s">
        <v>4904</v>
      </c>
      <c r="C3579" s="8" t="s">
        <v>21</v>
      </c>
      <c r="K3579" s="8">
        <v>40.0</v>
      </c>
      <c r="N3579" s="7">
        <v>44249.0</v>
      </c>
    </row>
    <row r="3580">
      <c r="A3580" s="8">
        <v>3579.0</v>
      </c>
      <c r="B3580" s="8" t="s">
        <v>4905</v>
      </c>
      <c r="C3580" s="8" t="s">
        <v>21</v>
      </c>
      <c r="K3580" s="8">
        <v>1600.0</v>
      </c>
      <c r="N3580" s="7">
        <v>44479.0</v>
      </c>
    </row>
    <row r="3581">
      <c r="A3581" s="8">
        <v>3580.0</v>
      </c>
      <c r="B3581" s="8" t="s">
        <v>4906</v>
      </c>
      <c r="C3581" s="8" t="s">
        <v>21</v>
      </c>
      <c r="N3581" s="7">
        <v>44182.0</v>
      </c>
    </row>
    <row r="3582">
      <c r="A3582" s="8">
        <v>3581.0</v>
      </c>
      <c r="B3582" s="8" t="s">
        <v>4907</v>
      </c>
      <c r="C3582" s="8" t="s">
        <v>21</v>
      </c>
      <c r="K3582" s="8">
        <v>6600.0</v>
      </c>
      <c r="N3582" s="7">
        <v>43906.0</v>
      </c>
    </row>
    <row r="3583">
      <c r="A3583" s="8">
        <v>3582.0</v>
      </c>
      <c r="B3583" s="8" t="s">
        <v>4908</v>
      </c>
      <c r="C3583" s="8" t="s">
        <v>21</v>
      </c>
      <c r="K3583" s="8">
        <v>350.0</v>
      </c>
      <c r="N3583" s="7">
        <v>44945.0</v>
      </c>
    </row>
    <row r="3584">
      <c r="A3584" s="8">
        <v>3583.0</v>
      </c>
      <c r="B3584" s="8" t="s">
        <v>4909</v>
      </c>
      <c r="C3584" s="8" t="s">
        <v>21</v>
      </c>
      <c r="N3584" s="7">
        <v>42292.0</v>
      </c>
    </row>
    <row r="3585">
      <c r="A3585" s="8">
        <v>3584.0</v>
      </c>
      <c r="B3585" s="8" t="s">
        <v>4910</v>
      </c>
      <c r="C3585" s="8" t="s">
        <v>21</v>
      </c>
      <c r="K3585" s="8">
        <v>800.0</v>
      </c>
      <c r="N3585" s="7">
        <v>44574.0</v>
      </c>
    </row>
    <row r="3586">
      <c r="A3586" s="8">
        <v>3585.0</v>
      </c>
      <c r="B3586" s="8" t="s">
        <v>3107</v>
      </c>
      <c r="C3586" s="8" t="s">
        <v>21</v>
      </c>
      <c r="D3586" s="8">
        <v>74.0</v>
      </c>
      <c r="H3586" s="8" t="s">
        <v>398</v>
      </c>
      <c r="I3586" s="9">
        <v>46160.72373842593</v>
      </c>
      <c r="J3586" s="8" t="s">
        <v>90</v>
      </c>
      <c r="K3586" s="8">
        <v>2500.0</v>
      </c>
      <c r="L3586" s="8">
        <v>700.0</v>
      </c>
      <c r="M3586" s="8">
        <v>349000.0</v>
      </c>
      <c r="N3586" s="7">
        <v>43955.0</v>
      </c>
      <c r="O3586" s="8" t="s">
        <v>107</v>
      </c>
      <c r="P3586" s="8" t="s">
        <v>28</v>
      </c>
      <c r="S3586" s="8" t="s">
        <v>32</v>
      </c>
    </row>
    <row r="3587">
      <c r="A3587" s="8">
        <v>3586.0</v>
      </c>
      <c r="B3587" s="8" t="s">
        <v>4911</v>
      </c>
      <c r="C3587" s="8" t="s">
        <v>21</v>
      </c>
      <c r="K3587" s="8">
        <v>450.0</v>
      </c>
      <c r="N3587" s="7">
        <v>44349.0</v>
      </c>
    </row>
    <row r="3588">
      <c r="A3588" s="8">
        <v>3587.0</v>
      </c>
      <c r="B3588" s="8" t="s">
        <v>4912</v>
      </c>
      <c r="C3588" s="8" t="s">
        <v>21</v>
      </c>
      <c r="K3588" s="8">
        <v>30.0</v>
      </c>
      <c r="N3588" s="7">
        <v>44836.0</v>
      </c>
    </row>
    <row r="3589">
      <c r="A3589" s="8">
        <v>3588.0</v>
      </c>
      <c r="B3589" s="8" t="s">
        <v>4913</v>
      </c>
      <c r="C3589" s="8" t="s">
        <v>21</v>
      </c>
      <c r="K3589" s="8">
        <v>200.0</v>
      </c>
      <c r="N3589" s="7">
        <v>45168.0</v>
      </c>
    </row>
    <row r="3590">
      <c r="A3590" s="8">
        <v>3589.0</v>
      </c>
      <c r="B3590" s="8" t="s">
        <v>4914</v>
      </c>
      <c r="C3590" s="8" t="s">
        <v>21</v>
      </c>
      <c r="K3590" s="8">
        <v>20.0</v>
      </c>
      <c r="N3590" s="7">
        <v>44135.0</v>
      </c>
    </row>
    <row r="3591">
      <c r="A3591" s="8">
        <v>3590.0</v>
      </c>
      <c r="B3591" s="8" t="s">
        <v>4915</v>
      </c>
      <c r="C3591" s="8" t="s">
        <v>21</v>
      </c>
      <c r="K3591" s="8">
        <v>6200.0</v>
      </c>
      <c r="N3591" s="7">
        <v>43895.0</v>
      </c>
    </row>
    <row r="3592">
      <c r="A3592" s="8">
        <v>3591.0</v>
      </c>
      <c r="B3592" s="8" t="s">
        <v>4916</v>
      </c>
      <c r="C3592" s="8" t="s">
        <v>21</v>
      </c>
      <c r="K3592" s="8">
        <v>200.0</v>
      </c>
      <c r="N3592" s="7">
        <v>43990.0</v>
      </c>
    </row>
    <row r="3593">
      <c r="A3593" s="8">
        <v>3592.0</v>
      </c>
      <c r="B3593" s="8" t="s">
        <v>3112</v>
      </c>
      <c r="C3593" s="8" t="s">
        <v>21</v>
      </c>
      <c r="D3593" s="8">
        <v>71.0</v>
      </c>
      <c r="H3593" s="8" t="s">
        <v>91</v>
      </c>
      <c r="I3593" s="9">
        <v>46161.793969907405</v>
      </c>
      <c r="K3593" s="8">
        <v>2900.0</v>
      </c>
      <c r="L3593" s="8">
        <v>20.0</v>
      </c>
      <c r="M3593" s="8">
        <v>55000.0</v>
      </c>
      <c r="N3593" s="7">
        <v>44008.0</v>
      </c>
      <c r="O3593" s="8" t="s">
        <v>107</v>
      </c>
      <c r="P3593" s="8" t="s">
        <v>28</v>
      </c>
      <c r="S3593" s="8" t="s">
        <v>32</v>
      </c>
    </row>
    <row r="3594">
      <c r="A3594" s="8">
        <v>3593.0</v>
      </c>
      <c r="B3594" s="8" t="s">
        <v>4917</v>
      </c>
      <c r="C3594" s="8" t="s">
        <v>21</v>
      </c>
      <c r="K3594" s="8">
        <v>1200.0</v>
      </c>
      <c r="N3594" s="7">
        <v>44530.0</v>
      </c>
    </row>
    <row r="3595">
      <c r="A3595" s="8">
        <v>3594.0</v>
      </c>
      <c r="B3595" s="8" t="s">
        <v>4918</v>
      </c>
      <c r="C3595" s="8" t="s">
        <v>21</v>
      </c>
      <c r="K3595" s="8">
        <v>90.0</v>
      </c>
      <c r="N3595" s="7">
        <v>43885.0</v>
      </c>
    </row>
    <row r="3596">
      <c r="A3596" s="8">
        <v>3595.0</v>
      </c>
      <c r="B3596" s="8" t="s">
        <v>4919</v>
      </c>
      <c r="C3596" s="8" t="s">
        <v>21</v>
      </c>
      <c r="K3596" s="8">
        <v>450.0</v>
      </c>
      <c r="N3596" s="7">
        <v>44575.0</v>
      </c>
    </row>
    <row r="3597">
      <c r="A3597" s="8">
        <v>3596.0</v>
      </c>
      <c r="B3597" s="8" t="s">
        <v>4920</v>
      </c>
      <c r="C3597" s="8" t="s">
        <v>21</v>
      </c>
      <c r="K3597" s="8">
        <v>10.0</v>
      </c>
      <c r="N3597" s="7">
        <v>44357.0</v>
      </c>
    </row>
    <row r="3598">
      <c r="A3598" s="8">
        <v>3597.0</v>
      </c>
      <c r="B3598" s="8" t="s">
        <v>4921</v>
      </c>
      <c r="C3598" s="8" t="s">
        <v>21</v>
      </c>
      <c r="K3598" s="8">
        <v>30.0</v>
      </c>
      <c r="N3598" s="7">
        <v>44766.0</v>
      </c>
    </row>
    <row r="3599">
      <c r="A3599" s="8">
        <v>3598.0</v>
      </c>
      <c r="B3599" s="8" t="s">
        <v>4922</v>
      </c>
      <c r="C3599" s="8" t="s">
        <v>21</v>
      </c>
      <c r="K3599" s="8">
        <v>20.0</v>
      </c>
      <c r="N3599" s="7">
        <v>44100.0</v>
      </c>
    </row>
    <row r="3600">
      <c r="A3600" s="8">
        <v>3599.0</v>
      </c>
      <c r="B3600" s="8" t="s">
        <v>4923</v>
      </c>
      <c r="C3600" s="8" t="s">
        <v>21</v>
      </c>
      <c r="K3600" s="8">
        <v>1400.0</v>
      </c>
      <c r="N3600" s="7">
        <v>44825.0</v>
      </c>
    </row>
    <row r="3601">
      <c r="A3601" s="8">
        <v>3600.0</v>
      </c>
      <c r="B3601" s="8" t="s">
        <v>4924</v>
      </c>
      <c r="C3601" s="8" t="s">
        <v>21</v>
      </c>
      <c r="K3601" s="8">
        <v>100.0</v>
      </c>
      <c r="N3601" s="7">
        <v>44220.0</v>
      </c>
    </row>
    <row r="3602">
      <c r="A3602" s="8">
        <v>3601.0</v>
      </c>
      <c r="B3602" s="8" t="s">
        <v>4925</v>
      </c>
      <c r="C3602" s="8" t="s">
        <v>21</v>
      </c>
      <c r="K3602" s="8">
        <v>150.0</v>
      </c>
      <c r="N3602" s="7">
        <v>45284.0</v>
      </c>
    </row>
    <row r="3603">
      <c r="A3603" s="8">
        <v>3602.0</v>
      </c>
      <c r="B3603" s="8" t="s">
        <v>4926</v>
      </c>
      <c r="C3603" s="8" t="s">
        <v>21</v>
      </c>
      <c r="K3603" s="8">
        <v>20.0</v>
      </c>
      <c r="N3603" s="7">
        <v>45873.0</v>
      </c>
    </row>
    <row r="3604">
      <c r="A3604" s="8">
        <v>3603.0</v>
      </c>
      <c r="B3604" s="8" t="s">
        <v>4927</v>
      </c>
      <c r="C3604" s="8" t="s">
        <v>21</v>
      </c>
      <c r="K3604" s="8">
        <v>60.0</v>
      </c>
      <c r="N3604" s="7">
        <v>45531.0</v>
      </c>
    </row>
    <row r="3605">
      <c r="A3605" s="8">
        <v>3604.0</v>
      </c>
      <c r="B3605" s="8" t="s">
        <v>4928</v>
      </c>
      <c r="C3605" s="8" t="s">
        <v>21</v>
      </c>
      <c r="K3605" s="8">
        <v>10.0</v>
      </c>
      <c r="N3605" s="7">
        <v>45061.0</v>
      </c>
    </row>
    <row r="3606">
      <c r="A3606" s="8">
        <v>3605.0</v>
      </c>
      <c r="B3606" s="8" t="s">
        <v>4929</v>
      </c>
      <c r="C3606" s="8" t="s">
        <v>21</v>
      </c>
      <c r="N3606" s="7">
        <v>45360.0</v>
      </c>
    </row>
    <row r="3607">
      <c r="A3607" s="8">
        <v>3606.0</v>
      </c>
      <c r="B3607" s="8" t="s">
        <v>4930</v>
      </c>
      <c r="C3607" s="8" t="s">
        <v>21</v>
      </c>
      <c r="K3607" s="8">
        <v>300.0</v>
      </c>
      <c r="N3607" s="7">
        <v>44123.0</v>
      </c>
    </row>
    <row r="3608">
      <c r="A3608" s="8">
        <v>3607.0</v>
      </c>
      <c r="B3608" s="8" t="s">
        <v>270</v>
      </c>
      <c r="C3608" s="8" t="s">
        <v>21</v>
      </c>
      <c r="N3608" s="7">
        <v>45112.0</v>
      </c>
    </row>
    <row r="3609">
      <c r="A3609" s="8">
        <v>3608.0</v>
      </c>
      <c r="B3609" s="8" t="s">
        <v>4931</v>
      </c>
      <c r="C3609" s="8" t="s">
        <v>21</v>
      </c>
      <c r="K3609" s="8">
        <v>400.0</v>
      </c>
      <c r="N3609" s="7">
        <v>44925.0</v>
      </c>
    </row>
    <row r="3610">
      <c r="A3610" s="8">
        <v>3609.0</v>
      </c>
      <c r="B3610" s="8" t="s">
        <v>272</v>
      </c>
      <c r="C3610" s="8" t="s">
        <v>21</v>
      </c>
      <c r="K3610" s="8">
        <v>400.0</v>
      </c>
      <c r="N3610" s="7">
        <v>44030.0</v>
      </c>
    </row>
    <row r="3611">
      <c r="A3611" s="8">
        <v>3610.0</v>
      </c>
      <c r="B3611" s="8" t="s">
        <v>4932</v>
      </c>
      <c r="C3611" s="8" t="s">
        <v>21</v>
      </c>
      <c r="K3611" s="8">
        <v>450.0</v>
      </c>
      <c r="N3611" s="7">
        <v>44156.0</v>
      </c>
    </row>
    <row r="3612">
      <c r="A3612" s="8">
        <v>3611.0</v>
      </c>
      <c r="B3612" s="8" t="s">
        <v>4933</v>
      </c>
      <c r="C3612" s="8" t="s">
        <v>21</v>
      </c>
      <c r="K3612" s="8">
        <v>1800.0</v>
      </c>
      <c r="N3612" s="7">
        <v>44810.0</v>
      </c>
    </row>
    <row r="3613">
      <c r="A3613" s="8">
        <v>3612.0</v>
      </c>
      <c r="B3613" s="8" t="s">
        <v>4934</v>
      </c>
      <c r="C3613" s="8" t="s">
        <v>21</v>
      </c>
      <c r="K3613" s="8">
        <v>200.0</v>
      </c>
      <c r="N3613" s="7">
        <v>44056.0</v>
      </c>
    </row>
    <row r="3614">
      <c r="A3614" s="8">
        <v>3613.0</v>
      </c>
      <c r="B3614" s="8" t="s">
        <v>4935</v>
      </c>
      <c r="C3614" s="8" t="s">
        <v>21</v>
      </c>
      <c r="K3614" s="8">
        <v>150.0</v>
      </c>
      <c r="N3614" s="7">
        <v>44818.0</v>
      </c>
    </row>
    <row r="3615">
      <c r="A3615" s="8">
        <v>3614.0</v>
      </c>
      <c r="B3615" s="8" t="s">
        <v>4936</v>
      </c>
      <c r="C3615" s="8" t="s">
        <v>21</v>
      </c>
      <c r="K3615" s="8">
        <v>400.0</v>
      </c>
      <c r="N3615" s="7">
        <v>44595.0</v>
      </c>
    </row>
    <row r="3616">
      <c r="A3616" s="8">
        <v>3615.0</v>
      </c>
      <c r="B3616" s="8" t="s">
        <v>4937</v>
      </c>
      <c r="C3616" s="8" t="s">
        <v>21</v>
      </c>
      <c r="K3616" s="8">
        <v>60.0</v>
      </c>
      <c r="N3616" s="7">
        <v>45321.0</v>
      </c>
    </row>
    <row r="3617">
      <c r="A3617" s="8">
        <v>3616.0</v>
      </c>
      <c r="B3617" s="8" t="s">
        <v>4938</v>
      </c>
      <c r="C3617" s="8" t="s">
        <v>21</v>
      </c>
      <c r="N3617" s="7">
        <v>45194.0</v>
      </c>
    </row>
    <row r="3618">
      <c r="A3618" s="8">
        <v>3617.0</v>
      </c>
      <c r="B3618" s="8" t="s">
        <v>4939</v>
      </c>
      <c r="C3618" s="8" t="s">
        <v>21</v>
      </c>
      <c r="K3618" s="8">
        <v>60.0</v>
      </c>
      <c r="N3618" s="7">
        <v>44265.0</v>
      </c>
    </row>
    <row r="3619">
      <c r="A3619" s="8">
        <v>3618.0</v>
      </c>
      <c r="B3619" s="8" t="s">
        <v>4940</v>
      </c>
      <c r="C3619" s="8" t="s">
        <v>21</v>
      </c>
      <c r="K3619" s="8">
        <v>20.0</v>
      </c>
      <c r="N3619" s="7">
        <v>42440.0</v>
      </c>
    </row>
    <row r="3620">
      <c r="A3620" s="8">
        <v>3619.0</v>
      </c>
      <c r="B3620" s="8" t="s">
        <v>4941</v>
      </c>
      <c r="C3620" s="8" t="s">
        <v>21</v>
      </c>
      <c r="K3620" s="8">
        <v>150.0</v>
      </c>
      <c r="N3620" s="7">
        <v>45014.0</v>
      </c>
    </row>
    <row r="3621">
      <c r="A3621" s="8">
        <v>3620.0</v>
      </c>
      <c r="B3621" s="8" t="s">
        <v>274</v>
      </c>
      <c r="C3621" s="8" t="s">
        <v>21</v>
      </c>
      <c r="K3621" s="8">
        <v>20.0</v>
      </c>
      <c r="N3621" s="7">
        <v>45189.0</v>
      </c>
    </row>
    <row r="3622">
      <c r="A3622" s="8">
        <v>3621.0</v>
      </c>
      <c r="B3622" s="8" t="s">
        <v>4942</v>
      </c>
      <c r="C3622" s="8" t="s">
        <v>21</v>
      </c>
      <c r="N3622" s="7">
        <v>42408.0</v>
      </c>
    </row>
    <row r="3623">
      <c r="A3623" s="8">
        <v>3622.0</v>
      </c>
      <c r="B3623" s="8" t="s">
        <v>4943</v>
      </c>
      <c r="C3623" s="8" t="s">
        <v>21</v>
      </c>
      <c r="N3623" s="7">
        <v>44315.0</v>
      </c>
    </row>
    <row r="3624">
      <c r="A3624" s="8">
        <v>3623.0</v>
      </c>
      <c r="B3624" s="8" t="s">
        <v>4944</v>
      </c>
      <c r="C3624" s="8" t="s">
        <v>21</v>
      </c>
      <c r="K3624" s="8">
        <v>3300.0</v>
      </c>
      <c r="N3624" s="7">
        <v>43412.0</v>
      </c>
    </row>
    <row r="3625">
      <c r="A3625" s="8">
        <v>3624.0</v>
      </c>
      <c r="B3625" s="8" t="s">
        <v>4945</v>
      </c>
      <c r="C3625" s="8" t="s">
        <v>21</v>
      </c>
      <c r="K3625" s="8">
        <v>2600.0</v>
      </c>
      <c r="N3625" s="7">
        <v>42303.0</v>
      </c>
    </row>
    <row r="3626">
      <c r="A3626" s="8">
        <v>3625.0</v>
      </c>
      <c r="B3626" s="8" t="s">
        <v>4946</v>
      </c>
      <c r="C3626" s="8" t="s">
        <v>21</v>
      </c>
      <c r="K3626" s="8">
        <v>250.0</v>
      </c>
      <c r="N3626" s="7">
        <v>44146.0</v>
      </c>
    </row>
    <row r="3627">
      <c r="A3627" s="8">
        <v>3626.0</v>
      </c>
      <c r="B3627" s="8" t="s">
        <v>4947</v>
      </c>
      <c r="C3627" s="8" t="s">
        <v>21</v>
      </c>
      <c r="K3627" s="8">
        <v>350.0</v>
      </c>
      <c r="N3627" s="7">
        <v>44254.0</v>
      </c>
    </row>
    <row r="3628">
      <c r="A3628" s="8">
        <v>3627.0</v>
      </c>
      <c r="B3628" s="8" t="s">
        <v>4948</v>
      </c>
      <c r="C3628" s="8" t="s">
        <v>21</v>
      </c>
      <c r="K3628" s="8">
        <v>500.0</v>
      </c>
      <c r="N3628" s="7">
        <v>44115.0</v>
      </c>
    </row>
    <row r="3629">
      <c r="A3629" s="8">
        <v>3628.0</v>
      </c>
      <c r="B3629" s="8" t="s">
        <v>4949</v>
      </c>
      <c r="C3629" s="8" t="s">
        <v>21</v>
      </c>
      <c r="K3629" s="8">
        <v>100.0</v>
      </c>
      <c r="N3629" s="7">
        <v>44282.0</v>
      </c>
    </row>
    <row r="3630">
      <c r="A3630" s="8">
        <v>3629.0</v>
      </c>
      <c r="B3630" s="8" t="s">
        <v>4950</v>
      </c>
      <c r="C3630" s="8" t="s">
        <v>21</v>
      </c>
      <c r="K3630" s="8">
        <v>600.0</v>
      </c>
      <c r="N3630" s="7">
        <v>44134.0</v>
      </c>
    </row>
    <row r="3631">
      <c r="A3631" s="8">
        <v>3630.0</v>
      </c>
      <c r="B3631" s="8" t="s">
        <v>4951</v>
      </c>
      <c r="C3631" s="8" t="s">
        <v>21</v>
      </c>
      <c r="K3631" s="8">
        <v>150.0</v>
      </c>
      <c r="N3631" s="7">
        <v>45839.0</v>
      </c>
    </row>
    <row r="3632">
      <c r="A3632" s="8">
        <v>3631.0</v>
      </c>
      <c r="B3632" s="8" t="s">
        <v>4952</v>
      </c>
      <c r="C3632" s="8" t="s">
        <v>21</v>
      </c>
      <c r="K3632" s="8">
        <v>10.0</v>
      </c>
      <c r="N3632" s="7">
        <v>44255.0</v>
      </c>
    </row>
    <row r="3633">
      <c r="A3633" s="8">
        <v>3632.0</v>
      </c>
      <c r="B3633" s="8" t="s">
        <v>4953</v>
      </c>
      <c r="C3633" s="8" t="s">
        <v>21</v>
      </c>
      <c r="N3633" s="7">
        <v>45939.0</v>
      </c>
    </row>
    <row r="3634">
      <c r="A3634" s="8">
        <v>3633.0</v>
      </c>
      <c r="B3634" s="8" t="s">
        <v>4954</v>
      </c>
      <c r="C3634" s="8" t="s">
        <v>21</v>
      </c>
      <c r="K3634" s="8">
        <v>1800.0</v>
      </c>
      <c r="N3634" s="7">
        <v>44019.0</v>
      </c>
    </row>
    <row r="3635">
      <c r="A3635" s="8">
        <v>3634.0</v>
      </c>
      <c r="B3635" s="8" t="s">
        <v>4955</v>
      </c>
      <c r="C3635" s="8" t="s">
        <v>21</v>
      </c>
      <c r="K3635" s="8">
        <v>30.0</v>
      </c>
      <c r="N3635" s="7">
        <v>45873.0</v>
      </c>
    </row>
    <row r="3636">
      <c r="A3636" s="8">
        <v>3635.0</v>
      </c>
      <c r="B3636" s="8" t="s">
        <v>4956</v>
      </c>
      <c r="C3636" s="8" t="s">
        <v>21</v>
      </c>
      <c r="K3636" s="8">
        <v>800.0</v>
      </c>
      <c r="N3636" s="7">
        <v>45486.0</v>
      </c>
    </row>
    <row r="3637">
      <c r="A3637" s="8">
        <v>3636.0</v>
      </c>
      <c r="B3637" s="8" t="s">
        <v>4957</v>
      </c>
      <c r="C3637" s="8" t="s">
        <v>21</v>
      </c>
      <c r="K3637" s="8">
        <v>10.0</v>
      </c>
      <c r="N3637" s="7">
        <v>44525.0</v>
      </c>
    </row>
    <row r="3638">
      <c r="A3638" s="8">
        <v>3637.0</v>
      </c>
      <c r="B3638" s="8" t="s">
        <v>4958</v>
      </c>
      <c r="C3638" s="8" t="s">
        <v>21</v>
      </c>
      <c r="N3638" s="7">
        <v>42401.0</v>
      </c>
    </row>
    <row r="3639">
      <c r="A3639" s="8">
        <v>3638.0</v>
      </c>
      <c r="B3639" s="8" t="s">
        <v>4959</v>
      </c>
      <c r="C3639" s="8" t="s">
        <v>21</v>
      </c>
      <c r="K3639" s="8">
        <v>150.0</v>
      </c>
      <c r="N3639" s="7">
        <v>45075.0</v>
      </c>
    </row>
    <row r="3640">
      <c r="A3640" s="8">
        <v>3639.0</v>
      </c>
      <c r="B3640" s="8" t="s">
        <v>4960</v>
      </c>
      <c r="C3640" s="8" t="s">
        <v>21</v>
      </c>
      <c r="K3640" s="8">
        <v>10.0</v>
      </c>
      <c r="N3640" s="7">
        <v>42311.0</v>
      </c>
      <c r="O3640" s="8" t="s">
        <v>107</v>
      </c>
      <c r="P3640" s="8" t="s">
        <v>28</v>
      </c>
      <c r="S3640" s="8" t="s">
        <v>32</v>
      </c>
    </row>
    <row r="3641">
      <c r="A3641" s="8">
        <v>3640.0</v>
      </c>
      <c r="B3641" s="8" t="s">
        <v>4961</v>
      </c>
      <c r="C3641" s="8" t="s">
        <v>21</v>
      </c>
      <c r="K3641" s="8">
        <v>350.0</v>
      </c>
      <c r="N3641" s="7">
        <v>45244.0</v>
      </c>
    </row>
    <row r="3642">
      <c r="A3642" s="8">
        <v>3641.0</v>
      </c>
      <c r="B3642" s="8" t="s">
        <v>4962</v>
      </c>
      <c r="C3642" s="8" t="s">
        <v>21</v>
      </c>
      <c r="K3642" s="8">
        <v>500.0</v>
      </c>
      <c r="N3642" s="7">
        <v>44520.0</v>
      </c>
    </row>
    <row r="3643">
      <c r="A3643" s="8">
        <v>3642.0</v>
      </c>
      <c r="B3643" s="8" t="s">
        <v>4963</v>
      </c>
      <c r="C3643" s="8" t="s">
        <v>21</v>
      </c>
      <c r="K3643" s="8">
        <v>4800.0</v>
      </c>
      <c r="N3643" s="7">
        <v>44936.0</v>
      </c>
    </row>
    <row r="3644">
      <c r="A3644" s="8">
        <v>3643.0</v>
      </c>
      <c r="B3644" s="8" t="s">
        <v>4964</v>
      </c>
      <c r="C3644" s="8" t="s">
        <v>21</v>
      </c>
      <c r="N3644" s="7">
        <v>44189.0</v>
      </c>
      <c r="O3644" s="8" t="s">
        <v>26</v>
      </c>
      <c r="P3644" s="8" t="s">
        <v>28</v>
      </c>
      <c r="S3644" s="8" t="s">
        <v>32</v>
      </c>
    </row>
    <row r="3645">
      <c r="A3645" s="8">
        <v>3644.0</v>
      </c>
      <c r="B3645" s="8" t="s">
        <v>4965</v>
      </c>
      <c r="C3645" s="8" t="s">
        <v>21</v>
      </c>
      <c r="K3645" s="8">
        <v>30.0</v>
      </c>
      <c r="N3645" s="7">
        <v>44821.0</v>
      </c>
    </row>
    <row r="3646">
      <c r="A3646" s="8">
        <v>3645.0</v>
      </c>
      <c r="B3646" s="8" t="s">
        <v>4966</v>
      </c>
      <c r="C3646" s="8" t="s">
        <v>21</v>
      </c>
      <c r="K3646" s="8">
        <v>80.0</v>
      </c>
      <c r="N3646" s="7">
        <v>44774.0</v>
      </c>
    </row>
    <row r="3647">
      <c r="A3647" s="8">
        <v>3646.0</v>
      </c>
      <c r="B3647" s="8" t="s">
        <v>4967</v>
      </c>
      <c r="C3647" s="8" t="s">
        <v>21</v>
      </c>
      <c r="K3647" s="8">
        <v>250.0</v>
      </c>
      <c r="N3647" s="7">
        <v>45024.0</v>
      </c>
    </row>
    <row r="3648">
      <c r="A3648" s="8">
        <v>3647.0</v>
      </c>
      <c r="B3648" s="8" t="s">
        <v>4968</v>
      </c>
      <c r="C3648" s="8" t="s">
        <v>21</v>
      </c>
      <c r="K3648" s="8">
        <v>150.0</v>
      </c>
      <c r="N3648" s="7">
        <v>44270.0</v>
      </c>
    </row>
    <row r="3649">
      <c r="A3649" s="8">
        <v>3648.0</v>
      </c>
      <c r="B3649" s="8" t="s">
        <v>4969</v>
      </c>
      <c r="C3649" s="8" t="s">
        <v>21</v>
      </c>
      <c r="K3649" s="8">
        <v>3900.0</v>
      </c>
      <c r="N3649" s="7">
        <v>44622.0</v>
      </c>
    </row>
    <row r="3650">
      <c r="A3650" s="8">
        <v>3649.0</v>
      </c>
      <c r="B3650" s="8" t="s">
        <v>4970</v>
      </c>
      <c r="C3650" s="8" t="s">
        <v>21</v>
      </c>
      <c r="K3650" s="8">
        <v>20.0</v>
      </c>
      <c r="N3650" s="7">
        <v>45779.0</v>
      </c>
    </row>
    <row r="3651">
      <c r="A3651" s="8">
        <v>3650.0</v>
      </c>
      <c r="B3651" s="8" t="s">
        <v>4971</v>
      </c>
      <c r="C3651" s="8" t="s">
        <v>21</v>
      </c>
      <c r="K3651" s="8">
        <v>100.0</v>
      </c>
      <c r="N3651" s="7">
        <v>44225.0</v>
      </c>
    </row>
    <row r="3652">
      <c r="A3652" s="8">
        <v>3651.0</v>
      </c>
      <c r="B3652" s="8" t="s">
        <v>4972</v>
      </c>
      <c r="C3652" s="8" t="s">
        <v>21</v>
      </c>
      <c r="N3652" s="7">
        <v>44873.0</v>
      </c>
    </row>
    <row r="3653">
      <c r="A3653" s="8">
        <v>3652.0</v>
      </c>
      <c r="B3653" s="8" t="s">
        <v>4973</v>
      </c>
      <c r="C3653" s="8" t="s">
        <v>21</v>
      </c>
      <c r="K3653" s="8">
        <v>20.0</v>
      </c>
      <c r="N3653" s="7">
        <v>45318.0</v>
      </c>
    </row>
    <row r="3654">
      <c r="A3654" s="8">
        <v>3653.0</v>
      </c>
      <c r="B3654" s="8" t="s">
        <v>4974</v>
      </c>
      <c r="C3654" s="8" t="s">
        <v>21</v>
      </c>
      <c r="K3654" s="8">
        <v>3000.0</v>
      </c>
      <c r="N3654" s="7">
        <v>44293.0</v>
      </c>
    </row>
    <row r="3655">
      <c r="A3655" s="8">
        <v>3654.0</v>
      </c>
      <c r="B3655" s="8" t="s">
        <v>4975</v>
      </c>
      <c r="C3655" s="8" t="s">
        <v>21</v>
      </c>
      <c r="K3655" s="8">
        <v>1700.0</v>
      </c>
      <c r="N3655" s="7">
        <v>45278.0</v>
      </c>
    </row>
    <row r="3656">
      <c r="A3656" s="8">
        <v>3655.0</v>
      </c>
      <c r="B3656" s="8" t="s">
        <v>4976</v>
      </c>
      <c r="C3656" s="8" t="s">
        <v>21</v>
      </c>
      <c r="K3656" s="8">
        <v>40.0</v>
      </c>
      <c r="N3656" s="7">
        <v>44095.0</v>
      </c>
    </row>
    <row r="3657">
      <c r="A3657" s="8">
        <v>3656.0</v>
      </c>
      <c r="B3657" s="8" t="s">
        <v>4977</v>
      </c>
      <c r="C3657" s="8" t="s">
        <v>21</v>
      </c>
      <c r="K3657" s="8">
        <v>1800.0</v>
      </c>
      <c r="N3657" s="7">
        <v>44080.0</v>
      </c>
    </row>
    <row r="3658">
      <c r="A3658" s="8">
        <v>3657.0</v>
      </c>
      <c r="B3658" s="8" t="s">
        <v>4978</v>
      </c>
      <c r="C3658" s="8" t="s">
        <v>21</v>
      </c>
      <c r="K3658" s="8">
        <v>40.0</v>
      </c>
      <c r="N3658" s="7">
        <v>45038.0</v>
      </c>
    </row>
    <row r="3659">
      <c r="A3659" s="8">
        <v>3658.0</v>
      </c>
      <c r="B3659" s="8" t="s">
        <v>278</v>
      </c>
      <c r="C3659" s="8" t="s">
        <v>21</v>
      </c>
      <c r="K3659" s="8">
        <v>200.0</v>
      </c>
      <c r="N3659" s="7">
        <v>44616.0</v>
      </c>
    </row>
    <row r="3660">
      <c r="A3660" s="8">
        <v>3659.0</v>
      </c>
      <c r="B3660" s="8" t="s">
        <v>4979</v>
      </c>
      <c r="C3660" s="8" t="s">
        <v>21</v>
      </c>
      <c r="N3660" s="7">
        <v>42552.0</v>
      </c>
    </row>
    <row r="3661">
      <c r="A3661" s="8">
        <v>3660.0</v>
      </c>
      <c r="B3661" s="8" t="s">
        <v>4980</v>
      </c>
      <c r="C3661" s="8" t="s">
        <v>21</v>
      </c>
      <c r="N3661" s="7">
        <v>45163.0</v>
      </c>
    </row>
    <row r="3662">
      <c r="A3662" s="8">
        <v>3661.0</v>
      </c>
      <c r="B3662" s="8" t="s">
        <v>4981</v>
      </c>
      <c r="C3662" s="8" t="s">
        <v>21</v>
      </c>
      <c r="N3662" s="7">
        <v>42473.0</v>
      </c>
      <c r="O3662" s="8" t="s">
        <v>147</v>
      </c>
      <c r="P3662" s="8" t="s">
        <v>28</v>
      </c>
      <c r="S3662" s="8" t="s">
        <v>32</v>
      </c>
    </row>
    <row r="3663">
      <c r="A3663" s="8">
        <v>3662.0</v>
      </c>
      <c r="B3663" s="8" t="s">
        <v>4982</v>
      </c>
      <c r="C3663" s="8" t="s">
        <v>21</v>
      </c>
      <c r="K3663" s="8">
        <v>500.0</v>
      </c>
      <c r="N3663" s="7">
        <v>45051.0</v>
      </c>
    </row>
    <row r="3664">
      <c r="A3664" s="8">
        <v>3663.0</v>
      </c>
      <c r="B3664" s="8" t="s">
        <v>4983</v>
      </c>
      <c r="C3664" s="8" t="s">
        <v>21</v>
      </c>
      <c r="N3664" s="7">
        <v>42370.0</v>
      </c>
    </row>
    <row r="3665">
      <c r="A3665" s="8">
        <v>3664.0</v>
      </c>
      <c r="B3665" s="8" t="s">
        <v>281</v>
      </c>
      <c r="C3665" s="8" t="s">
        <v>21</v>
      </c>
      <c r="N3665" s="7">
        <v>43977.0</v>
      </c>
    </row>
    <row r="3666">
      <c r="A3666" s="8">
        <v>3665.0</v>
      </c>
      <c r="B3666" s="8" t="s">
        <v>4984</v>
      </c>
      <c r="C3666" s="8" t="s">
        <v>21</v>
      </c>
      <c r="N3666" s="7">
        <v>43889.0</v>
      </c>
    </row>
    <row r="3667">
      <c r="A3667" s="8">
        <v>3666.0</v>
      </c>
      <c r="B3667" s="8" t="s">
        <v>3125</v>
      </c>
      <c r="C3667" s="8" t="s">
        <v>21</v>
      </c>
      <c r="D3667" s="8">
        <v>14.0</v>
      </c>
      <c r="H3667" s="8" t="s">
        <v>3039</v>
      </c>
      <c r="I3667" s="9">
        <v>46085.643425925926</v>
      </c>
      <c r="J3667" s="8" t="s">
        <v>476</v>
      </c>
      <c r="L3667" s="8">
        <v>60.0</v>
      </c>
      <c r="M3667" s="8">
        <v>60.0</v>
      </c>
      <c r="N3667" s="7">
        <v>45219.0</v>
      </c>
      <c r="O3667" s="8" t="s">
        <v>26</v>
      </c>
      <c r="P3667" s="8" t="s">
        <v>28</v>
      </c>
      <c r="S3667" s="8" t="s">
        <v>32</v>
      </c>
    </row>
    <row r="3668">
      <c r="A3668" s="8">
        <v>3667.0</v>
      </c>
      <c r="B3668" s="8" t="s">
        <v>4985</v>
      </c>
      <c r="C3668" s="8" t="s">
        <v>21</v>
      </c>
      <c r="N3668" s="7">
        <v>45016.0</v>
      </c>
    </row>
    <row r="3669">
      <c r="A3669" s="8">
        <v>3668.0</v>
      </c>
      <c r="B3669" s="8" t="s">
        <v>4986</v>
      </c>
      <c r="C3669" s="8" t="s">
        <v>21</v>
      </c>
      <c r="K3669" s="8">
        <v>30.0</v>
      </c>
      <c r="N3669" s="7">
        <v>44825.0</v>
      </c>
    </row>
    <row r="3670">
      <c r="A3670" s="8">
        <v>3669.0</v>
      </c>
      <c r="B3670" s="8" t="s">
        <v>4987</v>
      </c>
      <c r="C3670" s="8" t="s">
        <v>21</v>
      </c>
      <c r="N3670" s="7">
        <v>44284.0</v>
      </c>
    </row>
    <row r="3671">
      <c r="A3671" s="8">
        <v>3670.0</v>
      </c>
      <c r="B3671" s="8" t="s">
        <v>4988</v>
      </c>
      <c r="C3671" s="8" t="s">
        <v>21</v>
      </c>
      <c r="K3671" s="8">
        <v>300.0</v>
      </c>
      <c r="N3671" s="7">
        <v>44152.0</v>
      </c>
    </row>
    <row r="3672">
      <c r="A3672" s="8">
        <v>3671.0</v>
      </c>
      <c r="B3672" s="8" t="s">
        <v>4989</v>
      </c>
      <c r="C3672" s="8" t="s">
        <v>21</v>
      </c>
      <c r="K3672" s="8">
        <v>400.0</v>
      </c>
      <c r="N3672" s="7">
        <v>45288.0</v>
      </c>
    </row>
    <row r="3673">
      <c r="A3673" s="8">
        <v>3672.0</v>
      </c>
      <c r="B3673" s="8" t="s">
        <v>4990</v>
      </c>
      <c r="C3673" s="8" t="s">
        <v>21</v>
      </c>
      <c r="K3673" s="8">
        <v>1400.0</v>
      </c>
      <c r="N3673" s="7">
        <v>44003.0</v>
      </c>
    </row>
    <row r="3674">
      <c r="A3674" s="8">
        <v>3673.0</v>
      </c>
      <c r="B3674" s="8" t="s">
        <v>4991</v>
      </c>
      <c r="C3674" s="8" t="s">
        <v>21</v>
      </c>
      <c r="N3674" s="7">
        <v>45428.0</v>
      </c>
    </row>
    <row r="3675">
      <c r="A3675" s="8">
        <v>3674.0</v>
      </c>
      <c r="B3675" s="8" t="s">
        <v>4992</v>
      </c>
      <c r="C3675" s="8" t="s">
        <v>21</v>
      </c>
      <c r="K3675" s="8">
        <v>250.0</v>
      </c>
      <c r="N3675" s="7">
        <v>45526.0</v>
      </c>
    </row>
    <row r="3676">
      <c r="A3676" s="8">
        <v>3675.0</v>
      </c>
      <c r="B3676" s="8" t="s">
        <v>4993</v>
      </c>
      <c r="C3676" s="8" t="s">
        <v>21</v>
      </c>
      <c r="K3676" s="8">
        <v>60.0</v>
      </c>
      <c r="N3676" s="7">
        <v>44101.0</v>
      </c>
    </row>
    <row r="3677">
      <c r="A3677" s="8">
        <v>3676.0</v>
      </c>
      <c r="B3677" s="8" t="s">
        <v>4994</v>
      </c>
      <c r="C3677" s="8" t="s">
        <v>21</v>
      </c>
      <c r="K3677" s="8">
        <v>50.0</v>
      </c>
      <c r="N3677" s="7">
        <v>45424.0</v>
      </c>
    </row>
    <row r="3678">
      <c r="A3678" s="8">
        <v>3677.0</v>
      </c>
      <c r="B3678" s="8" t="s">
        <v>4995</v>
      </c>
      <c r="C3678" s="8" t="s">
        <v>21</v>
      </c>
      <c r="K3678" s="8">
        <v>2000.0</v>
      </c>
      <c r="N3678" s="7">
        <v>43910.0</v>
      </c>
    </row>
    <row r="3679">
      <c r="A3679" s="8">
        <v>3678.0</v>
      </c>
      <c r="B3679" s="8" t="s">
        <v>4996</v>
      </c>
      <c r="C3679" s="8" t="s">
        <v>21</v>
      </c>
      <c r="N3679" s="7">
        <v>44444.0</v>
      </c>
    </row>
    <row r="3680">
      <c r="A3680" s="8">
        <v>3679.0</v>
      </c>
      <c r="B3680" s="8" t="s">
        <v>4997</v>
      </c>
      <c r="C3680" s="8" t="s">
        <v>21</v>
      </c>
      <c r="K3680" s="8">
        <v>4400.0</v>
      </c>
      <c r="N3680" s="7">
        <v>45629.0</v>
      </c>
    </row>
    <row r="3681">
      <c r="A3681" s="8">
        <v>3680.0</v>
      </c>
      <c r="B3681" s="8" t="s">
        <v>4998</v>
      </c>
      <c r="C3681" s="8" t="s">
        <v>21</v>
      </c>
      <c r="K3681" s="8">
        <v>700.0</v>
      </c>
      <c r="N3681" s="7">
        <v>44701.0</v>
      </c>
    </row>
    <row r="3682">
      <c r="A3682" s="8">
        <v>3681.0</v>
      </c>
      <c r="B3682" s="8" t="s">
        <v>4999</v>
      </c>
      <c r="C3682" s="8" t="s">
        <v>21</v>
      </c>
      <c r="K3682" s="8">
        <v>1600.0</v>
      </c>
      <c r="N3682" s="7">
        <v>43874.0</v>
      </c>
    </row>
    <row r="3683">
      <c r="A3683" s="8">
        <v>3682.0</v>
      </c>
      <c r="B3683" s="8" t="s">
        <v>5000</v>
      </c>
      <c r="C3683" s="8" t="s">
        <v>21</v>
      </c>
      <c r="K3683" s="8">
        <v>20.0</v>
      </c>
      <c r="N3683" s="7">
        <v>44527.0</v>
      </c>
    </row>
    <row r="3684">
      <c r="A3684" s="8">
        <v>3683.0</v>
      </c>
      <c r="B3684" s="8" t="s">
        <v>5001</v>
      </c>
      <c r="C3684" s="8" t="s">
        <v>21</v>
      </c>
      <c r="K3684" s="8">
        <v>400.0</v>
      </c>
      <c r="N3684" s="7">
        <v>45047.0</v>
      </c>
    </row>
    <row r="3685">
      <c r="A3685" s="8">
        <v>3684.0</v>
      </c>
      <c r="B3685" s="8" t="s">
        <v>5002</v>
      </c>
      <c r="C3685" s="8" t="s">
        <v>21</v>
      </c>
      <c r="K3685" s="8">
        <v>10.0</v>
      </c>
      <c r="N3685" s="7">
        <v>44340.0</v>
      </c>
    </row>
    <row r="3686">
      <c r="A3686" s="8">
        <v>3685.0</v>
      </c>
      <c r="B3686" s="8" t="s">
        <v>5003</v>
      </c>
      <c r="C3686" s="8" t="s">
        <v>21</v>
      </c>
      <c r="N3686" s="7">
        <v>45514.0</v>
      </c>
    </row>
    <row r="3687">
      <c r="A3687" s="8">
        <v>3686.0</v>
      </c>
      <c r="B3687" s="8" t="s">
        <v>5004</v>
      </c>
      <c r="C3687" s="8" t="s">
        <v>21</v>
      </c>
      <c r="K3687" s="8">
        <v>30.0</v>
      </c>
      <c r="N3687" s="7">
        <v>44164.0</v>
      </c>
    </row>
    <row r="3688">
      <c r="A3688" s="8">
        <v>3687.0</v>
      </c>
      <c r="B3688" s="8" t="s">
        <v>5005</v>
      </c>
      <c r="C3688" s="8" t="s">
        <v>21</v>
      </c>
      <c r="K3688" s="8">
        <v>3100.0</v>
      </c>
      <c r="N3688" s="7">
        <v>45077.0</v>
      </c>
    </row>
    <row r="3689">
      <c r="A3689" s="8">
        <v>3688.0</v>
      </c>
      <c r="B3689" s="8" t="s">
        <v>5006</v>
      </c>
      <c r="C3689" s="8" t="s">
        <v>21</v>
      </c>
      <c r="N3689" s="7">
        <v>45226.0</v>
      </c>
    </row>
    <row r="3690">
      <c r="A3690" s="8">
        <v>3689.0</v>
      </c>
      <c r="B3690" s="8" t="s">
        <v>5007</v>
      </c>
      <c r="C3690" s="8" t="s">
        <v>21</v>
      </c>
      <c r="K3690" s="8">
        <v>200.0</v>
      </c>
      <c r="N3690" s="7">
        <v>44161.0</v>
      </c>
    </row>
    <row r="3691">
      <c r="A3691" s="8">
        <v>3690.0</v>
      </c>
      <c r="B3691" s="8" t="s">
        <v>5008</v>
      </c>
      <c r="C3691" s="8" t="s">
        <v>21</v>
      </c>
      <c r="K3691" s="8">
        <v>3000.0</v>
      </c>
      <c r="N3691" s="7">
        <v>44825.0</v>
      </c>
    </row>
    <row r="3692">
      <c r="A3692" s="8">
        <v>3691.0</v>
      </c>
      <c r="B3692" s="8" t="s">
        <v>5009</v>
      </c>
      <c r="C3692" s="8" t="s">
        <v>21</v>
      </c>
      <c r="K3692" s="8">
        <v>150.0</v>
      </c>
      <c r="N3692" s="7">
        <v>44560.0</v>
      </c>
    </row>
    <row r="3693">
      <c r="A3693" s="8">
        <v>3692.0</v>
      </c>
      <c r="B3693" s="8" t="s">
        <v>5010</v>
      </c>
      <c r="C3693" s="8" t="s">
        <v>21</v>
      </c>
      <c r="K3693" s="8">
        <v>1100.0</v>
      </c>
      <c r="N3693" s="7">
        <v>44725.0</v>
      </c>
    </row>
    <row r="3694">
      <c r="A3694" s="8">
        <v>3693.0</v>
      </c>
      <c r="B3694" s="8" t="s">
        <v>5011</v>
      </c>
      <c r="C3694" s="8" t="s">
        <v>21</v>
      </c>
      <c r="K3694" s="8">
        <v>200.0</v>
      </c>
      <c r="N3694" s="7">
        <v>45865.0</v>
      </c>
    </row>
    <row r="3695">
      <c r="A3695" s="8">
        <v>3694.0</v>
      </c>
      <c r="B3695" s="8" t="s">
        <v>3130</v>
      </c>
      <c r="C3695" s="8" t="s">
        <v>21</v>
      </c>
      <c r="D3695" s="8">
        <v>37.0</v>
      </c>
      <c r="H3695" s="8" t="s">
        <v>19</v>
      </c>
      <c r="I3695" s="9">
        <v>46099.918032407404</v>
      </c>
      <c r="J3695" s="8" t="s">
        <v>450</v>
      </c>
      <c r="L3695" s="8">
        <v>28000.0</v>
      </c>
      <c r="M3695" s="8">
        <v>29000.0</v>
      </c>
      <c r="N3695" s="7">
        <v>42607.0</v>
      </c>
      <c r="O3695" s="8" t="s">
        <v>26</v>
      </c>
      <c r="P3695" s="8" t="s">
        <v>28</v>
      </c>
      <c r="S3695" s="8" t="s">
        <v>32</v>
      </c>
    </row>
    <row r="3696">
      <c r="A3696" s="8">
        <v>3695.0</v>
      </c>
      <c r="B3696" s="8" t="s">
        <v>5012</v>
      </c>
      <c r="C3696" s="8" t="s">
        <v>21</v>
      </c>
      <c r="K3696" s="8">
        <v>100.0</v>
      </c>
      <c r="N3696" s="7">
        <v>44413.0</v>
      </c>
    </row>
    <row r="3697">
      <c r="A3697" s="8">
        <v>3696.0</v>
      </c>
      <c r="B3697" s="8" t="s">
        <v>5013</v>
      </c>
      <c r="C3697" s="8" t="s">
        <v>21</v>
      </c>
      <c r="K3697" s="8">
        <v>1400.0</v>
      </c>
      <c r="N3697" s="7">
        <v>42445.0</v>
      </c>
    </row>
    <row r="3698">
      <c r="A3698" s="8">
        <v>3697.0</v>
      </c>
      <c r="B3698" s="8" t="s">
        <v>5014</v>
      </c>
      <c r="C3698" s="8" t="s">
        <v>21</v>
      </c>
      <c r="K3698" s="8">
        <v>70.0</v>
      </c>
      <c r="N3698" s="7">
        <v>44150.0</v>
      </c>
    </row>
    <row r="3699">
      <c r="A3699" s="8">
        <v>3698.0</v>
      </c>
      <c r="B3699" s="8" t="s">
        <v>5015</v>
      </c>
      <c r="C3699" s="8" t="s">
        <v>21</v>
      </c>
      <c r="K3699" s="8">
        <v>600.0</v>
      </c>
      <c r="N3699" s="7">
        <v>45835.0</v>
      </c>
    </row>
    <row r="3700">
      <c r="A3700" s="8">
        <v>3699.0</v>
      </c>
      <c r="B3700" s="8" t="s">
        <v>5016</v>
      </c>
      <c r="C3700" s="8" t="s">
        <v>21</v>
      </c>
      <c r="K3700" s="8">
        <v>20.0</v>
      </c>
      <c r="N3700" s="7">
        <v>44424.0</v>
      </c>
    </row>
    <row r="3701">
      <c r="A3701" s="8">
        <v>3700.0</v>
      </c>
      <c r="B3701" s="8" t="s">
        <v>5017</v>
      </c>
      <c r="C3701" s="8" t="s">
        <v>21</v>
      </c>
      <c r="N3701" s="7">
        <v>44571.0</v>
      </c>
    </row>
    <row r="3702">
      <c r="A3702" s="8">
        <v>3701.0</v>
      </c>
      <c r="B3702" s="8" t="s">
        <v>5018</v>
      </c>
      <c r="C3702" s="8" t="s">
        <v>21</v>
      </c>
      <c r="K3702" s="8">
        <v>10.0</v>
      </c>
      <c r="N3702" s="7">
        <v>44575.0</v>
      </c>
    </row>
    <row r="3703">
      <c r="A3703" s="8">
        <v>3702.0</v>
      </c>
      <c r="B3703" s="8" t="s">
        <v>5019</v>
      </c>
      <c r="C3703" s="8" t="s">
        <v>21</v>
      </c>
      <c r="K3703" s="8">
        <v>250.0</v>
      </c>
      <c r="N3703" s="7">
        <v>42658.0</v>
      </c>
    </row>
    <row r="3704">
      <c r="A3704" s="8">
        <v>3703.0</v>
      </c>
      <c r="B3704" s="8" t="s">
        <v>5020</v>
      </c>
      <c r="C3704" s="8" t="s">
        <v>21</v>
      </c>
      <c r="K3704" s="8">
        <v>10.0</v>
      </c>
      <c r="N3704" s="7">
        <v>44514.0</v>
      </c>
    </row>
    <row r="3705">
      <c r="A3705" s="8">
        <v>3704.0</v>
      </c>
      <c r="B3705" s="8" t="s">
        <v>3151</v>
      </c>
      <c r="C3705" s="8" t="s">
        <v>21</v>
      </c>
      <c r="D3705" s="8">
        <v>2.0</v>
      </c>
      <c r="H3705" s="8" t="s">
        <v>20</v>
      </c>
      <c r="I3705" s="9">
        <v>46156.56270833333</v>
      </c>
      <c r="J3705" s="8" t="s">
        <v>90</v>
      </c>
      <c r="K3705" s="8">
        <v>20.0</v>
      </c>
      <c r="L3705" s="8">
        <v>300.0</v>
      </c>
      <c r="M3705" s="8">
        <v>450.0</v>
      </c>
      <c r="N3705" s="7">
        <v>43289.0</v>
      </c>
      <c r="O3705" s="8" t="s">
        <v>26</v>
      </c>
      <c r="P3705" s="8" t="s">
        <v>28</v>
      </c>
      <c r="Q3705" s="8" t="s">
        <v>3154</v>
      </c>
      <c r="R3705" s="8">
        <v>1.0</v>
      </c>
      <c r="S3705" s="8" t="s">
        <v>32</v>
      </c>
    </row>
    <row r="3706">
      <c r="A3706" s="8">
        <v>3705.0</v>
      </c>
      <c r="B3706" s="8" t="s">
        <v>218</v>
      </c>
      <c r="C3706" s="8" t="s">
        <v>21</v>
      </c>
      <c r="K3706" s="8">
        <v>800.0</v>
      </c>
      <c r="N3706" s="7">
        <v>44576.0</v>
      </c>
    </row>
    <row r="3707">
      <c r="A3707" s="8">
        <v>3706.0</v>
      </c>
      <c r="B3707" s="8" t="s">
        <v>5021</v>
      </c>
      <c r="C3707" s="8" t="s">
        <v>21</v>
      </c>
      <c r="K3707" s="8">
        <v>150.0</v>
      </c>
      <c r="N3707" s="7">
        <v>44908.0</v>
      </c>
    </row>
    <row r="3708">
      <c r="A3708" s="8">
        <v>3707.0</v>
      </c>
      <c r="B3708" s="8" t="s">
        <v>5022</v>
      </c>
      <c r="C3708" s="8" t="s">
        <v>21</v>
      </c>
      <c r="K3708" s="8">
        <v>7700.0</v>
      </c>
      <c r="N3708" s="7">
        <v>44690.0</v>
      </c>
    </row>
    <row r="3709">
      <c r="A3709" s="8">
        <v>3708.0</v>
      </c>
      <c r="B3709" s="8" t="s">
        <v>5023</v>
      </c>
      <c r="C3709" s="8" t="s">
        <v>21</v>
      </c>
      <c r="K3709" s="8">
        <v>10.0</v>
      </c>
      <c r="N3709" s="7">
        <v>45168.0</v>
      </c>
    </row>
    <row r="3710">
      <c r="A3710" s="8">
        <v>3709.0</v>
      </c>
      <c r="B3710" s="8" t="s">
        <v>5024</v>
      </c>
      <c r="C3710" s="8" t="s">
        <v>21</v>
      </c>
      <c r="K3710" s="8">
        <v>800.0</v>
      </c>
      <c r="N3710" s="7">
        <v>44433.0</v>
      </c>
    </row>
    <row r="3711">
      <c r="A3711" s="8">
        <v>3710.0</v>
      </c>
      <c r="B3711" s="8" t="s">
        <v>5025</v>
      </c>
      <c r="C3711" s="8" t="s">
        <v>21</v>
      </c>
      <c r="K3711" s="8">
        <v>5500.0</v>
      </c>
      <c r="N3711" s="7">
        <v>44837.0</v>
      </c>
    </row>
    <row r="3712">
      <c r="A3712" s="8">
        <v>3711.0</v>
      </c>
      <c r="B3712" s="8" t="s">
        <v>5026</v>
      </c>
      <c r="C3712" s="8" t="s">
        <v>21</v>
      </c>
      <c r="K3712" s="8">
        <v>350.0</v>
      </c>
      <c r="N3712" s="7">
        <v>44164.0</v>
      </c>
    </row>
    <row r="3713">
      <c r="A3713" s="8">
        <v>3712.0</v>
      </c>
      <c r="B3713" s="8" t="s">
        <v>5027</v>
      </c>
      <c r="C3713" s="8" t="s">
        <v>21</v>
      </c>
      <c r="N3713" s="7">
        <v>44360.0</v>
      </c>
    </row>
    <row r="3714">
      <c r="A3714" s="8">
        <v>3713.0</v>
      </c>
      <c r="B3714" s="8" t="s">
        <v>5028</v>
      </c>
      <c r="C3714" s="8" t="s">
        <v>21</v>
      </c>
      <c r="K3714" s="8">
        <v>1500.0</v>
      </c>
      <c r="N3714" s="7">
        <v>43362.0</v>
      </c>
    </row>
    <row r="3715">
      <c r="A3715" s="8">
        <v>3714.0</v>
      </c>
      <c r="B3715" s="8" t="s">
        <v>5029</v>
      </c>
      <c r="C3715" s="8" t="s">
        <v>21</v>
      </c>
      <c r="K3715" s="8">
        <v>100.0</v>
      </c>
      <c r="N3715" s="7">
        <v>45493.0</v>
      </c>
    </row>
    <row r="3716">
      <c r="A3716" s="8">
        <v>3715.0</v>
      </c>
      <c r="B3716" s="8" t="s">
        <v>5030</v>
      </c>
      <c r="C3716" s="8" t="s">
        <v>21</v>
      </c>
      <c r="K3716" s="8">
        <v>80.0</v>
      </c>
      <c r="N3716" s="7">
        <v>44532.0</v>
      </c>
    </row>
    <row r="3717">
      <c r="A3717" s="8">
        <v>3716.0</v>
      </c>
      <c r="B3717" s="8" t="s">
        <v>5031</v>
      </c>
      <c r="C3717" s="8" t="s">
        <v>21</v>
      </c>
      <c r="K3717" s="8">
        <v>1200.0</v>
      </c>
      <c r="N3717" s="7">
        <v>44208.0</v>
      </c>
    </row>
    <row r="3718">
      <c r="A3718" s="8">
        <v>3717.0</v>
      </c>
      <c r="B3718" s="8" t="s">
        <v>5032</v>
      </c>
      <c r="C3718" s="8" t="s">
        <v>21</v>
      </c>
      <c r="K3718" s="8">
        <v>600.0</v>
      </c>
      <c r="N3718" s="7">
        <v>43905.0</v>
      </c>
    </row>
    <row r="3719">
      <c r="A3719" s="8">
        <v>3718.0</v>
      </c>
      <c r="B3719" s="8" t="s">
        <v>5033</v>
      </c>
      <c r="C3719" s="8" t="s">
        <v>21</v>
      </c>
      <c r="K3719" s="8">
        <v>450.0</v>
      </c>
      <c r="N3719" s="7">
        <v>44745.0</v>
      </c>
    </row>
    <row r="3720">
      <c r="A3720" s="8">
        <v>3719.0</v>
      </c>
      <c r="B3720" s="8" t="s">
        <v>5034</v>
      </c>
      <c r="C3720" s="8" t="s">
        <v>21</v>
      </c>
      <c r="K3720" s="8">
        <v>250.0</v>
      </c>
      <c r="N3720" s="7">
        <v>44939.0</v>
      </c>
    </row>
    <row r="3721">
      <c r="A3721" s="8">
        <v>3720.0</v>
      </c>
      <c r="B3721" s="8" t="s">
        <v>5035</v>
      </c>
      <c r="C3721" s="8" t="s">
        <v>21</v>
      </c>
      <c r="K3721" s="8">
        <v>10.0</v>
      </c>
      <c r="N3721" s="7">
        <v>44985.0</v>
      </c>
    </row>
    <row r="3722">
      <c r="A3722" s="8">
        <v>3721.0</v>
      </c>
      <c r="B3722" s="8" t="s">
        <v>5036</v>
      </c>
      <c r="C3722" s="8" t="s">
        <v>21</v>
      </c>
      <c r="K3722" s="8">
        <v>1600.0</v>
      </c>
      <c r="N3722" s="7">
        <v>44096.0</v>
      </c>
    </row>
    <row r="3723">
      <c r="A3723" s="8">
        <v>3722.0</v>
      </c>
      <c r="B3723" s="8" t="s">
        <v>5037</v>
      </c>
      <c r="C3723" s="8" t="s">
        <v>21</v>
      </c>
      <c r="K3723" s="8">
        <v>60.0</v>
      </c>
      <c r="N3723" s="7">
        <v>43868.0</v>
      </c>
    </row>
    <row r="3724">
      <c r="A3724" s="8">
        <v>3723.0</v>
      </c>
      <c r="B3724" s="8" t="s">
        <v>5038</v>
      </c>
      <c r="C3724" s="8" t="s">
        <v>21</v>
      </c>
      <c r="N3724" s="7">
        <v>43917.0</v>
      </c>
    </row>
    <row r="3725">
      <c r="A3725" s="8">
        <v>3724.0</v>
      </c>
      <c r="B3725" s="8" t="s">
        <v>5039</v>
      </c>
      <c r="C3725" s="8" t="s">
        <v>21</v>
      </c>
      <c r="K3725" s="8">
        <v>150.0</v>
      </c>
      <c r="N3725" s="7">
        <v>45418.0</v>
      </c>
    </row>
    <row r="3726">
      <c r="A3726" s="8">
        <v>3725.0</v>
      </c>
      <c r="B3726" s="8" t="s">
        <v>5040</v>
      </c>
      <c r="C3726" s="8" t="s">
        <v>21</v>
      </c>
      <c r="K3726" s="8">
        <v>10000.0</v>
      </c>
      <c r="N3726" s="7">
        <v>44351.0</v>
      </c>
    </row>
    <row r="3727">
      <c r="A3727" s="8">
        <v>3726.0</v>
      </c>
      <c r="B3727" s="8" t="s">
        <v>5041</v>
      </c>
      <c r="C3727" s="8" t="s">
        <v>21</v>
      </c>
      <c r="K3727" s="8">
        <v>150.0</v>
      </c>
      <c r="N3727" s="7">
        <v>44075.0</v>
      </c>
    </row>
    <row r="3728">
      <c r="A3728" s="8">
        <v>3727.0</v>
      </c>
      <c r="B3728" s="8" t="s">
        <v>5042</v>
      </c>
      <c r="C3728" s="8" t="s">
        <v>21</v>
      </c>
      <c r="K3728" s="8">
        <v>4200.0</v>
      </c>
      <c r="N3728" s="7">
        <v>44608.0</v>
      </c>
    </row>
    <row r="3729">
      <c r="A3729" s="8">
        <v>3728.0</v>
      </c>
      <c r="B3729" s="8" t="s">
        <v>5043</v>
      </c>
      <c r="C3729" s="8" t="s">
        <v>21</v>
      </c>
      <c r="N3729" s="7">
        <v>45251.0</v>
      </c>
    </row>
    <row r="3730">
      <c r="A3730" s="8">
        <v>3729.0</v>
      </c>
      <c r="B3730" s="8" t="s">
        <v>5044</v>
      </c>
      <c r="C3730" s="8" t="s">
        <v>21</v>
      </c>
      <c r="N3730" s="7">
        <v>44397.0</v>
      </c>
    </row>
    <row r="3731">
      <c r="A3731" s="8">
        <v>3730.0</v>
      </c>
      <c r="B3731" s="8" t="s">
        <v>5045</v>
      </c>
      <c r="C3731" s="8" t="s">
        <v>21</v>
      </c>
      <c r="K3731" s="8">
        <v>80.0</v>
      </c>
      <c r="N3731" s="7">
        <v>44561.0</v>
      </c>
    </row>
    <row r="3732">
      <c r="A3732" s="8">
        <v>3731.0</v>
      </c>
      <c r="B3732" s="8" t="s">
        <v>5046</v>
      </c>
      <c r="C3732" s="8" t="s">
        <v>21</v>
      </c>
      <c r="K3732" s="8">
        <v>10.0</v>
      </c>
      <c r="N3732" s="7">
        <v>44901.0</v>
      </c>
    </row>
    <row r="3733">
      <c r="A3733" s="8">
        <v>3732.0</v>
      </c>
      <c r="B3733" s="8" t="s">
        <v>3156</v>
      </c>
      <c r="C3733" s="8" t="s">
        <v>21</v>
      </c>
      <c r="D3733" s="8">
        <v>79.0</v>
      </c>
      <c r="H3733" s="8" t="s">
        <v>19</v>
      </c>
      <c r="I3733" s="9">
        <v>46146.99271990741</v>
      </c>
      <c r="L3733" s="8">
        <v>26000.0</v>
      </c>
      <c r="M3733" s="8">
        <v>27000.0</v>
      </c>
      <c r="N3733" s="7">
        <v>45132.0</v>
      </c>
      <c r="O3733" s="8" t="s">
        <v>31</v>
      </c>
      <c r="P3733" s="8" t="s">
        <v>28</v>
      </c>
      <c r="S3733" s="8" t="s">
        <v>32</v>
      </c>
    </row>
    <row r="3734">
      <c r="A3734" s="8">
        <v>3733.0</v>
      </c>
      <c r="B3734" s="8" t="s">
        <v>5047</v>
      </c>
      <c r="C3734" s="8" t="s">
        <v>21</v>
      </c>
      <c r="K3734" s="8">
        <v>100.0</v>
      </c>
      <c r="N3734" s="7">
        <v>44923.0</v>
      </c>
    </row>
    <row r="3735">
      <c r="A3735" s="8">
        <v>3734.0</v>
      </c>
      <c r="B3735" s="8" t="s">
        <v>5048</v>
      </c>
      <c r="C3735" s="8" t="s">
        <v>21</v>
      </c>
      <c r="K3735" s="8">
        <v>4400.0</v>
      </c>
      <c r="N3735" s="7">
        <v>44066.0</v>
      </c>
    </row>
    <row r="3736">
      <c r="A3736" s="8">
        <v>3735.0</v>
      </c>
      <c r="B3736" s="8" t="s">
        <v>5049</v>
      </c>
      <c r="C3736" s="8" t="s">
        <v>21</v>
      </c>
      <c r="K3736" s="8">
        <v>20.0</v>
      </c>
      <c r="N3736" s="7">
        <v>43996.0</v>
      </c>
    </row>
    <row r="3737">
      <c r="A3737" s="8">
        <v>3736.0</v>
      </c>
      <c r="B3737" s="8" t="s">
        <v>5050</v>
      </c>
      <c r="C3737" s="8" t="s">
        <v>21</v>
      </c>
      <c r="K3737" s="8">
        <v>60.0</v>
      </c>
      <c r="N3737" s="7">
        <v>45544.0</v>
      </c>
    </row>
    <row r="3738">
      <c r="A3738" s="8">
        <v>3737.0</v>
      </c>
      <c r="B3738" s="8" t="s">
        <v>5051</v>
      </c>
      <c r="C3738" s="8" t="s">
        <v>21</v>
      </c>
      <c r="N3738" s="7">
        <v>45469.0</v>
      </c>
    </row>
    <row r="3739">
      <c r="A3739" s="8">
        <v>3738.0</v>
      </c>
      <c r="B3739" s="8" t="s">
        <v>5052</v>
      </c>
      <c r="C3739" s="8" t="s">
        <v>21</v>
      </c>
      <c r="K3739" s="8">
        <v>1900.0</v>
      </c>
      <c r="N3739" s="7">
        <v>44830.0</v>
      </c>
    </row>
    <row r="3740">
      <c r="A3740" s="8">
        <v>3739.0</v>
      </c>
      <c r="B3740" s="8" t="s">
        <v>5053</v>
      </c>
      <c r="C3740" s="8" t="s">
        <v>21</v>
      </c>
      <c r="N3740" s="7">
        <v>45948.0</v>
      </c>
    </row>
    <row r="3741">
      <c r="A3741" s="8">
        <v>3740.0</v>
      </c>
      <c r="B3741" s="8" t="s">
        <v>283</v>
      </c>
      <c r="C3741" s="8" t="s">
        <v>21</v>
      </c>
      <c r="N3741" s="7">
        <v>45141.0</v>
      </c>
    </row>
    <row r="3742">
      <c r="A3742" s="8">
        <v>3741.0</v>
      </c>
      <c r="B3742" s="8" t="s">
        <v>5054</v>
      </c>
      <c r="C3742" s="8" t="s">
        <v>21</v>
      </c>
      <c r="K3742" s="8">
        <v>20.0</v>
      </c>
      <c r="N3742" s="7">
        <v>44732.0</v>
      </c>
    </row>
    <row r="3743">
      <c r="A3743" s="8">
        <v>3742.0</v>
      </c>
      <c r="B3743" s="8" t="s">
        <v>5055</v>
      </c>
      <c r="C3743" s="8" t="s">
        <v>21</v>
      </c>
      <c r="K3743" s="8">
        <v>2200.0</v>
      </c>
      <c r="N3743" s="7">
        <v>43868.0</v>
      </c>
    </row>
    <row r="3744">
      <c r="A3744" s="8">
        <v>3743.0</v>
      </c>
      <c r="B3744" s="8" t="s">
        <v>5056</v>
      </c>
      <c r="C3744" s="8" t="s">
        <v>21</v>
      </c>
      <c r="N3744" s="7">
        <v>45337.0</v>
      </c>
    </row>
    <row r="3745">
      <c r="A3745" s="8">
        <v>3744.0</v>
      </c>
      <c r="B3745" s="8" t="s">
        <v>5057</v>
      </c>
      <c r="C3745" s="8" t="s">
        <v>21</v>
      </c>
      <c r="N3745" s="7">
        <v>44807.0</v>
      </c>
    </row>
    <row r="3746">
      <c r="A3746" s="8">
        <v>3745.0</v>
      </c>
      <c r="B3746" s="8" t="s">
        <v>5058</v>
      </c>
      <c r="C3746" s="8" t="s">
        <v>21</v>
      </c>
      <c r="N3746" s="7">
        <v>44107.0</v>
      </c>
    </row>
    <row r="3747">
      <c r="A3747" s="8">
        <v>3746.0</v>
      </c>
      <c r="B3747" s="8" t="s">
        <v>5059</v>
      </c>
      <c r="C3747" s="8" t="s">
        <v>21</v>
      </c>
      <c r="K3747" s="8">
        <v>80.0</v>
      </c>
      <c r="N3747" s="7">
        <v>44869.0</v>
      </c>
    </row>
    <row r="3748">
      <c r="A3748" s="8">
        <v>3747.0</v>
      </c>
      <c r="B3748" s="8" t="s">
        <v>5060</v>
      </c>
      <c r="C3748" s="8" t="s">
        <v>21</v>
      </c>
      <c r="K3748" s="8">
        <v>16000.0</v>
      </c>
      <c r="N3748" s="7">
        <v>44591.0</v>
      </c>
    </row>
    <row r="3749">
      <c r="A3749" s="8">
        <v>3748.0</v>
      </c>
      <c r="B3749" s="8" t="s">
        <v>5061</v>
      </c>
      <c r="C3749" s="8" t="s">
        <v>21</v>
      </c>
      <c r="K3749" s="8">
        <v>1000.0</v>
      </c>
      <c r="N3749" s="7">
        <v>44632.0</v>
      </c>
    </row>
    <row r="3750">
      <c r="A3750" s="8">
        <v>3749.0</v>
      </c>
      <c r="B3750" s="8" t="s">
        <v>5062</v>
      </c>
      <c r="C3750" s="8" t="s">
        <v>21</v>
      </c>
      <c r="K3750" s="8">
        <v>300.0</v>
      </c>
      <c r="N3750" s="7">
        <v>44165.0</v>
      </c>
    </row>
    <row r="3751">
      <c r="A3751" s="8">
        <v>3750.0</v>
      </c>
      <c r="B3751" s="8" t="s">
        <v>5063</v>
      </c>
      <c r="C3751" s="8" t="s">
        <v>21</v>
      </c>
      <c r="K3751" s="8">
        <v>1300.0</v>
      </c>
      <c r="N3751" s="7">
        <v>43886.0</v>
      </c>
    </row>
    <row r="3752">
      <c r="A3752" s="8">
        <v>3751.0</v>
      </c>
      <c r="B3752" s="8" t="s">
        <v>5064</v>
      </c>
      <c r="C3752" s="8" t="s">
        <v>21</v>
      </c>
      <c r="N3752" s="7">
        <v>44165.0</v>
      </c>
    </row>
    <row r="3753">
      <c r="A3753" s="8">
        <v>3752.0</v>
      </c>
      <c r="B3753" s="8" t="s">
        <v>5065</v>
      </c>
      <c r="C3753" s="8" t="s">
        <v>21</v>
      </c>
      <c r="N3753" s="7">
        <v>44708.0</v>
      </c>
    </row>
    <row r="3754">
      <c r="A3754" s="8">
        <v>3753.0</v>
      </c>
      <c r="B3754" s="8" t="s">
        <v>5066</v>
      </c>
      <c r="C3754" s="8" t="s">
        <v>21</v>
      </c>
      <c r="K3754" s="8">
        <v>200.0</v>
      </c>
      <c r="N3754" s="7">
        <v>44192.0</v>
      </c>
    </row>
    <row r="3755">
      <c r="A3755" s="8">
        <v>3754.0</v>
      </c>
      <c r="B3755" s="8" t="s">
        <v>5067</v>
      </c>
      <c r="C3755" s="8" t="s">
        <v>21</v>
      </c>
      <c r="K3755" s="8">
        <v>30.0</v>
      </c>
      <c r="N3755" s="7">
        <v>44620.0</v>
      </c>
    </row>
    <row r="3756">
      <c r="A3756" s="8">
        <v>3755.0</v>
      </c>
      <c r="B3756" s="8" t="s">
        <v>5068</v>
      </c>
      <c r="C3756" s="8" t="s">
        <v>21</v>
      </c>
      <c r="K3756" s="8">
        <v>10.0</v>
      </c>
      <c r="N3756" s="7">
        <v>43876.0</v>
      </c>
    </row>
    <row r="3757">
      <c r="A3757" s="8">
        <v>3756.0</v>
      </c>
      <c r="B3757" s="8" t="s">
        <v>5069</v>
      </c>
      <c r="C3757" s="8" t="s">
        <v>21</v>
      </c>
      <c r="K3757" s="8">
        <v>100.0</v>
      </c>
      <c r="N3757" s="7">
        <v>44330.0</v>
      </c>
    </row>
    <row r="3758">
      <c r="A3758" s="8">
        <v>3757.0</v>
      </c>
      <c r="B3758" s="8" t="s">
        <v>5070</v>
      </c>
      <c r="C3758" s="8" t="s">
        <v>21</v>
      </c>
      <c r="K3758" s="8">
        <v>10.0</v>
      </c>
      <c r="N3758" s="7">
        <v>44064.0</v>
      </c>
      <c r="O3758" s="8" t="s">
        <v>107</v>
      </c>
      <c r="P3758" s="8" t="s">
        <v>28</v>
      </c>
      <c r="S3758" s="8" t="s">
        <v>32</v>
      </c>
    </row>
    <row r="3759">
      <c r="A3759" s="8">
        <v>3758.0</v>
      </c>
      <c r="B3759" s="8" t="s">
        <v>5071</v>
      </c>
      <c r="C3759" s="8" t="s">
        <v>21</v>
      </c>
      <c r="K3759" s="8">
        <v>90.0</v>
      </c>
      <c r="N3759" s="7">
        <v>44739.0</v>
      </c>
    </row>
    <row r="3760">
      <c r="A3760" s="8">
        <v>3759.0</v>
      </c>
      <c r="B3760" s="8" t="s">
        <v>5072</v>
      </c>
      <c r="C3760" s="8" t="s">
        <v>21</v>
      </c>
      <c r="K3760" s="8">
        <v>350.0</v>
      </c>
      <c r="N3760" s="7">
        <v>44570.0</v>
      </c>
    </row>
    <row r="3761">
      <c r="A3761" s="8">
        <v>3760.0</v>
      </c>
      <c r="B3761" s="8" t="s">
        <v>5073</v>
      </c>
      <c r="C3761" s="8" t="s">
        <v>21</v>
      </c>
      <c r="K3761" s="8">
        <v>2400.0</v>
      </c>
      <c r="N3761" s="7">
        <v>43952.0</v>
      </c>
    </row>
    <row r="3762">
      <c r="A3762" s="8">
        <v>3761.0</v>
      </c>
      <c r="B3762" s="8" t="s">
        <v>5074</v>
      </c>
      <c r="C3762" s="8" t="s">
        <v>21</v>
      </c>
      <c r="K3762" s="8">
        <v>3500.0</v>
      </c>
      <c r="N3762" s="7">
        <v>44113.0</v>
      </c>
    </row>
    <row r="3763">
      <c r="A3763" s="8">
        <v>3762.0</v>
      </c>
      <c r="B3763" s="8" t="s">
        <v>5075</v>
      </c>
      <c r="C3763" s="8" t="s">
        <v>21</v>
      </c>
      <c r="K3763" s="8">
        <v>80.0</v>
      </c>
      <c r="N3763" s="7">
        <v>44630.0</v>
      </c>
    </row>
    <row r="3764">
      <c r="A3764" s="8">
        <v>3763.0</v>
      </c>
      <c r="B3764" s="8" t="s">
        <v>5076</v>
      </c>
      <c r="C3764" s="8" t="s">
        <v>21</v>
      </c>
      <c r="K3764" s="8">
        <v>450.0</v>
      </c>
      <c r="N3764" s="7">
        <v>43097.0</v>
      </c>
    </row>
    <row r="3765">
      <c r="A3765" s="8">
        <v>3764.0</v>
      </c>
      <c r="B3765" s="8" t="s">
        <v>5077</v>
      </c>
      <c r="C3765" s="8" t="s">
        <v>21</v>
      </c>
      <c r="K3765" s="8">
        <v>500.0</v>
      </c>
      <c r="N3765" s="7">
        <v>42350.0</v>
      </c>
      <c r="O3765" s="8" t="s">
        <v>107</v>
      </c>
      <c r="P3765" s="8" t="s">
        <v>28</v>
      </c>
      <c r="S3765" s="8" t="s">
        <v>32</v>
      </c>
    </row>
    <row r="3766">
      <c r="A3766" s="8">
        <v>3765.0</v>
      </c>
      <c r="B3766" s="8" t="s">
        <v>5078</v>
      </c>
      <c r="C3766" s="8" t="s">
        <v>21</v>
      </c>
      <c r="K3766" s="8">
        <v>10.0</v>
      </c>
      <c r="N3766" s="7">
        <v>44886.0</v>
      </c>
    </row>
    <row r="3767">
      <c r="A3767" s="8">
        <v>3766.0</v>
      </c>
      <c r="B3767" s="8" t="s">
        <v>5079</v>
      </c>
      <c r="C3767" s="8" t="s">
        <v>21</v>
      </c>
      <c r="K3767" s="8">
        <v>30.0</v>
      </c>
      <c r="N3767" s="7">
        <v>44030.0</v>
      </c>
    </row>
    <row r="3768">
      <c r="A3768" s="8">
        <v>3767.0</v>
      </c>
      <c r="B3768" s="8" t="s">
        <v>5080</v>
      </c>
      <c r="C3768" s="8" t="s">
        <v>21</v>
      </c>
      <c r="N3768" s="7">
        <v>42605.0</v>
      </c>
    </row>
    <row r="3769">
      <c r="A3769" s="8">
        <v>3768.0</v>
      </c>
      <c r="B3769" s="8" t="s">
        <v>5081</v>
      </c>
      <c r="C3769" s="8" t="s">
        <v>21</v>
      </c>
      <c r="K3769" s="8">
        <v>350.0</v>
      </c>
      <c r="N3769" s="7">
        <v>44826.0</v>
      </c>
    </row>
    <row r="3770">
      <c r="A3770" s="8">
        <v>3769.0</v>
      </c>
      <c r="B3770" s="8" t="s">
        <v>5082</v>
      </c>
      <c r="C3770" s="8" t="s">
        <v>21</v>
      </c>
      <c r="N3770" s="7">
        <v>45268.0</v>
      </c>
    </row>
    <row r="3771">
      <c r="A3771" s="8">
        <v>3770.0</v>
      </c>
      <c r="B3771" s="8" t="s">
        <v>220</v>
      </c>
      <c r="C3771" s="8" t="s">
        <v>21</v>
      </c>
      <c r="K3771" s="8">
        <v>800.0</v>
      </c>
      <c r="N3771" s="7">
        <v>44164.0</v>
      </c>
    </row>
    <row r="3772">
      <c r="A3772" s="8">
        <v>3771.0</v>
      </c>
      <c r="B3772" s="8" t="s">
        <v>5083</v>
      </c>
      <c r="C3772" s="8" t="s">
        <v>21</v>
      </c>
      <c r="K3772" s="8">
        <v>80.0</v>
      </c>
      <c r="N3772" s="7">
        <v>44987.0</v>
      </c>
    </row>
    <row r="3773">
      <c r="A3773" s="8">
        <v>3772.0</v>
      </c>
      <c r="B3773" s="8" t="s">
        <v>285</v>
      </c>
      <c r="C3773" s="8" t="s">
        <v>21</v>
      </c>
      <c r="K3773" s="8">
        <v>20.0</v>
      </c>
      <c r="N3773" s="7">
        <v>44112.0</v>
      </c>
    </row>
    <row r="3774">
      <c r="A3774" s="8">
        <v>3773.0</v>
      </c>
      <c r="B3774" s="8" t="s">
        <v>5084</v>
      </c>
      <c r="C3774" s="8" t="s">
        <v>21</v>
      </c>
      <c r="N3774" s="7">
        <v>44577.0</v>
      </c>
    </row>
    <row r="3775">
      <c r="A3775" s="8">
        <v>3774.0</v>
      </c>
      <c r="B3775" s="8" t="s">
        <v>5085</v>
      </c>
      <c r="C3775" s="8" t="s">
        <v>21</v>
      </c>
      <c r="K3775" s="8">
        <v>200.0</v>
      </c>
      <c r="N3775" s="7">
        <v>44990.0</v>
      </c>
    </row>
    <row r="3776">
      <c r="A3776" s="8">
        <v>3775.0</v>
      </c>
      <c r="B3776" s="8" t="s">
        <v>5086</v>
      </c>
      <c r="C3776" s="8" t="s">
        <v>21</v>
      </c>
      <c r="K3776" s="8">
        <v>400.0</v>
      </c>
      <c r="N3776" s="7">
        <v>45169.0</v>
      </c>
    </row>
    <row r="3777">
      <c r="A3777" s="8">
        <v>3776.0</v>
      </c>
      <c r="B3777" s="8" t="s">
        <v>5087</v>
      </c>
      <c r="C3777" s="8" t="s">
        <v>21</v>
      </c>
      <c r="K3777" s="8">
        <v>1100.0</v>
      </c>
      <c r="N3777" s="7">
        <v>45873.0</v>
      </c>
    </row>
    <row r="3778">
      <c r="A3778" s="8">
        <v>3777.0</v>
      </c>
      <c r="B3778" s="8" t="s">
        <v>5088</v>
      </c>
      <c r="C3778" s="8" t="s">
        <v>21</v>
      </c>
      <c r="K3778" s="8">
        <v>450.0</v>
      </c>
      <c r="N3778" s="7">
        <v>43864.0</v>
      </c>
    </row>
    <row r="3779">
      <c r="A3779" s="8">
        <v>3778.0</v>
      </c>
      <c r="B3779" s="8" t="s">
        <v>5089</v>
      </c>
      <c r="C3779" s="8" t="s">
        <v>21</v>
      </c>
      <c r="K3779" s="8">
        <v>24000.0</v>
      </c>
      <c r="N3779" s="7">
        <v>44752.0</v>
      </c>
    </row>
    <row r="3780">
      <c r="A3780" s="8">
        <v>3779.0</v>
      </c>
      <c r="B3780" s="8" t="s">
        <v>5090</v>
      </c>
      <c r="C3780" s="8" t="s">
        <v>21</v>
      </c>
      <c r="K3780" s="8">
        <v>30.0</v>
      </c>
      <c r="N3780" s="7">
        <v>43907.0</v>
      </c>
    </row>
    <row r="3781">
      <c r="A3781" s="8">
        <v>3780.0</v>
      </c>
      <c r="B3781" s="8" t="s">
        <v>5091</v>
      </c>
      <c r="C3781" s="8" t="s">
        <v>21</v>
      </c>
      <c r="K3781" s="8">
        <v>1800.0</v>
      </c>
      <c r="N3781" s="7">
        <v>44016.0</v>
      </c>
    </row>
    <row r="3782">
      <c r="A3782" s="8">
        <v>3781.0</v>
      </c>
      <c r="B3782" s="8" t="s">
        <v>5092</v>
      </c>
      <c r="C3782" s="8" t="s">
        <v>21</v>
      </c>
      <c r="K3782" s="8">
        <v>150.0</v>
      </c>
      <c r="N3782" s="7">
        <v>44213.0</v>
      </c>
    </row>
    <row r="3783">
      <c r="A3783" s="8">
        <v>3782.0</v>
      </c>
      <c r="B3783" s="8" t="s">
        <v>5093</v>
      </c>
      <c r="C3783" s="8" t="s">
        <v>21</v>
      </c>
      <c r="K3783" s="8">
        <v>3100.0</v>
      </c>
      <c r="N3783" s="7">
        <v>44690.0</v>
      </c>
    </row>
    <row r="3784">
      <c r="A3784" s="8">
        <v>3783.0</v>
      </c>
      <c r="B3784" s="8" t="s">
        <v>5094</v>
      </c>
      <c r="C3784" s="8" t="s">
        <v>21</v>
      </c>
      <c r="K3784" s="8">
        <v>3000.0</v>
      </c>
      <c r="N3784" s="7">
        <v>44096.0</v>
      </c>
    </row>
    <row r="3785">
      <c r="A3785" s="8">
        <v>3784.0</v>
      </c>
      <c r="B3785" s="8" t="s">
        <v>5095</v>
      </c>
      <c r="C3785" s="8" t="s">
        <v>21</v>
      </c>
      <c r="K3785" s="8">
        <v>1600.0</v>
      </c>
      <c r="N3785" s="7">
        <v>45261.0</v>
      </c>
    </row>
    <row r="3786">
      <c r="A3786" s="8">
        <v>3785.0</v>
      </c>
      <c r="B3786" s="8" t="s">
        <v>5096</v>
      </c>
      <c r="C3786" s="8" t="s">
        <v>21</v>
      </c>
      <c r="K3786" s="8">
        <v>5800.0</v>
      </c>
      <c r="N3786" s="7">
        <v>42893.0</v>
      </c>
    </row>
    <row r="3787">
      <c r="A3787" s="8">
        <v>3786.0</v>
      </c>
      <c r="B3787" s="8" t="s">
        <v>5097</v>
      </c>
      <c r="C3787" s="8" t="s">
        <v>21</v>
      </c>
      <c r="K3787" s="8">
        <v>40.0</v>
      </c>
      <c r="N3787" s="7">
        <v>44329.0</v>
      </c>
    </row>
    <row r="3788">
      <c r="A3788" s="8">
        <v>3787.0</v>
      </c>
      <c r="B3788" s="8" t="s">
        <v>5098</v>
      </c>
      <c r="C3788" s="8" t="s">
        <v>21</v>
      </c>
      <c r="K3788" s="8">
        <v>250.0</v>
      </c>
      <c r="N3788" s="7">
        <v>45440.0</v>
      </c>
    </row>
    <row r="3789">
      <c r="A3789" s="8">
        <v>3788.0</v>
      </c>
      <c r="B3789" s="8" t="s">
        <v>5099</v>
      </c>
      <c r="C3789" s="8" t="s">
        <v>21</v>
      </c>
      <c r="K3789" s="8">
        <v>1800.0</v>
      </c>
      <c r="N3789" s="7">
        <v>44651.0</v>
      </c>
    </row>
    <row r="3790">
      <c r="A3790" s="8">
        <v>3789.0</v>
      </c>
      <c r="B3790" s="8" t="s">
        <v>5100</v>
      </c>
      <c r="C3790" s="8" t="s">
        <v>21</v>
      </c>
      <c r="K3790" s="8">
        <v>350.0</v>
      </c>
      <c r="N3790" s="7">
        <v>44928.0</v>
      </c>
    </row>
    <row r="3791">
      <c r="A3791" s="8">
        <v>3790.0</v>
      </c>
      <c r="B3791" s="8" t="s">
        <v>5101</v>
      </c>
      <c r="C3791" s="8" t="s">
        <v>21</v>
      </c>
      <c r="N3791" s="7">
        <v>44669.0</v>
      </c>
    </row>
    <row r="3792">
      <c r="A3792" s="8">
        <v>3791.0</v>
      </c>
      <c r="B3792" s="8" t="s">
        <v>5102</v>
      </c>
      <c r="C3792" s="8" t="s">
        <v>21</v>
      </c>
      <c r="K3792" s="8">
        <v>10.0</v>
      </c>
      <c r="N3792" s="7">
        <v>45199.0</v>
      </c>
    </row>
    <row r="3793">
      <c r="A3793" s="8">
        <v>3792.0</v>
      </c>
      <c r="B3793" s="8" t="s">
        <v>5103</v>
      </c>
      <c r="C3793" s="8" t="s">
        <v>21</v>
      </c>
      <c r="N3793" s="7">
        <v>44941.0</v>
      </c>
    </row>
    <row r="3794">
      <c r="A3794" s="8">
        <v>3793.0</v>
      </c>
      <c r="B3794" s="8" t="s">
        <v>5104</v>
      </c>
      <c r="C3794" s="8" t="s">
        <v>21</v>
      </c>
      <c r="K3794" s="8">
        <v>40.0</v>
      </c>
      <c r="N3794" s="7">
        <v>43888.0</v>
      </c>
    </row>
    <row r="3795">
      <c r="A3795" s="8">
        <v>3794.0</v>
      </c>
      <c r="B3795" s="8" t="s">
        <v>5105</v>
      </c>
      <c r="C3795" s="8" t="s">
        <v>21</v>
      </c>
      <c r="N3795" s="7">
        <v>44069.0</v>
      </c>
    </row>
    <row r="3796">
      <c r="A3796" s="8">
        <v>3795.0</v>
      </c>
      <c r="B3796" s="8" t="s">
        <v>5106</v>
      </c>
      <c r="C3796" s="8" t="s">
        <v>21</v>
      </c>
      <c r="K3796" s="8">
        <v>1000.0</v>
      </c>
      <c r="N3796" s="7">
        <v>43001.0</v>
      </c>
    </row>
    <row r="3797">
      <c r="A3797" s="8">
        <v>3796.0</v>
      </c>
      <c r="B3797" s="8" t="s">
        <v>5107</v>
      </c>
      <c r="C3797" s="8" t="s">
        <v>21</v>
      </c>
      <c r="N3797" s="7">
        <v>44952.0</v>
      </c>
    </row>
    <row r="3798">
      <c r="A3798" s="8">
        <v>3797.0</v>
      </c>
      <c r="B3798" s="8" t="s">
        <v>5108</v>
      </c>
      <c r="C3798" s="8" t="s">
        <v>21</v>
      </c>
      <c r="N3798" s="7">
        <v>45142.0</v>
      </c>
    </row>
    <row r="3799">
      <c r="A3799" s="8">
        <v>3798.0</v>
      </c>
      <c r="B3799" s="8" t="s">
        <v>5109</v>
      </c>
      <c r="C3799" s="8" t="s">
        <v>21</v>
      </c>
      <c r="K3799" s="8">
        <v>150.0</v>
      </c>
      <c r="N3799" s="7">
        <v>44598.0</v>
      </c>
    </row>
    <row r="3800">
      <c r="A3800" s="8">
        <v>3799.0</v>
      </c>
      <c r="B3800" s="8" t="s">
        <v>5110</v>
      </c>
      <c r="C3800" s="8" t="s">
        <v>21</v>
      </c>
      <c r="K3800" s="8">
        <v>300.0</v>
      </c>
      <c r="N3800" s="7">
        <v>44430.0</v>
      </c>
    </row>
    <row r="3801">
      <c r="A3801" s="8">
        <v>3800.0</v>
      </c>
      <c r="B3801" s="8" t="s">
        <v>287</v>
      </c>
      <c r="C3801" s="8" t="s">
        <v>21</v>
      </c>
      <c r="K3801" s="8">
        <v>10.0</v>
      </c>
      <c r="N3801" s="7">
        <v>44311.0</v>
      </c>
    </row>
    <row r="3802">
      <c r="A3802" s="8">
        <v>3801.0</v>
      </c>
      <c r="B3802" s="8" t="s">
        <v>5111</v>
      </c>
      <c r="C3802" s="8" t="s">
        <v>21</v>
      </c>
      <c r="K3802" s="8">
        <v>60.0</v>
      </c>
      <c r="N3802" s="7">
        <v>44538.0</v>
      </c>
    </row>
    <row r="3803">
      <c r="A3803" s="8">
        <v>3802.0</v>
      </c>
      <c r="B3803" s="8" t="s">
        <v>5112</v>
      </c>
      <c r="C3803" s="8" t="s">
        <v>21</v>
      </c>
      <c r="K3803" s="8">
        <v>150.0</v>
      </c>
      <c r="N3803" s="7">
        <v>45509.0</v>
      </c>
    </row>
    <row r="3804">
      <c r="A3804" s="8">
        <v>3803.0</v>
      </c>
      <c r="B3804" s="8" t="s">
        <v>5113</v>
      </c>
      <c r="C3804" s="8" t="s">
        <v>21</v>
      </c>
      <c r="K3804" s="8">
        <v>450.0</v>
      </c>
      <c r="N3804" s="7">
        <v>44163.0</v>
      </c>
    </row>
    <row r="3805">
      <c r="A3805" s="8">
        <v>3804.0</v>
      </c>
      <c r="B3805" s="8" t="s">
        <v>5114</v>
      </c>
      <c r="C3805" s="8" t="s">
        <v>21</v>
      </c>
      <c r="K3805" s="8">
        <v>50.0</v>
      </c>
      <c r="N3805" s="7">
        <v>44564.0</v>
      </c>
    </row>
    <row r="3806">
      <c r="A3806" s="8">
        <v>3805.0</v>
      </c>
      <c r="B3806" s="8" t="s">
        <v>5115</v>
      </c>
      <c r="C3806" s="8" t="s">
        <v>21</v>
      </c>
      <c r="N3806" s="7">
        <v>44085.0</v>
      </c>
    </row>
    <row r="3807">
      <c r="A3807" s="8">
        <v>3806.0</v>
      </c>
      <c r="B3807" s="8" t="s">
        <v>5116</v>
      </c>
      <c r="C3807" s="8" t="s">
        <v>21</v>
      </c>
      <c r="K3807" s="8">
        <v>250.0</v>
      </c>
      <c r="N3807" s="7">
        <v>44201.0</v>
      </c>
    </row>
    <row r="3808">
      <c r="A3808" s="8">
        <v>3807.0</v>
      </c>
      <c r="B3808" s="8" t="s">
        <v>5117</v>
      </c>
      <c r="C3808" s="8" t="s">
        <v>21</v>
      </c>
      <c r="K3808" s="8">
        <v>20.0</v>
      </c>
      <c r="N3808" s="7">
        <v>45063.0</v>
      </c>
    </row>
    <row r="3809">
      <c r="A3809" s="8">
        <v>3808.0</v>
      </c>
      <c r="B3809" s="8" t="s">
        <v>5118</v>
      </c>
      <c r="C3809" s="8" t="s">
        <v>21</v>
      </c>
      <c r="K3809" s="8">
        <v>200.0</v>
      </c>
      <c r="N3809" s="7">
        <v>43943.0</v>
      </c>
    </row>
    <row r="3810">
      <c r="A3810" s="8">
        <v>3809.0</v>
      </c>
      <c r="B3810" s="8" t="s">
        <v>5119</v>
      </c>
      <c r="C3810" s="8" t="s">
        <v>21</v>
      </c>
      <c r="K3810" s="8">
        <v>10.0</v>
      </c>
      <c r="N3810" s="7">
        <v>45311.0</v>
      </c>
    </row>
    <row r="3811">
      <c r="A3811" s="8">
        <v>3810.0</v>
      </c>
      <c r="B3811" s="8" t="s">
        <v>5120</v>
      </c>
      <c r="C3811" s="8" t="s">
        <v>21</v>
      </c>
      <c r="K3811" s="8">
        <v>20.0</v>
      </c>
      <c r="N3811" s="7">
        <v>44916.0</v>
      </c>
    </row>
    <row r="3812">
      <c r="A3812" s="8">
        <v>3811.0</v>
      </c>
      <c r="B3812" s="8" t="s">
        <v>5121</v>
      </c>
      <c r="C3812" s="8" t="s">
        <v>21</v>
      </c>
      <c r="K3812" s="8">
        <v>70.0</v>
      </c>
      <c r="N3812" s="7">
        <v>44470.0</v>
      </c>
    </row>
    <row r="3813">
      <c r="A3813" s="8">
        <v>3812.0</v>
      </c>
      <c r="B3813" s="8" t="s">
        <v>5122</v>
      </c>
      <c r="C3813" s="8" t="s">
        <v>21</v>
      </c>
      <c r="K3813" s="8">
        <v>600.0</v>
      </c>
      <c r="N3813" s="7">
        <v>44951.0</v>
      </c>
    </row>
    <row r="3814">
      <c r="A3814" s="8">
        <v>3813.0</v>
      </c>
      <c r="B3814" s="8" t="s">
        <v>5123</v>
      </c>
      <c r="C3814" s="8" t="s">
        <v>21</v>
      </c>
      <c r="K3814" s="8">
        <v>600.0</v>
      </c>
      <c r="N3814" s="7">
        <v>45059.0</v>
      </c>
    </row>
    <row r="3815">
      <c r="A3815" s="8">
        <v>3814.0</v>
      </c>
      <c r="B3815" s="8" t="s">
        <v>5124</v>
      </c>
      <c r="C3815" s="8" t="s">
        <v>21</v>
      </c>
      <c r="N3815" s="7">
        <v>45529.0</v>
      </c>
    </row>
    <row r="3816">
      <c r="A3816" s="8">
        <v>3815.0</v>
      </c>
      <c r="B3816" s="8" t="s">
        <v>5125</v>
      </c>
      <c r="C3816" s="8" t="s">
        <v>21</v>
      </c>
      <c r="K3816" s="8">
        <v>700.0</v>
      </c>
      <c r="N3816" s="7">
        <v>45250.0</v>
      </c>
    </row>
    <row r="3817">
      <c r="A3817" s="8">
        <v>3816.0</v>
      </c>
      <c r="B3817" s="8" t="s">
        <v>5126</v>
      </c>
      <c r="C3817" s="8" t="s">
        <v>21</v>
      </c>
      <c r="K3817" s="8">
        <v>250.0</v>
      </c>
      <c r="N3817" s="7">
        <v>44370.0</v>
      </c>
    </row>
    <row r="3818">
      <c r="A3818" s="8">
        <v>3817.0</v>
      </c>
      <c r="B3818" s="8" t="s">
        <v>5127</v>
      </c>
      <c r="C3818" s="8" t="s">
        <v>21</v>
      </c>
      <c r="K3818" s="8">
        <v>40.0</v>
      </c>
      <c r="N3818" s="7">
        <v>44666.0</v>
      </c>
    </row>
    <row r="3819">
      <c r="A3819" s="8">
        <v>3818.0</v>
      </c>
      <c r="B3819" s="8" t="s">
        <v>290</v>
      </c>
      <c r="C3819" s="8" t="s">
        <v>21</v>
      </c>
      <c r="K3819" s="8">
        <v>20.0</v>
      </c>
      <c r="N3819" s="7">
        <v>44187.0</v>
      </c>
    </row>
    <row r="3820">
      <c r="A3820" s="8">
        <v>3819.0</v>
      </c>
      <c r="B3820" s="8" t="s">
        <v>5128</v>
      </c>
      <c r="C3820" s="8" t="s">
        <v>21</v>
      </c>
      <c r="K3820" s="8">
        <v>100.0</v>
      </c>
      <c r="N3820" s="7">
        <v>43879.0</v>
      </c>
    </row>
    <row r="3821">
      <c r="A3821" s="8">
        <v>3820.0</v>
      </c>
      <c r="B3821" s="8" t="s">
        <v>5129</v>
      </c>
      <c r="C3821" s="8" t="s">
        <v>21</v>
      </c>
      <c r="K3821" s="8">
        <v>350.0</v>
      </c>
      <c r="N3821" s="7">
        <v>44568.0</v>
      </c>
    </row>
    <row r="3822">
      <c r="A3822" s="8">
        <v>3821.0</v>
      </c>
      <c r="B3822" s="8" t="s">
        <v>5130</v>
      </c>
      <c r="C3822" s="8" t="s">
        <v>21</v>
      </c>
      <c r="K3822" s="8">
        <v>1500.0</v>
      </c>
      <c r="N3822" s="7">
        <v>45242.0</v>
      </c>
    </row>
    <row r="3823">
      <c r="A3823" s="8">
        <v>3822.0</v>
      </c>
      <c r="B3823" s="8" t="s">
        <v>5131</v>
      </c>
      <c r="C3823" s="8" t="s">
        <v>21</v>
      </c>
      <c r="K3823" s="8">
        <v>100.0</v>
      </c>
      <c r="N3823" s="7">
        <v>44999.0</v>
      </c>
    </row>
    <row r="3824">
      <c r="A3824" s="8">
        <v>3823.0</v>
      </c>
      <c r="B3824" s="8" t="s">
        <v>5132</v>
      </c>
      <c r="C3824" s="8" t="s">
        <v>21</v>
      </c>
      <c r="K3824" s="8">
        <v>90.0</v>
      </c>
      <c r="N3824" s="7">
        <v>44764.0</v>
      </c>
    </row>
    <row r="3825">
      <c r="A3825" s="8">
        <v>3824.0</v>
      </c>
      <c r="B3825" s="10" t="s">
        <v>5133</v>
      </c>
      <c r="C3825" s="8" t="s">
        <v>21</v>
      </c>
      <c r="N3825" s="7">
        <v>44134.0</v>
      </c>
    </row>
    <row r="3826">
      <c r="A3826" s="8">
        <v>3825.0</v>
      </c>
      <c r="B3826" s="8" t="s">
        <v>5134</v>
      </c>
      <c r="C3826" s="8" t="s">
        <v>21</v>
      </c>
      <c r="K3826" s="8">
        <v>1100.0</v>
      </c>
      <c r="N3826" s="7">
        <v>44221.0</v>
      </c>
    </row>
    <row r="3827">
      <c r="A3827" s="8">
        <v>3826.0</v>
      </c>
      <c r="B3827" s="8" t="s">
        <v>5135</v>
      </c>
      <c r="C3827" s="8" t="s">
        <v>21</v>
      </c>
      <c r="N3827" s="7">
        <v>44361.0</v>
      </c>
    </row>
    <row r="3828">
      <c r="A3828" s="8">
        <v>3827.0</v>
      </c>
      <c r="B3828" s="8" t="s">
        <v>5136</v>
      </c>
      <c r="C3828" s="8" t="s">
        <v>21</v>
      </c>
      <c r="K3828" s="8">
        <v>150.0</v>
      </c>
      <c r="N3828" s="7">
        <v>44288.0</v>
      </c>
    </row>
    <row r="3829">
      <c r="A3829" s="8">
        <v>3828.0</v>
      </c>
      <c r="B3829" s="8" t="s">
        <v>5137</v>
      </c>
      <c r="C3829" s="8" t="s">
        <v>21</v>
      </c>
      <c r="K3829" s="8">
        <v>20.0</v>
      </c>
      <c r="N3829" s="7">
        <v>45249.0</v>
      </c>
    </row>
    <row r="3830">
      <c r="A3830" s="8">
        <v>3829.0</v>
      </c>
      <c r="B3830" s="8" t="s">
        <v>5138</v>
      </c>
      <c r="C3830" s="8" t="s">
        <v>21</v>
      </c>
      <c r="K3830" s="8">
        <v>4800.0</v>
      </c>
      <c r="N3830" s="7">
        <v>44935.0</v>
      </c>
    </row>
    <row r="3831">
      <c r="A3831" s="8">
        <v>3830.0</v>
      </c>
      <c r="B3831" s="8" t="s">
        <v>5139</v>
      </c>
      <c r="C3831" s="8" t="s">
        <v>21</v>
      </c>
      <c r="K3831" s="8">
        <v>60.0</v>
      </c>
      <c r="N3831" s="7">
        <v>46069.0</v>
      </c>
    </row>
    <row r="3832">
      <c r="A3832" s="8">
        <v>3831.0</v>
      </c>
      <c r="B3832" s="8" t="s">
        <v>5140</v>
      </c>
      <c r="C3832" s="8" t="s">
        <v>21</v>
      </c>
      <c r="K3832" s="8">
        <v>80.0</v>
      </c>
      <c r="N3832" s="7">
        <v>45347.0</v>
      </c>
    </row>
    <row r="3833">
      <c r="A3833" s="8">
        <v>3832.0</v>
      </c>
      <c r="B3833" s="8" t="s">
        <v>293</v>
      </c>
      <c r="C3833" s="8" t="s">
        <v>21</v>
      </c>
      <c r="K3833" s="8">
        <v>2900.0</v>
      </c>
      <c r="N3833" s="7">
        <v>44209.0</v>
      </c>
    </row>
    <row r="3834">
      <c r="A3834" s="8">
        <v>3833.0</v>
      </c>
      <c r="B3834" s="8" t="s">
        <v>5141</v>
      </c>
      <c r="C3834" s="8" t="s">
        <v>21</v>
      </c>
      <c r="K3834" s="8">
        <v>30.0</v>
      </c>
      <c r="N3834" s="7">
        <v>44113.0</v>
      </c>
    </row>
    <row r="3835">
      <c r="A3835" s="8">
        <v>3834.0</v>
      </c>
      <c r="B3835" s="8" t="s">
        <v>5142</v>
      </c>
      <c r="C3835" s="8" t="s">
        <v>21</v>
      </c>
      <c r="N3835" s="7">
        <v>43211.0</v>
      </c>
    </row>
    <row r="3836">
      <c r="A3836" s="8">
        <v>3835.0</v>
      </c>
      <c r="B3836" s="8" t="s">
        <v>5143</v>
      </c>
      <c r="C3836" s="8" t="s">
        <v>21</v>
      </c>
      <c r="N3836" s="7">
        <v>42393.0</v>
      </c>
    </row>
    <row r="3837">
      <c r="A3837" s="8">
        <v>3836.0</v>
      </c>
      <c r="B3837" s="8" t="s">
        <v>5144</v>
      </c>
      <c r="C3837" s="8" t="s">
        <v>21</v>
      </c>
      <c r="K3837" s="8">
        <v>10.0</v>
      </c>
      <c r="N3837" s="7">
        <v>45159.0</v>
      </c>
    </row>
    <row r="3838">
      <c r="A3838" s="8">
        <v>3837.0</v>
      </c>
      <c r="B3838" s="8" t="s">
        <v>5145</v>
      </c>
      <c r="C3838" s="8" t="s">
        <v>21</v>
      </c>
      <c r="K3838" s="8">
        <v>2300.0</v>
      </c>
      <c r="N3838" s="7">
        <v>44088.0</v>
      </c>
    </row>
    <row r="3839">
      <c r="A3839" s="8">
        <v>3838.0</v>
      </c>
      <c r="B3839" s="8" t="s">
        <v>5146</v>
      </c>
      <c r="C3839" s="8" t="s">
        <v>21</v>
      </c>
      <c r="K3839" s="8">
        <v>20.0</v>
      </c>
      <c r="N3839" s="7">
        <v>45129.0</v>
      </c>
    </row>
    <row r="3840">
      <c r="A3840" s="8">
        <v>3839.0</v>
      </c>
      <c r="B3840" s="8" t="s">
        <v>5147</v>
      </c>
      <c r="C3840" s="8" t="s">
        <v>21</v>
      </c>
      <c r="K3840" s="8">
        <v>70.0</v>
      </c>
      <c r="N3840" s="7">
        <v>45365.0</v>
      </c>
    </row>
    <row r="3841">
      <c r="A3841" s="8">
        <v>3840.0</v>
      </c>
      <c r="B3841" s="8" t="s">
        <v>5148</v>
      </c>
      <c r="C3841" s="8" t="s">
        <v>21</v>
      </c>
      <c r="K3841" s="8">
        <v>1400.0</v>
      </c>
      <c r="N3841" s="7">
        <v>44270.0</v>
      </c>
    </row>
    <row r="3842">
      <c r="A3842" s="8">
        <v>3841.0</v>
      </c>
      <c r="B3842" s="8" t="s">
        <v>5149</v>
      </c>
      <c r="C3842" s="8" t="s">
        <v>21</v>
      </c>
      <c r="N3842" s="7">
        <v>45518.0</v>
      </c>
    </row>
    <row r="3843">
      <c r="A3843" s="8">
        <v>3842.0</v>
      </c>
      <c r="B3843" s="8" t="s">
        <v>5150</v>
      </c>
      <c r="C3843" s="8" t="s">
        <v>21</v>
      </c>
      <c r="K3843" s="8">
        <v>250.0</v>
      </c>
      <c r="N3843" s="7">
        <v>44057.0</v>
      </c>
    </row>
    <row r="3844">
      <c r="A3844" s="8">
        <v>3843.0</v>
      </c>
      <c r="B3844" s="8" t="s">
        <v>5151</v>
      </c>
      <c r="C3844" s="8" t="s">
        <v>21</v>
      </c>
      <c r="K3844" s="8">
        <v>4000.0</v>
      </c>
      <c r="N3844" s="7">
        <v>45346.0</v>
      </c>
    </row>
    <row r="3845">
      <c r="A3845" s="8">
        <v>3844.0</v>
      </c>
      <c r="B3845" s="8" t="s">
        <v>5152</v>
      </c>
      <c r="C3845" s="8" t="s">
        <v>21</v>
      </c>
      <c r="K3845" s="8">
        <v>150.0</v>
      </c>
      <c r="N3845" s="7">
        <v>44110.0</v>
      </c>
    </row>
    <row r="3846">
      <c r="A3846" s="8">
        <v>3845.0</v>
      </c>
      <c r="B3846" s="8" t="s">
        <v>5153</v>
      </c>
      <c r="C3846" s="8" t="s">
        <v>21</v>
      </c>
      <c r="K3846" s="8">
        <v>20.0</v>
      </c>
      <c r="N3846" s="7">
        <v>44165.0</v>
      </c>
    </row>
    <row r="3847">
      <c r="A3847" s="8">
        <v>3846.0</v>
      </c>
      <c r="B3847" s="8" t="s">
        <v>5154</v>
      </c>
      <c r="C3847" s="8" t="s">
        <v>21</v>
      </c>
      <c r="K3847" s="8">
        <v>250.0</v>
      </c>
      <c r="N3847" s="7">
        <v>44594.0</v>
      </c>
    </row>
    <row r="3848">
      <c r="A3848" s="8">
        <v>3847.0</v>
      </c>
      <c r="B3848" s="8" t="s">
        <v>5155</v>
      </c>
      <c r="C3848" s="8" t="s">
        <v>21</v>
      </c>
      <c r="K3848" s="8">
        <v>30.0</v>
      </c>
      <c r="N3848" s="7">
        <v>44634.0</v>
      </c>
    </row>
    <row r="3849">
      <c r="A3849" s="8">
        <v>3848.0</v>
      </c>
      <c r="B3849" s="8" t="s">
        <v>5156</v>
      </c>
      <c r="C3849" s="8" t="s">
        <v>21</v>
      </c>
      <c r="K3849" s="8">
        <v>80.0</v>
      </c>
      <c r="N3849" s="7">
        <v>43997.0</v>
      </c>
    </row>
    <row r="3850">
      <c r="A3850" s="8">
        <v>3849.0</v>
      </c>
      <c r="B3850" s="8" t="s">
        <v>5157</v>
      </c>
      <c r="C3850" s="8" t="s">
        <v>21</v>
      </c>
      <c r="K3850" s="8">
        <v>40.0</v>
      </c>
      <c r="N3850" s="7">
        <v>44910.0</v>
      </c>
    </row>
    <row r="3851">
      <c r="A3851" s="8">
        <v>3850.0</v>
      </c>
      <c r="B3851" s="8" t="s">
        <v>5158</v>
      </c>
      <c r="C3851" s="8" t="s">
        <v>21</v>
      </c>
      <c r="K3851" s="8">
        <v>60.0</v>
      </c>
      <c r="N3851" s="7">
        <v>44577.0</v>
      </c>
    </row>
    <row r="3852">
      <c r="A3852" s="8">
        <v>3851.0</v>
      </c>
      <c r="B3852" s="8" t="s">
        <v>5159</v>
      </c>
      <c r="C3852" s="8" t="s">
        <v>21</v>
      </c>
      <c r="K3852" s="8">
        <v>400.0</v>
      </c>
      <c r="N3852" s="7">
        <v>44781.0</v>
      </c>
    </row>
    <row r="3853">
      <c r="A3853" s="8">
        <v>3852.0</v>
      </c>
      <c r="B3853" s="8" t="s">
        <v>5160</v>
      </c>
      <c r="C3853" s="8" t="s">
        <v>21</v>
      </c>
      <c r="K3853" s="8">
        <v>450.0</v>
      </c>
      <c r="N3853" s="7">
        <v>44468.0</v>
      </c>
    </row>
    <row r="3854">
      <c r="A3854" s="8">
        <v>3853.0</v>
      </c>
      <c r="B3854" s="8" t="s">
        <v>5161</v>
      </c>
      <c r="C3854" s="8" t="s">
        <v>21</v>
      </c>
      <c r="K3854" s="8">
        <v>800.0</v>
      </c>
      <c r="N3854" s="7">
        <v>44153.0</v>
      </c>
    </row>
    <row r="3855">
      <c r="A3855" s="8">
        <v>3854.0</v>
      </c>
      <c r="B3855" s="8" t="s">
        <v>5162</v>
      </c>
      <c r="C3855" s="8" t="s">
        <v>21</v>
      </c>
      <c r="K3855" s="8">
        <v>150.0</v>
      </c>
      <c r="N3855" s="7">
        <v>44426.0</v>
      </c>
    </row>
    <row r="3856">
      <c r="A3856" s="8">
        <v>3855.0</v>
      </c>
      <c r="B3856" s="8" t="s">
        <v>5163</v>
      </c>
      <c r="C3856" s="8" t="s">
        <v>21</v>
      </c>
      <c r="K3856" s="8">
        <v>150.0</v>
      </c>
      <c r="N3856" s="7">
        <v>44875.0</v>
      </c>
    </row>
    <row r="3857">
      <c r="A3857" s="8">
        <v>3856.0</v>
      </c>
      <c r="B3857" s="8" t="s">
        <v>5164</v>
      </c>
      <c r="C3857" s="8" t="s">
        <v>21</v>
      </c>
      <c r="K3857" s="8">
        <v>250.0</v>
      </c>
      <c r="N3857" s="7">
        <v>44546.0</v>
      </c>
    </row>
    <row r="3858">
      <c r="A3858" s="8">
        <v>3857.0</v>
      </c>
      <c r="B3858" s="8" t="s">
        <v>5165</v>
      </c>
      <c r="C3858" s="8" t="s">
        <v>21</v>
      </c>
      <c r="K3858" s="8">
        <v>900.0</v>
      </c>
      <c r="N3858" s="7">
        <v>44648.0</v>
      </c>
    </row>
    <row r="3859">
      <c r="A3859" s="8">
        <v>3858.0</v>
      </c>
      <c r="B3859" s="8" t="s">
        <v>5166</v>
      </c>
      <c r="C3859" s="8" t="s">
        <v>21</v>
      </c>
      <c r="N3859" s="7">
        <v>44098.0</v>
      </c>
    </row>
    <row r="3860">
      <c r="A3860" s="8">
        <v>3859.0</v>
      </c>
      <c r="B3860" s="8" t="s">
        <v>5167</v>
      </c>
      <c r="C3860" s="8" t="s">
        <v>21</v>
      </c>
      <c r="K3860" s="8">
        <v>80.0</v>
      </c>
      <c r="N3860" s="7">
        <v>44615.0</v>
      </c>
    </row>
    <row r="3861">
      <c r="A3861" s="8">
        <v>3860.0</v>
      </c>
      <c r="B3861" s="8" t="s">
        <v>5168</v>
      </c>
      <c r="C3861" s="8" t="s">
        <v>21</v>
      </c>
      <c r="K3861" s="8">
        <v>30.0</v>
      </c>
      <c r="N3861" s="7">
        <v>44283.0</v>
      </c>
    </row>
    <row r="3862">
      <c r="A3862" s="8">
        <v>3861.0</v>
      </c>
      <c r="B3862" s="8" t="s">
        <v>5169</v>
      </c>
      <c r="C3862" s="8" t="s">
        <v>21</v>
      </c>
      <c r="K3862" s="8">
        <v>10.0</v>
      </c>
      <c r="N3862" s="7">
        <v>44254.0</v>
      </c>
    </row>
    <row r="3863">
      <c r="A3863" s="8">
        <v>3862.0</v>
      </c>
      <c r="B3863" s="8" t="s">
        <v>5170</v>
      </c>
      <c r="C3863" s="8" t="s">
        <v>21</v>
      </c>
      <c r="K3863" s="8">
        <v>150.0</v>
      </c>
      <c r="N3863" s="7">
        <v>44434.0</v>
      </c>
    </row>
    <row r="3864">
      <c r="A3864" s="8">
        <v>3863.0</v>
      </c>
      <c r="B3864" s="8" t="s">
        <v>5171</v>
      </c>
      <c r="C3864" s="8" t="s">
        <v>21</v>
      </c>
      <c r="K3864" s="8">
        <v>80.0</v>
      </c>
      <c r="N3864" s="7">
        <v>43875.0</v>
      </c>
    </row>
    <row r="3865">
      <c r="A3865" s="8">
        <v>3864.0</v>
      </c>
      <c r="B3865" s="8" t="s">
        <v>5172</v>
      </c>
      <c r="C3865" s="8" t="s">
        <v>21</v>
      </c>
      <c r="K3865" s="8">
        <v>10.0</v>
      </c>
      <c r="N3865" s="7">
        <v>44443.0</v>
      </c>
    </row>
    <row r="3866">
      <c r="A3866" s="8">
        <v>3865.0</v>
      </c>
      <c r="B3866" s="8" t="s">
        <v>5173</v>
      </c>
      <c r="C3866" s="8" t="s">
        <v>21</v>
      </c>
      <c r="K3866" s="8">
        <v>1500.0</v>
      </c>
      <c r="N3866" s="7">
        <v>44929.0</v>
      </c>
    </row>
    <row r="3867">
      <c r="A3867" s="8">
        <v>3866.0</v>
      </c>
      <c r="B3867" s="8" t="s">
        <v>5174</v>
      </c>
      <c r="C3867" s="8" t="s">
        <v>21</v>
      </c>
      <c r="K3867" s="8">
        <v>900.0</v>
      </c>
      <c r="N3867" s="7">
        <v>44859.0</v>
      </c>
    </row>
    <row r="3868">
      <c r="A3868" s="8">
        <v>3867.0</v>
      </c>
      <c r="B3868" s="8" t="s">
        <v>5175</v>
      </c>
      <c r="C3868" s="8" t="s">
        <v>21</v>
      </c>
      <c r="K3868" s="8">
        <v>13000.0</v>
      </c>
      <c r="N3868" s="7">
        <v>44763.0</v>
      </c>
    </row>
    <row r="3869">
      <c r="A3869" s="8">
        <v>3868.0</v>
      </c>
      <c r="B3869" s="8" t="s">
        <v>5176</v>
      </c>
      <c r="C3869" s="8" t="s">
        <v>21</v>
      </c>
      <c r="K3869" s="8">
        <v>250.0</v>
      </c>
      <c r="N3869" s="7">
        <v>43906.0</v>
      </c>
    </row>
    <row r="3870">
      <c r="A3870" s="8">
        <v>3869.0</v>
      </c>
      <c r="B3870" s="8" t="s">
        <v>5177</v>
      </c>
      <c r="C3870" s="8" t="s">
        <v>21</v>
      </c>
      <c r="K3870" s="8">
        <v>70.0</v>
      </c>
      <c r="N3870" s="7">
        <v>44461.0</v>
      </c>
    </row>
    <row r="3871">
      <c r="A3871" s="8">
        <v>3870.0</v>
      </c>
      <c r="B3871" s="8" t="s">
        <v>5178</v>
      </c>
      <c r="C3871" s="8" t="s">
        <v>21</v>
      </c>
      <c r="K3871" s="8">
        <v>10.0</v>
      </c>
      <c r="N3871" s="7">
        <v>43901.0</v>
      </c>
    </row>
    <row r="3872">
      <c r="A3872" s="8">
        <v>3871.0</v>
      </c>
      <c r="B3872" s="8" t="s">
        <v>5179</v>
      </c>
      <c r="C3872" s="8" t="s">
        <v>21</v>
      </c>
      <c r="K3872" s="8">
        <v>90.0</v>
      </c>
      <c r="N3872" s="7">
        <v>44641.0</v>
      </c>
    </row>
    <row r="3873">
      <c r="A3873" s="8">
        <v>3872.0</v>
      </c>
      <c r="B3873" s="8" t="s">
        <v>5180</v>
      </c>
      <c r="C3873" s="8" t="s">
        <v>21</v>
      </c>
      <c r="K3873" s="8">
        <v>50.0</v>
      </c>
      <c r="N3873" s="7">
        <v>43903.0</v>
      </c>
    </row>
    <row r="3874">
      <c r="A3874" s="8">
        <v>3873.0</v>
      </c>
      <c r="B3874" s="8" t="s">
        <v>5181</v>
      </c>
      <c r="C3874" s="8" t="s">
        <v>21</v>
      </c>
      <c r="K3874" s="8">
        <v>30000.0</v>
      </c>
      <c r="N3874" s="7">
        <v>44835.0</v>
      </c>
    </row>
    <row r="3875">
      <c r="A3875" s="8">
        <v>3874.0</v>
      </c>
      <c r="B3875" s="8" t="s">
        <v>5182</v>
      </c>
      <c r="C3875" s="8" t="s">
        <v>21</v>
      </c>
      <c r="K3875" s="8">
        <v>2300.0</v>
      </c>
      <c r="N3875" s="7">
        <v>45103.0</v>
      </c>
    </row>
    <row r="3876">
      <c r="A3876" s="8">
        <v>3875.0</v>
      </c>
      <c r="B3876" s="8" t="s">
        <v>5183</v>
      </c>
      <c r="C3876" s="8" t="s">
        <v>21</v>
      </c>
      <c r="K3876" s="8">
        <v>20.0</v>
      </c>
      <c r="N3876" s="7">
        <v>45873.0</v>
      </c>
    </row>
    <row r="3877">
      <c r="A3877" s="8">
        <v>3876.0</v>
      </c>
      <c r="B3877" s="8" t="s">
        <v>5184</v>
      </c>
      <c r="C3877" s="8" t="s">
        <v>21</v>
      </c>
      <c r="K3877" s="8">
        <v>90.0</v>
      </c>
      <c r="N3877" s="7">
        <v>44022.0</v>
      </c>
    </row>
    <row r="3878">
      <c r="A3878" s="8">
        <v>3877.0</v>
      </c>
      <c r="B3878" s="8" t="s">
        <v>5185</v>
      </c>
      <c r="C3878" s="8" t="s">
        <v>21</v>
      </c>
      <c r="K3878" s="8">
        <v>150.0</v>
      </c>
      <c r="N3878" s="7">
        <v>44965.0</v>
      </c>
    </row>
    <row r="3879">
      <c r="A3879" s="8">
        <v>3878.0</v>
      </c>
      <c r="B3879" s="8" t="s">
        <v>5186</v>
      </c>
      <c r="C3879" s="8" t="s">
        <v>21</v>
      </c>
      <c r="K3879" s="8">
        <v>250.0</v>
      </c>
      <c r="N3879" s="7">
        <v>44535.0</v>
      </c>
    </row>
    <row r="3880">
      <c r="A3880" s="8">
        <v>3879.0</v>
      </c>
      <c r="B3880" s="8" t="s">
        <v>5187</v>
      </c>
      <c r="C3880" s="8" t="s">
        <v>21</v>
      </c>
      <c r="K3880" s="8">
        <v>29000.0</v>
      </c>
      <c r="N3880" s="7">
        <v>43871.0</v>
      </c>
    </row>
    <row r="3881">
      <c r="A3881" s="8">
        <v>3880.0</v>
      </c>
      <c r="B3881" s="8" t="s">
        <v>5188</v>
      </c>
      <c r="C3881" s="8" t="s">
        <v>21</v>
      </c>
      <c r="K3881" s="8">
        <v>300.0</v>
      </c>
      <c r="N3881" s="7">
        <v>43579.0</v>
      </c>
    </row>
    <row r="3882">
      <c r="A3882" s="8">
        <v>3881.0</v>
      </c>
      <c r="B3882" s="8" t="s">
        <v>5189</v>
      </c>
      <c r="C3882" s="8" t="s">
        <v>21</v>
      </c>
      <c r="D3882" s="8">
        <v>70.0</v>
      </c>
      <c r="H3882" s="8" t="s">
        <v>3104</v>
      </c>
      <c r="I3882" s="9">
        <v>46076.27601851852</v>
      </c>
      <c r="J3882" s="8" t="s">
        <v>90</v>
      </c>
      <c r="K3882" s="8">
        <v>600.0</v>
      </c>
      <c r="L3882" s="8">
        <v>20.0</v>
      </c>
      <c r="M3882" s="8">
        <v>22000.0</v>
      </c>
      <c r="N3882" s="7">
        <v>44361.0</v>
      </c>
      <c r="O3882" s="8" t="s">
        <v>107</v>
      </c>
      <c r="P3882" s="8" t="s">
        <v>28</v>
      </c>
      <c r="S3882" s="8" t="s">
        <v>32</v>
      </c>
    </row>
    <row r="3883">
      <c r="A3883" s="8">
        <v>3882.0</v>
      </c>
      <c r="B3883" s="8" t="s">
        <v>5190</v>
      </c>
      <c r="C3883" s="8" t="s">
        <v>21</v>
      </c>
      <c r="K3883" s="8">
        <v>70.0</v>
      </c>
      <c r="N3883" s="7">
        <v>45142.0</v>
      </c>
    </row>
    <row r="3884">
      <c r="A3884" s="8">
        <v>3883.0</v>
      </c>
      <c r="B3884" s="8" t="s">
        <v>5191</v>
      </c>
      <c r="C3884" s="8" t="s">
        <v>21</v>
      </c>
      <c r="K3884" s="8">
        <v>6000.0</v>
      </c>
      <c r="N3884" s="7">
        <v>44163.0</v>
      </c>
    </row>
    <row r="3885">
      <c r="A3885" s="8">
        <v>3884.0</v>
      </c>
      <c r="B3885" s="8" t="s">
        <v>5192</v>
      </c>
      <c r="C3885" s="8" t="s">
        <v>21</v>
      </c>
      <c r="K3885" s="8">
        <v>200.0</v>
      </c>
      <c r="N3885" s="7">
        <v>44882.0</v>
      </c>
    </row>
    <row r="3886">
      <c r="A3886" s="8">
        <v>3885.0</v>
      </c>
      <c r="B3886" s="8" t="s">
        <v>295</v>
      </c>
      <c r="C3886" s="8" t="s">
        <v>21</v>
      </c>
      <c r="K3886" s="8">
        <v>500.0</v>
      </c>
      <c r="N3886" s="7">
        <v>44312.0</v>
      </c>
    </row>
    <row r="3887">
      <c r="A3887" s="8">
        <v>3886.0</v>
      </c>
      <c r="B3887" s="8" t="s">
        <v>5193</v>
      </c>
      <c r="C3887" s="8" t="s">
        <v>21</v>
      </c>
      <c r="K3887" s="8">
        <v>20.0</v>
      </c>
      <c r="N3887" s="7">
        <v>44002.0</v>
      </c>
    </row>
    <row r="3888">
      <c r="A3888" s="8">
        <v>3887.0</v>
      </c>
      <c r="B3888" s="8" t="s">
        <v>5194</v>
      </c>
      <c r="C3888" s="8" t="s">
        <v>21</v>
      </c>
      <c r="N3888" s="7">
        <v>44686.0</v>
      </c>
    </row>
    <row r="3889">
      <c r="A3889" s="8">
        <v>3888.0</v>
      </c>
      <c r="B3889" s="8" t="s">
        <v>5195</v>
      </c>
      <c r="C3889" s="8" t="s">
        <v>21</v>
      </c>
      <c r="K3889" s="8">
        <v>350.0</v>
      </c>
      <c r="N3889" s="7">
        <v>44869.0</v>
      </c>
    </row>
    <row r="3890">
      <c r="A3890" s="8">
        <v>3889.0</v>
      </c>
      <c r="B3890" s="8" t="s">
        <v>5196</v>
      </c>
      <c r="C3890" s="8" t="s">
        <v>21</v>
      </c>
      <c r="K3890" s="8">
        <v>200.0</v>
      </c>
      <c r="N3890" s="7">
        <v>43270.0</v>
      </c>
    </row>
    <row r="3891">
      <c r="A3891" s="8">
        <v>3890.0</v>
      </c>
      <c r="B3891" s="8" t="s">
        <v>5197</v>
      </c>
      <c r="C3891" s="8" t="s">
        <v>21</v>
      </c>
      <c r="K3891" s="8">
        <v>1000.0</v>
      </c>
      <c r="N3891" s="7">
        <v>44265.0</v>
      </c>
    </row>
    <row r="3892">
      <c r="A3892" s="8">
        <v>3891.0</v>
      </c>
      <c r="B3892" s="8" t="s">
        <v>5198</v>
      </c>
      <c r="C3892" s="8" t="s">
        <v>21</v>
      </c>
      <c r="N3892" s="7">
        <v>45298.0</v>
      </c>
    </row>
    <row r="3893">
      <c r="A3893" s="8">
        <v>3892.0</v>
      </c>
      <c r="B3893" s="8" t="s">
        <v>5199</v>
      </c>
      <c r="C3893" s="8" t="s">
        <v>21</v>
      </c>
      <c r="K3893" s="8">
        <v>800.0</v>
      </c>
      <c r="N3893" s="7">
        <v>43192.0</v>
      </c>
    </row>
    <row r="3894">
      <c r="A3894" s="8">
        <v>3893.0</v>
      </c>
      <c r="B3894" s="8" t="s">
        <v>5200</v>
      </c>
      <c r="C3894" s="8" t="s">
        <v>21</v>
      </c>
      <c r="K3894" s="8">
        <v>1000.0</v>
      </c>
      <c r="N3894" s="7">
        <v>45873.0</v>
      </c>
    </row>
    <row r="3895">
      <c r="A3895" s="8">
        <v>3894.0</v>
      </c>
      <c r="B3895" s="8" t="s">
        <v>223</v>
      </c>
      <c r="C3895" s="8" t="s">
        <v>21</v>
      </c>
      <c r="K3895" s="8">
        <v>450.0</v>
      </c>
      <c r="N3895" s="7">
        <v>43849.0</v>
      </c>
    </row>
    <row r="3896">
      <c r="A3896" s="8">
        <v>3895.0</v>
      </c>
      <c r="B3896" s="8" t="s">
        <v>5201</v>
      </c>
      <c r="C3896" s="8" t="s">
        <v>21</v>
      </c>
      <c r="K3896" s="8">
        <v>600.0</v>
      </c>
      <c r="N3896" s="7">
        <v>44207.0</v>
      </c>
    </row>
    <row r="3897">
      <c r="A3897" s="8">
        <v>3896.0</v>
      </c>
      <c r="B3897" s="8" t="s">
        <v>5202</v>
      </c>
      <c r="C3897" s="8" t="s">
        <v>21</v>
      </c>
      <c r="D3897" s="8">
        <v>77.0</v>
      </c>
      <c r="H3897" s="8" t="s">
        <v>939</v>
      </c>
      <c r="I3897" s="9">
        <v>46100.97850694445</v>
      </c>
      <c r="J3897" s="8" t="s">
        <v>90</v>
      </c>
      <c r="K3897" s="8">
        <v>30.0</v>
      </c>
      <c r="L3897" s="8">
        <v>20.0</v>
      </c>
      <c r="M3897" s="8">
        <v>23000.0</v>
      </c>
      <c r="N3897" s="7">
        <v>44092.0</v>
      </c>
      <c r="O3897" s="8" t="s">
        <v>147</v>
      </c>
      <c r="P3897" s="8" t="s">
        <v>28</v>
      </c>
      <c r="S3897" s="8" t="s">
        <v>32</v>
      </c>
    </row>
    <row r="3898">
      <c r="A3898" s="8">
        <v>3897.0</v>
      </c>
      <c r="B3898" s="8" t="s">
        <v>5203</v>
      </c>
      <c r="C3898" s="8" t="s">
        <v>21</v>
      </c>
      <c r="K3898" s="8">
        <v>40.0</v>
      </c>
      <c r="N3898" s="7">
        <v>44374.0</v>
      </c>
    </row>
    <row r="3899">
      <c r="A3899" s="8">
        <v>3898.0</v>
      </c>
      <c r="B3899" s="8" t="s">
        <v>5204</v>
      </c>
      <c r="C3899" s="8" t="s">
        <v>21</v>
      </c>
      <c r="K3899" s="8">
        <v>800.0</v>
      </c>
      <c r="N3899" s="7">
        <v>44234.0</v>
      </c>
    </row>
    <row r="3900">
      <c r="A3900" s="8">
        <v>3899.0</v>
      </c>
      <c r="B3900" s="8" t="s">
        <v>5205</v>
      </c>
      <c r="C3900" s="8" t="s">
        <v>21</v>
      </c>
      <c r="N3900" s="7">
        <v>45873.0</v>
      </c>
    </row>
    <row r="3901">
      <c r="A3901" s="8">
        <v>3900.0</v>
      </c>
      <c r="B3901" s="8" t="s">
        <v>5206</v>
      </c>
      <c r="C3901" s="8" t="s">
        <v>21</v>
      </c>
      <c r="K3901" s="8">
        <v>5900.0</v>
      </c>
      <c r="N3901" s="7">
        <v>44430.0</v>
      </c>
    </row>
    <row r="3902">
      <c r="A3902" s="8">
        <v>3901.0</v>
      </c>
      <c r="B3902" s="8" t="s">
        <v>5207</v>
      </c>
      <c r="C3902" s="8" t="s">
        <v>21</v>
      </c>
      <c r="K3902" s="8">
        <v>300.0</v>
      </c>
      <c r="N3902" s="7">
        <v>45461.0</v>
      </c>
    </row>
    <row r="3903">
      <c r="A3903" s="8">
        <v>3902.0</v>
      </c>
      <c r="B3903" s="8" t="s">
        <v>5208</v>
      </c>
      <c r="C3903" s="8" t="s">
        <v>21</v>
      </c>
      <c r="K3903" s="8">
        <v>50.0</v>
      </c>
      <c r="N3903" s="7">
        <v>45254.0</v>
      </c>
    </row>
    <row r="3904">
      <c r="A3904" s="8">
        <v>3903.0</v>
      </c>
      <c r="B3904" s="8" t="s">
        <v>5209</v>
      </c>
      <c r="C3904" s="8" t="s">
        <v>21</v>
      </c>
      <c r="K3904" s="8">
        <v>65000.0</v>
      </c>
      <c r="N3904" s="7">
        <v>44477.0</v>
      </c>
    </row>
    <row r="3905">
      <c r="A3905" s="8">
        <v>3904.0</v>
      </c>
      <c r="B3905" s="8" t="s">
        <v>5210</v>
      </c>
      <c r="C3905" s="8" t="s">
        <v>21</v>
      </c>
      <c r="K3905" s="8">
        <v>300.0</v>
      </c>
      <c r="N3905" s="7">
        <v>43908.0</v>
      </c>
    </row>
    <row r="3906">
      <c r="A3906" s="8">
        <v>3905.0</v>
      </c>
      <c r="B3906" s="8" t="s">
        <v>5211</v>
      </c>
      <c r="C3906" s="8" t="s">
        <v>21</v>
      </c>
      <c r="K3906" s="8">
        <v>100.0</v>
      </c>
      <c r="N3906" s="7">
        <v>44962.0</v>
      </c>
    </row>
    <row r="3907">
      <c r="A3907" s="8">
        <v>3906.0</v>
      </c>
      <c r="B3907" s="8" t="s">
        <v>5212</v>
      </c>
      <c r="C3907" s="8" t="s">
        <v>21</v>
      </c>
      <c r="K3907" s="8">
        <v>800.0</v>
      </c>
      <c r="N3907" s="7">
        <v>44768.0</v>
      </c>
    </row>
    <row r="3908">
      <c r="A3908" s="8">
        <v>3907.0</v>
      </c>
      <c r="B3908" s="8" t="s">
        <v>5213</v>
      </c>
      <c r="C3908" s="8" t="s">
        <v>21</v>
      </c>
      <c r="K3908" s="8">
        <v>2700.0</v>
      </c>
      <c r="N3908" s="7">
        <v>43895.0</v>
      </c>
    </row>
    <row r="3909">
      <c r="A3909" s="8">
        <v>3908.0</v>
      </c>
      <c r="B3909" s="8" t="s">
        <v>5214</v>
      </c>
      <c r="C3909" s="8" t="s">
        <v>21</v>
      </c>
      <c r="K3909" s="8">
        <v>900.0</v>
      </c>
      <c r="N3909" s="7">
        <v>44180.0</v>
      </c>
    </row>
    <row r="3910">
      <c r="A3910" s="8">
        <v>3909.0</v>
      </c>
      <c r="B3910" s="8" t="s">
        <v>5215</v>
      </c>
      <c r="C3910" s="8" t="s">
        <v>21</v>
      </c>
      <c r="K3910" s="8">
        <v>30.0</v>
      </c>
      <c r="N3910" s="7">
        <v>44637.0</v>
      </c>
    </row>
    <row r="3911">
      <c r="A3911" s="8">
        <v>3910.0</v>
      </c>
      <c r="B3911" s="8" t="s">
        <v>5216</v>
      </c>
      <c r="C3911" s="8" t="s">
        <v>21</v>
      </c>
      <c r="K3911" s="8">
        <v>10.0</v>
      </c>
      <c r="N3911" s="7">
        <v>44804.0</v>
      </c>
    </row>
    <row r="3912">
      <c r="A3912" s="8">
        <v>3911.0</v>
      </c>
      <c r="B3912" s="8" t="s">
        <v>226</v>
      </c>
      <c r="C3912" s="8" t="s">
        <v>21</v>
      </c>
      <c r="K3912" s="8">
        <v>50.0</v>
      </c>
      <c r="N3912" s="7">
        <v>44581.0</v>
      </c>
    </row>
    <row r="3913">
      <c r="A3913" s="8">
        <v>3912.0</v>
      </c>
      <c r="B3913" s="8" t="s">
        <v>5217</v>
      </c>
      <c r="C3913" s="8" t="s">
        <v>21</v>
      </c>
      <c r="K3913" s="8">
        <v>30.0</v>
      </c>
      <c r="N3913" s="7">
        <v>44401.0</v>
      </c>
    </row>
    <row r="3914">
      <c r="A3914" s="8">
        <v>3913.0</v>
      </c>
      <c r="B3914" s="8" t="s">
        <v>5218</v>
      </c>
      <c r="C3914" s="8" t="s">
        <v>21</v>
      </c>
      <c r="K3914" s="8">
        <v>100.0</v>
      </c>
      <c r="N3914" s="7">
        <v>45294.0</v>
      </c>
    </row>
    <row r="3915">
      <c r="A3915" s="8">
        <v>3914.0</v>
      </c>
      <c r="B3915" s="8" t="s">
        <v>5219</v>
      </c>
      <c r="C3915" s="8" t="s">
        <v>21</v>
      </c>
      <c r="K3915" s="8">
        <v>20.0</v>
      </c>
      <c r="N3915" s="7">
        <v>44831.0</v>
      </c>
    </row>
    <row r="3916">
      <c r="A3916" s="8">
        <v>3915.0</v>
      </c>
      <c r="B3916" s="8" t="s">
        <v>5220</v>
      </c>
      <c r="C3916" s="8" t="s">
        <v>21</v>
      </c>
      <c r="K3916" s="8">
        <v>150.0</v>
      </c>
      <c r="N3916" s="7">
        <v>44521.0</v>
      </c>
    </row>
    <row r="3917">
      <c r="A3917" s="8">
        <v>3916.0</v>
      </c>
      <c r="B3917" s="8" t="s">
        <v>5221</v>
      </c>
      <c r="C3917" s="8" t="s">
        <v>21</v>
      </c>
      <c r="K3917" s="8">
        <v>900.0</v>
      </c>
      <c r="N3917" s="7">
        <v>44193.0</v>
      </c>
    </row>
    <row r="3918">
      <c r="A3918" s="8">
        <v>3917.0</v>
      </c>
      <c r="B3918" s="8" t="s">
        <v>5222</v>
      </c>
      <c r="C3918" s="8" t="s">
        <v>21</v>
      </c>
      <c r="K3918" s="8">
        <v>20.0</v>
      </c>
      <c r="N3918" s="7">
        <v>44672.0</v>
      </c>
    </row>
    <row r="3919">
      <c r="A3919" s="8">
        <v>3918.0</v>
      </c>
      <c r="B3919" s="8" t="s">
        <v>5223</v>
      </c>
      <c r="C3919" s="8" t="s">
        <v>21</v>
      </c>
      <c r="K3919" s="8">
        <v>4000.0</v>
      </c>
      <c r="N3919" s="7">
        <v>44574.0</v>
      </c>
    </row>
    <row r="3920">
      <c r="A3920" s="8">
        <v>3919.0</v>
      </c>
      <c r="B3920" s="8" t="s">
        <v>5224</v>
      </c>
      <c r="C3920" s="8" t="s">
        <v>21</v>
      </c>
      <c r="K3920" s="8">
        <v>10.0</v>
      </c>
      <c r="N3920" s="7">
        <v>44258.0</v>
      </c>
    </row>
    <row r="3921">
      <c r="A3921" s="8">
        <v>3920.0</v>
      </c>
      <c r="B3921" s="8" t="s">
        <v>5225</v>
      </c>
      <c r="C3921" s="8" t="s">
        <v>21</v>
      </c>
      <c r="K3921" s="8">
        <v>450.0</v>
      </c>
      <c r="N3921" s="7">
        <v>45411.0</v>
      </c>
    </row>
    <row r="3922">
      <c r="A3922" s="8">
        <v>3921.0</v>
      </c>
      <c r="B3922" s="8" t="s">
        <v>5226</v>
      </c>
      <c r="C3922" s="8" t="s">
        <v>21</v>
      </c>
      <c r="K3922" s="8">
        <v>900.0</v>
      </c>
      <c r="N3922" s="7">
        <v>42255.0</v>
      </c>
    </row>
    <row r="3923">
      <c r="A3923" s="8">
        <v>3922.0</v>
      </c>
      <c r="B3923" s="8" t="s">
        <v>5227</v>
      </c>
      <c r="C3923" s="8" t="s">
        <v>21</v>
      </c>
      <c r="K3923" s="8">
        <v>70.0</v>
      </c>
      <c r="N3923" s="7">
        <v>44796.0</v>
      </c>
    </row>
    <row r="3924">
      <c r="A3924" s="8">
        <v>3923.0</v>
      </c>
      <c r="B3924" s="8" t="s">
        <v>5228</v>
      </c>
      <c r="C3924" s="8" t="s">
        <v>21</v>
      </c>
      <c r="K3924" s="8">
        <v>900.0</v>
      </c>
      <c r="N3924" s="7">
        <v>45105.0</v>
      </c>
    </row>
    <row r="3925">
      <c r="A3925" s="8">
        <v>3924.0</v>
      </c>
      <c r="B3925" s="8" t="s">
        <v>5229</v>
      </c>
      <c r="C3925" s="8" t="s">
        <v>21</v>
      </c>
      <c r="K3925" s="8">
        <v>10.0</v>
      </c>
      <c r="N3925" s="7">
        <v>44032.0</v>
      </c>
    </row>
    <row r="3926">
      <c r="A3926" s="8">
        <v>3925.0</v>
      </c>
      <c r="B3926" s="8" t="s">
        <v>5230</v>
      </c>
      <c r="C3926" s="8" t="s">
        <v>21</v>
      </c>
      <c r="K3926" s="8">
        <v>50.0</v>
      </c>
      <c r="N3926" s="7">
        <v>44442.0</v>
      </c>
    </row>
    <row r="3927">
      <c r="A3927" s="8">
        <v>3926.0</v>
      </c>
      <c r="B3927" s="8" t="s">
        <v>5231</v>
      </c>
      <c r="C3927" s="8" t="s">
        <v>21</v>
      </c>
      <c r="K3927" s="8">
        <v>1900.0</v>
      </c>
      <c r="N3927" s="7">
        <v>44604.0</v>
      </c>
    </row>
    <row r="3928">
      <c r="A3928" s="8">
        <v>3927.0</v>
      </c>
      <c r="B3928" s="8" t="s">
        <v>5232</v>
      </c>
      <c r="C3928" s="8" t="s">
        <v>21</v>
      </c>
      <c r="K3928" s="8">
        <v>17000.0</v>
      </c>
      <c r="N3928" s="7">
        <v>45524.0</v>
      </c>
    </row>
    <row r="3929">
      <c r="A3929" s="8">
        <v>3928.0</v>
      </c>
      <c r="B3929" s="8" t="s">
        <v>5233</v>
      </c>
      <c r="C3929" s="8" t="s">
        <v>21</v>
      </c>
      <c r="K3929" s="8">
        <v>1700.0</v>
      </c>
      <c r="N3929" s="7">
        <v>44078.0</v>
      </c>
    </row>
    <row r="3930">
      <c r="A3930" s="8">
        <v>3929.0</v>
      </c>
      <c r="B3930" s="8" t="s">
        <v>5234</v>
      </c>
      <c r="C3930" s="8" t="s">
        <v>21</v>
      </c>
      <c r="K3930" s="8">
        <v>30.0</v>
      </c>
      <c r="N3930" s="7">
        <v>44918.0</v>
      </c>
    </row>
    <row r="3931">
      <c r="A3931" s="8">
        <v>3930.0</v>
      </c>
      <c r="B3931" s="8" t="s">
        <v>5235</v>
      </c>
      <c r="C3931" s="8" t="s">
        <v>21</v>
      </c>
      <c r="K3931" s="8">
        <v>350.0</v>
      </c>
      <c r="N3931" s="7">
        <v>44547.0</v>
      </c>
    </row>
    <row r="3932">
      <c r="A3932" s="8">
        <v>3931.0</v>
      </c>
      <c r="B3932" s="8" t="s">
        <v>5236</v>
      </c>
      <c r="C3932" s="8" t="s">
        <v>21</v>
      </c>
      <c r="K3932" s="8">
        <v>200.0</v>
      </c>
      <c r="N3932" s="7">
        <v>43921.0</v>
      </c>
    </row>
    <row r="3933">
      <c r="A3933" s="8">
        <v>3932.0</v>
      </c>
      <c r="B3933" s="8" t="s">
        <v>5237</v>
      </c>
      <c r="C3933" s="8" t="s">
        <v>21</v>
      </c>
      <c r="K3933" s="8">
        <v>80.0</v>
      </c>
      <c r="N3933" s="7">
        <v>44223.0</v>
      </c>
    </row>
    <row r="3934">
      <c r="A3934" s="8">
        <v>3933.0</v>
      </c>
      <c r="B3934" s="8" t="s">
        <v>5238</v>
      </c>
      <c r="C3934" s="8" t="s">
        <v>21</v>
      </c>
      <c r="K3934" s="8">
        <v>1400.0</v>
      </c>
      <c r="N3934" s="7">
        <v>44513.0</v>
      </c>
    </row>
    <row r="3935">
      <c r="A3935" s="8">
        <v>3934.0</v>
      </c>
      <c r="B3935" s="8" t="s">
        <v>5239</v>
      </c>
      <c r="C3935" s="8" t="s">
        <v>21</v>
      </c>
      <c r="K3935" s="8">
        <v>350.0</v>
      </c>
      <c r="N3935" s="7">
        <v>44694.0</v>
      </c>
    </row>
    <row r="3936">
      <c r="A3936" s="8">
        <v>3935.0</v>
      </c>
      <c r="B3936" s="8" t="s">
        <v>5240</v>
      </c>
      <c r="C3936" s="8" t="s">
        <v>21</v>
      </c>
      <c r="K3936" s="8">
        <v>10.0</v>
      </c>
      <c r="N3936" s="7">
        <v>44474.0</v>
      </c>
    </row>
    <row r="3937">
      <c r="A3937" s="8">
        <v>3936.0</v>
      </c>
      <c r="B3937" s="8" t="s">
        <v>5241</v>
      </c>
      <c r="C3937" s="8" t="s">
        <v>21</v>
      </c>
      <c r="K3937" s="8">
        <v>200.0</v>
      </c>
      <c r="N3937" s="7">
        <v>45075.0</v>
      </c>
    </row>
    <row r="3938">
      <c r="A3938" s="8">
        <v>3937.0</v>
      </c>
      <c r="B3938" s="8" t="s">
        <v>5242</v>
      </c>
      <c r="C3938" s="8" t="s">
        <v>21</v>
      </c>
      <c r="K3938" s="8">
        <v>30000.0</v>
      </c>
      <c r="N3938" s="7">
        <v>44112.0</v>
      </c>
    </row>
    <row r="3939">
      <c r="A3939" s="8">
        <v>3938.0</v>
      </c>
      <c r="B3939" s="8" t="s">
        <v>5243</v>
      </c>
      <c r="C3939" s="8" t="s">
        <v>21</v>
      </c>
      <c r="K3939" s="8">
        <v>10.0</v>
      </c>
      <c r="N3939" s="7">
        <v>44095.0</v>
      </c>
    </row>
    <row r="3940">
      <c r="A3940" s="8">
        <v>3939.0</v>
      </c>
      <c r="B3940" s="8" t="s">
        <v>5244</v>
      </c>
      <c r="C3940" s="8" t="s">
        <v>21</v>
      </c>
      <c r="K3940" s="8">
        <v>2600.0</v>
      </c>
      <c r="N3940" s="7">
        <v>44352.0</v>
      </c>
    </row>
    <row r="3941">
      <c r="A3941" s="8">
        <v>3940.0</v>
      </c>
      <c r="B3941" s="8" t="s">
        <v>297</v>
      </c>
      <c r="C3941" s="8" t="s">
        <v>21</v>
      </c>
      <c r="N3941" s="7">
        <v>44584.0</v>
      </c>
    </row>
    <row r="3942">
      <c r="A3942" s="8">
        <v>3941.0</v>
      </c>
      <c r="B3942" s="8" t="s">
        <v>5245</v>
      </c>
      <c r="C3942" s="8" t="s">
        <v>21</v>
      </c>
      <c r="N3942" s="7">
        <v>44238.0</v>
      </c>
    </row>
    <row r="3943">
      <c r="A3943" s="8">
        <v>3942.0</v>
      </c>
      <c r="B3943" s="8" t="s">
        <v>5246</v>
      </c>
      <c r="C3943" s="8" t="s">
        <v>21</v>
      </c>
      <c r="N3943" s="7">
        <v>44733.0</v>
      </c>
    </row>
    <row r="3944">
      <c r="A3944" s="8">
        <v>3943.0</v>
      </c>
      <c r="B3944" s="8" t="s">
        <v>299</v>
      </c>
      <c r="C3944" s="8" t="s">
        <v>21</v>
      </c>
      <c r="K3944" s="8">
        <v>450.0</v>
      </c>
      <c r="N3944" s="7">
        <v>45371.0</v>
      </c>
    </row>
    <row r="3945">
      <c r="A3945" s="8">
        <v>3944.0</v>
      </c>
      <c r="B3945" s="8" t="s">
        <v>302</v>
      </c>
      <c r="C3945" s="8" t="s">
        <v>21</v>
      </c>
      <c r="N3945" s="7">
        <v>44135.0</v>
      </c>
    </row>
    <row r="3946">
      <c r="A3946" s="8">
        <v>3945.0</v>
      </c>
      <c r="B3946" s="8" t="s">
        <v>5247</v>
      </c>
      <c r="C3946" s="8" t="s">
        <v>21</v>
      </c>
      <c r="N3946" s="7">
        <v>45284.0</v>
      </c>
    </row>
    <row r="3947">
      <c r="A3947" s="8">
        <v>3946.0</v>
      </c>
      <c r="B3947" s="8" t="s">
        <v>5248</v>
      </c>
      <c r="C3947" s="8" t="s">
        <v>21</v>
      </c>
      <c r="K3947" s="8">
        <v>30.0</v>
      </c>
      <c r="N3947" s="7">
        <v>45163.0</v>
      </c>
    </row>
    <row r="3948">
      <c r="A3948" s="8">
        <v>3947.0</v>
      </c>
      <c r="B3948" s="8" t="s">
        <v>5249</v>
      </c>
      <c r="C3948" s="8" t="s">
        <v>21</v>
      </c>
      <c r="K3948" s="8">
        <v>150.0</v>
      </c>
      <c r="N3948" s="7">
        <v>45284.0</v>
      </c>
    </row>
    <row r="3949">
      <c r="A3949" s="8">
        <v>3948.0</v>
      </c>
      <c r="B3949" s="8" t="s">
        <v>5250</v>
      </c>
      <c r="C3949" s="8" t="s">
        <v>21</v>
      </c>
      <c r="K3949" s="8">
        <v>2500.0</v>
      </c>
      <c r="N3949" s="7">
        <v>44859.0</v>
      </c>
    </row>
    <row r="3950">
      <c r="A3950" s="8">
        <v>3949.0</v>
      </c>
      <c r="B3950" s="8" t="s">
        <v>5251</v>
      </c>
      <c r="C3950" s="8" t="s">
        <v>21</v>
      </c>
      <c r="K3950" s="8">
        <v>40.0</v>
      </c>
      <c r="N3950" s="7">
        <v>44208.0</v>
      </c>
    </row>
    <row r="3951">
      <c r="A3951" s="8">
        <v>3950.0</v>
      </c>
      <c r="B3951" s="8" t="s">
        <v>5252</v>
      </c>
      <c r="C3951" s="8" t="s">
        <v>21</v>
      </c>
      <c r="K3951" s="8">
        <v>80.0</v>
      </c>
      <c r="N3951" s="7">
        <v>42416.0</v>
      </c>
    </row>
    <row r="3952">
      <c r="A3952" s="8">
        <v>3951.0</v>
      </c>
      <c r="B3952" s="8" t="s">
        <v>5253</v>
      </c>
      <c r="C3952" s="8" t="s">
        <v>21</v>
      </c>
      <c r="K3952" s="8">
        <v>10.0</v>
      </c>
      <c r="N3952" s="7">
        <v>44833.0</v>
      </c>
    </row>
    <row r="3953">
      <c r="A3953" s="8">
        <v>3952.0</v>
      </c>
      <c r="B3953" s="8" t="s">
        <v>5254</v>
      </c>
      <c r="C3953" s="8" t="s">
        <v>21</v>
      </c>
      <c r="K3953" s="8">
        <v>30.0</v>
      </c>
      <c r="N3953" s="7">
        <v>44122.0</v>
      </c>
    </row>
    <row r="3954">
      <c r="A3954" s="8">
        <v>3953.0</v>
      </c>
      <c r="B3954" s="8" t="s">
        <v>5255</v>
      </c>
      <c r="C3954" s="8" t="s">
        <v>21</v>
      </c>
      <c r="K3954" s="8">
        <v>10.0</v>
      </c>
      <c r="N3954" s="7">
        <v>43489.0</v>
      </c>
    </row>
    <row r="3955">
      <c r="A3955" s="8">
        <v>3954.0</v>
      </c>
      <c r="B3955" s="8" t="s">
        <v>5256</v>
      </c>
      <c r="C3955" s="8" t="s">
        <v>21</v>
      </c>
      <c r="K3955" s="8">
        <v>150.0</v>
      </c>
      <c r="N3955" s="7">
        <v>44672.0</v>
      </c>
    </row>
    <row r="3956">
      <c r="A3956" s="8">
        <v>3955.0</v>
      </c>
      <c r="B3956" s="8" t="s">
        <v>5257</v>
      </c>
      <c r="C3956" s="8" t="s">
        <v>21</v>
      </c>
      <c r="K3956" s="8">
        <v>150.0</v>
      </c>
      <c r="N3956" s="7">
        <v>44398.0</v>
      </c>
    </row>
    <row r="3957">
      <c r="A3957" s="8">
        <v>3956.0</v>
      </c>
      <c r="B3957" s="8" t="s">
        <v>304</v>
      </c>
      <c r="C3957" s="8" t="s">
        <v>21</v>
      </c>
      <c r="N3957" s="7">
        <v>44317.0</v>
      </c>
    </row>
    <row r="3958">
      <c r="A3958" s="8">
        <v>3957.0</v>
      </c>
      <c r="B3958" s="8" t="s">
        <v>5258</v>
      </c>
      <c r="C3958" s="8" t="s">
        <v>21</v>
      </c>
      <c r="K3958" s="8">
        <v>600.0</v>
      </c>
      <c r="N3958" s="7">
        <v>44614.0</v>
      </c>
    </row>
    <row r="3959">
      <c r="A3959" s="8">
        <v>3958.0</v>
      </c>
      <c r="B3959" s="8" t="s">
        <v>5259</v>
      </c>
      <c r="C3959" s="8" t="s">
        <v>21</v>
      </c>
      <c r="K3959" s="8">
        <v>300.0</v>
      </c>
      <c r="N3959" s="7">
        <v>43929.0</v>
      </c>
    </row>
    <row r="3960">
      <c r="A3960" s="8">
        <v>3959.0</v>
      </c>
      <c r="B3960" s="8" t="s">
        <v>5260</v>
      </c>
      <c r="C3960" s="8" t="s">
        <v>21</v>
      </c>
      <c r="K3960" s="8">
        <v>30.0</v>
      </c>
      <c r="N3960" s="7">
        <v>44868.0</v>
      </c>
    </row>
    <row r="3961">
      <c r="A3961" s="8">
        <v>3960.0</v>
      </c>
      <c r="B3961" s="8" t="s">
        <v>5261</v>
      </c>
      <c r="C3961" s="8" t="s">
        <v>21</v>
      </c>
      <c r="K3961" s="8">
        <v>21000.0</v>
      </c>
      <c r="N3961" s="7">
        <v>45985.0</v>
      </c>
    </row>
    <row r="3962">
      <c r="A3962" s="8">
        <v>3961.0</v>
      </c>
      <c r="B3962" s="8" t="s">
        <v>5262</v>
      </c>
      <c r="C3962" s="8" t="s">
        <v>21</v>
      </c>
      <c r="K3962" s="8">
        <v>150.0</v>
      </c>
      <c r="N3962" s="7">
        <v>45093.0</v>
      </c>
    </row>
    <row r="3963">
      <c r="A3963" s="8">
        <v>3962.0</v>
      </c>
      <c r="B3963" s="8" t="s">
        <v>5263</v>
      </c>
      <c r="C3963" s="8" t="s">
        <v>21</v>
      </c>
      <c r="K3963" s="8">
        <v>150.0</v>
      </c>
      <c r="N3963" s="7">
        <v>44323.0</v>
      </c>
    </row>
    <row r="3964">
      <c r="A3964" s="8">
        <v>3963.0</v>
      </c>
      <c r="B3964" s="8" t="s">
        <v>5264</v>
      </c>
      <c r="C3964" s="8" t="s">
        <v>21</v>
      </c>
      <c r="N3964" s="7">
        <v>44686.0</v>
      </c>
    </row>
    <row r="3965">
      <c r="A3965" s="8">
        <v>3964.0</v>
      </c>
      <c r="B3965" s="8" t="s">
        <v>5265</v>
      </c>
      <c r="C3965" s="8" t="s">
        <v>21</v>
      </c>
      <c r="K3965" s="8">
        <v>30.0</v>
      </c>
      <c r="N3965" s="7">
        <v>44510.0</v>
      </c>
    </row>
    <row r="3966">
      <c r="A3966" s="8">
        <v>3965.0</v>
      </c>
      <c r="B3966" s="8" t="s">
        <v>5266</v>
      </c>
      <c r="C3966" s="8" t="s">
        <v>21</v>
      </c>
      <c r="N3966" s="7">
        <v>44413.0</v>
      </c>
    </row>
    <row r="3967">
      <c r="A3967" s="8">
        <v>3966.0</v>
      </c>
      <c r="B3967" s="8" t="s">
        <v>5267</v>
      </c>
      <c r="C3967" s="8" t="s">
        <v>21</v>
      </c>
      <c r="K3967" s="8">
        <v>100.0</v>
      </c>
      <c r="N3967" s="7">
        <v>43877.0</v>
      </c>
    </row>
    <row r="3968">
      <c r="A3968" s="8">
        <v>3967.0</v>
      </c>
      <c r="B3968" s="8" t="s">
        <v>5268</v>
      </c>
      <c r="C3968" s="8" t="s">
        <v>21</v>
      </c>
      <c r="K3968" s="8">
        <v>150.0</v>
      </c>
      <c r="N3968" s="7">
        <v>44821.0</v>
      </c>
    </row>
    <row r="3969">
      <c r="A3969" s="8">
        <v>3968.0</v>
      </c>
      <c r="B3969" s="8" t="s">
        <v>5269</v>
      </c>
      <c r="C3969" s="8" t="s">
        <v>21</v>
      </c>
      <c r="N3969" s="7">
        <v>42325.0</v>
      </c>
    </row>
    <row r="3970">
      <c r="A3970" s="8">
        <v>3969.0</v>
      </c>
      <c r="B3970" s="8" t="s">
        <v>5270</v>
      </c>
      <c r="C3970" s="8" t="s">
        <v>21</v>
      </c>
      <c r="K3970" s="8">
        <v>1900.0</v>
      </c>
      <c r="N3970" s="7">
        <v>44193.0</v>
      </c>
    </row>
    <row r="3971">
      <c r="A3971" s="8">
        <v>3970.0</v>
      </c>
      <c r="B3971" s="8" t="s">
        <v>5271</v>
      </c>
      <c r="C3971" s="8" t="s">
        <v>21</v>
      </c>
      <c r="N3971" s="7">
        <v>43885.0</v>
      </c>
    </row>
    <row r="3972">
      <c r="A3972" s="8">
        <v>3971.0</v>
      </c>
      <c r="B3972" s="8" t="s">
        <v>5272</v>
      </c>
      <c r="C3972" s="8" t="s">
        <v>21</v>
      </c>
      <c r="K3972" s="8">
        <v>60.0</v>
      </c>
      <c r="N3972" s="7">
        <v>44960.0</v>
      </c>
    </row>
    <row r="3973">
      <c r="A3973" s="8">
        <v>3972.0</v>
      </c>
      <c r="B3973" s="8" t="s">
        <v>5273</v>
      </c>
      <c r="C3973" s="8" t="s">
        <v>21</v>
      </c>
      <c r="K3973" s="8">
        <v>100.0</v>
      </c>
      <c r="N3973" s="7">
        <v>44980.0</v>
      </c>
    </row>
    <row r="3974">
      <c r="A3974" s="8">
        <v>3973.0</v>
      </c>
      <c r="B3974" s="8" t="s">
        <v>5274</v>
      </c>
      <c r="C3974" s="8" t="s">
        <v>21</v>
      </c>
      <c r="K3974" s="8">
        <v>30.0</v>
      </c>
      <c r="N3974" s="7">
        <v>43894.0</v>
      </c>
    </row>
    <row r="3975">
      <c r="A3975" s="8">
        <v>3974.0</v>
      </c>
      <c r="B3975" s="8" t="s">
        <v>5275</v>
      </c>
      <c r="C3975" s="8" t="s">
        <v>21</v>
      </c>
      <c r="K3975" s="8">
        <v>30.0</v>
      </c>
      <c r="N3975" s="7">
        <v>44739.0</v>
      </c>
    </row>
    <row r="3976">
      <c r="A3976" s="8">
        <v>3975.0</v>
      </c>
      <c r="B3976" s="8" t="s">
        <v>5276</v>
      </c>
      <c r="C3976" s="8" t="s">
        <v>21</v>
      </c>
      <c r="K3976" s="8">
        <v>1300.0</v>
      </c>
      <c r="N3976" s="7">
        <v>44265.0</v>
      </c>
    </row>
    <row r="3977">
      <c r="A3977" s="8">
        <v>3976.0</v>
      </c>
      <c r="B3977" s="8" t="s">
        <v>5277</v>
      </c>
      <c r="C3977" s="8" t="s">
        <v>21</v>
      </c>
      <c r="K3977" s="8">
        <v>300.0</v>
      </c>
      <c r="N3977" s="7">
        <v>44061.0</v>
      </c>
    </row>
    <row r="3978">
      <c r="A3978" s="8">
        <v>3977.0</v>
      </c>
      <c r="B3978" s="8" t="s">
        <v>5278</v>
      </c>
      <c r="C3978" s="8" t="s">
        <v>21</v>
      </c>
      <c r="K3978" s="8">
        <v>100.0</v>
      </c>
      <c r="N3978" s="7">
        <v>43943.0</v>
      </c>
    </row>
    <row r="3979">
      <c r="A3979" s="8">
        <v>3978.0</v>
      </c>
      <c r="B3979" s="8" t="s">
        <v>5279</v>
      </c>
      <c r="C3979" s="8" t="s">
        <v>21</v>
      </c>
      <c r="K3979" s="8">
        <v>200.0</v>
      </c>
      <c r="N3979" s="7">
        <v>45023.0</v>
      </c>
    </row>
    <row r="3980">
      <c r="A3980" s="8">
        <v>3979.0</v>
      </c>
      <c r="B3980" s="8" t="s">
        <v>5280</v>
      </c>
      <c r="C3980" s="8" t="s">
        <v>21</v>
      </c>
      <c r="N3980" s="7">
        <v>42695.0</v>
      </c>
    </row>
    <row r="3981">
      <c r="A3981" s="8">
        <v>3980.0</v>
      </c>
      <c r="B3981" s="8" t="s">
        <v>5281</v>
      </c>
      <c r="C3981" s="8" t="s">
        <v>21</v>
      </c>
      <c r="N3981" s="7">
        <v>44604.0</v>
      </c>
    </row>
    <row r="3982">
      <c r="A3982" s="8">
        <v>3981.0</v>
      </c>
      <c r="B3982" s="8" t="s">
        <v>5282</v>
      </c>
      <c r="C3982" s="8" t="s">
        <v>21</v>
      </c>
      <c r="K3982" s="8">
        <v>150.0</v>
      </c>
      <c r="N3982" s="7">
        <v>44211.0</v>
      </c>
    </row>
    <row r="3983">
      <c r="A3983" s="8">
        <v>3982.0</v>
      </c>
      <c r="B3983" s="8" t="s">
        <v>5283</v>
      </c>
      <c r="C3983" s="8" t="s">
        <v>21</v>
      </c>
      <c r="K3983" s="8">
        <v>70.0</v>
      </c>
      <c r="N3983" s="7">
        <v>45561.0</v>
      </c>
    </row>
    <row r="3984">
      <c r="A3984" s="8">
        <v>3983.0</v>
      </c>
      <c r="B3984" s="8" t="s">
        <v>5284</v>
      </c>
      <c r="C3984" s="8" t="s">
        <v>21</v>
      </c>
      <c r="K3984" s="8">
        <v>200.0</v>
      </c>
      <c r="N3984" s="7">
        <v>44692.0</v>
      </c>
    </row>
    <row r="3985">
      <c r="A3985" s="8">
        <v>3984.0</v>
      </c>
      <c r="B3985" s="8" t="s">
        <v>5285</v>
      </c>
      <c r="C3985" s="8" t="s">
        <v>21</v>
      </c>
      <c r="K3985" s="8">
        <v>100.0</v>
      </c>
      <c r="N3985" s="7">
        <v>44742.0</v>
      </c>
    </row>
    <row r="3986">
      <c r="A3986" s="8">
        <v>3985.0</v>
      </c>
      <c r="B3986" s="8" t="s">
        <v>5286</v>
      </c>
      <c r="C3986" s="8" t="s">
        <v>21</v>
      </c>
      <c r="K3986" s="8">
        <v>20.0</v>
      </c>
      <c r="N3986" s="7">
        <v>43985.0</v>
      </c>
    </row>
    <row r="3987">
      <c r="A3987" s="8">
        <v>3986.0</v>
      </c>
      <c r="B3987" s="8" t="s">
        <v>5287</v>
      </c>
      <c r="C3987" s="8" t="s">
        <v>21</v>
      </c>
      <c r="K3987" s="8">
        <v>60.0</v>
      </c>
      <c r="N3987" s="7">
        <v>44166.0</v>
      </c>
    </row>
    <row r="3988">
      <c r="A3988" s="8">
        <v>3987.0</v>
      </c>
      <c r="B3988" s="8" t="s">
        <v>5288</v>
      </c>
      <c r="C3988" s="8" t="s">
        <v>21</v>
      </c>
      <c r="K3988" s="8">
        <v>50.0</v>
      </c>
      <c r="N3988" s="7">
        <v>45449.0</v>
      </c>
    </row>
    <row r="3989">
      <c r="A3989" s="8">
        <v>3988.0</v>
      </c>
      <c r="B3989" s="8" t="s">
        <v>305</v>
      </c>
      <c r="C3989" s="8" t="s">
        <v>21</v>
      </c>
      <c r="K3989" s="8">
        <v>250.0</v>
      </c>
      <c r="N3989" s="7">
        <v>44558.0</v>
      </c>
    </row>
    <row r="3990">
      <c r="A3990" s="8">
        <v>3989.0</v>
      </c>
      <c r="B3990" s="8" t="s">
        <v>5289</v>
      </c>
      <c r="C3990" s="8" t="s">
        <v>21</v>
      </c>
      <c r="K3990" s="8">
        <v>1100.0</v>
      </c>
      <c r="N3990" s="7">
        <v>44110.0</v>
      </c>
      <c r="O3990" s="8" t="s">
        <v>107</v>
      </c>
      <c r="P3990" s="8" t="s">
        <v>28</v>
      </c>
      <c r="S3990" s="8" t="s">
        <v>32</v>
      </c>
    </row>
    <row r="3991">
      <c r="A3991" s="8">
        <v>3990.0</v>
      </c>
      <c r="B3991" s="8" t="s">
        <v>5290</v>
      </c>
      <c r="C3991" s="8" t="s">
        <v>21</v>
      </c>
      <c r="N3991" s="7">
        <v>44686.0</v>
      </c>
    </row>
    <row r="3992">
      <c r="A3992" s="8">
        <v>3991.0</v>
      </c>
      <c r="B3992" s="8" t="s">
        <v>5291</v>
      </c>
      <c r="C3992" s="8" t="s">
        <v>21</v>
      </c>
      <c r="N3992" s="7">
        <v>42293.0</v>
      </c>
      <c r="O3992" s="8" t="s">
        <v>26</v>
      </c>
      <c r="P3992" s="8" t="s">
        <v>28</v>
      </c>
      <c r="S3992" s="8" t="s">
        <v>32</v>
      </c>
    </row>
    <row r="3993">
      <c r="A3993" s="8">
        <v>3992.0</v>
      </c>
      <c r="B3993" s="8" t="s">
        <v>5292</v>
      </c>
      <c r="C3993" s="8" t="s">
        <v>21</v>
      </c>
      <c r="K3993" s="8">
        <v>50.0</v>
      </c>
      <c r="N3993" s="7">
        <v>45107.0</v>
      </c>
    </row>
    <row r="3994">
      <c r="A3994" s="8">
        <v>3993.0</v>
      </c>
      <c r="B3994" s="8" t="s">
        <v>5293</v>
      </c>
      <c r="C3994" s="8" t="s">
        <v>21</v>
      </c>
      <c r="K3994" s="8">
        <v>200.0</v>
      </c>
      <c r="N3994" s="7">
        <v>44789.0</v>
      </c>
    </row>
    <row r="3995">
      <c r="A3995" s="8">
        <v>3994.0</v>
      </c>
      <c r="B3995" s="8" t="s">
        <v>5294</v>
      </c>
      <c r="C3995" s="8" t="s">
        <v>21</v>
      </c>
      <c r="K3995" s="8">
        <v>80.0</v>
      </c>
      <c r="N3995" s="7">
        <v>44183.0</v>
      </c>
    </row>
    <row r="3996">
      <c r="A3996" s="8">
        <v>3995.0</v>
      </c>
      <c r="B3996" s="8" t="s">
        <v>5295</v>
      </c>
      <c r="C3996" s="8" t="s">
        <v>21</v>
      </c>
      <c r="K3996" s="8">
        <v>600.0</v>
      </c>
      <c r="N3996" s="7">
        <v>44211.0</v>
      </c>
    </row>
    <row r="3997">
      <c r="A3997" s="8">
        <v>3996.0</v>
      </c>
      <c r="B3997" s="8" t="s">
        <v>5296</v>
      </c>
      <c r="C3997" s="8" t="s">
        <v>21</v>
      </c>
      <c r="K3997" s="8">
        <v>450.0</v>
      </c>
      <c r="N3997" s="7">
        <v>44597.0</v>
      </c>
    </row>
    <row r="3998">
      <c r="A3998" s="8">
        <v>3997.0</v>
      </c>
      <c r="B3998" s="8" t="s">
        <v>5297</v>
      </c>
      <c r="C3998" s="8" t="s">
        <v>21</v>
      </c>
      <c r="K3998" s="8">
        <v>200.0</v>
      </c>
      <c r="N3998" s="7">
        <v>44122.0</v>
      </c>
    </row>
    <row r="3999">
      <c r="A3999" s="8">
        <v>3998.0</v>
      </c>
      <c r="B3999" s="8" t="s">
        <v>5298</v>
      </c>
      <c r="C3999" s="8" t="s">
        <v>21</v>
      </c>
      <c r="K3999" s="8">
        <v>800.0</v>
      </c>
      <c r="N3999" s="7">
        <v>45171.0</v>
      </c>
    </row>
    <row r="4000">
      <c r="A4000" s="8">
        <v>3999.0</v>
      </c>
      <c r="B4000" s="8" t="s">
        <v>5299</v>
      </c>
      <c r="C4000" s="8" t="s">
        <v>21</v>
      </c>
      <c r="K4000" s="8">
        <v>200.0</v>
      </c>
      <c r="N4000" s="7">
        <v>44517.0</v>
      </c>
    </row>
    <row r="4001">
      <c r="A4001" s="8">
        <v>4000.0</v>
      </c>
      <c r="B4001" s="8" t="s">
        <v>3187</v>
      </c>
      <c r="C4001" s="8" t="s">
        <v>21</v>
      </c>
      <c r="D4001" s="8">
        <v>76.0</v>
      </c>
      <c r="H4001" s="8" t="s">
        <v>697</v>
      </c>
      <c r="I4001" s="9">
        <v>46155.64912037037</v>
      </c>
      <c r="J4001" s="8" t="s">
        <v>96</v>
      </c>
      <c r="K4001" s="8">
        <v>2300.0</v>
      </c>
      <c r="L4001" s="8">
        <v>250.0</v>
      </c>
      <c r="M4001" s="8">
        <v>246000.0</v>
      </c>
      <c r="N4001" s="7">
        <v>44245.0</v>
      </c>
      <c r="O4001" s="8" t="s">
        <v>147</v>
      </c>
      <c r="P4001" s="8" t="s">
        <v>28</v>
      </c>
      <c r="S4001" s="8" t="s">
        <v>32</v>
      </c>
    </row>
    <row r="4002">
      <c r="A4002" s="8">
        <v>4001.0</v>
      </c>
      <c r="B4002" s="8" t="s">
        <v>5300</v>
      </c>
      <c r="C4002" s="8" t="s">
        <v>21</v>
      </c>
      <c r="K4002" s="8">
        <v>70.0</v>
      </c>
      <c r="N4002" s="7">
        <v>44321.0</v>
      </c>
    </row>
    <row r="4003">
      <c r="A4003" s="8">
        <v>4002.0</v>
      </c>
      <c r="B4003" s="8" t="s">
        <v>5301</v>
      </c>
      <c r="C4003" s="8" t="s">
        <v>21</v>
      </c>
      <c r="K4003" s="8">
        <v>200.0</v>
      </c>
      <c r="N4003" s="7">
        <v>45490.0</v>
      </c>
    </row>
    <row r="4004">
      <c r="A4004" s="8">
        <v>4003.0</v>
      </c>
      <c r="B4004" s="8" t="s">
        <v>5302</v>
      </c>
      <c r="C4004" s="8" t="s">
        <v>21</v>
      </c>
      <c r="K4004" s="8">
        <v>150.0</v>
      </c>
      <c r="N4004" s="7">
        <v>44950.0</v>
      </c>
    </row>
    <row r="4005">
      <c r="A4005" s="8">
        <v>4004.0</v>
      </c>
      <c r="B4005" s="8" t="s">
        <v>5303</v>
      </c>
      <c r="C4005" s="8" t="s">
        <v>21</v>
      </c>
      <c r="K4005" s="8">
        <v>10.0</v>
      </c>
      <c r="N4005" s="7">
        <v>44214.0</v>
      </c>
    </row>
    <row r="4006">
      <c r="A4006" s="8">
        <v>4005.0</v>
      </c>
      <c r="B4006" s="8" t="s">
        <v>5304</v>
      </c>
      <c r="C4006" s="8" t="s">
        <v>21</v>
      </c>
      <c r="K4006" s="8">
        <v>2700.0</v>
      </c>
      <c r="N4006" s="7">
        <v>44610.0</v>
      </c>
    </row>
    <row r="4007">
      <c r="A4007" s="8">
        <v>4006.0</v>
      </c>
      <c r="B4007" s="8" t="s">
        <v>5305</v>
      </c>
      <c r="C4007" s="8" t="s">
        <v>21</v>
      </c>
      <c r="N4007" s="7">
        <v>45714.0</v>
      </c>
    </row>
    <row r="4008">
      <c r="A4008" s="8">
        <v>4007.0</v>
      </c>
      <c r="B4008" s="8" t="s">
        <v>5306</v>
      </c>
      <c r="C4008" s="8" t="s">
        <v>21</v>
      </c>
      <c r="K4008" s="8">
        <v>10.0</v>
      </c>
      <c r="N4008" s="7">
        <v>45439.0</v>
      </c>
    </row>
    <row r="4009">
      <c r="A4009" s="8">
        <v>4008.0</v>
      </c>
      <c r="B4009" s="8" t="s">
        <v>5307</v>
      </c>
      <c r="C4009" s="8" t="s">
        <v>21</v>
      </c>
      <c r="K4009" s="8">
        <v>10.0</v>
      </c>
      <c r="N4009" s="7">
        <v>44441.0</v>
      </c>
    </row>
    <row r="4010">
      <c r="A4010" s="8">
        <v>4009.0</v>
      </c>
      <c r="B4010" s="8" t="s">
        <v>5308</v>
      </c>
      <c r="C4010" s="8" t="s">
        <v>21</v>
      </c>
      <c r="K4010" s="8">
        <v>20000.0</v>
      </c>
      <c r="N4010" s="7">
        <v>44269.0</v>
      </c>
    </row>
    <row r="4011">
      <c r="A4011" s="8">
        <v>4010.0</v>
      </c>
      <c r="B4011" s="8" t="s">
        <v>5309</v>
      </c>
      <c r="C4011" s="8" t="s">
        <v>21</v>
      </c>
      <c r="K4011" s="8">
        <v>250.0</v>
      </c>
      <c r="N4011" s="7">
        <v>44186.0</v>
      </c>
    </row>
    <row r="4012">
      <c r="A4012" s="8">
        <v>4011.0</v>
      </c>
      <c r="B4012" s="8" t="s">
        <v>5310</v>
      </c>
      <c r="C4012" s="8" t="s">
        <v>21</v>
      </c>
      <c r="K4012" s="8">
        <v>10.0</v>
      </c>
      <c r="N4012" s="7">
        <v>45383.0</v>
      </c>
    </row>
    <row r="4013">
      <c r="A4013" s="8">
        <v>4012.0</v>
      </c>
      <c r="B4013" s="8" t="s">
        <v>5311</v>
      </c>
      <c r="C4013" s="8" t="s">
        <v>21</v>
      </c>
      <c r="K4013" s="8">
        <v>30.0</v>
      </c>
      <c r="N4013" s="7">
        <v>44651.0</v>
      </c>
    </row>
    <row r="4014">
      <c r="A4014" s="8">
        <v>4013.0</v>
      </c>
      <c r="B4014" s="8" t="s">
        <v>5312</v>
      </c>
      <c r="C4014" s="8" t="s">
        <v>21</v>
      </c>
      <c r="K4014" s="8">
        <v>30.0</v>
      </c>
      <c r="N4014" s="7">
        <v>44477.0</v>
      </c>
    </row>
    <row r="4015">
      <c r="A4015" s="8">
        <v>4014.0</v>
      </c>
      <c r="B4015" s="8" t="s">
        <v>5313</v>
      </c>
      <c r="C4015" s="8" t="s">
        <v>21</v>
      </c>
      <c r="K4015" s="8">
        <v>150.0</v>
      </c>
      <c r="N4015" s="7">
        <v>44528.0</v>
      </c>
    </row>
    <row r="4016">
      <c r="A4016" s="8">
        <v>4015.0</v>
      </c>
      <c r="B4016" s="8" t="s">
        <v>5314</v>
      </c>
      <c r="C4016" s="8" t="s">
        <v>21</v>
      </c>
      <c r="K4016" s="8">
        <v>10.0</v>
      </c>
      <c r="N4016" s="7">
        <v>43989.0</v>
      </c>
    </row>
    <row r="4017">
      <c r="A4017" s="8">
        <v>4016.0</v>
      </c>
      <c r="B4017" s="8" t="s">
        <v>5315</v>
      </c>
      <c r="C4017" s="8" t="s">
        <v>21</v>
      </c>
      <c r="K4017" s="8">
        <v>20.0</v>
      </c>
      <c r="N4017" s="7">
        <v>44304.0</v>
      </c>
    </row>
    <row r="4018">
      <c r="A4018" s="8">
        <v>4017.0</v>
      </c>
      <c r="B4018" s="8" t="s">
        <v>5316</v>
      </c>
      <c r="C4018" s="8" t="s">
        <v>21</v>
      </c>
      <c r="K4018" s="8">
        <v>10.0</v>
      </c>
      <c r="N4018" s="7">
        <v>43068.0</v>
      </c>
      <c r="Q4018" s="8" t="s">
        <v>5317</v>
      </c>
      <c r="R4018" s="8" t="s">
        <v>5318</v>
      </c>
    </row>
    <row r="4019">
      <c r="A4019" s="8">
        <v>4018.0</v>
      </c>
      <c r="B4019" s="8" t="s">
        <v>5319</v>
      </c>
      <c r="C4019" s="8" t="s">
        <v>21</v>
      </c>
      <c r="K4019" s="8">
        <v>600.0</v>
      </c>
      <c r="N4019" s="7">
        <v>43994.0</v>
      </c>
    </row>
    <row r="4020">
      <c r="A4020" s="8">
        <v>4019.0</v>
      </c>
      <c r="B4020" s="8" t="s">
        <v>5320</v>
      </c>
      <c r="C4020" s="8" t="s">
        <v>21</v>
      </c>
      <c r="K4020" s="8">
        <v>50.0</v>
      </c>
      <c r="N4020" s="7">
        <v>44280.0</v>
      </c>
    </row>
    <row r="4021">
      <c r="A4021" s="8">
        <v>4020.0</v>
      </c>
      <c r="B4021" s="8" t="s">
        <v>309</v>
      </c>
      <c r="C4021" s="8" t="s">
        <v>21</v>
      </c>
      <c r="K4021" s="8">
        <v>50.0</v>
      </c>
      <c r="N4021" s="7">
        <v>44331.0</v>
      </c>
    </row>
    <row r="4022">
      <c r="A4022" s="8">
        <v>4021.0</v>
      </c>
      <c r="B4022" s="8" t="s">
        <v>5321</v>
      </c>
      <c r="C4022" s="8" t="s">
        <v>21</v>
      </c>
      <c r="K4022" s="8">
        <v>800.0</v>
      </c>
      <c r="N4022" s="7">
        <v>44335.0</v>
      </c>
    </row>
    <row r="4023">
      <c r="A4023" s="8">
        <v>4022.0</v>
      </c>
      <c r="B4023" s="8" t="s">
        <v>5322</v>
      </c>
      <c r="C4023" s="8" t="s">
        <v>21</v>
      </c>
      <c r="K4023" s="8">
        <v>200.0</v>
      </c>
      <c r="N4023" s="7">
        <v>44830.0</v>
      </c>
    </row>
    <row r="4024">
      <c r="A4024" s="8">
        <v>4023.0</v>
      </c>
      <c r="B4024" s="8" t="s">
        <v>5323</v>
      </c>
      <c r="C4024" s="8" t="s">
        <v>21</v>
      </c>
      <c r="K4024" s="8">
        <v>81000.0</v>
      </c>
      <c r="N4024" s="7">
        <v>44439.0</v>
      </c>
    </row>
    <row r="4025">
      <c r="A4025" s="8">
        <v>4024.0</v>
      </c>
      <c r="B4025" s="8" t="s">
        <v>5324</v>
      </c>
      <c r="C4025" s="8" t="s">
        <v>21</v>
      </c>
      <c r="K4025" s="8">
        <v>1100.0</v>
      </c>
      <c r="N4025" s="7">
        <v>45983.0</v>
      </c>
    </row>
    <row r="4026">
      <c r="A4026" s="8">
        <v>4025.0</v>
      </c>
      <c r="B4026" s="8" t="s">
        <v>5325</v>
      </c>
      <c r="C4026" s="8" t="s">
        <v>21</v>
      </c>
      <c r="K4026" s="8">
        <v>10.0</v>
      </c>
      <c r="N4026" s="7">
        <v>44514.0</v>
      </c>
    </row>
    <row r="4027">
      <c r="A4027" s="8">
        <v>4026.0</v>
      </c>
      <c r="B4027" s="8" t="s">
        <v>5326</v>
      </c>
      <c r="C4027" s="8" t="s">
        <v>21</v>
      </c>
      <c r="K4027" s="8">
        <v>70.0</v>
      </c>
      <c r="N4027" s="7">
        <v>44576.0</v>
      </c>
    </row>
    <row r="4028">
      <c r="A4028" s="8">
        <v>4027.0</v>
      </c>
      <c r="B4028" s="8" t="s">
        <v>5327</v>
      </c>
      <c r="C4028" s="8" t="s">
        <v>21</v>
      </c>
      <c r="K4028" s="8">
        <v>80.0</v>
      </c>
      <c r="N4028" s="7">
        <v>44951.0</v>
      </c>
    </row>
    <row r="4029">
      <c r="A4029" s="8">
        <v>4028.0</v>
      </c>
      <c r="B4029" s="8" t="s">
        <v>5328</v>
      </c>
      <c r="C4029" s="8" t="s">
        <v>21</v>
      </c>
      <c r="K4029" s="8">
        <v>20.0</v>
      </c>
      <c r="N4029" s="7">
        <v>44438.0</v>
      </c>
    </row>
    <row r="4030">
      <c r="A4030" s="8">
        <v>4029.0</v>
      </c>
      <c r="B4030" s="8" t="s">
        <v>5329</v>
      </c>
      <c r="C4030" s="8" t="s">
        <v>21</v>
      </c>
      <c r="K4030" s="8">
        <v>250.0</v>
      </c>
      <c r="N4030" s="7">
        <v>43880.0</v>
      </c>
    </row>
    <row r="4031">
      <c r="A4031" s="8">
        <v>4030.0</v>
      </c>
      <c r="B4031" s="8" t="s">
        <v>5330</v>
      </c>
      <c r="C4031" s="8" t="s">
        <v>21</v>
      </c>
      <c r="N4031" s="7">
        <v>46066.0</v>
      </c>
    </row>
    <row r="4032">
      <c r="A4032" s="8">
        <v>4031.0</v>
      </c>
      <c r="B4032" s="8" t="s">
        <v>5331</v>
      </c>
      <c r="C4032" s="8" t="s">
        <v>21</v>
      </c>
      <c r="K4032" s="8">
        <v>900.0</v>
      </c>
      <c r="N4032" s="7">
        <v>45647.0</v>
      </c>
    </row>
    <row r="4033">
      <c r="A4033" s="8">
        <v>4032.0</v>
      </c>
      <c r="B4033" s="8" t="s">
        <v>5332</v>
      </c>
      <c r="C4033" s="8" t="s">
        <v>21</v>
      </c>
      <c r="K4033" s="8">
        <v>20.0</v>
      </c>
      <c r="N4033" s="7">
        <v>44764.0</v>
      </c>
    </row>
    <row r="4034">
      <c r="A4034" s="8">
        <v>4033.0</v>
      </c>
      <c r="B4034" s="8" t="s">
        <v>5333</v>
      </c>
      <c r="C4034" s="8" t="s">
        <v>21</v>
      </c>
      <c r="K4034" s="8">
        <v>40.0</v>
      </c>
      <c r="N4034" s="7">
        <v>44023.0</v>
      </c>
    </row>
    <row r="4035">
      <c r="A4035" s="8">
        <v>4034.0</v>
      </c>
      <c r="B4035" s="8" t="s">
        <v>5334</v>
      </c>
      <c r="C4035" s="8" t="s">
        <v>21</v>
      </c>
      <c r="K4035" s="8">
        <v>90.0</v>
      </c>
      <c r="N4035" s="7">
        <v>44792.0</v>
      </c>
    </row>
    <row r="4036">
      <c r="A4036" s="8">
        <v>4035.0</v>
      </c>
      <c r="B4036" s="8" t="s">
        <v>5335</v>
      </c>
      <c r="C4036" s="8" t="s">
        <v>21</v>
      </c>
      <c r="K4036" s="8">
        <v>450.0</v>
      </c>
      <c r="N4036" s="7">
        <v>44436.0</v>
      </c>
    </row>
    <row r="4037">
      <c r="A4037" s="8">
        <v>4036.0</v>
      </c>
      <c r="B4037" s="8" t="s">
        <v>5336</v>
      </c>
      <c r="C4037" s="8" t="s">
        <v>21</v>
      </c>
      <c r="K4037" s="8">
        <v>50.0</v>
      </c>
      <c r="N4037" s="7">
        <v>42861.0</v>
      </c>
    </row>
    <row r="4038">
      <c r="A4038" s="8">
        <v>4037.0</v>
      </c>
      <c r="B4038" s="8" t="s">
        <v>5337</v>
      </c>
      <c r="C4038" s="8" t="s">
        <v>21</v>
      </c>
      <c r="K4038" s="8">
        <v>200.0</v>
      </c>
      <c r="N4038" s="7">
        <v>44737.0</v>
      </c>
    </row>
    <row r="4039">
      <c r="A4039" s="8">
        <v>4038.0</v>
      </c>
      <c r="B4039" s="8" t="s">
        <v>5338</v>
      </c>
      <c r="C4039" s="8" t="s">
        <v>21</v>
      </c>
      <c r="K4039" s="8">
        <v>2000.0</v>
      </c>
      <c r="N4039" s="7">
        <v>45652.0</v>
      </c>
    </row>
    <row r="4040">
      <c r="A4040" s="8">
        <v>4039.0</v>
      </c>
      <c r="B4040" s="8" t="s">
        <v>5339</v>
      </c>
      <c r="C4040" s="8" t="s">
        <v>21</v>
      </c>
      <c r="K4040" s="8">
        <v>30.0</v>
      </c>
      <c r="N4040" s="7">
        <v>43899.0</v>
      </c>
    </row>
    <row r="4041">
      <c r="A4041" s="8">
        <v>4040.0</v>
      </c>
      <c r="B4041" s="8" t="s">
        <v>5340</v>
      </c>
      <c r="C4041" s="8" t="s">
        <v>21</v>
      </c>
      <c r="K4041" s="8">
        <v>50.0</v>
      </c>
      <c r="N4041" s="7">
        <v>44331.0</v>
      </c>
    </row>
    <row r="4042">
      <c r="A4042" s="8">
        <v>4041.0</v>
      </c>
      <c r="B4042" s="8" t="s">
        <v>5341</v>
      </c>
      <c r="C4042" s="8" t="s">
        <v>21</v>
      </c>
      <c r="K4042" s="8">
        <v>30.0</v>
      </c>
      <c r="N4042" s="7">
        <v>44338.0</v>
      </c>
    </row>
    <row r="4043">
      <c r="A4043" s="8">
        <v>4042.0</v>
      </c>
      <c r="B4043" s="8" t="s">
        <v>5342</v>
      </c>
      <c r="C4043" s="8" t="s">
        <v>21</v>
      </c>
      <c r="K4043" s="8">
        <v>200.0</v>
      </c>
      <c r="N4043" s="7">
        <v>44678.0</v>
      </c>
    </row>
    <row r="4044">
      <c r="A4044" s="8">
        <v>4043.0</v>
      </c>
      <c r="B4044" s="8" t="s">
        <v>5343</v>
      </c>
      <c r="C4044" s="8" t="s">
        <v>21</v>
      </c>
      <c r="N4044" s="7">
        <v>42364.0</v>
      </c>
    </row>
    <row r="4045">
      <c r="A4045" s="8">
        <v>4044.0</v>
      </c>
      <c r="B4045" s="8" t="s">
        <v>5344</v>
      </c>
      <c r="C4045" s="8" t="s">
        <v>21</v>
      </c>
      <c r="K4045" s="8">
        <v>100.0</v>
      </c>
      <c r="N4045" s="7">
        <v>44563.0</v>
      </c>
    </row>
    <row r="4046">
      <c r="A4046" s="8">
        <v>4045.0</v>
      </c>
      <c r="B4046" s="8" t="s">
        <v>5345</v>
      </c>
      <c r="C4046" s="8" t="s">
        <v>21</v>
      </c>
      <c r="K4046" s="8">
        <v>800.0</v>
      </c>
      <c r="N4046" s="7">
        <v>44943.0</v>
      </c>
    </row>
    <row r="4047">
      <c r="A4047" s="8">
        <v>4046.0</v>
      </c>
      <c r="B4047" s="8" t="s">
        <v>5346</v>
      </c>
      <c r="C4047" s="8" t="s">
        <v>21</v>
      </c>
      <c r="K4047" s="8">
        <v>10.0</v>
      </c>
      <c r="N4047" s="7">
        <v>44279.0</v>
      </c>
    </row>
    <row r="4048">
      <c r="A4048" s="8">
        <v>4047.0</v>
      </c>
      <c r="B4048" s="8" t="s">
        <v>5347</v>
      </c>
      <c r="C4048" s="8" t="s">
        <v>21</v>
      </c>
      <c r="N4048" s="7">
        <v>42524.0</v>
      </c>
    </row>
    <row r="4049">
      <c r="A4049" s="8">
        <v>4048.0</v>
      </c>
      <c r="B4049" s="8" t="s">
        <v>5348</v>
      </c>
      <c r="C4049" s="8" t="s">
        <v>21</v>
      </c>
      <c r="K4049" s="8">
        <v>80.0</v>
      </c>
      <c r="N4049" s="7">
        <v>44644.0</v>
      </c>
    </row>
    <row r="4050">
      <c r="A4050" s="8">
        <v>4049.0</v>
      </c>
      <c r="B4050" s="8" t="s">
        <v>5349</v>
      </c>
      <c r="C4050" s="8" t="s">
        <v>21</v>
      </c>
      <c r="N4050" s="7">
        <v>44288.0</v>
      </c>
    </row>
    <row r="4051">
      <c r="A4051" s="8">
        <v>4050.0</v>
      </c>
      <c r="B4051" s="8" t="s">
        <v>5350</v>
      </c>
      <c r="C4051" s="8" t="s">
        <v>21</v>
      </c>
      <c r="N4051" s="7">
        <v>45234.0</v>
      </c>
    </row>
    <row r="4052">
      <c r="A4052" s="8">
        <v>4051.0</v>
      </c>
      <c r="B4052" s="8" t="s">
        <v>5351</v>
      </c>
      <c r="C4052" s="8" t="s">
        <v>21</v>
      </c>
      <c r="K4052" s="8">
        <v>20.0</v>
      </c>
      <c r="N4052" s="7">
        <v>44017.0</v>
      </c>
    </row>
    <row r="4053">
      <c r="A4053" s="8">
        <v>4052.0</v>
      </c>
      <c r="B4053" s="8" t="s">
        <v>5352</v>
      </c>
      <c r="C4053" s="8" t="s">
        <v>21</v>
      </c>
      <c r="K4053" s="8">
        <v>80.0</v>
      </c>
      <c r="N4053" s="7">
        <v>45105.0</v>
      </c>
    </row>
    <row r="4054">
      <c r="A4054" s="8">
        <v>4053.0</v>
      </c>
      <c r="B4054" s="8" t="s">
        <v>5353</v>
      </c>
      <c r="C4054" s="8" t="s">
        <v>21</v>
      </c>
      <c r="K4054" s="8">
        <v>50.0</v>
      </c>
      <c r="N4054" s="7">
        <v>44260.0</v>
      </c>
    </row>
    <row r="4055">
      <c r="A4055" s="8">
        <v>4054.0</v>
      </c>
      <c r="B4055" s="8" t="s">
        <v>5354</v>
      </c>
      <c r="C4055" s="8" t="s">
        <v>21</v>
      </c>
      <c r="N4055" s="7">
        <v>43918.0</v>
      </c>
    </row>
    <row r="4056">
      <c r="A4056" s="8">
        <v>4055.0</v>
      </c>
      <c r="B4056" s="8" t="s">
        <v>5355</v>
      </c>
      <c r="C4056" s="8" t="s">
        <v>21</v>
      </c>
      <c r="K4056" s="8">
        <v>30.0</v>
      </c>
      <c r="N4056" s="7">
        <v>43989.0</v>
      </c>
    </row>
    <row r="4057">
      <c r="A4057" s="8">
        <v>4056.0</v>
      </c>
      <c r="B4057" s="8" t="s">
        <v>5356</v>
      </c>
      <c r="C4057" s="8" t="s">
        <v>21</v>
      </c>
      <c r="N4057" s="7">
        <v>44355.0</v>
      </c>
    </row>
    <row r="4058">
      <c r="A4058" s="8">
        <v>4057.0</v>
      </c>
      <c r="B4058" s="8" t="s">
        <v>5357</v>
      </c>
      <c r="C4058" s="8" t="s">
        <v>21</v>
      </c>
      <c r="N4058" s="7">
        <v>43955.0</v>
      </c>
    </row>
    <row r="4059">
      <c r="A4059" s="8">
        <v>4058.0</v>
      </c>
      <c r="B4059" s="8" t="s">
        <v>5358</v>
      </c>
      <c r="C4059" s="8" t="s">
        <v>21</v>
      </c>
      <c r="K4059" s="8">
        <v>300.0</v>
      </c>
      <c r="N4059" s="7">
        <v>44315.0</v>
      </c>
    </row>
    <row r="4060">
      <c r="A4060" s="8">
        <v>4059.0</v>
      </c>
      <c r="B4060" s="8" t="s">
        <v>5359</v>
      </c>
      <c r="C4060" s="8" t="s">
        <v>21</v>
      </c>
      <c r="N4060" s="7">
        <v>44240.0</v>
      </c>
      <c r="O4060" s="8" t="s">
        <v>31</v>
      </c>
      <c r="P4060" s="8" t="s">
        <v>28</v>
      </c>
      <c r="S4060" s="8" t="s">
        <v>32</v>
      </c>
    </row>
    <row r="4061">
      <c r="A4061" s="8">
        <v>4060.0</v>
      </c>
      <c r="B4061" s="8" t="s">
        <v>5360</v>
      </c>
      <c r="C4061" s="8" t="s">
        <v>21</v>
      </c>
      <c r="K4061" s="8">
        <v>60.0</v>
      </c>
      <c r="N4061" s="7">
        <v>45309.0</v>
      </c>
    </row>
    <row r="4062">
      <c r="A4062" s="8">
        <v>4061.0</v>
      </c>
      <c r="B4062" s="8" t="s">
        <v>5361</v>
      </c>
      <c r="C4062" s="8" t="s">
        <v>21</v>
      </c>
      <c r="K4062" s="8">
        <v>150.0</v>
      </c>
      <c r="N4062" s="7">
        <v>44032.0</v>
      </c>
    </row>
    <row r="4063">
      <c r="A4063" s="8">
        <v>4062.0</v>
      </c>
      <c r="B4063" s="8" t="s">
        <v>5362</v>
      </c>
      <c r="C4063" s="8" t="s">
        <v>21</v>
      </c>
      <c r="K4063" s="8">
        <v>5000.0</v>
      </c>
      <c r="N4063" s="7">
        <v>44578.0</v>
      </c>
    </row>
    <row r="4064">
      <c r="A4064" s="8">
        <v>4063.0</v>
      </c>
      <c r="B4064" s="8" t="s">
        <v>5363</v>
      </c>
      <c r="C4064" s="8" t="s">
        <v>21</v>
      </c>
      <c r="K4064" s="8">
        <v>10.0</v>
      </c>
      <c r="N4064" s="7">
        <v>44065.0</v>
      </c>
    </row>
    <row r="4065">
      <c r="A4065" s="8">
        <v>4064.0</v>
      </c>
      <c r="B4065" s="8" t="s">
        <v>5364</v>
      </c>
      <c r="C4065" s="8" t="s">
        <v>21</v>
      </c>
      <c r="K4065" s="8">
        <v>350.0</v>
      </c>
      <c r="N4065" s="7">
        <v>44256.0</v>
      </c>
    </row>
    <row r="4066">
      <c r="A4066" s="8">
        <v>4065.0</v>
      </c>
      <c r="B4066" s="8" t="s">
        <v>5365</v>
      </c>
      <c r="C4066" s="8" t="s">
        <v>21</v>
      </c>
      <c r="K4066" s="8">
        <v>300.0</v>
      </c>
      <c r="N4066" s="7">
        <v>44527.0</v>
      </c>
    </row>
    <row r="4067">
      <c r="A4067" s="8">
        <v>4066.0</v>
      </c>
      <c r="B4067" s="8" t="s">
        <v>5366</v>
      </c>
      <c r="C4067" s="8" t="s">
        <v>21</v>
      </c>
      <c r="K4067" s="8">
        <v>1100.0</v>
      </c>
      <c r="N4067" s="7">
        <v>44201.0</v>
      </c>
    </row>
    <row r="4068">
      <c r="A4068" s="8">
        <v>4067.0</v>
      </c>
      <c r="B4068" s="8" t="s">
        <v>5367</v>
      </c>
      <c r="C4068" s="8" t="s">
        <v>21</v>
      </c>
      <c r="K4068" s="8">
        <v>60.0</v>
      </c>
      <c r="N4068" s="7">
        <v>44117.0</v>
      </c>
    </row>
    <row r="4069">
      <c r="A4069" s="8">
        <v>4068.0</v>
      </c>
      <c r="B4069" s="8" t="s">
        <v>5368</v>
      </c>
      <c r="C4069" s="8" t="s">
        <v>21</v>
      </c>
      <c r="K4069" s="8">
        <v>19000.0</v>
      </c>
      <c r="N4069" s="7">
        <v>44632.0</v>
      </c>
    </row>
    <row r="4070">
      <c r="A4070" s="8">
        <v>4069.0</v>
      </c>
      <c r="B4070" s="8" t="s">
        <v>5369</v>
      </c>
      <c r="C4070" s="8" t="s">
        <v>21</v>
      </c>
      <c r="K4070" s="8">
        <v>600.0</v>
      </c>
      <c r="N4070" s="7">
        <v>44527.0</v>
      </c>
    </row>
    <row r="4071">
      <c r="A4071" s="8">
        <v>4070.0</v>
      </c>
      <c r="B4071" s="8" t="s">
        <v>5370</v>
      </c>
      <c r="C4071" s="8" t="s">
        <v>21</v>
      </c>
      <c r="K4071" s="8">
        <v>3600.0</v>
      </c>
      <c r="N4071" s="7">
        <v>43856.0</v>
      </c>
    </row>
    <row r="4072">
      <c r="A4072" s="8">
        <v>4071.0</v>
      </c>
      <c r="B4072" s="8" t="s">
        <v>5371</v>
      </c>
      <c r="C4072" s="8" t="s">
        <v>21</v>
      </c>
      <c r="N4072" s="7">
        <v>43903.0</v>
      </c>
    </row>
    <row r="4073">
      <c r="A4073" s="8">
        <v>4072.0</v>
      </c>
      <c r="B4073" s="8" t="s">
        <v>5372</v>
      </c>
      <c r="C4073" s="8" t="s">
        <v>21</v>
      </c>
      <c r="K4073" s="8">
        <v>10.0</v>
      </c>
      <c r="N4073" s="7">
        <v>46077.0</v>
      </c>
    </row>
    <row r="4074">
      <c r="A4074" s="8">
        <v>4073.0</v>
      </c>
      <c r="B4074" s="8" t="s">
        <v>5373</v>
      </c>
      <c r="C4074" s="8" t="s">
        <v>21</v>
      </c>
      <c r="K4074" s="8">
        <v>2800.0</v>
      </c>
      <c r="N4074" s="7">
        <v>44008.0</v>
      </c>
    </row>
    <row r="4075">
      <c r="A4075" s="8">
        <v>4074.0</v>
      </c>
      <c r="B4075" s="8" t="s">
        <v>5374</v>
      </c>
      <c r="C4075" s="8" t="s">
        <v>21</v>
      </c>
      <c r="K4075" s="8">
        <v>1000.0</v>
      </c>
      <c r="N4075" s="7">
        <v>44104.0</v>
      </c>
    </row>
    <row r="4076">
      <c r="A4076" s="8">
        <v>4075.0</v>
      </c>
      <c r="B4076" s="8" t="s">
        <v>5375</v>
      </c>
      <c r="C4076" s="8" t="s">
        <v>21</v>
      </c>
      <c r="K4076" s="8">
        <v>1400.0</v>
      </c>
      <c r="N4076" s="7">
        <v>43925.0</v>
      </c>
    </row>
    <row r="4077">
      <c r="A4077" s="8">
        <v>4076.0</v>
      </c>
      <c r="B4077" s="8" t="s">
        <v>311</v>
      </c>
      <c r="C4077" s="8" t="s">
        <v>21</v>
      </c>
      <c r="K4077" s="8">
        <v>150.0</v>
      </c>
      <c r="N4077" s="7">
        <v>44422.0</v>
      </c>
    </row>
    <row r="4078">
      <c r="A4078" s="8">
        <v>4077.0</v>
      </c>
      <c r="B4078" s="8" t="s">
        <v>5376</v>
      </c>
      <c r="C4078" s="8" t="s">
        <v>21</v>
      </c>
      <c r="N4078" s="7">
        <v>45289.0</v>
      </c>
    </row>
    <row r="4079">
      <c r="A4079" s="8">
        <v>4078.0</v>
      </c>
      <c r="B4079" s="8" t="s">
        <v>5377</v>
      </c>
      <c r="C4079" s="8" t="s">
        <v>21</v>
      </c>
      <c r="K4079" s="8">
        <v>3100.0</v>
      </c>
      <c r="N4079" s="7">
        <v>43284.0</v>
      </c>
    </row>
    <row r="4080">
      <c r="A4080" s="8">
        <v>4079.0</v>
      </c>
      <c r="B4080" s="8" t="s">
        <v>5378</v>
      </c>
      <c r="C4080" s="8" t="s">
        <v>21</v>
      </c>
      <c r="K4080" s="8">
        <v>30.0</v>
      </c>
      <c r="N4080" s="7">
        <v>44881.0</v>
      </c>
    </row>
    <row r="4081">
      <c r="A4081" s="8">
        <v>4080.0</v>
      </c>
      <c r="B4081" s="8" t="s">
        <v>5379</v>
      </c>
      <c r="C4081" s="8" t="s">
        <v>21</v>
      </c>
      <c r="K4081" s="8">
        <v>1300.0</v>
      </c>
      <c r="N4081" s="7">
        <v>44128.0</v>
      </c>
    </row>
    <row r="4082">
      <c r="A4082" s="8">
        <v>4081.0</v>
      </c>
      <c r="B4082" s="8" t="s">
        <v>5380</v>
      </c>
      <c r="C4082" s="8" t="s">
        <v>21</v>
      </c>
      <c r="K4082" s="8">
        <v>800.0</v>
      </c>
      <c r="N4082" s="7">
        <v>44775.0</v>
      </c>
    </row>
    <row r="4083">
      <c r="A4083" s="8">
        <v>4082.0</v>
      </c>
      <c r="B4083" s="8" t="s">
        <v>5381</v>
      </c>
      <c r="C4083" s="8" t="s">
        <v>21</v>
      </c>
      <c r="N4083" s="7">
        <v>43883.0</v>
      </c>
    </row>
    <row r="4084">
      <c r="A4084" s="8">
        <v>4083.0</v>
      </c>
      <c r="B4084" s="8" t="s">
        <v>5382</v>
      </c>
      <c r="C4084" s="8" t="s">
        <v>21</v>
      </c>
      <c r="K4084" s="8">
        <v>2100.0</v>
      </c>
      <c r="N4084" s="7">
        <v>44765.0</v>
      </c>
    </row>
    <row r="4085">
      <c r="A4085" s="8">
        <v>4084.0</v>
      </c>
      <c r="B4085" s="8" t="s">
        <v>5383</v>
      </c>
      <c r="C4085" s="8" t="s">
        <v>21</v>
      </c>
      <c r="K4085" s="8">
        <v>5600.0</v>
      </c>
      <c r="N4085" s="7">
        <v>43872.0</v>
      </c>
    </row>
    <row r="4086">
      <c r="A4086" s="8">
        <v>4085.0</v>
      </c>
      <c r="B4086" s="8" t="s">
        <v>5384</v>
      </c>
      <c r="C4086" s="8" t="s">
        <v>21</v>
      </c>
      <c r="K4086" s="8">
        <v>70.0</v>
      </c>
      <c r="N4086" s="7">
        <v>45012.0</v>
      </c>
    </row>
    <row r="4087">
      <c r="A4087" s="8">
        <v>4086.0</v>
      </c>
      <c r="B4087" s="8" t="s">
        <v>5385</v>
      </c>
      <c r="C4087" s="8" t="s">
        <v>21</v>
      </c>
      <c r="K4087" s="8">
        <v>1100.0</v>
      </c>
      <c r="N4087" s="7">
        <v>44080.0</v>
      </c>
    </row>
    <row r="4088">
      <c r="A4088" s="8">
        <v>4087.0</v>
      </c>
      <c r="B4088" s="8" t="s">
        <v>5386</v>
      </c>
      <c r="C4088" s="8" t="s">
        <v>21</v>
      </c>
      <c r="K4088" s="8">
        <v>250.0</v>
      </c>
      <c r="N4088" s="7">
        <v>45111.0</v>
      </c>
    </row>
    <row r="4089">
      <c r="A4089" s="8">
        <v>4088.0</v>
      </c>
      <c r="B4089" s="8" t="s">
        <v>314</v>
      </c>
      <c r="C4089" s="8" t="s">
        <v>21</v>
      </c>
      <c r="K4089" s="8">
        <v>100.0</v>
      </c>
      <c r="N4089" s="7">
        <v>44606.0</v>
      </c>
    </row>
    <row r="4090">
      <c r="A4090" s="8">
        <v>4089.0</v>
      </c>
      <c r="B4090" s="8" t="s">
        <v>316</v>
      </c>
      <c r="C4090" s="8" t="s">
        <v>21</v>
      </c>
      <c r="K4090" s="8">
        <v>20.0</v>
      </c>
      <c r="N4090" s="7">
        <v>45124.0</v>
      </c>
    </row>
    <row r="4091">
      <c r="A4091" s="8">
        <v>4090.0</v>
      </c>
      <c r="B4091" s="8" t="s">
        <v>5387</v>
      </c>
      <c r="C4091" s="8" t="s">
        <v>21</v>
      </c>
      <c r="K4091" s="8">
        <v>9100.0</v>
      </c>
      <c r="N4091" s="7">
        <v>44368.0</v>
      </c>
    </row>
    <row r="4092">
      <c r="A4092" s="8">
        <v>4091.0</v>
      </c>
      <c r="B4092" s="8" t="s">
        <v>5388</v>
      </c>
      <c r="C4092" s="8" t="s">
        <v>21</v>
      </c>
      <c r="K4092" s="8">
        <v>20.0</v>
      </c>
      <c r="N4092" s="7">
        <v>44808.0</v>
      </c>
    </row>
    <row r="4093">
      <c r="A4093" s="8">
        <v>4092.0</v>
      </c>
      <c r="B4093" s="8" t="s">
        <v>5389</v>
      </c>
      <c r="C4093" s="8" t="s">
        <v>21</v>
      </c>
      <c r="K4093" s="8">
        <v>1800.0</v>
      </c>
      <c r="N4093" s="7">
        <v>44399.0</v>
      </c>
    </row>
    <row r="4094">
      <c r="A4094" s="8">
        <v>4093.0</v>
      </c>
      <c r="B4094" s="8" t="s">
        <v>5390</v>
      </c>
      <c r="C4094" s="8" t="s">
        <v>21</v>
      </c>
      <c r="N4094" s="7">
        <v>45035.0</v>
      </c>
    </row>
    <row r="4095">
      <c r="A4095" s="8">
        <v>4094.0</v>
      </c>
      <c r="B4095" s="8" t="s">
        <v>5391</v>
      </c>
      <c r="C4095" s="8" t="s">
        <v>21</v>
      </c>
      <c r="K4095" s="8">
        <v>900.0</v>
      </c>
      <c r="N4095" s="7">
        <v>45066.0</v>
      </c>
    </row>
    <row r="4096">
      <c r="A4096" s="8">
        <v>4095.0</v>
      </c>
      <c r="B4096" s="8" t="s">
        <v>5392</v>
      </c>
      <c r="C4096" s="8" t="s">
        <v>21</v>
      </c>
      <c r="K4096" s="8">
        <v>350.0</v>
      </c>
      <c r="N4096" s="7">
        <v>43988.0</v>
      </c>
    </row>
    <row r="4097">
      <c r="A4097" s="8">
        <v>4096.0</v>
      </c>
      <c r="B4097" s="8" t="s">
        <v>5393</v>
      </c>
      <c r="C4097" s="8" t="s">
        <v>21</v>
      </c>
      <c r="K4097" s="8">
        <v>150.0</v>
      </c>
      <c r="N4097" s="7">
        <v>44086.0</v>
      </c>
    </row>
    <row r="4098">
      <c r="A4098" s="8">
        <v>4097.0</v>
      </c>
      <c r="B4098" s="8" t="s">
        <v>5394</v>
      </c>
      <c r="C4098" s="8" t="s">
        <v>21</v>
      </c>
      <c r="K4098" s="8">
        <v>10.0</v>
      </c>
      <c r="N4098" s="7">
        <v>44369.0</v>
      </c>
    </row>
    <row r="4099">
      <c r="A4099" s="8">
        <v>4098.0</v>
      </c>
      <c r="B4099" s="8" t="s">
        <v>5395</v>
      </c>
      <c r="C4099" s="8" t="s">
        <v>21</v>
      </c>
      <c r="K4099" s="8">
        <v>150.0</v>
      </c>
      <c r="N4099" s="7">
        <v>44746.0</v>
      </c>
    </row>
    <row r="4100">
      <c r="A4100" s="8">
        <v>4099.0</v>
      </c>
      <c r="B4100" s="8" t="s">
        <v>5396</v>
      </c>
      <c r="C4100" s="8" t="s">
        <v>21</v>
      </c>
      <c r="K4100" s="8">
        <v>450.0</v>
      </c>
      <c r="N4100" s="7">
        <v>43914.0</v>
      </c>
    </row>
    <row r="4101">
      <c r="A4101" s="8">
        <v>4100.0</v>
      </c>
      <c r="B4101" s="8" t="s">
        <v>5397</v>
      </c>
      <c r="C4101" s="8" t="s">
        <v>21</v>
      </c>
      <c r="K4101" s="8">
        <v>30.0</v>
      </c>
      <c r="N4101" s="7">
        <v>44858.0</v>
      </c>
    </row>
    <row r="4102">
      <c r="A4102" s="8">
        <v>4101.0</v>
      </c>
      <c r="B4102" s="8" t="s">
        <v>5398</v>
      </c>
      <c r="C4102" s="8" t="s">
        <v>21</v>
      </c>
      <c r="K4102" s="8">
        <v>900.0</v>
      </c>
      <c r="N4102" s="7">
        <v>44800.0</v>
      </c>
    </row>
    <row r="4103">
      <c r="A4103" s="8">
        <v>4102.0</v>
      </c>
      <c r="B4103" s="8" t="s">
        <v>5399</v>
      </c>
      <c r="C4103" s="8" t="s">
        <v>21</v>
      </c>
      <c r="K4103" s="8">
        <v>50.0</v>
      </c>
      <c r="N4103" s="7">
        <v>43878.0</v>
      </c>
      <c r="O4103" s="8" t="s">
        <v>107</v>
      </c>
      <c r="P4103" s="8" t="s">
        <v>28</v>
      </c>
      <c r="S4103" s="8" t="s">
        <v>32</v>
      </c>
    </row>
    <row r="4104">
      <c r="A4104" s="8">
        <v>4103.0</v>
      </c>
      <c r="B4104" s="8" t="s">
        <v>5400</v>
      </c>
      <c r="C4104" s="8" t="s">
        <v>21</v>
      </c>
      <c r="K4104" s="8">
        <v>30.0</v>
      </c>
      <c r="N4104" s="7">
        <v>45457.0</v>
      </c>
    </row>
    <row r="4105">
      <c r="A4105" s="8">
        <v>4104.0</v>
      </c>
      <c r="B4105" s="8" t="s">
        <v>5401</v>
      </c>
      <c r="C4105" s="8" t="s">
        <v>21</v>
      </c>
      <c r="K4105" s="8">
        <v>20.0</v>
      </c>
      <c r="N4105" s="7">
        <v>44265.0</v>
      </c>
    </row>
    <row r="4106">
      <c r="A4106" s="8">
        <v>4105.0</v>
      </c>
      <c r="B4106" s="8" t="s">
        <v>5402</v>
      </c>
      <c r="C4106" s="8" t="s">
        <v>21</v>
      </c>
      <c r="K4106" s="8">
        <v>10.0</v>
      </c>
      <c r="N4106" s="7">
        <v>45147.0</v>
      </c>
    </row>
    <row r="4107">
      <c r="A4107" s="8">
        <v>4106.0</v>
      </c>
      <c r="B4107" s="8" t="s">
        <v>5403</v>
      </c>
      <c r="C4107" s="8" t="s">
        <v>21</v>
      </c>
      <c r="K4107" s="8">
        <v>1500.0</v>
      </c>
      <c r="N4107" s="7">
        <v>44878.0</v>
      </c>
    </row>
    <row r="4108">
      <c r="A4108" s="8">
        <v>4107.0</v>
      </c>
      <c r="B4108" s="8" t="s">
        <v>5404</v>
      </c>
      <c r="C4108" s="8" t="s">
        <v>21</v>
      </c>
      <c r="K4108" s="8">
        <v>40.0</v>
      </c>
      <c r="N4108" s="7">
        <v>44412.0</v>
      </c>
    </row>
    <row r="4109">
      <c r="A4109" s="8">
        <v>4108.0</v>
      </c>
      <c r="B4109" s="8" t="s">
        <v>5405</v>
      </c>
      <c r="C4109" s="8" t="s">
        <v>21</v>
      </c>
      <c r="K4109" s="8">
        <v>1800.0</v>
      </c>
      <c r="N4109" s="7">
        <v>45466.0</v>
      </c>
    </row>
    <row r="4110">
      <c r="A4110" s="8">
        <v>4109.0</v>
      </c>
      <c r="B4110" s="8" t="s">
        <v>3206</v>
      </c>
      <c r="C4110" s="8" t="s">
        <v>21</v>
      </c>
      <c r="D4110" s="8">
        <v>77.0</v>
      </c>
      <c r="H4110" s="8" t="s">
        <v>123</v>
      </c>
      <c r="I4110" s="9">
        <v>46083.35837962963</v>
      </c>
      <c r="J4110" s="8" t="s">
        <v>58</v>
      </c>
      <c r="K4110" s="8">
        <v>800.0</v>
      </c>
      <c r="L4110" s="8">
        <v>600.0</v>
      </c>
      <c r="M4110" s="8">
        <v>212000.0</v>
      </c>
      <c r="N4110" s="7">
        <v>44242.0</v>
      </c>
      <c r="O4110" s="8" t="s">
        <v>107</v>
      </c>
      <c r="P4110" s="8" t="s">
        <v>28</v>
      </c>
      <c r="S4110" s="8" t="s">
        <v>32</v>
      </c>
    </row>
    <row r="4111">
      <c r="A4111" s="8">
        <v>4110.0</v>
      </c>
      <c r="B4111" s="8" t="s">
        <v>5406</v>
      </c>
      <c r="C4111" s="8" t="s">
        <v>21</v>
      </c>
      <c r="K4111" s="8">
        <v>4000.0</v>
      </c>
      <c r="N4111" s="7">
        <v>44620.0</v>
      </c>
    </row>
    <row r="4112">
      <c r="A4112" s="8">
        <v>4111.0</v>
      </c>
      <c r="B4112" s="8" t="s">
        <v>5407</v>
      </c>
      <c r="C4112" s="8" t="s">
        <v>21</v>
      </c>
      <c r="N4112" s="7">
        <v>44437.0</v>
      </c>
      <c r="O4112" s="8" t="s">
        <v>26</v>
      </c>
      <c r="P4112" s="8" t="s">
        <v>28</v>
      </c>
      <c r="S4112" s="8" t="s">
        <v>32</v>
      </c>
    </row>
    <row r="4113">
      <c r="A4113" s="8">
        <v>4112.0</v>
      </c>
      <c r="B4113" s="8" t="s">
        <v>5408</v>
      </c>
      <c r="C4113" s="8" t="s">
        <v>21</v>
      </c>
      <c r="K4113" s="8">
        <v>1900.0</v>
      </c>
      <c r="N4113" s="7">
        <v>45101.0</v>
      </c>
    </row>
    <row r="4114">
      <c r="A4114" s="8">
        <v>4113.0</v>
      </c>
      <c r="B4114" s="8" t="s">
        <v>5409</v>
      </c>
      <c r="C4114" s="8" t="s">
        <v>21</v>
      </c>
      <c r="K4114" s="8">
        <v>450.0</v>
      </c>
      <c r="N4114" s="7">
        <v>43878.0</v>
      </c>
    </row>
    <row r="4115">
      <c r="A4115" s="8">
        <v>4114.0</v>
      </c>
      <c r="B4115" s="8" t="s">
        <v>5410</v>
      </c>
      <c r="C4115" s="8" t="s">
        <v>21</v>
      </c>
      <c r="N4115" s="7">
        <v>45250.0</v>
      </c>
    </row>
    <row r="4116">
      <c r="A4116" s="8">
        <v>4115.0</v>
      </c>
      <c r="B4116" s="8" t="s">
        <v>5411</v>
      </c>
      <c r="C4116" s="8" t="s">
        <v>21</v>
      </c>
      <c r="K4116" s="8">
        <v>20.0</v>
      </c>
      <c r="N4116" s="7">
        <v>44712.0</v>
      </c>
    </row>
    <row r="4117">
      <c r="A4117" s="8">
        <v>4116.0</v>
      </c>
      <c r="B4117" s="8" t="s">
        <v>5412</v>
      </c>
      <c r="C4117" s="8" t="s">
        <v>21</v>
      </c>
      <c r="K4117" s="8">
        <v>20.0</v>
      </c>
      <c r="N4117" s="7">
        <v>44425.0</v>
      </c>
    </row>
    <row r="4118">
      <c r="A4118" s="8">
        <v>4117.0</v>
      </c>
      <c r="B4118" s="8" t="s">
        <v>5413</v>
      </c>
      <c r="C4118" s="8" t="s">
        <v>21</v>
      </c>
      <c r="K4118" s="8">
        <v>1400.0</v>
      </c>
      <c r="N4118" s="7">
        <v>43412.0</v>
      </c>
    </row>
    <row r="4119">
      <c r="A4119" s="8">
        <v>4118.0</v>
      </c>
      <c r="B4119" s="8" t="s">
        <v>5414</v>
      </c>
      <c r="C4119" s="8" t="s">
        <v>21</v>
      </c>
      <c r="K4119" s="8">
        <v>150.0</v>
      </c>
      <c r="N4119" s="7">
        <v>44745.0</v>
      </c>
    </row>
    <row r="4120">
      <c r="A4120" s="8">
        <v>4119.0</v>
      </c>
      <c r="B4120" s="8" t="s">
        <v>5415</v>
      </c>
      <c r="C4120" s="8" t="s">
        <v>21</v>
      </c>
      <c r="K4120" s="8">
        <v>15000.0</v>
      </c>
      <c r="N4120" s="7">
        <v>45491.0</v>
      </c>
    </row>
    <row r="4121">
      <c r="A4121" s="8">
        <v>4120.0</v>
      </c>
      <c r="B4121" s="8" t="s">
        <v>5416</v>
      </c>
      <c r="C4121" s="8" t="s">
        <v>21</v>
      </c>
      <c r="K4121" s="8">
        <v>40.0</v>
      </c>
      <c r="N4121" s="7">
        <v>44146.0</v>
      </c>
    </row>
    <row r="4122">
      <c r="A4122" s="8">
        <v>4121.0</v>
      </c>
      <c r="B4122" s="8" t="s">
        <v>5417</v>
      </c>
      <c r="C4122" s="8" t="s">
        <v>21</v>
      </c>
      <c r="K4122" s="8">
        <v>50.0</v>
      </c>
      <c r="N4122" s="7">
        <v>44477.0</v>
      </c>
    </row>
    <row r="4123">
      <c r="A4123" s="8">
        <v>4122.0</v>
      </c>
      <c r="B4123" s="8" t="s">
        <v>5418</v>
      </c>
      <c r="C4123" s="8" t="s">
        <v>21</v>
      </c>
      <c r="K4123" s="8">
        <v>20.0</v>
      </c>
      <c r="N4123" s="7">
        <v>45873.0</v>
      </c>
    </row>
    <row r="4124">
      <c r="A4124" s="8">
        <v>4123.0</v>
      </c>
      <c r="B4124" s="8" t="s">
        <v>3210</v>
      </c>
      <c r="C4124" s="8" t="s">
        <v>21</v>
      </c>
      <c r="D4124" s="8">
        <v>47.0</v>
      </c>
      <c r="H4124" s="8" t="s">
        <v>744</v>
      </c>
      <c r="I4124" s="9">
        <v>46098.18724537037</v>
      </c>
      <c r="J4124" s="8" t="s">
        <v>62</v>
      </c>
      <c r="L4124" s="8">
        <v>141000.0</v>
      </c>
      <c r="M4124" s="8">
        <v>145000.0</v>
      </c>
      <c r="N4124" s="7">
        <v>42508.0</v>
      </c>
      <c r="O4124" s="8" t="s">
        <v>26</v>
      </c>
      <c r="P4124" s="8" t="s">
        <v>28</v>
      </c>
      <c r="S4124" s="8" t="s">
        <v>32</v>
      </c>
    </row>
    <row r="4125">
      <c r="A4125" s="8">
        <v>4124.0</v>
      </c>
      <c r="B4125" s="8" t="s">
        <v>5419</v>
      </c>
      <c r="C4125" s="8" t="s">
        <v>21</v>
      </c>
      <c r="K4125" s="8">
        <v>10.0</v>
      </c>
      <c r="N4125" s="7">
        <v>43912.0</v>
      </c>
    </row>
    <row r="4126">
      <c r="A4126" s="8">
        <v>4125.0</v>
      </c>
      <c r="B4126" s="8" t="s">
        <v>5420</v>
      </c>
      <c r="C4126" s="8" t="s">
        <v>21</v>
      </c>
      <c r="K4126" s="8">
        <v>11000.0</v>
      </c>
      <c r="N4126" s="7">
        <v>44311.0</v>
      </c>
    </row>
    <row r="4127">
      <c r="A4127" s="8">
        <v>4126.0</v>
      </c>
      <c r="B4127" s="8" t="s">
        <v>5421</v>
      </c>
      <c r="C4127" s="8" t="s">
        <v>21</v>
      </c>
      <c r="K4127" s="8">
        <v>90.0</v>
      </c>
      <c r="N4127" s="7">
        <v>44514.0</v>
      </c>
    </row>
    <row r="4128">
      <c r="A4128" s="8">
        <v>4127.0</v>
      </c>
      <c r="B4128" s="8" t="s">
        <v>5422</v>
      </c>
      <c r="C4128" s="8" t="s">
        <v>21</v>
      </c>
      <c r="K4128" s="8">
        <v>10.0</v>
      </c>
      <c r="N4128" s="7">
        <v>44263.0</v>
      </c>
    </row>
    <row r="4129">
      <c r="A4129" s="8">
        <v>4128.0</v>
      </c>
      <c r="B4129" s="8" t="s">
        <v>5423</v>
      </c>
      <c r="C4129" s="8" t="s">
        <v>21</v>
      </c>
      <c r="K4129" s="8">
        <v>200.0</v>
      </c>
      <c r="N4129" s="7">
        <v>44687.0</v>
      </c>
    </row>
    <row r="4130">
      <c r="A4130" s="8">
        <v>4129.0</v>
      </c>
      <c r="B4130" s="8" t="s">
        <v>5424</v>
      </c>
      <c r="C4130" s="8" t="s">
        <v>21</v>
      </c>
      <c r="K4130" s="8">
        <v>1100.0</v>
      </c>
      <c r="N4130" s="7">
        <v>45553.0</v>
      </c>
    </row>
    <row r="4131">
      <c r="A4131" s="8">
        <v>4130.0</v>
      </c>
      <c r="B4131" s="8" t="s">
        <v>5425</v>
      </c>
      <c r="C4131" s="8" t="s">
        <v>21</v>
      </c>
      <c r="N4131" s="7">
        <v>44137.0</v>
      </c>
    </row>
    <row r="4132">
      <c r="A4132" s="8">
        <v>4131.0</v>
      </c>
      <c r="B4132" s="8" t="s">
        <v>3219</v>
      </c>
      <c r="C4132" s="8" t="s">
        <v>21</v>
      </c>
      <c r="D4132" s="8">
        <v>76.0</v>
      </c>
      <c r="H4132" s="8" t="s">
        <v>279</v>
      </c>
      <c r="I4132" s="9">
        <v>46145.163564814815</v>
      </c>
      <c r="J4132" s="8" t="s">
        <v>90</v>
      </c>
      <c r="L4132" s="8">
        <v>3200.0</v>
      </c>
      <c r="M4132" s="8">
        <v>59000.0</v>
      </c>
      <c r="N4132" s="7">
        <v>45004.0</v>
      </c>
      <c r="O4132" s="8" t="s">
        <v>147</v>
      </c>
      <c r="P4132" s="8" t="s">
        <v>28</v>
      </c>
      <c r="S4132" s="8" t="s">
        <v>32</v>
      </c>
    </row>
    <row r="4133">
      <c r="A4133" s="8">
        <v>4132.0</v>
      </c>
      <c r="B4133" s="8" t="s">
        <v>5426</v>
      </c>
      <c r="C4133" s="8" t="s">
        <v>21</v>
      </c>
      <c r="K4133" s="8">
        <v>500.0</v>
      </c>
      <c r="N4133" s="7">
        <v>44415.0</v>
      </c>
    </row>
    <row r="4134">
      <c r="A4134" s="8">
        <v>4133.0</v>
      </c>
      <c r="B4134" s="8" t="s">
        <v>5427</v>
      </c>
      <c r="C4134" s="8" t="s">
        <v>21</v>
      </c>
      <c r="N4134" s="7">
        <v>44121.0</v>
      </c>
    </row>
    <row r="4135">
      <c r="A4135" s="8">
        <v>4134.0</v>
      </c>
      <c r="B4135" s="8" t="s">
        <v>5428</v>
      </c>
      <c r="C4135" s="8" t="s">
        <v>21</v>
      </c>
      <c r="K4135" s="8">
        <v>500.0</v>
      </c>
      <c r="N4135" s="7">
        <v>44167.0</v>
      </c>
    </row>
    <row r="4136">
      <c r="A4136" s="8">
        <v>4135.0</v>
      </c>
      <c r="B4136" s="8" t="s">
        <v>5429</v>
      </c>
      <c r="C4136" s="8" t="s">
        <v>21</v>
      </c>
      <c r="N4136" s="7">
        <v>45046.0</v>
      </c>
    </row>
    <row r="4137">
      <c r="A4137" s="8">
        <v>4136.0</v>
      </c>
      <c r="B4137" s="8" t="s">
        <v>5430</v>
      </c>
      <c r="C4137" s="8" t="s">
        <v>21</v>
      </c>
      <c r="F4137" s="8">
        <v>0.3</v>
      </c>
      <c r="N4137" s="7">
        <v>42433.0</v>
      </c>
    </row>
    <row r="4138">
      <c r="A4138" s="8">
        <v>4137.0</v>
      </c>
      <c r="B4138" s="8" t="s">
        <v>5431</v>
      </c>
      <c r="C4138" s="8" t="s">
        <v>21</v>
      </c>
      <c r="K4138" s="8">
        <v>3900.0</v>
      </c>
      <c r="N4138" s="7">
        <v>44309.0</v>
      </c>
    </row>
    <row r="4139">
      <c r="A4139" s="8">
        <v>4138.0</v>
      </c>
      <c r="B4139" s="8" t="s">
        <v>5432</v>
      </c>
      <c r="C4139" s="8" t="s">
        <v>21</v>
      </c>
      <c r="K4139" s="8">
        <v>10.0</v>
      </c>
      <c r="N4139" s="7">
        <v>44770.0</v>
      </c>
    </row>
    <row r="4140">
      <c r="A4140" s="8">
        <v>4139.0</v>
      </c>
      <c r="B4140" s="8" t="s">
        <v>5433</v>
      </c>
      <c r="C4140" s="8" t="s">
        <v>21</v>
      </c>
      <c r="K4140" s="8">
        <v>30.0</v>
      </c>
      <c r="N4140" s="7">
        <v>44348.0</v>
      </c>
    </row>
    <row r="4141">
      <c r="A4141" s="8">
        <v>4140.0</v>
      </c>
      <c r="B4141" s="8" t="s">
        <v>5434</v>
      </c>
      <c r="C4141" s="8" t="s">
        <v>21</v>
      </c>
      <c r="N4141" s="7">
        <v>45261.0</v>
      </c>
    </row>
    <row r="4142">
      <c r="A4142" s="8">
        <v>4141.0</v>
      </c>
      <c r="B4142" s="8" t="s">
        <v>5435</v>
      </c>
      <c r="C4142" s="8" t="s">
        <v>21</v>
      </c>
      <c r="K4142" s="8">
        <v>150.0</v>
      </c>
      <c r="N4142" s="7">
        <v>44644.0</v>
      </c>
    </row>
    <row r="4143">
      <c r="A4143" s="8">
        <v>4142.0</v>
      </c>
      <c r="B4143" s="8" t="s">
        <v>5436</v>
      </c>
      <c r="C4143" s="8" t="s">
        <v>21</v>
      </c>
      <c r="K4143" s="8">
        <v>1000.0</v>
      </c>
      <c r="N4143" s="7">
        <v>42725.0</v>
      </c>
    </row>
    <row r="4144">
      <c r="A4144" s="8">
        <v>4143.0</v>
      </c>
      <c r="B4144" s="8" t="s">
        <v>5437</v>
      </c>
      <c r="C4144" s="8" t="s">
        <v>21</v>
      </c>
      <c r="N4144" s="7">
        <v>44065.0</v>
      </c>
    </row>
    <row r="4145">
      <c r="A4145" s="8">
        <v>4144.0</v>
      </c>
      <c r="B4145" s="8" t="s">
        <v>5438</v>
      </c>
      <c r="C4145" s="8" t="s">
        <v>21</v>
      </c>
      <c r="K4145" s="8">
        <v>800.0</v>
      </c>
      <c r="N4145" s="7">
        <v>44521.0</v>
      </c>
    </row>
    <row r="4146">
      <c r="A4146" s="8">
        <v>4145.0</v>
      </c>
      <c r="B4146" s="8" t="s">
        <v>5439</v>
      </c>
      <c r="C4146" s="8" t="s">
        <v>21</v>
      </c>
      <c r="K4146" s="8">
        <v>50.0</v>
      </c>
      <c r="N4146" s="7">
        <v>44151.0</v>
      </c>
    </row>
    <row r="4147">
      <c r="A4147" s="8">
        <v>4146.0</v>
      </c>
      <c r="B4147" s="8" t="s">
        <v>5440</v>
      </c>
      <c r="C4147" s="8" t="s">
        <v>21</v>
      </c>
      <c r="K4147" s="8">
        <v>100.0</v>
      </c>
      <c r="N4147" s="7">
        <v>44747.0</v>
      </c>
    </row>
    <row r="4148">
      <c r="A4148" s="8">
        <v>4147.0</v>
      </c>
      <c r="B4148" s="8" t="s">
        <v>5441</v>
      </c>
      <c r="C4148" s="8" t="s">
        <v>21</v>
      </c>
      <c r="K4148" s="8">
        <v>200.0</v>
      </c>
      <c r="N4148" s="7">
        <v>44740.0</v>
      </c>
    </row>
    <row r="4149">
      <c r="A4149" s="8">
        <v>4148.0</v>
      </c>
      <c r="B4149" s="8" t="s">
        <v>5442</v>
      </c>
      <c r="C4149" s="8" t="s">
        <v>21</v>
      </c>
      <c r="K4149" s="8">
        <v>450.0</v>
      </c>
      <c r="N4149" s="7">
        <v>45241.0</v>
      </c>
    </row>
    <row r="4150">
      <c r="A4150" s="8">
        <v>4149.0</v>
      </c>
      <c r="B4150" s="8" t="s">
        <v>5443</v>
      </c>
      <c r="C4150" s="8" t="s">
        <v>21</v>
      </c>
      <c r="K4150" s="8">
        <v>36000.0</v>
      </c>
      <c r="N4150" s="7">
        <v>45181.0</v>
      </c>
    </row>
    <row r="4151">
      <c r="A4151" s="8">
        <v>4150.0</v>
      </c>
      <c r="B4151" s="8" t="s">
        <v>5444</v>
      </c>
      <c r="C4151" s="8" t="s">
        <v>21</v>
      </c>
      <c r="K4151" s="8">
        <v>600.0</v>
      </c>
      <c r="N4151" s="7">
        <v>45985.0</v>
      </c>
    </row>
    <row r="4152">
      <c r="A4152" s="8">
        <v>4151.0</v>
      </c>
      <c r="B4152" s="8" t="s">
        <v>5445</v>
      </c>
      <c r="C4152" s="8" t="s">
        <v>21</v>
      </c>
      <c r="K4152" s="8">
        <v>70.0</v>
      </c>
      <c r="N4152" s="7">
        <v>45975.0</v>
      </c>
    </row>
    <row r="4153">
      <c r="A4153" s="8">
        <v>4152.0</v>
      </c>
      <c r="B4153" s="8" t="s">
        <v>5446</v>
      </c>
      <c r="C4153" s="8" t="s">
        <v>21</v>
      </c>
      <c r="K4153" s="8">
        <v>1100.0</v>
      </c>
      <c r="N4153" s="7">
        <v>44038.0</v>
      </c>
    </row>
    <row r="4154">
      <c r="A4154" s="8">
        <v>4153.0</v>
      </c>
      <c r="B4154" s="8" t="s">
        <v>5447</v>
      </c>
      <c r="C4154" s="8" t="s">
        <v>21</v>
      </c>
      <c r="K4154" s="8">
        <v>70.0</v>
      </c>
      <c r="N4154" s="7">
        <v>44158.0</v>
      </c>
    </row>
    <row r="4155">
      <c r="A4155" s="8">
        <v>4154.0</v>
      </c>
      <c r="B4155" s="8" t="s">
        <v>5448</v>
      </c>
      <c r="C4155" s="8" t="s">
        <v>21</v>
      </c>
      <c r="K4155" s="8">
        <v>3200.0</v>
      </c>
      <c r="N4155" s="7">
        <v>45167.0</v>
      </c>
    </row>
    <row r="4156">
      <c r="A4156" s="8">
        <v>4155.0</v>
      </c>
      <c r="B4156" s="8" t="s">
        <v>5449</v>
      </c>
      <c r="C4156" s="8" t="s">
        <v>21</v>
      </c>
      <c r="K4156" s="8">
        <v>300.0</v>
      </c>
      <c r="N4156" s="7">
        <v>44228.0</v>
      </c>
    </row>
    <row r="4157">
      <c r="A4157" s="8">
        <v>4156.0</v>
      </c>
      <c r="B4157" s="8" t="s">
        <v>5450</v>
      </c>
      <c r="C4157" s="8" t="s">
        <v>21</v>
      </c>
      <c r="N4157" s="7">
        <v>45091.0</v>
      </c>
    </row>
    <row r="4158">
      <c r="A4158" s="8">
        <v>4157.0</v>
      </c>
      <c r="B4158" s="8" t="s">
        <v>317</v>
      </c>
      <c r="C4158" s="8" t="s">
        <v>21</v>
      </c>
      <c r="K4158" s="8">
        <v>20.0</v>
      </c>
      <c r="N4158" s="7">
        <v>45371.0</v>
      </c>
    </row>
    <row r="4159">
      <c r="A4159" s="8">
        <v>4158.0</v>
      </c>
      <c r="B4159" s="8" t="s">
        <v>5451</v>
      </c>
      <c r="C4159" s="8" t="s">
        <v>21</v>
      </c>
      <c r="N4159" s="7">
        <v>44263.0</v>
      </c>
    </row>
    <row r="4160">
      <c r="A4160" s="8">
        <v>4159.0</v>
      </c>
      <c r="B4160" s="8" t="s">
        <v>5452</v>
      </c>
      <c r="C4160" s="8" t="s">
        <v>21</v>
      </c>
      <c r="K4160" s="8">
        <v>20.0</v>
      </c>
      <c r="N4160" s="7">
        <v>44945.0</v>
      </c>
    </row>
    <row r="4161">
      <c r="A4161" s="8">
        <v>4160.0</v>
      </c>
      <c r="B4161" s="8" t="s">
        <v>5453</v>
      </c>
      <c r="C4161" s="8" t="s">
        <v>21</v>
      </c>
      <c r="K4161" s="8">
        <v>2400.0</v>
      </c>
      <c r="N4161" s="7">
        <v>44555.0</v>
      </c>
    </row>
    <row r="4162">
      <c r="A4162" s="8">
        <v>4161.0</v>
      </c>
      <c r="B4162" s="8" t="s">
        <v>5454</v>
      </c>
      <c r="C4162" s="8" t="s">
        <v>21</v>
      </c>
      <c r="K4162" s="8">
        <v>700.0</v>
      </c>
      <c r="N4162" s="7">
        <v>43891.0</v>
      </c>
    </row>
    <row r="4163">
      <c r="A4163" s="8">
        <v>4162.0</v>
      </c>
      <c r="B4163" s="8" t="s">
        <v>5455</v>
      </c>
      <c r="C4163" s="8" t="s">
        <v>21</v>
      </c>
      <c r="N4163" s="7">
        <v>44764.0</v>
      </c>
    </row>
    <row r="4164">
      <c r="A4164" s="8">
        <v>4163.0</v>
      </c>
      <c r="B4164" s="8" t="s">
        <v>5456</v>
      </c>
      <c r="C4164" s="8" t="s">
        <v>21</v>
      </c>
      <c r="K4164" s="8">
        <v>3700.0</v>
      </c>
      <c r="N4164" s="7">
        <v>44080.0</v>
      </c>
    </row>
    <row r="4165">
      <c r="A4165" s="8">
        <v>4164.0</v>
      </c>
      <c r="B4165" s="8" t="s">
        <v>5457</v>
      </c>
      <c r="C4165" s="8" t="s">
        <v>21</v>
      </c>
      <c r="K4165" s="8">
        <v>2600.0</v>
      </c>
      <c r="N4165" s="7">
        <v>44875.0</v>
      </c>
    </row>
    <row r="4166">
      <c r="A4166" s="8">
        <v>4165.0</v>
      </c>
      <c r="B4166" s="8" t="s">
        <v>5458</v>
      </c>
      <c r="C4166" s="8" t="s">
        <v>21</v>
      </c>
      <c r="K4166" s="8">
        <v>10.0</v>
      </c>
      <c r="N4166" s="7">
        <v>44952.0</v>
      </c>
    </row>
    <row r="4167">
      <c r="A4167" s="8">
        <v>4166.0</v>
      </c>
      <c r="B4167" s="8" t="s">
        <v>5459</v>
      </c>
      <c r="C4167" s="8" t="s">
        <v>21</v>
      </c>
      <c r="K4167" s="8">
        <v>400.0</v>
      </c>
      <c r="N4167" s="7">
        <v>44273.0</v>
      </c>
    </row>
    <row r="4168">
      <c r="A4168" s="8">
        <v>4167.0</v>
      </c>
      <c r="B4168" s="8" t="s">
        <v>321</v>
      </c>
      <c r="C4168" s="8" t="s">
        <v>21</v>
      </c>
      <c r="K4168" s="8">
        <v>20.0</v>
      </c>
      <c r="N4168" s="7">
        <v>45537.0</v>
      </c>
    </row>
    <row r="4169">
      <c r="A4169" s="8">
        <v>4168.0</v>
      </c>
      <c r="B4169" s="8" t="s">
        <v>5460</v>
      </c>
      <c r="C4169" s="8" t="s">
        <v>21</v>
      </c>
      <c r="K4169" s="8">
        <v>10.0</v>
      </c>
      <c r="N4169" s="7">
        <v>45203.0</v>
      </c>
    </row>
    <row r="4170">
      <c r="A4170" s="8">
        <v>4169.0</v>
      </c>
      <c r="B4170" s="8" t="s">
        <v>5461</v>
      </c>
      <c r="C4170" s="8" t="s">
        <v>21</v>
      </c>
      <c r="K4170" s="8">
        <v>20.0</v>
      </c>
      <c r="N4170" s="7">
        <v>44296.0</v>
      </c>
    </row>
    <row r="4171">
      <c r="A4171" s="8">
        <v>4170.0</v>
      </c>
      <c r="B4171" s="8" t="s">
        <v>5462</v>
      </c>
      <c r="C4171" s="8" t="s">
        <v>21</v>
      </c>
      <c r="K4171" s="8">
        <v>30.0</v>
      </c>
      <c r="N4171" s="7">
        <v>45002.0</v>
      </c>
    </row>
    <row r="4172">
      <c r="A4172" s="8">
        <v>4171.0</v>
      </c>
      <c r="B4172" s="8" t="s">
        <v>5463</v>
      </c>
      <c r="C4172" s="8" t="s">
        <v>21</v>
      </c>
      <c r="K4172" s="8">
        <v>150.0</v>
      </c>
      <c r="N4172" s="7">
        <v>44307.0</v>
      </c>
    </row>
    <row r="4173">
      <c r="A4173" s="8">
        <v>4172.0</v>
      </c>
      <c r="B4173" s="8" t="s">
        <v>5464</v>
      </c>
      <c r="C4173" s="8" t="s">
        <v>21</v>
      </c>
      <c r="N4173" s="7">
        <v>44146.0</v>
      </c>
    </row>
    <row r="4174">
      <c r="A4174" s="8">
        <v>4173.0</v>
      </c>
      <c r="B4174" s="8" t="s">
        <v>5465</v>
      </c>
      <c r="C4174" s="8" t="s">
        <v>21</v>
      </c>
      <c r="N4174" s="7">
        <v>45489.0</v>
      </c>
    </row>
    <row r="4175">
      <c r="A4175" s="8">
        <v>4174.0</v>
      </c>
      <c r="B4175" s="8" t="s">
        <v>5466</v>
      </c>
      <c r="C4175" s="8" t="s">
        <v>21</v>
      </c>
      <c r="K4175" s="8">
        <v>200.0</v>
      </c>
      <c r="N4175" s="7">
        <v>44925.0</v>
      </c>
    </row>
    <row r="4176">
      <c r="A4176" s="8">
        <v>4175.0</v>
      </c>
      <c r="B4176" s="8" t="s">
        <v>5467</v>
      </c>
      <c r="C4176" s="8" t="s">
        <v>21</v>
      </c>
      <c r="K4176" s="8">
        <v>150.0</v>
      </c>
      <c r="N4176" s="7">
        <v>44776.0</v>
      </c>
    </row>
    <row r="4177">
      <c r="A4177" s="8">
        <v>4176.0</v>
      </c>
      <c r="B4177" s="8" t="s">
        <v>5468</v>
      </c>
      <c r="C4177" s="8" t="s">
        <v>21</v>
      </c>
      <c r="K4177" s="8">
        <v>10.0</v>
      </c>
      <c r="N4177" s="7">
        <v>44850.0</v>
      </c>
    </row>
    <row r="4178">
      <c r="A4178" s="8">
        <v>4177.0</v>
      </c>
      <c r="B4178" s="8" t="s">
        <v>5469</v>
      </c>
      <c r="C4178" s="8" t="s">
        <v>21</v>
      </c>
      <c r="K4178" s="8">
        <v>500.0</v>
      </c>
      <c r="N4178" s="7">
        <v>44519.0</v>
      </c>
    </row>
    <row r="4179">
      <c r="A4179" s="8">
        <v>4178.0</v>
      </c>
      <c r="B4179" s="8" t="s">
        <v>5470</v>
      </c>
      <c r="C4179" s="8" t="s">
        <v>21</v>
      </c>
      <c r="K4179" s="8">
        <v>16000.0</v>
      </c>
      <c r="N4179" s="7">
        <v>44405.0</v>
      </c>
    </row>
    <row r="4180">
      <c r="A4180" s="8">
        <v>4179.0</v>
      </c>
      <c r="B4180" s="8" t="s">
        <v>5471</v>
      </c>
      <c r="C4180" s="8" t="s">
        <v>21</v>
      </c>
      <c r="K4180" s="8">
        <v>100.0</v>
      </c>
      <c r="N4180" s="7">
        <v>44986.0</v>
      </c>
    </row>
    <row r="4181">
      <c r="A4181" s="8">
        <v>4180.0</v>
      </c>
      <c r="B4181" s="8" t="s">
        <v>5472</v>
      </c>
      <c r="C4181" s="8" t="s">
        <v>21</v>
      </c>
      <c r="N4181" s="7">
        <v>44485.0</v>
      </c>
    </row>
    <row r="4182">
      <c r="A4182" s="8">
        <v>4181.0</v>
      </c>
      <c r="B4182" s="8" t="s">
        <v>5473</v>
      </c>
      <c r="C4182" s="8" t="s">
        <v>21</v>
      </c>
      <c r="K4182" s="8">
        <v>1200.0</v>
      </c>
      <c r="N4182" s="7">
        <v>44080.0</v>
      </c>
    </row>
    <row r="4183">
      <c r="A4183" s="8">
        <v>4182.0</v>
      </c>
      <c r="B4183" s="8" t="s">
        <v>5474</v>
      </c>
      <c r="C4183" s="8" t="s">
        <v>21</v>
      </c>
      <c r="K4183" s="8">
        <v>20.0</v>
      </c>
      <c r="N4183" s="7">
        <v>44796.0</v>
      </c>
    </row>
    <row r="4184">
      <c r="A4184" s="8">
        <v>4183.0</v>
      </c>
      <c r="B4184" s="8" t="s">
        <v>5475</v>
      </c>
      <c r="C4184" s="8" t="s">
        <v>21</v>
      </c>
      <c r="K4184" s="8">
        <v>23000.0</v>
      </c>
      <c r="N4184" s="7">
        <v>44082.0</v>
      </c>
    </row>
    <row r="4185">
      <c r="A4185" s="8">
        <v>4184.0</v>
      </c>
      <c r="B4185" s="8" t="s">
        <v>5476</v>
      </c>
      <c r="C4185" s="8" t="s">
        <v>21</v>
      </c>
      <c r="K4185" s="8">
        <v>900.0</v>
      </c>
      <c r="N4185" s="7">
        <v>46047.0</v>
      </c>
    </row>
    <row r="4186">
      <c r="A4186" s="8">
        <v>4185.0</v>
      </c>
      <c r="B4186" s="8" t="s">
        <v>5477</v>
      </c>
      <c r="C4186" s="8" t="s">
        <v>21</v>
      </c>
      <c r="N4186" s="7">
        <v>45151.0</v>
      </c>
    </row>
    <row r="4187">
      <c r="A4187" s="8">
        <v>4186.0</v>
      </c>
      <c r="B4187" s="8" t="s">
        <v>5478</v>
      </c>
      <c r="C4187" s="8" t="s">
        <v>21</v>
      </c>
      <c r="K4187" s="8">
        <v>250.0</v>
      </c>
      <c r="N4187" s="7">
        <v>44850.0</v>
      </c>
    </row>
    <row r="4188">
      <c r="A4188" s="8">
        <v>4187.0</v>
      </c>
      <c r="B4188" s="8" t="s">
        <v>5479</v>
      </c>
      <c r="C4188" s="8" t="s">
        <v>21</v>
      </c>
      <c r="K4188" s="8">
        <v>150.0</v>
      </c>
      <c r="N4188" s="7">
        <v>44589.0</v>
      </c>
    </row>
    <row r="4189">
      <c r="A4189" s="8">
        <v>4188.0</v>
      </c>
      <c r="B4189" s="8" t="s">
        <v>5480</v>
      </c>
      <c r="C4189" s="8" t="s">
        <v>21</v>
      </c>
      <c r="K4189" s="8">
        <v>3000.0</v>
      </c>
      <c r="N4189" s="7">
        <v>44223.0</v>
      </c>
    </row>
    <row r="4190">
      <c r="A4190" s="8">
        <v>4189.0</v>
      </c>
      <c r="B4190" s="8" t="s">
        <v>5481</v>
      </c>
      <c r="C4190" s="8" t="s">
        <v>21</v>
      </c>
      <c r="K4190" s="8">
        <v>2200.0</v>
      </c>
      <c r="N4190" s="7">
        <v>44667.0</v>
      </c>
    </row>
    <row r="4191">
      <c r="A4191" s="8">
        <v>4190.0</v>
      </c>
      <c r="B4191" s="8" t="s">
        <v>5482</v>
      </c>
      <c r="C4191" s="8" t="s">
        <v>21</v>
      </c>
      <c r="K4191" s="8">
        <v>150.0</v>
      </c>
      <c r="N4191" s="7">
        <v>45176.0</v>
      </c>
    </row>
    <row r="4192">
      <c r="A4192" s="8">
        <v>4191.0</v>
      </c>
      <c r="B4192" s="8" t="s">
        <v>5483</v>
      </c>
      <c r="C4192" s="8" t="s">
        <v>21</v>
      </c>
      <c r="K4192" s="8">
        <v>80.0</v>
      </c>
      <c r="N4192" s="7">
        <v>44671.0</v>
      </c>
    </row>
    <row r="4193">
      <c r="A4193" s="8">
        <v>4192.0</v>
      </c>
      <c r="B4193" s="8" t="s">
        <v>5484</v>
      </c>
      <c r="C4193" s="8" t="s">
        <v>21</v>
      </c>
      <c r="N4193" s="7">
        <v>44031.0</v>
      </c>
      <c r="O4193" s="8" t="s">
        <v>26</v>
      </c>
      <c r="P4193" s="8" t="s">
        <v>28</v>
      </c>
      <c r="S4193" s="8" t="s">
        <v>32</v>
      </c>
    </row>
    <row r="4194">
      <c r="A4194" s="8">
        <v>4193.0</v>
      </c>
      <c r="B4194" s="8" t="s">
        <v>3222</v>
      </c>
      <c r="C4194" s="8" t="s">
        <v>21</v>
      </c>
      <c r="D4194" s="8">
        <v>76.0</v>
      </c>
      <c r="H4194" s="8" t="s">
        <v>123</v>
      </c>
      <c r="I4194" s="9">
        <v>46148.147939814815</v>
      </c>
      <c r="K4194" s="8">
        <v>30.0</v>
      </c>
      <c r="L4194" s="8">
        <v>800.0</v>
      </c>
      <c r="M4194" s="8">
        <v>194000.0</v>
      </c>
      <c r="N4194" s="7">
        <v>42842.0</v>
      </c>
      <c r="O4194" s="8" t="s">
        <v>107</v>
      </c>
      <c r="P4194" s="8" t="s">
        <v>28</v>
      </c>
      <c r="S4194" s="8" t="s">
        <v>32</v>
      </c>
    </row>
    <row r="4195">
      <c r="A4195" s="8">
        <v>4194.0</v>
      </c>
      <c r="B4195" s="8" t="s">
        <v>5485</v>
      </c>
      <c r="C4195" s="8" t="s">
        <v>21</v>
      </c>
      <c r="K4195" s="8">
        <v>10.0</v>
      </c>
      <c r="N4195" s="7">
        <v>44702.0</v>
      </c>
    </row>
    <row r="4196">
      <c r="A4196" s="8">
        <v>4195.0</v>
      </c>
      <c r="B4196" s="8" t="s">
        <v>5486</v>
      </c>
      <c r="C4196" s="8" t="s">
        <v>21</v>
      </c>
      <c r="K4196" s="8">
        <v>1500.0</v>
      </c>
      <c r="N4196" s="7">
        <v>45561.0</v>
      </c>
    </row>
    <row r="4197">
      <c r="A4197" s="8">
        <v>4196.0</v>
      </c>
      <c r="B4197" s="8" t="s">
        <v>5487</v>
      </c>
      <c r="C4197" s="8" t="s">
        <v>21</v>
      </c>
      <c r="K4197" s="8">
        <v>150.0</v>
      </c>
      <c r="N4197" s="7">
        <v>44573.0</v>
      </c>
    </row>
    <row r="4198">
      <c r="A4198" s="8">
        <v>4197.0</v>
      </c>
      <c r="B4198" s="8" t="s">
        <v>5488</v>
      </c>
      <c r="C4198" s="8" t="s">
        <v>21</v>
      </c>
      <c r="K4198" s="8">
        <v>200.0</v>
      </c>
      <c r="N4198" s="7">
        <v>45187.0</v>
      </c>
    </row>
    <row r="4199">
      <c r="A4199" s="8">
        <v>4198.0</v>
      </c>
      <c r="B4199" s="8" t="s">
        <v>5489</v>
      </c>
      <c r="C4199" s="8" t="s">
        <v>21</v>
      </c>
      <c r="K4199" s="8">
        <v>2300.0</v>
      </c>
      <c r="N4199" s="7">
        <v>43946.0</v>
      </c>
    </row>
    <row r="4200">
      <c r="A4200" s="8">
        <v>4199.0</v>
      </c>
      <c r="B4200" s="8" t="s">
        <v>5490</v>
      </c>
      <c r="C4200" s="8" t="s">
        <v>21</v>
      </c>
      <c r="K4200" s="8">
        <v>2200.0</v>
      </c>
      <c r="N4200" s="7">
        <v>44718.0</v>
      </c>
    </row>
    <row r="4201">
      <c r="A4201" s="8">
        <v>4200.0</v>
      </c>
      <c r="B4201" s="8" t="s">
        <v>5491</v>
      </c>
      <c r="C4201" s="8" t="s">
        <v>21</v>
      </c>
      <c r="K4201" s="8">
        <v>30.0</v>
      </c>
      <c r="N4201" s="7">
        <v>45118.0</v>
      </c>
    </row>
    <row r="4202">
      <c r="A4202" s="8">
        <v>4201.0</v>
      </c>
      <c r="B4202" s="8" t="s">
        <v>5492</v>
      </c>
      <c r="C4202" s="8" t="s">
        <v>21</v>
      </c>
      <c r="K4202" s="8">
        <v>200.0</v>
      </c>
      <c r="N4202" s="7">
        <v>44995.0</v>
      </c>
    </row>
    <row r="4203">
      <c r="A4203" s="8">
        <v>4202.0</v>
      </c>
      <c r="B4203" s="8" t="s">
        <v>5493</v>
      </c>
      <c r="C4203" s="8" t="s">
        <v>21</v>
      </c>
      <c r="K4203" s="8">
        <v>1300.0</v>
      </c>
      <c r="N4203" s="7">
        <v>44720.0</v>
      </c>
    </row>
    <row r="4204">
      <c r="A4204" s="8">
        <v>4203.0</v>
      </c>
      <c r="B4204" s="8" t="s">
        <v>5494</v>
      </c>
      <c r="C4204" s="8" t="s">
        <v>21</v>
      </c>
      <c r="K4204" s="8">
        <v>5400.0</v>
      </c>
      <c r="N4204" s="7">
        <v>44146.0</v>
      </c>
    </row>
    <row r="4205">
      <c r="A4205" s="8">
        <v>4204.0</v>
      </c>
      <c r="B4205" s="8" t="s">
        <v>5495</v>
      </c>
      <c r="C4205" s="8" t="s">
        <v>21</v>
      </c>
      <c r="K4205" s="8">
        <v>10.0</v>
      </c>
      <c r="N4205" s="7">
        <v>43839.0</v>
      </c>
    </row>
    <row r="4206">
      <c r="A4206" s="8">
        <v>4205.0</v>
      </c>
      <c r="B4206" s="8" t="s">
        <v>5496</v>
      </c>
      <c r="C4206" s="8" t="s">
        <v>21</v>
      </c>
      <c r="K4206" s="8">
        <v>900.0</v>
      </c>
      <c r="N4206" s="7">
        <v>43938.0</v>
      </c>
    </row>
    <row r="4207">
      <c r="A4207" s="8">
        <v>4206.0</v>
      </c>
      <c r="B4207" s="8" t="s">
        <v>5497</v>
      </c>
      <c r="C4207" s="8" t="s">
        <v>21</v>
      </c>
      <c r="N4207" s="7">
        <v>44270.0</v>
      </c>
    </row>
    <row r="4208">
      <c r="A4208" s="8">
        <v>4207.0</v>
      </c>
      <c r="B4208" s="8" t="s">
        <v>5498</v>
      </c>
      <c r="C4208" s="8" t="s">
        <v>21</v>
      </c>
      <c r="N4208" s="7">
        <v>43861.0</v>
      </c>
      <c r="O4208" s="8" t="s">
        <v>26</v>
      </c>
      <c r="P4208" s="8" t="s">
        <v>28</v>
      </c>
      <c r="S4208" s="8" t="s">
        <v>32</v>
      </c>
    </row>
    <row r="4209">
      <c r="A4209" s="8">
        <v>4208.0</v>
      </c>
      <c r="B4209" s="8" t="s">
        <v>5499</v>
      </c>
      <c r="C4209" s="8" t="s">
        <v>21</v>
      </c>
      <c r="K4209" s="8">
        <v>3400.0</v>
      </c>
      <c r="N4209" s="7">
        <v>44248.0</v>
      </c>
    </row>
    <row r="4210">
      <c r="A4210" s="8">
        <v>4209.0</v>
      </c>
      <c r="B4210" s="8" t="s">
        <v>5500</v>
      </c>
      <c r="C4210" s="8" t="s">
        <v>21</v>
      </c>
      <c r="K4210" s="8">
        <v>250.0</v>
      </c>
      <c r="N4210" s="7">
        <v>44434.0</v>
      </c>
    </row>
    <row r="4211">
      <c r="A4211" s="8">
        <v>4210.0</v>
      </c>
      <c r="B4211" s="8" t="s">
        <v>5501</v>
      </c>
      <c r="C4211" s="8" t="s">
        <v>21</v>
      </c>
      <c r="K4211" s="8">
        <v>7300.0</v>
      </c>
      <c r="N4211" s="7">
        <v>44840.0</v>
      </c>
    </row>
    <row r="4212">
      <c r="A4212" s="8">
        <v>4211.0</v>
      </c>
      <c r="B4212" s="8" t="s">
        <v>5502</v>
      </c>
      <c r="C4212" s="8" t="s">
        <v>21</v>
      </c>
      <c r="K4212" s="8">
        <v>250.0</v>
      </c>
      <c r="N4212" s="7">
        <v>44312.0</v>
      </c>
    </row>
    <row r="4213">
      <c r="A4213" s="8">
        <v>4212.0</v>
      </c>
      <c r="B4213" s="8" t="s">
        <v>5503</v>
      </c>
      <c r="C4213" s="8" t="s">
        <v>21</v>
      </c>
      <c r="K4213" s="8">
        <v>300.0</v>
      </c>
      <c r="N4213" s="7">
        <v>44136.0</v>
      </c>
    </row>
    <row r="4214">
      <c r="A4214" s="8">
        <v>4213.0</v>
      </c>
      <c r="B4214" s="8" t="s">
        <v>5504</v>
      </c>
      <c r="C4214" s="8" t="s">
        <v>21</v>
      </c>
      <c r="K4214" s="8">
        <v>90.0</v>
      </c>
      <c r="N4214" s="7">
        <v>44958.0</v>
      </c>
    </row>
    <row r="4215">
      <c r="A4215" s="8">
        <v>4214.0</v>
      </c>
      <c r="B4215" s="8" t="s">
        <v>5505</v>
      </c>
      <c r="C4215" s="8" t="s">
        <v>21</v>
      </c>
      <c r="N4215" s="7">
        <v>45198.0</v>
      </c>
    </row>
    <row r="4216">
      <c r="A4216" s="8">
        <v>4215.0</v>
      </c>
      <c r="B4216" s="8" t="s">
        <v>5506</v>
      </c>
      <c r="C4216" s="8" t="s">
        <v>21</v>
      </c>
      <c r="K4216" s="8">
        <v>600.0</v>
      </c>
      <c r="N4216" s="7">
        <v>44954.0</v>
      </c>
    </row>
    <row r="4217">
      <c r="A4217" s="8">
        <v>4216.0</v>
      </c>
      <c r="B4217" s="8" t="s">
        <v>5507</v>
      </c>
      <c r="C4217" s="8" t="s">
        <v>21</v>
      </c>
      <c r="K4217" s="8">
        <v>100.0</v>
      </c>
      <c r="N4217" s="7">
        <v>45860.0</v>
      </c>
    </row>
    <row r="4218">
      <c r="A4218" s="8">
        <v>4217.0</v>
      </c>
      <c r="B4218" s="8" t="s">
        <v>5508</v>
      </c>
      <c r="C4218" s="8" t="s">
        <v>21</v>
      </c>
      <c r="K4218" s="8">
        <v>200.0</v>
      </c>
      <c r="N4218" s="7">
        <v>44238.0</v>
      </c>
    </row>
    <row r="4219">
      <c r="A4219" s="8">
        <v>4218.0</v>
      </c>
      <c r="B4219" s="8" t="s">
        <v>5509</v>
      </c>
      <c r="C4219" s="8" t="s">
        <v>21</v>
      </c>
      <c r="K4219" s="8">
        <v>100.0</v>
      </c>
      <c r="N4219" s="7">
        <v>44356.0</v>
      </c>
    </row>
    <row r="4220">
      <c r="A4220" s="8">
        <v>4219.0</v>
      </c>
      <c r="B4220" s="8" t="s">
        <v>5510</v>
      </c>
      <c r="C4220" s="8" t="s">
        <v>21</v>
      </c>
      <c r="K4220" s="8">
        <v>150.0</v>
      </c>
      <c r="N4220" s="7">
        <v>44520.0</v>
      </c>
    </row>
    <row r="4221">
      <c r="A4221" s="8">
        <v>4220.0</v>
      </c>
      <c r="B4221" s="8" t="s">
        <v>5511</v>
      </c>
      <c r="C4221" s="8" t="s">
        <v>21</v>
      </c>
      <c r="K4221" s="8">
        <v>350.0</v>
      </c>
      <c r="N4221" s="7">
        <v>43039.0</v>
      </c>
    </row>
    <row r="4222">
      <c r="A4222" s="8">
        <v>4221.0</v>
      </c>
      <c r="B4222" s="8" t="s">
        <v>5512</v>
      </c>
      <c r="C4222" s="8" t="s">
        <v>21</v>
      </c>
      <c r="K4222" s="8">
        <v>250.0</v>
      </c>
      <c r="N4222" s="7">
        <v>44108.0</v>
      </c>
    </row>
    <row r="4223">
      <c r="A4223" s="8">
        <v>4222.0</v>
      </c>
      <c r="B4223" s="8" t="s">
        <v>5513</v>
      </c>
      <c r="C4223" s="8" t="s">
        <v>21</v>
      </c>
      <c r="K4223" s="8">
        <v>20.0</v>
      </c>
      <c r="N4223" s="7">
        <v>44854.0</v>
      </c>
    </row>
    <row r="4224">
      <c r="A4224" s="8">
        <v>4223.0</v>
      </c>
      <c r="B4224" s="8" t="s">
        <v>5514</v>
      </c>
      <c r="C4224" s="8" t="s">
        <v>21</v>
      </c>
      <c r="K4224" s="8">
        <v>400.0</v>
      </c>
      <c r="N4224" s="7">
        <v>44701.0</v>
      </c>
    </row>
    <row r="4225">
      <c r="A4225" s="8">
        <v>4224.0</v>
      </c>
      <c r="B4225" s="8" t="s">
        <v>5515</v>
      </c>
      <c r="C4225" s="8" t="s">
        <v>21</v>
      </c>
      <c r="K4225" s="8">
        <v>900.0</v>
      </c>
      <c r="N4225" s="7">
        <v>44145.0</v>
      </c>
    </row>
    <row r="4226">
      <c r="A4226" s="8">
        <v>4225.0</v>
      </c>
      <c r="B4226" s="8" t="s">
        <v>5516</v>
      </c>
      <c r="C4226" s="8" t="s">
        <v>21</v>
      </c>
      <c r="K4226" s="8">
        <v>4100.0</v>
      </c>
      <c r="N4226" s="7">
        <v>44101.0</v>
      </c>
    </row>
    <row r="4227">
      <c r="A4227" s="8">
        <v>4226.0</v>
      </c>
      <c r="B4227" s="8" t="s">
        <v>5517</v>
      </c>
      <c r="C4227" s="8" t="s">
        <v>21</v>
      </c>
      <c r="K4227" s="8">
        <v>10.0</v>
      </c>
      <c r="N4227" s="7">
        <v>43917.0</v>
      </c>
    </row>
    <row r="4228">
      <c r="A4228" s="8">
        <v>4227.0</v>
      </c>
      <c r="B4228" s="8" t="s">
        <v>323</v>
      </c>
      <c r="C4228" s="8" t="s">
        <v>21</v>
      </c>
      <c r="N4228" s="7">
        <v>44394.0</v>
      </c>
    </row>
    <row r="4229">
      <c r="A4229" s="8">
        <v>4228.0</v>
      </c>
      <c r="B4229" s="8" t="s">
        <v>5518</v>
      </c>
      <c r="C4229" s="8" t="s">
        <v>21</v>
      </c>
      <c r="K4229" s="8">
        <v>5200.0</v>
      </c>
      <c r="N4229" s="7">
        <v>44013.0</v>
      </c>
    </row>
    <row r="4230">
      <c r="A4230" s="8">
        <v>4229.0</v>
      </c>
      <c r="B4230" s="8" t="s">
        <v>5519</v>
      </c>
      <c r="C4230" s="8" t="s">
        <v>21</v>
      </c>
      <c r="K4230" s="8">
        <v>10.0</v>
      </c>
      <c r="N4230" s="7">
        <v>44579.0</v>
      </c>
    </row>
    <row r="4231">
      <c r="A4231" s="8">
        <v>4230.0</v>
      </c>
      <c r="B4231" s="8" t="s">
        <v>5520</v>
      </c>
      <c r="C4231" s="8" t="s">
        <v>21</v>
      </c>
      <c r="K4231" s="8">
        <v>10.0</v>
      </c>
      <c r="N4231" s="7">
        <v>44885.0</v>
      </c>
    </row>
    <row r="4232">
      <c r="A4232" s="8">
        <v>4231.0</v>
      </c>
      <c r="B4232" s="8" t="s">
        <v>5521</v>
      </c>
      <c r="C4232" s="8" t="s">
        <v>21</v>
      </c>
      <c r="K4232" s="8">
        <v>900.0</v>
      </c>
      <c r="N4232" s="7">
        <v>44212.0</v>
      </c>
    </row>
    <row r="4233">
      <c r="A4233" s="8">
        <v>4232.0</v>
      </c>
      <c r="B4233" s="8" t="s">
        <v>5522</v>
      </c>
      <c r="C4233" s="8" t="s">
        <v>21</v>
      </c>
      <c r="K4233" s="8">
        <v>250.0</v>
      </c>
      <c r="N4233" s="7">
        <v>42447.0</v>
      </c>
    </row>
    <row r="4234">
      <c r="A4234" s="8">
        <v>4233.0</v>
      </c>
      <c r="B4234" s="8" t="s">
        <v>5523</v>
      </c>
      <c r="C4234" s="8" t="s">
        <v>21</v>
      </c>
      <c r="K4234" s="8">
        <v>400.0</v>
      </c>
      <c r="N4234" s="7">
        <v>45640.0</v>
      </c>
    </row>
    <row r="4235">
      <c r="A4235" s="8">
        <v>4234.0</v>
      </c>
      <c r="B4235" s="8" t="s">
        <v>5524</v>
      </c>
      <c r="C4235" s="8" t="s">
        <v>21</v>
      </c>
      <c r="K4235" s="8">
        <v>1400.0</v>
      </c>
      <c r="N4235" s="7">
        <v>44229.0</v>
      </c>
    </row>
    <row r="4236">
      <c r="A4236" s="8">
        <v>4235.0</v>
      </c>
      <c r="B4236" s="8" t="s">
        <v>325</v>
      </c>
      <c r="C4236" s="8" t="s">
        <v>21</v>
      </c>
      <c r="N4236" s="7">
        <v>44443.0</v>
      </c>
    </row>
    <row r="4237">
      <c r="A4237" s="8">
        <v>4236.0</v>
      </c>
      <c r="B4237" s="8" t="s">
        <v>5525</v>
      </c>
      <c r="C4237" s="8" t="s">
        <v>21</v>
      </c>
      <c r="K4237" s="8">
        <v>3400.0</v>
      </c>
      <c r="N4237" s="7">
        <v>44547.0</v>
      </c>
    </row>
    <row r="4238">
      <c r="A4238" s="8">
        <v>4237.0</v>
      </c>
      <c r="B4238" s="8" t="s">
        <v>5526</v>
      </c>
      <c r="C4238" s="8" t="s">
        <v>21</v>
      </c>
      <c r="K4238" s="8">
        <v>30.0</v>
      </c>
      <c r="N4238" s="7">
        <v>43877.0</v>
      </c>
    </row>
    <row r="4239">
      <c r="A4239" s="8">
        <v>4238.0</v>
      </c>
      <c r="B4239" s="8" t="s">
        <v>5527</v>
      </c>
      <c r="C4239" s="8" t="s">
        <v>21</v>
      </c>
      <c r="K4239" s="8">
        <v>600.0</v>
      </c>
      <c r="N4239" s="7">
        <v>44282.0</v>
      </c>
    </row>
    <row r="4240">
      <c r="A4240" s="8">
        <v>4239.0</v>
      </c>
      <c r="B4240" s="8" t="s">
        <v>5528</v>
      </c>
      <c r="C4240" s="8" t="s">
        <v>21</v>
      </c>
      <c r="K4240" s="8">
        <v>800.0</v>
      </c>
      <c r="N4240" s="7">
        <v>44094.0</v>
      </c>
    </row>
    <row r="4241">
      <c r="A4241" s="8">
        <v>4240.0</v>
      </c>
      <c r="B4241" s="8" t="s">
        <v>5529</v>
      </c>
      <c r="C4241" s="8" t="s">
        <v>21</v>
      </c>
      <c r="K4241" s="8">
        <v>3200.0</v>
      </c>
      <c r="N4241" s="7">
        <v>44625.0</v>
      </c>
    </row>
    <row r="4242">
      <c r="A4242" s="8">
        <v>4241.0</v>
      </c>
      <c r="B4242" s="8" t="s">
        <v>5530</v>
      </c>
      <c r="C4242" s="8" t="s">
        <v>21</v>
      </c>
      <c r="K4242" s="8">
        <v>350.0</v>
      </c>
      <c r="N4242" s="7">
        <v>45056.0</v>
      </c>
    </row>
    <row r="4243">
      <c r="A4243" s="8">
        <v>4242.0</v>
      </c>
      <c r="B4243" s="8" t="s">
        <v>5531</v>
      </c>
      <c r="C4243" s="8" t="s">
        <v>21</v>
      </c>
      <c r="K4243" s="8">
        <v>500.0</v>
      </c>
      <c r="N4243" s="7">
        <v>44076.0</v>
      </c>
    </row>
    <row r="4244">
      <c r="A4244" s="8">
        <v>4243.0</v>
      </c>
      <c r="B4244" s="8" t="s">
        <v>5532</v>
      </c>
      <c r="C4244" s="8" t="s">
        <v>21</v>
      </c>
      <c r="N4244" s="7">
        <v>45060.0</v>
      </c>
    </row>
    <row r="4245">
      <c r="A4245" s="8">
        <v>4244.0</v>
      </c>
      <c r="B4245" s="8" t="s">
        <v>5533</v>
      </c>
      <c r="C4245" s="8" t="s">
        <v>21</v>
      </c>
      <c r="K4245" s="8">
        <v>7900.0</v>
      </c>
      <c r="N4245" s="7">
        <v>45049.0</v>
      </c>
    </row>
    <row r="4246">
      <c r="A4246" s="8">
        <v>4245.0</v>
      </c>
      <c r="B4246" s="8" t="s">
        <v>5534</v>
      </c>
      <c r="C4246" s="8" t="s">
        <v>21</v>
      </c>
      <c r="K4246" s="8">
        <v>10.0</v>
      </c>
      <c r="N4246" s="7">
        <v>44626.0</v>
      </c>
    </row>
    <row r="4247">
      <c r="A4247" s="8">
        <v>4246.0</v>
      </c>
      <c r="B4247" s="8" t="s">
        <v>5535</v>
      </c>
      <c r="C4247" s="8" t="s">
        <v>21</v>
      </c>
      <c r="N4247" s="7">
        <v>44235.0</v>
      </c>
    </row>
    <row r="4248">
      <c r="A4248" s="8">
        <v>4247.0</v>
      </c>
      <c r="B4248" s="8" t="s">
        <v>5536</v>
      </c>
      <c r="C4248" s="8" t="s">
        <v>21</v>
      </c>
      <c r="K4248" s="8">
        <v>1100.0</v>
      </c>
      <c r="N4248" s="7">
        <v>44258.0</v>
      </c>
    </row>
    <row r="4249">
      <c r="A4249" s="8">
        <v>4248.0</v>
      </c>
      <c r="B4249" s="8" t="s">
        <v>5537</v>
      </c>
      <c r="C4249" s="8" t="s">
        <v>21</v>
      </c>
      <c r="K4249" s="8">
        <v>100.0</v>
      </c>
      <c r="N4249" s="7">
        <v>44029.0</v>
      </c>
    </row>
    <row r="4250">
      <c r="A4250" s="8">
        <v>4249.0</v>
      </c>
      <c r="B4250" s="8" t="s">
        <v>5538</v>
      </c>
      <c r="C4250" s="8" t="s">
        <v>21</v>
      </c>
      <c r="K4250" s="8">
        <v>200.0</v>
      </c>
      <c r="N4250" s="7">
        <v>45375.0</v>
      </c>
    </row>
    <row r="4251">
      <c r="A4251" s="8">
        <v>4250.0</v>
      </c>
      <c r="B4251" s="8" t="s">
        <v>3229</v>
      </c>
      <c r="C4251" s="8" t="s">
        <v>21</v>
      </c>
      <c r="D4251" s="8">
        <v>73.0</v>
      </c>
      <c r="H4251" s="8" t="s">
        <v>701</v>
      </c>
      <c r="I4251" s="9">
        <v>46098.306284722225</v>
      </c>
      <c r="J4251" s="8" t="s">
        <v>90</v>
      </c>
      <c r="K4251" s="8">
        <v>1300.0</v>
      </c>
      <c r="L4251" s="8">
        <v>100.0</v>
      </c>
      <c r="M4251" s="8">
        <v>176000.0</v>
      </c>
      <c r="N4251" s="7">
        <v>44762.0</v>
      </c>
      <c r="O4251" s="8" t="s">
        <v>107</v>
      </c>
      <c r="P4251" s="8" t="s">
        <v>28</v>
      </c>
      <c r="S4251" s="8" t="s">
        <v>32</v>
      </c>
    </row>
    <row r="4252">
      <c r="A4252" s="8">
        <v>4251.0</v>
      </c>
      <c r="B4252" s="8" t="s">
        <v>5539</v>
      </c>
      <c r="C4252" s="8" t="s">
        <v>21</v>
      </c>
      <c r="K4252" s="8">
        <v>50.0</v>
      </c>
      <c r="N4252" s="7">
        <v>44481.0</v>
      </c>
    </row>
    <row r="4253">
      <c r="A4253" s="8">
        <v>4252.0</v>
      </c>
      <c r="B4253" s="8" t="s">
        <v>5540</v>
      </c>
      <c r="C4253" s="8" t="s">
        <v>21</v>
      </c>
      <c r="K4253" s="8">
        <v>900.0</v>
      </c>
      <c r="N4253" s="7">
        <v>44439.0</v>
      </c>
    </row>
    <row r="4254">
      <c r="A4254" s="8">
        <v>4253.0</v>
      </c>
      <c r="B4254" s="8" t="s">
        <v>5541</v>
      </c>
      <c r="C4254" s="8" t="s">
        <v>21</v>
      </c>
      <c r="N4254" s="7">
        <v>45848.0</v>
      </c>
    </row>
    <row r="4255">
      <c r="A4255" s="8">
        <v>4254.0</v>
      </c>
      <c r="B4255" s="8" t="s">
        <v>5542</v>
      </c>
      <c r="C4255" s="8" t="s">
        <v>21</v>
      </c>
      <c r="N4255" s="7">
        <v>42399.0</v>
      </c>
      <c r="O4255" s="8" t="s">
        <v>107</v>
      </c>
      <c r="P4255" s="8" t="s">
        <v>28</v>
      </c>
      <c r="S4255" s="8" t="s">
        <v>32</v>
      </c>
    </row>
    <row r="4256">
      <c r="A4256" s="8">
        <v>4255.0</v>
      </c>
      <c r="B4256" s="8" t="s">
        <v>5543</v>
      </c>
      <c r="C4256" s="8" t="s">
        <v>21</v>
      </c>
      <c r="K4256" s="8">
        <v>200.0</v>
      </c>
      <c r="N4256" s="7">
        <v>44214.0</v>
      </c>
    </row>
    <row r="4257">
      <c r="A4257" s="8">
        <v>4256.0</v>
      </c>
      <c r="B4257" s="8" t="s">
        <v>5544</v>
      </c>
      <c r="C4257" s="8" t="s">
        <v>21</v>
      </c>
      <c r="D4257" s="8">
        <v>78.0</v>
      </c>
      <c r="H4257" s="8" t="s">
        <v>338</v>
      </c>
      <c r="I4257" s="9">
        <v>46100.07168981482</v>
      </c>
      <c r="K4257" s="8">
        <v>1800.0</v>
      </c>
      <c r="L4257" s="8">
        <v>150.0</v>
      </c>
      <c r="M4257" s="8">
        <v>4700.0</v>
      </c>
      <c r="N4257" s="7">
        <v>42864.0</v>
      </c>
      <c r="O4257" s="8" t="s">
        <v>107</v>
      </c>
      <c r="P4257" s="8" t="s">
        <v>28</v>
      </c>
      <c r="S4257" s="8" t="s">
        <v>32</v>
      </c>
    </row>
    <row r="4258">
      <c r="A4258" s="8">
        <v>4257.0</v>
      </c>
      <c r="B4258" s="8" t="s">
        <v>5545</v>
      </c>
      <c r="C4258" s="8" t="s">
        <v>21</v>
      </c>
      <c r="K4258" s="8">
        <v>150.0</v>
      </c>
      <c r="N4258" s="7">
        <v>44537.0</v>
      </c>
    </row>
    <row r="4259">
      <c r="A4259" s="8">
        <v>4258.0</v>
      </c>
      <c r="B4259" s="8" t="s">
        <v>5546</v>
      </c>
      <c r="C4259" s="8" t="s">
        <v>21</v>
      </c>
      <c r="K4259" s="8">
        <v>150.0</v>
      </c>
      <c r="N4259" s="7">
        <v>45166.0</v>
      </c>
    </row>
    <row r="4260">
      <c r="A4260" s="8">
        <v>4259.0</v>
      </c>
      <c r="B4260" s="8" t="s">
        <v>5547</v>
      </c>
      <c r="C4260" s="8" t="s">
        <v>21</v>
      </c>
      <c r="K4260" s="8">
        <v>60.0</v>
      </c>
      <c r="N4260" s="7">
        <v>44871.0</v>
      </c>
    </row>
    <row r="4261">
      <c r="A4261" s="8">
        <v>4260.0</v>
      </c>
      <c r="B4261" s="8" t="s">
        <v>5548</v>
      </c>
      <c r="C4261" s="8" t="s">
        <v>21</v>
      </c>
      <c r="K4261" s="8">
        <v>200.0</v>
      </c>
      <c r="N4261" s="7">
        <v>44178.0</v>
      </c>
    </row>
    <row r="4262">
      <c r="A4262" s="8">
        <v>4261.0</v>
      </c>
      <c r="B4262" s="8" t="s">
        <v>5549</v>
      </c>
      <c r="C4262" s="8" t="s">
        <v>21</v>
      </c>
      <c r="K4262" s="8">
        <v>600.0</v>
      </c>
      <c r="N4262" s="7">
        <v>44516.0</v>
      </c>
    </row>
    <row r="4263">
      <c r="A4263" s="8">
        <v>4262.0</v>
      </c>
      <c r="B4263" s="8" t="s">
        <v>5550</v>
      </c>
      <c r="C4263" s="8" t="s">
        <v>21</v>
      </c>
      <c r="K4263" s="8">
        <v>4700.0</v>
      </c>
      <c r="N4263" s="7">
        <v>44517.0</v>
      </c>
    </row>
    <row r="4264">
      <c r="A4264" s="8">
        <v>4263.0</v>
      </c>
      <c r="B4264" s="8" t="s">
        <v>5551</v>
      </c>
      <c r="C4264" s="8" t="s">
        <v>21</v>
      </c>
      <c r="K4264" s="8">
        <v>600.0</v>
      </c>
      <c r="N4264" s="7">
        <v>44385.0</v>
      </c>
    </row>
    <row r="4265">
      <c r="A4265" s="8">
        <v>4264.0</v>
      </c>
      <c r="B4265" s="8" t="s">
        <v>5552</v>
      </c>
      <c r="C4265" s="8" t="s">
        <v>21</v>
      </c>
      <c r="D4265" s="8">
        <v>0.0</v>
      </c>
      <c r="H4265" s="8" t="s">
        <v>475</v>
      </c>
      <c r="I4265" s="9">
        <v>46076.27679398148</v>
      </c>
      <c r="J4265" s="8" t="s">
        <v>23</v>
      </c>
      <c r="L4265" s="8">
        <v>200.0</v>
      </c>
      <c r="M4265" s="8">
        <v>200.0</v>
      </c>
      <c r="N4265" s="7">
        <v>45112.0</v>
      </c>
      <c r="O4265" s="8" t="s">
        <v>26</v>
      </c>
      <c r="P4265" s="8" t="s">
        <v>28</v>
      </c>
      <c r="S4265" s="8" t="s">
        <v>32</v>
      </c>
    </row>
    <row r="4266">
      <c r="A4266" s="8">
        <v>4265.0</v>
      </c>
      <c r="B4266" s="8" t="s">
        <v>5553</v>
      </c>
      <c r="C4266" s="8" t="s">
        <v>21</v>
      </c>
      <c r="K4266" s="8">
        <v>23000.0</v>
      </c>
      <c r="N4266" s="7">
        <v>44075.0</v>
      </c>
    </row>
    <row r="4267">
      <c r="A4267" s="8">
        <v>4266.0</v>
      </c>
      <c r="B4267" s="8" t="s">
        <v>5554</v>
      </c>
      <c r="C4267" s="8" t="s">
        <v>21</v>
      </c>
      <c r="K4267" s="8">
        <v>6700.0</v>
      </c>
      <c r="N4267" s="7">
        <v>43921.0</v>
      </c>
    </row>
    <row r="4268">
      <c r="A4268" s="8">
        <v>4267.0</v>
      </c>
      <c r="B4268" s="8" t="s">
        <v>5555</v>
      </c>
      <c r="C4268" s="8" t="s">
        <v>21</v>
      </c>
      <c r="K4268" s="8">
        <v>10.0</v>
      </c>
      <c r="N4268" s="7">
        <v>45292.0</v>
      </c>
    </row>
    <row r="4269">
      <c r="A4269" s="8">
        <v>4268.0</v>
      </c>
      <c r="B4269" s="8" t="s">
        <v>5556</v>
      </c>
      <c r="C4269" s="8" t="s">
        <v>21</v>
      </c>
      <c r="K4269" s="8">
        <v>10.0</v>
      </c>
      <c r="N4269" s="7">
        <v>44503.0</v>
      </c>
    </row>
    <row r="4270">
      <c r="A4270" s="8">
        <v>4269.0</v>
      </c>
      <c r="B4270" s="8" t="s">
        <v>5557</v>
      </c>
      <c r="C4270" s="8" t="s">
        <v>21</v>
      </c>
      <c r="K4270" s="8">
        <v>900.0</v>
      </c>
      <c r="N4270" s="7">
        <v>44708.0</v>
      </c>
    </row>
    <row r="4271">
      <c r="A4271" s="8">
        <v>4270.0</v>
      </c>
      <c r="B4271" s="8" t="s">
        <v>5558</v>
      </c>
      <c r="C4271" s="8" t="s">
        <v>21</v>
      </c>
      <c r="K4271" s="8">
        <v>30.0</v>
      </c>
      <c r="N4271" s="7">
        <v>44688.0</v>
      </c>
    </row>
    <row r="4272">
      <c r="A4272" s="8">
        <v>4271.0</v>
      </c>
      <c r="B4272" s="8" t="s">
        <v>5559</v>
      </c>
      <c r="C4272" s="8" t="s">
        <v>21</v>
      </c>
      <c r="K4272" s="8">
        <v>3600.0</v>
      </c>
      <c r="N4272" s="7">
        <v>43913.0</v>
      </c>
    </row>
    <row r="4273">
      <c r="A4273" s="8">
        <v>4272.0</v>
      </c>
      <c r="B4273" s="8" t="s">
        <v>3237</v>
      </c>
      <c r="C4273" s="8" t="s">
        <v>21</v>
      </c>
      <c r="D4273" s="8">
        <v>68.0</v>
      </c>
      <c r="H4273" s="8" t="s">
        <v>19</v>
      </c>
      <c r="I4273" s="9">
        <v>46141.85229166667</v>
      </c>
      <c r="K4273" s="8">
        <v>10.0</v>
      </c>
      <c r="L4273" s="8">
        <v>26000.0</v>
      </c>
      <c r="M4273" s="8">
        <v>27000.0</v>
      </c>
      <c r="N4273" s="7">
        <v>42633.0</v>
      </c>
      <c r="O4273" s="8" t="s">
        <v>31</v>
      </c>
      <c r="P4273" s="8" t="s">
        <v>28</v>
      </c>
      <c r="S4273" s="8" t="s">
        <v>32</v>
      </c>
    </row>
    <row r="4274">
      <c r="A4274" s="8">
        <v>4273.0</v>
      </c>
      <c r="B4274" s="8" t="s">
        <v>5560</v>
      </c>
      <c r="C4274" s="8" t="s">
        <v>21</v>
      </c>
      <c r="K4274" s="8">
        <v>30.0</v>
      </c>
      <c r="N4274" s="7">
        <v>44682.0</v>
      </c>
    </row>
    <row r="4275">
      <c r="A4275" s="8">
        <v>4274.0</v>
      </c>
      <c r="B4275" s="8" t="s">
        <v>5561</v>
      </c>
      <c r="C4275" s="8" t="s">
        <v>21</v>
      </c>
      <c r="N4275" s="7">
        <v>44107.0</v>
      </c>
    </row>
    <row r="4276">
      <c r="A4276" s="8">
        <v>4275.0</v>
      </c>
      <c r="B4276" s="8" t="s">
        <v>5562</v>
      </c>
      <c r="C4276" s="8" t="s">
        <v>21</v>
      </c>
      <c r="K4276" s="8">
        <v>1300.0</v>
      </c>
      <c r="N4276" s="7">
        <v>44080.0</v>
      </c>
    </row>
    <row r="4277">
      <c r="A4277" s="8">
        <v>4276.0</v>
      </c>
      <c r="B4277" s="8" t="s">
        <v>5563</v>
      </c>
      <c r="C4277" s="8" t="s">
        <v>21</v>
      </c>
      <c r="K4277" s="8">
        <v>80.0</v>
      </c>
      <c r="N4277" s="7">
        <v>44855.0</v>
      </c>
    </row>
    <row r="4278">
      <c r="A4278" s="8">
        <v>4277.0</v>
      </c>
      <c r="B4278" s="8" t="s">
        <v>5564</v>
      </c>
      <c r="C4278" s="8" t="s">
        <v>21</v>
      </c>
      <c r="K4278" s="8">
        <v>30.0</v>
      </c>
      <c r="N4278" s="7">
        <v>44260.0</v>
      </c>
    </row>
    <row r="4279">
      <c r="A4279" s="8">
        <v>4278.0</v>
      </c>
      <c r="B4279" s="8" t="s">
        <v>5565</v>
      </c>
      <c r="C4279" s="8" t="s">
        <v>21</v>
      </c>
      <c r="N4279" s="7">
        <v>45157.0</v>
      </c>
    </row>
    <row r="4280">
      <c r="A4280" s="8">
        <v>4279.0</v>
      </c>
      <c r="B4280" s="8" t="s">
        <v>5566</v>
      </c>
      <c r="C4280" s="8" t="s">
        <v>21</v>
      </c>
      <c r="K4280" s="8">
        <v>30.0</v>
      </c>
      <c r="N4280" s="7">
        <v>44493.0</v>
      </c>
    </row>
    <row r="4281">
      <c r="A4281" s="8">
        <v>4280.0</v>
      </c>
      <c r="B4281" s="8" t="s">
        <v>5567</v>
      </c>
      <c r="C4281" s="8" t="s">
        <v>21</v>
      </c>
      <c r="K4281" s="8">
        <v>50.0</v>
      </c>
      <c r="N4281" s="7">
        <v>45095.0</v>
      </c>
    </row>
    <row r="4282">
      <c r="A4282" s="8">
        <v>4281.0</v>
      </c>
      <c r="B4282" s="8" t="s">
        <v>5568</v>
      </c>
      <c r="C4282" s="8" t="s">
        <v>21</v>
      </c>
      <c r="N4282" s="7">
        <v>44397.0</v>
      </c>
    </row>
    <row r="4283">
      <c r="A4283" s="8">
        <v>4282.0</v>
      </c>
      <c r="B4283" s="8" t="s">
        <v>5569</v>
      </c>
      <c r="C4283" s="8" t="s">
        <v>21</v>
      </c>
      <c r="K4283" s="8">
        <v>200.0</v>
      </c>
      <c r="N4283" s="7">
        <v>44142.0</v>
      </c>
    </row>
    <row r="4284">
      <c r="A4284" s="8">
        <v>4283.0</v>
      </c>
      <c r="B4284" s="8" t="s">
        <v>5570</v>
      </c>
      <c r="C4284" s="8" t="s">
        <v>21</v>
      </c>
      <c r="K4284" s="8">
        <v>7800.0</v>
      </c>
      <c r="N4284" s="7">
        <v>44878.0</v>
      </c>
    </row>
    <row r="4285">
      <c r="A4285" s="8">
        <v>4284.0</v>
      </c>
      <c r="B4285" s="8" t="s">
        <v>5571</v>
      </c>
      <c r="C4285" s="8" t="s">
        <v>21</v>
      </c>
      <c r="K4285" s="8">
        <v>60.0</v>
      </c>
      <c r="N4285" s="7">
        <v>44671.0</v>
      </c>
    </row>
    <row r="4286">
      <c r="A4286" s="8">
        <v>4285.0</v>
      </c>
      <c r="B4286" s="8" t="s">
        <v>5572</v>
      </c>
      <c r="C4286" s="8" t="s">
        <v>21</v>
      </c>
      <c r="K4286" s="8">
        <v>10.0</v>
      </c>
      <c r="N4286" s="7">
        <v>44091.0</v>
      </c>
    </row>
    <row r="4287">
      <c r="A4287" s="8">
        <v>4286.0</v>
      </c>
      <c r="B4287" s="8" t="s">
        <v>5573</v>
      </c>
      <c r="C4287" s="8" t="s">
        <v>21</v>
      </c>
      <c r="K4287" s="8">
        <v>8600.0</v>
      </c>
      <c r="N4287" s="7">
        <v>44156.0</v>
      </c>
    </row>
    <row r="4288">
      <c r="A4288" s="8">
        <v>4287.0</v>
      </c>
      <c r="B4288" s="8" t="s">
        <v>5574</v>
      </c>
      <c r="C4288" s="8" t="s">
        <v>21</v>
      </c>
      <c r="K4288" s="8">
        <v>100.0</v>
      </c>
      <c r="N4288" s="7">
        <v>44690.0</v>
      </c>
    </row>
    <row r="4289">
      <c r="A4289" s="8">
        <v>4288.0</v>
      </c>
      <c r="B4289" s="8" t="s">
        <v>5575</v>
      </c>
      <c r="C4289" s="8" t="s">
        <v>21</v>
      </c>
      <c r="K4289" s="8">
        <v>10.0</v>
      </c>
      <c r="N4289" s="7">
        <v>44657.0</v>
      </c>
    </row>
    <row r="4290">
      <c r="A4290" s="8">
        <v>4289.0</v>
      </c>
      <c r="B4290" s="8" t="s">
        <v>5576</v>
      </c>
      <c r="C4290" s="8" t="s">
        <v>21</v>
      </c>
      <c r="K4290" s="8">
        <v>20.0</v>
      </c>
      <c r="N4290" s="7">
        <v>45100.0</v>
      </c>
    </row>
    <row r="4291">
      <c r="A4291" s="8">
        <v>4290.0</v>
      </c>
      <c r="B4291" s="8" t="s">
        <v>5577</v>
      </c>
      <c r="C4291" s="8" t="s">
        <v>21</v>
      </c>
      <c r="K4291" s="8">
        <v>150.0</v>
      </c>
      <c r="N4291" s="7">
        <v>45221.0</v>
      </c>
    </row>
    <row r="4292">
      <c r="A4292" s="8">
        <v>4291.0</v>
      </c>
      <c r="B4292" s="8" t="s">
        <v>5578</v>
      </c>
      <c r="C4292" s="8" t="s">
        <v>21</v>
      </c>
      <c r="K4292" s="8">
        <v>300.0</v>
      </c>
      <c r="N4292" s="7">
        <v>45577.0</v>
      </c>
    </row>
    <row r="4293">
      <c r="A4293" s="8">
        <v>4292.0</v>
      </c>
      <c r="B4293" s="8" t="s">
        <v>5579</v>
      </c>
      <c r="C4293" s="8" t="s">
        <v>21</v>
      </c>
      <c r="K4293" s="8">
        <v>300.0</v>
      </c>
      <c r="N4293" s="7">
        <v>44554.0</v>
      </c>
    </row>
    <row r="4294">
      <c r="A4294" s="8">
        <v>4293.0</v>
      </c>
      <c r="B4294" s="8" t="s">
        <v>5580</v>
      </c>
      <c r="C4294" s="8" t="s">
        <v>21</v>
      </c>
      <c r="N4294" s="7">
        <v>44609.0</v>
      </c>
    </row>
    <row r="4295">
      <c r="A4295" s="8">
        <v>4294.0</v>
      </c>
      <c r="B4295" s="8" t="s">
        <v>5581</v>
      </c>
      <c r="C4295" s="8" t="s">
        <v>21</v>
      </c>
      <c r="K4295" s="8">
        <v>450.0</v>
      </c>
      <c r="N4295" s="7">
        <v>44481.0</v>
      </c>
    </row>
    <row r="4296">
      <c r="A4296" s="8">
        <v>4295.0</v>
      </c>
      <c r="B4296" s="8" t="s">
        <v>5582</v>
      </c>
      <c r="C4296" s="8" t="s">
        <v>21</v>
      </c>
      <c r="K4296" s="8">
        <v>1700.0</v>
      </c>
      <c r="N4296" s="7">
        <v>44525.0</v>
      </c>
    </row>
    <row r="4297">
      <c r="A4297" s="8">
        <v>4296.0</v>
      </c>
      <c r="B4297" s="8" t="s">
        <v>5583</v>
      </c>
      <c r="C4297" s="8" t="s">
        <v>21</v>
      </c>
      <c r="K4297" s="8">
        <v>1500.0</v>
      </c>
      <c r="N4297" s="7">
        <v>44341.0</v>
      </c>
    </row>
    <row r="4298">
      <c r="A4298" s="8">
        <v>4297.0</v>
      </c>
      <c r="B4298" s="8" t="s">
        <v>5584</v>
      </c>
      <c r="C4298" s="8" t="s">
        <v>21</v>
      </c>
      <c r="K4298" s="8">
        <v>10.0</v>
      </c>
      <c r="N4298" s="7">
        <v>44248.0</v>
      </c>
    </row>
    <row r="4299">
      <c r="A4299" s="8">
        <v>4298.0</v>
      </c>
      <c r="B4299" s="8" t="s">
        <v>5585</v>
      </c>
      <c r="C4299" s="8" t="s">
        <v>21</v>
      </c>
      <c r="K4299" s="8">
        <v>700.0</v>
      </c>
      <c r="N4299" s="7">
        <v>45324.0</v>
      </c>
    </row>
    <row r="4300">
      <c r="A4300" s="8">
        <v>4299.0</v>
      </c>
      <c r="B4300" s="8" t="s">
        <v>5586</v>
      </c>
      <c r="C4300" s="8" t="s">
        <v>21</v>
      </c>
      <c r="K4300" s="8">
        <v>150.0</v>
      </c>
      <c r="N4300" s="7">
        <v>44805.0</v>
      </c>
    </row>
    <row r="4301">
      <c r="A4301" s="8">
        <v>4300.0</v>
      </c>
      <c r="B4301" s="8" t="s">
        <v>5587</v>
      </c>
      <c r="C4301" s="8" t="s">
        <v>21</v>
      </c>
      <c r="N4301" s="7">
        <v>44298.0</v>
      </c>
    </row>
    <row r="4302">
      <c r="A4302" s="8">
        <v>4301.0</v>
      </c>
      <c r="B4302" s="8" t="s">
        <v>5588</v>
      </c>
      <c r="C4302" s="8" t="s">
        <v>21</v>
      </c>
      <c r="K4302" s="8">
        <v>10.0</v>
      </c>
      <c r="N4302" s="7">
        <v>44314.0</v>
      </c>
    </row>
    <row r="4303">
      <c r="A4303" s="8">
        <v>4302.0</v>
      </c>
      <c r="B4303" s="8" t="s">
        <v>5589</v>
      </c>
      <c r="C4303" s="8" t="s">
        <v>21</v>
      </c>
      <c r="K4303" s="8">
        <v>40.0</v>
      </c>
      <c r="N4303" s="7">
        <v>44183.0</v>
      </c>
    </row>
    <row r="4304">
      <c r="A4304" s="8">
        <v>4303.0</v>
      </c>
      <c r="B4304" s="8" t="s">
        <v>5590</v>
      </c>
      <c r="C4304" s="8" t="s">
        <v>21</v>
      </c>
      <c r="K4304" s="8">
        <v>10.0</v>
      </c>
      <c r="N4304" s="7">
        <v>44924.0</v>
      </c>
    </row>
    <row r="4305">
      <c r="A4305" s="8">
        <v>4304.0</v>
      </c>
      <c r="B4305" s="8" t="s">
        <v>5591</v>
      </c>
      <c r="C4305" s="8" t="s">
        <v>21</v>
      </c>
      <c r="K4305" s="8">
        <v>100.0</v>
      </c>
      <c r="N4305" s="7">
        <v>43908.0</v>
      </c>
    </row>
    <row r="4306">
      <c r="A4306" s="8">
        <v>4305.0</v>
      </c>
      <c r="B4306" s="8" t="s">
        <v>5592</v>
      </c>
      <c r="C4306" s="8" t="s">
        <v>21</v>
      </c>
      <c r="K4306" s="8">
        <v>20.0</v>
      </c>
      <c r="N4306" s="7">
        <v>44135.0</v>
      </c>
    </row>
    <row r="4307">
      <c r="A4307" s="8">
        <v>4306.0</v>
      </c>
      <c r="B4307" s="8" t="s">
        <v>5593</v>
      </c>
      <c r="C4307" s="8" t="s">
        <v>21</v>
      </c>
      <c r="K4307" s="8">
        <v>450.0</v>
      </c>
      <c r="N4307" s="7">
        <v>43991.0</v>
      </c>
    </row>
    <row r="4308">
      <c r="A4308" s="8">
        <v>4307.0</v>
      </c>
      <c r="B4308" s="8" t="s">
        <v>5594</v>
      </c>
      <c r="C4308" s="8" t="s">
        <v>21</v>
      </c>
      <c r="K4308" s="8">
        <v>250.0</v>
      </c>
      <c r="N4308" s="7">
        <v>44571.0</v>
      </c>
    </row>
    <row r="4309">
      <c r="A4309" s="8">
        <v>4308.0</v>
      </c>
      <c r="B4309" s="8" t="s">
        <v>5595</v>
      </c>
      <c r="C4309" s="8" t="s">
        <v>21</v>
      </c>
      <c r="K4309" s="8">
        <v>350.0</v>
      </c>
      <c r="N4309" s="7">
        <v>42671.0</v>
      </c>
    </row>
    <row r="4310">
      <c r="A4310" s="8">
        <v>4309.0</v>
      </c>
      <c r="B4310" s="8" t="s">
        <v>330</v>
      </c>
      <c r="C4310" s="8" t="s">
        <v>21</v>
      </c>
      <c r="K4310" s="8">
        <v>100.0</v>
      </c>
      <c r="N4310" s="7">
        <v>44398.0</v>
      </c>
    </row>
    <row r="4311">
      <c r="A4311" s="8">
        <v>4310.0</v>
      </c>
      <c r="B4311" s="8" t="s">
        <v>5596</v>
      </c>
      <c r="C4311" s="8" t="s">
        <v>21</v>
      </c>
      <c r="K4311" s="8">
        <v>350.0</v>
      </c>
      <c r="N4311" s="7">
        <v>44431.0</v>
      </c>
    </row>
    <row r="4312">
      <c r="A4312" s="8">
        <v>4311.0</v>
      </c>
      <c r="B4312" s="8" t="s">
        <v>5597</v>
      </c>
      <c r="C4312" s="8" t="s">
        <v>21</v>
      </c>
      <c r="K4312" s="8">
        <v>100.0</v>
      </c>
      <c r="N4312" s="7">
        <v>45079.0</v>
      </c>
    </row>
    <row r="4313">
      <c r="A4313" s="8">
        <v>4312.0</v>
      </c>
      <c r="B4313" s="8" t="s">
        <v>5598</v>
      </c>
      <c r="C4313" s="8" t="s">
        <v>21</v>
      </c>
      <c r="K4313" s="8">
        <v>600.0</v>
      </c>
      <c r="N4313" s="7">
        <v>43991.0</v>
      </c>
    </row>
    <row r="4314">
      <c r="A4314" s="8">
        <v>4313.0</v>
      </c>
      <c r="B4314" s="8" t="s">
        <v>5599</v>
      </c>
      <c r="C4314" s="8" t="s">
        <v>21</v>
      </c>
      <c r="K4314" s="8">
        <v>1500.0</v>
      </c>
      <c r="N4314" s="7">
        <v>44630.0</v>
      </c>
    </row>
    <row r="4315">
      <c r="A4315" s="8">
        <v>4314.0</v>
      </c>
      <c r="B4315" s="8" t="s">
        <v>5600</v>
      </c>
      <c r="C4315" s="8" t="s">
        <v>21</v>
      </c>
      <c r="K4315" s="8">
        <v>800.0</v>
      </c>
      <c r="N4315" s="7">
        <v>43926.0</v>
      </c>
    </row>
    <row r="4316">
      <c r="A4316" s="8">
        <v>4315.0</v>
      </c>
      <c r="B4316" s="8" t="s">
        <v>5601</v>
      </c>
      <c r="C4316" s="8" t="s">
        <v>21</v>
      </c>
      <c r="K4316" s="8">
        <v>100.0</v>
      </c>
      <c r="N4316" s="7">
        <v>44283.0</v>
      </c>
    </row>
    <row r="4317">
      <c r="A4317" s="8">
        <v>4316.0</v>
      </c>
      <c r="B4317" s="8" t="s">
        <v>5602</v>
      </c>
      <c r="C4317" s="8" t="s">
        <v>21</v>
      </c>
      <c r="K4317" s="8">
        <v>350.0</v>
      </c>
      <c r="N4317" s="7">
        <v>44543.0</v>
      </c>
    </row>
    <row r="4318">
      <c r="A4318" s="8">
        <v>4317.0</v>
      </c>
      <c r="B4318" s="8" t="s">
        <v>5603</v>
      </c>
      <c r="C4318" s="8" t="s">
        <v>21</v>
      </c>
      <c r="K4318" s="8">
        <v>450.0</v>
      </c>
      <c r="N4318" s="7">
        <v>44542.0</v>
      </c>
    </row>
    <row r="4319">
      <c r="A4319" s="8">
        <v>4318.0</v>
      </c>
      <c r="B4319" s="8" t="s">
        <v>5604</v>
      </c>
      <c r="C4319" s="8" t="s">
        <v>21</v>
      </c>
      <c r="N4319" s="7">
        <v>44602.0</v>
      </c>
    </row>
    <row r="4320">
      <c r="A4320" s="8">
        <v>4319.0</v>
      </c>
      <c r="B4320" s="8" t="s">
        <v>5605</v>
      </c>
      <c r="C4320" s="8" t="s">
        <v>21</v>
      </c>
      <c r="K4320" s="8">
        <v>200.0</v>
      </c>
      <c r="N4320" s="7">
        <v>44689.0</v>
      </c>
    </row>
    <row r="4321">
      <c r="A4321" s="8">
        <v>4320.0</v>
      </c>
      <c r="B4321" s="8" t="s">
        <v>5606</v>
      </c>
      <c r="C4321" s="8" t="s">
        <v>21</v>
      </c>
      <c r="K4321" s="8">
        <v>500.0</v>
      </c>
      <c r="N4321" s="7">
        <v>44221.0</v>
      </c>
    </row>
    <row r="4322">
      <c r="A4322" s="8">
        <v>4321.0</v>
      </c>
      <c r="B4322" s="8" t="s">
        <v>5607</v>
      </c>
      <c r="C4322" s="8" t="s">
        <v>21</v>
      </c>
      <c r="N4322" s="7">
        <v>44097.0</v>
      </c>
    </row>
    <row r="4323">
      <c r="A4323" s="8">
        <v>4322.0</v>
      </c>
      <c r="B4323" s="8" t="s">
        <v>5608</v>
      </c>
      <c r="C4323" s="8" t="s">
        <v>21</v>
      </c>
      <c r="K4323" s="8">
        <v>40.0</v>
      </c>
      <c r="N4323" s="7">
        <v>44340.0</v>
      </c>
    </row>
    <row r="4324">
      <c r="A4324" s="8">
        <v>4323.0</v>
      </c>
      <c r="B4324" s="8" t="s">
        <v>5609</v>
      </c>
      <c r="C4324" s="8" t="s">
        <v>21</v>
      </c>
      <c r="K4324" s="8">
        <v>500.0</v>
      </c>
      <c r="N4324" s="7">
        <v>45236.0</v>
      </c>
    </row>
    <row r="4325">
      <c r="A4325" s="8">
        <v>4324.0</v>
      </c>
      <c r="B4325" s="8" t="s">
        <v>5610</v>
      </c>
      <c r="C4325" s="8" t="s">
        <v>21</v>
      </c>
      <c r="K4325" s="8">
        <v>90.0</v>
      </c>
      <c r="N4325" s="7">
        <v>44638.0</v>
      </c>
    </row>
    <row r="4326">
      <c r="A4326" s="8">
        <v>4325.0</v>
      </c>
      <c r="B4326" s="8" t="s">
        <v>5611</v>
      </c>
      <c r="C4326" s="8" t="s">
        <v>21</v>
      </c>
      <c r="D4326" s="8">
        <v>62.0</v>
      </c>
      <c r="H4326" s="8" t="s">
        <v>3136</v>
      </c>
      <c r="I4326" s="9">
        <v>46148.393472222226</v>
      </c>
      <c r="K4326" s="8">
        <v>1900.0</v>
      </c>
      <c r="L4326" s="8">
        <v>70.0</v>
      </c>
      <c r="M4326" s="8">
        <v>46000.0</v>
      </c>
      <c r="N4326" s="7">
        <v>42619.0</v>
      </c>
      <c r="O4326" s="8" t="s">
        <v>147</v>
      </c>
      <c r="P4326" s="8" t="s">
        <v>28</v>
      </c>
      <c r="S4326" s="8" t="s">
        <v>32</v>
      </c>
    </row>
    <row r="4327">
      <c r="A4327" s="8">
        <v>4326.0</v>
      </c>
      <c r="B4327" s="8" t="s">
        <v>5612</v>
      </c>
      <c r="C4327" s="8" t="s">
        <v>21</v>
      </c>
      <c r="K4327" s="8">
        <v>5300.0</v>
      </c>
      <c r="N4327" s="7">
        <v>44866.0</v>
      </c>
    </row>
    <row r="4328">
      <c r="A4328" s="8">
        <v>4327.0</v>
      </c>
      <c r="B4328" s="8" t="s">
        <v>5613</v>
      </c>
      <c r="C4328" s="8" t="s">
        <v>21</v>
      </c>
      <c r="N4328" s="7">
        <v>45692.0</v>
      </c>
    </row>
    <row r="4329">
      <c r="A4329" s="8">
        <v>4328.0</v>
      </c>
      <c r="B4329" s="8" t="s">
        <v>5614</v>
      </c>
      <c r="C4329" s="8" t="s">
        <v>21</v>
      </c>
      <c r="K4329" s="8">
        <v>900.0</v>
      </c>
      <c r="N4329" s="7">
        <v>44731.0</v>
      </c>
    </row>
    <row r="4330">
      <c r="A4330" s="8">
        <v>4329.0</v>
      </c>
      <c r="B4330" s="8" t="s">
        <v>5615</v>
      </c>
      <c r="C4330" s="8" t="s">
        <v>21</v>
      </c>
      <c r="K4330" s="8">
        <v>60.0</v>
      </c>
      <c r="N4330" s="7">
        <v>44499.0</v>
      </c>
    </row>
    <row r="4331">
      <c r="A4331" s="8">
        <v>4330.0</v>
      </c>
      <c r="B4331" s="8" t="s">
        <v>5616</v>
      </c>
      <c r="C4331" s="8" t="s">
        <v>21</v>
      </c>
      <c r="K4331" s="8">
        <v>5900.0</v>
      </c>
      <c r="N4331" s="7">
        <v>44519.0</v>
      </c>
    </row>
    <row r="4332">
      <c r="A4332" s="8">
        <v>4331.0</v>
      </c>
      <c r="B4332" s="8" t="s">
        <v>5617</v>
      </c>
      <c r="C4332" s="8" t="s">
        <v>21</v>
      </c>
      <c r="K4332" s="8">
        <v>30.0</v>
      </c>
      <c r="N4332" s="7">
        <v>44939.0</v>
      </c>
    </row>
    <row r="4333">
      <c r="A4333" s="8">
        <v>4332.0</v>
      </c>
      <c r="B4333" s="8" t="s">
        <v>5618</v>
      </c>
      <c r="C4333" s="8" t="s">
        <v>21</v>
      </c>
      <c r="K4333" s="8">
        <v>250.0</v>
      </c>
      <c r="N4333" s="7">
        <v>44314.0</v>
      </c>
    </row>
    <row r="4334">
      <c r="A4334" s="8">
        <v>4333.0</v>
      </c>
      <c r="B4334" s="8" t="s">
        <v>5619</v>
      </c>
      <c r="C4334" s="8" t="s">
        <v>21</v>
      </c>
      <c r="K4334" s="8">
        <v>1700.0</v>
      </c>
      <c r="N4334" s="7">
        <v>44877.0</v>
      </c>
    </row>
    <row r="4335">
      <c r="A4335" s="8">
        <v>4334.0</v>
      </c>
      <c r="B4335" s="8" t="s">
        <v>5620</v>
      </c>
      <c r="C4335" s="8" t="s">
        <v>21</v>
      </c>
      <c r="K4335" s="8">
        <v>450.0</v>
      </c>
      <c r="N4335" s="7">
        <v>43903.0</v>
      </c>
    </row>
    <row r="4336">
      <c r="A4336" s="8">
        <v>4335.0</v>
      </c>
      <c r="B4336" s="8" t="s">
        <v>5621</v>
      </c>
      <c r="C4336" s="8" t="s">
        <v>21</v>
      </c>
      <c r="K4336" s="8">
        <v>90.0</v>
      </c>
      <c r="N4336" s="7">
        <v>44185.0</v>
      </c>
    </row>
    <row r="4337">
      <c r="A4337" s="8">
        <v>4336.0</v>
      </c>
      <c r="B4337" s="8" t="s">
        <v>5622</v>
      </c>
      <c r="C4337" s="8" t="s">
        <v>21</v>
      </c>
      <c r="K4337" s="8">
        <v>9600.0</v>
      </c>
      <c r="N4337" s="7">
        <v>44413.0</v>
      </c>
    </row>
    <row r="4338">
      <c r="A4338" s="8">
        <v>4337.0</v>
      </c>
      <c r="B4338" s="8" t="s">
        <v>5623</v>
      </c>
      <c r="C4338" s="8" t="s">
        <v>21</v>
      </c>
      <c r="N4338" s="7">
        <v>45029.0</v>
      </c>
    </row>
    <row r="4339">
      <c r="A4339" s="8">
        <v>4338.0</v>
      </c>
      <c r="B4339" s="8" t="s">
        <v>5624</v>
      </c>
      <c r="C4339" s="8" t="s">
        <v>21</v>
      </c>
      <c r="K4339" s="8">
        <v>400.0</v>
      </c>
      <c r="N4339" s="7">
        <v>44067.0</v>
      </c>
    </row>
    <row r="4340">
      <c r="A4340" s="8">
        <v>4339.0</v>
      </c>
      <c r="B4340" s="8" t="s">
        <v>5625</v>
      </c>
      <c r="C4340" s="8" t="s">
        <v>21</v>
      </c>
      <c r="K4340" s="8">
        <v>10.0</v>
      </c>
      <c r="N4340" s="7">
        <v>44298.0</v>
      </c>
    </row>
    <row r="4341">
      <c r="A4341" s="8">
        <v>4340.0</v>
      </c>
      <c r="B4341" s="8" t="s">
        <v>231</v>
      </c>
      <c r="C4341" s="8" t="s">
        <v>21</v>
      </c>
      <c r="K4341" s="8">
        <v>500.0</v>
      </c>
      <c r="N4341" s="7">
        <v>43440.0</v>
      </c>
      <c r="O4341" s="8" t="s">
        <v>31</v>
      </c>
      <c r="P4341" s="8" t="s">
        <v>28</v>
      </c>
      <c r="S4341" s="8" t="s">
        <v>32</v>
      </c>
    </row>
    <row r="4342">
      <c r="A4342" s="8">
        <v>4341.0</v>
      </c>
      <c r="B4342" s="8" t="s">
        <v>5626</v>
      </c>
      <c r="C4342" s="8" t="s">
        <v>21</v>
      </c>
      <c r="K4342" s="8">
        <v>800.0</v>
      </c>
      <c r="N4342" s="7">
        <v>46022.0</v>
      </c>
    </row>
    <row r="4343">
      <c r="A4343" s="8">
        <v>4342.0</v>
      </c>
      <c r="B4343" s="8" t="s">
        <v>5627</v>
      </c>
      <c r="C4343" s="8" t="s">
        <v>21</v>
      </c>
      <c r="K4343" s="8">
        <v>40.0</v>
      </c>
      <c r="N4343" s="7">
        <v>44444.0</v>
      </c>
    </row>
    <row r="4344">
      <c r="A4344" s="8">
        <v>4343.0</v>
      </c>
      <c r="B4344" s="8" t="s">
        <v>5628</v>
      </c>
      <c r="C4344" s="8" t="s">
        <v>21</v>
      </c>
      <c r="K4344" s="8">
        <v>10.0</v>
      </c>
      <c r="N4344" s="7">
        <v>44322.0</v>
      </c>
    </row>
    <row r="4345">
      <c r="A4345" s="8">
        <v>4344.0</v>
      </c>
      <c r="B4345" s="8" t="s">
        <v>5629</v>
      </c>
      <c r="C4345" s="8" t="s">
        <v>21</v>
      </c>
      <c r="K4345" s="8">
        <v>10.0</v>
      </c>
      <c r="N4345" s="7">
        <v>46051.0</v>
      </c>
    </row>
    <row r="4346">
      <c r="A4346" s="8">
        <v>4345.0</v>
      </c>
      <c r="B4346" s="8" t="s">
        <v>5630</v>
      </c>
      <c r="C4346" s="8" t="s">
        <v>21</v>
      </c>
      <c r="K4346" s="8">
        <v>7000.0</v>
      </c>
      <c r="N4346" s="7">
        <v>44463.0</v>
      </c>
    </row>
    <row r="4347">
      <c r="A4347" s="8">
        <v>4346.0</v>
      </c>
      <c r="B4347" s="8" t="s">
        <v>5631</v>
      </c>
      <c r="C4347" s="8" t="s">
        <v>21</v>
      </c>
      <c r="K4347" s="8">
        <v>10.0</v>
      </c>
      <c r="N4347" s="7">
        <v>45873.0</v>
      </c>
    </row>
    <row r="4348">
      <c r="A4348" s="8">
        <v>4347.0</v>
      </c>
      <c r="B4348" s="8" t="s">
        <v>5632</v>
      </c>
      <c r="C4348" s="8" t="s">
        <v>21</v>
      </c>
      <c r="K4348" s="8">
        <v>10.0</v>
      </c>
      <c r="N4348" s="7">
        <v>44871.0</v>
      </c>
    </row>
    <row r="4349">
      <c r="A4349" s="8">
        <v>4348.0</v>
      </c>
      <c r="B4349" s="8" t="s">
        <v>5633</v>
      </c>
      <c r="C4349" s="8" t="s">
        <v>21</v>
      </c>
      <c r="K4349" s="8">
        <v>80.0</v>
      </c>
      <c r="N4349" s="7">
        <v>44522.0</v>
      </c>
    </row>
    <row r="4350">
      <c r="A4350" s="8">
        <v>4349.0</v>
      </c>
      <c r="B4350" s="8" t="s">
        <v>5634</v>
      </c>
      <c r="C4350" s="8" t="s">
        <v>21</v>
      </c>
      <c r="K4350" s="8">
        <v>600.0</v>
      </c>
      <c r="N4350" s="7">
        <v>44648.0</v>
      </c>
    </row>
    <row r="4351">
      <c r="A4351" s="8">
        <v>4350.0</v>
      </c>
      <c r="B4351" s="8" t="s">
        <v>5635</v>
      </c>
      <c r="C4351" s="8" t="s">
        <v>21</v>
      </c>
      <c r="K4351" s="8">
        <v>350.0</v>
      </c>
      <c r="N4351" s="7">
        <v>44910.0</v>
      </c>
    </row>
    <row r="4352">
      <c r="A4352" s="8">
        <v>4351.0</v>
      </c>
      <c r="B4352" s="8" t="s">
        <v>5636</v>
      </c>
      <c r="C4352" s="8" t="s">
        <v>21</v>
      </c>
      <c r="K4352" s="8">
        <v>10.0</v>
      </c>
      <c r="N4352" s="7">
        <v>45947.0</v>
      </c>
    </row>
    <row r="4353">
      <c r="A4353" s="8">
        <v>4352.0</v>
      </c>
      <c r="B4353" s="8" t="s">
        <v>5637</v>
      </c>
      <c r="C4353" s="8" t="s">
        <v>21</v>
      </c>
      <c r="K4353" s="8">
        <v>1400.0</v>
      </c>
      <c r="N4353" s="7">
        <v>45026.0</v>
      </c>
    </row>
    <row r="4354">
      <c r="A4354" s="8">
        <v>4353.0</v>
      </c>
      <c r="B4354" s="8" t="s">
        <v>5638</v>
      </c>
      <c r="C4354" s="8" t="s">
        <v>21</v>
      </c>
      <c r="N4354" s="7">
        <v>42967.0</v>
      </c>
    </row>
    <row r="4355">
      <c r="A4355" s="8">
        <v>4354.0</v>
      </c>
      <c r="B4355" s="8" t="s">
        <v>5639</v>
      </c>
      <c r="C4355" s="8" t="s">
        <v>21</v>
      </c>
      <c r="N4355" s="7">
        <v>45843.0</v>
      </c>
    </row>
    <row r="4356">
      <c r="A4356" s="8">
        <v>4355.0</v>
      </c>
      <c r="B4356" s="8" t="s">
        <v>5640</v>
      </c>
      <c r="C4356" s="8" t="s">
        <v>21</v>
      </c>
      <c r="K4356" s="8">
        <v>250.0</v>
      </c>
      <c r="N4356" s="7">
        <v>44159.0</v>
      </c>
    </row>
    <row r="4357">
      <c r="A4357" s="8">
        <v>4356.0</v>
      </c>
      <c r="B4357" s="8" t="s">
        <v>5641</v>
      </c>
      <c r="C4357" s="8" t="s">
        <v>21</v>
      </c>
      <c r="K4357" s="8">
        <v>50.0</v>
      </c>
      <c r="N4357" s="7">
        <v>44114.0</v>
      </c>
    </row>
    <row r="4358">
      <c r="A4358" s="8">
        <v>4357.0</v>
      </c>
      <c r="B4358" s="8" t="s">
        <v>5642</v>
      </c>
      <c r="C4358" s="8" t="s">
        <v>21</v>
      </c>
      <c r="K4358" s="8">
        <v>3000.0</v>
      </c>
      <c r="N4358" s="7">
        <v>44105.0</v>
      </c>
    </row>
    <row r="4359">
      <c r="A4359" s="8">
        <v>4358.0</v>
      </c>
      <c r="B4359" s="8" t="s">
        <v>5643</v>
      </c>
      <c r="C4359" s="8" t="s">
        <v>21</v>
      </c>
      <c r="K4359" s="8">
        <v>50.0</v>
      </c>
      <c r="N4359" s="7">
        <v>45137.0</v>
      </c>
    </row>
    <row r="4360">
      <c r="A4360" s="8">
        <v>4359.0</v>
      </c>
      <c r="B4360" s="8" t="s">
        <v>5644</v>
      </c>
      <c r="C4360" s="8" t="s">
        <v>21</v>
      </c>
      <c r="K4360" s="8">
        <v>10.0</v>
      </c>
      <c r="N4360" s="7">
        <v>44228.0</v>
      </c>
    </row>
    <row r="4361">
      <c r="A4361" s="8">
        <v>4360.0</v>
      </c>
      <c r="B4361" s="8" t="s">
        <v>5645</v>
      </c>
      <c r="C4361" s="8" t="s">
        <v>21</v>
      </c>
      <c r="K4361" s="8">
        <v>450.0</v>
      </c>
      <c r="N4361" s="7">
        <v>44903.0</v>
      </c>
    </row>
    <row r="4362">
      <c r="A4362" s="8">
        <v>4361.0</v>
      </c>
      <c r="B4362" s="8" t="s">
        <v>5646</v>
      </c>
      <c r="C4362" s="8" t="s">
        <v>21</v>
      </c>
      <c r="K4362" s="8">
        <v>2300.0</v>
      </c>
      <c r="N4362" s="7">
        <v>45142.0</v>
      </c>
    </row>
    <row r="4363">
      <c r="A4363" s="8">
        <v>4362.0</v>
      </c>
      <c r="B4363" s="8" t="s">
        <v>5647</v>
      </c>
      <c r="C4363" s="8" t="s">
        <v>21</v>
      </c>
      <c r="N4363" s="7">
        <v>44502.0</v>
      </c>
    </row>
    <row r="4364">
      <c r="A4364" s="8">
        <v>4363.0</v>
      </c>
      <c r="B4364" s="8" t="s">
        <v>5648</v>
      </c>
      <c r="C4364" s="8" t="s">
        <v>21</v>
      </c>
      <c r="K4364" s="8">
        <v>10.0</v>
      </c>
      <c r="N4364" s="7">
        <v>44623.0</v>
      </c>
    </row>
    <row r="4365">
      <c r="A4365" s="8">
        <v>4364.0</v>
      </c>
      <c r="B4365" s="8" t="s">
        <v>5649</v>
      </c>
      <c r="C4365" s="8" t="s">
        <v>21</v>
      </c>
      <c r="K4365" s="8">
        <v>700.0</v>
      </c>
      <c r="N4365" s="7">
        <v>44098.0</v>
      </c>
    </row>
    <row r="4366">
      <c r="A4366" s="8">
        <v>4365.0</v>
      </c>
      <c r="B4366" s="8" t="s">
        <v>5650</v>
      </c>
      <c r="C4366" s="8" t="s">
        <v>21</v>
      </c>
      <c r="K4366" s="8">
        <v>150.0</v>
      </c>
      <c r="N4366" s="7">
        <v>44660.0</v>
      </c>
    </row>
    <row r="4367">
      <c r="A4367" s="8">
        <v>4366.0</v>
      </c>
      <c r="B4367" s="8" t="s">
        <v>333</v>
      </c>
      <c r="C4367" s="8" t="s">
        <v>21</v>
      </c>
      <c r="K4367" s="8">
        <v>70.0</v>
      </c>
      <c r="N4367" s="7">
        <v>45056.0</v>
      </c>
    </row>
    <row r="4368">
      <c r="A4368" s="8">
        <v>4367.0</v>
      </c>
      <c r="B4368" s="8" t="s">
        <v>5651</v>
      </c>
      <c r="C4368" s="8" t="s">
        <v>21</v>
      </c>
      <c r="N4368" s="7">
        <v>44345.0</v>
      </c>
    </row>
    <row r="4369">
      <c r="A4369" s="8">
        <v>4368.0</v>
      </c>
      <c r="B4369" s="8" t="s">
        <v>5652</v>
      </c>
      <c r="C4369" s="8" t="s">
        <v>21</v>
      </c>
      <c r="K4369" s="8">
        <v>100.0</v>
      </c>
      <c r="N4369" s="7">
        <v>44756.0</v>
      </c>
    </row>
    <row r="4370">
      <c r="A4370" s="8">
        <v>4369.0</v>
      </c>
      <c r="B4370" s="8" t="s">
        <v>5653</v>
      </c>
      <c r="C4370" s="8" t="s">
        <v>21</v>
      </c>
      <c r="K4370" s="8">
        <v>100.0</v>
      </c>
      <c r="N4370" s="7">
        <v>44527.0</v>
      </c>
    </row>
    <row r="4371">
      <c r="A4371" s="8">
        <v>4370.0</v>
      </c>
      <c r="B4371" s="8" t="s">
        <v>5654</v>
      </c>
      <c r="C4371" s="8" t="s">
        <v>21</v>
      </c>
      <c r="K4371" s="8">
        <v>900.0</v>
      </c>
      <c r="N4371" s="7">
        <v>42389.0</v>
      </c>
      <c r="O4371" s="8" t="s">
        <v>147</v>
      </c>
      <c r="P4371" s="8" t="s">
        <v>28</v>
      </c>
      <c r="S4371" s="8" t="s">
        <v>32</v>
      </c>
    </row>
    <row r="4372">
      <c r="A4372" s="8">
        <v>4371.0</v>
      </c>
      <c r="B4372" s="8" t="s">
        <v>5655</v>
      </c>
      <c r="C4372" s="8" t="s">
        <v>21</v>
      </c>
      <c r="N4372" s="7">
        <v>42252.0</v>
      </c>
    </row>
    <row r="4373">
      <c r="A4373" s="8">
        <v>4372.0</v>
      </c>
      <c r="B4373" s="8" t="s">
        <v>5656</v>
      </c>
      <c r="C4373" s="8" t="s">
        <v>21</v>
      </c>
      <c r="K4373" s="8">
        <v>30.0</v>
      </c>
      <c r="N4373" s="7">
        <v>43982.0</v>
      </c>
    </row>
    <row r="4374">
      <c r="A4374" s="8">
        <v>4373.0</v>
      </c>
      <c r="B4374" s="8" t="s">
        <v>5657</v>
      </c>
      <c r="C4374" s="8" t="s">
        <v>21</v>
      </c>
      <c r="K4374" s="8">
        <v>60.0</v>
      </c>
      <c r="N4374" s="7">
        <v>44492.0</v>
      </c>
    </row>
    <row r="4375">
      <c r="A4375" s="8">
        <v>4374.0</v>
      </c>
      <c r="B4375" s="8" t="s">
        <v>5658</v>
      </c>
      <c r="C4375" s="8" t="s">
        <v>21</v>
      </c>
      <c r="K4375" s="8">
        <v>250.0</v>
      </c>
      <c r="N4375" s="7">
        <v>44210.0</v>
      </c>
    </row>
    <row r="4376">
      <c r="A4376" s="8">
        <v>4375.0</v>
      </c>
      <c r="B4376" s="8" t="s">
        <v>5659</v>
      </c>
      <c r="C4376" s="8" t="s">
        <v>21</v>
      </c>
      <c r="K4376" s="8">
        <v>90.0</v>
      </c>
      <c r="N4376" s="7">
        <v>44374.0</v>
      </c>
    </row>
    <row r="4377">
      <c r="A4377" s="8">
        <v>4376.0</v>
      </c>
      <c r="B4377" s="8" t="s">
        <v>5660</v>
      </c>
      <c r="C4377" s="8" t="s">
        <v>21</v>
      </c>
      <c r="K4377" s="8">
        <v>150.0</v>
      </c>
      <c r="N4377" s="7">
        <v>44057.0</v>
      </c>
    </row>
    <row r="4378">
      <c r="A4378" s="8">
        <v>4377.0</v>
      </c>
      <c r="B4378" s="8" t="s">
        <v>5661</v>
      </c>
      <c r="C4378" s="8" t="s">
        <v>21</v>
      </c>
      <c r="K4378" s="8">
        <v>30000.0</v>
      </c>
      <c r="N4378" s="7">
        <v>44042.0</v>
      </c>
    </row>
    <row r="4379">
      <c r="A4379" s="8">
        <v>4378.0</v>
      </c>
      <c r="B4379" s="8" t="s">
        <v>5662</v>
      </c>
      <c r="C4379" s="8" t="s">
        <v>21</v>
      </c>
      <c r="K4379" s="8">
        <v>40.0</v>
      </c>
      <c r="N4379" s="7">
        <v>42352.0</v>
      </c>
    </row>
    <row r="4380">
      <c r="A4380" s="8">
        <v>4379.0</v>
      </c>
      <c r="B4380" s="8" t="s">
        <v>5663</v>
      </c>
      <c r="C4380" s="8" t="s">
        <v>21</v>
      </c>
      <c r="N4380" s="7">
        <v>45005.0</v>
      </c>
    </row>
    <row r="4381">
      <c r="A4381" s="8">
        <v>4380.0</v>
      </c>
      <c r="B4381" s="8" t="s">
        <v>5664</v>
      </c>
      <c r="C4381" s="8" t="s">
        <v>21</v>
      </c>
      <c r="K4381" s="8">
        <v>10.0</v>
      </c>
      <c r="N4381" s="7">
        <v>44218.0</v>
      </c>
    </row>
    <row r="4382">
      <c r="A4382" s="8">
        <v>4381.0</v>
      </c>
      <c r="B4382" s="8" t="s">
        <v>5665</v>
      </c>
      <c r="C4382" s="8" t="s">
        <v>21</v>
      </c>
      <c r="K4382" s="8">
        <v>4300.0</v>
      </c>
      <c r="N4382" s="7">
        <v>44388.0</v>
      </c>
    </row>
    <row r="4383">
      <c r="A4383" s="8">
        <v>4382.0</v>
      </c>
      <c r="B4383" s="8" t="s">
        <v>5666</v>
      </c>
      <c r="C4383" s="8" t="s">
        <v>21</v>
      </c>
      <c r="K4383" s="8">
        <v>2000.0</v>
      </c>
      <c r="N4383" s="7">
        <v>44232.0</v>
      </c>
    </row>
    <row r="4384">
      <c r="A4384" s="8">
        <v>4383.0</v>
      </c>
      <c r="B4384" s="8" t="s">
        <v>5667</v>
      </c>
      <c r="C4384" s="8" t="s">
        <v>21</v>
      </c>
      <c r="K4384" s="8">
        <v>10.0</v>
      </c>
      <c r="N4384" s="7">
        <v>45168.0</v>
      </c>
    </row>
    <row r="4385">
      <c r="A4385" s="8">
        <v>4384.0</v>
      </c>
      <c r="B4385" s="8" t="s">
        <v>5668</v>
      </c>
      <c r="C4385" s="8" t="s">
        <v>21</v>
      </c>
      <c r="K4385" s="8">
        <v>2000.0</v>
      </c>
      <c r="N4385" s="7">
        <v>44686.0</v>
      </c>
    </row>
    <row r="4386">
      <c r="A4386" s="8">
        <v>4385.0</v>
      </c>
      <c r="B4386" s="8" t="s">
        <v>5669</v>
      </c>
      <c r="C4386" s="8" t="s">
        <v>21</v>
      </c>
      <c r="N4386" s="7">
        <v>44171.0</v>
      </c>
      <c r="O4386" s="8" t="s">
        <v>26</v>
      </c>
      <c r="P4386" s="8" t="s">
        <v>28</v>
      </c>
      <c r="S4386" s="8" t="s">
        <v>32</v>
      </c>
    </row>
    <row r="4387">
      <c r="A4387" s="8">
        <v>4386.0</v>
      </c>
      <c r="B4387" s="8" t="s">
        <v>5670</v>
      </c>
      <c r="C4387" s="8" t="s">
        <v>21</v>
      </c>
      <c r="K4387" s="8">
        <v>400.0</v>
      </c>
      <c r="N4387" s="7">
        <v>44118.0</v>
      </c>
    </row>
    <row r="4388">
      <c r="A4388" s="8">
        <v>4387.0</v>
      </c>
      <c r="B4388" s="8" t="s">
        <v>5671</v>
      </c>
      <c r="C4388" s="8" t="s">
        <v>21</v>
      </c>
      <c r="K4388" s="8">
        <v>450.0</v>
      </c>
      <c r="N4388" s="7">
        <v>45839.0</v>
      </c>
    </row>
    <row r="4389">
      <c r="A4389" s="8">
        <v>4388.0</v>
      </c>
      <c r="B4389" s="8" t="s">
        <v>5672</v>
      </c>
      <c r="C4389" s="8" t="s">
        <v>21</v>
      </c>
      <c r="K4389" s="8">
        <v>450.0</v>
      </c>
      <c r="N4389" s="7">
        <v>44145.0</v>
      </c>
    </row>
    <row r="4390">
      <c r="A4390" s="8">
        <v>4389.0</v>
      </c>
      <c r="B4390" s="8" t="s">
        <v>5673</v>
      </c>
      <c r="C4390" s="8" t="s">
        <v>21</v>
      </c>
      <c r="K4390" s="8">
        <v>350.0</v>
      </c>
      <c r="N4390" s="7">
        <v>44335.0</v>
      </c>
    </row>
    <row r="4391">
      <c r="A4391" s="8">
        <v>4390.0</v>
      </c>
      <c r="B4391" s="8" t="s">
        <v>5674</v>
      </c>
      <c r="C4391" s="8" t="s">
        <v>21</v>
      </c>
      <c r="K4391" s="8">
        <v>1300.0</v>
      </c>
      <c r="N4391" s="7">
        <v>44735.0</v>
      </c>
    </row>
    <row r="4392">
      <c r="A4392" s="8">
        <v>4391.0</v>
      </c>
      <c r="B4392" s="8" t="s">
        <v>5675</v>
      </c>
      <c r="C4392" s="8" t="s">
        <v>21</v>
      </c>
      <c r="K4392" s="8">
        <v>90.0</v>
      </c>
      <c r="N4392" s="7">
        <v>45514.0</v>
      </c>
    </row>
    <row r="4393">
      <c r="A4393" s="8">
        <v>4392.0</v>
      </c>
      <c r="B4393" s="8" t="s">
        <v>5676</v>
      </c>
      <c r="C4393" s="8" t="s">
        <v>21</v>
      </c>
      <c r="K4393" s="8">
        <v>10.0</v>
      </c>
      <c r="N4393" s="7">
        <v>44007.0</v>
      </c>
    </row>
    <row r="4394">
      <c r="A4394" s="8">
        <v>4393.0</v>
      </c>
      <c r="B4394" s="8" t="s">
        <v>5677</v>
      </c>
      <c r="C4394" s="8" t="s">
        <v>21</v>
      </c>
      <c r="K4394" s="8">
        <v>200.0</v>
      </c>
      <c r="N4394" s="7">
        <v>44191.0</v>
      </c>
    </row>
    <row r="4395">
      <c r="A4395" s="8">
        <v>4394.0</v>
      </c>
      <c r="B4395" s="8" t="s">
        <v>5678</v>
      </c>
      <c r="C4395" s="8" t="s">
        <v>21</v>
      </c>
      <c r="K4395" s="8">
        <v>60.0</v>
      </c>
      <c r="N4395" s="7">
        <v>45126.0</v>
      </c>
    </row>
    <row r="4396">
      <c r="A4396" s="8">
        <v>4395.0</v>
      </c>
      <c r="B4396" s="8" t="s">
        <v>336</v>
      </c>
      <c r="C4396" s="8" t="s">
        <v>21</v>
      </c>
      <c r="N4396" s="7">
        <v>44068.0</v>
      </c>
    </row>
    <row r="4397">
      <c r="A4397" s="8">
        <v>4396.0</v>
      </c>
      <c r="B4397" s="8" t="s">
        <v>5679</v>
      </c>
      <c r="C4397" s="8" t="s">
        <v>21</v>
      </c>
      <c r="N4397" s="7">
        <v>44765.0</v>
      </c>
    </row>
    <row r="4398">
      <c r="A4398" s="8">
        <v>4397.0</v>
      </c>
      <c r="B4398" s="8" t="s">
        <v>5680</v>
      </c>
      <c r="C4398" s="8" t="s">
        <v>21</v>
      </c>
      <c r="K4398" s="8">
        <v>3800.0</v>
      </c>
      <c r="N4398" s="7">
        <v>44528.0</v>
      </c>
    </row>
    <row r="4399">
      <c r="A4399" s="8">
        <v>4398.0</v>
      </c>
      <c r="B4399" s="8" t="s">
        <v>5681</v>
      </c>
      <c r="C4399" s="8" t="s">
        <v>21</v>
      </c>
      <c r="K4399" s="8">
        <v>1400.0</v>
      </c>
      <c r="N4399" s="7">
        <v>44261.0</v>
      </c>
    </row>
    <row r="4400">
      <c r="A4400" s="8">
        <v>4399.0</v>
      </c>
      <c r="B4400" s="8" t="s">
        <v>5682</v>
      </c>
      <c r="C4400" s="8" t="s">
        <v>21</v>
      </c>
      <c r="K4400" s="8">
        <v>300.0</v>
      </c>
      <c r="N4400" s="7">
        <v>44658.0</v>
      </c>
    </row>
    <row r="4401">
      <c r="A4401" s="8">
        <v>4400.0</v>
      </c>
      <c r="B4401" s="8" t="s">
        <v>5683</v>
      </c>
      <c r="C4401" s="8" t="s">
        <v>21</v>
      </c>
      <c r="N4401" s="7">
        <v>44506.0</v>
      </c>
    </row>
    <row r="4402">
      <c r="A4402" s="8">
        <v>4401.0</v>
      </c>
      <c r="B4402" s="8" t="s">
        <v>5684</v>
      </c>
      <c r="C4402" s="8" t="s">
        <v>21</v>
      </c>
      <c r="K4402" s="8">
        <v>80.0</v>
      </c>
      <c r="N4402" s="7">
        <v>44623.0</v>
      </c>
    </row>
    <row r="4403">
      <c r="A4403" s="8">
        <v>4402.0</v>
      </c>
      <c r="B4403" s="8" t="s">
        <v>5685</v>
      </c>
      <c r="C4403" s="8" t="s">
        <v>21</v>
      </c>
      <c r="K4403" s="8">
        <v>10.0</v>
      </c>
      <c r="N4403" s="7">
        <v>44310.0</v>
      </c>
    </row>
    <row r="4404">
      <c r="A4404" s="8">
        <v>4403.0</v>
      </c>
      <c r="B4404" s="8" t="s">
        <v>5686</v>
      </c>
      <c r="C4404" s="8" t="s">
        <v>21</v>
      </c>
      <c r="K4404" s="8">
        <v>2200.0</v>
      </c>
      <c r="N4404" s="7">
        <v>45026.0</v>
      </c>
    </row>
    <row r="4405">
      <c r="A4405" s="8">
        <v>4404.0</v>
      </c>
      <c r="B4405" s="8" t="s">
        <v>5687</v>
      </c>
      <c r="C4405" s="8" t="s">
        <v>21</v>
      </c>
      <c r="N4405" s="7">
        <v>45216.0</v>
      </c>
    </row>
    <row r="4406">
      <c r="A4406" s="8">
        <v>4405.0</v>
      </c>
      <c r="B4406" s="8" t="s">
        <v>5688</v>
      </c>
      <c r="C4406" s="8" t="s">
        <v>21</v>
      </c>
      <c r="K4406" s="8">
        <v>600.0</v>
      </c>
      <c r="N4406" s="7">
        <v>45023.0</v>
      </c>
    </row>
    <row r="4407">
      <c r="A4407" s="8">
        <v>4406.0</v>
      </c>
      <c r="B4407" s="8" t="s">
        <v>5689</v>
      </c>
      <c r="C4407" s="8" t="s">
        <v>21</v>
      </c>
      <c r="K4407" s="8">
        <v>10.0</v>
      </c>
      <c r="N4407" s="7">
        <v>44067.0</v>
      </c>
    </row>
    <row r="4408">
      <c r="A4408" s="8">
        <v>4407.0</v>
      </c>
      <c r="B4408" s="8" t="s">
        <v>5690</v>
      </c>
      <c r="C4408" s="8" t="s">
        <v>21</v>
      </c>
      <c r="K4408" s="8">
        <v>450.0</v>
      </c>
      <c r="N4408" s="7">
        <v>46125.0</v>
      </c>
    </row>
    <row r="4409">
      <c r="A4409" s="8">
        <v>4408.0</v>
      </c>
      <c r="B4409" s="8" t="s">
        <v>5691</v>
      </c>
      <c r="C4409" s="8" t="s">
        <v>21</v>
      </c>
      <c r="K4409" s="8">
        <v>500.0</v>
      </c>
      <c r="N4409" s="7">
        <v>45127.0</v>
      </c>
    </row>
    <row r="4410">
      <c r="A4410" s="8">
        <v>4409.0</v>
      </c>
      <c r="B4410" s="8" t="s">
        <v>5692</v>
      </c>
      <c r="C4410" s="8" t="s">
        <v>21</v>
      </c>
      <c r="K4410" s="8">
        <v>400.0</v>
      </c>
      <c r="N4410" s="7">
        <v>44051.0</v>
      </c>
    </row>
    <row r="4411">
      <c r="A4411" s="8">
        <v>4410.0</v>
      </c>
      <c r="B4411" s="8" t="s">
        <v>5693</v>
      </c>
      <c r="C4411" s="8" t="s">
        <v>21</v>
      </c>
      <c r="K4411" s="8">
        <v>700.0</v>
      </c>
      <c r="N4411" s="7">
        <v>43886.0</v>
      </c>
    </row>
    <row r="4412">
      <c r="A4412" s="8">
        <v>4411.0</v>
      </c>
      <c r="B4412" s="8" t="s">
        <v>5694</v>
      </c>
      <c r="C4412" s="8" t="s">
        <v>21</v>
      </c>
      <c r="K4412" s="8">
        <v>300.0</v>
      </c>
      <c r="N4412" s="7">
        <v>43917.0</v>
      </c>
      <c r="O4412" s="8" t="s">
        <v>107</v>
      </c>
      <c r="P4412" s="8" t="s">
        <v>28</v>
      </c>
      <c r="S4412" s="8" t="s">
        <v>32</v>
      </c>
    </row>
    <row r="4413">
      <c r="A4413" s="8">
        <v>4412.0</v>
      </c>
      <c r="B4413" s="8" t="s">
        <v>5695</v>
      </c>
      <c r="C4413" s="8" t="s">
        <v>21</v>
      </c>
      <c r="K4413" s="8">
        <v>150.0</v>
      </c>
      <c r="N4413" s="7">
        <v>44797.0</v>
      </c>
    </row>
    <row r="4414">
      <c r="A4414" s="8">
        <v>4413.0</v>
      </c>
      <c r="B4414" s="8" t="s">
        <v>5696</v>
      </c>
      <c r="C4414" s="8" t="s">
        <v>21</v>
      </c>
      <c r="K4414" s="8">
        <v>4600.0</v>
      </c>
      <c r="N4414" s="7">
        <v>43184.0</v>
      </c>
    </row>
    <row r="4415">
      <c r="A4415" s="8">
        <v>4414.0</v>
      </c>
      <c r="B4415" s="8" t="s">
        <v>5697</v>
      </c>
      <c r="C4415" s="8" t="s">
        <v>21</v>
      </c>
      <c r="K4415" s="8">
        <v>800.0</v>
      </c>
      <c r="N4415" s="7">
        <v>45562.0</v>
      </c>
    </row>
    <row r="4416">
      <c r="A4416" s="8">
        <v>4415.0</v>
      </c>
      <c r="B4416" s="8" t="s">
        <v>5698</v>
      </c>
      <c r="C4416" s="8" t="s">
        <v>21</v>
      </c>
      <c r="K4416" s="8">
        <v>90.0</v>
      </c>
      <c r="N4416" s="7">
        <v>44567.0</v>
      </c>
    </row>
    <row r="4417">
      <c r="A4417" s="8">
        <v>4416.0</v>
      </c>
      <c r="B4417" s="8" t="s">
        <v>5699</v>
      </c>
      <c r="C4417" s="8" t="s">
        <v>21</v>
      </c>
      <c r="K4417" s="8">
        <v>20.0</v>
      </c>
      <c r="N4417" s="7">
        <v>44818.0</v>
      </c>
    </row>
    <row r="4418">
      <c r="A4418" s="8">
        <v>4417.0</v>
      </c>
      <c r="B4418" s="8" t="s">
        <v>5700</v>
      </c>
      <c r="C4418" s="8" t="s">
        <v>21</v>
      </c>
      <c r="K4418" s="8">
        <v>200.0</v>
      </c>
      <c r="N4418" s="7">
        <v>44776.0</v>
      </c>
    </row>
    <row r="4419">
      <c r="A4419" s="8">
        <v>4418.0</v>
      </c>
      <c r="B4419" s="8" t="s">
        <v>5701</v>
      </c>
      <c r="C4419" s="8" t="s">
        <v>21</v>
      </c>
      <c r="K4419" s="8">
        <v>3500.0</v>
      </c>
      <c r="N4419" s="7">
        <v>43871.0</v>
      </c>
    </row>
    <row r="4420">
      <c r="A4420" s="8">
        <v>4419.0</v>
      </c>
      <c r="B4420" s="8" t="s">
        <v>5702</v>
      </c>
      <c r="C4420" s="8" t="s">
        <v>21</v>
      </c>
      <c r="K4420" s="8">
        <v>11000.0</v>
      </c>
      <c r="N4420" s="7">
        <v>45358.0</v>
      </c>
    </row>
    <row r="4421">
      <c r="A4421" s="8">
        <v>4420.0</v>
      </c>
      <c r="B4421" s="8" t="s">
        <v>5703</v>
      </c>
      <c r="C4421" s="8" t="s">
        <v>21</v>
      </c>
      <c r="K4421" s="8">
        <v>10.0</v>
      </c>
      <c r="N4421" s="7">
        <v>45176.0</v>
      </c>
    </row>
    <row r="4422">
      <c r="A4422" s="8">
        <v>4421.0</v>
      </c>
      <c r="B4422" s="8" t="s">
        <v>5704</v>
      </c>
      <c r="C4422" s="8" t="s">
        <v>21</v>
      </c>
      <c r="K4422" s="8">
        <v>10.0</v>
      </c>
      <c r="N4422" s="7">
        <v>44708.0</v>
      </c>
    </row>
    <row r="4423">
      <c r="A4423" s="8">
        <v>4422.0</v>
      </c>
      <c r="B4423" s="8" t="s">
        <v>5705</v>
      </c>
      <c r="C4423" s="8" t="s">
        <v>21</v>
      </c>
      <c r="N4423" s="7">
        <v>44165.0</v>
      </c>
    </row>
    <row r="4424">
      <c r="A4424" s="8">
        <v>4423.0</v>
      </c>
      <c r="B4424" s="8" t="s">
        <v>5706</v>
      </c>
      <c r="C4424" s="8" t="s">
        <v>21</v>
      </c>
      <c r="K4424" s="8">
        <v>70.0</v>
      </c>
      <c r="N4424" s="7">
        <v>44128.0</v>
      </c>
    </row>
    <row r="4425">
      <c r="A4425" s="8">
        <v>4424.0</v>
      </c>
      <c r="B4425" s="8" t="s">
        <v>5707</v>
      </c>
      <c r="C4425" s="8" t="s">
        <v>21</v>
      </c>
      <c r="K4425" s="8">
        <v>1900.0</v>
      </c>
      <c r="N4425" s="7">
        <v>44031.0</v>
      </c>
    </row>
    <row r="4426">
      <c r="A4426" s="8">
        <v>4425.0</v>
      </c>
      <c r="B4426" s="8" t="s">
        <v>5708</v>
      </c>
      <c r="C4426" s="8" t="s">
        <v>21</v>
      </c>
      <c r="K4426" s="8">
        <v>100.0</v>
      </c>
      <c r="N4426" s="7">
        <v>43902.0</v>
      </c>
    </row>
    <row r="4427">
      <c r="A4427" s="8">
        <v>4426.0</v>
      </c>
      <c r="B4427" s="8" t="s">
        <v>5709</v>
      </c>
      <c r="C4427" s="8" t="s">
        <v>21</v>
      </c>
      <c r="K4427" s="8">
        <v>30.0</v>
      </c>
      <c r="N4427" s="7">
        <v>45461.0</v>
      </c>
    </row>
    <row r="4428">
      <c r="A4428" s="8">
        <v>4427.0</v>
      </c>
      <c r="B4428" s="8" t="s">
        <v>5710</v>
      </c>
      <c r="C4428" s="8" t="s">
        <v>21</v>
      </c>
      <c r="K4428" s="8">
        <v>100.0</v>
      </c>
      <c r="N4428" s="7">
        <v>44166.0</v>
      </c>
    </row>
    <row r="4429">
      <c r="A4429" s="8">
        <v>4428.0</v>
      </c>
      <c r="B4429" s="8" t="s">
        <v>5711</v>
      </c>
      <c r="C4429" s="8" t="s">
        <v>21</v>
      </c>
      <c r="N4429" s="7">
        <v>43976.0</v>
      </c>
    </row>
    <row r="4430">
      <c r="A4430" s="8">
        <v>4429.0</v>
      </c>
      <c r="B4430" s="8" t="s">
        <v>5712</v>
      </c>
      <c r="C4430" s="8" t="s">
        <v>21</v>
      </c>
      <c r="K4430" s="8">
        <v>150.0</v>
      </c>
      <c r="N4430" s="7">
        <v>45371.0</v>
      </c>
    </row>
    <row r="4431">
      <c r="A4431" s="8">
        <v>4430.0</v>
      </c>
      <c r="B4431" s="8" t="s">
        <v>5713</v>
      </c>
      <c r="C4431" s="8" t="s">
        <v>21</v>
      </c>
      <c r="K4431" s="8">
        <v>700.0</v>
      </c>
      <c r="N4431" s="7">
        <v>45146.0</v>
      </c>
    </row>
    <row r="4432">
      <c r="A4432" s="8">
        <v>4431.0</v>
      </c>
      <c r="B4432" s="8" t="s">
        <v>5714</v>
      </c>
      <c r="C4432" s="8" t="s">
        <v>21</v>
      </c>
      <c r="K4432" s="8">
        <v>1200.0</v>
      </c>
      <c r="N4432" s="7">
        <v>44701.0</v>
      </c>
    </row>
    <row r="4433">
      <c r="A4433" s="8">
        <v>4432.0</v>
      </c>
      <c r="B4433" s="8" t="s">
        <v>5715</v>
      </c>
      <c r="C4433" s="8" t="s">
        <v>21</v>
      </c>
      <c r="K4433" s="8">
        <v>2800.0</v>
      </c>
      <c r="N4433" s="7">
        <v>44679.0</v>
      </c>
    </row>
    <row r="4434">
      <c r="A4434" s="8">
        <v>4433.0</v>
      </c>
      <c r="B4434" s="8" t="s">
        <v>5716</v>
      </c>
      <c r="C4434" s="8" t="s">
        <v>21</v>
      </c>
      <c r="K4434" s="8">
        <v>100.0</v>
      </c>
      <c r="N4434" s="7">
        <v>44166.0</v>
      </c>
    </row>
    <row r="4435">
      <c r="A4435" s="8">
        <v>4434.0</v>
      </c>
      <c r="B4435" s="8" t="s">
        <v>5717</v>
      </c>
      <c r="C4435" s="8" t="s">
        <v>21</v>
      </c>
      <c r="K4435" s="8">
        <v>30.0</v>
      </c>
      <c r="N4435" s="7">
        <v>44690.0</v>
      </c>
    </row>
    <row r="4436">
      <c r="A4436" s="8">
        <v>4435.0</v>
      </c>
      <c r="B4436" s="8" t="s">
        <v>5718</v>
      </c>
      <c r="C4436" s="8" t="s">
        <v>21</v>
      </c>
      <c r="K4436" s="8">
        <v>40.0</v>
      </c>
      <c r="N4436" s="7">
        <v>45074.0</v>
      </c>
    </row>
    <row r="4437">
      <c r="A4437" s="8">
        <v>4436.0</v>
      </c>
      <c r="B4437" s="8" t="s">
        <v>5719</v>
      </c>
      <c r="C4437" s="8" t="s">
        <v>21</v>
      </c>
      <c r="K4437" s="8">
        <v>63000.0</v>
      </c>
      <c r="N4437" s="7">
        <v>42818.0</v>
      </c>
    </row>
    <row r="4438">
      <c r="A4438" s="8">
        <v>4437.0</v>
      </c>
      <c r="B4438" s="8" t="s">
        <v>5720</v>
      </c>
      <c r="C4438" s="8" t="s">
        <v>21</v>
      </c>
      <c r="K4438" s="8">
        <v>2500.0</v>
      </c>
      <c r="N4438" s="7">
        <v>42749.0</v>
      </c>
    </row>
    <row r="4439">
      <c r="A4439" s="8">
        <v>4438.0</v>
      </c>
      <c r="B4439" s="8" t="s">
        <v>5721</v>
      </c>
      <c r="C4439" s="8" t="s">
        <v>21</v>
      </c>
      <c r="N4439" s="7">
        <v>44174.0</v>
      </c>
    </row>
    <row r="4440">
      <c r="A4440" s="8">
        <v>4439.0</v>
      </c>
      <c r="B4440" s="8" t="s">
        <v>5722</v>
      </c>
      <c r="C4440" s="8" t="s">
        <v>21</v>
      </c>
      <c r="K4440" s="8">
        <v>20.0</v>
      </c>
      <c r="N4440" s="7">
        <v>45036.0</v>
      </c>
    </row>
    <row r="4441">
      <c r="A4441" s="8">
        <v>4440.0</v>
      </c>
      <c r="B4441" s="8" t="s">
        <v>5723</v>
      </c>
      <c r="C4441" s="8" t="s">
        <v>21</v>
      </c>
      <c r="K4441" s="8">
        <v>1900.0</v>
      </c>
      <c r="N4441" s="7">
        <v>44076.0</v>
      </c>
    </row>
    <row r="4442">
      <c r="A4442" s="8">
        <v>4441.0</v>
      </c>
      <c r="B4442" s="8" t="s">
        <v>5724</v>
      </c>
      <c r="C4442" s="8" t="s">
        <v>21</v>
      </c>
      <c r="K4442" s="8">
        <v>10.0</v>
      </c>
      <c r="N4442" s="7">
        <v>44210.0</v>
      </c>
    </row>
    <row r="4443">
      <c r="A4443" s="8">
        <v>4442.0</v>
      </c>
      <c r="B4443" s="8" t="s">
        <v>5725</v>
      </c>
      <c r="C4443" s="8" t="s">
        <v>21</v>
      </c>
      <c r="K4443" s="8">
        <v>21000.0</v>
      </c>
      <c r="N4443" s="7">
        <v>45339.0</v>
      </c>
    </row>
    <row r="4444">
      <c r="A4444" s="8">
        <v>4443.0</v>
      </c>
      <c r="B4444" s="8" t="s">
        <v>5726</v>
      </c>
      <c r="C4444" s="8" t="s">
        <v>21</v>
      </c>
      <c r="N4444" s="7">
        <v>44459.0</v>
      </c>
      <c r="O4444" s="8" t="s">
        <v>31</v>
      </c>
      <c r="P4444" s="8" t="s">
        <v>28</v>
      </c>
      <c r="S4444" s="8" t="s">
        <v>32</v>
      </c>
    </row>
    <row r="4445">
      <c r="A4445" s="8">
        <v>4444.0</v>
      </c>
      <c r="B4445" s="8" t="s">
        <v>5727</v>
      </c>
      <c r="C4445" s="8" t="s">
        <v>21</v>
      </c>
      <c r="N4445" s="7">
        <v>42754.0</v>
      </c>
    </row>
    <row r="4446">
      <c r="A4446" s="8">
        <v>4445.0</v>
      </c>
      <c r="B4446" s="8" t="s">
        <v>5728</v>
      </c>
      <c r="C4446" s="8" t="s">
        <v>21</v>
      </c>
      <c r="K4446" s="8">
        <v>250.0</v>
      </c>
      <c r="N4446" s="7">
        <v>44692.0</v>
      </c>
    </row>
    <row r="4447">
      <c r="A4447" s="8">
        <v>4446.0</v>
      </c>
      <c r="B4447" s="8" t="s">
        <v>5729</v>
      </c>
      <c r="C4447" s="8" t="s">
        <v>21</v>
      </c>
      <c r="K4447" s="8">
        <v>4000.0</v>
      </c>
      <c r="N4447" s="7">
        <v>44042.0</v>
      </c>
    </row>
    <row r="4448">
      <c r="A4448" s="8">
        <v>4447.0</v>
      </c>
      <c r="B4448" s="8" t="s">
        <v>5730</v>
      </c>
      <c r="C4448" s="8" t="s">
        <v>21</v>
      </c>
      <c r="K4448" s="8">
        <v>250.0</v>
      </c>
      <c r="N4448" s="7">
        <v>44574.0</v>
      </c>
    </row>
    <row r="4449">
      <c r="A4449" s="8">
        <v>4448.0</v>
      </c>
      <c r="B4449" s="8" t="s">
        <v>5731</v>
      </c>
      <c r="C4449" s="8" t="s">
        <v>21</v>
      </c>
      <c r="K4449" s="8">
        <v>40.0</v>
      </c>
      <c r="N4449" s="7">
        <v>44124.0</v>
      </c>
    </row>
    <row r="4450">
      <c r="A4450" s="8">
        <v>4449.0</v>
      </c>
      <c r="B4450" s="8" t="s">
        <v>5732</v>
      </c>
      <c r="C4450" s="8" t="s">
        <v>21</v>
      </c>
      <c r="K4450" s="8">
        <v>90.0</v>
      </c>
      <c r="N4450" s="7">
        <v>44588.0</v>
      </c>
    </row>
    <row r="4451">
      <c r="A4451" s="8">
        <v>4450.0</v>
      </c>
      <c r="B4451" s="8" t="s">
        <v>5733</v>
      </c>
      <c r="C4451" s="8" t="s">
        <v>21</v>
      </c>
      <c r="K4451" s="8">
        <v>70.0</v>
      </c>
      <c r="N4451" s="7">
        <v>44503.0</v>
      </c>
    </row>
    <row r="4452">
      <c r="A4452" s="8">
        <v>4451.0</v>
      </c>
      <c r="B4452" s="8" t="s">
        <v>5734</v>
      </c>
      <c r="C4452" s="8" t="s">
        <v>21</v>
      </c>
      <c r="K4452" s="8">
        <v>200.0</v>
      </c>
      <c r="N4452" s="7">
        <v>42587.0</v>
      </c>
    </row>
    <row r="4453">
      <c r="A4453" s="8">
        <v>4452.0</v>
      </c>
      <c r="B4453" s="8" t="s">
        <v>5735</v>
      </c>
      <c r="C4453" s="8" t="s">
        <v>21</v>
      </c>
      <c r="K4453" s="8">
        <v>10.0</v>
      </c>
      <c r="N4453" s="7">
        <v>45660.0</v>
      </c>
    </row>
    <row r="4454">
      <c r="A4454" s="8">
        <v>4453.0</v>
      </c>
      <c r="B4454" s="8" t="s">
        <v>5736</v>
      </c>
      <c r="C4454" s="8" t="s">
        <v>21</v>
      </c>
      <c r="K4454" s="8">
        <v>300.0</v>
      </c>
      <c r="N4454" s="7">
        <v>43654.0</v>
      </c>
      <c r="O4454" s="8" t="s">
        <v>26</v>
      </c>
      <c r="P4454" s="8" t="s">
        <v>28</v>
      </c>
      <c r="S4454" s="8" t="s">
        <v>32</v>
      </c>
    </row>
    <row r="4455">
      <c r="A4455" s="8">
        <v>4454.0</v>
      </c>
      <c r="B4455" s="8" t="s">
        <v>5737</v>
      </c>
      <c r="C4455" s="8" t="s">
        <v>21</v>
      </c>
      <c r="K4455" s="8">
        <v>400.0</v>
      </c>
      <c r="N4455" s="7">
        <v>44551.0</v>
      </c>
    </row>
    <row r="4456">
      <c r="A4456" s="8">
        <v>4455.0</v>
      </c>
      <c r="B4456" s="8" t="s">
        <v>5738</v>
      </c>
      <c r="C4456" s="8" t="s">
        <v>21</v>
      </c>
      <c r="K4456" s="8">
        <v>250.0</v>
      </c>
      <c r="N4456" s="7">
        <v>44584.0</v>
      </c>
    </row>
    <row r="4457">
      <c r="A4457" s="8">
        <v>4456.0</v>
      </c>
      <c r="B4457" s="8" t="s">
        <v>340</v>
      </c>
      <c r="C4457" s="8" t="s">
        <v>21</v>
      </c>
      <c r="K4457" s="8">
        <v>40.0</v>
      </c>
      <c r="N4457" s="7">
        <v>44459.0</v>
      </c>
    </row>
    <row r="4458">
      <c r="A4458" s="8">
        <v>4457.0</v>
      </c>
      <c r="B4458" s="8" t="s">
        <v>5739</v>
      </c>
      <c r="C4458" s="8" t="s">
        <v>21</v>
      </c>
      <c r="K4458" s="8">
        <v>20000.0</v>
      </c>
      <c r="N4458" s="7">
        <v>42272.0</v>
      </c>
    </row>
    <row r="4459">
      <c r="A4459" s="8">
        <v>4458.0</v>
      </c>
      <c r="B4459" s="8" t="s">
        <v>5740</v>
      </c>
      <c r="C4459" s="8" t="s">
        <v>21</v>
      </c>
      <c r="K4459" s="8">
        <v>1600.0</v>
      </c>
      <c r="N4459" s="7">
        <v>43972.0</v>
      </c>
    </row>
    <row r="4460">
      <c r="A4460" s="8">
        <v>4459.0</v>
      </c>
      <c r="B4460" s="8" t="s">
        <v>5741</v>
      </c>
      <c r="C4460" s="8" t="s">
        <v>21</v>
      </c>
      <c r="K4460" s="8">
        <v>200.0</v>
      </c>
      <c r="N4460" s="7">
        <v>44170.0</v>
      </c>
    </row>
    <row r="4461">
      <c r="A4461" s="8">
        <v>4460.0</v>
      </c>
      <c r="B4461" s="8" t="s">
        <v>5742</v>
      </c>
      <c r="C4461" s="8" t="s">
        <v>21</v>
      </c>
      <c r="K4461" s="8">
        <v>700.0</v>
      </c>
      <c r="N4461" s="7">
        <v>44073.0</v>
      </c>
    </row>
    <row r="4462">
      <c r="A4462" s="8">
        <v>4461.0</v>
      </c>
      <c r="B4462" s="8" t="s">
        <v>5743</v>
      </c>
      <c r="C4462" s="8" t="s">
        <v>21</v>
      </c>
      <c r="K4462" s="8">
        <v>1900.0</v>
      </c>
      <c r="N4462" s="7">
        <v>43906.0</v>
      </c>
    </row>
    <row r="4463">
      <c r="A4463" s="8">
        <v>4462.0</v>
      </c>
      <c r="B4463" s="8" t="s">
        <v>5744</v>
      </c>
      <c r="C4463" s="8" t="s">
        <v>21</v>
      </c>
      <c r="K4463" s="8">
        <v>150.0</v>
      </c>
      <c r="N4463" s="7">
        <v>44232.0</v>
      </c>
    </row>
    <row r="4464">
      <c r="A4464" s="8">
        <v>4463.0</v>
      </c>
      <c r="B4464" s="8" t="s">
        <v>5745</v>
      </c>
      <c r="C4464" s="8" t="s">
        <v>21</v>
      </c>
      <c r="K4464" s="8">
        <v>80.0</v>
      </c>
      <c r="N4464" s="7">
        <v>44570.0</v>
      </c>
    </row>
    <row r="4465">
      <c r="A4465" s="8">
        <v>4464.0</v>
      </c>
      <c r="B4465" s="8" t="s">
        <v>5746</v>
      </c>
      <c r="C4465" s="8" t="s">
        <v>21</v>
      </c>
      <c r="K4465" s="8">
        <v>30.0</v>
      </c>
      <c r="N4465" s="7">
        <v>44761.0</v>
      </c>
    </row>
    <row r="4466">
      <c r="A4466" s="8">
        <v>4465.0</v>
      </c>
      <c r="B4466" s="8" t="s">
        <v>5747</v>
      </c>
      <c r="C4466" s="8" t="s">
        <v>21</v>
      </c>
      <c r="K4466" s="8">
        <v>900.0</v>
      </c>
      <c r="N4466" s="7">
        <v>45312.0</v>
      </c>
    </row>
    <row r="4467">
      <c r="A4467" s="8">
        <v>4466.0</v>
      </c>
      <c r="B4467" s="8" t="s">
        <v>5748</v>
      </c>
      <c r="C4467" s="8" t="s">
        <v>21</v>
      </c>
      <c r="N4467" s="7">
        <v>45474.0</v>
      </c>
    </row>
    <row r="4468">
      <c r="A4468" s="8">
        <v>4467.0</v>
      </c>
      <c r="B4468" s="8" t="s">
        <v>5749</v>
      </c>
      <c r="C4468" s="8" t="s">
        <v>21</v>
      </c>
      <c r="K4468" s="8">
        <v>10.0</v>
      </c>
      <c r="N4468" s="7">
        <v>44101.0</v>
      </c>
    </row>
    <row r="4469">
      <c r="A4469" s="8">
        <v>4468.0</v>
      </c>
      <c r="B4469" s="8" t="s">
        <v>5750</v>
      </c>
      <c r="C4469" s="8" t="s">
        <v>21</v>
      </c>
      <c r="K4469" s="8">
        <v>10.0</v>
      </c>
      <c r="N4469" s="7">
        <v>46049.0</v>
      </c>
    </row>
    <row r="4470">
      <c r="A4470" s="8">
        <v>4469.0</v>
      </c>
      <c r="B4470" s="8" t="s">
        <v>5751</v>
      </c>
      <c r="C4470" s="8" t="s">
        <v>21</v>
      </c>
      <c r="K4470" s="8">
        <v>70.0</v>
      </c>
      <c r="N4470" s="7">
        <v>44768.0</v>
      </c>
    </row>
    <row r="4471">
      <c r="A4471" s="8">
        <v>4470.0</v>
      </c>
      <c r="B4471" s="8" t="s">
        <v>5752</v>
      </c>
      <c r="C4471" s="8" t="s">
        <v>21</v>
      </c>
      <c r="K4471" s="8">
        <v>7900.0</v>
      </c>
      <c r="N4471" s="7">
        <v>44860.0</v>
      </c>
    </row>
    <row r="4472">
      <c r="A4472" s="8">
        <v>4471.0</v>
      </c>
      <c r="B4472" s="8" t="s">
        <v>5753</v>
      </c>
      <c r="C4472" s="8" t="s">
        <v>21</v>
      </c>
      <c r="N4472" s="7">
        <v>45776.0</v>
      </c>
    </row>
    <row r="4473">
      <c r="A4473" s="8">
        <v>4472.0</v>
      </c>
      <c r="B4473" s="8" t="s">
        <v>343</v>
      </c>
      <c r="C4473" s="8" t="s">
        <v>21</v>
      </c>
      <c r="N4473" s="7">
        <v>45207.0</v>
      </c>
    </row>
    <row r="4474">
      <c r="A4474" s="8">
        <v>4473.0</v>
      </c>
      <c r="B4474" s="8" t="s">
        <v>5754</v>
      </c>
      <c r="C4474" s="8" t="s">
        <v>21</v>
      </c>
      <c r="K4474" s="8">
        <v>250.0</v>
      </c>
      <c r="N4474" s="7">
        <v>45308.0</v>
      </c>
    </row>
    <row r="4475">
      <c r="A4475" s="8">
        <v>4474.0</v>
      </c>
      <c r="B4475" s="8" t="s">
        <v>5755</v>
      </c>
      <c r="C4475" s="8" t="s">
        <v>21</v>
      </c>
      <c r="K4475" s="8">
        <v>150.0</v>
      </c>
      <c r="N4475" s="7">
        <v>44197.0</v>
      </c>
    </row>
    <row r="4476">
      <c r="A4476" s="8">
        <v>4475.0</v>
      </c>
      <c r="B4476" s="8" t="s">
        <v>5756</v>
      </c>
      <c r="C4476" s="8" t="s">
        <v>21</v>
      </c>
      <c r="N4476" s="7">
        <v>45049.0</v>
      </c>
    </row>
    <row r="4477">
      <c r="A4477" s="8">
        <v>4476.0</v>
      </c>
      <c r="B4477" s="8" t="s">
        <v>5757</v>
      </c>
      <c r="C4477" s="8" t="s">
        <v>21</v>
      </c>
      <c r="K4477" s="8">
        <v>1700.0</v>
      </c>
      <c r="N4477" s="7">
        <v>44098.0</v>
      </c>
    </row>
    <row r="4478">
      <c r="A4478" s="8">
        <v>4477.0</v>
      </c>
      <c r="B4478" s="8" t="s">
        <v>5758</v>
      </c>
      <c r="C4478" s="8" t="s">
        <v>21</v>
      </c>
      <c r="K4478" s="8">
        <v>50.0</v>
      </c>
      <c r="N4478" s="7">
        <v>44231.0</v>
      </c>
    </row>
    <row r="4479">
      <c r="A4479" s="8">
        <v>4478.0</v>
      </c>
      <c r="B4479" s="8" t="s">
        <v>5759</v>
      </c>
      <c r="C4479" s="8" t="s">
        <v>21</v>
      </c>
      <c r="K4479" s="8">
        <v>10.0</v>
      </c>
      <c r="N4479" s="7">
        <v>44245.0</v>
      </c>
    </row>
    <row r="4480">
      <c r="A4480" s="8">
        <v>4479.0</v>
      </c>
      <c r="B4480" s="8" t="s">
        <v>5760</v>
      </c>
      <c r="C4480" s="8" t="s">
        <v>21</v>
      </c>
      <c r="N4480" s="7">
        <v>44930.0</v>
      </c>
    </row>
    <row r="4481">
      <c r="A4481" s="8">
        <v>4480.0</v>
      </c>
      <c r="B4481" s="8" t="s">
        <v>5761</v>
      </c>
      <c r="C4481" s="8" t="s">
        <v>21</v>
      </c>
      <c r="K4481" s="8">
        <v>40.0</v>
      </c>
      <c r="N4481" s="7">
        <v>44220.0</v>
      </c>
    </row>
    <row r="4482">
      <c r="A4482" s="8">
        <v>4481.0</v>
      </c>
      <c r="B4482" s="8" t="s">
        <v>5762</v>
      </c>
      <c r="C4482" s="8" t="s">
        <v>21</v>
      </c>
      <c r="K4482" s="8">
        <v>200.0</v>
      </c>
      <c r="N4482" s="7">
        <v>45105.0</v>
      </c>
    </row>
    <row r="4483">
      <c r="A4483" s="8">
        <v>4482.0</v>
      </c>
      <c r="B4483" s="8" t="s">
        <v>5763</v>
      </c>
      <c r="C4483" s="8" t="s">
        <v>21</v>
      </c>
      <c r="N4483" s="7">
        <v>43980.0</v>
      </c>
      <c r="O4483" s="8" t="s">
        <v>26</v>
      </c>
      <c r="P4483" s="8" t="s">
        <v>28</v>
      </c>
      <c r="S4483" s="8" t="s">
        <v>32</v>
      </c>
    </row>
    <row r="4484">
      <c r="A4484" s="8">
        <v>4483.0</v>
      </c>
      <c r="B4484" s="8" t="s">
        <v>5764</v>
      </c>
      <c r="C4484" s="8" t="s">
        <v>21</v>
      </c>
      <c r="K4484" s="8">
        <v>62000.0</v>
      </c>
      <c r="N4484" s="7">
        <v>44121.0</v>
      </c>
    </row>
    <row r="4485">
      <c r="A4485" s="8">
        <v>4484.0</v>
      </c>
      <c r="B4485" s="8" t="s">
        <v>5765</v>
      </c>
      <c r="C4485" s="8" t="s">
        <v>21</v>
      </c>
      <c r="K4485" s="8">
        <v>4300.0</v>
      </c>
      <c r="N4485" s="7">
        <v>45057.0</v>
      </c>
    </row>
    <row r="4486">
      <c r="A4486" s="8">
        <v>4485.0</v>
      </c>
      <c r="B4486" s="8" t="s">
        <v>5766</v>
      </c>
      <c r="C4486" s="8" t="s">
        <v>21</v>
      </c>
      <c r="K4486" s="8">
        <v>500.0</v>
      </c>
      <c r="N4486" s="7">
        <v>45429.0</v>
      </c>
    </row>
    <row r="4487">
      <c r="A4487" s="8">
        <v>4486.0</v>
      </c>
      <c r="B4487" s="8" t="s">
        <v>5767</v>
      </c>
      <c r="C4487" s="8" t="s">
        <v>21</v>
      </c>
      <c r="K4487" s="8">
        <v>90.0</v>
      </c>
      <c r="N4487" s="7">
        <v>44170.0</v>
      </c>
    </row>
    <row r="4488">
      <c r="A4488" s="8">
        <v>4487.0</v>
      </c>
      <c r="B4488" s="8" t="s">
        <v>5768</v>
      </c>
      <c r="C4488" s="8" t="s">
        <v>21</v>
      </c>
      <c r="K4488" s="8">
        <v>150.0</v>
      </c>
      <c r="N4488" s="7">
        <v>44376.0</v>
      </c>
    </row>
    <row r="4489">
      <c r="A4489" s="8">
        <v>4488.0</v>
      </c>
      <c r="B4489" s="8" t="s">
        <v>5769</v>
      </c>
      <c r="C4489" s="8" t="s">
        <v>21</v>
      </c>
      <c r="K4489" s="8">
        <v>40.0</v>
      </c>
      <c r="N4489" s="7">
        <v>44168.0</v>
      </c>
    </row>
    <row r="4490">
      <c r="A4490" s="8">
        <v>4489.0</v>
      </c>
      <c r="B4490" s="8" t="s">
        <v>5770</v>
      </c>
      <c r="C4490" s="8" t="s">
        <v>21</v>
      </c>
      <c r="N4490" s="7">
        <v>42396.0</v>
      </c>
    </row>
    <row r="4491">
      <c r="A4491" s="8">
        <v>4490.0</v>
      </c>
      <c r="B4491" s="8" t="s">
        <v>5771</v>
      </c>
      <c r="C4491" s="8" t="s">
        <v>21</v>
      </c>
      <c r="K4491" s="8">
        <v>90.0</v>
      </c>
      <c r="N4491" s="7">
        <v>44639.0</v>
      </c>
    </row>
    <row r="4492">
      <c r="A4492" s="8">
        <v>4491.0</v>
      </c>
      <c r="B4492" s="8" t="s">
        <v>5772</v>
      </c>
      <c r="C4492" s="8" t="s">
        <v>21</v>
      </c>
      <c r="K4492" s="8">
        <v>250.0</v>
      </c>
      <c r="N4492" s="7">
        <v>44627.0</v>
      </c>
    </row>
    <row r="4493">
      <c r="A4493" s="8">
        <v>4492.0</v>
      </c>
      <c r="B4493" s="8" t="s">
        <v>5773</v>
      </c>
      <c r="C4493" s="8" t="s">
        <v>21</v>
      </c>
      <c r="K4493" s="8">
        <v>30.0</v>
      </c>
      <c r="N4493" s="7">
        <v>45080.0</v>
      </c>
    </row>
    <row r="4494">
      <c r="A4494" s="8">
        <v>4493.0</v>
      </c>
      <c r="B4494" s="8" t="s">
        <v>5774</v>
      </c>
      <c r="C4494" s="8" t="s">
        <v>21</v>
      </c>
      <c r="K4494" s="8">
        <v>450.0</v>
      </c>
      <c r="N4494" s="7">
        <v>44627.0</v>
      </c>
    </row>
    <row r="4495">
      <c r="A4495" s="8">
        <v>4494.0</v>
      </c>
      <c r="B4495" s="8" t="s">
        <v>5775</v>
      </c>
      <c r="C4495" s="8" t="s">
        <v>21</v>
      </c>
      <c r="K4495" s="8">
        <v>20.0</v>
      </c>
      <c r="N4495" s="7">
        <v>44096.0</v>
      </c>
    </row>
    <row r="4496">
      <c r="A4496" s="8">
        <v>4495.0</v>
      </c>
      <c r="B4496" s="8" t="s">
        <v>5776</v>
      </c>
      <c r="C4496" s="8" t="s">
        <v>21</v>
      </c>
      <c r="K4496" s="8">
        <v>200.0</v>
      </c>
      <c r="N4496" s="7">
        <v>44627.0</v>
      </c>
    </row>
    <row r="4497">
      <c r="A4497" s="8">
        <v>4496.0</v>
      </c>
      <c r="B4497" s="8" t="s">
        <v>5777</v>
      </c>
      <c r="C4497" s="8" t="s">
        <v>21</v>
      </c>
      <c r="K4497" s="8">
        <v>3100.0</v>
      </c>
      <c r="N4497" s="7">
        <v>43868.0</v>
      </c>
    </row>
    <row r="4498">
      <c r="A4498" s="8">
        <v>4497.0</v>
      </c>
      <c r="B4498" s="8" t="s">
        <v>5778</v>
      </c>
      <c r="C4498" s="8" t="s">
        <v>21</v>
      </c>
      <c r="K4498" s="8">
        <v>100.0</v>
      </c>
      <c r="N4498" s="7">
        <v>44922.0</v>
      </c>
    </row>
    <row r="4499">
      <c r="A4499" s="8">
        <v>4498.0</v>
      </c>
      <c r="B4499" s="8" t="s">
        <v>5779</v>
      </c>
      <c r="C4499" s="8" t="s">
        <v>21</v>
      </c>
      <c r="K4499" s="8">
        <v>8600.0</v>
      </c>
      <c r="N4499" s="7">
        <v>44680.0</v>
      </c>
    </row>
    <row r="4500">
      <c r="A4500" s="8">
        <v>4499.0</v>
      </c>
      <c r="B4500" s="8" t="s">
        <v>5780</v>
      </c>
      <c r="C4500" s="8" t="s">
        <v>21</v>
      </c>
      <c r="N4500" s="7">
        <v>44741.0</v>
      </c>
    </row>
    <row r="4501">
      <c r="A4501" s="8">
        <v>4500.0</v>
      </c>
      <c r="B4501" s="8" t="s">
        <v>5781</v>
      </c>
      <c r="C4501" s="8" t="s">
        <v>21</v>
      </c>
      <c r="K4501" s="8">
        <v>500.0</v>
      </c>
      <c r="N4501" s="7">
        <v>44773.0</v>
      </c>
    </row>
    <row r="4502">
      <c r="A4502" s="8">
        <v>4501.0</v>
      </c>
      <c r="B4502" s="8" t="s">
        <v>5782</v>
      </c>
      <c r="C4502" s="8" t="s">
        <v>21</v>
      </c>
      <c r="K4502" s="8">
        <v>1200.0</v>
      </c>
      <c r="N4502" s="7">
        <v>43871.0</v>
      </c>
      <c r="O4502" s="8" t="s">
        <v>107</v>
      </c>
      <c r="P4502" s="8" t="s">
        <v>28</v>
      </c>
      <c r="S4502" s="8" t="s">
        <v>32</v>
      </c>
    </row>
    <row r="4503">
      <c r="A4503" s="8">
        <v>4502.0</v>
      </c>
      <c r="B4503" s="8" t="s">
        <v>5783</v>
      </c>
      <c r="C4503" s="8" t="s">
        <v>21</v>
      </c>
      <c r="N4503" s="7">
        <v>44258.0</v>
      </c>
    </row>
    <row r="4504">
      <c r="A4504" s="8">
        <v>4503.0</v>
      </c>
      <c r="B4504" s="8" t="s">
        <v>5784</v>
      </c>
      <c r="C4504" s="8" t="s">
        <v>21</v>
      </c>
      <c r="K4504" s="8">
        <v>600.0</v>
      </c>
      <c r="N4504" s="7">
        <v>43991.0</v>
      </c>
    </row>
    <row r="4505">
      <c r="A4505" s="8">
        <v>4504.0</v>
      </c>
      <c r="B4505" s="8" t="s">
        <v>5785</v>
      </c>
      <c r="C4505" s="8" t="s">
        <v>21</v>
      </c>
      <c r="K4505" s="8">
        <v>2200.0</v>
      </c>
      <c r="N4505" s="7">
        <v>43939.0</v>
      </c>
    </row>
    <row r="4506">
      <c r="A4506" s="8">
        <v>4505.0</v>
      </c>
      <c r="B4506" s="8" t="s">
        <v>5786</v>
      </c>
      <c r="C4506" s="8" t="s">
        <v>21</v>
      </c>
      <c r="K4506" s="8">
        <v>200.0</v>
      </c>
      <c r="N4506" s="7">
        <v>44930.0</v>
      </c>
    </row>
    <row r="4507">
      <c r="A4507" s="8">
        <v>4506.0</v>
      </c>
      <c r="B4507" s="8" t="s">
        <v>5787</v>
      </c>
      <c r="C4507" s="8" t="s">
        <v>21</v>
      </c>
      <c r="K4507" s="8">
        <v>100.0</v>
      </c>
      <c r="N4507" s="7">
        <v>43998.0</v>
      </c>
    </row>
    <row r="4508">
      <c r="A4508" s="8">
        <v>4507.0</v>
      </c>
      <c r="B4508" s="8" t="s">
        <v>5788</v>
      </c>
      <c r="C4508" s="8" t="s">
        <v>21</v>
      </c>
      <c r="D4508" s="8">
        <v>31.0</v>
      </c>
      <c r="H4508" s="8" t="s">
        <v>473</v>
      </c>
      <c r="I4508" s="9">
        <v>46124.69269675926</v>
      </c>
      <c r="J4508" s="8" t="s">
        <v>476</v>
      </c>
      <c r="L4508" s="8">
        <v>50.0</v>
      </c>
      <c r="M4508" s="8">
        <v>60.0</v>
      </c>
      <c r="N4508" s="7">
        <v>42328.0</v>
      </c>
      <c r="O4508" s="8" t="s">
        <v>26</v>
      </c>
      <c r="P4508" s="8" t="s">
        <v>28</v>
      </c>
      <c r="S4508" s="8" t="s">
        <v>32</v>
      </c>
    </row>
    <row r="4509">
      <c r="A4509" s="8">
        <v>4508.0</v>
      </c>
      <c r="B4509" s="8" t="s">
        <v>5789</v>
      </c>
      <c r="C4509" s="8" t="s">
        <v>21</v>
      </c>
      <c r="K4509" s="8">
        <v>450.0</v>
      </c>
      <c r="N4509" s="7">
        <v>44838.0</v>
      </c>
    </row>
    <row r="4510">
      <c r="A4510" s="8">
        <v>4509.0</v>
      </c>
      <c r="B4510" s="8" t="s">
        <v>5790</v>
      </c>
      <c r="C4510" s="8" t="s">
        <v>21</v>
      </c>
      <c r="K4510" s="8">
        <v>30.0</v>
      </c>
      <c r="N4510" s="7">
        <v>44285.0</v>
      </c>
    </row>
    <row r="4511">
      <c r="A4511" s="8">
        <v>4510.0</v>
      </c>
      <c r="B4511" s="8" t="s">
        <v>5791</v>
      </c>
      <c r="C4511" s="8" t="s">
        <v>21</v>
      </c>
      <c r="N4511" s="7">
        <v>44382.0</v>
      </c>
    </row>
    <row r="4512">
      <c r="A4512" s="8">
        <v>4511.0</v>
      </c>
      <c r="B4512" s="8" t="s">
        <v>5792</v>
      </c>
      <c r="C4512" s="8" t="s">
        <v>21</v>
      </c>
      <c r="K4512" s="8">
        <v>30.0</v>
      </c>
      <c r="N4512" s="7">
        <v>44424.0</v>
      </c>
    </row>
    <row r="4513">
      <c r="A4513" s="8">
        <v>4512.0</v>
      </c>
      <c r="B4513" s="8" t="s">
        <v>5793</v>
      </c>
      <c r="C4513" s="8" t="s">
        <v>21</v>
      </c>
      <c r="K4513" s="8">
        <v>40.0</v>
      </c>
      <c r="N4513" s="7">
        <v>44540.0</v>
      </c>
    </row>
    <row r="4514">
      <c r="A4514" s="8">
        <v>4513.0</v>
      </c>
      <c r="B4514" s="8" t="s">
        <v>5794</v>
      </c>
      <c r="C4514" s="8" t="s">
        <v>21</v>
      </c>
      <c r="K4514" s="8">
        <v>4500.0</v>
      </c>
      <c r="N4514" s="7">
        <v>44076.0</v>
      </c>
    </row>
    <row r="4515">
      <c r="A4515" s="8">
        <v>4514.0</v>
      </c>
      <c r="B4515" s="8" t="s">
        <v>5795</v>
      </c>
      <c r="C4515" s="8" t="s">
        <v>21</v>
      </c>
      <c r="K4515" s="8">
        <v>200.0</v>
      </c>
      <c r="N4515" s="7">
        <v>44626.0</v>
      </c>
    </row>
    <row r="4516">
      <c r="A4516" s="8">
        <v>4515.0</v>
      </c>
      <c r="B4516" s="8" t="s">
        <v>5796</v>
      </c>
      <c r="C4516" s="8" t="s">
        <v>21</v>
      </c>
      <c r="K4516" s="8">
        <v>450.0</v>
      </c>
      <c r="N4516" s="7">
        <v>44566.0</v>
      </c>
    </row>
    <row r="4517">
      <c r="A4517" s="8">
        <v>4516.0</v>
      </c>
      <c r="B4517" s="8" t="s">
        <v>5797</v>
      </c>
      <c r="C4517" s="8" t="s">
        <v>21</v>
      </c>
      <c r="K4517" s="8">
        <v>5200.0</v>
      </c>
      <c r="N4517" s="7">
        <v>42285.0</v>
      </c>
    </row>
    <row r="4518">
      <c r="A4518" s="8">
        <v>4517.0</v>
      </c>
      <c r="B4518" s="8" t="s">
        <v>5798</v>
      </c>
      <c r="C4518" s="8" t="s">
        <v>21</v>
      </c>
      <c r="K4518" s="8">
        <v>200.0</v>
      </c>
      <c r="N4518" s="7">
        <v>44159.0</v>
      </c>
    </row>
    <row r="4519">
      <c r="A4519" s="8">
        <v>4518.0</v>
      </c>
      <c r="B4519" s="8" t="s">
        <v>5799</v>
      </c>
      <c r="C4519" s="8" t="s">
        <v>21</v>
      </c>
      <c r="K4519" s="8">
        <v>1100.0</v>
      </c>
      <c r="N4519" s="7">
        <v>44051.0</v>
      </c>
    </row>
    <row r="4520">
      <c r="A4520" s="8">
        <v>4519.0</v>
      </c>
      <c r="B4520" s="8" t="s">
        <v>5800</v>
      </c>
      <c r="C4520" s="8" t="s">
        <v>21</v>
      </c>
      <c r="K4520" s="8">
        <v>300.0</v>
      </c>
      <c r="N4520" s="7">
        <v>45220.0</v>
      </c>
    </row>
    <row r="4521">
      <c r="A4521" s="8">
        <v>4520.0</v>
      </c>
      <c r="B4521" s="8" t="s">
        <v>5801</v>
      </c>
      <c r="C4521" s="8" t="s">
        <v>21</v>
      </c>
      <c r="K4521" s="8">
        <v>50.0</v>
      </c>
      <c r="N4521" s="7">
        <v>45082.0</v>
      </c>
    </row>
    <row r="4522">
      <c r="A4522" s="8">
        <v>4521.0</v>
      </c>
      <c r="B4522" s="8" t="s">
        <v>5802</v>
      </c>
      <c r="C4522" s="8" t="s">
        <v>21</v>
      </c>
      <c r="K4522" s="8">
        <v>450.0</v>
      </c>
      <c r="N4522" s="7">
        <v>44292.0</v>
      </c>
    </row>
    <row r="4523">
      <c r="A4523" s="8">
        <v>4522.0</v>
      </c>
      <c r="B4523" s="8" t="s">
        <v>5803</v>
      </c>
      <c r="C4523" s="8" t="s">
        <v>21</v>
      </c>
      <c r="K4523" s="8">
        <v>300.0</v>
      </c>
      <c r="N4523" s="7">
        <v>44388.0</v>
      </c>
    </row>
    <row r="4524">
      <c r="A4524" s="8">
        <v>4523.0</v>
      </c>
      <c r="B4524" s="8" t="s">
        <v>5804</v>
      </c>
      <c r="C4524" s="8" t="s">
        <v>21</v>
      </c>
      <c r="K4524" s="8">
        <v>40.0</v>
      </c>
      <c r="N4524" s="7">
        <v>45727.0</v>
      </c>
    </row>
    <row r="4525">
      <c r="A4525" s="8">
        <v>4524.0</v>
      </c>
      <c r="B4525" s="8" t="s">
        <v>5805</v>
      </c>
      <c r="C4525" s="8" t="s">
        <v>21</v>
      </c>
      <c r="K4525" s="8">
        <v>10.0</v>
      </c>
      <c r="N4525" s="7">
        <v>44291.0</v>
      </c>
    </row>
    <row r="4526">
      <c r="A4526" s="8">
        <v>4525.0</v>
      </c>
      <c r="B4526" s="8" t="s">
        <v>347</v>
      </c>
      <c r="C4526" s="8" t="s">
        <v>21</v>
      </c>
      <c r="K4526" s="8">
        <v>20.0</v>
      </c>
      <c r="N4526" s="7">
        <v>44691.0</v>
      </c>
    </row>
    <row r="4527">
      <c r="A4527" s="8">
        <v>4526.0</v>
      </c>
      <c r="B4527" s="8" t="s">
        <v>5806</v>
      </c>
      <c r="C4527" s="8" t="s">
        <v>21</v>
      </c>
      <c r="N4527" s="7">
        <v>45205.0</v>
      </c>
    </row>
    <row r="4528">
      <c r="A4528" s="8">
        <v>4527.0</v>
      </c>
      <c r="B4528" s="8" t="s">
        <v>5807</v>
      </c>
      <c r="C4528" s="8" t="s">
        <v>21</v>
      </c>
      <c r="G4528" s="8">
        <v>0.95</v>
      </c>
      <c r="N4528" s="7">
        <v>42350.0</v>
      </c>
      <c r="O4528" s="8" t="s">
        <v>26</v>
      </c>
      <c r="P4528" s="8" t="s">
        <v>28</v>
      </c>
      <c r="S4528" s="8" t="s">
        <v>32</v>
      </c>
    </row>
    <row r="4529">
      <c r="A4529" s="8">
        <v>4528.0</v>
      </c>
      <c r="B4529" s="8" t="s">
        <v>5808</v>
      </c>
      <c r="C4529" s="8" t="s">
        <v>21</v>
      </c>
      <c r="K4529" s="8">
        <v>30.0</v>
      </c>
      <c r="N4529" s="7">
        <v>45417.0</v>
      </c>
    </row>
    <row r="4530">
      <c r="A4530" s="8">
        <v>4529.0</v>
      </c>
      <c r="B4530" s="8" t="s">
        <v>5809</v>
      </c>
      <c r="C4530" s="8" t="s">
        <v>21</v>
      </c>
      <c r="K4530" s="8">
        <v>150.0</v>
      </c>
      <c r="N4530" s="7">
        <v>44257.0</v>
      </c>
    </row>
    <row r="4531">
      <c r="A4531" s="8">
        <v>4530.0</v>
      </c>
      <c r="B4531" s="8" t="s">
        <v>5810</v>
      </c>
      <c r="C4531" s="8" t="s">
        <v>21</v>
      </c>
      <c r="K4531" s="8">
        <v>900.0</v>
      </c>
      <c r="N4531" s="7">
        <v>45921.0</v>
      </c>
    </row>
    <row r="4532">
      <c r="A4532" s="8">
        <v>4531.0</v>
      </c>
      <c r="B4532" s="8" t="s">
        <v>5811</v>
      </c>
      <c r="C4532" s="8" t="s">
        <v>21</v>
      </c>
      <c r="N4532" s="7">
        <v>44784.0</v>
      </c>
    </row>
    <row r="4533">
      <c r="A4533" s="8">
        <v>4532.0</v>
      </c>
      <c r="B4533" s="8" t="s">
        <v>5812</v>
      </c>
      <c r="C4533" s="8" t="s">
        <v>21</v>
      </c>
      <c r="K4533" s="8">
        <v>4000.0</v>
      </c>
      <c r="N4533" s="7">
        <v>44082.0</v>
      </c>
    </row>
    <row r="4534">
      <c r="A4534" s="8">
        <v>4533.0</v>
      </c>
      <c r="B4534" s="8" t="s">
        <v>5813</v>
      </c>
      <c r="C4534" s="8" t="s">
        <v>21</v>
      </c>
      <c r="K4534" s="8">
        <v>8700.0</v>
      </c>
      <c r="N4534" s="7">
        <v>44544.0</v>
      </c>
    </row>
    <row r="4535">
      <c r="A4535" s="8">
        <v>4534.0</v>
      </c>
      <c r="B4535" s="8" t="s">
        <v>5814</v>
      </c>
      <c r="C4535" s="8" t="s">
        <v>21</v>
      </c>
      <c r="K4535" s="8">
        <v>6300.0</v>
      </c>
      <c r="N4535" s="7">
        <v>43965.0</v>
      </c>
    </row>
    <row r="4536">
      <c r="A4536" s="8">
        <v>4535.0</v>
      </c>
      <c r="B4536" s="8" t="s">
        <v>5815</v>
      </c>
      <c r="C4536" s="8" t="s">
        <v>21</v>
      </c>
      <c r="K4536" s="8">
        <v>4900.0</v>
      </c>
      <c r="N4536" s="7">
        <v>43886.0</v>
      </c>
    </row>
    <row r="4537">
      <c r="A4537" s="8">
        <v>4536.0</v>
      </c>
      <c r="B4537" s="8" t="s">
        <v>5816</v>
      </c>
      <c r="C4537" s="8" t="s">
        <v>21</v>
      </c>
      <c r="K4537" s="8">
        <v>30.0</v>
      </c>
      <c r="N4537" s="7">
        <v>45097.0</v>
      </c>
    </row>
    <row r="4538">
      <c r="A4538" s="8">
        <v>4537.0</v>
      </c>
      <c r="B4538" s="8" t="s">
        <v>5817</v>
      </c>
      <c r="C4538" s="8" t="s">
        <v>21</v>
      </c>
      <c r="K4538" s="8">
        <v>40.0</v>
      </c>
      <c r="N4538" s="7">
        <v>44892.0</v>
      </c>
    </row>
    <row r="4539">
      <c r="A4539" s="8">
        <v>4538.0</v>
      </c>
      <c r="B4539" s="8" t="s">
        <v>5818</v>
      </c>
      <c r="C4539" s="8" t="s">
        <v>21</v>
      </c>
      <c r="K4539" s="8">
        <v>2700.0</v>
      </c>
      <c r="N4539" s="7">
        <v>44540.0</v>
      </c>
    </row>
    <row r="4540">
      <c r="A4540" s="8">
        <v>4539.0</v>
      </c>
      <c r="B4540" s="8" t="s">
        <v>5819</v>
      </c>
      <c r="C4540" s="8" t="s">
        <v>21</v>
      </c>
      <c r="K4540" s="8">
        <v>6400.0</v>
      </c>
      <c r="N4540" s="7">
        <v>44162.0</v>
      </c>
    </row>
    <row r="4541">
      <c r="A4541" s="8">
        <v>4540.0</v>
      </c>
      <c r="B4541" s="8" t="s">
        <v>5820</v>
      </c>
      <c r="C4541" s="8" t="s">
        <v>21</v>
      </c>
      <c r="N4541" s="7">
        <v>44165.0</v>
      </c>
    </row>
    <row r="4542">
      <c r="A4542" s="8">
        <v>4541.0</v>
      </c>
      <c r="B4542" s="8" t="s">
        <v>351</v>
      </c>
      <c r="C4542" s="8" t="s">
        <v>21</v>
      </c>
      <c r="K4542" s="8">
        <v>200.0</v>
      </c>
      <c r="N4542" s="7">
        <v>44871.0</v>
      </c>
    </row>
    <row r="4543">
      <c r="A4543" s="8">
        <v>4542.0</v>
      </c>
      <c r="B4543" s="8" t="s">
        <v>5821</v>
      </c>
      <c r="C4543" s="8" t="s">
        <v>21</v>
      </c>
      <c r="K4543" s="8">
        <v>350.0</v>
      </c>
      <c r="N4543" s="7">
        <v>44280.0</v>
      </c>
    </row>
    <row r="4544">
      <c r="A4544" s="8">
        <v>4543.0</v>
      </c>
      <c r="B4544" s="8" t="s">
        <v>5822</v>
      </c>
      <c r="C4544" s="8" t="s">
        <v>21</v>
      </c>
      <c r="K4544" s="8">
        <v>3200.0</v>
      </c>
      <c r="N4544" s="7">
        <v>44083.0</v>
      </c>
    </row>
    <row r="4545">
      <c r="A4545" s="8">
        <v>4544.0</v>
      </c>
      <c r="B4545" s="8" t="s">
        <v>5823</v>
      </c>
      <c r="C4545" s="8" t="s">
        <v>21</v>
      </c>
      <c r="K4545" s="8">
        <v>10.0</v>
      </c>
      <c r="N4545" s="7">
        <v>45873.0</v>
      </c>
    </row>
    <row r="4546">
      <c r="A4546" s="8">
        <v>4545.0</v>
      </c>
      <c r="B4546" s="8" t="s">
        <v>5824</v>
      </c>
      <c r="C4546" s="8" t="s">
        <v>21</v>
      </c>
      <c r="N4546" s="7">
        <v>42626.0</v>
      </c>
      <c r="O4546" s="8" t="s">
        <v>26</v>
      </c>
      <c r="P4546" s="8" t="s">
        <v>28</v>
      </c>
      <c r="S4546" s="8" t="s">
        <v>32</v>
      </c>
    </row>
    <row r="4547">
      <c r="A4547" s="8">
        <v>4546.0</v>
      </c>
      <c r="B4547" s="8" t="s">
        <v>5825</v>
      </c>
      <c r="C4547" s="8" t="s">
        <v>21</v>
      </c>
      <c r="K4547" s="8">
        <v>500.0</v>
      </c>
      <c r="N4547" s="7">
        <v>44517.0</v>
      </c>
    </row>
    <row r="4548">
      <c r="A4548" s="8">
        <v>4547.0</v>
      </c>
      <c r="B4548" s="8" t="s">
        <v>5826</v>
      </c>
      <c r="C4548" s="8" t="s">
        <v>21</v>
      </c>
      <c r="N4548" s="7">
        <v>45230.0</v>
      </c>
    </row>
    <row r="4549">
      <c r="A4549" s="8">
        <v>4548.0</v>
      </c>
      <c r="B4549" s="8" t="s">
        <v>5827</v>
      </c>
      <c r="C4549" s="8" t="s">
        <v>21</v>
      </c>
      <c r="K4549" s="8">
        <v>4200.0</v>
      </c>
      <c r="N4549" s="7">
        <v>44211.0</v>
      </c>
    </row>
    <row r="4550">
      <c r="A4550" s="8">
        <v>4549.0</v>
      </c>
      <c r="B4550" s="8" t="s">
        <v>5828</v>
      </c>
      <c r="C4550" s="8" t="s">
        <v>21</v>
      </c>
      <c r="K4550" s="8">
        <v>20.0</v>
      </c>
      <c r="N4550" s="7">
        <v>44234.0</v>
      </c>
    </row>
    <row r="4551">
      <c r="A4551" s="8">
        <v>4550.0</v>
      </c>
      <c r="B4551" s="8" t="s">
        <v>5829</v>
      </c>
      <c r="C4551" s="8" t="s">
        <v>21</v>
      </c>
      <c r="K4551" s="8">
        <v>600.0</v>
      </c>
      <c r="N4551" s="7">
        <v>44313.0</v>
      </c>
    </row>
    <row r="4552">
      <c r="A4552" s="8">
        <v>4551.0</v>
      </c>
      <c r="B4552" s="8" t="s">
        <v>5830</v>
      </c>
      <c r="C4552" s="8" t="s">
        <v>21</v>
      </c>
      <c r="K4552" s="8">
        <v>90.0</v>
      </c>
      <c r="N4552" s="7">
        <v>44308.0</v>
      </c>
    </row>
    <row r="4553">
      <c r="A4553" s="8">
        <v>4552.0</v>
      </c>
      <c r="B4553" s="8" t="s">
        <v>5831</v>
      </c>
      <c r="C4553" s="8" t="s">
        <v>21</v>
      </c>
      <c r="N4553" s="7">
        <v>44124.0</v>
      </c>
    </row>
    <row r="4554">
      <c r="A4554" s="8">
        <v>4553.0</v>
      </c>
      <c r="B4554" s="8" t="s">
        <v>5832</v>
      </c>
      <c r="C4554" s="8" t="s">
        <v>21</v>
      </c>
      <c r="N4554" s="7">
        <v>44128.0</v>
      </c>
    </row>
    <row r="4555">
      <c r="A4555" s="8">
        <v>4554.0</v>
      </c>
      <c r="B4555" s="8" t="s">
        <v>5833</v>
      </c>
      <c r="C4555" s="8" t="s">
        <v>21</v>
      </c>
      <c r="K4555" s="8">
        <v>450.0</v>
      </c>
      <c r="N4555" s="7">
        <v>44414.0</v>
      </c>
    </row>
    <row r="4556">
      <c r="A4556" s="8">
        <v>4555.0</v>
      </c>
      <c r="B4556" s="8" t="s">
        <v>5834</v>
      </c>
      <c r="C4556" s="8" t="s">
        <v>21</v>
      </c>
      <c r="K4556" s="8">
        <v>90.0</v>
      </c>
      <c r="N4556" s="7">
        <v>44702.0</v>
      </c>
    </row>
    <row r="4557">
      <c r="A4557" s="8">
        <v>4556.0</v>
      </c>
      <c r="B4557" s="8" t="s">
        <v>5835</v>
      </c>
      <c r="C4557" s="8" t="s">
        <v>21</v>
      </c>
      <c r="K4557" s="8">
        <v>1300.0</v>
      </c>
      <c r="N4557" s="7">
        <v>43897.0</v>
      </c>
    </row>
    <row r="4558">
      <c r="A4558" s="8">
        <v>4557.0</v>
      </c>
      <c r="B4558" s="8" t="s">
        <v>5836</v>
      </c>
      <c r="C4558" s="8" t="s">
        <v>21</v>
      </c>
      <c r="K4558" s="8">
        <v>1100.0</v>
      </c>
      <c r="N4558" s="7">
        <v>44725.0</v>
      </c>
    </row>
    <row r="4559">
      <c r="A4559" s="8">
        <v>4558.0</v>
      </c>
      <c r="B4559" s="8" t="s">
        <v>5837</v>
      </c>
      <c r="C4559" s="8" t="s">
        <v>21</v>
      </c>
      <c r="K4559" s="8">
        <v>50.0</v>
      </c>
      <c r="N4559" s="7">
        <v>45873.0</v>
      </c>
    </row>
    <row r="4560">
      <c r="A4560" s="8">
        <v>4559.0</v>
      </c>
      <c r="B4560" s="8" t="s">
        <v>5838</v>
      </c>
      <c r="C4560" s="8" t="s">
        <v>21</v>
      </c>
      <c r="K4560" s="8">
        <v>500.0</v>
      </c>
      <c r="N4560" s="7">
        <v>44871.0</v>
      </c>
    </row>
    <row r="4561">
      <c r="A4561" s="8">
        <v>4560.0</v>
      </c>
      <c r="B4561" s="8" t="s">
        <v>5839</v>
      </c>
      <c r="C4561" s="8" t="s">
        <v>21</v>
      </c>
      <c r="K4561" s="8">
        <v>60.0</v>
      </c>
      <c r="N4561" s="7">
        <v>45046.0</v>
      </c>
    </row>
    <row r="4562">
      <c r="A4562" s="8">
        <v>4561.0</v>
      </c>
      <c r="B4562" s="8" t="s">
        <v>5840</v>
      </c>
      <c r="C4562" s="8" t="s">
        <v>21</v>
      </c>
      <c r="K4562" s="8">
        <v>350.0</v>
      </c>
      <c r="N4562" s="7">
        <v>45390.0</v>
      </c>
    </row>
    <row r="4563">
      <c r="A4563" s="8">
        <v>4562.0</v>
      </c>
      <c r="B4563" s="8" t="s">
        <v>5841</v>
      </c>
      <c r="C4563" s="8" t="s">
        <v>21</v>
      </c>
      <c r="K4563" s="8">
        <v>150.0</v>
      </c>
      <c r="N4563" s="7">
        <v>44702.0</v>
      </c>
    </row>
    <row r="4564">
      <c r="A4564" s="8">
        <v>4563.0</v>
      </c>
      <c r="B4564" s="8" t="s">
        <v>5842</v>
      </c>
      <c r="C4564" s="8" t="s">
        <v>21</v>
      </c>
      <c r="K4564" s="8">
        <v>30.0</v>
      </c>
      <c r="N4564" s="7">
        <v>44530.0</v>
      </c>
    </row>
    <row r="4565">
      <c r="A4565" s="8">
        <v>4564.0</v>
      </c>
      <c r="B4565" s="8" t="s">
        <v>5843</v>
      </c>
      <c r="C4565" s="8" t="s">
        <v>21</v>
      </c>
      <c r="K4565" s="8">
        <v>10.0</v>
      </c>
      <c r="N4565" s="7">
        <v>46044.0</v>
      </c>
    </row>
    <row r="4566">
      <c r="A4566" s="8">
        <v>4565.0</v>
      </c>
      <c r="B4566" s="8" t="s">
        <v>5844</v>
      </c>
      <c r="C4566" s="8" t="s">
        <v>21</v>
      </c>
      <c r="K4566" s="8">
        <v>60.0</v>
      </c>
      <c r="N4566" s="7">
        <v>44230.0</v>
      </c>
    </row>
    <row r="4567">
      <c r="A4567" s="8">
        <v>4566.0</v>
      </c>
      <c r="B4567" s="8" t="s">
        <v>5845</v>
      </c>
      <c r="C4567" s="8" t="s">
        <v>21</v>
      </c>
      <c r="K4567" s="8">
        <v>10.0</v>
      </c>
      <c r="N4567" s="7">
        <v>42992.0</v>
      </c>
    </row>
    <row r="4568">
      <c r="A4568" s="8">
        <v>4567.0</v>
      </c>
      <c r="B4568" s="8" t="s">
        <v>5846</v>
      </c>
      <c r="C4568" s="8" t="s">
        <v>21</v>
      </c>
      <c r="K4568" s="8">
        <v>20000.0</v>
      </c>
      <c r="N4568" s="7">
        <v>44938.0</v>
      </c>
    </row>
    <row r="4569">
      <c r="A4569" s="8">
        <v>4568.0</v>
      </c>
      <c r="B4569" s="8" t="s">
        <v>5847</v>
      </c>
      <c r="C4569" s="8" t="s">
        <v>21</v>
      </c>
      <c r="K4569" s="8">
        <v>150.0</v>
      </c>
      <c r="N4569" s="7">
        <v>45233.0</v>
      </c>
    </row>
    <row r="4570">
      <c r="A4570" s="8">
        <v>4569.0</v>
      </c>
      <c r="B4570" s="8" t="s">
        <v>5848</v>
      </c>
      <c r="C4570" s="8" t="s">
        <v>21</v>
      </c>
      <c r="K4570" s="8">
        <v>7600.0</v>
      </c>
      <c r="N4570" s="7">
        <v>43883.0</v>
      </c>
    </row>
    <row r="4571">
      <c r="A4571" s="8">
        <v>4570.0</v>
      </c>
      <c r="B4571" s="8" t="s">
        <v>5849</v>
      </c>
      <c r="C4571" s="8" t="s">
        <v>21</v>
      </c>
      <c r="N4571" s="7">
        <v>44340.0</v>
      </c>
    </row>
    <row r="4572">
      <c r="A4572" s="8">
        <v>4571.0</v>
      </c>
      <c r="B4572" s="8" t="s">
        <v>5850</v>
      </c>
      <c r="C4572" s="8" t="s">
        <v>21</v>
      </c>
      <c r="K4572" s="8">
        <v>800.0</v>
      </c>
      <c r="N4572" s="7">
        <v>44290.0</v>
      </c>
    </row>
    <row r="4573">
      <c r="A4573" s="8">
        <v>4572.0</v>
      </c>
      <c r="B4573" s="8" t="s">
        <v>5851</v>
      </c>
      <c r="C4573" s="8" t="s">
        <v>21</v>
      </c>
      <c r="K4573" s="8">
        <v>700.0</v>
      </c>
      <c r="N4573" s="7">
        <v>44074.0</v>
      </c>
    </row>
    <row r="4574">
      <c r="A4574" s="8">
        <v>4573.0</v>
      </c>
      <c r="B4574" s="8" t="s">
        <v>236</v>
      </c>
      <c r="C4574" s="8" t="s">
        <v>21</v>
      </c>
      <c r="K4574" s="8">
        <v>20.0</v>
      </c>
      <c r="N4574" s="7">
        <v>44815.0</v>
      </c>
    </row>
    <row r="4575">
      <c r="A4575" s="8">
        <v>4574.0</v>
      </c>
      <c r="B4575" s="8" t="s">
        <v>5852</v>
      </c>
      <c r="C4575" s="8" t="s">
        <v>21</v>
      </c>
      <c r="N4575" s="7">
        <v>45084.0</v>
      </c>
    </row>
    <row r="4576">
      <c r="A4576" s="8">
        <v>4575.0</v>
      </c>
      <c r="B4576" s="8" t="s">
        <v>5853</v>
      </c>
      <c r="C4576" s="8" t="s">
        <v>21</v>
      </c>
      <c r="K4576" s="8">
        <v>600.0</v>
      </c>
      <c r="N4576" s="7">
        <v>44349.0</v>
      </c>
    </row>
    <row r="4577">
      <c r="A4577" s="8">
        <v>4576.0</v>
      </c>
      <c r="B4577" s="8" t="s">
        <v>5854</v>
      </c>
      <c r="C4577" s="8" t="s">
        <v>21</v>
      </c>
      <c r="K4577" s="8">
        <v>300.0</v>
      </c>
      <c r="N4577" s="7">
        <v>42622.0</v>
      </c>
      <c r="O4577" s="8" t="s">
        <v>31</v>
      </c>
      <c r="P4577" s="8" t="s">
        <v>28</v>
      </c>
      <c r="S4577" s="8" t="s">
        <v>32</v>
      </c>
    </row>
    <row r="4578">
      <c r="A4578" s="8">
        <v>4577.0</v>
      </c>
      <c r="B4578" s="8" t="s">
        <v>5855</v>
      </c>
      <c r="C4578" s="8" t="s">
        <v>21</v>
      </c>
      <c r="N4578" s="7">
        <v>44284.0</v>
      </c>
    </row>
    <row r="4579">
      <c r="A4579" s="8">
        <v>4578.0</v>
      </c>
      <c r="B4579" s="8" t="s">
        <v>5856</v>
      </c>
      <c r="C4579" s="8" t="s">
        <v>21</v>
      </c>
      <c r="K4579" s="8">
        <v>10000.0</v>
      </c>
      <c r="N4579" s="7">
        <v>44013.0</v>
      </c>
    </row>
    <row r="4580">
      <c r="A4580" s="8">
        <v>4579.0</v>
      </c>
      <c r="B4580" s="8" t="s">
        <v>5857</v>
      </c>
      <c r="C4580" s="8" t="s">
        <v>21</v>
      </c>
      <c r="N4580" s="7">
        <v>43984.0</v>
      </c>
    </row>
    <row r="4581">
      <c r="A4581" s="8">
        <v>4580.0</v>
      </c>
      <c r="B4581" s="8" t="s">
        <v>5858</v>
      </c>
      <c r="C4581" s="8" t="s">
        <v>21</v>
      </c>
      <c r="K4581" s="8">
        <v>60.0</v>
      </c>
      <c r="N4581" s="7">
        <v>44392.0</v>
      </c>
    </row>
    <row r="4582">
      <c r="A4582" s="8">
        <v>4581.0</v>
      </c>
      <c r="B4582" s="8" t="s">
        <v>5859</v>
      </c>
      <c r="C4582" s="8" t="s">
        <v>21</v>
      </c>
      <c r="K4582" s="8">
        <v>900.0</v>
      </c>
      <c r="N4582" s="7">
        <v>45222.0</v>
      </c>
    </row>
    <row r="4583">
      <c r="A4583" s="8">
        <v>4582.0</v>
      </c>
      <c r="B4583" s="8" t="s">
        <v>5860</v>
      </c>
      <c r="C4583" s="8" t="s">
        <v>21</v>
      </c>
      <c r="K4583" s="8">
        <v>20.0</v>
      </c>
      <c r="N4583" s="7">
        <v>44774.0</v>
      </c>
    </row>
    <row r="4584">
      <c r="A4584" s="8">
        <v>4583.0</v>
      </c>
      <c r="B4584" s="8" t="s">
        <v>5861</v>
      </c>
      <c r="C4584" s="8" t="s">
        <v>21</v>
      </c>
      <c r="K4584" s="8">
        <v>600.0</v>
      </c>
      <c r="N4584" s="7">
        <v>45053.0</v>
      </c>
    </row>
    <row r="4585">
      <c r="A4585" s="8">
        <v>4584.0</v>
      </c>
      <c r="B4585" s="8" t="s">
        <v>5862</v>
      </c>
      <c r="C4585" s="8" t="s">
        <v>21</v>
      </c>
      <c r="K4585" s="8">
        <v>200.0</v>
      </c>
      <c r="N4585" s="7">
        <v>44761.0</v>
      </c>
    </row>
    <row r="4586">
      <c r="A4586" s="8">
        <v>4585.0</v>
      </c>
      <c r="B4586" s="8" t="s">
        <v>5863</v>
      </c>
      <c r="C4586" s="8" t="s">
        <v>21</v>
      </c>
      <c r="K4586" s="8">
        <v>800.0</v>
      </c>
      <c r="N4586" s="7">
        <v>44445.0</v>
      </c>
    </row>
    <row r="4587">
      <c r="A4587" s="8">
        <v>4586.0</v>
      </c>
      <c r="B4587" s="8" t="s">
        <v>5864</v>
      </c>
      <c r="C4587" s="8" t="s">
        <v>21</v>
      </c>
      <c r="K4587" s="8">
        <v>200.0</v>
      </c>
      <c r="N4587" s="7">
        <v>45105.0</v>
      </c>
    </row>
    <row r="4588">
      <c r="A4588" s="8">
        <v>4587.0</v>
      </c>
      <c r="B4588" s="8" t="s">
        <v>5865</v>
      </c>
      <c r="C4588" s="8" t="s">
        <v>21</v>
      </c>
      <c r="K4588" s="8">
        <v>200.0</v>
      </c>
      <c r="N4588" s="7">
        <v>44465.0</v>
      </c>
    </row>
    <row r="4589">
      <c r="A4589" s="8">
        <v>4588.0</v>
      </c>
      <c r="B4589" s="8" t="s">
        <v>5866</v>
      </c>
      <c r="C4589" s="8" t="s">
        <v>21</v>
      </c>
      <c r="K4589" s="8">
        <v>250.0</v>
      </c>
      <c r="N4589" s="7">
        <v>44522.0</v>
      </c>
    </row>
    <row r="4590">
      <c r="A4590" s="8">
        <v>4589.0</v>
      </c>
      <c r="B4590" s="8" t="s">
        <v>5867</v>
      </c>
      <c r="C4590" s="8" t="s">
        <v>21</v>
      </c>
      <c r="K4590" s="8">
        <v>90.0</v>
      </c>
      <c r="N4590" s="7">
        <v>44520.0</v>
      </c>
    </row>
    <row r="4591">
      <c r="A4591" s="8">
        <v>4590.0</v>
      </c>
      <c r="B4591" s="8" t="s">
        <v>5868</v>
      </c>
      <c r="C4591" s="8" t="s">
        <v>21</v>
      </c>
      <c r="K4591" s="8">
        <v>800.0</v>
      </c>
      <c r="N4591" s="7">
        <v>45091.0</v>
      </c>
    </row>
    <row r="4592">
      <c r="A4592" s="8">
        <v>4591.0</v>
      </c>
      <c r="B4592" s="8" t="s">
        <v>5869</v>
      </c>
      <c r="C4592" s="8" t="s">
        <v>21</v>
      </c>
      <c r="K4592" s="8">
        <v>400.0</v>
      </c>
      <c r="N4592" s="7">
        <v>43868.0</v>
      </c>
    </row>
    <row r="4593">
      <c r="A4593" s="8">
        <v>4592.0</v>
      </c>
      <c r="B4593" s="8" t="s">
        <v>5870</v>
      </c>
      <c r="C4593" s="8" t="s">
        <v>21</v>
      </c>
      <c r="K4593" s="8">
        <v>700.0</v>
      </c>
      <c r="N4593" s="7">
        <v>44079.0</v>
      </c>
    </row>
    <row r="4594">
      <c r="A4594" s="8">
        <v>4593.0</v>
      </c>
      <c r="B4594" s="8" t="s">
        <v>5871</v>
      </c>
      <c r="C4594" s="8" t="s">
        <v>21</v>
      </c>
      <c r="K4594" s="8">
        <v>100.0</v>
      </c>
      <c r="N4594" s="7">
        <v>44688.0</v>
      </c>
    </row>
    <row r="4595">
      <c r="A4595" s="8">
        <v>4594.0</v>
      </c>
      <c r="B4595" s="8" t="s">
        <v>5872</v>
      </c>
      <c r="C4595" s="8" t="s">
        <v>21</v>
      </c>
      <c r="K4595" s="8">
        <v>90.0</v>
      </c>
      <c r="N4595" s="7">
        <v>44254.0</v>
      </c>
    </row>
    <row r="4596">
      <c r="A4596" s="8">
        <v>4595.0</v>
      </c>
      <c r="B4596" s="8" t="s">
        <v>5873</v>
      </c>
      <c r="C4596" s="8" t="s">
        <v>21</v>
      </c>
      <c r="K4596" s="8">
        <v>100.0</v>
      </c>
      <c r="N4596" s="7">
        <v>44639.0</v>
      </c>
    </row>
    <row r="4597">
      <c r="A4597" s="8">
        <v>4596.0</v>
      </c>
      <c r="B4597" s="8" t="s">
        <v>5874</v>
      </c>
      <c r="C4597" s="8" t="s">
        <v>21</v>
      </c>
      <c r="K4597" s="8">
        <v>30.0</v>
      </c>
      <c r="N4597" s="7">
        <v>45349.0</v>
      </c>
    </row>
    <row r="4598">
      <c r="A4598" s="8">
        <v>4597.0</v>
      </c>
      <c r="B4598" s="8" t="s">
        <v>5875</v>
      </c>
      <c r="C4598" s="8" t="s">
        <v>21</v>
      </c>
      <c r="K4598" s="8">
        <v>100.0</v>
      </c>
      <c r="N4598" s="7">
        <v>44128.0</v>
      </c>
    </row>
    <row r="4599">
      <c r="A4599" s="8">
        <v>4598.0</v>
      </c>
      <c r="B4599" s="8" t="s">
        <v>5876</v>
      </c>
      <c r="C4599" s="8" t="s">
        <v>21</v>
      </c>
      <c r="K4599" s="8">
        <v>70.0</v>
      </c>
      <c r="N4599" s="7">
        <v>44635.0</v>
      </c>
    </row>
    <row r="4600">
      <c r="A4600" s="8">
        <v>4599.0</v>
      </c>
      <c r="B4600" s="8" t="s">
        <v>5877</v>
      </c>
      <c r="C4600" s="8" t="s">
        <v>21</v>
      </c>
      <c r="K4600" s="8">
        <v>150.0</v>
      </c>
      <c r="N4600" s="7">
        <v>44518.0</v>
      </c>
    </row>
    <row r="4601">
      <c r="A4601" s="8">
        <v>4600.0</v>
      </c>
      <c r="B4601" s="8" t="s">
        <v>5878</v>
      </c>
      <c r="C4601" s="8" t="s">
        <v>21</v>
      </c>
      <c r="K4601" s="8">
        <v>200.0</v>
      </c>
      <c r="N4601" s="7">
        <v>44546.0</v>
      </c>
    </row>
    <row r="4602">
      <c r="A4602" s="8">
        <v>4601.0</v>
      </c>
      <c r="B4602" s="8" t="s">
        <v>5879</v>
      </c>
      <c r="C4602" s="8" t="s">
        <v>21</v>
      </c>
      <c r="K4602" s="8">
        <v>150.0</v>
      </c>
      <c r="N4602" s="7">
        <v>44589.0</v>
      </c>
    </row>
    <row r="4603">
      <c r="A4603" s="8">
        <v>4602.0</v>
      </c>
      <c r="B4603" s="8" t="s">
        <v>5880</v>
      </c>
      <c r="C4603" s="8" t="s">
        <v>21</v>
      </c>
      <c r="K4603" s="8">
        <v>30.0</v>
      </c>
      <c r="N4603" s="7">
        <v>44256.0</v>
      </c>
    </row>
    <row r="4604">
      <c r="A4604" s="8">
        <v>4603.0</v>
      </c>
      <c r="B4604" s="8" t="s">
        <v>5881</v>
      </c>
      <c r="C4604" s="8" t="s">
        <v>21</v>
      </c>
      <c r="K4604" s="8">
        <v>1000.0</v>
      </c>
      <c r="N4604" s="7">
        <v>44926.0</v>
      </c>
    </row>
    <row r="4605">
      <c r="A4605" s="8">
        <v>4604.0</v>
      </c>
      <c r="B4605" s="8" t="s">
        <v>5882</v>
      </c>
      <c r="C4605" s="8" t="s">
        <v>21</v>
      </c>
      <c r="K4605" s="8">
        <v>2700.0</v>
      </c>
      <c r="N4605" s="7">
        <v>44377.0</v>
      </c>
    </row>
    <row r="4606">
      <c r="A4606" s="8">
        <v>4605.0</v>
      </c>
      <c r="B4606" s="8" t="s">
        <v>5883</v>
      </c>
      <c r="C4606" s="8" t="s">
        <v>21</v>
      </c>
      <c r="K4606" s="8">
        <v>160000.0</v>
      </c>
      <c r="N4606" s="7">
        <v>44234.0</v>
      </c>
    </row>
    <row r="4607">
      <c r="A4607" s="8">
        <v>4606.0</v>
      </c>
      <c r="B4607" s="8" t="s">
        <v>5884</v>
      </c>
      <c r="C4607" s="8" t="s">
        <v>21</v>
      </c>
      <c r="K4607" s="8">
        <v>150.0</v>
      </c>
      <c r="N4607" s="7">
        <v>44335.0</v>
      </c>
    </row>
    <row r="4608">
      <c r="A4608" s="8">
        <v>4607.0</v>
      </c>
      <c r="B4608" s="8" t="s">
        <v>5885</v>
      </c>
      <c r="C4608" s="8" t="s">
        <v>21</v>
      </c>
      <c r="N4608" s="7">
        <v>42391.0</v>
      </c>
    </row>
    <row r="4609">
      <c r="A4609" s="8">
        <v>4608.0</v>
      </c>
      <c r="B4609" s="8" t="s">
        <v>5886</v>
      </c>
      <c r="C4609" s="8" t="s">
        <v>21</v>
      </c>
      <c r="K4609" s="8">
        <v>700.0</v>
      </c>
      <c r="N4609" s="7">
        <v>44518.0</v>
      </c>
    </row>
    <row r="4610">
      <c r="A4610" s="8">
        <v>4609.0</v>
      </c>
      <c r="B4610" s="8" t="s">
        <v>5887</v>
      </c>
      <c r="C4610" s="8" t="s">
        <v>21</v>
      </c>
      <c r="K4610" s="8">
        <v>200.0</v>
      </c>
      <c r="N4610" s="7">
        <v>44247.0</v>
      </c>
    </row>
    <row r="4611">
      <c r="A4611" s="8">
        <v>4610.0</v>
      </c>
      <c r="B4611" s="8" t="s">
        <v>5888</v>
      </c>
      <c r="C4611" s="8" t="s">
        <v>21</v>
      </c>
      <c r="N4611" s="7">
        <v>45191.0</v>
      </c>
    </row>
    <row r="4612">
      <c r="A4612" s="8">
        <v>4611.0</v>
      </c>
      <c r="B4612" s="8" t="s">
        <v>5889</v>
      </c>
      <c r="C4612" s="8" t="s">
        <v>21</v>
      </c>
      <c r="K4612" s="8">
        <v>1400.0</v>
      </c>
      <c r="N4612" s="7">
        <v>44094.0</v>
      </c>
    </row>
    <row r="4613">
      <c r="A4613" s="8">
        <v>4612.0</v>
      </c>
      <c r="B4613" s="8" t="s">
        <v>5890</v>
      </c>
      <c r="C4613" s="8" t="s">
        <v>21</v>
      </c>
      <c r="K4613" s="8">
        <v>7800.0</v>
      </c>
      <c r="N4613" s="7">
        <v>44639.0</v>
      </c>
    </row>
    <row r="4614">
      <c r="A4614" s="8">
        <v>4613.0</v>
      </c>
      <c r="B4614" s="8" t="s">
        <v>5891</v>
      </c>
      <c r="C4614" s="8" t="s">
        <v>21</v>
      </c>
      <c r="K4614" s="8">
        <v>200.0</v>
      </c>
      <c r="N4614" s="7">
        <v>44578.0</v>
      </c>
    </row>
    <row r="4615">
      <c r="A4615" s="8">
        <v>4614.0</v>
      </c>
      <c r="B4615" s="8" t="s">
        <v>5892</v>
      </c>
      <c r="C4615" s="8" t="s">
        <v>21</v>
      </c>
      <c r="K4615" s="8">
        <v>700.0</v>
      </c>
      <c r="N4615" s="7">
        <v>44000.0</v>
      </c>
    </row>
    <row r="4616">
      <c r="A4616" s="8">
        <v>4615.0</v>
      </c>
      <c r="B4616" s="8" t="s">
        <v>5893</v>
      </c>
      <c r="C4616" s="8" t="s">
        <v>21</v>
      </c>
      <c r="K4616" s="8">
        <v>10.0</v>
      </c>
      <c r="N4616" s="7">
        <v>44736.0</v>
      </c>
    </row>
    <row r="4617">
      <c r="A4617" s="8">
        <v>4616.0</v>
      </c>
      <c r="B4617" s="8" t="s">
        <v>5894</v>
      </c>
      <c r="C4617" s="8" t="s">
        <v>21</v>
      </c>
      <c r="K4617" s="8">
        <v>200.0</v>
      </c>
      <c r="N4617" s="7">
        <v>45288.0</v>
      </c>
    </row>
    <row r="4618">
      <c r="A4618" s="8">
        <v>4617.0</v>
      </c>
      <c r="B4618" s="8" t="s">
        <v>5895</v>
      </c>
      <c r="C4618" s="8" t="s">
        <v>21</v>
      </c>
      <c r="K4618" s="8">
        <v>600.0</v>
      </c>
      <c r="N4618" s="7">
        <v>44873.0</v>
      </c>
    </row>
    <row r="4619">
      <c r="A4619" s="8">
        <v>4618.0</v>
      </c>
      <c r="B4619" s="8" t="s">
        <v>3299</v>
      </c>
      <c r="C4619" s="8" t="s">
        <v>21</v>
      </c>
      <c r="D4619" s="8">
        <v>71.0</v>
      </c>
      <c r="H4619" s="8" t="s">
        <v>701</v>
      </c>
      <c r="I4619" s="9">
        <v>46141.77013888889</v>
      </c>
      <c r="K4619" s="8">
        <v>700.0</v>
      </c>
      <c r="L4619" s="8">
        <v>100.0</v>
      </c>
      <c r="M4619" s="8">
        <v>159000.0</v>
      </c>
      <c r="N4619" s="7">
        <v>44655.0</v>
      </c>
      <c r="O4619" s="8" t="s">
        <v>107</v>
      </c>
      <c r="P4619" s="8" t="s">
        <v>28</v>
      </c>
      <c r="S4619" s="8" t="s">
        <v>32</v>
      </c>
    </row>
    <row r="4620">
      <c r="A4620" s="8">
        <v>4619.0</v>
      </c>
      <c r="B4620" s="8" t="s">
        <v>5896</v>
      </c>
      <c r="C4620" s="8" t="s">
        <v>21</v>
      </c>
      <c r="K4620" s="8">
        <v>30.0</v>
      </c>
      <c r="N4620" s="7">
        <v>44976.0</v>
      </c>
    </row>
    <row r="4621">
      <c r="A4621" s="8">
        <v>4620.0</v>
      </c>
      <c r="B4621" s="8" t="s">
        <v>5897</v>
      </c>
      <c r="C4621" s="8" t="s">
        <v>21</v>
      </c>
      <c r="K4621" s="8">
        <v>600.0</v>
      </c>
      <c r="N4621" s="7">
        <v>45742.0</v>
      </c>
    </row>
    <row r="4622">
      <c r="A4622" s="8">
        <v>4621.0</v>
      </c>
      <c r="B4622" s="8" t="s">
        <v>5898</v>
      </c>
      <c r="C4622" s="8" t="s">
        <v>21</v>
      </c>
      <c r="K4622" s="8">
        <v>1300.0</v>
      </c>
      <c r="N4622" s="7">
        <v>44750.0</v>
      </c>
    </row>
    <row r="4623">
      <c r="A4623" s="8">
        <v>4622.0</v>
      </c>
      <c r="B4623" s="8" t="s">
        <v>5899</v>
      </c>
      <c r="C4623" s="8" t="s">
        <v>21</v>
      </c>
      <c r="K4623" s="8">
        <v>2000.0</v>
      </c>
      <c r="N4623" s="7">
        <v>43896.0</v>
      </c>
    </row>
    <row r="4624">
      <c r="A4624" s="8">
        <v>4623.0</v>
      </c>
      <c r="B4624" s="8" t="s">
        <v>5900</v>
      </c>
      <c r="C4624" s="8" t="s">
        <v>21</v>
      </c>
      <c r="K4624" s="8">
        <v>20.0</v>
      </c>
      <c r="N4624" s="7">
        <v>44600.0</v>
      </c>
    </row>
    <row r="4625">
      <c r="A4625" s="8">
        <v>4624.0</v>
      </c>
      <c r="B4625" s="8" t="s">
        <v>5901</v>
      </c>
      <c r="C4625" s="8" t="s">
        <v>21</v>
      </c>
      <c r="K4625" s="8">
        <v>200.0</v>
      </c>
      <c r="N4625" s="7">
        <v>43969.0</v>
      </c>
    </row>
    <row r="4626">
      <c r="A4626" s="8">
        <v>4625.0</v>
      </c>
      <c r="B4626" s="8" t="s">
        <v>5902</v>
      </c>
      <c r="C4626" s="8" t="s">
        <v>21</v>
      </c>
      <c r="K4626" s="8">
        <v>20.0</v>
      </c>
      <c r="N4626" s="7">
        <v>44942.0</v>
      </c>
    </row>
    <row r="4627">
      <c r="A4627" s="8">
        <v>4626.0</v>
      </c>
      <c r="B4627" s="8" t="s">
        <v>353</v>
      </c>
      <c r="C4627" s="8" t="s">
        <v>21</v>
      </c>
      <c r="N4627" s="7">
        <v>45170.0</v>
      </c>
    </row>
    <row r="4628">
      <c r="A4628" s="8">
        <v>4627.0</v>
      </c>
      <c r="B4628" s="8" t="s">
        <v>5903</v>
      </c>
      <c r="C4628" s="8" t="s">
        <v>21</v>
      </c>
      <c r="K4628" s="8">
        <v>20.0</v>
      </c>
      <c r="N4628" s="7">
        <v>45679.0</v>
      </c>
    </row>
    <row r="4629">
      <c r="A4629" s="8">
        <v>4628.0</v>
      </c>
      <c r="B4629" s="8" t="s">
        <v>5904</v>
      </c>
      <c r="C4629" s="8" t="s">
        <v>21</v>
      </c>
      <c r="N4629" s="7">
        <v>42386.0</v>
      </c>
    </row>
    <row r="4630">
      <c r="A4630" s="8">
        <v>4629.0</v>
      </c>
      <c r="B4630" s="8" t="s">
        <v>5905</v>
      </c>
      <c r="C4630" s="8" t="s">
        <v>21</v>
      </c>
      <c r="K4630" s="8">
        <v>100.0</v>
      </c>
      <c r="N4630" s="7">
        <v>44613.0</v>
      </c>
    </row>
    <row r="4631">
      <c r="A4631" s="8">
        <v>4630.0</v>
      </c>
      <c r="B4631" s="8" t="s">
        <v>5906</v>
      </c>
      <c r="C4631" s="8" t="s">
        <v>21</v>
      </c>
      <c r="K4631" s="8">
        <v>200.0</v>
      </c>
      <c r="N4631" s="7">
        <v>44393.0</v>
      </c>
    </row>
    <row r="4632">
      <c r="A4632" s="8">
        <v>4631.0</v>
      </c>
      <c r="B4632" s="8" t="s">
        <v>5907</v>
      </c>
      <c r="C4632" s="8" t="s">
        <v>21</v>
      </c>
      <c r="K4632" s="8">
        <v>1000.0</v>
      </c>
      <c r="N4632" s="7">
        <v>44045.0</v>
      </c>
    </row>
    <row r="4633">
      <c r="A4633" s="8">
        <v>4632.0</v>
      </c>
      <c r="B4633" s="8" t="s">
        <v>5908</v>
      </c>
      <c r="C4633" s="8" t="s">
        <v>21</v>
      </c>
      <c r="K4633" s="8">
        <v>80.0</v>
      </c>
      <c r="N4633" s="7">
        <v>45338.0</v>
      </c>
    </row>
    <row r="4634">
      <c r="A4634" s="8">
        <v>4633.0</v>
      </c>
      <c r="B4634" s="8" t="s">
        <v>5909</v>
      </c>
      <c r="C4634" s="8" t="s">
        <v>21</v>
      </c>
      <c r="K4634" s="8">
        <v>70.0</v>
      </c>
      <c r="N4634" s="7">
        <v>44624.0</v>
      </c>
    </row>
    <row r="4635">
      <c r="A4635" s="8">
        <v>4634.0</v>
      </c>
      <c r="B4635" s="8" t="s">
        <v>5910</v>
      </c>
      <c r="C4635" s="8" t="s">
        <v>21</v>
      </c>
      <c r="N4635" s="7">
        <v>44955.0</v>
      </c>
    </row>
    <row r="4636">
      <c r="A4636" s="8">
        <v>4635.0</v>
      </c>
      <c r="B4636" s="8" t="s">
        <v>5911</v>
      </c>
      <c r="C4636" s="8" t="s">
        <v>21</v>
      </c>
      <c r="K4636" s="8">
        <v>3600.0</v>
      </c>
      <c r="N4636" s="7">
        <v>44124.0</v>
      </c>
    </row>
    <row r="4637">
      <c r="A4637" s="8">
        <v>4636.0</v>
      </c>
      <c r="B4637" s="8" t="s">
        <v>5912</v>
      </c>
      <c r="C4637" s="8" t="s">
        <v>21</v>
      </c>
      <c r="K4637" s="8">
        <v>800.0</v>
      </c>
      <c r="N4637" s="7">
        <v>44702.0</v>
      </c>
      <c r="O4637" s="8" t="s">
        <v>107</v>
      </c>
      <c r="P4637" s="8" t="s">
        <v>28</v>
      </c>
      <c r="S4637" s="8" t="s">
        <v>32</v>
      </c>
    </row>
    <row r="4638">
      <c r="A4638" s="8">
        <v>4637.0</v>
      </c>
      <c r="B4638" s="8" t="s">
        <v>5913</v>
      </c>
      <c r="C4638" s="8" t="s">
        <v>21</v>
      </c>
      <c r="K4638" s="8">
        <v>80.0</v>
      </c>
      <c r="N4638" s="7">
        <v>44793.0</v>
      </c>
    </row>
    <row r="4639">
      <c r="A4639" s="8">
        <v>4638.0</v>
      </c>
      <c r="B4639" s="8" t="s">
        <v>5914</v>
      </c>
      <c r="C4639" s="8" t="s">
        <v>21</v>
      </c>
      <c r="N4639" s="7">
        <v>44705.0</v>
      </c>
    </row>
    <row r="4640">
      <c r="A4640" s="8">
        <v>4639.0</v>
      </c>
      <c r="B4640" s="8" t="s">
        <v>5915</v>
      </c>
      <c r="C4640" s="8" t="s">
        <v>21</v>
      </c>
      <c r="K4640" s="8">
        <v>80.0</v>
      </c>
      <c r="N4640" s="7">
        <v>45222.0</v>
      </c>
    </row>
    <row r="4641">
      <c r="A4641" s="8">
        <v>4640.0</v>
      </c>
      <c r="B4641" s="8" t="s">
        <v>5916</v>
      </c>
      <c r="C4641" s="8" t="s">
        <v>21</v>
      </c>
      <c r="K4641" s="8">
        <v>800.0</v>
      </c>
      <c r="N4641" s="7">
        <v>44091.0</v>
      </c>
    </row>
    <row r="4642">
      <c r="A4642" s="8">
        <v>4641.0</v>
      </c>
      <c r="B4642" s="8" t="s">
        <v>5917</v>
      </c>
      <c r="C4642" s="8" t="s">
        <v>21</v>
      </c>
      <c r="K4642" s="8">
        <v>900.0</v>
      </c>
      <c r="N4642" s="7">
        <v>44486.0</v>
      </c>
    </row>
    <row r="4643">
      <c r="A4643" s="8">
        <v>4642.0</v>
      </c>
      <c r="B4643" s="8" t="s">
        <v>5918</v>
      </c>
      <c r="C4643" s="8" t="s">
        <v>21</v>
      </c>
      <c r="K4643" s="8">
        <v>10.0</v>
      </c>
      <c r="N4643" s="7">
        <v>45278.0</v>
      </c>
    </row>
    <row r="4644">
      <c r="A4644" s="8">
        <v>4643.0</v>
      </c>
      <c r="B4644" s="8" t="s">
        <v>5919</v>
      </c>
      <c r="C4644" s="8" t="s">
        <v>21</v>
      </c>
      <c r="K4644" s="8">
        <v>1800.0</v>
      </c>
      <c r="N4644" s="7">
        <v>44598.0</v>
      </c>
    </row>
    <row r="4645">
      <c r="A4645" s="8">
        <v>4644.0</v>
      </c>
      <c r="B4645" s="8" t="s">
        <v>5920</v>
      </c>
      <c r="C4645" s="8" t="s">
        <v>21</v>
      </c>
      <c r="K4645" s="8">
        <v>250.0</v>
      </c>
      <c r="N4645" s="7">
        <v>44195.0</v>
      </c>
    </row>
    <row r="4646">
      <c r="A4646" s="8">
        <v>4645.0</v>
      </c>
      <c r="B4646" s="8" t="s">
        <v>5921</v>
      </c>
      <c r="C4646" s="8" t="s">
        <v>21</v>
      </c>
      <c r="K4646" s="8">
        <v>3800.0</v>
      </c>
      <c r="N4646" s="7">
        <v>44551.0</v>
      </c>
    </row>
    <row r="4647">
      <c r="A4647" s="8">
        <v>4646.0</v>
      </c>
      <c r="B4647" s="8" t="s">
        <v>5922</v>
      </c>
      <c r="C4647" s="8" t="s">
        <v>21</v>
      </c>
      <c r="K4647" s="8">
        <v>10.0</v>
      </c>
      <c r="N4647" s="7">
        <v>45147.0</v>
      </c>
    </row>
    <row r="4648">
      <c r="A4648" s="8">
        <v>4647.0</v>
      </c>
      <c r="B4648" s="8" t="s">
        <v>5923</v>
      </c>
      <c r="C4648" s="8" t="s">
        <v>21</v>
      </c>
      <c r="K4648" s="8">
        <v>200.0</v>
      </c>
      <c r="N4648" s="7">
        <v>45711.0</v>
      </c>
    </row>
    <row r="4649">
      <c r="A4649" s="8">
        <v>4648.0</v>
      </c>
      <c r="B4649" s="8" t="s">
        <v>5924</v>
      </c>
      <c r="C4649" s="8" t="s">
        <v>21</v>
      </c>
      <c r="K4649" s="8">
        <v>52000.0</v>
      </c>
      <c r="N4649" s="7">
        <v>44138.0</v>
      </c>
    </row>
    <row r="4650">
      <c r="A4650" s="8">
        <v>4649.0</v>
      </c>
      <c r="B4650" s="8" t="s">
        <v>5925</v>
      </c>
      <c r="C4650" s="8" t="s">
        <v>21</v>
      </c>
      <c r="K4650" s="8">
        <v>60.0</v>
      </c>
      <c r="N4650" s="7">
        <v>44330.0</v>
      </c>
    </row>
    <row r="4651">
      <c r="A4651" s="8">
        <v>4650.0</v>
      </c>
      <c r="B4651" s="8" t="s">
        <v>5926</v>
      </c>
      <c r="C4651" s="8" t="s">
        <v>21</v>
      </c>
      <c r="K4651" s="8">
        <v>150.0</v>
      </c>
      <c r="N4651" s="7">
        <v>44086.0</v>
      </c>
    </row>
    <row r="4652">
      <c r="A4652" s="8">
        <v>4651.0</v>
      </c>
      <c r="B4652" s="8" t="s">
        <v>5927</v>
      </c>
      <c r="C4652" s="8" t="s">
        <v>21</v>
      </c>
      <c r="K4652" s="8">
        <v>500.0</v>
      </c>
      <c r="N4652" s="7">
        <v>44658.0</v>
      </c>
    </row>
    <row r="4653">
      <c r="A4653" s="8">
        <v>4652.0</v>
      </c>
      <c r="B4653" s="8" t="s">
        <v>5928</v>
      </c>
      <c r="C4653" s="8" t="s">
        <v>21</v>
      </c>
      <c r="K4653" s="8">
        <v>100.0</v>
      </c>
      <c r="N4653" s="7">
        <v>44357.0</v>
      </c>
      <c r="O4653" s="8" t="s">
        <v>147</v>
      </c>
      <c r="P4653" s="8" t="s">
        <v>28</v>
      </c>
      <c r="S4653" s="8" t="s">
        <v>32</v>
      </c>
    </row>
    <row r="4654">
      <c r="A4654" s="8">
        <v>4653.0</v>
      </c>
      <c r="B4654" s="8" t="s">
        <v>5929</v>
      </c>
      <c r="C4654" s="8" t="s">
        <v>21</v>
      </c>
      <c r="K4654" s="8">
        <v>200.0</v>
      </c>
      <c r="N4654" s="7">
        <v>45171.0</v>
      </c>
    </row>
    <row r="4655">
      <c r="A4655" s="8">
        <v>4654.0</v>
      </c>
      <c r="B4655" s="8" t="s">
        <v>5930</v>
      </c>
      <c r="C4655" s="8" t="s">
        <v>21</v>
      </c>
      <c r="K4655" s="8">
        <v>40.0</v>
      </c>
      <c r="N4655" s="7">
        <v>44604.0</v>
      </c>
    </row>
    <row r="4656">
      <c r="A4656" s="8">
        <v>4655.0</v>
      </c>
      <c r="B4656" s="8" t="s">
        <v>5931</v>
      </c>
      <c r="C4656" s="8" t="s">
        <v>21</v>
      </c>
      <c r="K4656" s="8">
        <v>250.0</v>
      </c>
      <c r="N4656" s="7">
        <v>44732.0</v>
      </c>
    </row>
    <row r="4657">
      <c r="A4657" s="8">
        <v>4656.0</v>
      </c>
      <c r="B4657" s="8" t="s">
        <v>5932</v>
      </c>
      <c r="C4657" s="8" t="s">
        <v>21</v>
      </c>
      <c r="K4657" s="8">
        <v>800.0</v>
      </c>
      <c r="N4657" s="7">
        <v>44983.0</v>
      </c>
    </row>
    <row r="4658">
      <c r="A4658" s="8">
        <v>4657.0</v>
      </c>
      <c r="B4658" s="8" t="s">
        <v>355</v>
      </c>
      <c r="C4658" s="8" t="s">
        <v>21</v>
      </c>
      <c r="K4658" s="8">
        <v>70.0</v>
      </c>
      <c r="N4658" s="7">
        <v>44394.0</v>
      </c>
    </row>
    <row r="4659">
      <c r="A4659" s="8">
        <v>4658.0</v>
      </c>
      <c r="B4659" s="8" t="s">
        <v>5933</v>
      </c>
      <c r="C4659" s="8" t="s">
        <v>21</v>
      </c>
      <c r="N4659" s="7">
        <v>44826.0</v>
      </c>
    </row>
    <row r="4660">
      <c r="A4660" s="8">
        <v>4659.0</v>
      </c>
      <c r="B4660" s="8" t="s">
        <v>5934</v>
      </c>
      <c r="C4660" s="8" t="s">
        <v>21</v>
      </c>
      <c r="K4660" s="8">
        <v>20.0</v>
      </c>
      <c r="N4660" s="7">
        <v>44219.0</v>
      </c>
    </row>
    <row r="4661">
      <c r="A4661" s="8">
        <v>4660.0</v>
      </c>
      <c r="B4661" s="8" t="s">
        <v>5935</v>
      </c>
      <c r="C4661" s="8" t="s">
        <v>21</v>
      </c>
      <c r="K4661" s="8">
        <v>250.0</v>
      </c>
      <c r="N4661" s="7">
        <v>44552.0</v>
      </c>
    </row>
    <row r="4662">
      <c r="A4662" s="8">
        <v>4661.0</v>
      </c>
      <c r="B4662" s="8" t="s">
        <v>5936</v>
      </c>
      <c r="C4662" s="8" t="s">
        <v>21</v>
      </c>
      <c r="K4662" s="8">
        <v>30.0</v>
      </c>
      <c r="N4662" s="7">
        <v>44233.0</v>
      </c>
    </row>
    <row r="4663">
      <c r="A4663" s="8">
        <v>4662.0</v>
      </c>
      <c r="B4663" s="8" t="s">
        <v>5937</v>
      </c>
      <c r="C4663" s="8" t="s">
        <v>21</v>
      </c>
      <c r="K4663" s="8">
        <v>1600.0</v>
      </c>
      <c r="N4663" s="7">
        <v>43997.0</v>
      </c>
    </row>
    <row r="4664">
      <c r="A4664" s="8">
        <v>4663.0</v>
      </c>
      <c r="B4664" s="8" t="s">
        <v>5938</v>
      </c>
      <c r="C4664" s="8" t="s">
        <v>21</v>
      </c>
      <c r="K4664" s="8">
        <v>60.0</v>
      </c>
      <c r="N4664" s="7">
        <v>44613.0</v>
      </c>
    </row>
    <row r="4665">
      <c r="A4665" s="8">
        <v>4664.0</v>
      </c>
      <c r="B4665" s="8" t="s">
        <v>5939</v>
      </c>
      <c r="C4665" s="8" t="s">
        <v>21</v>
      </c>
      <c r="K4665" s="8">
        <v>800.0</v>
      </c>
      <c r="N4665" s="7">
        <v>43982.0</v>
      </c>
    </row>
    <row r="4666">
      <c r="A4666" s="8">
        <v>4665.0</v>
      </c>
      <c r="B4666" s="8" t="s">
        <v>5940</v>
      </c>
      <c r="C4666" s="8" t="s">
        <v>21</v>
      </c>
      <c r="K4666" s="8">
        <v>800.0</v>
      </c>
      <c r="N4666" s="7">
        <v>42637.0</v>
      </c>
    </row>
    <row r="4667">
      <c r="A4667" s="8">
        <v>4666.0</v>
      </c>
      <c r="B4667" s="8" t="s">
        <v>5941</v>
      </c>
      <c r="C4667" s="8" t="s">
        <v>21</v>
      </c>
      <c r="K4667" s="8">
        <v>40.0</v>
      </c>
      <c r="N4667" s="7">
        <v>44173.0</v>
      </c>
    </row>
    <row r="4668">
      <c r="A4668" s="8">
        <v>4667.0</v>
      </c>
      <c r="B4668" s="8" t="s">
        <v>5942</v>
      </c>
      <c r="C4668" s="8" t="s">
        <v>21</v>
      </c>
      <c r="K4668" s="8">
        <v>10.0</v>
      </c>
      <c r="N4668" s="7">
        <v>45355.0</v>
      </c>
    </row>
    <row r="4669">
      <c r="A4669" s="8">
        <v>4668.0</v>
      </c>
      <c r="B4669" s="8" t="s">
        <v>5943</v>
      </c>
      <c r="C4669" s="8" t="s">
        <v>21</v>
      </c>
      <c r="K4669" s="8">
        <v>600.0</v>
      </c>
      <c r="N4669" s="7">
        <v>43997.0</v>
      </c>
    </row>
    <row r="4670">
      <c r="A4670" s="8">
        <v>4669.0</v>
      </c>
      <c r="B4670" s="8" t="s">
        <v>5944</v>
      </c>
      <c r="C4670" s="8" t="s">
        <v>21</v>
      </c>
      <c r="K4670" s="8">
        <v>150.0</v>
      </c>
      <c r="N4670" s="7">
        <v>43871.0</v>
      </c>
    </row>
    <row r="4671">
      <c r="A4671" s="8">
        <v>4670.0</v>
      </c>
      <c r="B4671" s="8" t="s">
        <v>5945</v>
      </c>
      <c r="C4671" s="8" t="s">
        <v>21</v>
      </c>
      <c r="K4671" s="8">
        <v>500.0</v>
      </c>
      <c r="N4671" s="7">
        <v>44661.0</v>
      </c>
    </row>
    <row r="4672">
      <c r="A4672" s="8">
        <v>4671.0</v>
      </c>
      <c r="B4672" s="8" t="s">
        <v>5946</v>
      </c>
      <c r="C4672" s="8" t="s">
        <v>21</v>
      </c>
      <c r="K4672" s="8">
        <v>150.0</v>
      </c>
      <c r="N4672" s="7">
        <v>44481.0</v>
      </c>
    </row>
    <row r="4673">
      <c r="A4673" s="8">
        <v>4672.0</v>
      </c>
      <c r="B4673" s="8" t="s">
        <v>5947</v>
      </c>
      <c r="C4673" s="8" t="s">
        <v>21</v>
      </c>
      <c r="K4673" s="8">
        <v>40.0</v>
      </c>
      <c r="N4673" s="7">
        <v>44780.0</v>
      </c>
    </row>
    <row r="4674">
      <c r="A4674" s="8">
        <v>4673.0</v>
      </c>
      <c r="B4674" s="8" t="s">
        <v>5948</v>
      </c>
      <c r="C4674" s="8" t="s">
        <v>21</v>
      </c>
      <c r="K4674" s="8">
        <v>150.0</v>
      </c>
      <c r="N4674" s="7">
        <v>44534.0</v>
      </c>
    </row>
    <row r="4675">
      <c r="A4675" s="8">
        <v>4674.0</v>
      </c>
      <c r="B4675" s="8" t="s">
        <v>5949</v>
      </c>
      <c r="C4675" s="8" t="s">
        <v>21</v>
      </c>
      <c r="N4675" s="7">
        <v>45839.0</v>
      </c>
    </row>
    <row r="4676">
      <c r="A4676" s="8">
        <v>4675.0</v>
      </c>
      <c r="B4676" s="8" t="s">
        <v>5950</v>
      </c>
      <c r="C4676" s="8" t="s">
        <v>21</v>
      </c>
      <c r="K4676" s="8">
        <v>5400.0</v>
      </c>
      <c r="N4676" s="7">
        <v>44433.0</v>
      </c>
    </row>
    <row r="4677">
      <c r="A4677" s="8">
        <v>4676.0</v>
      </c>
      <c r="B4677" s="8" t="s">
        <v>5951</v>
      </c>
      <c r="C4677" s="8" t="s">
        <v>21</v>
      </c>
      <c r="K4677" s="8">
        <v>800.0</v>
      </c>
      <c r="N4677" s="7">
        <v>44598.0</v>
      </c>
    </row>
    <row r="4678">
      <c r="A4678" s="8">
        <v>4677.0</v>
      </c>
      <c r="B4678" s="8" t="s">
        <v>5952</v>
      </c>
      <c r="C4678" s="8" t="s">
        <v>21</v>
      </c>
      <c r="N4678" s="7">
        <v>45658.0</v>
      </c>
    </row>
    <row r="4679">
      <c r="A4679" s="8">
        <v>4678.0</v>
      </c>
      <c r="B4679" s="8" t="s">
        <v>5953</v>
      </c>
      <c r="C4679" s="8" t="s">
        <v>21</v>
      </c>
      <c r="K4679" s="8">
        <v>30.0</v>
      </c>
      <c r="N4679" s="7">
        <v>45873.0</v>
      </c>
    </row>
    <row r="4680">
      <c r="A4680" s="8">
        <v>4679.0</v>
      </c>
      <c r="B4680" s="8" t="s">
        <v>5954</v>
      </c>
      <c r="C4680" s="8" t="s">
        <v>21</v>
      </c>
      <c r="K4680" s="8">
        <v>350.0</v>
      </c>
      <c r="N4680" s="7">
        <v>44531.0</v>
      </c>
    </row>
    <row r="4681">
      <c r="A4681" s="8">
        <v>4680.0</v>
      </c>
      <c r="B4681" s="8" t="s">
        <v>5955</v>
      </c>
      <c r="C4681" s="8" t="s">
        <v>21</v>
      </c>
      <c r="K4681" s="8">
        <v>500.0</v>
      </c>
      <c r="N4681" s="7">
        <v>44147.0</v>
      </c>
    </row>
    <row r="4682">
      <c r="A4682" s="8">
        <v>4681.0</v>
      </c>
      <c r="B4682" s="8" t="s">
        <v>5956</v>
      </c>
      <c r="C4682" s="8" t="s">
        <v>21</v>
      </c>
      <c r="K4682" s="8">
        <v>5900.0</v>
      </c>
      <c r="N4682" s="7">
        <v>43882.0</v>
      </c>
    </row>
    <row r="4683">
      <c r="A4683" s="8">
        <v>4682.0</v>
      </c>
      <c r="B4683" s="8" t="s">
        <v>360</v>
      </c>
      <c r="C4683" s="8" t="s">
        <v>21</v>
      </c>
      <c r="K4683" s="8">
        <v>40.0</v>
      </c>
      <c r="N4683" s="7">
        <v>44401.0</v>
      </c>
    </row>
    <row r="4684">
      <c r="A4684" s="8">
        <v>4683.0</v>
      </c>
      <c r="B4684" s="8" t="s">
        <v>5957</v>
      </c>
      <c r="C4684" s="8" t="s">
        <v>21</v>
      </c>
      <c r="K4684" s="8">
        <v>1700.0</v>
      </c>
      <c r="N4684" s="7">
        <v>42828.0</v>
      </c>
    </row>
    <row r="4685">
      <c r="A4685" s="8">
        <v>4684.0</v>
      </c>
      <c r="B4685" s="8" t="s">
        <v>5958</v>
      </c>
      <c r="C4685" s="8" t="s">
        <v>21</v>
      </c>
      <c r="K4685" s="8">
        <v>250.0</v>
      </c>
      <c r="N4685" s="7">
        <v>44562.0</v>
      </c>
    </row>
    <row r="4686">
      <c r="A4686" s="8">
        <v>4685.0</v>
      </c>
      <c r="B4686" s="8" t="s">
        <v>5959</v>
      </c>
      <c r="C4686" s="8" t="s">
        <v>21</v>
      </c>
      <c r="K4686" s="8">
        <v>150.0</v>
      </c>
      <c r="N4686" s="7">
        <v>44450.0</v>
      </c>
    </row>
    <row r="4687">
      <c r="A4687" s="8">
        <v>4686.0</v>
      </c>
      <c r="B4687" s="8" t="s">
        <v>5960</v>
      </c>
      <c r="C4687" s="8" t="s">
        <v>21</v>
      </c>
      <c r="K4687" s="8">
        <v>30.0</v>
      </c>
      <c r="N4687" s="7">
        <v>44187.0</v>
      </c>
    </row>
    <row r="4688">
      <c r="A4688" s="8">
        <v>4687.0</v>
      </c>
      <c r="B4688" s="8" t="s">
        <v>5961</v>
      </c>
      <c r="C4688" s="8" t="s">
        <v>21</v>
      </c>
      <c r="K4688" s="8">
        <v>90.0</v>
      </c>
      <c r="N4688" s="7">
        <v>44990.0</v>
      </c>
    </row>
    <row r="4689">
      <c r="A4689" s="8">
        <v>4688.0</v>
      </c>
      <c r="B4689" s="8" t="s">
        <v>5962</v>
      </c>
      <c r="C4689" s="8" t="s">
        <v>21</v>
      </c>
      <c r="K4689" s="8">
        <v>600.0</v>
      </c>
      <c r="N4689" s="7">
        <v>44148.0</v>
      </c>
    </row>
    <row r="4690">
      <c r="A4690" s="8">
        <v>4689.0</v>
      </c>
      <c r="B4690" s="8" t="s">
        <v>5963</v>
      </c>
      <c r="C4690" s="8" t="s">
        <v>21</v>
      </c>
      <c r="N4690" s="7">
        <v>44305.0</v>
      </c>
    </row>
    <row r="4691">
      <c r="A4691" s="8">
        <v>4690.0</v>
      </c>
      <c r="B4691" s="8" t="s">
        <v>5964</v>
      </c>
      <c r="C4691" s="8" t="s">
        <v>21</v>
      </c>
      <c r="K4691" s="8">
        <v>30.0</v>
      </c>
      <c r="N4691" s="7">
        <v>43981.0</v>
      </c>
    </row>
    <row r="4692">
      <c r="A4692" s="8">
        <v>4691.0</v>
      </c>
      <c r="B4692" s="8" t="s">
        <v>5965</v>
      </c>
      <c r="C4692" s="8" t="s">
        <v>21</v>
      </c>
      <c r="K4692" s="8">
        <v>7000.0</v>
      </c>
      <c r="N4692" s="7">
        <v>44548.0</v>
      </c>
    </row>
    <row r="4693">
      <c r="A4693" s="8">
        <v>4692.0</v>
      </c>
      <c r="B4693" s="8" t="s">
        <v>5966</v>
      </c>
      <c r="C4693" s="8" t="s">
        <v>21</v>
      </c>
      <c r="K4693" s="8">
        <v>900.0</v>
      </c>
      <c r="N4693" s="7">
        <v>43994.0</v>
      </c>
    </row>
    <row r="4694">
      <c r="A4694" s="8">
        <v>4693.0</v>
      </c>
      <c r="B4694" s="8" t="s">
        <v>5967</v>
      </c>
      <c r="C4694" s="8" t="s">
        <v>21</v>
      </c>
      <c r="K4694" s="8">
        <v>20.0</v>
      </c>
      <c r="N4694" s="7">
        <v>44327.0</v>
      </c>
    </row>
    <row r="4695">
      <c r="A4695" s="8">
        <v>4694.0</v>
      </c>
      <c r="B4695" s="8" t="s">
        <v>5968</v>
      </c>
      <c r="C4695" s="8" t="s">
        <v>21</v>
      </c>
      <c r="K4695" s="8">
        <v>60.0</v>
      </c>
      <c r="N4695" s="7">
        <v>44127.0</v>
      </c>
    </row>
    <row r="4696">
      <c r="A4696" s="8">
        <v>4695.0</v>
      </c>
      <c r="B4696" s="8" t="s">
        <v>5969</v>
      </c>
      <c r="C4696" s="8" t="s">
        <v>21</v>
      </c>
      <c r="K4696" s="8">
        <v>20.0</v>
      </c>
      <c r="N4696" s="7">
        <v>45057.0</v>
      </c>
    </row>
    <row r="4697">
      <c r="A4697" s="8">
        <v>4696.0</v>
      </c>
      <c r="B4697" s="8" t="s">
        <v>5970</v>
      </c>
      <c r="C4697" s="8" t="s">
        <v>21</v>
      </c>
      <c r="K4697" s="8">
        <v>150.0</v>
      </c>
      <c r="N4697" s="7">
        <v>43878.0</v>
      </c>
    </row>
    <row r="4698">
      <c r="A4698" s="8">
        <v>4697.0</v>
      </c>
      <c r="B4698" s="8" t="s">
        <v>5971</v>
      </c>
      <c r="C4698" s="8" t="s">
        <v>21</v>
      </c>
      <c r="N4698" s="7">
        <v>44074.0</v>
      </c>
    </row>
    <row r="4699">
      <c r="A4699" s="8">
        <v>4698.0</v>
      </c>
      <c r="B4699" s="8" t="s">
        <v>5972</v>
      </c>
      <c r="C4699" s="8" t="s">
        <v>21</v>
      </c>
      <c r="K4699" s="8">
        <v>1500.0</v>
      </c>
      <c r="N4699" s="7">
        <v>44317.0</v>
      </c>
    </row>
    <row r="4700">
      <c r="A4700" s="8">
        <v>4699.0</v>
      </c>
      <c r="B4700" s="8" t="s">
        <v>5973</v>
      </c>
      <c r="C4700" s="8" t="s">
        <v>21</v>
      </c>
      <c r="N4700" s="7">
        <v>44618.0</v>
      </c>
    </row>
    <row r="4701">
      <c r="A4701" s="8">
        <v>4700.0</v>
      </c>
      <c r="B4701" s="8" t="s">
        <v>5974</v>
      </c>
      <c r="C4701" s="8" t="s">
        <v>21</v>
      </c>
      <c r="K4701" s="8">
        <v>100.0</v>
      </c>
      <c r="N4701" s="7">
        <v>44290.0</v>
      </c>
    </row>
    <row r="4702">
      <c r="A4702" s="8">
        <v>4701.0</v>
      </c>
      <c r="B4702" s="8" t="s">
        <v>5975</v>
      </c>
      <c r="C4702" s="8" t="s">
        <v>21</v>
      </c>
      <c r="K4702" s="8">
        <v>60.0</v>
      </c>
      <c r="N4702" s="7">
        <v>44646.0</v>
      </c>
    </row>
    <row r="4703">
      <c r="A4703" s="8">
        <v>4702.0</v>
      </c>
      <c r="B4703" s="8" t="s">
        <v>5976</v>
      </c>
      <c r="C4703" s="8" t="s">
        <v>21</v>
      </c>
      <c r="K4703" s="8">
        <v>200.0</v>
      </c>
      <c r="N4703" s="7">
        <v>44443.0</v>
      </c>
    </row>
    <row r="4704">
      <c r="A4704" s="8">
        <v>4703.0</v>
      </c>
      <c r="B4704" s="8" t="s">
        <v>5977</v>
      </c>
      <c r="C4704" s="8" t="s">
        <v>21</v>
      </c>
      <c r="K4704" s="8">
        <v>80.0</v>
      </c>
      <c r="N4704" s="7">
        <v>44225.0</v>
      </c>
    </row>
    <row r="4705">
      <c r="A4705" s="8">
        <v>4704.0</v>
      </c>
      <c r="B4705" s="8" t="s">
        <v>5978</v>
      </c>
      <c r="C4705" s="8" t="s">
        <v>21</v>
      </c>
      <c r="K4705" s="8">
        <v>200.0</v>
      </c>
      <c r="N4705" s="7">
        <v>45173.0</v>
      </c>
    </row>
    <row r="4706">
      <c r="A4706" s="8">
        <v>4705.0</v>
      </c>
      <c r="B4706" s="8" t="s">
        <v>5979</v>
      </c>
      <c r="C4706" s="8" t="s">
        <v>21</v>
      </c>
      <c r="N4706" s="7">
        <v>42988.0</v>
      </c>
    </row>
    <row r="4707">
      <c r="A4707" s="8">
        <v>4706.0</v>
      </c>
      <c r="B4707" s="8" t="s">
        <v>5980</v>
      </c>
      <c r="C4707" s="8" t="s">
        <v>21</v>
      </c>
      <c r="K4707" s="8">
        <v>200.0</v>
      </c>
      <c r="N4707" s="7">
        <v>44656.0</v>
      </c>
    </row>
    <row r="4708">
      <c r="A4708" s="8">
        <v>4707.0</v>
      </c>
      <c r="B4708" s="8" t="s">
        <v>5981</v>
      </c>
      <c r="C4708" s="8" t="s">
        <v>21</v>
      </c>
      <c r="K4708" s="8">
        <v>100.0</v>
      </c>
      <c r="N4708" s="7">
        <v>44380.0</v>
      </c>
    </row>
    <row r="4709">
      <c r="A4709" s="8">
        <v>4708.0</v>
      </c>
      <c r="B4709" s="8" t="s">
        <v>5982</v>
      </c>
      <c r="C4709" s="8" t="s">
        <v>21</v>
      </c>
      <c r="K4709" s="8">
        <v>60.0</v>
      </c>
      <c r="N4709" s="7">
        <v>44485.0</v>
      </c>
    </row>
    <row r="4710">
      <c r="A4710" s="8">
        <v>4709.0</v>
      </c>
      <c r="B4710" s="8" t="s">
        <v>5983</v>
      </c>
      <c r="C4710" s="8" t="s">
        <v>21</v>
      </c>
      <c r="K4710" s="8">
        <v>150.0</v>
      </c>
      <c r="N4710" s="7">
        <v>45450.0</v>
      </c>
    </row>
    <row r="4711">
      <c r="A4711" s="8">
        <v>4710.0</v>
      </c>
      <c r="B4711" s="8" t="s">
        <v>3313</v>
      </c>
      <c r="C4711" s="8" t="s">
        <v>21</v>
      </c>
      <c r="D4711" s="8">
        <v>75.0</v>
      </c>
      <c r="H4711" s="8" t="s">
        <v>398</v>
      </c>
      <c r="I4711" s="9">
        <v>46150.195914351854</v>
      </c>
      <c r="K4711" s="8">
        <v>10000.0</v>
      </c>
      <c r="L4711" s="8">
        <v>700.0</v>
      </c>
      <c r="M4711" s="8">
        <v>349000.0</v>
      </c>
      <c r="N4711" s="7">
        <v>44198.0</v>
      </c>
      <c r="O4711" s="8" t="s">
        <v>147</v>
      </c>
      <c r="P4711" s="8" t="s">
        <v>28</v>
      </c>
      <c r="S4711" s="8" t="s">
        <v>32</v>
      </c>
    </row>
    <row r="4712">
      <c r="A4712" s="8">
        <v>4711.0</v>
      </c>
      <c r="B4712" s="8" t="s">
        <v>5984</v>
      </c>
      <c r="C4712" s="8" t="s">
        <v>21</v>
      </c>
      <c r="K4712" s="8">
        <v>80.0</v>
      </c>
      <c r="N4712" s="7">
        <v>44303.0</v>
      </c>
    </row>
    <row r="4713">
      <c r="A4713" s="8">
        <v>4712.0</v>
      </c>
      <c r="B4713" s="8" t="s">
        <v>5985</v>
      </c>
      <c r="C4713" s="8" t="s">
        <v>21</v>
      </c>
      <c r="N4713" s="7">
        <v>42780.0</v>
      </c>
      <c r="O4713" s="8" t="s">
        <v>31</v>
      </c>
      <c r="P4713" s="8" t="s">
        <v>28</v>
      </c>
      <c r="S4713" s="8" t="s">
        <v>32</v>
      </c>
    </row>
    <row r="4714">
      <c r="A4714" s="8">
        <v>4713.0</v>
      </c>
      <c r="B4714" s="8" t="s">
        <v>5986</v>
      </c>
      <c r="C4714" s="8" t="s">
        <v>21</v>
      </c>
      <c r="K4714" s="8">
        <v>1400.0</v>
      </c>
      <c r="N4714" s="7">
        <v>43872.0</v>
      </c>
    </row>
    <row r="4715">
      <c r="A4715" s="8">
        <v>4714.0</v>
      </c>
      <c r="B4715" s="8" t="s">
        <v>5987</v>
      </c>
      <c r="C4715" s="8" t="s">
        <v>21</v>
      </c>
      <c r="K4715" s="8">
        <v>250.0</v>
      </c>
      <c r="N4715" s="7">
        <v>44788.0</v>
      </c>
    </row>
    <row r="4716">
      <c r="A4716" s="8">
        <v>4715.0</v>
      </c>
      <c r="B4716" s="8" t="s">
        <v>5988</v>
      </c>
      <c r="C4716" s="8" t="s">
        <v>21</v>
      </c>
      <c r="K4716" s="8">
        <v>300.0</v>
      </c>
      <c r="N4716" s="7">
        <v>44738.0</v>
      </c>
    </row>
    <row r="4717">
      <c r="A4717" s="8">
        <v>4716.0</v>
      </c>
      <c r="B4717" s="8" t="s">
        <v>5989</v>
      </c>
      <c r="C4717" s="8" t="s">
        <v>21</v>
      </c>
      <c r="K4717" s="8">
        <v>20.0</v>
      </c>
      <c r="N4717" s="7">
        <v>45145.0</v>
      </c>
    </row>
    <row r="4718">
      <c r="A4718" s="8">
        <v>4717.0</v>
      </c>
      <c r="B4718" s="8" t="s">
        <v>5990</v>
      </c>
      <c r="C4718" s="8" t="s">
        <v>21</v>
      </c>
      <c r="K4718" s="8">
        <v>300.0</v>
      </c>
      <c r="N4718" s="7">
        <v>45283.0</v>
      </c>
    </row>
    <row r="4719">
      <c r="A4719" s="8">
        <v>4718.0</v>
      </c>
      <c r="B4719" s="8" t="s">
        <v>5991</v>
      </c>
      <c r="C4719" s="8" t="s">
        <v>21</v>
      </c>
      <c r="K4719" s="8">
        <v>600.0</v>
      </c>
      <c r="N4719" s="7">
        <v>44151.0</v>
      </c>
    </row>
    <row r="4720">
      <c r="A4720" s="8">
        <v>4719.0</v>
      </c>
      <c r="B4720" s="8" t="s">
        <v>5992</v>
      </c>
      <c r="C4720" s="8" t="s">
        <v>21</v>
      </c>
      <c r="K4720" s="8">
        <v>350.0</v>
      </c>
      <c r="N4720" s="7">
        <v>44271.0</v>
      </c>
    </row>
    <row r="4721">
      <c r="A4721" s="8">
        <v>4720.0</v>
      </c>
      <c r="B4721" s="8" t="s">
        <v>5993</v>
      </c>
      <c r="C4721" s="8" t="s">
        <v>21</v>
      </c>
      <c r="K4721" s="8">
        <v>200.0</v>
      </c>
      <c r="N4721" s="7">
        <v>45067.0</v>
      </c>
    </row>
    <row r="4722">
      <c r="A4722" s="8">
        <v>4721.0</v>
      </c>
      <c r="B4722" s="8" t="s">
        <v>5994</v>
      </c>
      <c r="C4722" s="8" t="s">
        <v>21</v>
      </c>
      <c r="K4722" s="8">
        <v>20.0</v>
      </c>
      <c r="N4722" s="7">
        <v>43880.0</v>
      </c>
    </row>
    <row r="4723">
      <c r="A4723" s="8">
        <v>4722.0</v>
      </c>
      <c r="B4723" s="8" t="s">
        <v>5995</v>
      </c>
      <c r="C4723" s="8" t="s">
        <v>21</v>
      </c>
      <c r="K4723" s="8">
        <v>350.0</v>
      </c>
      <c r="N4723" s="7">
        <v>44249.0</v>
      </c>
    </row>
    <row r="4724">
      <c r="A4724" s="8">
        <v>4723.0</v>
      </c>
      <c r="B4724" s="8" t="s">
        <v>5996</v>
      </c>
      <c r="C4724" s="8" t="s">
        <v>21</v>
      </c>
      <c r="K4724" s="8">
        <v>100.0</v>
      </c>
      <c r="N4724" s="7">
        <v>44109.0</v>
      </c>
    </row>
    <row r="4725">
      <c r="A4725" s="8">
        <v>4724.0</v>
      </c>
      <c r="B4725" s="8" t="s">
        <v>5997</v>
      </c>
      <c r="C4725" s="8" t="s">
        <v>21</v>
      </c>
      <c r="K4725" s="8">
        <v>20.0</v>
      </c>
      <c r="N4725" s="7">
        <v>44801.0</v>
      </c>
    </row>
    <row r="4726">
      <c r="A4726" s="8">
        <v>4725.0</v>
      </c>
      <c r="B4726" s="8" t="s">
        <v>5998</v>
      </c>
      <c r="C4726" s="8" t="s">
        <v>21</v>
      </c>
      <c r="K4726" s="8">
        <v>20.0</v>
      </c>
      <c r="N4726" s="7">
        <v>44713.0</v>
      </c>
    </row>
    <row r="4727">
      <c r="A4727" s="8">
        <v>4726.0</v>
      </c>
      <c r="B4727" s="8" t="s">
        <v>5999</v>
      </c>
      <c r="C4727" s="8" t="s">
        <v>21</v>
      </c>
      <c r="K4727" s="8">
        <v>4300.0</v>
      </c>
      <c r="N4727" s="7">
        <v>45091.0</v>
      </c>
    </row>
    <row r="4728">
      <c r="A4728" s="8">
        <v>4727.0</v>
      </c>
      <c r="B4728" s="8" t="s">
        <v>6000</v>
      </c>
      <c r="C4728" s="8" t="s">
        <v>21</v>
      </c>
      <c r="K4728" s="8">
        <v>11000.0</v>
      </c>
      <c r="N4728" s="7">
        <v>43878.0</v>
      </c>
    </row>
    <row r="4729">
      <c r="A4729" s="8">
        <v>4728.0</v>
      </c>
      <c r="B4729" s="8" t="s">
        <v>6001</v>
      </c>
      <c r="C4729" s="8" t="s">
        <v>21</v>
      </c>
      <c r="K4729" s="8">
        <v>5300.0</v>
      </c>
      <c r="N4729" s="7">
        <v>43397.0</v>
      </c>
    </row>
    <row r="4730">
      <c r="A4730" s="8">
        <v>4729.0</v>
      </c>
      <c r="B4730" s="8" t="s">
        <v>6002</v>
      </c>
      <c r="C4730" s="8" t="s">
        <v>21</v>
      </c>
      <c r="N4730" s="7">
        <v>42917.0</v>
      </c>
      <c r="O4730" s="8" t="s">
        <v>26</v>
      </c>
      <c r="P4730" s="8" t="s">
        <v>28</v>
      </c>
      <c r="S4730" s="8" t="s">
        <v>32</v>
      </c>
    </row>
    <row r="4731">
      <c r="A4731" s="8">
        <v>4730.0</v>
      </c>
      <c r="B4731" s="8" t="s">
        <v>6003</v>
      </c>
      <c r="C4731" s="8" t="s">
        <v>21</v>
      </c>
      <c r="K4731" s="8">
        <v>80.0</v>
      </c>
      <c r="N4731" s="7">
        <v>44579.0</v>
      </c>
    </row>
    <row r="4732">
      <c r="A4732" s="8">
        <v>4731.0</v>
      </c>
      <c r="B4732" s="8" t="s">
        <v>6004</v>
      </c>
      <c r="C4732" s="8" t="s">
        <v>21</v>
      </c>
      <c r="K4732" s="8">
        <v>200.0</v>
      </c>
      <c r="N4732" s="7">
        <v>44891.0</v>
      </c>
    </row>
    <row r="4733">
      <c r="A4733" s="8">
        <v>4732.0</v>
      </c>
      <c r="B4733" s="8" t="s">
        <v>6005</v>
      </c>
      <c r="C4733" s="8" t="s">
        <v>21</v>
      </c>
      <c r="K4733" s="8">
        <v>80.0</v>
      </c>
      <c r="N4733" s="7">
        <v>44709.0</v>
      </c>
    </row>
    <row r="4734">
      <c r="A4734" s="8">
        <v>4733.0</v>
      </c>
      <c r="B4734" s="8" t="s">
        <v>6006</v>
      </c>
      <c r="C4734" s="8" t="s">
        <v>21</v>
      </c>
      <c r="K4734" s="8">
        <v>6800.0</v>
      </c>
      <c r="N4734" s="7">
        <v>44286.0</v>
      </c>
    </row>
    <row r="4735">
      <c r="A4735" s="8">
        <v>4734.0</v>
      </c>
      <c r="B4735" s="8" t="s">
        <v>6007</v>
      </c>
      <c r="C4735" s="8" t="s">
        <v>21</v>
      </c>
      <c r="K4735" s="8">
        <v>50.0</v>
      </c>
      <c r="N4735" s="7">
        <v>45078.0</v>
      </c>
    </row>
    <row r="4736">
      <c r="A4736" s="8">
        <v>4735.0</v>
      </c>
      <c r="B4736" s="8" t="s">
        <v>6008</v>
      </c>
      <c r="C4736" s="8" t="s">
        <v>21</v>
      </c>
      <c r="K4736" s="8">
        <v>76000.0</v>
      </c>
      <c r="N4736" s="7">
        <v>44212.0</v>
      </c>
    </row>
    <row r="4737">
      <c r="A4737" s="8">
        <v>4736.0</v>
      </c>
      <c r="B4737" s="8" t="s">
        <v>6009</v>
      </c>
      <c r="C4737" s="8" t="s">
        <v>21</v>
      </c>
      <c r="K4737" s="8">
        <v>20.0</v>
      </c>
      <c r="N4737" s="7">
        <v>44890.0</v>
      </c>
    </row>
    <row r="4738">
      <c r="A4738" s="8">
        <v>4737.0</v>
      </c>
      <c r="B4738" s="8" t="s">
        <v>6010</v>
      </c>
      <c r="C4738" s="8" t="s">
        <v>21</v>
      </c>
      <c r="K4738" s="8">
        <v>900.0</v>
      </c>
      <c r="N4738" s="7">
        <v>44107.0</v>
      </c>
    </row>
    <row r="4739">
      <c r="A4739" s="8">
        <v>4738.0</v>
      </c>
      <c r="B4739" s="8" t="s">
        <v>6011</v>
      </c>
      <c r="C4739" s="8" t="s">
        <v>21</v>
      </c>
      <c r="N4739" s="7">
        <v>42392.0</v>
      </c>
    </row>
    <row r="4740">
      <c r="A4740" s="8">
        <v>4739.0</v>
      </c>
      <c r="B4740" s="8" t="s">
        <v>6012</v>
      </c>
      <c r="C4740" s="8" t="s">
        <v>21</v>
      </c>
      <c r="K4740" s="8">
        <v>3100.0</v>
      </c>
      <c r="N4740" s="7">
        <v>44172.0</v>
      </c>
    </row>
    <row r="4741">
      <c r="A4741" s="8">
        <v>4740.0</v>
      </c>
      <c r="B4741" s="8" t="s">
        <v>6013</v>
      </c>
      <c r="C4741" s="8" t="s">
        <v>21</v>
      </c>
      <c r="K4741" s="8">
        <v>100.0</v>
      </c>
      <c r="N4741" s="7">
        <v>44347.0</v>
      </c>
    </row>
    <row r="4742">
      <c r="A4742" s="8">
        <v>4741.0</v>
      </c>
      <c r="B4742" s="8" t="s">
        <v>6014</v>
      </c>
      <c r="C4742" s="8" t="s">
        <v>21</v>
      </c>
      <c r="K4742" s="8">
        <v>700.0</v>
      </c>
      <c r="N4742" s="7">
        <v>44672.0</v>
      </c>
    </row>
    <row r="4743">
      <c r="A4743" s="8">
        <v>4742.0</v>
      </c>
      <c r="B4743" s="8" t="s">
        <v>6015</v>
      </c>
      <c r="C4743" s="8" t="s">
        <v>21</v>
      </c>
      <c r="N4743" s="7">
        <v>45562.0</v>
      </c>
    </row>
    <row r="4744">
      <c r="A4744" s="8">
        <v>4743.0</v>
      </c>
      <c r="B4744" s="8" t="s">
        <v>6016</v>
      </c>
      <c r="C4744" s="8" t="s">
        <v>21</v>
      </c>
      <c r="K4744" s="8">
        <v>10.0</v>
      </c>
      <c r="N4744" s="7">
        <v>45380.0</v>
      </c>
    </row>
    <row r="4745">
      <c r="A4745" s="8">
        <v>4744.0</v>
      </c>
      <c r="B4745" s="8" t="s">
        <v>6017</v>
      </c>
      <c r="C4745" s="8" t="s">
        <v>21</v>
      </c>
      <c r="K4745" s="8">
        <v>200.0</v>
      </c>
      <c r="N4745" s="7">
        <v>44703.0</v>
      </c>
    </row>
    <row r="4746">
      <c r="A4746" s="8">
        <v>4745.0</v>
      </c>
      <c r="B4746" s="8" t="s">
        <v>6018</v>
      </c>
      <c r="C4746" s="8" t="s">
        <v>21</v>
      </c>
      <c r="K4746" s="8">
        <v>4400.0</v>
      </c>
      <c r="N4746" s="7">
        <v>45084.0</v>
      </c>
    </row>
    <row r="4747">
      <c r="A4747" s="8">
        <v>4746.0</v>
      </c>
      <c r="B4747" s="8" t="s">
        <v>363</v>
      </c>
      <c r="C4747" s="8" t="s">
        <v>21</v>
      </c>
      <c r="N4747" s="7">
        <v>44355.0</v>
      </c>
    </row>
    <row r="4748">
      <c r="A4748" s="8">
        <v>4747.0</v>
      </c>
      <c r="B4748" s="8" t="s">
        <v>6019</v>
      </c>
      <c r="C4748" s="8" t="s">
        <v>21</v>
      </c>
      <c r="N4748" s="7">
        <v>45051.0</v>
      </c>
    </row>
    <row r="4749">
      <c r="A4749" s="8">
        <v>4748.0</v>
      </c>
      <c r="B4749" s="8" t="s">
        <v>6020</v>
      </c>
      <c r="C4749" s="8" t="s">
        <v>21</v>
      </c>
      <c r="K4749" s="8">
        <v>400.0</v>
      </c>
      <c r="N4749" s="7">
        <v>44989.0</v>
      </c>
    </row>
    <row r="4750">
      <c r="A4750" s="8">
        <v>4749.0</v>
      </c>
      <c r="B4750" s="8" t="s">
        <v>6021</v>
      </c>
      <c r="C4750" s="8" t="s">
        <v>21</v>
      </c>
      <c r="K4750" s="8">
        <v>90.0</v>
      </c>
      <c r="N4750" s="7">
        <v>45415.0</v>
      </c>
    </row>
    <row r="4751">
      <c r="A4751" s="8">
        <v>4750.0</v>
      </c>
      <c r="B4751" s="8" t="s">
        <v>6022</v>
      </c>
      <c r="C4751" s="8" t="s">
        <v>21</v>
      </c>
      <c r="K4751" s="8">
        <v>20.0</v>
      </c>
      <c r="N4751" s="7">
        <v>44025.0</v>
      </c>
    </row>
    <row r="4752">
      <c r="A4752" s="8">
        <v>4751.0</v>
      </c>
      <c r="B4752" s="8" t="s">
        <v>6023</v>
      </c>
      <c r="C4752" s="8" t="s">
        <v>21</v>
      </c>
      <c r="K4752" s="8">
        <v>60.0</v>
      </c>
      <c r="N4752" s="7">
        <v>45054.0</v>
      </c>
    </row>
    <row r="4753">
      <c r="A4753" s="8">
        <v>4752.0</v>
      </c>
      <c r="B4753" s="8" t="s">
        <v>6024</v>
      </c>
      <c r="C4753" s="8" t="s">
        <v>21</v>
      </c>
      <c r="K4753" s="8">
        <v>150.0</v>
      </c>
      <c r="N4753" s="7">
        <v>44173.0</v>
      </c>
    </row>
    <row r="4754">
      <c r="A4754" s="8">
        <v>4753.0</v>
      </c>
      <c r="B4754" s="8" t="s">
        <v>6025</v>
      </c>
      <c r="C4754" s="8" t="s">
        <v>21</v>
      </c>
      <c r="N4754" s="7">
        <v>43268.0</v>
      </c>
    </row>
    <row r="4755">
      <c r="A4755" s="8">
        <v>4754.0</v>
      </c>
      <c r="B4755" s="8" t="s">
        <v>6026</v>
      </c>
      <c r="C4755" s="8" t="s">
        <v>21</v>
      </c>
      <c r="K4755" s="8">
        <v>50.0</v>
      </c>
      <c r="N4755" s="7">
        <v>44319.0</v>
      </c>
    </row>
    <row r="4756">
      <c r="A4756" s="8">
        <v>4755.0</v>
      </c>
      <c r="B4756" s="8" t="s">
        <v>6027</v>
      </c>
      <c r="C4756" s="8" t="s">
        <v>21</v>
      </c>
      <c r="K4756" s="8">
        <v>6400.0</v>
      </c>
      <c r="N4756" s="7">
        <v>42599.0</v>
      </c>
    </row>
    <row r="4757">
      <c r="A4757" s="8">
        <v>4756.0</v>
      </c>
      <c r="B4757" s="8" t="s">
        <v>6028</v>
      </c>
      <c r="C4757" s="8" t="s">
        <v>21</v>
      </c>
      <c r="K4757" s="8">
        <v>600.0</v>
      </c>
      <c r="N4757" s="7">
        <v>44976.0</v>
      </c>
    </row>
    <row r="4758">
      <c r="A4758" s="8">
        <v>4757.0</v>
      </c>
      <c r="B4758" s="8" t="s">
        <v>6029</v>
      </c>
      <c r="C4758" s="8" t="s">
        <v>21</v>
      </c>
      <c r="K4758" s="8">
        <v>50.0</v>
      </c>
      <c r="N4758" s="7">
        <v>44985.0</v>
      </c>
    </row>
    <row r="4759">
      <c r="A4759" s="8">
        <v>4758.0</v>
      </c>
      <c r="B4759" s="8" t="s">
        <v>6030</v>
      </c>
      <c r="C4759" s="8" t="s">
        <v>21</v>
      </c>
      <c r="K4759" s="8">
        <v>60.0</v>
      </c>
      <c r="N4759" s="7">
        <v>43084.0</v>
      </c>
    </row>
    <row r="4760">
      <c r="A4760" s="8">
        <v>4759.0</v>
      </c>
      <c r="B4760" s="8" t="s">
        <v>6031</v>
      </c>
      <c r="C4760" s="8" t="s">
        <v>21</v>
      </c>
      <c r="K4760" s="8">
        <v>250.0</v>
      </c>
      <c r="N4760" s="7">
        <v>44573.0</v>
      </c>
    </row>
    <row r="4761">
      <c r="A4761" s="8">
        <v>4760.0</v>
      </c>
      <c r="B4761" s="8" t="s">
        <v>6032</v>
      </c>
      <c r="C4761" s="8" t="s">
        <v>21</v>
      </c>
      <c r="K4761" s="8">
        <v>70.0</v>
      </c>
      <c r="N4761" s="7">
        <v>45739.0</v>
      </c>
    </row>
    <row r="4762">
      <c r="A4762" s="8">
        <v>4761.0</v>
      </c>
      <c r="B4762" s="8" t="s">
        <v>6033</v>
      </c>
      <c r="C4762" s="8" t="s">
        <v>21</v>
      </c>
      <c r="K4762" s="8">
        <v>900.0</v>
      </c>
      <c r="N4762" s="7">
        <v>44981.0</v>
      </c>
    </row>
    <row r="4763">
      <c r="A4763" s="8">
        <v>4762.0</v>
      </c>
      <c r="B4763" s="8" t="s">
        <v>6034</v>
      </c>
      <c r="C4763" s="8" t="s">
        <v>21</v>
      </c>
      <c r="K4763" s="8">
        <v>10.0</v>
      </c>
      <c r="N4763" s="7">
        <v>44080.0</v>
      </c>
    </row>
    <row r="4764">
      <c r="A4764" s="8">
        <v>4763.0</v>
      </c>
      <c r="B4764" s="8" t="s">
        <v>6035</v>
      </c>
      <c r="C4764" s="8" t="s">
        <v>21</v>
      </c>
      <c r="K4764" s="8">
        <v>500.0</v>
      </c>
      <c r="N4764" s="7">
        <v>44632.0</v>
      </c>
    </row>
    <row r="4765">
      <c r="A4765" s="8">
        <v>4764.0</v>
      </c>
      <c r="B4765" s="8" t="s">
        <v>6036</v>
      </c>
      <c r="C4765" s="8" t="s">
        <v>21</v>
      </c>
      <c r="K4765" s="8">
        <v>50.0</v>
      </c>
      <c r="N4765" s="7">
        <v>45001.0</v>
      </c>
    </row>
    <row r="4766">
      <c r="A4766" s="8">
        <v>4765.0</v>
      </c>
      <c r="B4766" s="8" t="s">
        <v>6037</v>
      </c>
      <c r="C4766" s="8" t="s">
        <v>21</v>
      </c>
      <c r="K4766" s="8">
        <v>90.0</v>
      </c>
      <c r="N4766" s="7">
        <v>45540.0</v>
      </c>
    </row>
    <row r="4767">
      <c r="A4767" s="8">
        <v>4766.0</v>
      </c>
      <c r="B4767" s="8" t="s">
        <v>6038</v>
      </c>
      <c r="C4767" s="8" t="s">
        <v>21</v>
      </c>
      <c r="K4767" s="8">
        <v>900.0</v>
      </c>
      <c r="N4767" s="7">
        <v>44542.0</v>
      </c>
    </row>
    <row r="4768">
      <c r="A4768" s="8">
        <v>4767.0</v>
      </c>
      <c r="B4768" s="8" t="s">
        <v>6039</v>
      </c>
      <c r="C4768" s="8" t="s">
        <v>21</v>
      </c>
      <c r="K4768" s="8">
        <v>250.0</v>
      </c>
      <c r="N4768" s="7">
        <v>45074.0</v>
      </c>
    </row>
    <row r="4769">
      <c r="A4769" s="8">
        <v>4768.0</v>
      </c>
      <c r="B4769" s="8" t="s">
        <v>6040</v>
      </c>
      <c r="C4769" s="8" t="s">
        <v>21</v>
      </c>
      <c r="K4769" s="8">
        <v>1300.0</v>
      </c>
      <c r="N4769" s="7">
        <v>44193.0</v>
      </c>
    </row>
    <row r="4770">
      <c r="A4770" s="8">
        <v>4769.0</v>
      </c>
      <c r="B4770" s="8" t="s">
        <v>6041</v>
      </c>
      <c r="C4770" s="8" t="s">
        <v>21</v>
      </c>
      <c r="K4770" s="8">
        <v>200.0</v>
      </c>
      <c r="N4770" s="7">
        <v>45196.0</v>
      </c>
    </row>
    <row r="4771">
      <c r="A4771" s="8">
        <v>4770.0</v>
      </c>
      <c r="B4771" s="8" t="s">
        <v>6042</v>
      </c>
      <c r="C4771" s="8" t="s">
        <v>21</v>
      </c>
      <c r="K4771" s="8">
        <v>10.0</v>
      </c>
      <c r="N4771" s="7">
        <v>44797.0</v>
      </c>
    </row>
    <row r="4772">
      <c r="A4772" s="8">
        <v>4771.0</v>
      </c>
      <c r="B4772" s="8" t="s">
        <v>6043</v>
      </c>
      <c r="C4772" s="8" t="s">
        <v>21</v>
      </c>
      <c r="K4772" s="8">
        <v>10.0</v>
      </c>
      <c r="N4772" s="7">
        <v>44677.0</v>
      </c>
    </row>
    <row r="4773">
      <c r="A4773" s="8">
        <v>4772.0</v>
      </c>
      <c r="B4773" s="8" t="s">
        <v>6044</v>
      </c>
      <c r="C4773" s="8" t="s">
        <v>21</v>
      </c>
      <c r="K4773" s="8">
        <v>80.0</v>
      </c>
      <c r="N4773" s="7">
        <v>45057.0</v>
      </c>
    </row>
    <row r="4774">
      <c r="A4774" s="8">
        <v>4773.0</v>
      </c>
      <c r="B4774" s="8" t="s">
        <v>6045</v>
      </c>
      <c r="C4774" s="8" t="s">
        <v>21</v>
      </c>
      <c r="K4774" s="8">
        <v>300.0</v>
      </c>
      <c r="N4774" s="7">
        <v>44009.0</v>
      </c>
    </row>
    <row r="4775">
      <c r="A4775" s="8">
        <v>4774.0</v>
      </c>
      <c r="B4775" s="8" t="s">
        <v>6046</v>
      </c>
      <c r="C4775" s="8" t="s">
        <v>21</v>
      </c>
      <c r="N4775" s="7">
        <v>44324.0</v>
      </c>
    </row>
    <row r="4776">
      <c r="A4776" s="8">
        <v>4775.0</v>
      </c>
      <c r="B4776" s="8" t="s">
        <v>6047</v>
      </c>
      <c r="C4776" s="8" t="s">
        <v>21</v>
      </c>
      <c r="K4776" s="8">
        <v>10.0</v>
      </c>
      <c r="N4776" s="7">
        <v>45201.0</v>
      </c>
    </row>
    <row r="4777">
      <c r="A4777" s="8">
        <v>4776.0</v>
      </c>
      <c r="B4777" s="8" t="s">
        <v>6048</v>
      </c>
      <c r="C4777" s="8" t="s">
        <v>21</v>
      </c>
      <c r="K4777" s="8">
        <v>1300.0</v>
      </c>
      <c r="N4777" s="7">
        <v>44576.0</v>
      </c>
    </row>
    <row r="4778">
      <c r="A4778" s="8">
        <v>4777.0</v>
      </c>
      <c r="B4778" s="8" t="s">
        <v>6049</v>
      </c>
      <c r="C4778" s="8" t="s">
        <v>21</v>
      </c>
      <c r="K4778" s="8">
        <v>18000.0</v>
      </c>
      <c r="N4778" s="7">
        <v>44364.0</v>
      </c>
    </row>
    <row r="4779">
      <c r="A4779" s="8">
        <v>4778.0</v>
      </c>
      <c r="B4779" s="8" t="s">
        <v>6050</v>
      </c>
      <c r="C4779" s="8" t="s">
        <v>21</v>
      </c>
      <c r="K4779" s="8">
        <v>20.0</v>
      </c>
      <c r="N4779" s="7">
        <v>45582.0</v>
      </c>
    </row>
    <row r="4780">
      <c r="A4780" s="8">
        <v>4779.0</v>
      </c>
      <c r="B4780" s="8" t="s">
        <v>6051</v>
      </c>
      <c r="C4780" s="8" t="s">
        <v>21</v>
      </c>
      <c r="K4780" s="8">
        <v>10.0</v>
      </c>
      <c r="N4780" s="7">
        <v>44554.0</v>
      </c>
    </row>
    <row r="4781">
      <c r="A4781" s="8">
        <v>4780.0</v>
      </c>
      <c r="B4781" s="8" t="s">
        <v>6052</v>
      </c>
      <c r="C4781" s="8" t="s">
        <v>21</v>
      </c>
      <c r="N4781" s="7">
        <v>45668.0</v>
      </c>
    </row>
    <row r="4782">
      <c r="A4782" s="8">
        <v>4781.0</v>
      </c>
      <c r="B4782" s="8" t="s">
        <v>6053</v>
      </c>
      <c r="C4782" s="8" t="s">
        <v>21</v>
      </c>
      <c r="K4782" s="8">
        <v>90.0</v>
      </c>
      <c r="N4782" s="7">
        <v>43883.0</v>
      </c>
    </row>
    <row r="4783">
      <c r="A4783" s="8">
        <v>4782.0</v>
      </c>
      <c r="B4783" s="8" t="s">
        <v>6054</v>
      </c>
      <c r="C4783" s="8" t="s">
        <v>21</v>
      </c>
      <c r="N4783" s="7">
        <v>44355.0</v>
      </c>
    </row>
    <row r="4784">
      <c r="A4784" s="8">
        <v>4783.0</v>
      </c>
      <c r="B4784" s="8" t="s">
        <v>6055</v>
      </c>
      <c r="C4784" s="8" t="s">
        <v>21</v>
      </c>
      <c r="K4784" s="8">
        <v>10.0</v>
      </c>
      <c r="N4784" s="7">
        <v>44735.0</v>
      </c>
    </row>
    <row r="4785">
      <c r="A4785" s="8">
        <v>4784.0</v>
      </c>
      <c r="B4785" s="8" t="s">
        <v>365</v>
      </c>
      <c r="C4785" s="8" t="s">
        <v>21</v>
      </c>
      <c r="N4785" s="7">
        <v>44296.0</v>
      </c>
    </row>
    <row r="4786">
      <c r="A4786" s="8">
        <v>4785.0</v>
      </c>
      <c r="B4786" s="8" t="s">
        <v>6056</v>
      </c>
      <c r="C4786" s="8" t="s">
        <v>21</v>
      </c>
      <c r="K4786" s="8">
        <v>30.0</v>
      </c>
      <c r="N4786" s="7">
        <v>44226.0</v>
      </c>
    </row>
    <row r="4787">
      <c r="A4787" s="8">
        <v>4786.0</v>
      </c>
      <c r="B4787" s="8" t="s">
        <v>6057</v>
      </c>
      <c r="C4787" s="8" t="s">
        <v>21</v>
      </c>
      <c r="K4787" s="8">
        <v>7900.0</v>
      </c>
      <c r="N4787" s="7">
        <v>43888.0</v>
      </c>
    </row>
    <row r="4788">
      <c r="A4788" s="8">
        <v>4787.0</v>
      </c>
      <c r="B4788" s="8" t="s">
        <v>6058</v>
      </c>
      <c r="C4788" s="8" t="s">
        <v>21</v>
      </c>
      <c r="K4788" s="8">
        <v>150.0</v>
      </c>
      <c r="N4788" s="7">
        <v>44556.0</v>
      </c>
    </row>
    <row r="4789">
      <c r="A4789" s="8">
        <v>4788.0</v>
      </c>
      <c r="B4789" s="8" t="s">
        <v>6059</v>
      </c>
      <c r="C4789" s="8" t="s">
        <v>21</v>
      </c>
      <c r="K4789" s="8">
        <v>1300.0</v>
      </c>
      <c r="N4789" s="7">
        <v>44525.0</v>
      </c>
    </row>
    <row r="4790">
      <c r="A4790" s="8">
        <v>4789.0</v>
      </c>
      <c r="B4790" s="8" t="s">
        <v>6060</v>
      </c>
      <c r="C4790" s="8" t="s">
        <v>21</v>
      </c>
      <c r="K4790" s="8">
        <v>40.0</v>
      </c>
      <c r="N4790" s="7">
        <v>44215.0</v>
      </c>
    </row>
    <row r="4791">
      <c r="A4791" s="8">
        <v>4790.0</v>
      </c>
      <c r="B4791" s="8" t="s">
        <v>6061</v>
      </c>
      <c r="C4791" s="8" t="s">
        <v>21</v>
      </c>
      <c r="N4791" s="7">
        <v>42276.0</v>
      </c>
    </row>
    <row r="4792">
      <c r="A4792" s="8">
        <v>4791.0</v>
      </c>
      <c r="B4792" s="8" t="s">
        <v>6062</v>
      </c>
      <c r="C4792" s="8" t="s">
        <v>21</v>
      </c>
      <c r="K4792" s="8">
        <v>10.0</v>
      </c>
      <c r="N4792" s="7">
        <v>45240.0</v>
      </c>
    </row>
    <row r="4793">
      <c r="A4793" s="8">
        <v>4792.0</v>
      </c>
      <c r="B4793" s="8" t="s">
        <v>6063</v>
      </c>
      <c r="C4793" s="8" t="s">
        <v>21</v>
      </c>
      <c r="K4793" s="8">
        <v>150.0</v>
      </c>
      <c r="N4793" s="7">
        <v>44068.0</v>
      </c>
    </row>
    <row r="4794">
      <c r="A4794" s="8">
        <v>4793.0</v>
      </c>
      <c r="B4794" s="8" t="s">
        <v>6064</v>
      </c>
      <c r="C4794" s="8" t="s">
        <v>21</v>
      </c>
      <c r="K4794" s="8">
        <v>1100.0</v>
      </c>
      <c r="N4794" s="7">
        <v>44157.0</v>
      </c>
    </row>
    <row r="4795">
      <c r="A4795" s="8">
        <v>4794.0</v>
      </c>
      <c r="B4795" s="8" t="s">
        <v>6065</v>
      </c>
      <c r="C4795" s="8" t="s">
        <v>21</v>
      </c>
      <c r="K4795" s="8">
        <v>250.0</v>
      </c>
      <c r="N4795" s="7">
        <v>44604.0</v>
      </c>
    </row>
    <row r="4796">
      <c r="A4796" s="8">
        <v>4795.0</v>
      </c>
      <c r="B4796" s="8" t="s">
        <v>6066</v>
      </c>
      <c r="C4796" s="8" t="s">
        <v>21</v>
      </c>
      <c r="K4796" s="8">
        <v>10.0</v>
      </c>
      <c r="N4796" s="7">
        <v>44356.0</v>
      </c>
    </row>
    <row r="4797">
      <c r="A4797" s="8">
        <v>4796.0</v>
      </c>
      <c r="B4797" s="8" t="s">
        <v>6067</v>
      </c>
      <c r="C4797" s="8" t="s">
        <v>21</v>
      </c>
      <c r="K4797" s="8">
        <v>50.0</v>
      </c>
      <c r="N4797" s="7">
        <v>44601.0</v>
      </c>
    </row>
    <row r="4798">
      <c r="A4798" s="8">
        <v>4797.0</v>
      </c>
      <c r="B4798" s="8" t="s">
        <v>6068</v>
      </c>
      <c r="C4798" s="8" t="s">
        <v>21</v>
      </c>
      <c r="K4798" s="8">
        <v>1200.0</v>
      </c>
      <c r="N4798" s="7">
        <v>44710.0</v>
      </c>
    </row>
    <row r="4799">
      <c r="A4799" s="8">
        <v>4798.0</v>
      </c>
      <c r="B4799" s="8" t="s">
        <v>6069</v>
      </c>
      <c r="C4799" s="8" t="s">
        <v>21</v>
      </c>
      <c r="K4799" s="8">
        <v>20.0</v>
      </c>
      <c r="N4799" s="7">
        <v>44869.0</v>
      </c>
    </row>
    <row r="4800">
      <c r="A4800" s="8">
        <v>4799.0</v>
      </c>
      <c r="B4800" s="8" t="s">
        <v>6070</v>
      </c>
      <c r="C4800" s="8" t="s">
        <v>21</v>
      </c>
      <c r="K4800" s="8">
        <v>70.0</v>
      </c>
      <c r="N4800" s="7">
        <v>44152.0</v>
      </c>
    </row>
    <row r="4801">
      <c r="A4801" s="8">
        <v>4800.0</v>
      </c>
      <c r="B4801" s="8" t="s">
        <v>6071</v>
      </c>
      <c r="C4801" s="8" t="s">
        <v>21</v>
      </c>
      <c r="N4801" s="7">
        <v>44103.0</v>
      </c>
    </row>
    <row r="4802">
      <c r="A4802" s="8">
        <v>4801.0</v>
      </c>
      <c r="B4802" s="8" t="s">
        <v>6072</v>
      </c>
      <c r="C4802" s="8" t="s">
        <v>21</v>
      </c>
      <c r="K4802" s="8">
        <v>1000.0</v>
      </c>
      <c r="N4802" s="7">
        <v>44821.0</v>
      </c>
    </row>
    <row r="4803">
      <c r="A4803" s="8">
        <v>4802.0</v>
      </c>
      <c r="B4803" s="8" t="s">
        <v>6073</v>
      </c>
      <c r="C4803" s="8" t="s">
        <v>21</v>
      </c>
      <c r="K4803" s="8">
        <v>60.0</v>
      </c>
      <c r="N4803" s="7">
        <v>44351.0</v>
      </c>
    </row>
    <row r="4804">
      <c r="A4804" s="8">
        <v>4803.0</v>
      </c>
      <c r="B4804" s="8" t="s">
        <v>6074</v>
      </c>
      <c r="C4804" s="8" t="s">
        <v>21</v>
      </c>
      <c r="N4804" s="7">
        <v>44313.0</v>
      </c>
    </row>
    <row r="4805">
      <c r="A4805" s="8">
        <v>4804.0</v>
      </c>
      <c r="B4805" s="8" t="s">
        <v>6075</v>
      </c>
      <c r="C4805" s="8" t="s">
        <v>21</v>
      </c>
      <c r="K4805" s="8">
        <v>150.0</v>
      </c>
      <c r="N4805" s="7">
        <v>45124.0</v>
      </c>
    </row>
    <row r="4806">
      <c r="A4806" s="8">
        <v>4805.0</v>
      </c>
      <c r="B4806" s="8" t="s">
        <v>6076</v>
      </c>
      <c r="C4806" s="8" t="s">
        <v>21</v>
      </c>
      <c r="K4806" s="8">
        <v>300.0</v>
      </c>
      <c r="N4806" s="7">
        <v>44509.0</v>
      </c>
    </row>
    <row r="4807">
      <c r="A4807" s="8">
        <v>4806.0</v>
      </c>
      <c r="B4807" s="8" t="s">
        <v>6077</v>
      </c>
      <c r="C4807" s="8" t="s">
        <v>21</v>
      </c>
      <c r="K4807" s="8">
        <v>150.0</v>
      </c>
      <c r="N4807" s="7">
        <v>43907.0</v>
      </c>
    </row>
    <row r="4808">
      <c r="A4808" s="8">
        <v>4807.0</v>
      </c>
      <c r="B4808" s="8" t="s">
        <v>6078</v>
      </c>
      <c r="C4808" s="8" t="s">
        <v>21</v>
      </c>
      <c r="K4808" s="8">
        <v>2000.0</v>
      </c>
      <c r="N4808" s="7">
        <v>44864.0</v>
      </c>
    </row>
    <row r="4809">
      <c r="A4809" s="8">
        <v>4808.0</v>
      </c>
      <c r="B4809" s="8" t="s">
        <v>6079</v>
      </c>
      <c r="C4809" s="8" t="s">
        <v>21</v>
      </c>
      <c r="N4809" s="7">
        <v>45427.0</v>
      </c>
    </row>
    <row r="4810">
      <c r="A4810" s="8">
        <v>4809.0</v>
      </c>
      <c r="B4810" s="8" t="s">
        <v>6080</v>
      </c>
      <c r="C4810" s="8" t="s">
        <v>21</v>
      </c>
      <c r="K4810" s="8">
        <v>300.0</v>
      </c>
      <c r="N4810" s="7">
        <v>45789.0</v>
      </c>
    </row>
    <row r="4811">
      <c r="A4811" s="8">
        <v>4810.0</v>
      </c>
      <c r="B4811" s="8" t="s">
        <v>6081</v>
      </c>
      <c r="C4811" s="8" t="s">
        <v>21</v>
      </c>
      <c r="K4811" s="8">
        <v>1800.0</v>
      </c>
      <c r="N4811" s="7">
        <v>44071.0</v>
      </c>
    </row>
    <row r="4812">
      <c r="A4812" s="8">
        <v>4811.0</v>
      </c>
      <c r="B4812" s="8" t="s">
        <v>368</v>
      </c>
      <c r="C4812" s="8" t="s">
        <v>21</v>
      </c>
      <c r="N4812" s="7">
        <v>45158.0</v>
      </c>
    </row>
    <row r="4813">
      <c r="A4813" s="8">
        <v>4812.0</v>
      </c>
      <c r="B4813" s="8" t="s">
        <v>6082</v>
      </c>
      <c r="C4813" s="8" t="s">
        <v>21</v>
      </c>
      <c r="K4813" s="8">
        <v>600.0</v>
      </c>
      <c r="N4813" s="7">
        <v>44458.0</v>
      </c>
    </row>
    <row r="4814">
      <c r="A4814" s="8">
        <v>4813.0</v>
      </c>
      <c r="B4814" s="8" t="s">
        <v>6083</v>
      </c>
      <c r="C4814" s="8" t="s">
        <v>21</v>
      </c>
      <c r="K4814" s="8">
        <v>40.0</v>
      </c>
      <c r="N4814" s="7">
        <v>44735.0</v>
      </c>
    </row>
    <row r="4815">
      <c r="A4815" s="8">
        <v>4814.0</v>
      </c>
      <c r="B4815" s="8" t="s">
        <v>6084</v>
      </c>
      <c r="C4815" s="8" t="s">
        <v>21</v>
      </c>
      <c r="K4815" s="8">
        <v>60.0</v>
      </c>
      <c r="N4815" s="7">
        <v>44707.0</v>
      </c>
    </row>
    <row r="4816">
      <c r="A4816" s="8">
        <v>4815.0</v>
      </c>
      <c r="B4816" s="8" t="s">
        <v>6085</v>
      </c>
      <c r="C4816" s="8" t="s">
        <v>21</v>
      </c>
      <c r="K4816" s="8">
        <v>1500.0</v>
      </c>
      <c r="N4816" s="7">
        <v>44110.0</v>
      </c>
    </row>
    <row r="4817">
      <c r="A4817" s="8">
        <v>4816.0</v>
      </c>
      <c r="B4817" s="8" t="s">
        <v>6086</v>
      </c>
      <c r="C4817" s="8" t="s">
        <v>21</v>
      </c>
      <c r="K4817" s="8">
        <v>1000.0</v>
      </c>
      <c r="N4817" s="7">
        <v>43849.0</v>
      </c>
    </row>
    <row r="4818">
      <c r="A4818" s="8">
        <v>4817.0</v>
      </c>
      <c r="B4818" s="8" t="s">
        <v>6087</v>
      </c>
      <c r="C4818" s="8" t="s">
        <v>21</v>
      </c>
      <c r="K4818" s="8">
        <v>40.0</v>
      </c>
      <c r="N4818" s="7">
        <v>43892.0</v>
      </c>
    </row>
    <row r="4819">
      <c r="A4819" s="8">
        <v>4818.0</v>
      </c>
      <c r="B4819" s="8" t="s">
        <v>371</v>
      </c>
      <c r="C4819" s="8" t="s">
        <v>21</v>
      </c>
      <c r="N4819" s="7">
        <v>44265.0</v>
      </c>
    </row>
    <row r="4820">
      <c r="A4820" s="8">
        <v>4819.0</v>
      </c>
      <c r="B4820" s="8" t="s">
        <v>6088</v>
      </c>
      <c r="C4820" s="8" t="s">
        <v>21</v>
      </c>
      <c r="K4820" s="8">
        <v>2100.0</v>
      </c>
      <c r="N4820" s="7">
        <v>44973.0</v>
      </c>
    </row>
    <row r="4821">
      <c r="A4821" s="8">
        <v>4820.0</v>
      </c>
      <c r="B4821" s="8" t="s">
        <v>6089</v>
      </c>
      <c r="C4821" s="8" t="s">
        <v>21</v>
      </c>
      <c r="N4821" s="7">
        <v>44169.0</v>
      </c>
      <c r="O4821" s="8" t="s">
        <v>26</v>
      </c>
      <c r="P4821" s="8" t="s">
        <v>28</v>
      </c>
      <c r="S4821" s="8" t="s">
        <v>32</v>
      </c>
    </row>
    <row r="4822">
      <c r="A4822" s="8">
        <v>4821.0</v>
      </c>
      <c r="B4822" s="8" t="s">
        <v>6090</v>
      </c>
      <c r="C4822" s="8" t="s">
        <v>21</v>
      </c>
      <c r="K4822" s="8">
        <v>150.0</v>
      </c>
      <c r="N4822" s="7">
        <v>44865.0</v>
      </c>
    </row>
    <row r="4823">
      <c r="A4823" s="8">
        <v>4822.0</v>
      </c>
      <c r="B4823" s="8" t="s">
        <v>6091</v>
      </c>
      <c r="C4823" s="8" t="s">
        <v>21</v>
      </c>
      <c r="K4823" s="8">
        <v>70.0</v>
      </c>
      <c r="N4823" s="7">
        <v>45605.0</v>
      </c>
    </row>
    <row r="4824">
      <c r="A4824" s="8">
        <v>4823.0</v>
      </c>
      <c r="B4824" s="8" t="s">
        <v>6092</v>
      </c>
      <c r="C4824" s="8" t="s">
        <v>21</v>
      </c>
      <c r="K4824" s="8">
        <v>10.0</v>
      </c>
      <c r="N4824" s="7">
        <v>45176.0</v>
      </c>
    </row>
    <row r="4825">
      <c r="A4825" s="8">
        <v>4824.0</v>
      </c>
      <c r="B4825" s="8" t="s">
        <v>6093</v>
      </c>
      <c r="C4825" s="8" t="s">
        <v>21</v>
      </c>
      <c r="K4825" s="8">
        <v>900.0</v>
      </c>
      <c r="N4825" s="7">
        <v>43984.0</v>
      </c>
    </row>
    <row r="4826">
      <c r="A4826" s="8">
        <v>4825.0</v>
      </c>
      <c r="B4826" s="8" t="s">
        <v>6094</v>
      </c>
      <c r="C4826" s="8" t="s">
        <v>21</v>
      </c>
      <c r="K4826" s="8">
        <v>700.0</v>
      </c>
      <c r="N4826" s="7">
        <v>45249.0</v>
      </c>
    </row>
    <row r="4827">
      <c r="A4827" s="8">
        <v>4826.0</v>
      </c>
      <c r="B4827" s="8" t="s">
        <v>6095</v>
      </c>
      <c r="C4827" s="8" t="s">
        <v>21</v>
      </c>
      <c r="N4827" s="7">
        <v>44868.0</v>
      </c>
    </row>
    <row r="4828">
      <c r="A4828" s="8">
        <v>4827.0</v>
      </c>
      <c r="B4828" s="8" t="s">
        <v>6096</v>
      </c>
      <c r="C4828" s="8" t="s">
        <v>21</v>
      </c>
      <c r="K4828" s="8">
        <v>100.0</v>
      </c>
      <c r="N4828" s="7">
        <v>45629.0</v>
      </c>
    </row>
    <row r="4829">
      <c r="A4829" s="8">
        <v>4828.0</v>
      </c>
      <c r="B4829" s="8" t="s">
        <v>6097</v>
      </c>
      <c r="C4829" s="8" t="s">
        <v>21</v>
      </c>
      <c r="N4829" s="7">
        <v>44320.0</v>
      </c>
    </row>
    <row r="4830">
      <c r="A4830" s="8">
        <v>4829.0</v>
      </c>
      <c r="B4830" s="8" t="s">
        <v>6098</v>
      </c>
      <c r="C4830" s="8" t="s">
        <v>21</v>
      </c>
      <c r="K4830" s="8">
        <v>500.0</v>
      </c>
      <c r="N4830" s="7">
        <v>43877.0</v>
      </c>
    </row>
    <row r="4831">
      <c r="A4831" s="8">
        <v>4830.0</v>
      </c>
      <c r="B4831" s="8" t="s">
        <v>6099</v>
      </c>
      <c r="C4831" s="8" t="s">
        <v>21</v>
      </c>
      <c r="N4831" s="7">
        <v>44825.0</v>
      </c>
    </row>
    <row r="4832">
      <c r="A4832" s="8">
        <v>4831.0</v>
      </c>
      <c r="B4832" s="8" t="s">
        <v>6100</v>
      </c>
      <c r="C4832" s="8" t="s">
        <v>21</v>
      </c>
      <c r="K4832" s="8">
        <v>40.0</v>
      </c>
      <c r="N4832" s="7">
        <v>45043.0</v>
      </c>
    </row>
    <row r="4833">
      <c r="A4833" s="8">
        <v>4832.0</v>
      </c>
      <c r="B4833" s="8" t="s">
        <v>6101</v>
      </c>
      <c r="C4833" s="8" t="s">
        <v>21</v>
      </c>
      <c r="K4833" s="8">
        <v>1600.0</v>
      </c>
      <c r="N4833" s="7">
        <v>44561.0</v>
      </c>
    </row>
    <row r="4834">
      <c r="A4834" s="8">
        <v>4833.0</v>
      </c>
      <c r="B4834" s="8" t="s">
        <v>6102</v>
      </c>
      <c r="C4834" s="8" t="s">
        <v>21</v>
      </c>
      <c r="N4834" s="7">
        <v>44017.0</v>
      </c>
    </row>
    <row r="4835">
      <c r="A4835" s="8">
        <v>4834.0</v>
      </c>
      <c r="B4835" s="8" t="s">
        <v>6103</v>
      </c>
      <c r="C4835" s="8" t="s">
        <v>21</v>
      </c>
      <c r="K4835" s="8">
        <v>50.0</v>
      </c>
      <c r="N4835" s="7">
        <v>44484.0</v>
      </c>
    </row>
    <row r="4836">
      <c r="A4836" s="8">
        <v>4835.0</v>
      </c>
      <c r="B4836" s="8" t="s">
        <v>6104</v>
      </c>
      <c r="C4836" s="8" t="s">
        <v>21</v>
      </c>
      <c r="K4836" s="8">
        <v>900.0</v>
      </c>
      <c r="N4836" s="7">
        <v>44291.0</v>
      </c>
    </row>
    <row r="4837">
      <c r="A4837" s="8">
        <v>4836.0</v>
      </c>
      <c r="B4837" s="8" t="s">
        <v>6105</v>
      </c>
      <c r="C4837" s="8" t="s">
        <v>21</v>
      </c>
      <c r="N4837" s="7">
        <v>44384.0</v>
      </c>
    </row>
    <row r="4838">
      <c r="A4838" s="8">
        <v>4837.0</v>
      </c>
      <c r="B4838" s="8" t="s">
        <v>6106</v>
      </c>
      <c r="C4838" s="8" t="s">
        <v>21</v>
      </c>
      <c r="K4838" s="8">
        <v>20.0</v>
      </c>
      <c r="N4838" s="7">
        <v>44640.0</v>
      </c>
    </row>
    <row r="4839">
      <c r="A4839" s="8">
        <v>4838.0</v>
      </c>
      <c r="B4839" s="8" t="s">
        <v>6107</v>
      </c>
      <c r="C4839" s="8" t="s">
        <v>21</v>
      </c>
      <c r="K4839" s="8">
        <v>70.0</v>
      </c>
      <c r="N4839" s="7">
        <v>44101.0</v>
      </c>
    </row>
    <row r="4840">
      <c r="A4840" s="8">
        <v>4839.0</v>
      </c>
      <c r="B4840" s="8" t="s">
        <v>6108</v>
      </c>
      <c r="C4840" s="8" t="s">
        <v>21</v>
      </c>
      <c r="K4840" s="8">
        <v>10.0</v>
      </c>
      <c r="N4840" s="7">
        <v>44301.0</v>
      </c>
    </row>
    <row r="4841">
      <c r="A4841" s="8">
        <v>4840.0</v>
      </c>
      <c r="B4841" s="8" t="s">
        <v>6109</v>
      </c>
      <c r="C4841" s="8" t="s">
        <v>21</v>
      </c>
      <c r="K4841" s="8">
        <v>150.0</v>
      </c>
      <c r="N4841" s="7">
        <v>44719.0</v>
      </c>
    </row>
    <row r="4842">
      <c r="A4842" s="8">
        <v>4841.0</v>
      </c>
      <c r="B4842" s="8" t="s">
        <v>6110</v>
      </c>
      <c r="C4842" s="8" t="s">
        <v>21</v>
      </c>
      <c r="K4842" s="8">
        <v>2000.0</v>
      </c>
      <c r="N4842" s="7">
        <v>44589.0</v>
      </c>
    </row>
    <row r="4843">
      <c r="A4843" s="8">
        <v>4842.0</v>
      </c>
      <c r="B4843" s="8" t="s">
        <v>6111</v>
      </c>
      <c r="C4843" s="8" t="s">
        <v>21</v>
      </c>
      <c r="N4843" s="7">
        <v>45510.0</v>
      </c>
    </row>
    <row r="4844">
      <c r="A4844" s="8">
        <v>4843.0</v>
      </c>
      <c r="B4844" s="8" t="s">
        <v>6112</v>
      </c>
      <c r="C4844" s="8" t="s">
        <v>21</v>
      </c>
      <c r="K4844" s="8">
        <v>700.0</v>
      </c>
      <c r="N4844" s="7">
        <v>44865.0</v>
      </c>
    </row>
    <row r="4845">
      <c r="A4845" s="8">
        <v>4844.0</v>
      </c>
      <c r="B4845" s="8" t="s">
        <v>6113</v>
      </c>
      <c r="C4845" s="8" t="s">
        <v>21</v>
      </c>
      <c r="K4845" s="8">
        <v>1000.0</v>
      </c>
      <c r="N4845" s="7">
        <v>44677.0</v>
      </c>
    </row>
    <row r="4846">
      <c r="A4846" s="8">
        <v>4845.0</v>
      </c>
      <c r="B4846" s="8" t="s">
        <v>6114</v>
      </c>
      <c r="C4846" s="8" t="s">
        <v>21</v>
      </c>
      <c r="N4846" s="7">
        <v>45283.0</v>
      </c>
    </row>
    <row r="4847">
      <c r="A4847" s="8">
        <v>4846.0</v>
      </c>
      <c r="B4847" s="8" t="s">
        <v>6115</v>
      </c>
      <c r="C4847" s="8" t="s">
        <v>21</v>
      </c>
      <c r="K4847" s="8">
        <v>100.0</v>
      </c>
      <c r="N4847" s="7">
        <v>43972.0</v>
      </c>
    </row>
    <row r="4848">
      <c r="A4848" s="8">
        <v>4847.0</v>
      </c>
      <c r="B4848" s="8" t="s">
        <v>6116</v>
      </c>
      <c r="C4848" s="8" t="s">
        <v>21</v>
      </c>
      <c r="K4848" s="8">
        <v>800.0</v>
      </c>
      <c r="N4848" s="7">
        <v>45779.0</v>
      </c>
    </row>
    <row r="4849">
      <c r="A4849" s="8">
        <v>4848.0</v>
      </c>
      <c r="B4849" s="8" t="s">
        <v>6117</v>
      </c>
      <c r="C4849" s="8" t="s">
        <v>21</v>
      </c>
      <c r="N4849" s="7">
        <v>44735.0</v>
      </c>
    </row>
    <row r="4850">
      <c r="A4850" s="8">
        <v>4849.0</v>
      </c>
      <c r="B4850" s="8" t="s">
        <v>6118</v>
      </c>
      <c r="C4850" s="8" t="s">
        <v>21</v>
      </c>
      <c r="K4850" s="8">
        <v>150.0</v>
      </c>
      <c r="N4850" s="7">
        <v>44572.0</v>
      </c>
    </row>
    <row r="4851">
      <c r="A4851" s="8">
        <v>4850.0</v>
      </c>
      <c r="B4851" s="8" t="s">
        <v>6119</v>
      </c>
      <c r="C4851" s="8" t="s">
        <v>21</v>
      </c>
      <c r="K4851" s="8">
        <v>10.0</v>
      </c>
      <c r="N4851" s="7">
        <v>45348.0</v>
      </c>
    </row>
    <row r="4852">
      <c r="A4852" s="8">
        <v>4851.0</v>
      </c>
      <c r="B4852" s="8" t="s">
        <v>6120</v>
      </c>
      <c r="C4852" s="8" t="s">
        <v>21</v>
      </c>
      <c r="K4852" s="8">
        <v>80.0</v>
      </c>
      <c r="N4852" s="7">
        <v>44286.0</v>
      </c>
    </row>
    <row r="4853">
      <c r="A4853" s="8">
        <v>4852.0</v>
      </c>
      <c r="B4853" s="8" t="s">
        <v>6121</v>
      </c>
      <c r="C4853" s="8" t="s">
        <v>21</v>
      </c>
      <c r="K4853" s="8">
        <v>2000.0</v>
      </c>
      <c r="N4853" s="7">
        <v>43900.0</v>
      </c>
    </row>
    <row r="4854">
      <c r="A4854" s="8">
        <v>4853.0</v>
      </c>
      <c r="B4854" s="8" t="s">
        <v>6122</v>
      </c>
      <c r="C4854" s="8" t="s">
        <v>21</v>
      </c>
      <c r="K4854" s="8">
        <v>600.0</v>
      </c>
      <c r="N4854" s="7">
        <v>44602.0</v>
      </c>
    </row>
    <row r="4855">
      <c r="A4855" s="8">
        <v>4854.0</v>
      </c>
      <c r="B4855" s="8" t="s">
        <v>6123</v>
      </c>
      <c r="C4855" s="8" t="s">
        <v>21</v>
      </c>
      <c r="K4855" s="8">
        <v>70.0</v>
      </c>
      <c r="N4855" s="7">
        <v>44118.0</v>
      </c>
    </row>
    <row r="4856">
      <c r="A4856" s="8">
        <v>4855.0</v>
      </c>
      <c r="B4856" s="8" t="s">
        <v>6124</v>
      </c>
      <c r="C4856" s="8" t="s">
        <v>21</v>
      </c>
      <c r="K4856" s="8">
        <v>500.0</v>
      </c>
      <c r="N4856" s="7">
        <v>44001.0</v>
      </c>
    </row>
    <row r="4857">
      <c r="A4857" s="8">
        <v>4856.0</v>
      </c>
      <c r="B4857" s="8" t="s">
        <v>6125</v>
      </c>
      <c r="C4857" s="8" t="s">
        <v>21</v>
      </c>
      <c r="K4857" s="8">
        <v>600.0</v>
      </c>
      <c r="N4857" s="7">
        <v>44809.0</v>
      </c>
    </row>
    <row r="4858">
      <c r="A4858" s="8">
        <v>4857.0</v>
      </c>
      <c r="B4858" s="8" t="s">
        <v>6126</v>
      </c>
      <c r="C4858" s="8" t="s">
        <v>21</v>
      </c>
      <c r="K4858" s="8">
        <v>10.0</v>
      </c>
      <c r="N4858" s="7">
        <v>45123.0</v>
      </c>
    </row>
    <row r="4859">
      <c r="A4859" s="8">
        <v>4858.0</v>
      </c>
      <c r="B4859" s="8" t="s">
        <v>6127</v>
      </c>
      <c r="C4859" s="8" t="s">
        <v>21</v>
      </c>
      <c r="K4859" s="8">
        <v>4200.0</v>
      </c>
      <c r="N4859" s="7">
        <v>44110.0</v>
      </c>
    </row>
    <row r="4860">
      <c r="A4860" s="8">
        <v>4859.0</v>
      </c>
      <c r="B4860" s="8" t="s">
        <v>6128</v>
      </c>
      <c r="C4860" s="8" t="s">
        <v>21</v>
      </c>
      <c r="K4860" s="8">
        <v>25000.0</v>
      </c>
      <c r="N4860" s="7">
        <v>44212.0</v>
      </c>
    </row>
    <row r="4861">
      <c r="A4861" s="8">
        <v>4860.0</v>
      </c>
      <c r="B4861" s="8" t="s">
        <v>6129</v>
      </c>
      <c r="C4861" s="8" t="s">
        <v>21</v>
      </c>
      <c r="K4861" s="8">
        <v>10.0</v>
      </c>
      <c r="N4861" s="7">
        <v>44586.0</v>
      </c>
    </row>
    <row r="4862">
      <c r="A4862" s="8">
        <v>4861.0</v>
      </c>
      <c r="B4862" s="8" t="s">
        <v>6130</v>
      </c>
      <c r="C4862" s="8" t="s">
        <v>21</v>
      </c>
      <c r="N4862" s="7">
        <v>44200.0</v>
      </c>
    </row>
    <row r="4863">
      <c r="A4863" s="8">
        <v>4862.0</v>
      </c>
      <c r="B4863" s="8" t="s">
        <v>6131</v>
      </c>
      <c r="C4863" s="8" t="s">
        <v>21</v>
      </c>
      <c r="K4863" s="8">
        <v>20.0</v>
      </c>
      <c r="N4863" s="7">
        <v>44219.0</v>
      </c>
    </row>
    <row r="4864">
      <c r="A4864" s="8">
        <v>4863.0</v>
      </c>
      <c r="B4864" s="8" t="s">
        <v>6132</v>
      </c>
      <c r="C4864" s="8" t="s">
        <v>21</v>
      </c>
      <c r="N4864" s="7">
        <v>42614.0</v>
      </c>
    </row>
    <row r="4865">
      <c r="A4865" s="8">
        <v>4864.0</v>
      </c>
      <c r="B4865" s="8" t="s">
        <v>6133</v>
      </c>
      <c r="C4865" s="8" t="s">
        <v>21</v>
      </c>
      <c r="K4865" s="8">
        <v>1100.0</v>
      </c>
      <c r="N4865" s="7">
        <v>44762.0</v>
      </c>
    </row>
    <row r="4866">
      <c r="A4866" s="8">
        <v>4865.0</v>
      </c>
      <c r="B4866" s="8" t="s">
        <v>6134</v>
      </c>
      <c r="C4866" s="8" t="s">
        <v>21</v>
      </c>
      <c r="K4866" s="8">
        <v>30.0</v>
      </c>
      <c r="N4866" s="7">
        <v>44165.0</v>
      </c>
    </row>
    <row r="4867">
      <c r="A4867" s="8">
        <v>4866.0</v>
      </c>
      <c r="B4867" s="8" t="s">
        <v>6135</v>
      </c>
      <c r="C4867" s="8" t="s">
        <v>21</v>
      </c>
      <c r="K4867" s="8">
        <v>1600.0</v>
      </c>
      <c r="N4867" s="7">
        <v>44950.0</v>
      </c>
    </row>
    <row r="4868">
      <c r="A4868" s="8">
        <v>4867.0</v>
      </c>
      <c r="B4868" s="8" t="s">
        <v>6136</v>
      </c>
      <c r="C4868" s="8" t="s">
        <v>21</v>
      </c>
      <c r="K4868" s="8">
        <v>1600.0</v>
      </c>
      <c r="N4868" s="7">
        <v>44265.0</v>
      </c>
    </row>
    <row r="4869">
      <c r="A4869" s="8">
        <v>4868.0</v>
      </c>
      <c r="B4869" s="8" t="s">
        <v>6137</v>
      </c>
      <c r="C4869" s="8" t="s">
        <v>21</v>
      </c>
      <c r="K4869" s="8">
        <v>80.0</v>
      </c>
      <c r="N4869" s="7">
        <v>44104.0</v>
      </c>
    </row>
    <row r="4870">
      <c r="A4870" s="8">
        <v>4869.0</v>
      </c>
      <c r="B4870" s="8" t="s">
        <v>6138</v>
      </c>
      <c r="C4870" s="8" t="s">
        <v>21</v>
      </c>
      <c r="K4870" s="8">
        <v>1500.0</v>
      </c>
      <c r="N4870" s="7">
        <v>43951.0</v>
      </c>
    </row>
    <row r="4871">
      <c r="A4871" s="8">
        <v>4870.0</v>
      </c>
      <c r="B4871" s="8" t="s">
        <v>6139</v>
      </c>
      <c r="C4871" s="8" t="s">
        <v>21</v>
      </c>
      <c r="K4871" s="8">
        <v>80.0</v>
      </c>
      <c r="N4871" s="7">
        <v>44518.0</v>
      </c>
    </row>
    <row r="4872">
      <c r="A4872" s="8">
        <v>4871.0</v>
      </c>
      <c r="B4872" s="8" t="s">
        <v>6140</v>
      </c>
      <c r="C4872" s="8" t="s">
        <v>21</v>
      </c>
      <c r="N4872" s="7">
        <v>43892.0</v>
      </c>
    </row>
    <row r="4873">
      <c r="A4873" s="8">
        <v>4872.0</v>
      </c>
      <c r="B4873" s="8" t="s">
        <v>6141</v>
      </c>
      <c r="C4873" s="8" t="s">
        <v>21</v>
      </c>
      <c r="K4873" s="8">
        <v>4300.0</v>
      </c>
      <c r="N4873" s="7">
        <v>44638.0</v>
      </c>
    </row>
    <row r="4874">
      <c r="A4874" s="8">
        <v>4873.0</v>
      </c>
      <c r="B4874" s="8" t="s">
        <v>6142</v>
      </c>
      <c r="C4874" s="8" t="s">
        <v>21</v>
      </c>
      <c r="N4874" s="7">
        <v>44300.0</v>
      </c>
    </row>
    <row r="4875">
      <c r="A4875" s="8">
        <v>4874.0</v>
      </c>
      <c r="B4875" s="8" t="s">
        <v>6143</v>
      </c>
      <c r="C4875" s="8" t="s">
        <v>21</v>
      </c>
      <c r="N4875" s="7">
        <v>45031.0</v>
      </c>
    </row>
    <row r="4876">
      <c r="A4876" s="8">
        <v>4875.0</v>
      </c>
      <c r="B4876" s="8" t="s">
        <v>6144</v>
      </c>
      <c r="C4876" s="8" t="s">
        <v>21</v>
      </c>
      <c r="K4876" s="8">
        <v>150.0</v>
      </c>
      <c r="N4876" s="7">
        <v>44209.0</v>
      </c>
    </row>
    <row r="4877">
      <c r="A4877" s="8">
        <v>4876.0</v>
      </c>
      <c r="B4877" s="8" t="s">
        <v>6145</v>
      </c>
      <c r="C4877" s="8" t="s">
        <v>21</v>
      </c>
      <c r="N4877" s="7">
        <v>44517.0</v>
      </c>
    </row>
    <row r="4878">
      <c r="A4878" s="8">
        <v>4877.0</v>
      </c>
      <c r="B4878" s="8" t="s">
        <v>6146</v>
      </c>
      <c r="C4878" s="8" t="s">
        <v>21</v>
      </c>
      <c r="K4878" s="8">
        <v>150.0</v>
      </c>
      <c r="N4878" s="7">
        <v>42321.0</v>
      </c>
    </row>
    <row r="4879">
      <c r="A4879" s="8">
        <v>4878.0</v>
      </c>
      <c r="B4879" s="8" t="s">
        <v>6147</v>
      </c>
      <c r="C4879" s="8" t="s">
        <v>21</v>
      </c>
      <c r="K4879" s="8">
        <v>10.0</v>
      </c>
      <c r="N4879" s="7">
        <v>45049.0</v>
      </c>
    </row>
    <row r="4880">
      <c r="A4880" s="8">
        <v>4879.0</v>
      </c>
      <c r="B4880" s="8" t="s">
        <v>6148</v>
      </c>
      <c r="C4880" s="8" t="s">
        <v>21</v>
      </c>
      <c r="N4880" s="7">
        <v>45326.0</v>
      </c>
    </row>
    <row r="4881">
      <c r="A4881" s="8">
        <v>4880.0</v>
      </c>
      <c r="B4881" s="8" t="s">
        <v>6149</v>
      </c>
      <c r="C4881" s="8" t="s">
        <v>21</v>
      </c>
      <c r="N4881" s="7">
        <v>45039.0</v>
      </c>
    </row>
    <row r="4882">
      <c r="A4882" s="8">
        <v>4881.0</v>
      </c>
      <c r="B4882" s="8" t="s">
        <v>6150</v>
      </c>
      <c r="C4882" s="8" t="s">
        <v>21</v>
      </c>
      <c r="K4882" s="8">
        <v>10.0</v>
      </c>
      <c r="N4882" s="7">
        <v>44362.0</v>
      </c>
    </row>
    <row r="4883">
      <c r="A4883" s="8">
        <v>4882.0</v>
      </c>
      <c r="B4883" s="8" t="s">
        <v>6151</v>
      </c>
      <c r="C4883" s="8" t="s">
        <v>21</v>
      </c>
      <c r="K4883" s="8">
        <v>54000.0</v>
      </c>
      <c r="N4883" s="7">
        <v>44810.0</v>
      </c>
    </row>
    <row r="4884">
      <c r="A4884" s="8">
        <v>4883.0</v>
      </c>
      <c r="B4884" s="8" t="s">
        <v>6152</v>
      </c>
      <c r="C4884" s="8" t="s">
        <v>21</v>
      </c>
      <c r="N4884" s="7">
        <v>44188.0</v>
      </c>
    </row>
    <row r="4885">
      <c r="A4885" s="8">
        <v>4884.0</v>
      </c>
      <c r="B4885" s="8" t="s">
        <v>6153</v>
      </c>
      <c r="C4885" s="8" t="s">
        <v>21</v>
      </c>
      <c r="N4885" s="7">
        <v>44096.0</v>
      </c>
    </row>
    <row r="4886">
      <c r="A4886" s="8">
        <v>4885.0</v>
      </c>
      <c r="B4886" s="8" t="s">
        <v>6154</v>
      </c>
      <c r="C4886" s="8" t="s">
        <v>21</v>
      </c>
      <c r="K4886" s="8">
        <v>1100.0</v>
      </c>
      <c r="N4886" s="7">
        <v>43877.0</v>
      </c>
    </row>
    <row r="4887">
      <c r="A4887" s="8">
        <v>4886.0</v>
      </c>
      <c r="B4887" s="8" t="s">
        <v>6155</v>
      </c>
      <c r="C4887" s="8" t="s">
        <v>21</v>
      </c>
      <c r="K4887" s="8">
        <v>600.0</v>
      </c>
      <c r="N4887" s="7">
        <v>44193.0</v>
      </c>
    </row>
    <row r="4888">
      <c r="A4888" s="8">
        <v>4887.0</v>
      </c>
      <c r="B4888" s="8" t="s">
        <v>6156</v>
      </c>
      <c r="C4888" s="8" t="s">
        <v>21</v>
      </c>
      <c r="K4888" s="8">
        <v>1100.0</v>
      </c>
      <c r="N4888" s="7">
        <v>45236.0</v>
      </c>
    </row>
    <row r="4889">
      <c r="A4889" s="8">
        <v>4888.0</v>
      </c>
      <c r="B4889" s="8" t="s">
        <v>6157</v>
      </c>
      <c r="C4889" s="8" t="s">
        <v>21</v>
      </c>
      <c r="K4889" s="8">
        <v>40.0</v>
      </c>
      <c r="N4889" s="7">
        <v>45402.0</v>
      </c>
    </row>
    <row r="4890">
      <c r="A4890" s="8">
        <v>4889.0</v>
      </c>
      <c r="B4890" s="8" t="s">
        <v>6158</v>
      </c>
      <c r="C4890" s="8" t="s">
        <v>21</v>
      </c>
      <c r="N4890" s="7">
        <v>44312.0</v>
      </c>
    </row>
    <row r="4891">
      <c r="A4891" s="8">
        <v>4890.0</v>
      </c>
      <c r="B4891" s="8" t="s">
        <v>6159</v>
      </c>
      <c r="C4891" s="8" t="s">
        <v>21</v>
      </c>
      <c r="N4891" s="7">
        <v>45299.0</v>
      </c>
    </row>
    <row r="4892">
      <c r="A4892" s="8">
        <v>4891.0</v>
      </c>
      <c r="B4892" s="8" t="s">
        <v>6160</v>
      </c>
      <c r="C4892" s="8" t="s">
        <v>21</v>
      </c>
      <c r="K4892" s="8">
        <v>450.0</v>
      </c>
      <c r="N4892" s="7">
        <v>45043.0</v>
      </c>
    </row>
    <row r="4893">
      <c r="A4893" s="8">
        <v>4892.0</v>
      </c>
      <c r="B4893" s="8" t="s">
        <v>6161</v>
      </c>
      <c r="C4893" s="8" t="s">
        <v>21</v>
      </c>
      <c r="K4893" s="8">
        <v>250.0</v>
      </c>
      <c r="N4893" s="7">
        <v>44401.0</v>
      </c>
    </row>
    <row r="4894">
      <c r="A4894" s="8">
        <v>4893.0</v>
      </c>
      <c r="B4894" s="8" t="s">
        <v>6162</v>
      </c>
      <c r="C4894" s="8" t="s">
        <v>21</v>
      </c>
      <c r="K4894" s="8">
        <v>18000.0</v>
      </c>
      <c r="N4894" s="7">
        <v>42613.0</v>
      </c>
    </row>
    <row r="4895">
      <c r="A4895" s="8">
        <v>4894.0</v>
      </c>
      <c r="B4895" s="8" t="s">
        <v>6163</v>
      </c>
      <c r="C4895" s="8" t="s">
        <v>21</v>
      </c>
      <c r="K4895" s="8">
        <v>6400.0</v>
      </c>
      <c r="N4895" s="7">
        <v>43913.0</v>
      </c>
    </row>
    <row r="4896">
      <c r="A4896" s="8">
        <v>4895.0</v>
      </c>
      <c r="B4896" s="8" t="s">
        <v>6164</v>
      </c>
      <c r="C4896" s="8" t="s">
        <v>21</v>
      </c>
      <c r="K4896" s="8">
        <v>10.0</v>
      </c>
      <c r="N4896" s="7">
        <v>45140.0</v>
      </c>
    </row>
    <row r="4897">
      <c r="A4897" s="8">
        <v>4896.0</v>
      </c>
      <c r="B4897" s="8" t="s">
        <v>6165</v>
      </c>
      <c r="C4897" s="8" t="s">
        <v>21</v>
      </c>
      <c r="K4897" s="8">
        <v>250.0</v>
      </c>
      <c r="N4897" s="7">
        <v>44509.0</v>
      </c>
    </row>
    <row r="4898">
      <c r="A4898" s="8">
        <v>4897.0</v>
      </c>
      <c r="B4898" s="8" t="s">
        <v>6166</v>
      </c>
      <c r="C4898" s="8" t="s">
        <v>21</v>
      </c>
      <c r="K4898" s="8">
        <v>400.0</v>
      </c>
      <c r="N4898" s="7">
        <v>45393.0</v>
      </c>
    </row>
    <row r="4899">
      <c r="A4899" s="8">
        <v>4898.0</v>
      </c>
      <c r="B4899" s="8" t="s">
        <v>6167</v>
      </c>
      <c r="C4899" s="8" t="s">
        <v>21</v>
      </c>
      <c r="K4899" s="8">
        <v>40.0</v>
      </c>
      <c r="N4899" s="7">
        <v>44586.0</v>
      </c>
    </row>
    <row r="4900">
      <c r="A4900" s="8">
        <v>4899.0</v>
      </c>
      <c r="B4900" s="8" t="s">
        <v>6168</v>
      </c>
      <c r="C4900" s="8" t="s">
        <v>21</v>
      </c>
      <c r="K4900" s="8">
        <v>100.0</v>
      </c>
      <c r="N4900" s="7">
        <v>44921.0</v>
      </c>
    </row>
    <row r="4901">
      <c r="A4901" s="8">
        <v>4900.0</v>
      </c>
      <c r="B4901" s="8" t="s">
        <v>6169</v>
      </c>
      <c r="C4901" s="8" t="s">
        <v>21</v>
      </c>
      <c r="D4901" s="8">
        <v>72.0</v>
      </c>
      <c r="H4901" s="8" t="s">
        <v>499</v>
      </c>
      <c r="I4901" s="9">
        <v>46100.593252314815</v>
      </c>
      <c r="K4901" s="8">
        <v>10.0</v>
      </c>
      <c r="L4901" s="8">
        <v>90.0</v>
      </c>
      <c r="M4901" s="8">
        <v>45000.0</v>
      </c>
      <c r="N4901" s="7">
        <v>42756.0</v>
      </c>
      <c r="O4901" s="8" t="s">
        <v>107</v>
      </c>
      <c r="P4901" s="8" t="s">
        <v>28</v>
      </c>
      <c r="S4901" s="8" t="s">
        <v>32</v>
      </c>
    </row>
    <row r="4902">
      <c r="A4902" s="8">
        <v>4901.0</v>
      </c>
      <c r="B4902" s="8" t="s">
        <v>6170</v>
      </c>
      <c r="C4902" s="8" t="s">
        <v>21</v>
      </c>
      <c r="K4902" s="8">
        <v>2500.0</v>
      </c>
      <c r="N4902" s="7">
        <v>43874.0</v>
      </c>
    </row>
    <row r="4903">
      <c r="A4903" s="8">
        <v>4902.0</v>
      </c>
      <c r="B4903" s="8" t="s">
        <v>6171</v>
      </c>
      <c r="C4903" s="8" t="s">
        <v>21</v>
      </c>
      <c r="K4903" s="8">
        <v>10.0</v>
      </c>
      <c r="N4903" s="7">
        <v>44080.0</v>
      </c>
    </row>
    <row r="4904">
      <c r="A4904" s="8">
        <v>4903.0</v>
      </c>
      <c r="B4904" s="8" t="s">
        <v>6172</v>
      </c>
      <c r="C4904" s="8" t="s">
        <v>21</v>
      </c>
      <c r="K4904" s="8">
        <v>3000.0</v>
      </c>
      <c r="N4904" s="7">
        <v>44158.0</v>
      </c>
    </row>
    <row r="4905">
      <c r="A4905" s="8">
        <v>4904.0</v>
      </c>
      <c r="B4905" s="8" t="s">
        <v>6173</v>
      </c>
      <c r="C4905" s="8" t="s">
        <v>21</v>
      </c>
      <c r="N4905" s="7">
        <v>44762.0</v>
      </c>
    </row>
    <row r="4906">
      <c r="A4906" s="8">
        <v>4905.0</v>
      </c>
      <c r="B4906" s="8" t="s">
        <v>6174</v>
      </c>
      <c r="C4906" s="8" t="s">
        <v>21</v>
      </c>
      <c r="K4906" s="8">
        <v>150.0</v>
      </c>
      <c r="N4906" s="7">
        <v>44532.0</v>
      </c>
    </row>
    <row r="4907">
      <c r="A4907" s="8">
        <v>4906.0</v>
      </c>
      <c r="B4907" s="8" t="s">
        <v>6175</v>
      </c>
      <c r="C4907" s="8" t="s">
        <v>21</v>
      </c>
      <c r="K4907" s="8">
        <v>200.0</v>
      </c>
      <c r="N4907" s="7">
        <v>44637.0</v>
      </c>
    </row>
    <row r="4908">
      <c r="A4908" s="8">
        <v>4907.0</v>
      </c>
      <c r="B4908" s="8" t="s">
        <v>6176</v>
      </c>
      <c r="C4908" s="8" t="s">
        <v>21</v>
      </c>
      <c r="K4908" s="8">
        <v>350.0</v>
      </c>
      <c r="N4908" s="7">
        <v>44551.0</v>
      </c>
    </row>
    <row r="4909">
      <c r="A4909" s="8">
        <v>4908.0</v>
      </c>
      <c r="B4909" s="8" t="s">
        <v>6177</v>
      </c>
      <c r="C4909" s="8" t="s">
        <v>21</v>
      </c>
      <c r="K4909" s="8">
        <v>40.0</v>
      </c>
      <c r="N4909" s="7">
        <v>44350.0</v>
      </c>
    </row>
    <row r="4910">
      <c r="A4910" s="8">
        <v>4909.0</v>
      </c>
      <c r="B4910" s="8" t="s">
        <v>6178</v>
      </c>
      <c r="C4910" s="8" t="s">
        <v>21</v>
      </c>
      <c r="K4910" s="8">
        <v>10.0</v>
      </c>
      <c r="N4910" s="7">
        <v>45523.0</v>
      </c>
    </row>
    <row r="4911">
      <c r="A4911" s="8">
        <v>4910.0</v>
      </c>
      <c r="B4911" s="8" t="s">
        <v>6179</v>
      </c>
      <c r="C4911" s="8" t="s">
        <v>21</v>
      </c>
      <c r="N4911" s="7">
        <v>45064.0</v>
      </c>
    </row>
    <row r="4912">
      <c r="A4912" s="8">
        <v>4911.0</v>
      </c>
      <c r="B4912" s="8" t="s">
        <v>6180</v>
      </c>
      <c r="C4912" s="8" t="s">
        <v>21</v>
      </c>
      <c r="K4912" s="8">
        <v>1100.0</v>
      </c>
      <c r="N4912" s="7">
        <v>44478.0</v>
      </c>
    </row>
    <row r="4913">
      <c r="A4913" s="8">
        <v>4912.0</v>
      </c>
      <c r="B4913" s="8" t="s">
        <v>6181</v>
      </c>
      <c r="C4913" s="8" t="s">
        <v>21</v>
      </c>
      <c r="K4913" s="8">
        <v>1300.0</v>
      </c>
      <c r="N4913" s="7">
        <v>43910.0</v>
      </c>
    </row>
    <row r="4914">
      <c r="A4914" s="8">
        <v>4913.0</v>
      </c>
      <c r="B4914" s="8" t="s">
        <v>6182</v>
      </c>
      <c r="C4914" s="8" t="s">
        <v>21</v>
      </c>
      <c r="K4914" s="8">
        <v>20.0</v>
      </c>
      <c r="N4914" s="7">
        <v>44598.0</v>
      </c>
    </row>
    <row r="4915">
      <c r="A4915" s="8">
        <v>4914.0</v>
      </c>
      <c r="B4915" s="8" t="s">
        <v>6183</v>
      </c>
      <c r="C4915" s="8" t="s">
        <v>21</v>
      </c>
      <c r="K4915" s="8">
        <v>200.0</v>
      </c>
      <c r="N4915" s="7">
        <v>45839.0</v>
      </c>
    </row>
    <row r="4916">
      <c r="A4916" s="8">
        <v>4915.0</v>
      </c>
      <c r="B4916" s="8" t="s">
        <v>6184</v>
      </c>
      <c r="C4916" s="8" t="s">
        <v>21</v>
      </c>
      <c r="N4916" s="7">
        <v>43870.0</v>
      </c>
    </row>
    <row r="4917">
      <c r="A4917" s="8">
        <v>4916.0</v>
      </c>
      <c r="B4917" s="8" t="s">
        <v>6185</v>
      </c>
      <c r="C4917" s="8" t="s">
        <v>21</v>
      </c>
      <c r="K4917" s="8">
        <v>80.0</v>
      </c>
      <c r="N4917" s="7">
        <v>44751.0</v>
      </c>
    </row>
    <row r="4918">
      <c r="A4918" s="8">
        <v>4917.0</v>
      </c>
      <c r="B4918" s="8" t="s">
        <v>373</v>
      </c>
      <c r="C4918" s="8" t="s">
        <v>21</v>
      </c>
      <c r="K4918" s="8">
        <v>600.0</v>
      </c>
      <c r="N4918" s="7">
        <v>44431.0</v>
      </c>
    </row>
    <row r="4919">
      <c r="A4919" s="8">
        <v>4918.0</v>
      </c>
      <c r="B4919" s="8" t="s">
        <v>6186</v>
      </c>
      <c r="C4919" s="8" t="s">
        <v>21</v>
      </c>
      <c r="K4919" s="8">
        <v>450.0</v>
      </c>
      <c r="N4919" s="7">
        <v>44138.0</v>
      </c>
    </row>
    <row r="4920">
      <c r="A4920" s="8">
        <v>4919.0</v>
      </c>
      <c r="B4920" s="8" t="s">
        <v>376</v>
      </c>
      <c r="C4920" s="8" t="s">
        <v>21</v>
      </c>
      <c r="K4920" s="8">
        <v>350.0</v>
      </c>
      <c r="N4920" s="7">
        <v>44982.0</v>
      </c>
    </row>
    <row r="4921">
      <c r="A4921" s="8">
        <v>4920.0</v>
      </c>
      <c r="B4921" s="8" t="s">
        <v>6187</v>
      </c>
      <c r="C4921" s="8" t="s">
        <v>21</v>
      </c>
      <c r="K4921" s="8">
        <v>100.0</v>
      </c>
      <c r="N4921" s="7">
        <v>45182.0</v>
      </c>
    </row>
    <row r="4922">
      <c r="A4922" s="8">
        <v>4921.0</v>
      </c>
      <c r="B4922" s="8" t="s">
        <v>6188</v>
      </c>
      <c r="C4922" s="8" t="s">
        <v>21</v>
      </c>
      <c r="K4922" s="8">
        <v>60.0</v>
      </c>
      <c r="N4922" s="7">
        <v>45976.0</v>
      </c>
    </row>
    <row r="4923">
      <c r="A4923" s="8">
        <v>4922.0</v>
      </c>
      <c r="B4923" s="8" t="s">
        <v>6189</v>
      </c>
      <c r="C4923" s="8" t="s">
        <v>21</v>
      </c>
      <c r="K4923" s="8">
        <v>30.0</v>
      </c>
      <c r="N4923" s="7">
        <v>44581.0</v>
      </c>
    </row>
    <row r="4924">
      <c r="A4924" s="8">
        <v>4923.0</v>
      </c>
      <c r="B4924" s="8" t="s">
        <v>6190</v>
      </c>
      <c r="C4924" s="8" t="s">
        <v>21</v>
      </c>
      <c r="K4924" s="8">
        <v>43000.0</v>
      </c>
      <c r="N4924" s="7">
        <v>42384.0</v>
      </c>
    </row>
    <row r="4925">
      <c r="A4925" s="8">
        <v>4924.0</v>
      </c>
      <c r="B4925" s="8" t="s">
        <v>6191</v>
      </c>
      <c r="C4925" s="8" t="s">
        <v>21</v>
      </c>
      <c r="K4925" s="8">
        <v>30.0</v>
      </c>
      <c r="N4925" s="7">
        <v>44133.0</v>
      </c>
    </row>
    <row r="4926">
      <c r="A4926" s="8">
        <v>4925.0</v>
      </c>
      <c r="B4926" s="8" t="s">
        <v>6192</v>
      </c>
      <c r="C4926" s="8" t="s">
        <v>21</v>
      </c>
      <c r="N4926" s="7">
        <v>44183.0</v>
      </c>
    </row>
    <row r="4927">
      <c r="A4927" s="8">
        <v>4926.0</v>
      </c>
      <c r="B4927" s="8" t="s">
        <v>6193</v>
      </c>
      <c r="C4927" s="8" t="s">
        <v>21</v>
      </c>
      <c r="K4927" s="8">
        <v>60.0</v>
      </c>
      <c r="N4927" s="7">
        <v>44743.0</v>
      </c>
    </row>
    <row r="4928">
      <c r="A4928" s="8">
        <v>4927.0</v>
      </c>
      <c r="B4928" s="8" t="s">
        <v>6194</v>
      </c>
      <c r="C4928" s="8" t="s">
        <v>21</v>
      </c>
      <c r="K4928" s="8">
        <v>150.0</v>
      </c>
      <c r="N4928" s="7">
        <v>45025.0</v>
      </c>
    </row>
    <row r="4929">
      <c r="A4929" s="8">
        <v>4928.0</v>
      </c>
      <c r="B4929" s="8" t="s">
        <v>6195</v>
      </c>
      <c r="C4929" s="8" t="s">
        <v>21</v>
      </c>
      <c r="K4929" s="8">
        <v>4000.0</v>
      </c>
      <c r="N4929" s="7">
        <v>43931.0</v>
      </c>
    </row>
    <row r="4930">
      <c r="A4930" s="8">
        <v>4929.0</v>
      </c>
      <c r="B4930" s="8" t="s">
        <v>6196</v>
      </c>
      <c r="C4930" s="8" t="s">
        <v>21</v>
      </c>
      <c r="K4930" s="8">
        <v>60.0</v>
      </c>
      <c r="N4930" s="7">
        <v>44528.0</v>
      </c>
    </row>
    <row r="4931">
      <c r="A4931" s="8">
        <v>4930.0</v>
      </c>
      <c r="B4931" s="8" t="s">
        <v>6197</v>
      </c>
      <c r="C4931" s="8" t="s">
        <v>21</v>
      </c>
      <c r="K4931" s="8">
        <v>80.0</v>
      </c>
      <c r="N4931" s="7">
        <v>45151.0</v>
      </c>
    </row>
    <row r="4932">
      <c r="A4932" s="8">
        <v>4931.0</v>
      </c>
      <c r="B4932" s="8" t="s">
        <v>6198</v>
      </c>
      <c r="C4932" s="8" t="s">
        <v>21</v>
      </c>
      <c r="K4932" s="8">
        <v>1500.0</v>
      </c>
      <c r="N4932" s="7">
        <v>44847.0</v>
      </c>
    </row>
    <row r="4933">
      <c r="A4933" s="8">
        <v>4932.0</v>
      </c>
      <c r="B4933" s="8" t="s">
        <v>6199</v>
      </c>
      <c r="C4933" s="8" t="s">
        <v>21</v>
      </c>
      <c r="N4933" s="7">
        <v>44201.0</v>
      </c>
    </row>
    <row r="4934">
      <c r="A4934" s="8">
        <v>4933.0</v>
      </c>
      <c r="B4934" s="8" t="s">
        <v>6200</v>
      </c>
      <c r="C4934" s="8" t="s">
        <v>21</v>
      </c>
      <c r="K4934" s="8">
        <v>300.0</v>
      </c>
      <c r="N4934" s="7">
        <v>44555.0</v>
      </c>
    </row>
    <row r="4935">
      <c r="A4935" s="8">
        <v>4934.0</v>
      </c>
      <c r="B4935" s="8" t="s">
        <v>6201</v>
      </c>
      <c r="C4935" s="8" t="s">
        <v>21</v>
      </c>
      <c r="K4935" s="8">
        <v>40.0</v>
      </c>
      <c r="N4935" s="7">
        <v>44236.0</v>
      </c>
    </row>
    <row r="4936">
      <c r="A4936" s="8">
        <v>4935.0</v>
      </c>
      <c r="B4936" s="8" t="s">
        <v>6202</v>
      </c>
      <c r="C4936" s="8" t="s">
        <v>21</v>
      </c>
      <c r="K4936" s="8">
        <v>40.0</v>
      </c>
      <c r="N4936" s="7">
        <v>44765.0</v>
      </c>
    </row>
    <row r="4937">
      <c r="A4937" s="8">
        <v>4936.0</v>
      </c>
      <c r="B4937" s="8" t="s">
        <v>6203</v>
      </c>
      <c r="C4937" s="8" t="s">
        <v>21</v>
      </c>
      <c r="K4937" s="8">
        <v>250.0</v>
      </c>
      <c r="N4937" s="7">
        <v>44251.0</v>
      </c>
    </row>
    <row r="4938">
      <c r="A4938" s="8">
        <v>4937.0</v>
      </c>
      <c r="B4938" s="8" t="s">
        <v>6204</v>
      </c>
      <c r="C4938" s="8" t="s">
        <v>21</v>
      </c>
      <c r="K4938" s="8">
        <v>13000.0</v>
      </c>
      <c r="N4938" s="7">
        <v>43472.0</v>
      </c>
    </row>
    <row r="4939">
      <c r="A4939" s="8">
        <v>4938.0</v>
      </c>
      <c r="B4939" s="8" t="s">
        <v>6205</v>
      </c>
      <c r="C4939" s="8" t="s">
        <v>21</v>
      </c>
      <c r="K4939" s="8">
        <v>100.0</v>
      </c>
      <c r="N4939" s="7">
        <v>44582.0</v>
      </c>
    </row>
    <row r="4940">
      <c r="A4940" s="8">
        <v>4939.0</v>
      </c>
      <c r="B4940" s="8" t="s">
        <v>6206</v>
      </c>
      <c r="C4940" s="8" t="s">
        <v>21</v>
      </c>
      <c r="K4940" s="8">
        <v>60.0</v>
      </c>
      <c r="N4940" s="7">
        <v>44771.0</v>
      </c>
    </row>
    <row r="4941">
      <c r="A4941" s="8">
        <v>4940.0</v>
      </c>
      <c r="B4941" s="8" t="s">
        <v>6207</v>
      </c>
      <c r="C4941" s="8" t="s">
        <v>21</v>
      </c>
      <c r="K4941" s="8">
        <v>200.0</v>
      </c>
      <c r="N4941" s="7">
        <v>44770.0</v>
      </c>
    </row>
    <row r="4942">
      <c r="A4942" s="8">
        <v>4941.0</v>
      </c>
      <c r="B4942" s="8" t="s">
        <v>6208</v>
      </c>
      <c r="C4942" s="8" t="s">
        <v>21</v>
      </c>
      <c r="K4942" s="8">
        <v>40.0</v>
      </c>
      <c r="N4942" s="7">
        <v>44563.0</v>
      </c>
    </row>
    <row r="4943">
      <c r="A4943" s="8">
        <v>4942.0</v>
      </c>
      <c r="B4943" s="8" t="s">
        <v>6209</v>
      </c>
      <c r="C4943" s="8" t="s">
        <v>21</v>
      </c>
      <c r="K4943" s="8">
        <v>7700.0</v>
      </c>
      <c r="N4943" s="7">
        <v>44935.0</v>
      </c>
    </row>
    <row r="4944">
      <c r="A4944" s="8">
        <v>4943.0</v>
      </c>
      <c r="B4944" s="8" t="s">
        <v>6210</v>
      </c>
      <c r="C4944" s="8" t="s">
        <v>21</v>
      </c>
      <c r="K4944" s="8">
        <v>200.0</v>
      </c>
      <c r="N4944" s="7">
        <v>44642.0</v>
      </c>
    </row>
    <row r="4945">
      <c r="A4945" s="8">
        <v>4944.0</v>
      </c>
      <c r="B4945" s="8" t="s">
        <v>6211</v>
      </c>
      <c r="C4945" s="8" t="s">
        <v>21</v>
      </c>
      <c r="N4945" s="7">
        <v>44127.0</v>
      </c>
    </row>
    <row r="4946">
      <c r="A4946" s="8">
        <v>4945.0</v>
      </c>
      <c r="B4946" s="8" t="s">
        <v>6212</v>
      </c>
      <c r="C4946" s="8" t="s">
        <v>21</v>
      </c>
      <c r="K4946" s="8">
        <v>500.0</v>
      </c>
      <c r="N4946" s="7">
        <v>44388.0</v>
      </c>
    </row>
    <row r="4947">
      <c r="A4947" s="8">
        <v>4946.0</v>
      </c>
      <c r="B4947" s="8" t="s">
        <v>6213</v>
      </c>
      <c r="C4947" s="8" t="s">
        <v>21</v>
      </c>
      <c r="K4947" s="8">
        <v>10.0</v>
      </c>
      <c r="N4947" s="7">
        <v>44949.0</v>
      </c>
    </row>
    <row r="4948">
      <c r="A4948" s="8">
        <v>4947.0</v>
      </c>
      <c r="B4948" s="8" t="s">
        <v>6214</v>
      </c>
      <c r="C4948" s="8" t="s">
        <v>21</v>
      </c>
      <c r="K4948" s="8">
        <v>30.0</v>
      </c>
      <c r="N4948" s="7">
        <v>45320.0</v>
      </c>
    </row>
    <row r="4949">
      <c r="A4949" s="8">
        <v>4948.0</v>
      </c>
      <c r="B4949" s="8" t="s">
        <v>6215</v>
      </c>
      <c r="C4949" s="8" t="s">
        <v>21</v>
      </c>
      <c r="K4949" s="8">
        <v>150.0</v>
      </c>
      <c r="N4949" s="7">
        <v>44137.0</v>
      </c>
    </row>
    <row r="4950">
      <c r="A4950" s="8">
        <v>4949.0</v>
      </c>
      <c r="B4950" s="8" t="s">
        <v>6216</v>
      </c>
      <c r="C4950" s="8" t="s">
        <v>21</v>
      </c>
      <c r="K4950" s="8">
        <v>100.0</v>
      </c>
      <c r="N4950" s="7">
        <v>45128.0</v>
      </c>
    </row>
    <row r="4951">
      <c r="A4951" s="8">
        <v>4950.0</v>
      </c>
      <c r="B4951" s="8" t="s">
        <v>6217</v>
      </c>
      <c r="C4951" s="8" t="s">
        <v>21</v>
      </c>
      <c r="K4951" s="8">
        <v>10.0</v>
      </c>
      <c r="N4951" s="7">
        <v>44423.0</v>
      </c>
    </row>
    <row r="4952">
      <c r="A4952" s="8">
        <v>4951.0</v>
      </c>
      <c r="B4952" s="8" t="s">
        <v>6218</v>
      </c>
      <c r="C4952" s="8" t="s">
        <v>21</v>
      </c>
      <c r="K4952" s="8">
        <v>2400.0</v>
      </c>
      <c r="N4952" s="7">
        <v>44496.0</v>
      </c>
    </row>
    <row r="4953">
      <c r="A4953" s="8">
        <v>4952.0</v>
      </c>
      <c r="B4953" s="8" t="s">
        <v>6219</v>
      </c>
      <c r="C4953" s="8" t="s">
        <v>21</v>
      </c>
      <c r="K4953" s="8">
        <v>700.0</v>
      </c>
      <c r="N4953" s="7">
        <v>45032.0</v>
      </c>
    </row>
    <row r="4954">
      <c r="A4954" s="8">
        <v>4953.0</v>
      </c>
      <c r="B4954" s="8" t="s">
        <v>6220</v>
      </c>
      <c r="C4954" s="8" t="s">
        <v>21</v>
      </c>
      <c r="N4954" s="7">
        <v>44575.0</v>
      </c>
    </row>
    <row r="4955">
      <c r="A4955" s="8">
        <v>4954.0</v>
      </c>
      <c r="B4955" s="8" t="s">
        <v>6221</v>
      </c>
      <c r="C4955" s="8" t="s">
        <v>21</v>
      </c>
      <c r="K4955" s="8">
        <v>150.0</v>
      </c>
      <c r="N4955" s="7">
        <v>43902.0</v>
      </c>
    </row>
    <row r="4956">
      <c r="A4956" s="8">
        <v>4955.0</v>
      </c>
      <c r="B4956" s="8" t="s">
        <v>6222</v>
      </c>
      <c r="C4956" s="8" t="s">
        <v>21</v>
      </c>
      <c r="K4956" s="8">
        <v>70.0</v>
      </c>
      <c r="N4956" s="7">
        <v>44713.0</v>
      </c>
    </row>
    <row r="4957">
      <c r="A4957" s="8">
        <v>4956.0</v>
      </c>
      <c r="B4957" s="8" t="s">
        <v>6223</v>
      </c>
      <c r="C4957" s="8" t="s">
        <v>21</v>
      </c>
      <c r="K4957" s="8">
        <v>150.0</v>
      </c>
      <c r="N4957" s="7">
        <v>44128.0</v>
      </c>
    </row>
    <row r="4958">
      <c r="A4958" s="8">
        <v>4957.0</v>
      </c>
      <c r="B4958" s="8" t="s">
        <v>6224</v>
      </c>
      <c r="C4958" s="8" t="s">
        <v>21</v>
      </c>
      <c r="K4958" s="8">
        <v>200.0</v>
      </c>
      <c r="N4958" s="7">
        <v>44704.0</v>
      </c>
    </row>
    <row r="4959">
      <c r="A4959" s="8">
        <v>4958.0</v>
      </c>
      <c r="B4959" s="8" t="s">
        <v>6225</v>
      </c>
      <c r="C4959" s="8" t="s">
        <v>21</v>
      </c>
      <c r="K4959" s="8">
        <v>80.0</v>
      </c>
      <c r="N4959" s="7">
        <v>43473.0</v>
      </c>
    </row>
    <row r="4960">
      <c r="A4960" s="8">
        <v>4959.0</v>
      </c>
      <c r="B4960" s="8" t="s">
        <v>6226</v>
      </c>
      <c r="C4960" s="8" t="s">
        <v>21</v>
      </c>
      <c r="K4960" s="8">
        <v>60.0</v>
      </c>
      <c r="N4960" s="7">
        <v>44620.0</v>
      </c>
    </row>
    <row r="4961">
      <c r="A4961" s="8">
        <v>4960.0</v>
      </c>
      <c r="B4961" s="8" t="s">
        <v>6227</v>
      </c>
      <c r="C4961" s="8" t="s">
        <v>21</v>
      </c>
      <c r="N4961" s="7">
        <v>43993.0</v>
      </c>
    </row>
    <row r="4962">
      <c r="A4962" s="8">
        <v>4961.0</v>
      </c>
      <c r="B4962" s="8" t="s">
        <v>6228</v>
      </c>
      <c r="C4962" s="8" t="s">
        <v>21</v>
      </c>
      <c r="K4962" s="8">
        <v>30.0</v>
      </c>
      <c r="N4962" s="7">
        <v>44567.0</v>
      </c>
    </row>
    <row r="4963">
      <c r="A4963" s="8">
        <v>4962.0</v>
      </c>
      <c r="B4963" s="8" t="s">
        <v>6229</v>
      </c>
      <c r="C4963" s="8" t="s">
        <v>21</v>
      </c>
      <c r="K4963" s="8">
        <v>100.0</v>
      </c>
      <c r="N4963" s="7">
        <v>44262.0</v>
      </c>
    </row>
    <row r="4964">
      <c r="A4964" s="8">
        <v>4963.0</v>
      </c>
      <c r="B4964" s="8" t="s">
        <v>6230</v>
      </c>
      <c r="C4964" s="8" t="s">
        <v>21</v>
      </c>
      <c r="K4964" s="8">
        <v>30.0</v>
      </c>
      <c r="N4964" s="7">
        <v>45154.0</v>
      </c>
    </row>
    <row r="4965">
      <c r="A4965" s="8">
        <v>4964.0</v>
      </c>
      <c r="B4965" s="8" t="s">
        <v>6231</v>
      </c>
      <c r="C4965" s="8" t="s">
        <v>21</v>
      </c>
      <c r="K4965" s="8">
        <v>30.0</v>
      </c>
      <c r="N4965" s="7">
        <v>45146.0</v>
      </c>
    </row>
    <row r="4966">
      <c r="A4966" s="8">
        <v>4965.0</v>
      </c>
      <c r="B4966" s="8" t="s">
        <v>6232</v>
      </c>
      <c r="C4966" s="8" t="s">
        <v>21</v>
      </c>
      <c r="N4966" s="7">
        <v>44950.0</v>
      </c>
    </row>
    <row r="4967">
      <c r="A4967" s="8">
        <v>4966.0</v>
      </c>
      <c r="B4967" s="8" t="s">
        <v>6233</v>
      </c>
      <c r="C4967" s="8" t="s">
        <v>21</v>
      </c>
      <c r="N4967" s="7">
        <v>42430.0</v>
      </c>
      <c r="O4967" s="8" t="s">
        <v>26</v>
      </c>
      <c r="P4967" s="8" t="s">
        <v>28</v>
      </c>
      <c r="S4967" s="8" t="s">
        <v>32</v>
      </c>
    </row>
    <row r="4968">
      <c r="A4968" s="8">
        <v>4967.0</v>
      </c>
      <c r="B4968" s="8" t="s">
        <v>6234</v>
      </c>
      <c r="C4968" s="8" t="s">
        <v>21</v>
      </c>
      <c r="K4968" s="8">
        <v>300.0</v>
      </c>
      <c r="N4968" s="7">
        <v>45028.0</v>
      </c>
    </row>
    <row r="4969">
      <c r="A4969" s="8">
        <v>4968.0</v>
      </c>
      <c r="B4969" s="8" t="s">
        <v>6235</v>
      </c>
      <c r="C4969" s="8" t="s">
        <v>21</v>
      </c>
      <c r="K4969" s="8">
        <v>1100.0</v>
      </c>
      <c r="N4969" s="7">
        <v>44285.0</v>
      </c>
    </row>
    <row r="4970">
      <c r="A4970" s="8">
        <v>4969.0</v>
      </c>
      <c r="B4970" s="8" t="s">
        <v>6236</v>
      </c>
      <c r="C4970" s="8" t="s">
        <v>21</v>
      </c>
      <c r="K4970" s="8">
        <v>200.0</v>
      </c>
      <c r="N4970" s="7">
        <v>44488.0</v>
      </c>
    </row>
    <row r="4971">
      <c r="A4971" s="8">
        <v>4970.0</v>
      </c>
      <c r="B4971" s="8" t="s">
        <v>6237</v>
      </c>
      <c r="C4971" s="8" t="s">
        <v>21</v>
      </c>
      <c r="K4971" s="8">
        <v>150.0</v>
      </c>
      <c r="N4971" s="7">
        <v>44722.0</v>
      </c>
    </row>
    <row r="4972">
      <c r="A4972" s="8">
        <v>4971.0</v>
      </c>
      <c r="B4972" s="8" t="s">
        <v>6238</v>
      </c>
      <c r="C4972" s="8" t="s">
        <v>21</v>
      </c>
      <c r="K4972" s="8">
        <v>450.0</v>
      </c>
      <c r="N4972" s="7">
        <v>44486.0</v>
      </c>
    </row>
    <row r="4973">
      <c r="A4973" s="8">
        <v>4972.0</v>
      </c>
      <c r="B4973" s="8" t="s">
        <v>6239</v>
      </c>
      <c r="C4973" s="8" t="s">
        <v>21</v>
      </c>
      <c r="N4973" s="7">
        <v>45596.0</v>
      </c>
    </row>
    <row r="4974">
      <c r="A4974" s="8">
        <v>4973.0</v>
      </c>
      <c r="B4974" s="8" t="s">
        <v>6240</v>
      </c>
      <c r="C4974" s="8" t="s">
        <v>21</v>
      </c>
      <c r="K4974" s="8">
        <v>2100.0</v>
      </c>
      <c r="N4974" s="7">
        <v>43882.0</v>
      </c>
    </row>
    <row r="4975">
      <c r="A4975" s="8">
        <v>4974.0</v>
      </c>
      <c r="B4975" s="8" t="s">
        <v>6241</v>
      </c>
      <c r="C4975" s="8" t="s">
        <v>21</v>
      </c>
      <c r="K4975" s="8">
        <v>10.0</v>
      </c>
      <c r="N4975" s="7">
        <v>45109.0</v>
      </c>
    </row>
    <row r="4976">
      <c r="A4976" s="8">
        <v>4975.0</v>
      </c>
      <c r="B4976" s="8" t="s">
        <v>6242</v>
      </c>
      <c r="C4976" s="8" t="s">
        <v>21</v>
      </c>
      <c r="K4976" s="8">
        <v>1800.0</v>
      </c>
      <c r="N4976" s="7">
        <v>44266.0</v>
      </c>
    </row>
    <row r="4977">
      <c r="A4977" s="8">
        <v>4976.0</v>
      </c>
      <c r="B4977" s="8" t="s">
        <v>6243</v>
      </c>
      <c r="C4977" s="8" t="s">
        <v>21</v>
      </c>
      <c r="K4977" s="8">
        <v>250.0</v>
      </c>
      <c r="N4977" s="7">
        <v>44726.0</v>
      </c>
    </row>
    <row r="4978">
      <c r="A4978" s="8">
        <v>4977.0</v>
      </c>
      <c r="B4978" s="8" t="s">
        <v>6244</v>
      </c>
      <c r="C4978" s="8" t="s">
        <v>21</v>
      </c>
      <c r="K4978" s="8">
        <v>350.0</v>
      </c>
      <c r="N4978" s="7">
        <v>44353.0</v>
      </c>
    </row>
    <row r="4979">
      <c r="A4979" s="8">
        <v>4978.0</v>
      </c>
      <c r="B4979" s="8" t="s">
        <v>6245</v>
      </c>
      <c r="C4979" s="8" t="s">
        <v>21</v>
      </c>
      <c r="K4979" s="8">
        <v>60.0</v>
      </c>
      <c r="N4979" s="7">
        <v>44682.0</v>
      </c>
    </row>
    <row r="4980">
      <c r="A4980" s="8">
        <v>4979.0</v>
      </c>
      <c r="B4980" s="8" t="s">
        <v>379</v>
      </c>
      <c r="C4980" s="8" t="s">
        <v>21</v>
      </c>
      <c r="N4980" s="7">
        <v>42597.0</v>
      </c>
    </row>
    <row r="4981">
      <c r="A4981" s="8">
        <v>4980.0</v>
      </c>
      <c r="B4981" s="8" t="s">
        <v>6246</v>
      </c>
      <c r="C4981" s="8" t="s">
        <v>21</v>
      </c>
      <c r="K4981" s="8">
        <v>30.0</v>
      </c>
      <c r="N4981" s="7">
        <v>45360.0</v>
      </c>
    </row>
    <row r="4982">
      <c r="A4982" s="8">
        <v>4981.0</v>
      </c>
      <c r="B4982" s="8" t="s">
        <v>239</v>
      </c>
      <c r="C4982" s="8" t="s">
        <v>21</v>
      </c>
      <c r="K4982" s="8">
        <v>1300.0</v>
      </c>
      <c r="N4982" s="7">
        <v>44986.0</v>
      </c>
    </row>
    <row r="4983">
      <c r="A4983" s="8">
        <v>4982.0</v>
      </c>
      <c r="B4983" s="8" t="s">
        <v>6247</v>
      </c>
      <c r="C4983" s="8" t="s">
        <v>21</v>
      </c>
      <c r="K4983" s="8">
        <v>100.0</v>
      </c>
      <c r="N4983" s="7">
        <v>44558.0</v>
      </c>
    </row>
    <row r="4984">
      <c r="A4984" s="8">
        <v>4983.0</v>
      </c>
      <c r="B4984" s="8" t="s">
        <v>6248</v>
      </c>
      <c r="C4984" s="8" t="s">
        <v>21</v>
      </c>
      <c r="K4984" s="8">
        <v>40.0</v>
      </c>
      <c r="N4984" s="7">
        <v>45225.0</v>
      </c>
    </row>
    <row r="4985">
      <c r="A4985" s="8">
        <v>4984.0</v>
      </c>
      <c r="B4985" s="8" t="s">
        <v>6249</v>
      </c>
      <c r="C4985" s="8" t="s">
        <v>21</v>
      </c>
      <c r="K4985" s="8">
        <v>100.0</v>
      </c>
      <c r="N4985" s="7">
        <v>44167.0</v>
      </c>
    </row>
    <row r="4986">
      <c r="A4986" s="8">
        <v>4985.0</v>
      </c>
      <c r="B4986" s="8" t="s">
        <v>6250</v>
      </c>
      <c r="C4986" s="8" t="s">
        <v>21</v>
      </c>
      <c r="N4986" s="7">
        <v>44266.0</v>
      </c>
    </row>
    <row r="4987">
      <c r="A4987" s="8">
        <v>4986.0</v>
      </c>
      <c r="B4987" s="8" t="s">
        <v>6251</v>
      </c>
      <c r="C4987" s="8" t="s">
        <v>21</v>
      </c>
      <c r="K4987" s="8">
        <v>450.0</v>
      </c>
      <c r="N4987" s="7">
        <v>44076.0</v>
      </c>
    </row>
    <row r="4988">
      <c r="A4988" s="8">
        <v>4987.0</v>
      </c>
      <c r="B4988" s="8" t="s">
        <v>6252</v>
      </c>
      <c r="C4988" s="8" t="s">
        <v>21</v>
      </c>
      <c r="K4988" s="8">
        <v>800.0</v>
      </c>
      <c r="N4988" s="7">
        <v>43011.0</v>
      </c>
    </row>
    <row r="4989">
      <c r="A4989" s="8">
        <v>4988.0</v>
      </c>
      <c r="B4989" s="8" t="s">
        <v>6253</v>
      </c>
      <c r="C4989" s="8" t="s">
        <v>21</v>
      </c>
      <c r="K4989" s="8">
        <v>20.0</v>
      </c>
      <c r="N4989" s="7">
        <v>44185.0</v>
      </c>
    </row>
    <row r="4990">
      <c r="A4990" s="8">
        <v>4989.0</v>
      </c>
      <c r="B4990" s="8" t="s">
        <v>6254</v>
      </c>
      <c r="C4990" s="8" t="s">
        <v>21</v>
      </c>
      <c r="K4990" s="8">
        <v>10.0</v>
      </c>
      <c r="N4990" s="7">
        <v>44972.0</v>
      </c>
    </row>
    <row r="4991">
      <c r="A4991" s="8">
        <v>4990.0</v>
      </c>
      <c r="B4991" s="8" t="s">
        <v>6255</v>
      </c>
      <c r="C4991" s="8" t="s">
        <v>21</v>
      </c>
      <c r="K4991" s="8">
        <v>50.0</v>
      </c>
      <c r="N4991" s="7">
        <v>44024.0</v>
      </c>
    </row>
    <row r="4992">
      <c r="A4992" s="8">
        <v>4991.0</v>
      </c>
      <c r="B4992" s="8" t="s">
        <v>242</v>
      </c>
      <c r="C4992" s="8" t="s">
        <v>21</v>
      </c>
      <c r="N4992" s="7">
        <v>43622.0</v>
      </c>
    </row>
    <row r="4993">
      <c r="A4993" s="8">
        <v>4992.0</v>
      </c>
      <c r="B4993" s="8" t="s">
        <v>6256</v>
      </c>
      <c r="C4993" s="8" t="s">
        <v>21</v>
      </c>
      <c r="N4993" s="7">
        <v>44566.0</v>
      </c>
    </row>
    <row r="4994">
      <c r="A4994" s="8">
        <v>4993.0</v>
      </c>
      <c r="B4994" s="8" t="s">
        <v>6257</v>
      </c>
      <c r="C4994" s="8" t="s">
        <v>21</v>
      </c>
      <c r="N4994" s="7">
        <v>44612.0</v>
      </c>
    </row>
    <row r="4995">
      <c r="A4995" s="8">
        <v>4994.0</v>
      </c>
      <c r="B4995" s="8" t="s">
        <v>6258</v>
      </c>
      <c r="C4995" s="8" t="s">
        <v>21</v>
      </c>
      <c r="K4995" s="8">
        <v>300.0</v>
      </c>
      <c r="N4995" s="7">
        <v>45078.0</v>
      </c>
    </row>
    <row r="4996">
      <c r="A4996" s="8">
        <v>4995.0</v>
      </c>
      <c r="B4996" s="8" t="s">
        <v>6259</v>
      </c>
      <c r="C4996" s="8" t="s">
        <v>21</v>
      </c>
      <c r="K4996" s="8">
        <v>400.0</v>
      </c>
      <c r="N4996" s="7">
        <v>44419.0</v>
      </c>
    </row>
    <row r="4997">
      <c r="A4997" s="8">
        <v>4996.0</v>
      </c>
      <c r="B4997" s="8" t="s">
        <v>381</v>
      </c>
      <c r="C4997" s="8" t="s">
        <v>21</v>
      </c>
      <c r="K4997" s="8">
        <v>250.0</v>
      </c>
      <c r="N4997" s="7">
        <v>44196.0</v>
      </c>
    </row>
    <row r="4998">
      <c r="A4998" s="8">
        <v>4997.0</v>
      </c>
      <c r="B4998" s="8" t="s">
        <v>6260</v>
      </c>
      <c r="C4998" s="8" t="s">
        <v>21</v>
      </c>
      <c r="K4998" s="8">
        <v>900.0</v>
      </c>
      <c r="N4998" s="7">
        <v>44199.0</v>
      </c>
    </row>
    <row r="4999">
      <c r="A4999" s="8">
        <v>4998.0</v>
      </c>
      <c r="B4999" s="8" t="s">
        <v>6261</v>
      </c>
      <c r="C4999" s="8" t="s">
        <v>21</v>
      </c>
      <c r="K4999" s="8">
        <v>4000.0</v>
      </c>
      <c r="N4999" s="7">
        <v>44352.0</v>
      </c>
    </row>
    <row r="5000">
      <c r="A5000" s="8">
        <v>4999.0</v>
      </c>
      <c r="B5000" s="8" t="s">
        <v>6262</v>
      </c>
      <c r="C5000" s="8" t="s">
        <v>21</v>
      </c>
      <c r="K5000" s="8">
        <v>20.0</v>
      </c>
      <c r="N5000" s="7">
        <v>45007.0</v>
      </c>
    </row>
    <row r="5001">
      <c r="A5001" s="8">
        <v>5000.0</v>
      </c>
      <c r="B5001" s="8" t="s">
        <v>384</v>
      </c>
      <c r="C5001" s="8" t="s">
        <v>21</v>
      </c>
      <c r="K5001" s="8">
        <v>700.0</v>
      </c>
      <c r="N5001" s="7">
        <v>44245.0</v>
      </c>
    </row>
    <row r="5002">
      <c r="A5002" s="8">
        <v>5001.0</v>
      </c>
      <c r="B5002" s="8" t="s">
        <v>6263</v>
      </c>
      <c r="C5002" s="8" t="s">
        <v>21</v>
      </c>
      <c r="K5002" s="8">
        <v>40.0</v>
      </c>
      <c r="N5002" s="7">
        <v>44187.0</v>
      </c>
    </row>
    <row r="5003">
      <c r="A5003" s="8">
        <v>5002.0</v>
      </c>
      <c r="B5003" s="8" t="s">
        <v>6264</v>
      </c>
      <c r="C5003" s="8" t="s">
        <v>21</v>
      </c>
      <c r="K5003" s="8">
        <v>150.0</v>
      </c>
      <c r="N5003" s="7">
        <v>43944.0</v>
      </c>
    </row>
    <row r="5004">
      <c r="A5004" s="8">
        <v>5003.0</v>
      </c>
      <c r="B5004" s="8" t="s">
        <v>6265</v>
      </c>
      <c r="C5004" s="8" t="s">
        <v>21</v>
      </c>
      <c r="K5004" s="8">
        <v>14000.0</v>
      </c>
      <c r="N5004" s="7">
        <v>45431.0</v>
      </c>
    </row>
    <row r="5005">
      <c r="A5005" s="8">
        <v>5004.0</v>
      </c>
      <c r="B5005" s="8" t="s">
        <v>6266</v>
      </c>
      <c r="C5005" s="8" t="s">
        <v>21</v>
      </c>
      <c r="K5005" s="8">
        <v>900.0</v>
      </c>
      <c r="N5005" s="7">
        <v>44363.0</v>
      </c>
    </row>
    <row r="5006">
      <c r="A5006" s="8">
        <v>5005.0</v>
      </c>
      <c r="B5006" s="8" t="s">
        <v>6267</v>
      </c>
      <c r="C5006" s="8" t="s">
        <v>21</v>
      </c>
      <c r="K5006" s="8">
        <v>6900.0</v>
      </c>
      <c r="N5006" s="7">
        <v>44626.0</v>
      </c>
    </row>
    <row r="5007">
      <c r="A5007" s="8">
        <v>5006.0</v>
      </c>
      <c r="B5007" s="8" t="s">
        <v>6268</v>
      </c>
      <c r="C5007" s="8" t="s">
        <v>21</v>
      </c>
      <c r="K5007" s="8">
        <v>700.0</v>
      </c>
      <c r="N5007" s="7">
        <v>45059.0</v>
      </c>
    </row>
    <row r="5008">
      <c r="A5008" s="8">
        <v>5007.0</v>
      </c>
      <c r="B5008" s="8" t="s">
        <v>6269</v>
      </c>
      <c r="C5008" s="8" t="s">
        <v>21</v>
      </c>
      <c r="K5008" s="8">
        <v>10.0</v>
      </c>
      <c r="N5008" s="7">
        <v>44165.0</v>
      </c>
    </row>
    <row r="5009">
      <c r="A5009" s="8">
        <v>5008.0</v>
      </c>
      <c r="B5009" s="8" t="s">
        <v>6270</v>
      </c>
      <c r="C5009" s="8" t="s">
        <v>21</v>
      </c>
      <c r="N5009" s="7">
        <v>45513.0</v>
      </c>
    </row>
    <row r="5010">
      <c r="A5010" s="8">
        <v>5009.0</v>
      </c>
      <c r="B5010" s="8" t="s">
        <v>6271</v>
      </c>
      <c r="C5010" s="8" t="s">
        <v>21</v>
      </c>
      <c r="K5010" s="8">
        <v>250.0</v>
      </c>
      <c r="N5010" s="7">
        <v>44682.0</v>
      </c>
    </row>
    <row r="5011">
      <c r="A5011" s="8">
        <v>5010.0</v>
      </c>
      <c r="B5011" s="8" t="s">
        <v>6272</v>
      </c>
      <c r="C5011" s="8" t="s">
        <v>21</v>
      </c>
      <c r="K5011" s="8">
        <v>100.0</v>
      </c>
      <c r="N5011" s="7">
        <v>44540.0</v>
      </c>
    </row>
    <row r="5012">
      <c r="A5012" s="8">
        <v>5011.0</v>
      </c>
      <c r="B5012" s="8" t="s">
        <v>6273</v>
      </c>
      <c r="C5012" s="8" t="s">
        <v>21</v>
      </c>
      <c r="K5012" s="8">
        <v>1400.0</v>
      </c>
      <c r="N5012" s="7">
        <v>44477.0</v>
      </c>
    </row>
    <row r="5013">
      <c r="A5013" s="8">
        <v>5012.0</v>
      </c>
      <c r="B5013" s="8" t="s">
        <v>6274</v>
      </c>
      <c r="C5013" s="8" t="s">
        <v>21</v>
      </c>
      <c r="K5013" s="8">
        <v>200.0</v>
      </c>
      <c r="N5013" s="7">
        <v>45548.0</v>
      </c>
    </row>
    <row r="5014">
      <c r="A5014" s="8">
        <v>5013.0</v>
      </c>
      <c r="B5014" s="8" t="s">
        <v>6275</v>
      </c>
      <c r="C5014" s="8" t="s">
        <v>21</v>
      </c>
      <c r="K5014" s="8">
        <v>600.0</v>
      </c>
      <c r="N5014" s="7">
        <v>44394.0</v>
      </c>
    </row>
    <row r="5015">
      <c r="A5015" s="8">
        <v>5014.0</v>
      </c>
      <c r="B5015" s="8" t="s">
        <v>6276</v>
      </c>
      <c r="C5015" s="8" t="s">
        <v>21</v>
      </c>
      <c r="K5015" s="8">
        <v>50.0</v>
      </c>
      <c r="N5015" s="7">
        <v>44535.0</v>
      </c>
    </row>
    <row r="5016">
      <c r="A5016" s="8">
        <v>5015.0</v>
      </c>
      <c r="B5016" s="8" t="s">
        <v>387</v>
      </c>
      <c r="C5016" s="8" t="s">
        <v>21</v>
      </c>
      <c r="K5016" s="8">
        <v>50.0</v>
      </c>
      <c r="N5016" s="7">
        <v>45776.0</v>
      </c>
    </row>
    <row r="5017">
      <c r="A5017" s="8">
        <v>5016.0</v>
      </c>
      <c r="B5017" s="8" t="s">
        <v>6277</v>
      </c>
      <c r="C5017" s="8" t="s">
        <v>21</v>
      </c>
      <c r="N5017" s="7">
        <v>44408.0</v>
      </c>
    </row>
    <row r="5018">
      <c r="A5018" s="8">
        <v>5017.0</v>
      </c>
      <c r="B5018" s="8" t="s">
        <v>6278</v>
      </c>
      <c r="C5018" s="8" t="s">
        <v>21</v>
      </c>
      <c r="K5018" s="8">
        <v>60.0</v>
      </c>
      <c r="N5018" s="7">
        <v>44596.0</v>
      </c>
    </row>
    <row r="5019">
      <c r="A5019" s="8">
        <v>5018.0</v>
      </c>
      <c r="B5019" s="8" t="s">
        <v>6279</v>
      </c>
      <c r="C5019" s="8" t="s">
        <v>21</v>
      </c>
      <c r="K5019" s="8">
        <v>150.0</v>
      </c>
      <c r="N5019" s="7">
        <v>44640.0</v>
      </c>
    </row>
    <row r="5020">
      <c r="A5020" s="8">
        <v>5019.0</v>
      </c>
      <c r="B5020" s="8" t="s">
        <v>6280</v>
      </c>
      <c r="C5020" s="8" t="s">
        <v>21</v>
      </c>
      <c r="K5020" s="8">
        <v>90.0</v>
      </c>
      <c r="N5020" s="7">
        <v>45352.0</v>
      </c>
    </row>
    <row r="5021">
      <c r="A5021" s="8">
        <v>5020.0</v>
      </c>
      <c r="B5021" s="8" t="s">
        <v>6281</v>
      </c>
      <c r="C5021" s="8" t="s">
        <v>21</v>
      </c>
      <c r="K5021" s="8">
        <v>60.0</v>
      </c>
      <c r="N5021" s="7">
        <v>45839.0</v>
      </c>
    </row>
    <row r="5022">
      <c r="A5022" s="8">
        <v>5021.0</v>
      </c>
      <c r="B5022" s="8" t="s">
        <v>6282</v>
      </c>
      <c r="C5022" s="8" t="s">
        <v>21</v>
      </c>
      <c r="K5022" s="8">
        <v>1900.0</v>
      </c>
      <c r="N5022" s="7">
        <v>44125.0</v>
      </c>
    </row>
    <row r="5023">
      <c r="A5023" s="8">
        <v>5022.0</v>
      </c>
      <c r="B5023" s="8" t="s">
        <v>6283</v>
      </c>
      <c r="C5023" s="8" t="s">
        <v>21</v>
      </c>
      <c r="K5023" s="8">
        <v>3700.0</v>
      </c>
      <c r="N5023" s="7">
        <v>43972.0</v>
      </c>
    </row>
    <row r="5024">
      <c r="A5024" s="8">
        <v>5023.0</v>
      </c>
      <c r="B5024" s="8" t="s">
        <v>6284</v>
      </c>
      <c r="C5024" s="8" t="s">
        <v>21</v>
      </c>
      <c r="K5024" s="8">
        <v>1100.0</v>
      </c>
      <c r="N5024" s="7">
        <v>44632.0</v>
      </c>
      <c r="O5024" s="8" t="s">
        <v>31</v>
      </c>
      <c r="P5024" s="8" t="s">
        <v>28</v>
      </c>
      <c r="S5024" s="8" t="s">
        <v>32</v>
      </c>
    </row>
    <row r="5025">
      <c r="A5025" s="8">
        <v>5024.0</v>
      </c>
      <c r="B5025" s="8" t="s">
        <v>6285</v>
      </c>
      <c r="C5025" s="8" t="s">
        <v>21</v>
      </c>
      <c r="K5025" s="8">
        <v>150.0</v>
      </c>
      <c r="N5025" s="7">
        <v>44146.0</v>
      </c>
    </row>
    <row r="5026">
      <c r="A5026" s="8">
        <v>5025.0</v>
      </c>
      <c r="B5026" s="8" t="s">
        <v>6286</v>
      </c>
      <c r="C5026" s="8" t="s">
        <v>21</v>
      </c>
      <c r="K5026" s="8">
        <v>15000.0</v>
      </c>
      <c r="N5026" s="7">
        <v>44622.0</v>
      </c>
    </row>
    <row r="5027">
      <c r="A5027" s="8">
        <v>5026.0</v>
      </c>
      <c r="B5027" s="8" t="s">
        <v>6287</v>
      </c>
      <c r="C5027" s="8" t="s">
        <v>21</v>
      </c>
      <c r="K5027" s="8">
        <v>10.0</v>
      </c>
      <c r="N5027" s="7">
        <v>44208.0</v>
      </c>
    </row>
    <row r="5028">
      <c r="A5028" s="8">
        <v>5027.0</v>
      </c>
      <c r="B5028" s="8" t="s">
        <v>6288</v>
      </c>
      <c r="C5028" s="8" t="s">
        <v>21</v>
      </c>
      <c r="K5028" s="8">
        <v>400.0</v>
      </c>
      <c r="N5028" s="7">
        <v>45379.0</v>
      </c>
    </row>
    <row r="5029">
      <c r="A5029" s="8">
        <v>5028.0</v>
      </c>
      <c r="B5029" s="8" t="s">
        <v>6289</v>
      </c>
      <c r="C5029" s="8" t="s">
        <v>21</v>
      </c>
      <c r="K5029" s="8">
        <v>2200.0</v>
      </c>
      <c r="N5029" s="7">
        <v>45182.0</v>
      </c>
    </row>
    <row r="5030">
      <c r="A5030" s="8">
        <v>5029.0</v>
      </c>
      <c r="B5030" s="8" t="s">
        <v>6290</v>
      </c>
      <c r="C5030" s="8" t="s">
        <v>21</v>
      </c>
      <c r="K5030" s="8">
        <v>40.0</v>
      </c>
      <c r="N5030" s="7">
        <v>45537.0</v>
      </c>
    </row>
    <row r="5031">
      <c r="A5031" s="8">
        <v>5030.0</v>
      </c>
      <c r="B5031" s="8" t="s">
        <v>6291</v>
      </c>
      <c r="C5031" s="8" t="s">
        <v>21</v>
      </c>
      <c r="K5031" s="8">
        <v>1500.0</v>
      </c>
      <c r="N5031" s="7">
        <v>44141.0</v>
      </c>
    </row>
    <row r="5032">
      <c r="A5032" s="8">
        <v>5031.0</v>
      </c>
      <c r="B5032" s="8" t="s">
        <v>6292</v>
      </c>
      <c r="C5032" s="8" t="s">
        <v>21</v>
      </c>
      <c r="K5032" s="8">
        <v>40.0</v>
      </c>
      <c r="N5032" s="7">
        <v>43869.0</v>
      </c>
    </row>
    <row r="5033">
      <c r="A5033" s="8">
        <v>5032.0</v>
      </c>
      <c r="B5033" s="8" t="s">
        <v>6293</v>
      </c>
      <c r="C5033" s="8" t="s">
        <v>21</v>
      </c>
      <c r="N5033" s="7">
        <v>45227.0</v>
      </c>
    </row>
    <row r="5034">
      <c r="A5034" s="8">
        <v>5033.0</v>
      </c>
      <c r="B5034" s="8" t="s">
        <v>6294</v>
      </c>
      <c r="C5034" s="8" t="s">
        <v>21</v>
      </c>
      <c r="K5034" s="8">
        <v>200.0</v>
      </c>
      <c r="N5034" s="7">
        <v>44670.0</v>
      </c>
      <c r="O5034" s="8" t="s">
        <v>147</v>
      </c>
      <c r="P5034" s="8" t="s">
        <v>28</v>
      </c>
      <c r="S5034" s="8" t="s">
        <v>32</v>
      </c>
    </row>
    <row r="5035">
      <c r="A5035" s="8">
        <v>5034.0</v>
      </c>
      <c r="B5035" s="8" t="s">
        <v>6295</v>
      </c>
      <c r="C5035" s="8" t="s">
        <v>21</v>
      </c>
      <c r="K5035" s="8">
        <v>60.0</v>
      </c>
      <c r="N5035" s="7">
        <v>45839.0</v>
      </c>
    </row>
    <row r="5036">
      <c r="A5036" s="8">
        <v>5035.0</v>
      </c>
      <c r="B5036" s="8" t="s">
        <v>6296</v>
      </c>
      <c r="C5036" s="8" t="s">
        <v>21</v>
      </c>
      <c r="K5036" s="8">
        <v>9900.0</v>
      </c>
      <c r="N5036" s="7">
        <v>44218.0</v>
      </c>
    </row>
    <row r="5037">
      <c r="A5037" s="8">
        <v>5036.0</v>
      </c>
      <c r="B5037" s="8" t="s">
        <v>6297</v>
      </c>
      <c r="C5037" s="8" t="s">
        <v>21</v>
      </c>
      <c r="N5037" s="7">
        <v>43928.0</v>
      </c>
    </row>
    <row r="5038">
      <c r="A5038" s="8">
        <v>5037.0</v>
      </c>
      <c r="B5038" s="8" t="s">
        <v>6298</v>
      </c>
      <c r="C5038" s="8" t="s">
        <v>21</v>
      </c>
      <c r="K5038" s="8">
        <v>1200.0</v>
      </c>
      <c r="N5038" s="7">
        <v>42523.0</v>
      </c>
    </row>
    <row r="5039">
      <c r="A5039" s="8">
        <v>5038.0</v>
      </c>
      <c r="B5039" s="8" t="s">
        <v>6299</v>
      </c>
      <c r="C5039" s="8" t="s">
        <v>21</v>
      </c>
      <c r="K5039" s="8">
        <v>20.0</v>
      </c>
      <c r="N5039" s="7">
        <v>44168.0</v>
      </c>
    </row>
    <row r="5040">
      <c r="A5040" s="8">
        <v>5039.0</v>
      </c>
      <c r="B5040" s="8" t="s">
        <v>6300</v>
      </c>
      <c r="C5040" s="8" t="s">
        <v>21</v>
      </c>
      <c r="K5040" s="8">
        <v>60.0</v>
      </c>
      <c r="N5040" s="7">
        <v>45064.0</v>
      </c>
    </row>
    <row r="5041">
      <c r="A5041" s="8">
        <v>5040.0</v>
      </c>
      <c r="B5041" s="8" t="s">
        <v>6301</v>
      </c>
      <c r="C5041" s="8" t="s">
        <v>21</v>
      </c>
      <c r="K5041" s="8">
        <v>2000.0</v>
      </c>
      <c r="N5041" s="7">
        <v>44221.0</v>
      </c>
    </row>
    <row r="5042">
      <c r="A5042" s="8">
        <v>5041.0</v>
      </c>
      <c r="B5042" s="8" t="s">
        <v>6302</v>
      </c>
      <c r="C5042" s="8" t="s">
        <v>21</v>
      </c>
      <c r="K5042" s="8">
        <v>500.0</v>
      </c>
      <c r="N5042" s="7">
        <v>44984.0</v>
      </c>
    </row>
    <row r="5043">
      <c r="A5043" s="8">
        <v>5042.0</v>
      </c>
      <c r="B5043" s="8" t="s">
        <v>6303</v>
      </c>
      <c r="C5043" s="8" t="s">
        <v>21</v>
      </c>
      <c r="K5043" s="8">
        <v>600.0</v>
      </c>
      <c r="N5043" s="7">
        <v>44055.0</v>
      </c>
    </row>
    <row r="5044">
      <c r="A5044" s="8">
        <v>5043.0</v>
      </c>
      <c r="B5044" s="8" t="s">
        <v>6304</v>
      </c>
      <c r="C5044" s="8" t="s">
        <v>21</v>
      </c>
      <c r="K5044" s="8">
        <v>20.0</v>
      </c>
      <c r="N5044" s="7">
        <v>44148.0</v>
      </c>
    </row>
    <row r="5045">
      <c r="A5045" s="8">
        <v>5044.0</v>
      </c>
      <c r="B5045" s="8" t="s">
        <v>6305</v>
      </c>
      <c r="C5045" s="8" t="s">
        <v>21</v>
      </c>
      <c r="K5045" s="8">
        <v>10.0</v>
      </c>
      <c r="N5045" s="7">
        <v>44338.0</v>
      </c>
    </row>
    <row r="5046">
      <c r="A5046" s="8">
        <v>5045.0</v>
      </c>
      <c r="B5046" s="8" t="s">
        <v>6306</v>
      </c>
      <c r="C5046" s="8" t="s">
        <v>21</v>
      </c>
      <c r="K5046" s="8">
        <v>150.0</v>
      </c>
      <c r="N5046" s="7">
        <v>45567.0</v>
      </c>
    </row>
    <row r="5047">
      <c r="A5047" s="8">
        <v>5046.0</v>
      </c>
      <c r="B5047" s="8" t="s">
        <v>6307</v>
      </c>
      <c r="C5047" s="8" t="s">
        <v>21</v>
      </c>
      <c r="K5047" s="8">
        <v>200.0</v>
      </c>
      <c r="N5047" s="7">
        <v>45319.0</v>
      </c>
    </row>
    <row r="5048">
      <c r="A5048" s="8">
        <v>5047.0</v>
      </c>
      <c r="B5048" s="8" t="s">
        <v>6308</v>
      </c>
      <c r="C5048" s="8" t="s">
        <v>21</v>
      </c>
      <c r="K5048" s="8">
        <v>1400.0</v>
      </c>
      <c r="N5048" s="7">
        <v>43881.0</v>
      </c>
    </row>
    <row r="5049">
      <c r="A5049" s="8">
        <v>5048.0</v>
      </c>
      <c r="B5049" s="8" t="s">
        <v>6309</v>
      </c>
      <c r="C5049" s="8" t="s">
        <v>21</v>
      </c>
      <c r="K5049" s="8">
        <v>300.0</v>
      </c>
      <c r="N5049" s="7">
        <v>44890.0</v>
      </c>
    </row>
    <row r="5050">
      <c r="A5050" s="8">
        <v>5049.0</v>
      </c>
      <c r="B5050" s="8" t="s">
        <v>6310</v>
      </c>
      <c r="C5050" s="8" t="s">
        <v>21</v>
      </c>
      <c r="N5050" s="7">
        <v>43840.0</v>
      </c>
    </row>
    <row r="5051">
      <c r="A5051" s="8">
        <v>5050.0</v>
      </c>
      <c r="B5051" s="8" t="s">
        <v>6311</v>
      </c>
      <c r="C5051" s="8" t="s">
        <v>21</v>
      </c>
      <c r="K5051" s="8">
        <v>250.0</v>
      </c>
      <c r="N5051" s="7">
        <v>45488.0</v>
      </c>
    </row>
    <row r="5052">
      <c r="A5052" s="8">
        <v>5051.0</v>
      </c>
      <c r="B5052" s="8" t="s">
        <v>6312</v>
      </c>
      <c r="C5052" s="8" t="s">
        <v>21</v>
      </c>
      <c r="K5052" s="8">
        <v>3200.0</v>
      </c>
      <c r="N5052" s="7">
        <v>45173.0</v>
      </c>
    </row>
    <row r="5053">
      <c r="A5053" s="8">
        <v>5052.0</v>
      </c>
      <c r="B5053" s="8" t="s">
        <v>6313</v>
      </c>
      <c r="C5053" s="8" t="s">
        <v>21</v>
      </c>
      <c r="K5053" s="8">
        <v>350.0</v>
      </c>
      <c r="N5053" s="7">
        <v>44179.0</v>
      </c>
    </row>
    <row r="5054">
      <c r="A5054" s="8">
        <v>5053.0</v>
      </c>
      <c r="B5054" s="8" t="s">
        <v>6314</v>
      </c>
      <c r="C5054" s="8" t="s">
        <v>21</v>
      </c>
      <c r="K5054" s="8">
        <v>150.0</v>
      </c>
      <c r="N5054" s="7">
        <v>44970.0</v>
      </c>
    </row>
    <row r="5055">
      <c r="A5055" s="8">
        <v>5054.0</v>
      </c>
      <c r="B5055" s="8" t="s">
        <v>6315</v>
      </c>
      <c r="C5055" s="8" t="s">
        <v>21</v>
      </c>
      <c r="K5055" s="8">
        <v>90.0</v>
      </c>
      <c r="N5055" s="7">
        <v>44159.0</v>
      </c>
    </row>
    <row r="5056">
      <c r="A5056" s="8">
        <v>5055.0</v>
      </c>
      <c r="B5056" s="8" t="s">
        <v>6316</v>
      </c>
      <c r="C5056" s="8" t="s">
        <v>21</v>
      </c>
      <c r="K5056" s="8">
        <v>10.0</v>
      </c>
      <c r="N5056" s="7">
        <v>45146.0</v>
      </c>
    </row>
    <row r="5057">
      <c r="A5057" s="8">
        <v>5056.0</v>
      </c>
      <c r="B5057" s="8" t="s">
        <v>6317</v>
      </c>
      <c r="C5057" s="8" t="s">
        <v>21</v>
      </c>
      <c r="N5057" s="7">
        <v>43532.0</v>
      </c>
      <c r="O5057" s="8" t="s">
        <v>147</v>
      </c>
      <c r="P5057" s="8" t="s">
        <v>28</v>
      </c>
      <c r="S5057" s="8" t="s">
        <v>32</v>
      </c>
    </row>
    <row r="5058">
      <c r="A5058" s="8">
        <v>5057.0</v>
      </c>
      <c r="B5058" s="8" t="s">
        <v>6318</v>
      </c>
      <c r="C5058" s="8" t="s">
        <v>21</v>
      </c>
      <c r="K5058" s="8">
        <v>900.0</v>
      </c>
      <c r="N5058" s="7">
        <v>44264.0</v>
      </c>
    </row>
    <row r="5059">
      <c r="A5059" s="8">
        <v>5058.0</v>
      </c>
      <c r="B5059" s="8" t="s">
        <v>6319</v>
      </c>
      <c r="C5059" s="8" t="s">
        <v>21</v>
      </c>
      <c r="K5059" s="8">
        <v>1500.0</v>
      </c>
      <c r="N5059" s="7">
        <v>44223.0</v>
      </c>
    </row>
    <row r="5060">
      <c r="A5060" s="8">
        <v>5059.0</v>
      </c>
      <c r="B5060" s="8" t="s">
        <v>6320</v>
      </c>
      <c r="C5060" s="8" t="s">
        <v>21</v>
      </c>
      <c r="K5060" s="8">
        <v>50.0</v>
      </c>
      <c r="N5060" s="7">
        <v>44211.0</v>
      </c>
    </row>
    <row r="5061">
      <c r="A5061" s="8">
        <v>5060.0</v>
      </c>
      <c r="B5061" s="8" t="s">
        <v>6321</v>
      </c>
      <c r="C5061" s="8" t="s">
        <v>21</v>
      </c>
      <c r="K5061" s="8">
        <v>30.0</v>
      </c>
      <c r="N5061" s="7">
        <v>43986.0</v>
      </c>
    </row>
    <row r="5062">
      <c r="A5062" s="8">
        <v>5061.0</v>
      </c>
      <c r="B5062" s="8" t="s">
        <v>6322</v>
      </c>
      <c r="C5062" s="8" t="s">
        <v>21</v>
      </c>
      <c r="K5062" s="8">
        <v>300.0</v>
      </c>
      <c r="N5062" s="7">
        <v>44382.0</v>
      </c>
    </row>
    <row r="5063">
      <c r="A5063" s="8">
        <v>5062.0</v>
      </c>
      <c r="B5063" s="8" t="s">
        <v>6323</v>
      </c>
      <c r="C5063" s="8" t="s">
        <v>21</v>
      </c>
      <c r="N5063" s="7">
        <v>43993.0</v>
      </c>
    </row>
    <row r="5064">
      <c r="A5064" s="8">
        <v>5063.0</v>
      </c>
      <c r="B5064" s="8" t="s">
        <v>6324</v>
      </c>
      <c r="C5064" s="8" t="s">
        <v>21</v>
      </c>
      <c r="K5064" s="8">
        <v>2600.0</v>
      </c>
      <c r="N5064" s="7">
        <v>44167.0</v>
      </c>
    </row>
    <row r="5065">
      <c r="A5065" s="8">
        <v>5064.0</v>
      </c>
      <c r="B5065" s="8" t="s">
        <v>6325</v>
      </c>
      <c r="C5065" s="8" t="s">
        <v>21</v>
      </c>
      <c r="K5065" s="8">
        <v>200.0</v>
      </c>
      <c r="N5065" s="7">
        <v>44169.0</v>
      </c>
    </row>
    <row r="5066">
      <c r="A5066" s="8">
        <v>5065.0</v>
      </c>
      <c r="B5066" s="8" t="s">
        <v>6326</v>
      </c>
      <c r="C5066" s="8" t="s">
        <v>21</v>
      </c>
      <c r="K5066" s="8">
        <v>2700.0</v>
      </c>
      <c r="N5066" s="7">
        <v>44470.0</v>
      </c>
    </row>
    <row r="5067">
      <c r="A5067" s="8">
        <v>5066.0</v>
      </c>
      <c r="B5067" s="8" t="s">
        <v>6327</v>
      </c>
      <c r="C5067" s="8" t="s">
        <v>21</v>
      </c>
      <c r="K5067" s="8">
        <v>2800.0</v>
      </c>
      <c r="N5067" s="7">
        <v>44376.0</v>
      </c>
    </row>
    <row r="5068">
      <c r="A5068" s="8">
        <v>5067.0</v>
      </c>
      <c r="B5068" s="8" t="s">
        <v>6328</v>
      </c>
      <c r="C5068" s="8" t="s">
        <v>21</v>
      </c>
      <c r="N5068" s="7">
        <v>45022.0</v>
      </c>
    </row>
    <row r="5069">
      <c r="A5069" s="8">
        <v>5068.0</v>
      </c>
      <c r="B5069" s="8" t="s">
        <v>6329</v>
      </c>
      <c r="C5069" s="8" t="s">
        <v>21</v>
      </c>
      <c r="K5069" s="8">
        <v>37000.0</v>
      </c>
      <c r="N5069" s="7">
        <v>44225.0</v>
      </c>
    </row>
    <row r="5070">
      <c r="A5070" s="8">
        <v>5069.0</v>
      </c>
      <c r="B5070" s="8" t="s">
        <v>6330</v>
      </c>
      <c r="C5070" s="8" t="s">
        <v>21</v>
      </c>
      <c r="K5070" s="8">
        <v>2300.0</v>
      </c>
      <c r="N5070" s="7">
        <v>44202.0</v>
      </c>
    </row>
    <row r="5071">
      <c r="A5071" s="8">
        <v>5070.0</v>
      </c>
      <c r="B5071" s="8" t="s">
        <v>6331</v>
      </c>
      <c r="C5071" s="8" t="s">
        <v>21</v>
      </c>
      <c r="K5071" s="8">
        <v>1700.0</v>
      </c>
      <c r="N5071" s="7">
        <v>44331.0</v>
      </c>
    </row>
    <row r="5072">
      <c r="A5072" s="8">
        <v>5071.0</v>
      </c>
      <c r="B5072" s="8" t="s">
        <v>6332</v>
      </c>
      <c r="C5072" s="8" t="s">
        <v>21</v>
      </c>
      <c r="K5072" s="8">
        <v>1000.0</v>
      </c>
      <c r="N5072" s="7">
        <v>45666.0</v>
      </c>
    </row>
    <row r="5073">
      <c r="A5073" s="8">
        <v>5072.0</v>
      </c>
      <c r="B5073" s="8" t="s">
        <v>6333</v>
      </c>
      <c r="C5073" s="8" t="s">
        <v>21</v>
      </c>
      <c r="K5073" s="8">
        <v>90.0</v>
      </c>
      <c r="N5073" s="7">
        <v>45131.0</v>
      </c>
    </row>
    <row r="5074">
      <c r="A5074" s="8">
        <v>5073.0</v>
      </c>
      <c r="B5074" s="8" t="s">
        <v>6334</v>
      </c>
      <c r="C5074" s="8" t="s">
        <v>21</v>
      </c>
      <c r="K5074" s="8">
        <v>100.0</v>
      </c>
      <c r="N5074" s="7">
        <v>44264.0</v>
      </c>
    </row>
    <row r="5075">
      <c r="A5075" s="8">
        <v>5074.0</v>
      </c>
      <c r="B5075" s="8" t="s">
        <v>6335</v>
      </c>
      <c r="C5075" s="8" t="s">
        <v>21</v>
      </c>
      <c r="K5075" s="8">
        <v>10.0</v>
      </c>
      <c r="N5075" s="7">
        <v>45839.0</v>
      </c>
    </row>
    <row r="5076">
      <c r="A5076" s="8">
        <v>5075.0</v>
      </c>
      <c r="B5076" s="8" t="s">
        <v>6336</v>
      </c>
      <c r="C5076" s="8" t="s">
        <v>21</v>
      </c>
      <c r="K5076" s="8">
        <v>150.0</v>
      </c>
      <c r="N5076" s="7">
        <v>44601.0</v>
      </c>
    </row>
    <row r="5077">
      <c r="A5077" s="8">
        <v>5076.0</v>
      </c>
      <c r="B5077" s="8" t="s">
        <v>6337</v>
      </c>
      <c r="C5077" s="8" t="s">
        <v>21</v>
      </c>
      <c r="K5077" s="8">
        <v>300.0</v>
      </c>
      <c r="N5077" s="7">
        <v>44088.0</v>
      </c>
    </row>
    <row r="5078">
      <c r="A5078" s="8">
        <v>5077.0</v>
      </c>
      <c r="B5078" s="8" t="s">
        <v>6338</v>
      </c>
      <c r="C5078" s="8" t="s">
        <v>21</v>
      </c>
      <c r="K5078" s="8">
        <v>10.0</v>
      </c>
      <c r="N5078" s="7">
        <v>44678.0</v>
      </c>
    </row>
    <row r="5079">
      <c r="A5079" s="8">
        <v>5078.0</v>
      </c>
      <c r="B5079" s="8" t="s">
        <v>3364</v>
      </c>
      <c r="C5079" s="8" t="s">
        <v>21</v>
      </c>
      <c r="D5079" s="8">
        <v>71.0</v>
      </c>
      <c r="H5079" s="8" t="s">
        <v>279</v>
      </c>
      <c r="I5079" s="9">
        <v>46143.34991898148</v>
      </c>
      <c r="K5079" s="8">
        <v>20.0</v>
      </c>
      <c r="L5079" s="8">
        <v>3200.0</v>
      </c>
      <c r="M5079" s="8">
        <v>59000.0</v>
      </c>
      <c r="N5079" s="7">
        <v>42665.0</v>
      </c>
      <c r="O5079" s="8" t="s">
        <v>107</v>
      </c>
      <c r="P5079" s="8" t="s">
        <v>28</v>
      </c>
      <c r="S5079" s="8" t="s">
        <v>32</v>
      </c>
    </row>
    <row r="5080">
      <c r="A5080" s="8">
        <v>5079.0</v>
      </c>
      <c r="B5080" s="8" t="s">
        <v>6339</v>
      </c>
      <c r="C5080" s="8" t="s">
        <v>21</v>
      </c>
      <c r="K5080" s="8">
        <v>17000.0</v>
      </c>
      <c r="N5080" s="7">
        <v>43896.0</v>
      </c>
    </row>
    <row r="5081">
      <c r="A5081" s="8">
        <v>5080.0</v>
      </c>
      <c r="B5081" s="8" t="s">
        <v>6340</v>
      </c>
      <c r="C5081" s="8" t="s">
        <v>21</v>
      </c>
      <c r="N5081" s="7">
        <v>44292.0</v>
      </c>
    </row>
    <row r="5082">
      <c r="A5082" s="8">
        <v>5081.0</v>
      </c>
      <c r="B5082" s="8" t="s">
        <v>6341</v>
      </c>
      <c r="C5082" s="8" t="s">
        <v>21</v>
      </c>
      <c r="K5082" s="8">
        <v>150.0</v>
      </c>
      <c r="N5082" s="7">
        <v>44662.0</v>
      </c>
    </row>
    <row r="5083">
      <c r="A5083" s="8">
        <v>5082.0</v>
      </c>
      <c r="B5083" s="8" t="s">
        <v>6342</v>
      </c>
      <c r="C5083" s="8" t="s">
        <v>21</v>
      </c>
      <c r="K5083" s="8">
        <v>2900.0</v>
      </c>
      <c r="N5083" s="7">
        <v>43868.0</v>
      </c>
      <c r="O5083" s="8" t="s">
        <v>107</v>
      </c>
      <c r="P5083" s="8" t="s">
        <v>28</v>
      </c>
      <c r="S5083" s="8" t="s">
        <v>32</v>
      </c>
    </row>
    <row r="5084">
      <c r="A5084" s="8">
        <v>5083.0</v>
      </c>
      <c r="B5084" s="8" t="s">
        <v>6343</v>
      </c>
      <c r="C5084" s="8" t="s">
        <v>21</v>
      </c>
      <c r="K5084" s="8">
        <v>30.0</v>
      </c>
      <c r="N5084" s="7">
        <v>44870.0</v>
      </c>
    </row>
    <row r="5085">
      <c r="A5085" s="8">
        <v>5084.0</v>
      </c>
      <c r="B5085" s="8" t="s">
        <v>6344</v>
      </c>
      <c r="C5085" s="8" t="s">
        <v>21</v>
      </c>
      <c r="K5085" s="8">
        <v>30.0</v>
      </c>
      <c r="N5085" s="7">
        <v>43927.0</v>
      </c>
    </row>
    <row r="5086">
      <c r="A5086" s="8">
        <v>5085.0</v>
      </c>
      <c r="B5086" s="8" t="s">
        <v>6345</v>
      </c>
      <c r="C5086" s="8" t="s">
        <v>21</v>
      </c>
      <c r="K5086" s="8">
        <v>12000.0</v>
      </c>
      <c r="N5086" s="7">
        <v>43929.0</v>
      </c>
    </row>
    <row r="5087">
      <c r="A5087" s="8">
        <v>5086.0</v>
      </c>
      <c r="B5087" s="8" t="s">
        <v>6346</v>
      </c>
      <c r="C5087" s="8" t="s">
        <v>21</v>
      </c>
      <c r="K5087" s="8">
        <v>40.0</v>
      </c>
      <c r="N5087" s="7">
        <v>44508.0</v>
      </c>
    </row>
    <row r="5088">
      <c r="A5088" s="8">
        <v>5087.0</v>
      </c>
      <c r="B5088" s="8" t="s">
        <v>6347</v>
      </c>
      <c r="C5088" s="8" t="s">
        <v>21</v>
      </c>
      <c r="K5088" s="8">
        <v>100.0</v>
      </c>
      <c r="N5088" s="7">
        <v>44629.0</v>
      </c>
    </row>
    <row r="5089">
      <c r="A5089" s="8">
        <v>5088.0</v>
      </c>
      <c r="B5089" s="8" t="s">
        <v>6348</v>
      </c>
      <c r="C5089" s="8" t="s">
        <v>21</v>
      </c>
      <c r="K5089" s="8">
        <v>1500.0</v>
      </c>
      <c r="N5089" s="7">
        <v>44645.0</v>
      </c>
    </row>
    <row r="5090">
      <c r="A5090" s="8">
        <v>5089.0</v>
      </c>
      <c r="B5090" s="8" t="s">
        <v>6349</v>
      </c>
      <c r="C5090" s="8" t="s">
        <v>21</v>
      </c>
      <c r="K5090" s="8">
        <v>350.0</v>
      </c>
      <c r="N5090" s="7">
        <v>44333.0</v>
      </c>
    </row>
    <row r="5091">
      <c r="A5091" s="8">
        <v>5090.0</v>
      </c>
      <c r="B5091" s="8" t="s">
        <v>6350</v>
      </c>
      <c r="C5091" s="8" t="s">
        <v>21</v>
      </c>
      <c r="N5091" s="7">
        <v>44212.0</v>
      </c>
    </row>
    <row r="5092">
      <c r="A5092" s="8">
        <v>5091.0</v>
      </c>
      <c r="B5092" s="8" t="s">
        <v>6351</v>
      </c>
      <c r="C5092" s="8" t="s">
        <v>21</v>
      </c>
      <c r="K5092" s="8">
        <v>1600.0</v>
      </c>
      <c r="N5092" s="7">
        <v>44945.0</v>
      </c>
    </row>
    <row r="5093">
      <c r="A5093" s="8">
        <v>5092.0</v>
      </c>
      <c r="B5093" s="8" t="s">
        <v>6352</v>
      </c>
      <c r="C5093" s="8" t="s">
        <v>21</v>
      </c>
      <c r="K5093" s="8">
        <v>20.0</v>
      </c>
      <c r="N5093" s="7">
        <v>45839.0</v>
      </c>
    </row>
    <row r="5094">
      <c r="A5094" s="8">
        <v>5093.0</v>
      </c>
      <c r="B5094" s="8" t="s">
        <v>6353</v>
      </c>
      <c r="C5094" s="8" t="s">
        <v>21</v>
      </c>
      <c r="N5094" s="7">
        <v>45037.0</v>
      </c>
    </row>
    <row r="5095">
      <c r="A5095" s="8">
        <v>5094.0</v>
      </c>
      <c r="B5095" s="8" t="s">
        <v>6354</v>
      </c>
      <c r="C5095" s="8" t="s">
        <v>21</v>
      </c>
      <c r="K5095" s="8">
        <v>200.0</v>
      </c>
      <c r="N5095" s="7">
        <v>44587.0</v>
      </c>
    </row>
    <row r="5096">
      <c r="A5096" s="8">
        <v>5095.0</v>
      </c>
      <c r="B5096" s="8" t="s">
        <v>6355</v>
      </c>
      <c r="C5096" s="8" t="s">
        <v>21</v>
      </c>
      <c r="K5096" s="8">
        <v>150.0</v>
      </c>
      <c r="N5096" s="7">
        <v>44952.0</v>
      </c>
    </row>
    <row r="5097">
      <c r="A5097" s="8">
        <v>5096.0</v>
      </c>
      <c r="B5097" s="8" t="s">
        <v>6356</v>
      </c>
      <c r="C5097" s="8" t="s">
        <v>21</v>
      </c>
      <c r="K5097" s="8">
        <v>3000.0</v>
      </c>
      <c r="N5097" s="7">
        <v>44067.0</v>
      </c>
    </row>
    <row r="5098">
      <c r="A5098" s="8">
        <v>5097.0</v>
      </c>
      <c r="B5098" s="8" t="s">
        <v>6357</v>
      </c>
      <c r="C5098" s="8" t="s">
        <v>21</v>
      </c>
      <c r="K5098" s="8">
        <v>30.0</v>
      </c>
      <c r="N5098" s="7">
        <v>44816.0</v>
      </c>
    </row>
    <row r="5099">
      <c r="A5099" s="8">
        <v>5098.0</v>
      </c>
      <c r="B5099" s="8" t="s">
        <v>6358</v>
      </c>
      <c r="C5099" s="8" t="s">
        <v>21</v>
      </c>
      <c r="K5099" s="8">
        <v>10.0</v>
      </c>
      <c r="N5099" s="7">
        <v>44572.0</v>
      </c>
    </row>
    <row r="5100">
      <c r="A5100" s="8">
        <v>5099.0</v>
      </c>
      <c r="B5100" s="8" t="s">
        <v>6359</v>
      </c>
      <c r="C5100" s="8" t="s">
        <v>21</v>
      </c>
      <c r="K5100" s="8">
        <v>1800.0</v>
      </c>
      <c r="N5100" s="7">
        <v>44060.0</v>
      </c>
    </row>
    <row r="5101">
      <c r="A5101" s="8">
        <v>5100.0</v>
      </c>
      <c r="B5101" s="8" t="s">
        <v>6360</v>
      </c>
      <c r="C5101" s="8" t="s">
        <v>21</v>
      </c>
      <c r="K5101" s="8">
        <v>1100.0</v>
      </c>
      <c r="N5101" s="7">
        <v>44431.0</v>
      </c>
    </row>
    <row r="5102">
      <c r="A5102" s="8">
        <v>5101.0</v>
      </c>
      <c r="B5102" s="8" t="s">
        <v>6361</v>
      </c>
      <c r="C5102" s="8" t="s">
        <v>21</v>
      </c>
      <c r="K5102" s="8">
        <v>150.0</v>
      </c>
      <c r="N5102" s="7">
        <v>44261.0</v>
      </c>
    </row>
    <row r="5103">
      <c r="A5103" s="8">
        <v>5102.0</v>
      </c>
      <c r="B5103" s="8" t="s">
        <v>6362</v>
      </c>
      <c r="C5103" s="8" t="s">
        <v>21</v>
      </c>
      <c r="K5103" s="8">
        <v>20.0</v>
      </c>
      <c r="N5103" s="7">
        <v>45002.0</v>
      </c>
    </row>
    <row r="5104">
      <c r="A5104" s="8">
        <v>5103.0</v>
      </c>
      <c r="B5104" s="8" t="s">
        <v>6363</v>
      </c>
      <c r="C5104" s="8" t="s">
        <v>21</v>
      </c>
      <c r="K5104" s="8">
        <v>20.0</v>
      </c>
      <c r="N5104" s="7">
        <v>45327.0</v>
      </c>
    </row>
    <row r="5105">
      <c r="A5105" s="8">
        <v>5104.0</v>
      </c>
      <c r="B5105" s="8" t="s">
        <v>6364</v>
      </c>
      <c r="C5105" s="8" t="s">
        <v>21</v>
      </c>
      <c r="K5105" s="8">
        <v>400.0</v>
      </c>
      <c r="N5105" s="7">
        <v>44092.0</v>
      </c>
    </row>
    <row r="5106">
      <c r="A5106" s="8">
        <v>5105.0</v>
      </c>
      <c r="B5106" s="8" t="s">
        <v>6365</v>
      </c>
      <c r="C5106" s="8" t="s">
        <v>21</v>
      </c>
      <c r="N5106" s="7">
        <v>45252.0</v>
      </c>
    </row>
    <row r="5107">
      <c r="A5107" s="8">
        <v>5106.0</v>
      </c>
      <c r="B5107" s="8" t="s">
        <v>6366</v>
      </c>
      <c r="C5107" s="8" t="s">
        <v>21</v>
      </c>
      <c r="K5107" s="8">
        <v>700.0</v>
      </c>
      <c r="N5107" s="7">
        <v>44835.0</v>
      </c>
    </row>
    <row r="5108">
      <c r="A5108" s="8">
        <v>5107.0</v>
      </c>
      <c r="B5108" s="8" t="s">
        <v>389</v>
      </c>
      <c r="C5108" s="8" t="s">
        <v>21</v>
      </c>
      <c r="K5108" s="8">
        <v>600.0</v>
      </c>
      <c r="N5108" s="7">
        <v>44125.0</v>
      </c>
    </row>
    <row r="5109">
      <c r="A5109" s="8">
        <v>5108.0</v>
      </c>
      <c r="B5109" s="8" t="s">
        <v>6367</v>
      </c>
      <c r="C5109" s="8" t="s">
        <v>21</v>
      </c>
      <c r="K5109" s="8">
        <v>40.0</v>
      </c>
      <c r="N5109" s="7">
        <v>45286.0</v>
      </c>
    </row>
    <row r="5110">
      <c r="A5110" s="8">
        <v>5109.0</v>
      </c>
      <c r="B5110" s="8" t="s">
        <v>6368</v>
      </c>
      <c r="C5110" s="8" t="s">
        <v>21</v>
      </c>
      <c r="K5110" s="8">
        <v>4200.0</v>
      </c>
      <c r="N5110" s="7">
        <v>44519.0</v>
      </c>
    </row>
    <row r="5111">
      <c r="A5111" s="8">
        <v>5110.0</v>
      </c>
      <c r="B5111" s="8" t="s">
        <v>6369</v>
      </c>
      <c r="C5111" s="8" t="s">
        <v>21</v>
      </c>
      <c r="K5111" s="8">
        <v>1000.0</v>
      </c>
      <c r="N5111" s="7">
        <v>44313.0</v>
      </c>
      <c r="O5111" s="8" t="s">
        <v>107</v>
      </c>
      <c r="P5111" s="8" t="s">
        <v>28</v>
      </c>
      <c r="S5111" s="8" t="s">
        <v>32</v>
      </c>
    </row>
    <row r="5112">
      <c r="A5112" s="8">
        <v>5111.0</v>
      </c>
      <c r="B5112" s="8" t="s">
        <v>6370</v>
      </c>
      <c r="C5112" s="8" t="s">
        <v>21</v>
      </c>
      <c r="K5112" s="8">
        <v>300.0</v>
      </c>
      <c r="N5112" s="7">
        <v>44485.0</v>
      </c>
    </row>
    <row r="5113">
      <c r="A5113" s="8">
        <v>5112.0</v>
      </c>
      <c r="B5113" s="8" t="s">
        <v>6371</v>
      </c>
      <c r="C5113" s="8" t="s">
        <v>21</v>
      </c>
      <c r="K5113" s="8">
        <v>350.0</v>
      </c>
      <c r="N5113" s="7">
        <v>43990.0</v>
      </c>
    </row>
    <row r="5114">
      <c r="A5114" s="8">
        <v>5113.0</v>
      </c>
      <c r="B5114" s="8" t="s">
        <v>6372</v>
      </c>
      <c r="C5114" s="8" t="s">
        <v>21</v>
      </c>
      <c r="K5114" s="8">
        <v>100.0</v>
      </c>
      <c r="N5114" s="7">
        <v>45143.0</v>
      </c>
    </row>
    <row r="5115">
      <c r="A5115" s="8">
        <v>5114.0</v>
      </c>
      <c r="B5115" s="8" t="s">
        <v>6373</v>
      </c>
      <c r="C5115" s="8" t="s">
        <v>21</v>
      </c>
      <c r="K5115" s="8">
        <v>70000.0</v>
      </c>
      <c r="N5115" s="7">
        <v>44420.0</v>
      </c>
    </row>
    <row r="5116">
      <c r="A5116" s="8">
        <v>5115.0</v>
      </c>
      <c r="B5116" s="8" t="s">
        <v>6374</v>
      </c>
      <c r="C5116" s="8" t="s">
        <v>21</v>
      </c>
      <c r="N5116" s="7">
        <v>46085.0</v>
      </c>
    </row>
    <row r="5117">
      <c r="A5117" s="8">
        <v>5116.0</v>
      </c>
      <c r="B5117" s="8" t="s">
        <v>6375</v>
      </c>
      <c r="C5117" s="8" t="s">
        <v>21</v>
      </c>
      <c r="K5117" s="8">
        <v>250.0</v>
      </c>
      <c r="N5117" s="7">
        <v>44894.0</v>
      </c>
    </row>
    <row r="5118">
      <c r="A5118" s="8">
        <v>5117.0</v>
      </c>
      <c r="B5118" s="8" t="s">
        <v>6376</v>
      </c>
      <c r="C5118" s="8" t="s">
        <v>21</v>
      </c>
      <c r="K5118" s="8">
        <v>3300.0</v>
      </c>
      <c r="N5118" s="7">
        <v>44156.0</v>
      </c>
    </row>
    <row r="5119">
      <c r="A5119" s="8">
        <v>5118.0</v>
      </c>
      <c r="B5119" s="8" t="s">
        <v>6377</v>
      </c>
      <c r="C5119" s="8" t="s">
        <v>21</v>
      </c>
      <c r="K5119" s="8">
        <v>60.0</v>
      </c>
      <c r="N5119" s="7">
        <v>44198.0</v>
      </c>
    </row>
    <row r="5120">
      <c r="A5120" s="8">
        <v>5119.0</v>
      </c>
      <c r="B5120" s="8" t="s">
        <v>6378</v>
      </c>
      <c r="C5120" s="8" t="s">
        <v>21</v>
      </c>
      <c r="K5120" s="8">
        <v>800.0</v>
      </c>
      <c r="N5120" s="7">
        <v>43877.0</v>
      </c>
    </row>
    <row r="5121">
      <c r="A5121" s="8">
        <v>5120.0</v>
      </c>
      <c r="B5121" s="8" t="s">
        <v>6379</v>
      </c>
      <c r="C5121" s="8" t="s">
        <v>21</v>
      </c>
      <c r="K5121" s="8">
        <v>20.0</v>
      </c>
      <c r="N5121" s="7">
        <v>44383.0</v>
      </c>
    </row>
    <row r="5122">
      <c r="A5122" s="8">
        <v>5121.0</v>
      </c>
      <c r="B5122" s="8" t="s">
        <v>6380</v>
      </c>
      <c r="C5122" s="8" t="s">
        <v>21</v>
      </c>
      <c r="K5122" s="8">
        <v>1500.0</v>
      </c>
      <c r="N5122" s="7">
        <v>43869.0</v>
      </c>
    </row>
    <row r="5123">
      <c r="A5123" s="8">
        <v>5122.0</v>
      </c>
      <c r="B5123" s="8" t="s">
        <v>245</v>
      </c>
      <c r="C5123" s="8" t="s">
        <v>21</v>
      </c>
      <c r="N5123" s="7">
        <v>43217.0</v>
      </c>
      <c r="O5123" s="8" t="s">
        <v>26</v>
      </c>
      <c r="P5123" s="8" t="s">
        <v>28</v>
      </c>
      <c r="S5123" s="8" t="s">
        <v>32</v>
      </c>
    </row>
    <row r="5124">
      <c r="A5124" s="8">
        <v>5123.0</v>
      </c>
      <c r="B5124" s="8" t="s">
        <v>6381</v>
      </c>
      <c r="C5124" s="8" t="s">
        <v>21</v>
      </c>
      <c r="K5124" s="8">
        <v>200.0</v>
      </c>
      <c r="N5124" s="7">
        <v>44614.0</v>
      </c>
    </row>
    <row r="5125">
      <c r="A5125" s="8">
        <v>5124.0</v>
      </c>
      <c r="B5125" s="8" t="s">
        <v>6382</v>
      </c>
      <c r="C5125" s="8" t="s">
        <v>21</v>
      </c>
      <c r="K5125" s="8">
        <v>50.0</v>
      </c>
      <c r="N5125" s="7">
        <v>44549.0</v>
      </c>
    </row>
    <row r="5126">
      <c r="A5126" s="8">
        <v>5125.0</v>
      </c>
      <c r="B5126" s="8" t="s">
        <v>6383</v>
      </c>
      <c r="C5126" s="8" t="s">
        <v>21</v>
      </c>
      <c r="K5126" s="8">
        <v>3200.0</v>
      </c>
      <c r="N5126" s="7">
        <v>44842.0</v>
      </c>
    </row>
    <row r="5127">
      <c r="A5127" s="8">
        <v>5126.0</v>
      </c>
      <c r="B5127" s="8" t="s">
        <v>6384</v>
      </c>
      <c r="C5127" s="8" t="s">
        <v>21</v>
      </c>
      <c r="K5127" s="8">
        <v>10.0</v>
      </c>
      <c r="N5127" s="7">
        <v>44340.0</v>
      </c>
      <c r="O5127" s="8" t="s">
        <v>147</v>
      </c>
      <c r="P5127" s="8" t="s">
        <v>28</v>
      </c>
      <c r="S5127" s="8" t="s">
        <v>32</v>
      </c>
    </row>
    <row r="5128">
      <c r="A5128" s="8">
        <v>5127.0</v>
      </c>
      <c r="B5128" s="8" t="s">
        <v>6385</v>
      </c>
      <c r="C5128" s="8" t="s">
        <v>21</v>
      </c>
      <c r="N5128" s="7">
        <v>44293.0</v>
      </c>
    </row>
    <row r="5129">
      <c r="A5129" s="8">
        <v>5128.0</v>
      </c>
      <c r="B5129" s="8" t="s">
        <v>6386</v>
      </c>
      <c r="C5129" s="8" t="s">
        <v>21</v>
      </c>
      <c r="K5129" s="8">
        <v>5700.0</v>
      </c>
      <c r="N5129" s="7">
        <v>43975.0</v>
      </c>
    </row>
    <row r="5130">
      <c r="A5130" s="8">
        <v>5129.0</v>
      </c>
      <c r="B5130" s="8" t="s">
        <v>6387</v>
      </c>
      <c r="C5130" s="8" t="s">
        <v>21</v>
      </c>
      <c r="K5130" s="8">
        <v>800.0</v>
      </c>
      <c r="N5130" s="7">
        <v>44402.0</v>
      </c>
    </row>
    <row r="5131">
      <c r="A5131" s="8">
        <v>5130.0</v>
      </c>
      <c r="B5131" s="8" t="s">
        <v>6388</v>
      </c>
      <c r="C5131" s="8" t="s">
        <v>21</v>
      </c>
      <c r="K5131" s="8">
        <v>10.0</v>
      </c>
      <c r="N5131" s="7">
        <v>44447.0</v>
      </c>
    </row>
    <row r="5132">
      <c r="A5132" s="8">
        <v>5131.0</v>
      </c>
      <c r="B5132" s="8" t="s">
        <v>6389</v>
      </c>
      <c r="C5132" s="8" t="s">
        <v>21</v>
      </c>
      <c r="K5132" s="8">
        <v>80.0</v>
      </c>
      <c r="N5132" s="7">
        <v>44195.0</v>
      </c>
    </row>
    <row r="5133">
      <c r="A5133" s="8">
        <v>5132.0</v>
      </c>
      <c r="B5133" s="8" t="s">
        <v>6390</v>
      </c>
      <c r="C5133" s="8" t="s">
        <v>21</v>
      </c>
      <c r="N5133" s="7">
        <v>45033.0</v>
      </c>
    </row>
    <row r="5134">
      <c r="A5134" s="8">
        <v>5133.0</v>
      </c>
      <c r="B5134" s="8" t="s">
        <v>6391</v>
      </c>
      <c r="C5134" s="8" t="s">
        <v>21</v>
      </c>
      <c r="K5134" s="8">
        <v>200.0</v>
      </c>
      <c r="N5134" s="7">
        <v>45866.0</v>
      </c>
    </row>
    <row r="5135">
      <c r="A5135" s="8">
        <v>5134.0</v>
      </c>
      <c r="B5135" s="8" t="s">
        <v>6392</v>
      </c>
      <c r="C5135" s="8" t="s">
        <v>21</v>
      </c>
      <c r="N5135" s="7">
        <v>45624.0</v>
      </c>
    </row>
    <row r="5136">
      <c r="A5136" s="8">
        <v>5135.0</v>
      </c>
      <c r="B5136" s="8" t="s">
        <v>392</v>
      </c>
      <c r="C5136" s="8" t="s">
        <v>21</v>
      </c>
      <c r="N5136" s="7">
        <v>44792.0</v>
      </c>
    </row>
    <row r="5137">
      <c r="A5137" s="8">
        <v>5136.0</v>
      </c>
      <c r="B5137" s="8" t="s">
        <v>6393</v>
      </c>
      <c r="C5137" s="8" t="s">
        <v>21</v>
      </c>
      <c r="K5137" s="8">
        <v>300.0</v>
      </c>
      <c r="N5137" s="7">
        <v>44668.0</v>
      </c>
    </row>
    <row r="5138">
      <c r="A5138" s="8">
        <v>5137.0</v>
      </c>
      <c r="B5138" s="8" t="s">
        <v>6394</v>
      </c>
      <c r="C5138" s="8" t="s">
        <v>21</v>
      </c>
      <c r="K5138" s="8">
        <v>20.0</v>
      </c>
      <c r="N5138" s="7">
        <v>44173.0</v>
      </c>
    </row>
    <row r="5139">
      <c r="A5139" s="8">
        <v>5138.0</v>
      </c>
      <c r="B5139" s="8" t="s">
        <v>6395</v>
      </c>
      <c r="C5139" s="8" t="s">
        <v>21</v>
      </c>
      <c r="K5139" s="8">
        <v>10.0</v>
      </c>
      <c r="N5139" s="7">
        <v>43901.0</v>
      </c>
    </row>
    <row r="5140">
      <c r="A5140" s="8">
        <v>5139.0</v>
      </c>
      <c r="B5140" s="8" t="s">
        <v>6396</v>
      </c>
      <c r="C5140" s="8" t="s">
        <v>21</v>
      </c>
      <c r="K5140" s="8">
        <v>3800.0</v>
      </c>
      <c r="N5140" s="7">
        <v>44016.0</v>
      </c>
    </row>
    <row r="5141">
      <c r="A5141" s="8">
        <v>5140.0</v>
      </c>
      <c r="B5141" s="8" t="s">
        <v>6397</v>
      </c>
      <c r="C5141" s="8" t="s">
        <v>21</v>
      </c>
      <c r="K5141" s="8">
        <v>9700.0</v>
      </c>
      <c r="N5141" s="7">
        <v>45246.0</v>
      </c>
    </row>
    <row r="5142">
      <c r="A5142" s="8">
        <v>5141.0</v>
      </c>
      <c r="B5142" s="8" t="s">
        <v>6398</v>
      </c>
      <c r="C5142" s="8" t="s">
        <v>21</v>
      </c>
      <c r="N5142" s="7">
        <v>42271.0</v>
      </c>
      <c r="O5142" s="8" t="s">
        <v>26</v>
      </c>
      <c r="P5142" s="8" t="s">
        <v>28</v>
      </c>
      <c r="S5142" s="8" t="s">
        <v>32</v>
      </c>
    </row>
    <row r="5143">
      <c r="A5143" s="8">
        <v>5142.0</v>
      </c>
      <c r="B5143" s="8" t="s">
        <v>6399</v>
      </c>
      <c r="C5143" s="8" t="s">
        <v>21</v>
      </c>
      <c r="K5143" s="8">
        <v>100.0</v>
      </c>
      <c r="N5143" s="7">
        <v>44481.0</v>
      </c>
    </row>
    <row r="5144">
      <c r="A5144" s="8">
        <v>5143.0</v>
      </c>
      <c r="B5144" s="8" t="s">
        <v>6400</v>
      </c>
      <c r="C5144" s="8" t="s">
        <v>21</v>
      </c>
      <c r="K5144" s="8">
        <v>15000.0</v>
      </c>
      <c r="N5144" s="7">
        <v>43182.0</v>
      </c>
    </row>
    <row r="5145">
      <c r="A5145" s="8">
        <v>5144.0</v>
      </c>
      <c r="B5145" s="8" t="s">
        <v>6401</v>
      </c>
      <c r="C5145" s="8" t="s">
        <v>21</v>
      </c>
      <c r="K5145" s="8">
        <v>150.0</v>
      </c>
      <c r="N5145" s="7">
        <v>44335.0</v>
      </c>
    </row>
    <row r="5146">
      <c r="A5146" s="8">
        <v>5145.0</v>
      </c>
      <c r="B5146" s="8" t="s">
        <v>6402</v>
      </c>
      <c r="C5146" s="8" t="s">
        <v>21</v>
      </c>
      <c r="N5146" s="7">
        <v>44500.0</v>
      </c>
    </row>
    <row r="5147">
      <c r="A5147" s="8">
        <v>5146.0</v>
      </c>
      <c r="B5147" s="8" t="s">
        <v>6403</v>
      </c>
      <c r="C5147" s="8" t="s">
        <v>21</v>
      </c>
      <c r="K5147" s="8">
        <v>3800.0</v>
      </c>
      <c r="N5147" s="7">
        <v>45016.0</v>
      </c>
    </row>
    <row r="5148">
      <c r="A5148" s="8">
        <v>5147.0</v>
      </c>
      <c r="B5148" s="8" t="s">
        <v>6404</v>
      </c>
      <c r="C5148" s="8" t="s">
        <v>21</v>
      </c>
      <c r="K5148" s="8">
        <v>250.0</v>
      </c>
      <c r="N5148" s="7">
        <v>44041.0</v>
      </c>
    </row>
    <row r="5149">
      <c r="A5149" s="8">
        <v>5148.0</v>
      </c>
      <c r="B5149" s="8" t="s">
        <v>6405</v>
      </c>
      <c r="C5149" s="8" t="s">
        <v>21</v>
      </c>
      <c r="K5149" s="8">
        <v>40.0</v>
      </c>
      <c r="N5149" s="7">
        <v>43949.0</v>
      </c>
    </row>
  </sheetData>
  <hyperlinks>
    <hyperlink r:id="rId1" ref="B1675"/>
    <hyperlink r:id="rId2" ref="B382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8">
        <v>1.0</v>
      </c>
      <c r="B2" s="8" t="s">
        <v>22</v>
      </c>
      <c r="C2" s="8" t="s">
        <v>21</v>
      </c>
      <c r="I2" s="9"/>
      <c r="K2" s="8">
        <v>20.0</v>
      </c>
      <c r="N2" s="7">
        <v>44434.0</v>
      </c>
    </row>
    <row r="3">
      <c r="A3" s="8">
        <v>2.0</v>
      </c>
      <c r="B3" s="8" t="s">
        <v>24</v>
      </c>
      <c r="C3" s="8" t="s">
        <v>21</v>
      </c>
      <c r="I3" s="9"/>
      <c r="K3" s="8">
        <v>40.0</v>
      </c>
      <c r="N3" s="7">
        <v>44331.0</v>
      </c>
    </row>
    <row r="4">
      <c r="A4" s="8">
        <v>3.0</v>
      </c>
      <c r="B4" s="8" t="s">
        <v>27</v>
      </c>
      <c r="C4" s="8" t="s">
        <v>21</v>
      </c>
      <c r="I4" s="9"/>
      <c r="K4" s="8">
        <v>30.0</v>
      </c>
      <c r="N4" s="7">
        <v>44480.0</v>
      </c>
    </row>
    <row r="5">
      <c r="A5" s="8">
        <v>4.0</v>
      </c>
      <c r="B5" s="8" t="s">
        <v>33</v>
      </c>
      <c r="C5" s="8" t="s">
        <v>21</v>
      </c>
      <c r="I5" s="9"/>
      <c r="K5" s="8">
        <v>150.0</v>
      </c>
      <c r="N5" s="7">
        <v>44201.0</v>
      </c>
    </row>
    <row r="6">
      <c r="A6" s="8">
        <v>5.0</v>
      </c>
      <c r="B6" s="8" t="s">
        <v>37</v>
      </c>
      <c r="C6" s="8" t="s">
        <v>21</v>
      </c>
      <c r="I6" s="9"/>
      <c r="K6" s="8">
        <v>20.0</v>
      </c>
      <c r="N6" s="7">
        <v>44071.0</v>
      </c>
    </row>
    <row r="7">
      <c r="A7" s="8">
        <v>6.0</v>
      </c>
      <c r="B7" s="8" t="s">
        <v>39</v>
      </c>
      <c r="C7" s="8" t="s">
        <v>21</v>
      </c>
      <c r="I7" s="9"/>
      <c r="K7" s="8">
        <v>600.0</v>
      </c>
      <c r="N7" s="7">
        <v>44631.0</v>
      </c>
    </row>
    <row r="8">
      <c r="A8" s="8">
        <v>7.0</v>
      </c>
      <c r="B8" s="8" t="s">
        <v>41</v>
      </c>
      <c r="C8" s="8" t="s">
        <v>21</v>
      </c>
      <c r="I8" s="9"/>
      <c r="K8" s="8">
        <v>150.0</v>
      </c>
      <c r="N8" s="7">
        <v>44352.0</v>
      </c>
    </row>
    <row r="9">
      <c r="A9" s="8">
        <v>8.0</v>
      </c>
      <c r="B9" s="8" t="s">
        <v>44</v>
      </c>
      <c r="C9" s="8" t="s">
        <v>21</v>
      </c>
      <c r="I9" s="9"/>
      <c r="N9" s="7">
        <v>44620.0</v>
      </c>
    </row>
    <row r="10">
      <c r="A10" s="8">
        <v>9.0</v>
      </c>
      <c r="B10" s="8" t="s">
        <v>46</v>
      </c>
      <c r="C10" s="8" t="s">
        <v>21</v>
      </c>
      <c r="I10" s="9"/>
      <c r="K10" s="8">
        <v>700.0</v>
      </c>
      <c r="N10" s="7">
        <v>44513.0</v>
      </c>
    </row>
    <row r="11">
      <c r="A11" s="8">
        <v>10.0</v>
      </c>
      <c r="B11" s="8" t="s">
        <v>48</v>
      </c>
      <c r="C11" s="8" t="s">
        <v>21</v>
      </c>
      <c r="K11" s="8">
        <v>20.0</v>
      </c>
      <c r="N11" s="7">
        <v>44483.0</v>
      </c>
    </row>
    <row r="12">
      <c r="A12" s="8">
        <v>11.0</v>
      </c>
      <c r="B12" s="8" t="s">
        <v>49</v>
      </c>
      <c r="C12" s="8" t="s">
        <v>21</v>
      </c>
      <c r="I12" s="9"/>
      <c r="K12" s="8">
        <v>30.0</v>
      </c>
      <c r="N12" s="7">
        <v>44208.0</v>
      </c>
    </row>
    <row r="13">
      <c r="A13" s="8">
        <v>12.0</v>
      </c>
      <c r="B13" s="8" t="s">
        <v>50</v>
      </c>
      <c r="C13" s="8" t="s">
        <v>21</v>
      </c>
      <c r="I13" s="9"/>
      <c r="K13" s="8">
        <v>40.0</v>
      </c>
      <c r="N13" s="7">
        <v>44139.0</v>
      </c>
    </row>
    <row r="14">
      <c r="A14" s="8">
        <v>13.0</v>
      </c>
      <c r="B14" s="8" t="s">
        <v>54</v>
      </c>
      <c r="C14" s="8" t="s">
        <v>21</v>
      </c>
      <c r="K14" s="8">
        <v>10.0</v>
      </c>
      <c r="N14" s="7">
        <v>44593.0</v>
      </c>
    </row>
    <row r="15">
      <c r="A15" s="8">
        <v>14.0</v>
      </c>
      <c r="B15" s="8" t="s">
        <v>56</v>
      </c>
      <c r="C15" s="8" t="s">
        <v>21</v>
      </c>
      <c r="I15" s="9"/>
      <c r="K15" s="8">
        <v>30.0</v>
      </c>
      <c r="N15" s="7">
        <v>44603.0</v>
      </c>
    </row>
    <row r="16">
      <c r="A16" s="8">
        <v>15.0</v>
      </c>
      <c r="B16" s="8" t="s">
        <v>61</v>
      </c>
      <c r="C16" s="8" t="s">
        <v>21</v>
      </c>
      <c r="I16" s="9"/>
      <c r="N16" s="7">
        <v>43894.0</v>
      </c>
    </row>
    <row r="17">
      <c r="A17" s="8">
        <v>16.0</v>
      </c>
      <c r="B17" s="8" t="s">
        <v>63</v>
      </c>
      <c r="C17" s="8" t="s">
        <v>21</v>
      </c>
      <c r="I17" s="9"/>
      <c r="K17" s="8">
        <v>40.0</v>
      </c>
      <c r="N17" s="7">
        <v>45037.0</v>
      </c>
    </row>
    <row r="18">
      <c r="A18" s="8">
        <v>17.0</v>
      </c>
      <c r="B18" s="8" t="s">
        <v>64</v>
      </c>
      <c r="C18" s="8" t="s">
        <v>21</v>
      </c>
      <c r="I18" s="9"/>
      <c r="K18" s="8">
        <v>200.0</v>
      </c>
      <c r="N18" s="7">
        <v>44166.0</v>
      </c>
    </row>
    <row r="19">
      <c r="A19" s="8">
        <v>18.0</v>
      </c>
      <c r="B19" s="8" t="s">
        <v>67</v>
      </c>
      <c r="C19" s="8" t="s">
        <v>21</v>
      </c>
      <c r="I19" s="9"/>
      <c r="K19" s="8">
        <v>60.0</v>
      </c>
      <c r="N19" s="7">
        <v>44496.0</v>
      </c>
    </row>
    <row r="20">
      <c r="A20" s="8">
        <v>19.0</v>
      </c>
      <c r="B20" s="8" t="s">
        <v>69</v>
      </c>
      <c r="C20" s="8" t="s">
        <v>21</v>
      </c>
      <c r="I20" s="9"/>
      <c r="K20" s="8">
        <v>20.0</v>
      </c>
      <c r="N20" s="7">
        <v>45060.0</v>
      </c>
    </row>
    <row r="21">
      <c r="A21" s="8">
        <v>20.0</v>
      </c>
      <c r="B21" s="8" t="s">
        <v>70</v>
      </c>
      <c r="C21" s="8" t="s">
        <v>21</v>
      </c>
      <c r="I21" s="9"/>
      <c r="K21" s="8">
        <v>60.0</v>
      </c>
      <c r="N21" s="7">
        <v>44159.0</v>
      </c>
    </row>
    <row r="22">
      <c r="A22" s="8">
        <v>21.0</v>
      </c>
      <c r="B22" s="8" t="s">
        <v>71</v>
      </c>
      <c r="C22" s="8" t="s">
        <v>21</v>
      </c>
      <c r="I22" s="9"/>
      <c r="K22" s="8">
        <v>70.0</v>
      </c>
      <c r="N22" s="7">
        <v>44482.0</v>
      </c>
    </row>
    <row r="23">
      <c r="A23" s="8">
        <v>22.0</v>
      </c>
      <c r="B23" s="8" t="s">
        <v>72</v>
      </c>
      <c r="C23" s="8" t="s">
        <v>21</v>
      </c>
      <c r="N23" s="7">
        <v>44904.0</v>
      </c>
    </row>
    <row r="24">
      <c r="A24" s="8">
        <v>23.0</v>
      </c>
      <c r="B24" s="8" t="s">
        <v>74</v>
      </c>
      <c r="C24" s="8" t="s">
        <v>21</v>
      </c>
      <c r="I24" s="9"/>
      <c r="K24" s="8">
        <v>20.0</v>
      </c>
      <c r="N24" s="7">
        <v>44150.0</v>
      </c>
    </row>
    <row r="25">
      <c r="A25" s="8">
        <v>24.0</v>
      </c>
      <c r="B25" s="8" t="s">
        <v>75</v>
      </c>
      <c r="C25" s="8" t="s">
        <v>21</v>
      </c>
      <c r="I25" s="9"/>
      <c r="K25" s="8">
        <v>10.0</v>
      </c>
      <c r="N25" s="7">
        <v>44175.0</v>
      </c>
    </row>
    <row r="26">
      <c r="A26" s="8">
        <v>25.0</v>
      </c>
      <c r="B26" s="8" t="s">
        <v>77</v>
      </c>
      <c r="C26" s="8" t="s">
        <v>21</v>
      </c>
      <c r="I26" s="9"/>
      <c r="K26" s="8">
        <v>80.0</v>
      </c>
      <c r="N26" s="7">
        <v>45128.0</v>
      </c>
    </row>
    <row r="27">
      <c r="A27" s="8">
        <v>26.0</v>
      </c>
      <c r="B27" s="8" t="s">
        <v>80</v>
      </c>
      <c r="C27" s="8" t="s">
        <v>21</v>
      </c>
      <c r="I27" s="9"/>
      <c r="K27" s="8">
        <v>100.0</v>
      </c>
      <c r="N27" s="7">
        <v>44013.0</v>
      </c>
    </row>
    <row r="28">
      <c r="A28" s="8">
        <v>27.0</v>
      </c>
      <c r="B28" s="8" t="s">
        <v>81</v>
      </c>
      <c r="C28" s="8" t="s">
        <v>21</v>
      </c>
      <c r="K28" s="8">
        <v>600.0</v>
      </c>
      <c r="N28" s="7">
        <v>44149.0</v>
      </c>
    </row>
    <row r="29">
      <c r="A29" s="8">
        <v>28.0</v>
      </c>
      <c r="B29" s="8" t="s">
        <v>85</v>
      </c>
      <c r="C29" s="8" t="s">
        <v>21</v>
      </c>
      <c r="I29" s="9"/>
      <c r="K29" s="8">
        <v>10.0</v>
      </c>
      <c r="N29" s="7">
        <v>44348.0</v>
      </c>
    </row>
    <row r="30">
      <c r="A30" s="8">
        <v>29.0</v>
      </c>
      <c r="B30" s="8" t="s">
        <v>87</v>
      </c>
      <c r="C30" s="8" t="s">
        <v>21</v>
      </c>
      <c r="I30" s="9"/>
      <c r="K30" s="8">
        <v>2800.0</v>
      </c>
      <c r="N30" s="7">
        <v>46057.0</v>
      </c>
    </row>
    <row r="31">
      <c r="A31" s="8">
        <v>30.0</v>
      </c>
      <c r="B31" s="8" t="s">
        <v>89</v>
      </c>
      <c r="C31" s="8" t="s">
        <v>21</v>
      </c>
      <c r="I31" s="9"/>
      <c r="K31" s="8">
        <v>600.0</v>
      </c>
      <c r="N31" s="7">
        <v>44885.0</v>
      </c>
    </row>
    <row r="32">
      <c r="A32" s="8">
        <v>31.0</v>
      </c>
      <c r="B32" s="8" t="s">
        <v>92</v>
      </c>
      <c r="C32" s="8" t="s">
        <v>21</v>
      </c>
      <c r="I32" s="9"/>
      <c r="K32" s="8">
        <v>300.0</v>
      </c>
      <c r="N32" s="7">
        <v>44872.0</v>
      </c>
    </row>
    <row r="33">
      <c r="A33" s="8">
        <v>32.0</v>
      </c>
      <c r="B33" s="8" t="s">
        <v>94</v>
      </c>
      <c r="C33" s="8" t="s">
        <v>21</v>
      </c>
      <c r="I33" s="9"/>
      <c r="K33" s="8">
        <v>450.0</v>
      </c>
      <c r="N33" s="7">
        <v>44784.0</v>
      </c>
    </row>
    <row r="34">
      <c r="A34" s="8">
        <v>33.0</v>
      </c>
      <c r="B34" s="8" t="s">
        <v>98</v>
      </c>
      <c r="C34" s="8" t="s">
        <v>21</v>
      </c>
      <c r="I34" s="9"/>
      <c r="K34" s="8">
        <v>10.0</v>
      </c>
      <c r="N34" s="7">
        <v>45539.0</v>
      </c>
    </row>
    <row r="35">
      <c r="A35" s="8">
        <v>34.0</v>
      </c>
      <c r="B35" s="8" t="s">
        <v>100</v>
      </c>
      <c r="C35" s="8" t="s">
        <v>21</v>
      </c>
      <c r="I35" s="9"/>
      <c r="K35" s="8">
        <v>150.0</v>
      </c>
      <c r="N35" s="7">
        <v>44349.0</v>
      </c>
    </row>
    <row r="36">
      <c r="A36" s="8">
        <v>35.0</v>
      </c>
      <c r="B36" s="8" t="s">
        <v>104</v>
      </c>
      <c r="C36" s="8" t="s">
        <v>21</v>
      </c>
      <c r="I36" s="9"/>
      <c r="K36" s="8">
        <v>10.0</v>
      </c>
      <c r="N36" s="7">
        <v>44766.0</v>
      </c>
    </row>
    <row r="37">
      <c r="A37" s="8">
        <v>36.0</v>
      </c>
      <c r="B37" s="8" t="s">
        <v>106</v>
      </c>
      <c r="C37" s="8" t="s">
        <v>21</v>
      </c>
      <c r="I37" s="9"/>
      <c r="K37" s="8">
        <v>10.0</v>
      </c>
      <c r="N37" s="7">
        <v>45602.0</v>
      </c>
    </row>
    <row r="38">
      <c r="A38" s="8">
        <v>37.0</v>
      </c>
      <c r="B38" s="8" t="s">
        <v>108</v>
      </c>
      <c r="C38" s="8" t="s">
        <v>21</v>
      </c>
      <c r="I38" s="9"/>
      <c r="K38" s="8">
        <v>40.0</v>
      </c>
      <c r="N38" s="7">
        <v>45238.0</v>
      </c>
    </row>
    <row r="39">
      <c r="A39" s="8">
        <v>38.0</v>
      </c>
      <c r="B39" s="8" t="s">
        <v>112</v>
      </c>
      <c r="C39" s="8" t="s">
        <v>21</v>
      </c>
      <c r="I39" s="9"/>
      <c r="K39" s="8">
        <v>700.0</v>
      </c>
      <c r="N39" s="7">
        <v>45140.0</v>
      </c>
    </row>
    <row r="40">
      <c r="A40" s="8">
        <v>39.0</v>
      </c>
      <c r="B40" s="8" t="s">
        <v>115</v>
      </c>
      <c r="C40" s="8" t="s">
        <v>21</v>
      </c>
      <c r="I40" s="9"/>
      <c r="K40" s="8">
        <v>10.0</v>
      </c>
      <c r="N40" s="7">
        <v>44642.0</v>
      </c>
    </row>
    <row r="41">
      <c r="A41" s="8">
        <v>40.0</v>
      </c>
      <c r="B41" s="8" t="s">
        <v>118</v>
      </c>
      <c r="C41" s="8" t="s">
        <v>21</v>
      </c>
      <c r="I41" s="9"/>
      <c r="K41" s="8">
        <v>80.0</v>
      </c>
      <c r="N41" s="7">
        <v>44445.0</v>
      </c>
    </row>
    <row r="42">
      <c r="A42" s="8">
        <v>41.0</v>
      </c>
      <c r="B42" s="8" t="s">
        <v>121</v>
      </c>
      <c r="C42" s="8" t="s">
        <v>21</v>
      </c>
      <c r="I42" s="9"/>
      <c r="K42" s="8">
        <v>10.0</v>
      </c>
      <c r="N42" s="7">
        <v>45106.0</v>
      </c>
    </row>
    <row r="43">
      <c r="A43" s="8">
        <v>42.0</v>
      </c>
      <c r="B43" s="8" t="s">
        <v>124</v>
      </c>
      <c r="C43" s="8" t="s">
        <v>21</v>
      </c>
      <c r="I43" s="9"/>
      <c r="K43" s="8">
        <v>60.0</v>
      </c>
      <c r="N43" s="7">
        <v>44353.0</v>
      </c>
    </row>
    <row r="44">
      <c r="A44" s="8">
        <v>43.0</v>
      </c>
      <c r="B44" s="8" t="s">
        <v>126</v>
      </c>
      <c r="C44" s="8" t="s">
        <v>21</v>
      </c>
      <c r="I44" s="9"/>
      <c r="K44" s="8">
        <v>1200.0</v>
      </c>
      <c r="N44" s="7">
        <v>44108.0</v>
      </c>
    </row>
    <row r="45">
      <c r="A45" s="8">
        <v>44.0</v>
      </c>
      <c r="B45" s="8" t="s">
        <v>130</v>
      </c>
      <c r="C45" s="8" t="s">
        <v>21</v>
      </c>
      <c r="K45" s="8">
        <v>200.0</v>
      </c>
      <c r="N45" s="7">
        <v>45909.0</v>
      </c>
    </row>
    <row r="46">
      <c r="A46" s="8">
        <v>45.0</v>
      </c>
      <c r="B46" s="8" t="s">
        <v>133</v>
      </c>
      <c r="C46" s="8" t="s">
        <v>21</v>
      </c>
      <c r="K46" s="8">
        <v>1600.0</v>
      </c>
      <c r="N46" s="7">
        <v>46046.0</v>
      </c>
    </row>
    <row r="47">
      <c r="A47" s="8">
        <v>46.0</v>
      </c>
      <c r="B47" s="8" t="s">
        <v>135</v>
      </c>
      <c r="C47" s="8" t="s">
        <v>21</v>
      </c>
      <c r="K47" s="8">
        <v>100.0</v>
      </c>
      <c r="N47" s="7">
        <v>45125.0</v>
      </c>
    </row>
    <row r="48">
      <c r="A48" s="8">
        <v>47.0</v>
      </c>
      <c r="B48" s="8" t="s">
        <v>137</v>
      </c>
      <c r="C48" s="8" t="s">
        <v>21</v>
      </c>
      <c r="I48" s="9"/>
      <c r="N48" s="7">
        <v>44091.0</v>
      </c>
    </row>
    <row r="49">
      <c r="A49" s="8">
        <v>48.0</v>
      </c>
      <c r="B49" s="8" t="s">
        <v>139</v>
      </c>
      <c r="C49" s="8" t="s">
        <v>21</v>
      </c>
      <c r="I49" s="9"/>
      <c r="K49" s="8">
        <v>90.0</v>
      </c>
      <c r="N49" s="7">
        <v>44797.0</v>
      </c>
    </row>
    <row r="50">
      <c r="A50" s="8">
        <v>49.0</v>
      </c>
      <c r="B50" s="8" t="s">
        <v>141</v>
      </c>
      <c r="C50" s="8" t="s">
        <v>21</v>
      </c>
      <c r="I50" s="9"/>
      <c r="K50" s="8">
        <v>200.0</v>
      </c>
      <c r="N50" s="7">
        <v>44638.0</v>
      </c>
    </row>
    <row r="51">
      <c r="A51" s="8">
        <v>50.0</v>
      </c>
      <c r="B51" s="8" t="s">
        <v>142</v>
      </c>
      <c r="C51" s="8" t="s">
        <v>21</v>
      </c>
      <c r="I51" s="9"/>
      <c r="K51" s="8">
        <v>40.0</v>
      </c>
      <c r="N51" s="7">
        <v>44764.0</v>
      </c>
    </row>
    <row r="52">
      <c r="A52" s="8">
        <v>51.0</v>
      </c>
      <c r="B52" s="8" t="s">
        <v>145</v>
      </c>
      <c r="C52" s="8" t="s">
        <v>21</v>
      </c>
      <c r="I52" s="9"/>
      <c r="K52" s="8">
        <v>20.0</v>
      </c>
      <c r="N52" s="7">
        <v>44032.0</v>
      </c>
    </row>
    <row r="53">
      <c r="A53" s="8">
        <v>52.0</v>
      </c>
      <c r="B53" s="8" t="s">
        <v>146</v>
      </c>
      <c r="C53" s="8" t="s">
        <v>21</v>
      </c>
      <c r="I53" s="9"/>
      <c r="N53" s="7">
        <v>44107.0</v>
      </c>
    </row>
    <row r="54">
      <c r="A54" s="8">
        <v>53.0</v>
      </c>
      <c r="B54" s="8" t="s">
        <v>151</v>
      </c>
      <c r="C54" s="8" t="s">
        <v>21</v>
      </c>
      <c r="I54" s="9"/>
      <c r="K54" s="8">
        <v>150.0</v>
      </c>
      <c r="N54" s="7">
        <v>44317.0</v>
      </c>
    </row>
    <row r="55">
      <c r="A55" s="8">
        <v>54.0</v>
      </c>
      <c r="B55" s="8" t="s">
        <v>154</v>
      </c>
      <c r="C55" s="8" t="s">
        <v>21</v>
      </c>
      <c r="K55" s="8">
        <v>60.0</v>
      </c>
      <c r="N55" s="7">
        <v>44636.0</v>
      </c>
    </row>
    <row r="56">
      <c r="A56" s="8">
        <v>55.0</v>
      </c>
      <c r="B56" s="8" t="s">
        <v>156</v>
      </c>
      <c r="C56" s="8" t="s">
        <v>21</v>
      </c>
      <c r="I56" s="9"/>
      <c r="K56" s="8">
        <v>30.0</v>
      </c>
      <c r="N56" s="7">
        <v>44935.0</v>
      </c>
    </row>
    <row r="57">
      <c r="A57" s="8">
        <v>56.0</v>
      </c>
      <c r="B57" s="8" t="s">
        <v>158</v>
      </c>
      <c r="C57" s="8" t="s">
        <v>21</v>
      </c>
      <c r="I57" s="9"/>
      <c r="N57" s="7">
        <v>45694.0</v>
      </c>
    </row>
    <row r="58">
      <c r="A58" s="8">
        <v>57.0</v>
      </c>
      <c r="B58" s="8" t="s">
        <v>162</v>
      </c>
      <c r="C58" s="8" t="s">
        <v>21</v>
      </c>
      <c r="I58" s="9"/>
      <c r="K58" s="8">
        <v>100.0</v>
      </c>
      <c r="N58" s="7">
        <v>45230.0</v>
      </c>
    </row>
    <row r="59">
      <c r="A59" s="8">
        <v>58.0</v>
      </c>
      <c r="B59" s="8" t="s">
        <v>164</v>
      </c>
      <c r="C59" s="8" t="s">
        <v>21</v>
      </c>
      <c r="K59" s="8">
        <v>60.0</v>
      </c>
      <c r="N59" s="7">
        <v>44817.0</v>
      </c>
    </row>
    <row r="60">
      <c r="A60" s="8">
        <v>59.0</v>
      </c>
      <c r="B60" s="8" t="s">
        <v>166</v>
      </c>
      <c r="C60" s="8" t="s">
        <v>21</v>
      </c>
      <c r="K60" s="8">
        <v>50.0</v>
      </c>
      <c r="N60" s="7">
        <v>44977.0</v>
      </c>
    </row>
    <row r="61">
      <c r="A61" s="8">
        <v>60.0</v>
      </c>
      <c r="B61" s="8" t="s">
        <v>169</v>
      </c>
      <c r="C61" s="8" t="s">
        <v>21</v>
      </c>
      <c r="I61" s="9"/>
      <c r="K61" s="8">
        <v>100.0</v>
      </c>
      <c r="N61" s="7">
        <v>44059.0</v>
      </c>
    </row>
    <row r="62">
      <c r="A62" s="8">
        <v>61.0</v>
      </c>
      <c r="B62" s="8" t="s">
        <v>172</v>
      </c>
      <c r="C62" s="8" t="s">
        <v>21</v>
      </c>
      <c r="I62" s="9"/>
      <c r="K62" s="8">
        <v>10.0</v>
      </c>
      <c r="N62" s="7">
        <v>45049.0</v>
      </c>
    </row>
    <row r="63">
      <c r="A63" s="8">
        <v>62.0</v>
      </c>
      <c r="B63" s="8" t="s">
        <v>175</v>
      </c>
      <c r="C63" s="8" t="s">
        <v>21</v>
      </c>
      <c r="K63" s="8">
        <v>10.0</v>
      </c>
      <c r="N63" s="7">
        <v>44212.0</v>
      </c>
    </row>
    <row r="64">
      <c r="A64" s="8">
        <v>63.0</v>
      </c>
      <c r="B64" s="8" t="s">
        <v>177</v>
      </c>
      <c r="C64" s="8" t="s">
        <v>21</v>
      </c>
      <c r="N64" s="7">
        <v>44155.0</v>
      </c>
    </row>
    <row r="65">
      <c r="A65" s="8">
        <v>64.0</v>
      </c>
      <c r="B65" s="8" t="s">
        <v>179</v>
      </c>
      <c r="C65" s="8" t="s">
        <v>21</v>
      </c>
      <c r="K65" s="8">
        <v>150.0</v>
      </c>
      <c r="N65" s="7">
        <v>44565.0</v>
      </c>
    </row>
    <row r="66">
      <c r="A66" s="8">
        <v>65.0</v>
      </c>
      <c r="B66" s="8" t="s">
        <v>183</v>
      </c>
      <c r="C66" s="8" t="s">
        <v>21</v>
      </c>
      <c r="I66" s="9"/>
      <c r="K66" s="8">
        <v>250.0</v>
      </c>
      <c r="N66" s="7">
        <v>44884.0</v>
      </c>
    </row>
    <row r="67">
      <c r="A67" s="8">
        <v>66.0</v>
      </c>
      <c r="B67" s="8" t="s">
        <v>186</v>
      </c>
      <c r="C67" s="8" t="s">
        <v>21</v>
      </c>
      <c r="I67" s="9"/>
      <c r="K67" s="8">
        <v>10.0</v>
      </c>
      <c r="N67" s="7">
        <v>43874.0</v>
      </c>
    </row>
    <row r="68">
      <c r="A68" s="8">
        <v>67.0</v>
      </c>
      <c r="B68" s="8" t="s">
        <v>188</v>
      </c>
      <c r="C68" s="8" t="s">
        <v>21</v>
      </c>
      <c r="I68" s="9"/>
      <c r="N68" s="7">
        <v>44888.0</v>
      </c>
    </row>
    <row r="69">
      <c r="A69" s="8">
        <v>68.0</v>
      </c>
      <c r="B69" s="8" t="s">
        <v>192</v>
      </c>
      <c r="C69" s="8" t="s">
        <v>21</v>
      </c>
      <c r="I69" s="9"/>
      <c r="K69" s="8">
        <v>70.0</v>
      </c>
      <c r="N69" s="7">
        <v>45015.0</v>
      </c>
    </row>
    <row r="70">
      <c r="A70" s="8">
        <v>69.0</v>
      </c>
      <c r="B70" s="8" t="s">
        <v>195</v>
      </c>
      <c r="C70" s="8" t="s">
        <v>21</v>
      </c>
      <c r="I70" s="9"/>
      <c r="K70" s="8">
        <v>40.0</v>
      </c>
      <c r="N70" s="7">
        <v>45480.0</v>
      </c>
    </row>
    <row r="71">
      <c r="A71" s="8">
        <v>70.0</v>
      </c>
      <c r="B71" s="8" t="s">
        <v>199</v>
      </c>
      <c r="C71" s="8" t="s">
        <v>21</v>
      </c>
      <c r="K71" s="8">
        <v>10.0</v>
      </c>
      <c r="N71" s="7">
        <v>45328.0</v>
      </c>
    </row>
    <row r="72">
      <c r="A72" s="8">
        <v>71.0</v>
      </c>
      <c r="B72" s="8" t="s">
        <v>202</v>
      </c>
      <c r="C72" s="8" t="s">
        <v>21</v>
      </c>
      <c r="I72" s="9"/>
      <c r="K72" s="8">
        <v>30.0</v>
      </c>
      <c r="N72" s="7">
        <v>45450.0</v>
      </c>
    </row>
    <row r="73">
      <c r="A73" s="8">
        <v>72.0</v>
      </c>
      <c r="B73" s="8" t="s">
        <v>204</v>
      </c>
      <c r="C73" s="8" t="s">
        <v>21</v>
      </c>
      <c r="I73" s="9"/>
      <c r="K73" s="8">
        <v>40.0</v>
      </c>
      <c r="N73" s="7">
        <v>44466.0</v>
      </c>
    </row>
    <row r="74">
      <c r="A74" s="8">
        <v>73.0</v>
      </c>
      <c r="B74" s="8" t="s">
        <v>205</v>
      </c>
      <c r="C74" s="8" t="s">
        <v>21</v>
      </c>
      <c r="I74" s="9"/>
      <c r="N74" s="7">
        <v>45167.0</v>
      </c>
    </row>
    <row r="75">
      <c r="A75" s="8">
        <v>74.0</v>
      </c>
      <c r="B75" s="8" t="s">
        <v>208</v>
      </c>
      <c r="C75" s="8" t="s">
        <v>21</v>
      </c>
      <c r="I75" s="9"/>
      <c r="K75" s="8">
        <v>50.0</v>
      </c>
      <c r="N75" s="7">
        <v>45731.0</v>
      </c>
    </row>
    <row r="76">
      <c r="A76" s="8">
        <v>75.0</v>
      </c>
      <c r="B76" s="8" t="s">
        <v>211</v>
      </c>
      <c r="C76" s="8" t="s">
        <v>21</v>
      </c>
      <c r="I76" s="9"/>
      <c r="K76" s="8">
        <v>10.0</v>
      </c>
      <c r="N76" s="7">
        <v>44884.0</v>
      </c>
    </row>
    <row r="77">
      <c r="A77" s="8">
        <v>76.0</v>
      </c>
      <c r="B77" s="8" t="s">
        <v>213</v>
      </c>
      <c r="C77" s="8" t="s">
        <v>21</v>
      </c>
      <c r="I77" s="9"/>
      <c r="N77" s="7">
        <v>44698.0</v>
      </c>
    </row>
    <row r="78">
      <c r="A78" s="8">
        <v>77.0</v>
      </c>
      <c r="B78" s="8" t="s">
        <v>214</v>
      </c>
      <c r="C78" s="8" t="s">
        <v>21</v>
      </c>
      <c r="I78" s="9"/>
      <c r="K78" s="8">
        <v>150.0</v>
      </c>
      <c r="N78" s="7">
        <v>45407.0</v>
      </c>
    </row>
    <row r="79">
      <c r="A79" s="8">
        <v>78.0</v>
      </c>
      <c r="B79" s="8" t="s">
        <v>217</v>
      </c>
      <c r="C79" s="8" t="s">
        <v>21</v>
      </c>
      <c r="I79" s="9"/>
      <c r="K79" s="8">
        <v>150.0</v>
      </c>
      <c r="N79" s="7">
        <v>44500.0</v>
      </c>
    </row>
    <row r="80">
      <c r="A80" s="8">
        <v>79.0</v>
      </c>
      <c r="B80" s="8" t="s">
        <v>219</v>
      </c>
      <c r="C80" s="8" t="s">
        <v>21</v>
      </c>
      <c r="K80" s="8">
        <v>90.0</v>
      </c>
      <c r="N80" s="7">
        <v>44574.0</v>
      </c>
    </row>
    <row r="81">
      <c r="A81" s="8">
        <v>80.0</v>
      </c>
      <c r="B81" s="8" t="s">
        <v>221</v>
      </c>
      <c r="C81" s="8" t="s">
        <v>21</v>
      </c>
      <c r="K81" s="8">
        <v>40.0</v>
      </c>
      <c r="N81" s="7">
        <v>44168.0</v>
      </c>
    </row>
    <row r="82">
      <c r="A82" s="8">
        <v>81.0</v>
      </c>
      <c r="B82" s="8" t="s">
        <v>224</v>
      </c>
      <c r="C82" s="8" t="s">
        <v>21</v>
      </c>
      <c r="N82" s="7">
        <v>45064.0</v>
      </c>
    </row>
    <row r="83">
      <c r="A83" s="8">
        <v>82.0</v>
      </c>
      <c r="B83" s="8" t="s">
        <v>225</v>
      </c>
      <c r="C83" s="8" t="s">
        <v>21</v>
      </c>
      <c r="I83" s="9"/>
      <c r="K83" s="8">
        <v>1300.0</v>
      </c>
      <c r="N83" s="7">
        <v>44726.0</v>
      </c>
    </row>
    <row r="84">
      <c r="A84" s="8">
        <v>83.0</v>
      </c>
      <c r="B84" s="8" t="s">
        <v>227</v>
      </c>
      <c r="C84" s="8" t="s">
        <v>21</v>
      </c>
      <c r="I84" s="9"/>
      <c r="K84" s="8">
        <v>200.0</v>
      </c>
      <c r="N84" s="7">
        <v>45211.0</v>
      </c>
    </row>
    <row r="85">
      <c r="A85" s="8">
        <v>84.0</v>
      </c>
      <c r="B85" s="8" t="s">
        <v>230</v>
      </c>
      <c r="C85" s="8" t="s">
        <v>21</v>
      </c>
      <c r="I85" s="9"/>
      <c r="K85" s="8">
        <v>40.0</v>
      </c>
      <c r="N85" s="7">
        <v>44780.0</v>
      </c>
    </row>
    <row r="86">
      <c r="A86" s="8">
        <v>85.0</v>
      </c>
      <c r="B86" s="8" t="s">
        <v>232</v>
      </c>
      <c r="C86" s="8" t="s">
        <v>21</v>
      </c>
      <c r="I86" s="9"/>
      <c r="N86" s="7">
        <v>45159.0</v>
      </c>
    </row>
    <row r="87">
      <c r="A87" s="8">
        <v>86.0</v>
      </c>
      <c r="B87" s="8" t="s">
        <v>233</v>
      </c>
      <c r="C87" s="8" t="s">
        <v>21</v>
      </c>
      <c r="I87" s="9"/>
      <c r="K87" s="8">
        <v>70.0</v>
      </c>
      <c r="N87" s="7">
        <v>45395.0</v>
      </c>
    </row>
    <row r="88">
      <c r="A88" s="8">
        <v>87.0</v>
      </c>
      <c r="B88" s="8" t="s">
        <v>235</v>
      </c>
      <c r="C88" s="8" t="s">
        <v>21</v>
      </c>
      <c r="I88" s="9"/>
      <c r="K88" s="8">
        <v>30.0</v>
      </c>
      <c r="N88" s="7">
        <v>44157.0</v>
      </c>
    </row>
    <row r="89">
      <c r="A89" s="8">
        <v>88.0</v>
      </c>
      <c r="B89" s="8" t="s">
        <v>238</v>
      </c>
      <c r="C89" s="8" t="s">
        <v>21</v>
      </c>
      <c r="K89" s="8">
        <v>10.0</v>
      </c>
      <c r="N89" s="7">
        <v>44427.0</v>
      </c>
    </row>
    <row r="90">
      <c r="A90" s="8">
        <v>89.0</v>
      </c>
      <c r="B90" s="8" t="s">
        <v>240</v>
      </c>
      <c r="C90" s="8" t="s">
        <v>21</v>
      </c>
      <c r="K90" s="8">
        <v>1300.0</v>
      </c>
      <c r="N90" s="7">
        <v>46088.0</v>
      </c>
    </row>
    <row r="91">
      <c r="A91" s="8">
        <v>90.0</v>
      </c>
      <c r="B91" s="8" t="s">
        <v>241</v>
      </c>
      <c r="C91" s="8" t="s">
        <v>21</v>
      </c>
      <c r="K91" s="8">
        <v>20.0</v>
      </c>
      <c r="N91" s="7">
        <v>45150.0</v>
      </c>
    </row>
    <row r="92">
      <c r="A92" s="8">
        <v>91.0</v>
      </c>
      <c r="B92" s="8" t="s">
        <v>244</v>
      </c>
      <c r="C92" s="8" t="s">
        <v>21</v>
      </c>
      <c r="I92" s="9"/>
      <c r="K92" s="8">
        <v>30.0</v>
      </c>
      <c r="N92" s="7">
        <v>44539.0</v>
      </c>
    </row>
    <row r="93">
      <c r="A93" s="8">
        <v>92.0</v>
      </c>
      <c r="B93" s="8" t="s">
        <v>246</v>
      </c>
      <c r="C93" s="8" t="s">
        <v>21</v>
      </c>
      <c r="I93" s="9"/>
      <c r="N93" s="7">
        <v>45245.0</v>
      </c>
    </row>
    <row r="94">
      <c r="A94" s="8">
        <v>93.0</v>
      </c>
      <c r="B94" s="8" t="s">
        <v>248</v>
      </c>
      <c r="C94" s="8" t="s">
        <v>21</v>
      </c>
      <c r="K94" s="8">
        <v>20.0</v>
      </c>
      <c r="N94" s="7">
        <v>44153.0</v>
      </c>
    </row>
    <row r="95">
      <c r="A95" s="8">
        <v>94.0</v>
      </c>
      <c r="B95" s="8" t="s">
        <v>251</v>
      </c>
      <c r="C95" s="8" t="s">
        <v>21</v>
      </c>
      <c r="K95" s="8">
        <v>100.0</v>
      </c>
      <c r="N95" s="7">
        <v>44394.0</v>
      </c>
    </row>
    <row r="96">
      <c r="A96" s="8">
        <v>95.0</v>
      </c>
      <c r="B96" s="8" t="s">
        <v>255</v>
      </c>
      <c r="C96" s="8" t="s">
        <v>21</v>
      </c>
      <c r="K96" s="8">
        <v>30.0</v>
      </c>
      <c r="N96" s="7">
        <v>44973.0</v>
      </c>
    </row>
    <row r="97">
      <c r="A97" s="8">
        <v>96.0</v>
      </c>
      <c r="B97" s="8" t="s">
        <v>257</v>
      </c>
      <c r="C97" s="8" t="s">
        <v>21</v>
      </c>
      <c r="K97" s="8">
        <v>40.0</v>
      </c>
      <c r="N97" s="7">
        <v>44742.0</v>
      </c>
    </row>
    <row r="98">
      <c r="A98" s="8">
        <v>97.0</v>
      </c>
      <c r="B98" s="8" t="s">
        <v>259</v>
      </c>
      <c r="C98" s="8" t="s">
        <v>21</v>
      </c>
      <c r="K98" s="8">
        <v>30.0</v>
      </c>
      <c r="N98" s="7">
        <v>44588.0</v>
      </c>
    </row>
    <row r="99">
      <c r="A99" s="8">
        <v>98.0</v>
      </c>
      <c r="B99" s="8" t="s">
        <v>260</v>
      </c>
      <c r="C99" s="8" t="s">
        <v>21</v>
      </c>
      <c r="I99" s="9"/>
      <c r="K99" s="8">
        <v>10.0</v>
      </c>
      <c r="N99" s="7">
        <v>45110.0</v>
      </c>
    </row>
    <row r="100">
      <c r="A100" s="8">
        <v>99.0</v>
      </c>
      <c r="B100" s="8" t="s">
        <v>262</v>
      </c>
      <c r="C100" s="8" t="s">
        <v>21</v>
      </c>
      <c r="K100" s="8">
        <v>10.0</v>
      </c>
      <c r="N100" s="7">
        <v>44939.0</v>
      </c>
    </row>
    <row r="101">
      <c r="A101" s="8">
        <v>100.0</v>
      </c>
      <c r="B101" s="8" t="s">
        <v>264</v>
      </c>
      <c r="C101" s="8" t="s">
        <v>21</v>
      </c>
      <c r="K101" s="8">
        <v>90.0</v>
      </c>
      <c r="N101" s="7">
        <v>44871.0</v>
      </c>
    </row>
    <row r="102">
      <c r="A102" s="8">
        <v>101.0</v>
      </c>
      <c r="B102" s="8" t="s">
        <v>266</v>
      </c>
      <c r="C102" s="8" t="s">
        <v>21</v>
      </c>
      <c r="I102" s="9"/>
      <c r="K102" s="8">
        <v>60.0</v>
      </c>
      <c r="N102" s="7">
        <v>45137.0</v>
      </c>
    </row>
    <row r="103">
      <c r="A103" s="8">
        <v>102.0</v>
      </c>
      <c r="B103" s="8" t="s">
        <v>268</v>
      </c>
      <c r="C103" s="8" t="s">
        <v>21</v>
      </c>
      <c r="I103" s="9"/>
      <c r="K103" s="8">
        <v>100.0</v>
      </c>
      <c r="N103" s="7">
        <v>44910.0</v>
      </c>
    </row>
    <row r="104">
      <c r="A104" s="8">
        <v>103.0</v>
      </c>
      <c r="B104" s="8" t="s">
        <v>270</v>
      </c>
      <c r="C104" s="8" t="s">
        <v>21</v>
      </c>
      <c r="N104" s="7">
        <v>45112.0</v>
      </c>
    </row>
    <row r="105">
      <c r="A105" s="8">
        <v>104.0</v>
      </c>
      <c r="B105" s="8" t="s">
        <v>272</v>
      </c>
      <c r="C105" s="8" t="s">
        <v>21</v>
      </c>
      <c r="I105" s="9"/>
      <c r="K105" s="8">
        <v>400.0</v>
      </c>
      <c r="N105" s="7">
        <v>44030.0</v>
      </c>
    </row>
    <row r="106">
      <c r="A106" s="8">
        <v>105.0</v>
      </c>
      <c r="B106" s="8" t="s">
        <v>274</v>
      </c>
      <c r="C106" s="8" t="s">
        <v>21</v>
      </c>
      <c r="I106" s="9"/>
      <c r="K106" s="8">
        <v>20.0</v>
      </c>
      <c r="N106" s="7">
        <v>45189.0</v>
      </c>
    </row>
    <row r="107">
      <c r="A107" s="8">
        <v>106.0</v>
      </c>
      <c r="B107" s="8" t="s">
        <v>278</v>
      </c>
      <c r="C107" s="8" t="s">
        <v>21</v>
      </c>
      <c r="I107" s="9"/>
      <c r="K107" s="8">
        <v>200.0</v>
      </c>
      <c r="N107" s="7">
        <v>44616.0</v>
      </c>
    </row>
    <row r="108">
      <c r="A108" s="8">
        <v>107.0</v>
      </c>
      <c r="B108" s="8" t="s">
        <v>281</v>
      </c>
      <c r="C108" s="8" t="s">
        <v>21</v>
      </c>
      <c r="N108" s="7">
        <v>43977.0</v>
      </c>
    </row>
    <row r="109">
      <c r="A109" s="8">
        <v>108.0</v>
      </c>
      <c r="B109" s="8" t="s">
        <v>283</v>
      </c>
      <c r="C109" s="8" t="s">
        <v>21</v>
      </c>
      <c r="I109" s="9"/>
      <c r="N109" s="7">
        <v>45141.0</v>
      </c>
    </row>
    <row r="110">
      <c r="A110" s="8">
        <v>109.0</v>
      </c>
      <c r="B110" s="8" t="s">
        <v>285</v>
      </c>
      <c r="C110" s="8" t="s">
        <v>21</v>
      </c>
      <c r="I110" s="9"/>
      <c r="K110" s="8">
        <v>20.0</v>
      </c>
      <c r="N110" s="7">
        <v>44112.0</v>
      </c>
    </row>
    <row r="111">
      <c r="A111" s="8">
        <v>110.0</v>
      </c>
      <c r="B111" s="8" t="s">
        <v>287</v>
      </c>
      <c r="C111" s="8" t="s">
        <v>21</v>
      </c>
      <c r="K111" s="8">
        <v>10.0</v>
      </c>
      <c r="N111" s="7">
        <v>44311.0</v>
      </c>
    </row>
    <row r="112">
      <c r="A112" s="8">
        <v>111.0</v>
      </c>
      <c r="B112" s="8" t="s">
        <v>290</v>
      </c>
      <c r="C112" s="8" t="s">
        <v>21</v>
      </c>
      <c r="K112" s="8">
        <v>20.0</v>
      </c>
      <c r="N112" s="7">
        <v>44187.0</v>
      </c>
    </row>
    <row r="113">
      <c r="A113" s="8">
        <v>112.0</v>
      </c>
      <c r="B113" s="8" t="s">
        <v>293</v>
      </c>
      <c r="C113" s="8" t="s">
        <v>21</v>
      </c>
      <c r="K113" s="8">
        <v>2900.0</v>
      </c>
      <c r="N113" s="7">
        <v>44209.0</v>
      </c>
    </row>
    <row r="114">
      <c r="A114" s="8">
        <v>113.0</v>
      </c>
      <c r="B114" s="8" t="s">
        <v>295</v>
      </c>
      <c r="C114" s="8" t="s">
        <v>21</v>
      </c>
      <c r="K114" s="8">
        <v>500.0</v>
      </c>
      <c r="N114" s="7">
        <v>44312.0</v>
      </c>
    </row>
    <row r="115">
      <c r="A115" s="8">
        <v>114.0</v>
      </c>
      <c r="B115" s="8" t="s">
        <v>297</v>
      </c>
      <c r="C115" s="8" t="s">
        <v>21</v>
      </c>
      <c r="N115" s="7">
        <v>44584.0</v>
      </c>
    </row>
    <row r="116">
      <c r="A116" s="8">
        <v>115.0</v>
      </c>
      <c r="B116" s="8" t="s">
        <v>299</v>
      </c>
      <c r="C116" s="8" t="s">
        <v>21</v>
      </c>
      <c r="K116" s="8">
        <v>450.0</v>
      </c>
      <c r="N116" s="7">
        <v>45371.0</v>
      </c>
    </row>
    <row r="117">
      <c r="A117" s="8">
        <v>116.0</v>
      </c>
      <c r="B117" s="8" t="s">
        <v>302</v>
      </c>
      <c r="C117" s="8" t="s">
        <v>21</v>
      </c>
      <c r="N117" s="7">
        <v>44135.0</v>
      </c>
    </row>
    <row r="118">
      <c r="A118" s="8">
        <v>117.0</v>
      </c>
      <c r="B118" s="8" t="s">
        <v>304</v>
      </c>
      <c r="C118" s="8" t="s">
        <v>21</v>
      </c>
      <c r="N118" s="7">
        <v>44317.0</v>
      </c>
    </row>
    <row r="119">
      <c r="A119" s="8">
        <v>118.0</v>
      </c>
      <c r="B119" s="8" t="s">
        <v>305</v>
      </c>
      <c r="C119" s="8" t="s">
        <v>21</v>
      </c>
      <c r="I119" s="9"/>
      <c r="K119" s="8">
        <v>250.0</v>
      </c>
      <c r="N119" s="7">
        <v>44558.0</v>
      </c>
    </row>
    <row r="120">
      <c r="A120" s="8">
        <v>119.0</v>
      </c>
      <c r="B120" s="8" t="s">
        <v>309</v>
      </c>
      <c r="C120" s="8" t="s">
        <v>21</v>
      </c>
      <c r="K120" s="8">
        <v>50.0</v>
      </c>
      <c r="N120" s="7">
        <v>44331.0</v>
      </c>
    </row>
    <row r="121">
      <c r="A121" s="8">
        <v>120.0</v>
      </c>
      <c r="B121" s="8" t="s">
        <v>311</v>
      </c>
      <c r="C121" s="8" t="s">
        <v>21</v>
      </c>
      <c r="I121" s="9"/>
      <c r="K121" s="8">
        <v>150.0</v>
      </c>
      <c r="N121" s="7">
        <v>44422.0</v>
      </c>
    </row>
    <row r="122">
      <c r="A122" s="8">
        <v>121.0</v>
      </c>
      <c r="B122" s="8" t="s">
        <v>314</v>
      </c>
      <c r="C122" s="8" t="s">
        <v>21</v>
      </c>
      <c r="K122" s="8">
        <v>100.0</v>
      </c>
      <c r="N122" s="7">
        <v>44606.0</v>
      </c>
    </row>
    <row r="123">
      <c r="A123" s="8">
        <v>122.0</v>
      </c>
      <c r="B123" s="8" t="s">
        <v>316</v>
      </c>
      <c r="C123" s="8" t="s">
        <v>21</v>
      </c>
      <c r="K123" s="8">
        <v>20.0</v>
      </c>
      <c r="N123" s="7">
        <v>45124.0</v>
      </c>
    </row>
    <row r="124">
      <c r="A124" s="8">
        <v>123.0</v>
      </c>
      <c r="B124" s="8" t="s">
        <v>317</v>
      </c>
      <c r="C124" s="8" t="s">
        <v>21</v>
      </c>
      <c r="K124" s="8">
        <v>20.0</v>
      </c>
      <c r="N124" s="7">
        <v>45371.0</v>
      </c>
    </row>
    <row r="125">
      <c r="A125" s="8">
        <v>124.0</v>
      </c>
      <c r="B125" s="8" t="s">
        <v>321</v>
      </c>
      <c r="C125" s="8" t="s">
        <v>21</v>
      </c>
      <c r="K125" s="8">
        <v>20.0</v>
      </c>
      <c r="N125" s="7">
        <v>45537.0</v>
      </c>
    </row>
    <row r="126">
      <c r="A126" s="8">
        <v>125.0</v>
      </c>
      <c r="B126" s="8" t="s">
        <v>323</v>
      </c>
      <c r="C126" s="8" t="s">
        <v>21</v>
      </c>
      <c r="N126" s="7">
        <v>44394.0</v>
      </c>
    </row>
    <row r="127">
      <c r="A127" s="8">
        <v>126.0</v>
      </c>
      <c r="B127" s="8" t="s">
        <v>325</v>
      </c>
      <c r="C127" s="8" t="s">
        <v>21</v>
      </c>
      <c r="I127" s="9"/>
      <c r="N127" s="7">
        <v>44443.0</v>
      </c>
    </row>
    <row r="128">
      <c r="A128" s="8">
        <v>127.0</v>
      </c>
      <c r="B128" s="8" t="s">
        <v>330</v>
      </c>
      <c r="C128" s="8" t="s">
        <v>21</v>
      </c>
      <c r="I128" s="9"/>
      <c r="K128" s="8">
        <v>100.0</v>
      </c>
      <c r="N128" s="7">
        <v>44398.0</v>
      </c>
    </row>
    <row r="129">
      <c r="A129" s="8">
        <v>128.0</v>
      </c>
      <c r="B129" s="8" t="s">
        <v>333</v>
      </c>
      <c r="C129" s="8" t="s">
        <v>21</v>
      </c>
      <c r="K129" s="8">
        <v>70.0</v>
      </c>
      <c r="N129" s="7">
        <v>45056.0</v>
      </c>
    </row>
    <row r="130">
      <c r="A130" s="8">
        <v>129.0</v>
      </c>
      <c r="B130" s="8" t="s">
        <v>336</v>
      </c>
      <c r="C130" s="8" t="s">
        <v>21</v>
      </c>
      <c r="N130" s="7">
        <v>44068.0</v>
      </c>
    </row>
    <row r="131">
      <c r="A131" s="8">
        <v>130.0</v>
      </c>
      <c r="B131" s="8" t="s">
        <v>340</v>
      </c>
      <c r="C131" s="8" t="s">
        <v>21</v>
      </c>
      <c r="I131" s="9"/>
      <c r="K131" s="8">
        <v>40.0</v>
      </c>
      <c r="N131" s="7">
        <v>44459.0</v>
      </c>
    </row>
    <row r="132">
      <c r="A132" s="8">
        <v>131.0</v>
      </c>
      <c r="B132" s="8" t="s">
        <v>343</v>
      </c>
      <c r="C132" s="8" t="s">
        <v>21</v>
      </c>
      <c r="N132" s="7">
        <v>45207.0</v>
      </c>
    </row>
    <row r="133">
      <c r="A133" s="8">
        <v>132.0</v>
      </c>
      <c r="B133" s="8" t="s">
        <v>347</v>
      </c>
      <c r="C133" s="8" t="s">
        <v>21</v>
      </c>
      <c r="I133" s="9"/>
      <c r="K133" s="8">
        <v>20.0</v>
      </c>
      <c r="N133" s="7">
        <v>44691.0</v>
      </c>
    </row>
    <row r="134">
      <c r="A134" s="8">
        <v>133.0</v>
      </c>
      <c r="B134" s="8" t="s">
        <v>351</v>
      </c>
      <c r="C134" s="8" t="s">
        <v>21</v>
      </c>
      <c r="I134" s="9"/>
      <c r="K134" s="8">
        <v>200.0</v>
      </c>
      <c r="N134" s="7">
        <v>44871.0</v>
      </c>
    </row>
    <row r="135">
      <c r="A135" s="8">
        <v>134.0</v>
      </c>
      <c r="B135" s="8" t="s">
        <v>353</v>
      </c>
      <c r="C135" s="8" t="s">
        <v>21</v>
      </c>
      <c r="I135" s="9"/>
      <c r="N135" s="7">
        <v>45170.0</v>
      </c>
    </row>
    <row r="136">
      <c r="A136" s="8">
        <v>135.0</v>
      </c>
      <c r="B136" s="8" t="s">
        <v>355</v>
      </c>
      <c r="C136" s="8" t="s">
        <v>21</v>
      </c>
      <c r="K136" s="8">
        <v>70.0</v>
      </c>
      <c r="N136" s="7">
        <v>44394.0</v>
      </c>
    </row>
    <row r="137">
      <c r="A137" s="8">
        <v>136.0</v>
      </c>
      <c r="B137" s="8" t="s">
        <v>360</v>
      </c>
      <c r="C137" s="8" t="s">
        <v>21</v>
      </c>
      <c r="K137" s="8">
        <v>40.0</v>
      </c>
      <c r="N137" s="7">
        <v>44401.0</v>
      </c>
    </row>
    <row r="138">
      <c r="A138" s="8">
        <v>137.0</v>
      </c>
      <c r="B138" s="8" t="s">
        <v>363</v>
      </c>
      <c r="C138" s="8" t="s">
        <v>21</v>
      </c>
      <c r="N138" s="7">
        <v>44355.0</v>
      </c>
    </row>
    <row r="139">
      <c r="A139" s="8">
        <v>138.0</v>
      </c>
      <c r="B139" s="8" t="s">
        <v>365</v>
      </c>
      <c r="C139" s="8" t="s">
        <v>21</v>
      </c>
      <c r="I139" s="9"/>
      <c r="N139" s="7">
        <v>44296.0</v>
      </c>
    </row>
    <row r="140">
      <c r="A140" s="8">
        <v>139.0</v>
      </c>
      <c r="B140" s="8" t="s">
        <v>368</v>
      </c>
      <c r="C140" s="8" t="s">
        <v>21</v>
      </c>
      <c r="N140" s="7">
        <v>45158.0</v>
      </c>
    </row>
    <row r="141">
      <c r="A141" s="8">
        <v>140.0</v>
      </c>
      <c r="B141" s="8" t="s">
        <v>371</v>
      </c>
      <c r="C141" s="8" t="s">
        <v>21</v>
      </c>
      <c r="N141" s="7">
        <v>44265.0</v>
      </c>
    </row>
    <row r="142">
      <c r="A142" s="8">
        <v>141.0</v>
      </c>
      <c r="B142" s="8" t="s">
        <v>373</v>
      </c>
      <c r="C142" s="8" t="s">
        <v>21</v>
      </c>
      <c r="K142" s="8">
        <v>600.0</v>
      </c>
      <c r="N142" s="7">
        <v>44431.0</v>
      </c>
    </row>
    <row r="143">
      <c r="A143" s="8">
        <v>142.0</v>
      </c>
      <c r="B143" s="8" t="s">
        <v>376</v>
      </c>
      <c r="C143" s="8" t="s">
        <v>21</v>
      </c>
      <c r="K143" s="8">
        <v>350.0</v>
      </c>
      <c r="N143" s="7">
        <v>44982.0</v>
      </c>
    </row>
    <row r="144">
      <c r="A144" s="8">
        <v>143.0</v>
      </c>
      <c r="B144" s="8" t="s">
        <v>379</v>
      </c>
      <c r="C144" s="8" t="s">
        <v>21</v>
      </c>
      <c r="I144" s="9"/>
      <c r="N144" s="7">
        <v>42597.0</v>
      </c>
    </row>
    <row r="145">
      <c r="A145" s="8">
        <v>144.0</v>
      </c>
      <c r="B145" s="8" t="s">
        <v>381</v>
      </c>
      <c r="C145" s="8" t="s">
        <v>21</v>
      </c>
      <c r="K145" s="8">
        <v>250.0</v>
      </c>
      <c r="N145" s="7">
        <v>44196.0</v>
      </c>
    </row>
    <row r="146">
      <c r="A146" s="8">
        <v>145.0</v>
      </c>
      <c r="B146" s="8" t="s">
        <v>384</v>
      </c>
      <c r="C146" s="8" t="s">
        <v>21</v>
      </c>
      <c r="I146" s="9"/>
      <c r="K146" s="8">
        <v>700.0</v>
      </c>
      <c r="N146" s="7">
        <v>44245.0</v>
      </c>
    </row>
    <row r="147">
      <c r="A147" s="8">
        <v>146.0</v>
      </c>
      <c r="B147" s="8" t="s">
        <v>387</v>
      </c>
      <c r="C147" s="8" t="s">
        <v>21</v>
      </c>
      <c r="K147" s="8">
        <v>50.0</v>
      </c>
      <c r="N147" s="7">
        <v>45776.0</v>
      </c>
    </row>
    <row r="148">
      <c r="A148" s="8">
        <v>147.0</v>
      </c>
      <c r="B148" s="8" t="s">
        <v>389</v>
      </c>
      <c r="C148" s="8" t="s">
        <v>21</v>
      </c>
      <c r="K148" s="8">
        <v>600.0</v>
      </c>
      <c r="N148" s="7">
        <v>44125.0</v>
      </c>
    </row>
    <row r="149">
      <c r="A149" s="8">
        <v>148.0</v>
      </c>
      <c r="B149" s="8" t="s">
        <v>392</v>
      </c>
      <c r="C149" s="8" t="s">
        <v>21</v>
      </c>
      <c r="I149" s="9"/>
      <c r="N149" s="7">
        <v>44792.0</v>
      </c>
    </row>
    <row r="150">
      <c r="N150" s="7"/>
    </row>
    <row r="151">
      <c r="I151" s="9"/>
      <c r="N151" s="7"/>
    </row>
    <row r="152">
      <c r="N152" s="7"/>
    </row>
    <row r="153">
      <c r="I153" s="9"/>
      <c r="N153" s="7"/>
    </row>
    <row r="154">
      <c r="I154" s="9"/>
      <c r="N154" s="7"/>
    </row>
    <row r="155">
      <c r="I155" s="9"/>
      <c r="N155" s="7"/>
    </row>
    <row r="156">
      <c r="I156" s="9"/>
      <c r="N156" s="7"/>
    </row>
    <row r="157">
      <c r="I157" s="9"/>
      <c r="N157" s="7"/>
    </row>
    <row r="158">
      <c r="I158" s="9"/>
      <c r="N158" s="7"/>
    </row>
    <row r="159">
      <c r="I159" s="9"/>
      <c r="N159" s="7"/>
    </row>
    <row r="160">
      <c r="I160" s="9"/>
      <c r="N160" s="7"/>
    </row>
    <row r="161">
      <c r="N161" s="7"/>
    </row>
    <row r="162">
      <c r="N162" s="7"/>
    </row>
    <row r="163">
      <c r="N163" s="7"/>
    </row>
    <row r="164">
      <c r="N164" s="7"/>
    </row>
    <row r="165">
      <c r="N165" s="7"/>
    </row>
    <row r="166">
      <c r="N166" s="7"/>
    </row>
    <row r="167">
      <c r="N167" s="7"/>
    </row>
    <row r="168">
      <c r="N168" s="7"/>
    </row>
    <row r="169">
      <c r="I169" s="9"/>
      <c r="N169" s="7"/>
    </row>
    <row r="170">
      <c r="N170" s="7"/>
    </row>
    <row r="171">
      <c r="N171" s="7"/>
    </row>
    <row r="172">
      <c r="N172" s="7"/>
    </row>
    <row r="173">
      <c r="I173" s="9"/>
      <c r="N173" s="7"/>
    </row>
    <row r="174">
      <c r="N174" s="7"/>
    </row>
    <row r="175">
      <c r="N175" s="7"/>
    </row>
    <row r="176">
      <c r="I176" s="9"/>
      <c r="N176" s="7"/>
    </row>
    <row r="177">
      <c r="N177" s="7"/>
    </row>
    <row r="178">
      <c r="N178" s="7"/>
    </row>
    <row r="179">
      <c r="N179" s="7"/>
    </row>
    <row r="180">
      <c r="N180" s="7"/>
    </row>
    <row r="181">
      <c r="N181" s="7"/>
    </row>
    <row r="182">
      <c r="I182" s="9"/>
      <c r="N182" s="7"/>
    </row>
    <row r="183">
      <c r="N183" s="7"/>
    </row>
    <row r="184">
      <c r="N184" s="7"/>
    </row>
    <row r="185">
      <c r="N185" s="7"/>
    </row>
    <row r="186">
      <c r="I186" s="9"/>
      <c r="N186" s="7"/>
    </row>
    <row r="187">
      <c r="N187" s="7"/>
    </row>
    <row r="188">
      <c r="N188" s="7"/>
    </row>
    <row r="189">
      <c r="N189" s="7"/>
    </row>
    <row r="190">
      <c r="I190" s="9"/>
      <c r="N190" s="7"/>
    </row>
    <row r="191">
      <c r="N191" s="7"/>
    </row>
    <row r="192">
      <c r="N192" s="7"/>
    </row>
    <row r="193">
      <c r="I193" s="9"/>
      <c r="N193" s="7"/>
    </row>
    <row r="194">
      <c r="N194" s="7"/>
    </row>
    <row r="195">
      <c r="N195" s="7"/>
    </row>
    <row r="196">
      <c r="N196" s="7"/>
    </row>
    <row r="197">
      <c r="N197" s="7"/>
    </row>
    <row r="198">
      <c r="N198" s="7"/>
    </row>
    <row r="199">
      <c r="N199" s="7"/>
    </row>
    <row r="200">
      <c r="N200" s="7"/>
    </row>
    <row r="201">
      <c r="N201" s="7"/>
    </row>
    <row r="202">
      <c r="N202" s="7"/>
    </row>
    <row r="203">
      <c r="N203" s="7"/>
    </row>
    <row r="204">
      <c r="N204" s="7"/>
    </row>
    <row r="205">
      <c r="N205" s="7"/>
    </row>
    <row r="206">
      <c r="I206" s="9"/>
      <c r="N206" s="7"/>
    </row>
    <row r="207">
      <c r="N207" s="7"/>
    </row>
    <row r="208">
      <c r="N208" s="7"/>
    </row>
    <row r="209">
      <c r="N209" s="7"/>
    </row>
    <row r="210">
      <c r="N210" s="7"/>
    </row>
    <row r="211">
      <c r="N211" s="7"/>
    </row>
    <row r="212">
      <c r="N212" s="7"/>
    </row>
    <row r="213">
      <c r="N213" s="7"/>
    </row>
    <row r="214">
      <c r="N214" s="7"/>
    </row>
    <row r="215">
      <c r="I215" s="9"/>
      <c r="N215" s="7"/>
    </row>
    <row r="216">
      <c r="N216" s="7"/>
    </row>
    <row r="217">
      <c r="N217" s="7"/>
    </row>
    <row r="218">
      <c r="N218" s="7"/>
    </row>
    <row r="219">
      <c r="N219" s="7"/>
    </row>
    <row r="220">
      <c r="I220" s="9"/>
      <c r="N220" s="7"/>
    </row>
    <row r="221">
      <c r="N221" s="7"/>
    </row>
    <row r="222">
      <c r="N222" s="7"/>
    </row>
    <row r="223">
      <c r="N223" s="7"/>
    </row>
    <row r="224">
      <c r="I224" s="9"/>
      <c r="N224" s="7"/>
    </row>
    <row r="225">
      <c r="N225" s="7"/>
    </row>
    <row r="226">
      <c r="N226" s="7"/>
    </row>
    <row r="227">
      <c r="N227" s="7"/>
    </row>
    <row r="228">
      <c r="N228" s="7"/>
    </row>
    <row r="229">
      <c r="I229" s="9"/>
      <c r="N229" s="7"/>
    </row>
    <row r="230">
      <c r="N230" s="7"/>
    </row>
    <row r="231">
      <c r="N231" s="7"/>
    </row>
    <row r="232">
      <c r="N232" s="7"/>
    </row>
    <row r="233">
      <c r="I233" s="9"/>
      <c r="N233" s="7"/>
    </row>
    <row r="234">
      <c r="N234" s="7"/>
    </row>
    <row r="235">
      <c r="N235" s="7"/>
    </row>
    <row r="236">
      <c r="I236" s="9"/>
      <c r="N236" s="7"/>
    </row>
    <row r="237">
      <c r="N237" s="7"/>
    </row>
    <row r="238">
      <c r="N238" s="7"/>
    </row>
    <row r="239">
      <c r="N239" s="7"/>
    </row>
    <row r="240">
      <c r="N240" s="7"/>
    </row>
    <row r="241">
      <c r="N241" s="7"/>
    </row>
    <row r="242">
      <c r="I242" s="9"/>
      <c r="N242" s="7"/>
    </row>
    <row r="243">
      <c r="N243" s="7"/>
    </row>
    <row r="244">
      <c r="N244" s="7"/>
    </row>
    <row r="245">
      <c r="N245" s="7"/>
    </row>
    <row r="246">
      <c r="N246" s="7"/>
    </row>
    <row r="247">
      <c r="N247" s="7"/>
    </row>
    <row r="248">
      <c r="N248" s="7"/>
    </row>
    <row r="249">
      <c r="N249" s="7"/>
    </row>
    <row r="250">
      <c r="I250" s="9"/>
      <c r="N250" s="7"/>
    </row>
    <row r="251">
      <c r="N251" s="7"/>
    </row>
    <row r="252">
      <c r="N252" s="7"/>
    </row>
    <row r="253">
      <c r="N253" s="7"/>
    </row>
    <row r="254">
      <c r="N254" s="7"/>
    </row>
    <row r="255">
      <c r="N255" s="7"/>
    </row>
    <row r="256">
      <c r="I256" s="9"/>
      <c r="N256" s="7"/>
    </row>
    <row r="257">
      <c r="N257" s="7"/>
    </row>
    <row r="258">
      <c r="N258" s="7"/>
    </row>
    <row r="259">
      <c r="I259" s="9"/>
      <c r="N259" s="7"/>
    </row>
    <row r="260">
      <c r="N260" s="7"/>
    </row>
    <row r="261">
      <c r="I261" s="9"/>
      <c r="N261" s="7"/>
    </row>
    <row r="262">
      <c r="N262" s="7"/>
    </row>
    <row r="263">
      <c r="N263" s="7"/>
    </row>
    <row r="264">
      <c r="N264" s="7"/>
    </row>
    <row r="265">
      <c r="I265" s="9"/>
      <c r="N265" s="7"/>
    </row>
    <row r="266">
      <c r="N266" s="7"/>
    </row>
    <row r="267">
      <c r="N267" s="7"/>
    </row>
    <row r="268">
      <c r="N268" s="7"/>
    </row>
    <row r="269">
      <c r="N269" s="7"/>
    </row>
    <row r="270">
      <c r="I270" s="9"/>
      <c r="N270" s="7"/>
    </row>
    <row r="271">
      <c r="N271" s="7"/>
    </row>
    <row r="272">
      <c r="N272" s="7"/>
    </row>
    <row r="273">
      <c r="N273" s="7"/>
    </row>
    <row r="274">
      <c r="N274" s="7"/>
    </row>
    <row r="275">
      <c r="N275" s="7"/>
    </row>
    <row r="276">
      <c r="N276" s="7"/>
    </row>
    <row r="277">
      <c r="I277" s="9"/>
      <c r="N277" s="7"/>
    </row>
    <row r="278">
      <c r="I278" s="9"/>
      <c r="N278" s="7"/>
    </row>
    <row r="279">
      <c r="N279" s="7"/>
    </row>
    <row r="280">
      <c r="N280" s="7"/>
    </row>
    <row r="281">
      <c r="I281" s="9"/>
      <c r="N281" s="7"/>
    </row>
    <row r="282">
      <c r="N282" s="7"/>
    </row>
    <row r="283">
      <c r="N283" s="7"/>
    </row>
    <row r="284">
      <c r="I284" s="9"/>
      <c r="N284" s="7"/>
    </row>
    <row r="285">
      <c r="I285" s="9"/>
      <c r="N285" s="7"/>
    </row>
    <row r="286">
      <c r="N286" s="7"/>
    </row>
    <row r="287">
      <c r="N287" s="7"/>
    </row>
    <row r="288">
      <c r="I288" s="9"/>
      <c r="N288" s="7"/>
    </row>
    <row r="289">
      <c r="I289" s="9"/>
      <c r="N289" s="7"/>
    </row>
    <row r="290">
      <c r="I290" s="9"/>
      <c r="N290" s="7"/>
    </row>
    <row r="291">
      <c r="N291" s="7"/>
    </row>
    <row r="292">
      <c r="N292" s="7"/>
    </row>
    <row r="293">
      <c r="N293" s="7"/>
    </row>
    <row r="294">
      <c r="N294" s="7"/>
    </row>
    <row r="295">
      <c r="N295" s="7"/>
    </row>
    <row r="296">
      <c r="I296" s="9"/>
      <c r="N296" s="7"/>
    </row>
    <row r="297">
      <c r="N297" s="7"/>
    </row>
    <row r="298">
      <c r="N298" s="7"/>
    </row>
    <row r="299">
      <c r="I299" s="9"/>
      <c r="N299" s="7"/>
    </row>
    <row r="300">
      <c r="N300" s="7"/>
    </row>
    <row r="301">
      <c r="N301" s="7"/>
    </row>
    <row r="302">
      <c r="N302" s="7"/>
    </row>
    <row r="303">
      <c r="N303" s="7"/>
    </row>
    <row r="304">
      <c r="N304" s="7"/>
    </row>
    <row r="305">
      <c r="N305" s="7"/>
    </row>
    <row r="306">
      <c r="N306" s="7"/>
    </row>
    <row r="307">
      <c r="N307" s="7"/>
    </row>
    <row r="308">
      <c r="N308" s="7"/>
    </row>
    <row r="309">
      <c r="N309" s="7"/>
    </row>
    <row r="310">
      <c r="N310" s="7"/>
    </row>
    <row r="311">
      <c r="N311" s="7"/>
    </row>
    <row r="312">
      <c r="N312" s="7"/>
    </row>
    <row r="313">
      <c r="N313" s="7"/>
    </row>
    <row r="314">
      <c r="N314" s="7"/>
    </row>
    <row r="315">
      <c r="N315" s="7"/>
    </row>
    <row r="316">
      <c r="N316" s="7"/>
    </row>
    <row r="317">
      <c r="I317" s="9"/>
      <c r="N317" s="7"/>
    </row>
    <row r="318">
      <c r="N318" s="7"/>
    </row>
    <row r="319">
      <c r="N319" s="7"/>
    </row>
    <row r="320">
      <c r="N320" s="7"/>
    </row>
    <row r="321">
      <c r="N321" s="7"/>
    </row>
    <row r="322">
      <c r="N322" s="7"/>
    </row>
    <row r="323">
      <c r="N323" s="7"/>
    </row>
    <row r="324">
      <c r="N324" s="7"/>
    </row>
    <row r="325">
      <c r="N325" s="7"/>
    </row>
    <row r="326">
      <c r="N326" s="7"/>
    </row>
    <row r="327">
      <c r="N327" s="7"/>
    </row>
    <row r="328">
      <c r="N328" s="7"/>
    </row>
    <row r="329">
      <c r="N329" s="7"/>
    </row>
    <row r="330">
      <c r="N330" s="7"/>
    </row>
    <row r="331">
      <c r="N331" s="7"/>
    </row>
    <row r="332">
      <c r="N332" s="7"/>
    </row>
    <row r="333">
      <c r="N333" s="7"/>
    </row>
    <row r="334">
      <c r="N334" s="7"/>
    </row>
    <row r="335">
      <c r="N335" s="7"/>
    </row>
    <row r="336">
      <c r="N336" s="7"/>
    </row>
    <row r="337">
      <c r="N337" s="7"/>
    </row>
    <row r="338">
      <c r="N338" s="7"/>
    </row>
    <row r="339">
      <c r="N339" s="7"/>
    </row>
    <row r="340">
      <c r="N340" s="7"/>
    </row>
    <row r="341">
      <c r="N341" s="7"/>
    </row>
    <row r="342">
      <c r="N342" s="7"/>
    </row>
    <row r="343">
      <c r="N343" s="7"/>
    </row>
    <row r="344">
      <c r="N344" s="7"/>
    </row>
    <row r="345">
      <c r="N345" s="7"/>
    </row>
    <row r="346">
      <c r="N346" s="7"/>
    </row>
    <row r="347">
      <c r="N347" s="7"/>
    </row>
    <row r="348">
      <c r="N348" s="7"/>
    </row>
    <row r="349">
      <c r="N349" s="7"/>
    </row>
    <row r="350">
      <c r="N350" s="7"/>
    </row>
    <row r="351">
      <c r="N351" s="7"/>
    </row>
    <row r="352">
      <c r="N352" s="7"/>
    </row>
    <row r="353">
      <c r="N353" s="7"/>
    </row>
    <row r="354">
      <c r="N354" s="7"/>
    </row>
    <row r="355">
      <c r="N355" s="7"/>
    </row>
    <row r="356">
      <c r="N356" s="7"/>
    </row>
    <row r="357">
      <c r="N357" s="7"/>
    </row>
    <row r="358">
      <c r="N358" s="7"/>
    </row>
    <row r="359">
      <c r="N359" s="7"/>
    </row>
    <row r="360">
      <c r="N360" s="7"/>
    </row>
    <row r="361">
      <c r="N361" s="7"/>
    </row>
    <row r="362">
      <c r="N362" s="7"/>
    </row>
    <row r="363">
      <c r="N363" s="7"/>
    </row>
    <row r="364">
      <c r="N364" s="7"/>
    </row>
    <row r="365">
      <c r="N365" s="7"/>
    </row>
    <row r="366">
      <c r="N366" s="7"/>
    </row>
    <row r="367">
      <c r="N367" s="7"/>
    </row>
    <row r="368">
      <c r="N368" s="7"/>
    </row>
    <row r="369">
      <c r="N369" s="7"/>
    </row>
    <row r="370">
      <c r="N370" s="7"/>
    </row>
    <row r="371">
      <c r="N371" s="7"/>
    </row>
    <row r="372">
      <c r="N372" s="7"/>
    </row>
    <row r="373">
      <c r="N373" s="7"/>
    </row>
    <row r="374">
      <c r="I374" s="9"/>
      <c r="N374" s="7"/>
    </row>
    <row r="375">
      <c r="N375" s="7"/>
    </row>
    <row r="376">
      <c r="N376" s="7"/>
    </row>
    <row r="377">
      <c r="N377" s="7"/>
    </row>
    <row r="378">
      <c r="N378" s="7"/>
    </row>
    <row r="379">
      <c r="N379" s="7"/>
    </row>
    <row r="380">
      <c r="N380" s="7"/>
    </row>
    <row r="381">
      <c r="N381" s="7"/>
    </row>
    <row r="382">
      <c r="N382" s="7"/>
    </row>
    <row r="383">
      <c r="N383" s="7"/>
    </row>
    <row r="384">
      <c r="N384" s="7"/>
    </row>
    <row r="385">
      <c r="N385" s="7"/>
    </row>
    <row r="386">
      <c r="N386" s="7"/>
    </row>
    <row r="387">
      <c r="N387" s="7"/>
    </row>
    <row r="388">
      <c r="N388" s="7"/>
    </row>
    <row r="389">
      <c r="N389" s="7"/>
    </row>
    <row r="390">
      <c r="N390" s="7"/>
    </row>
    <row r="391">
      <c r="N391" s="7"/>
    </row>
    <row r="392">
      <c r="N392" s="7"/>
    </row>
    <row r="393">
      <c r="N393" s="7"/>
    </row>
    <row r="394">
      <c r="N394" s="7"/>
    </row>
    <row r="395">
      <c r="N395" s="7"/>
    </row>
    <row r="396">
      <c r="N396" s="7"/>
    </row>
    <row r="397">
      <c r="N397" s="7"/>
    </row>
    <row r="398">
      <c r="N398" s="7"/>
    </row>
    <row r="399">
      <c r="N399" s="7"/>
    </row>
    <row r="400">
      <c r="N400" s="7"/>
    </row>
    <row r="401">
      <c r="N401" s="7"/>
    </row>
    <row r="402">
      <c r="I402" s="9"/>
      <c r="N402" s="7"/>
    </row>
    <row r="403">
      <c r="N403" s="7"/>
    </row>
    <row r="404">
      <c r="N404" s="7"/>
    </row>
    <row r="405">
      <c r="N405" s="7"/>
    </row>
    <row r="406">
      <c r="N406" s="7"/>
    </row>
    <row r="407">
      <c r="N407" s="7"/>
    </row>
    <row r="408">
      <c r="N408" s="7"/>
    </row>
    <row r="409">
      <c r="N409" s="7"/>
    </row>
    <row r="410">
      <c r="N410" s="7"/>
    </row>
    <row r="411">
      <c r="N411" s="7"/>
    </row>
    <row r="412">
      <c r="N412" s="7"/>
    </row>
    <row r="413">
      <c r="N413" s="7"/>
    </row>
    <row r="414">
      <c r="N414" s="7"/>
    </row>
    <row r="415">
      <c r="N415" s="7"/>
    </row>
    <row r="416">
      <c r="N416" s="7"/>
    </row>
    <row r="417">
      <c r="N417" s="7"/>
    </row>
    <row r="418">
      <c r="N418" s="7"/>
    </row>
    <row r="419">
      <c r="N419" s="7"/>
    </row>
    <row r="420">
      <c r="N420" s="7"/>
    </row>
    <row r="421">
      <c r="N421" s="7"/>
    </row>
    <row r="422">
      <c r="N422" s="7"/>
    </row>
    <row r="423">
      <c r="N423" s="7"/>
    </row>
    <row r="424">
      <c r="N424" s="7"/>
    </row>
    <row r="425">
      <c r="N425" s="7"/>
    </row>
    <row r="426">
      <c r="N426" s="7"/>
    </row>
    <row r="427">
      <c r="N427" s="7"/>
    </row>
    <row r="428">
      <c r="N428" s="7"/>
    </row>
    <row r="429">
      <c r="N429" s="7"/>
    </row>
    <row r="430">
      <c r="N430" s="7"/>
    </row>
    <row r="431">
      <c r="N431" s="7"/>
    </row>
    <row r="432">
      <c r="N432" s="7"/>
    </row>
    <row r="433">
      <c r="N433" s="7"/>
    </row>
    <row r="434">
      <c r="N434" s="7"/>
    </row>
    <row r="435">
      <c r="N435" s="7"/>
    </row>
    <row r="436">
      <c r="N436" s="7"/>
    </row>
    <row r="437">
      <c r="N437" s="7"/>
    </row>
    <row r="438">
      <c r="N438" s="7"/>
    </row>
    <row r="439">
      <c r="N439" s="7"/>
    </row>
    <row r="440">
      <c r="N440" s="7"/>
    </row>
    <row r="441">
      <c r="N441" s="7"/>
    </row>
    <row r="442">
      <c r="N442" s="7"/>
    </row>
    <row r="443">
      <c r="N443" s="7"/>
    </row>
    <row r="444">
      <c r="N444" s="7"/>
    </row>
    <row r="445">
      <c r="N445" s="7"/>
    </row>
    <row r="446">
      <c r="I446" s="9"/>
      <c r="N446" s="7"/>
    </row>
    <row r="447">
      <c r="N447" s="7"/>
    </row>
    <row r="448">
      <c r="N448" s="7"/>
    </row>
    <row r="449">
      <c r="N449" s="7"/>
    </row>
    <row r="450">
      <c r="N450" s="7"/>
    </row>
    <row r="451">
      <c r="N451" s="7"/>
    </row>
    <row r="452">
      <c r="N452" s="7"/>
    </row>
    <row r="453">
      <c r="I453" s="9"/>
      <c r="N453" s="7"/>
    </row>
    <row r="454">
      <c r="N454" s="7"/>
    </row>
    <row r="455">
      <c r="N455" s="7"/>
    </row>
    <row r="456">
      <c r="N456" s="7"/>
    </row>
    <row r="457">
      <c r="N457" s="7"/>
    </row>
    <row r="458">
      <c r="N458" s="7"/>
    </row>
    <row r="459">
      <c r="N459" s="7"/>
    </row>
    <row r="460">
      <c r="N460" s="7"/>
    </row>
    <row r="461">
      <c r="N461" s="7"/>
    </row>
    <row r="462">
      <c r="N462" s="7"/>
    </row>
    <row r="463">
      <c r="N463" s="7"/>
    </row>
    <row r="464">
      <c r="N464" s="7"/>
    </row>
    <row r="465">
      <c r="N465" s="7"/>
    </row>
    <row r="466">
      <c r="N466" s="7"/>
    </row>
    <row r="467">
      <c r="N467" s="7"/>
    </row>
    <row r="468">
      <c r="N468" s="7"/>
    </row>
    <row r="469">
      <c r="N469" s="7"/>
    </row>
    <row r="470">
      <c r="N470" s="7"/>
    </row>
    <row r="471">
      <c r="N471" s="7"/>
    </row>
    <row r="472">
      <c r="N472" s="7"/>
    </row>
    <row r="473">
      <c r="N473" s="7"/>
    </row>
    <row r="474">
      <c r="N474" s="7"/>
    </row>
    <row r="475">
      <c r="N475" s="7"/>
    </row>
    <row r="476">
      <c r="N476" s="7"/>
    </row>
    <row r="477">
      <c r="N477" s="7"/>
    </row>
    <row r="478">
      <c r="N478" s="7"/>
    </row>
    <row r="479">
      <c r="N479" s="7"/>
    </row>
    <row r="480">
      <c r="N480" s="7"/>
    </row>
    <row r="481">
      <c r="N481" s="7"/>
    </row>
    <row r="482">
      <c r="N482" s="7"/>
    </row>
    <row r="483">
      <c r="N483" s="7"/>
    </row>
    <row r="484">
      <c r="N484" s="7"/>
    </row>
    <row r="485">
      <c r="N485" s="7"/>
    </row>
    <row r="486">
      <c r="N486" s="7"/>
    </row>
    <row r="487">
      <c r="N487" s="7"/>
    </row>
    <row r="488">
      <c r="N488" s="7"/>
    </row>
    <row r="489">
      <c r="N489" s="7"/>
    </row>
    <row r="490">
      <c r="N490" s="7"/>
    </row>
    <row r="491">
      <c r="N491" s="7"/>
    </row>
    <row r="492">
      <c r="N492" s="7"/>
    </row>
    <row r="493">
      <c r="N493" s="7"/>
    </row>
    <row r="494">
      <c r="N494" s="7"/>
    </row>
    <row r="495">
      <c r="N495" s="7"/>
    </row>
    <row r="496">
      <c r="N496" s="7"/>
    </row>
    <row r="497">
      <c r="N497" s="7"/>
    </row>
    <row r="498">
      <c r="N498" s="7"/>
    </row>
    <row r="499">
      <c r="N499" s="7"/>
    </row>
    <row r="500">
      <c r="N500" s="7"/>
    </row>
    <row r="501">
      <c r="N501" s="7"/>
    </row>
    <row r="502">
      <c r="N502" s="7"/>
    </row>
    <row r="503">
      <c r="N503" s="7"/>
    </row>
    <row r="504">
      <c r="N504" s="7"/>
    </row>
    <row r="505">
      <c r="N505" s="7"/>
    </row>
    <row r="506">
      <c r="N506" s="7"/>
    </row>
    <row r="507">
      <c r="N507" s="7"/>
    </row>
    <row r="508">
      <c r="N508" s="7"/>
    </row>
    <row r="509">
      <c r="N509" s="7"/>
    </row>
    <row r="510">
      <c r="N510" s="7"/>
    </row>
    <row r="511">
      <c r="N511" s="7"/>
    </row>
    <row r="512">
      <c r="N512" s="7"/>
    </row>
    <row r="513">
      <c r="N513" s="7"/>
    </row>
    <row r="514">
      <c r="N514" s="7"/>
    </row>
    <row r="515">
      <c r="N515" s="7"/>
    </row>
    <row r="516">
      <c r="N516" s="7"/>
    </row>
    <row r="517">
      <c r="N517" s="7"/>
    </row>
    <row r="518">
      <c r="N518" s="7"/>
    </row>
    <row r="519">
      <c r="N519" s="7"/>
    </row>
    <row r="520">
      <c r="N520" s="7"/>
    </row>
    <row r="521">
      <c r="I521" s="9"/>
      <c r="N521" s="7"/>
    </row>
    <row r="522">
      <c r="N522" s="7"/>
    </row>
    <row r="523">
      <c r="N523" s="7"/>
    </row>
    <row r="524">
      <c r="N524" s="7"/>
    </row>
    <row r="525">
      <c r="N525" s="7"/>
    </row>
    <row r="526">
      <c r="N526" s="7"/>
    </row>
    <row r="527">
      <c r="N527" s="7"/>
    </row>
    <row r="528">
      <c r="N528" s="7"/>
    </row>
    <row r="529">
      <c r="N529" s="7"/>
    </row>
    <row r="530">
      <c r="N530" s="7"/>
    </row>
    <row r="531">
      <c r="N531" s="7"/>
    </row>
    <row r="532">
      <c r="N532" s="7"/>
    </row>
    <row r="533">
      <c r="N533" s="7"/>
    </row>
    <row r="534">
      <c r="N534" s="7"/>
    </row>
    <row r="535">
      <c r="N535" s="7"/>
    </row>
    <row r="536">
      <c r="N536" s="7"/>
    </row>
    <row r="537">
      <c r="N537" s="7"/>
    </row>
    <row r="538">
      <c r="N538" s="7"/>
    </row>
    <row r="539">
      <c r="N539" s="7"/>
    </row>
    <row r="540">
      <c r="N540" s="7"/>
    </row>
    <row r="541">
      <c r="N541" s="7"/>
    </row>
    <row r="542">
      <c r="N542" s="7"/>
    </row>
    <row r="543">
      <c r="N543" s="7"/>
    </row>
    <row r="544">
      <c r="N544" s="7"/>
    </row>
    <row r="545">
      <c r="N545" s="7"/>
    </row>
    <row r="546">
      <c r="N546" s="7"/>
    </row>
    <row r="547">
      <c r="N547" s="7"/>
    </row>
    <row r="548">
      <c r="N548" s="7"/>
    </row>
    <row r="549">
      <c r="N549" s="7"/>
    </row>
    <row r="550">
      <c r="N550" s="7"/>
    </row>
    <row r="551">
      <c r="N551" s="7"/>
    </row>
    <row r="552">
      <c r="N552" s="7"/>
    </row>
    <row r="553">
      <c r="N553" s="7"/>
    </row>
    <row r="554">
      <c r="N554" s="7"/>
    </row>
    <row r="555">
      <c r="N555" s="7"/>
    </row>
    <row r="556">
      <c r="N556" s="7"/>
    </row>
    <row r="557">
      <c r="N557" s="7"/>
    </row>
    <row r="558">
      <c r="N558" s="7"/>
    </row>
    <row r="559">
      <c r="N559" s="7"/>
    </row>
    <row r="560">
      <c r="N560" s="7"/>
    </row>
    <row r="561">
      <c r="N561" s="7"/>
    </row>
    <row r="562">
      <c r="N562" s="7"/>
    </row>
    <row r="563">
      <c r="N563" s="7"/>
    </row>
    <row r="564">
      <c r="N564" s="7"/>
    </row>
    <row r="565">
      <c r="N565" s="7"/>
    </row>
    <row r="566">
      <c r="N566" s="7"/>
    </row>
    <row r="567">
      <c r="N567" s="7"/>
    </row>
    <row r="568">
      <c r="N568" s="7"/>
    </row>
    <row r="569">
      <c r="N569" s="7"/>
    </row>
    <row r="570">
      <c r="N570" s="7"/>
    </row>
    <row r="571">
      <c r="N571" s="7"/>
    </row>
    <row r="572">
      <c r="N572" s="7"/>
    </row>
    <row r="573">
      <c r="N573" s="7"/>
    </row>
    <row r="574">
      <c r="N574" s="7"/>
    </row>
    <row r="575">
      <c r="N575" s="7"/>
    </row>
    <row r="576">
      <c r="N576" s="7"/>
    </row>
    <row r="577">
      <c r="N577" s="7"/>
    </row>
    <row r="578">
      <c r="N578" s="7"/>
    </row>
    <row r="579">
      <c r="N579" s="7"/>
    </row>
    <row r="580">
      <c r="N580" s="7"/>
    </row>
    <row r="581">
      <c r="N581" s="7"/>
    </row>
    <row r="582">
      <c r="N582" s="7"/>
    </row>
    <row r="583">
      <c r="N583" s="7"/>
    </row>
    <row r="584">
      <c r="N584" s="7"/>
    </row>
    <row r="585">
      <c r="N585" s="7"/>
    </row>
    <row r="586">
      <c r="N586" s="7"/>
    </row>
    <row r="587">
      <c r="N587" s="7"/>
    </row>
    <row r="588">
      <c r="N588" s="7"/>
    </row>
    <row r="589">
      <c r="N589" s="7"/>
    </row>
    <row r="590">
      <c r="N590" s="7"/>
    </row>
    <row r="591">
      <c r="N591" s="7"/>
    </row>
    <row r="592">
      <c r="N592" s="7"/>
    </row>
    <row r="593">
      <c r="N593" s="7"/>
    </row>
    <row r="594">
      <c r="N594" s="7"/>
    </row>
    <row r="595">
      <c r="N595" s="7"/>
    </row>
    <row r="596">
      <c r="N596" s="7"/>
    </row>
    <row r="597">
      <c r="N597" s="7"/>
    </row>
    <row r="598">
      <c r="N598" s="7"/>
    </row>
    <row r="599">
      <c r="N599" s="7"/>
    </row>
    <row r="600">
      <c r="N600" s="7"/>
    </row>
    <row r="601">
      <c r="N601" s="7"/>
    </row>
    <row r="602">
      <c r="N602" s="7"/>
    </row>
    <row r="603">
      <c r="N603" s="7"/>
    </row>
    <row r="604">
      <c r="N604" s="7"/>
    </row>
    <row r="605">
      <c r="N605" s="7"/>
    </row>
    <row r="606">
      <c r="N606" s="7"/>
    </row>
    <row r="607">
      <c r="N607" s="7"/>
    </row>
    <row r="608">
      <c r="N608" s="7"/>
    </row>
    <row r="609">
      <c r="N609" s="7"/>
    </row>
    <row r="610">
      <c r="N610" s="7"/>
    </row>
    <row r="611">
      <c r="N611" s="7"/>
    </row>
    <row r="612">
      <c r="N612" s="7"/>
    </row>
    <row r="613">
      <c r="N613" s="7"/>
    </row>
    <row r="614">
      <c r="N614" s="7"/>
    </row>
    <row r="615">
      <c r="N615" s="7"/>
    </row>
    <row r="616">
      <c r="N616" s="7"/>
    </row>
    <row r="617">
      <c r="N617" s="7"/>
    </row>
    <row r="618">
      <c r="N618" s="7"/>
    </row>
    <row r="619">
      <c r="N619" s="7"/>
    </row>
    <row r="620">
      <c r="N620" s="7"/>
    </row>
    <row r="621">
      <c r="N621" s="7"/>
    </row>
    <row r="622">
      <c r="N622" s="7"/>
    </row>
    <row r="623">
      <c r="N623" s="7"/>
    </row>
    <row r="624">
      <c r="N624" s="7"/>
    </row>
    <row r="625">
      <c r="N625" s="7"/>
    </row>
    <row r="626">
      <c r="N626" s="7"/>
    </row>
    <row r="627">
      <c r="N627" s="7"/>
    </row>
    <row r="628">
      <c r="N628" s="7"/>
    </row>
    <row r="629">
      <c r="N629" s="7"/>
    </row>
    <row r="630">
      <c r="N630" s="7"/>
    </row>
    <row r="631">
      <c r="N631" s="7"/>
    </row>
    <row r="632">
      <c r="N632" s="7"/>
    </row>
    <row r="633">
      <c r="N633" s="7"/>
    </row>
    <row r="634">
      <c r="N634" s="7"/>
    </row>
    <row r="635">
      <c r="N635" s="7"/>
    </row>
    <row r="636">
      <c r="N636" s="7"/>
    </row>
    <row r="637">
      <c r="N637" s="7"/>
    </row>
    <row r="638">
      <c r="N638" s="7"/>
    </row>
    <row r="639">
      <c r="N639" s="7"/>
    </row>
    <row r="640">
      <c r="N640" s="7"/>
    </row>
    <row r="641">
      <c r="N641" s="7"/>
    </row>
    <row r="642">
      <c r="N642" s="7"/>
    </row>
    <row r="643">
      <c r="N643" s="7"/>
    </row>
    <row r="644">
      <c r="N644" s="7"/>
    </row>
    <row r="645">
      <c r="N645" s="7"/>
    </row>
    <row r="646">
      <c r="N646" s="7"/>
    </row>
    <row r="647">
      <c r="N647" s="7"/>
    </row>
    <row r="648">
      <c r="N648" s="7"/>
    </row>
    <row r="649">
      <c r="N649" s="7"/>
    </row>
    <row r="650">
      <c r="N650" s="7"/>
    </row>
    <row r="651">
      <c r="N651" s="7"/>
    </row>
    <row r="652">
      <c r="N652" s="7"/>
    </row>
    <row r="653">
      <c r="N653" s="7"/>
    </row>
    <row r="654">
      <c r="N654" s="7"/>
    </row>
    <row r="655">
      <c r="N655" s="7"/>
    </row>
    <row r="656">
      <c r="N656" s="7"/>
    </row>
    <row r="657">
      <c r="N657" s="7"/>
    </row>
    <row r="658">
      <c r="N658" s="7"/>
    </row>
    <row r="659">
      <c r="N659" s="7"/>
    </row>
    <row r="660">
      <c r="N660" s="7"/>
    </row>
    <row r="661">
      <c r="N661" s="7"/>
    </row>
    <row r="662">
      <c r="N662" s="7"/>
    </row>
    <row r="663">
      <c r="N663" s="7"/>
    </row>
    <row r="664">
      <c r="N664" s="7"/>
    </row>
    <row r="665">
      <c r="N665" s="7"/>
    </row>
    <row r="666">
      <c r="N666" s="7"/>
    </row>
    <row r="667">
      <c r="N667" s="7"/>
    </row>
    <row r="668">
      <c r="N668" s="7"/>
    </row>
    <row r="669">
      <c r="N669" s="7"/>
    </row>
    <row r="670">
      <c r="N670" s="7"/>
    </row>
    <row r="671">
      <c r="N671" s="7"/>
    </row>
    <row r="672">
      <c r="N672" s="7"/>
    </row>
    <row r="673">
      <c r="N673" s="7"/>
    </row>
    <row r="674">
      <c r="N674" s="7"/>
    </row>
    <row r="675">
      <c r="N675" s="7"/>
    </row>
    <row r="676">
      <c r="N676" s="7"/>
    </row>
    <row r="677">
      <c r="N677" s="7"/>
    </row>
    <row r="678">
      <c r="N678" s="7"/>
    </row>
    <row r="679">
      <c r="N679" s="7"/>
    </row>
    <row r="680">
      <c r="N680" s="7"/>
    </row>
    <row r="681">
      <c r="N681" s="7"/>
    </row>
    <row r="682">
      <c r="N682" s="7"/>
    </row>
    <row r="683">
      <c r="N683" s="7"/>
    </row>
    <row r="684">
      <c r="N684" s="7"/>
    </row>
    <row r="685">
      <c r="N685" s="7"/>
    </row>
    <row r="686">
      <c r="N686" s="7"/>
    </row>
    <row r="687">
      <c r="N687" s="7"/>
    </row>
    <row r="688">
      <c r="N688" s="7"/>
    </row>
    <row r="689">
      <c r="N689" s="7"/>
    </row>
    <row r="690">
      <c r="N690" s="7"/>
    </row>
    <row r="691">
      <c r="N691" s="7"/>
    </row>
    <row r="692">
      <c r="N692" s="7"/>
    </row>
    <row r="693">
      <c r="N693" s="7"/>
    </row>
    <row r="694">
      <c r="N694" s="7"/>
    </row>
    <row r="695">
      <c r="N695" s="7"/>
    </row>
    <row r="696">
      <c r="N696" s="7"/>
    </row>
    <row r="697">
      <c r="N697" s="7"/>
    </row>
    <row r="698">
      <c r="N698" s="7"/>
    </row>
    <row r="699">
      <c r="N699" s="7"/>
    </row>
    <row r="700">
      <c r="N700" s="7"/>
    </row>
    <row r="701">
      <c r="N701" s="7"/>
    </row>
    <row r="702">
      <c r="N702" s="7"/>
    </row>
    <row r="703">
      <c r="N703" s="7"/>
    </row>
    <row r="704">
      <c r="N704" s="7"/>
    </row>
    <row r="705">
      <c r="N705" s="7"/>
    </row>
    <row r="706">
      <c r="N706" s="7"/>
    </row>
    <row r="707">
      <c r="N707" s="7"/>
    </row>
    <row r="708">
      <c r="N708" s="7"/>
    </row>
    <row r="709">
      <c r="N709" s="7"/>
    </row>
    <row r="710">
      <c r="N710" s="7"/>
    </row>
    <row r="711">
      <c r="N711" s="7"/>
    </row>
    <row r="712">
      <c r="N712" s="7"/>
    </row>
    <row r="713">
      <c r="N713" s="7"/>
    </row>
    <row r="714">
      <c r="N714" s="7"/>
    </row>
    <row r="715">
      <c r="N715" s="7"/>
    </row>
    <row r="716">
      <c r="N716" s="7"/>
    </row>
    <row r="717">
      <c r="N717" s="7"/>
    </row>
    <row r="718">
      <c r="N718" s="7"/>
    </row>
    <row r="719">
      <c r="N719" s="7"/>
    </row>
    <row r="720">
      <c r="N720" s="7"/>
    </row>
    <row r="721">
      <c r="N721" s="7"/>
    </row>
    <row r="722">
      <c r="N722" s="7"/>
    </row>
    <row r="723">
      <c r="N723" s="7"/>
    </row>
    <row r="724">
      <c r="N724" s="7"/>
    </row>
    <row r="725">
      <c r="N725" s="7"/>
    </row>
    <row r="726">
      <c r="N726" s="7"/>
    </row>
    <row r="727">
      <c r="N727" s="7"/>
    </row>
    <row r="728">
      <c r="N728" s="7"/>
    </row>
    <row r="729">
      <c r="N729" s="7"/>
    </row>
    <row r="730">
      <c r="N730" s="7"/>
    </row>
    <row r="731">
      <c r="N731" s="7"/>
    </row>
    <row r="732">
      <c r="N732" s="7"/>
    </row>
    <row r="733">
      <c r="N733" s="7"/>
    </row>
    <row r="734">
      <c r="N734" s="7"/>
    </row>
    <row r="735">
      <c r="N735" s="7"/>
    </row>
    <row r="736">
      <c r="N736" s="7"/>
    </row>
    <row r="737">
      <c r="N737" s="7"/>
    </row>
    <row r="738">
      <c r="N738" s="7"/>
    </row>
    <row r="739">
      <c r="N739" s="7"/>
    </row>
    <row r="740">
      <c r="N740" s="7"/>
    </row>
    <row r="741">
      <c r="N741" s="7"/>
    </row>
    <row r="742">
      <c r="N742" s="7"/>
    </row>
    <row r="743">
      <c r="N743" s="7"/>
    </row>
    <row r="744">
      <c r="N744" s="7"/>
    </row>
    <row r="745">
      <c r="N745" s="7"/>
    </row>
    <row r="746">
      <c r="N746" s="7"/>
    </row>
    <row r="747">
      <c r="N747" s="7"/>
    </row>
    <row r="748">
      <c r="N748" s="7"/>
    </row>
    <row r="749">
      <c r="N749" s="7"/>
    </row>
    <row r="750">
      <c r="N750" s="7"/>
    </row>
    <row r="751">
      <c r="N751" s="7"/>
    </row>
    <row r="752">
      <c r="N752" s="7"/>
    </row>
    <row r="753">
      <c r="N753" s="7"/>
    </row>
    <row r="754">
      <c r="N754" s="7"/>
    </row>
    <row r="755">
      <c r="N755" s="7"/>
    </row>
    <row r="756">
      <c r="N756" s="7"/>
    </row>
    <row r="757">
      <c r="N757" s="7"/>
    </row>
    <row r="758">
      <c r="N758" s="7"/>
    </row>
    <row r="759">
      <c r="N759" s="7"/>
    </row>
    <row r="760">
      <c r="N760" s="7"/>
    </row>
    <row r="761">
      <c r="N761" s="7"/>
    </row>
    <row r="762">
      <c r="N762" s="7"/>
    </row>
    <row r="763">
      <c r="N763" s="7"/>
    </row>
    <row r="764">
      <c r="N764" s="7"/>
    </row>
    <row r="765">
      <c r="N765" s="7"/>
    </row>
    <row r="766">
      <c r="N766" s="7"/>
    </row>
    <row r="767">
      <c r="N767" s="7"/>
    </row>
    <row r="768">
      <c r="N768" s="7"/>
    </row>
    <row r="769">
      <c r="N769" s="7"/>
    </row>
    <row r="770">
      <c r="N770" s="7"/>
    </row>
    <row r="771">
      <c r="N771" s="7"/>
    </row>
    <row r="772">
      <c r="N772" s="7"/>
    </row>
    <row r="773">
      <c r="N773" s="7"/>
    </row>
    <row r="774">
      <c r="N774" s="7"/>
    </row>
    <row r="775">
      <c r="N775" s="7"/>
    </row>
    <row r="776">
      <c r="N776" s="7"/>
    </row>
    <row r="777">
      <c r="N777" s="7"/>
    </row>
    <row r="778">
      <c r="N778" s="7"/>
    </row>
    <row r="779">
      <c r="N779" s="7"/>
    </row>
    <row r="780">
      <c r="N780" s="7"/>
    </row>
    <row r="781">
      <c r="N781" s="7"/>
    </row>
    <row r="782">
      <c r="N782" s="7"/>
    </row>
    <row r="783">
      <c r="N783" s="7"/>
    </row>
    <row r="784">
      <c r="N784" s="7"/>
    </row>
    <row r="785">
      <c r="N785" s="7"/>
    </row>
    <row r="786">
      <c r="N786" s="7"/>
    </row>
    <row r="787">
      <c r="N787" s="7"/>
    </row>
    <row r="788">
      <c r="N788" s="7"/>
    </row>
    <row r="789">
      <c r="N789" s="7"/>
    </row>
    <row r="790">
      <c r="N790" s="7"/>
    </row>
    <row r="791">
      <c r="N791" s="7"/>
    </row>
    <row r="792">
      <c r="N792" s="7"/>
    </row>
    <row r="793">
      <c r="N793" s="7"/>
    </row>
    <row r="794">
      <c r="N794" s="7"/>
    </row>
    <row r="795">
      <c r="N795" s="7"/>
    </row>
    <row r="796">
      <c r="N796" s="7"/>
    </row>
    <row r="797">
      <c r="N797" s="7"/>
    </row>
    <row r="798">
      <c r="N798" s="7"/>
    </row>
    <row r="799">
      <c r="N799" s="7"/>
    </row>
    <row r="800">
      <c r="N800" s="7"/>
    </row>
    <row r="801">
      <c r="N801" s="7"/>
    </row>
    <row r="802">
      <c r="N802" s="7"/>
    </row>
    <row r="803">
      <c r="N803" s="7"/>
    </row>
    <row r="804">
      <c r="N804" s="7"/>
    </row>
    <row r="805">
      <c r="N805" s="7"/>
    </row>
    <row r="806">
      <c r="N806" s="7"/>
    </row>
    <row r="807">
      <c r="N807" s="7"/>
    </row>
    <row r="808">
      <c r="N808" s="7"/>
    </row>
    <row r="809">
      <c r="N809" s="7"/>
    </row>
    <row r="810">
      <c r="N810" s="7"/>
    </row>
    <row r="811">
      <c r="N811" s="7"/>
    </row>
    <row r="812">
      <c r="N812" s="7"/>
    </row>
    <row r="813">
      <c r="N813" s="7"/>
    </row>
    <row r="814">
      <c r="N814" s="7"/>
    </row>
    <row r="815">
      <c r="N815" s="7"/>
    </row>
    <row r="816">
      <c r="N816" s="7"/>
    </row>
    <row r="817">
      <c r="N817" s="7"/>
    </row>
    <row r="818">
      <c r="N818" s="7"/>
    </row>
    <row r="819">
      <c r="N819" s="7"/>
    </row>
    <row r="820">
      <c r="N820" s="7"/>
    </row>
    <row r="821">
      <c r="N821" s="7"/>
    </row>
    <row r="822">
      <c r="N822" s="7"/>
    </row>
    <row r="823">
      <c r="N823" s="7"/>
    </row>
    <row r="824">
      <c r="N824" s="7"/>
    </row>
    <row r="825">
      <c r="N825" s="7"/>
    </row>
    <row r="826">
      <c r="N826" s="7"/>
    </row>
    <row r="827">
      <c r="N827" s="7"/>
    </row>
    <row r="828">
      <c r="N828" s="7"/>
    </row>
    <row r="829">
      <c r="N829" s="7"/>
    </row>
    <row r="830">
      <c r="N830" s="7"/>
    </row>
    <row r="831">
      <c r="N831" s="7"/>
    </row>
    <row r="832">
      <c r="N832" s="7"/>
    </row>
    <row r="833">
      <c r="N833" s="7"/>
    </row>
    <row r="834">
      <c r="N834" s="7"/>
    </row>
    <row r="835">
      <c r="N835" s="7"/>
    </row>
    <row r="836">
      <c r="N836" s="7"/>
    </row>
    <row r="837">
      <c r="N837" s="7"/>
    </row>
    <row r="838">
      <c r="N838" s="7"/>
    </row>
    <row r="839">
      <c r="N839" s="7"/>
    </row>
    <row r="840">
      <c r="N840" s="7"/>
    </row>
    <row r="841">
      <c r="N841" s="7"/>
    </row>
    <row r="842">
      <c r="N842" s="7"/>
    </row>
    <row r="843">
      <c r="N843" s="7"/>
    </row>
    <row r="844">
      <c r="N844" s="7"/>
    </row>
    <row r="845">
      <c r="N845" s="7"/>
    </row>
    <row r="846">
      <c r="N846" s="7"/>
    </row>
    <row r="847">
      <c r="N847" s="7"/>
    </row>
    <row r="848">
      <c r="N848" s="7"/>
    </row>
    <row r="849">
      <c r="N849" s="7"/>
    </row>
    <row r="850">
      <c r="N850" s="7"/>
    </row>
    <row r="851">
      <c r="N851" s="7"/>
    </row>
    <row r="852">
      <c r="N852" s="7"/>
    </row>
    <row r="853">
      <c r="N853" s="7"/>
    </row>
    <row r="854">
      <c r="N854" s="7"/>
    </row>
    <row r="855">
      <c r="N855" s="7"/>
    </row>
    <row r="856">
      <c r="N856" s="7"/>
    </row>
    <row r="857">
      <c r="N857" s="7"/>
    </row>
    <row r="858">
      <c r="N858" s="7"/>
    </row>
    <row r="859">
      <c r="N859" s="7"/>
    </row>
    <row r="860">
      <c r="N860" s="7"/>
    </row>
    <row r="861">
      <c r="N861" s="7"/>
    </row>
    <row r="862">
      <c r="N862" s="7"/>
    </row>
    <row r="863">
      <c r="N863" s="7"/>
    </row>
    <row r="864">
      <c r="N864" s="7"/>
    </row>
    <row r="865">
      <c r="N865" s="7"/>
    </row>
    <row r="866">
      <c r="N866" s="7"/>
    </row>
    <row r="867">
      <c r="N867" s="7"/>
    </row>
    <row r="868">
      <c r="N868" s="7"/>
    </row>
    <row r="869">
      <c r="N869" s="7"/>
    </row>
    <row r="870">
      <c r="N870" s="7"/>
    </row>
    <row r="871">
      <c r="N871" s="7"/>
    </row>
    <row r="872">
      <c r="N872" s="7"/>
    </row>
    <row r="873">
      <c r="N873" s="7"/>
    </row>
    <row r="874">
      <c r="N874" s="7"/>
    </row>
    <row r="875">
      <c r="N875" s="7"/>
    </row>
    <row r="876">
      <c r="N876" s="7"/>
    </row>
    <row r="877">
      <c r="N877" s="7"/>
    </row>
    <row r="878">
      <c r="N878" s="7"/>
    </row>
    <row r="879">
      <c r="N879" s="7"/>
    </row>
    <row r="880">
      <c r="N880" s="7"/>
    </row>
    <row r="881">
      <c r="N881" s="7"/>
    </row>
    <row r="882">
      <c r="N882" s="7"/>
    </row>
    <row r="883">
      <c r="N883" s="7"/>
    </row>
    <row r="884">
      <c r="N884" s="7"/>
    </row>
    <row r="885">
      <c r="N885" s="7"/>
    </row>
    <row r="886">
      <c r="N886" s="7"/>
    </row>
    <row r="887">
      <c r="N887" s="7"/>
    </row>
    <row r="888">
      <c r="N888" s="7"/>
    </row>
    <row r="889">
      <c r="N889" s="7"/>
    </row>
    <row r="890">
      <c r="N890" s="7"/>
    </row>
    <row r="891">
      <c r="N891" s="7"/>
    </row>
    <row r="892">
      <c r="N892" s="7"/>
    </row>
    <row r="893">
      <c r="N893" s="7"/>
    </row>
    <row r="894">
      <c r="N894" s="7"/>
    </row>
    <row r="895">
      <c r="N895" s="7"/>
    </row>
    <row r="896">
      <c r="N896" s="7"/>
    </row>
    <row r="897">
      <c r="N897" s="7"/>
    </row>
    <row r="898">
      <c r="N898" s="7"/>
    </row>
    <row r="899">
      <c r="N899" s="7"/>
    </row>
    <row r="900">
      <c r="N900" s="7"/>
    </row>
    <row r="901">
      <c r="N901" s="7"/>
    </row>
    <row r="902">
      <c r="N902" s="7"/>
    </row>
    <row r="903">
      <c r="N903" s="7"/>
    </row>
    <row r="904">
      <c r="N904" s="7"/>
    </row>
    <row r="905">
      <c r="N905" s="7"/>
    </row>
    <row r="906">
      <c r="N906" s="7"/>
    </row>
    <row r="907">
      <c r="N907" s="7"/>
    </row>
    <row r="908">
      <c r="N908" s="7"/>
    </row>
    <row r="909">
      <c r="N909" s="7"/>
    </row>
    <row r="910">
      <c r="N910" s="7"/>
    </row>
    <row r="911">
      <c r="N911" s="7"/>
    </row>
    <row r="912">
      <c r="N912" s="7"/>
    </row>
    <row r="913">
      <c r="N913" s="7"/>
    </row>
    <row r="914">
      <c r="N914" s="7"/>
    </row>
    <row r="915">
      <c r="N915" s="7"/>
    </row>
    <row r="916">
      <c r="N916" s="7"/>
    </row>
    <row r="917">
      <c r="N917" s="7"/>
    </row>
    <row r="918">
      <c r="N918" s="7"/>
    </row>
    <row r="919">
      <c r="N919" s="7"/>
    </row>
    <row r="920">
      <c r="N920" s="7"/>
    </row>
    <row r="921">
      <c r="N921" s="7"/>
    </row>
    <row r="922">
      <c r="N922" s="7"/>
    </row>
    <row r="923">
      <c r="N923" s="7"/>
    </row>
    <row r="924">
      <c r="N924" s="7"/>
    </row>
    <row r="925">
      <c r="N925" s="7"/>
    </row>
    <row r="926">
      <c r="N926" s="7"/>
    </row>
    <row r="927">
      <c r="N927" s="7"/>
    </row>
    <row r="928">
      <c r="N928" s="7"/>
    </row>
    <row r="929">
      <c r="N929" s="7"/>
    </row>
    <row r="930">
      <c r="N930" s="7"/>
    </row>
    <row r="931">
      <c r="N931" s="7"/>
    </row>
    <row r="932">
      <c r="N932" s="7"/>
    </row>
    <row r="933">
      <c r="N933" s="7"/>
    </row>
    <row r="934">
      <c r="N934" s="7"/>
    </row>
    <row r="935">
      <c r="N935" s="7"/>
    </row>
    <row r="936">
      <c r="N936" s="7"/>
    </row>
    <row r="937">
      <c r="N937" s="7"/>
    </row>
    <row r="938">
      <c r="N938" s="7"/>
    </row>
    <row r="939">
      <c r="N939" s="7"/>
    </row>
    <row r="940">
      <c r="N940" s="7"/>
    </row>
    <row r="941">
      <c r="N941" s="7"/>
    </row>
    <row r="942">
      <c r="N942" s="7"/>
    </row>
    <row r="943">
      <c r="N943" s="7"/>
    </row>
    <row r="944">
      <c r="N944" s="7"/>
    </row>
    <row r="945">
      <c r="N945" s="7"/>
    </row>
    <row r="946">
      <c r="N946" s="7"/>
    </row>
    <row r="947">
      <c r="N947" s="7"/>
    </row>
    <row r="948">
      <c r="N948" s="7"/>
    </row>
    <row r="949">
      <c r="N949" s="7"/>
    </row>
    <row r="950">
      <c r="N950" s="7"/>
    </row>
    <row r="951">
      <c r="N951" s="7"/>
    </row>
    <row r="952">
      <c r="N952" s="7"/>
    </row>
    <row r="953">
      <c r="N953" s="7"/>
    </row>
    <row r="954">
      <c r="N954" s="7"/>
    </row>
    <row r="955">
      <c r="N955" s="7"/>
    </row>
    <row r="956">
      <c r="I956" s="9"/>
      <c r="N956" s="7"/>
    </row>
    <row r="957">
      <c r="N957" s="7"/>
    </row>
    <row r="958">
      <c r="N958" s="7"/>
    </row>
    <row r="959">
      <c r="N959" s="7"/>
    </row>
    <row r="960">
      <c r="N960" s="7"/>
    </row>
    <row r="961">
      <c r="N961" s="7"/>
    </row>
    <row r="962">
      <c r="N962" s="7"/>
    </row>
    <row r="963">
      <c r="N963" s="7"/>
    </row>
    <row r="964">
      <c r="N964" s="7"/>
    </row>
    <row r="965">
      <c r="N965" s="7"/>
    </row>
    <row r="966">
      <c r="N966" s="7"/>
    </row>
    <row r="967">
      <c r="N967" s="7"/>
    </row>
    <row r="968">
      <c r="N968" s="7"/>
    </row>
    <row r="969">
      <c r="N969" s="7"/>
    </row>
    <row r="970">
      <c r="N970" s="7"/>
    </row>
    <row r="971">
      <c r="N971" s="7"/>
    </row>
    <row r="972">
      <c r="N972" s="7"/>
    </row>
    <row r="973">
      <c r="N973" s="7"/>
    </row>
    <row r="974">
      <c r="N974" s="7"/>
    </row>
    <row r="975">
      <c r="N975" s="7"/>
    </row>
    <row r="976">
      <c r="N976" s="7"/>
    </row>
    <row r="977">
      <c r="N977" s="7"/>
    </row>
    <row r="978">
      <c r="N978" s="7"/>
    </row>
    <row r="979">
      <c r="N979" s="7"/>
    </row>
    <row r="980">
      <c r="N980" s="7"/>
    </row>
    <row r="981">
      <c r="N981" s="7"/>
    </row>
    <row r="982">
      <c r="N982" s="7"/>
    </row>
    <row r="983">
      <c r="N983" s="7"/>
    </row>
    <row r="984">
      <c r="N984" s="7"/>
    </row>
    <row r="985">
      <c r="N985" s="7"/>
    </row>
    <row r="986">
      <c r="N986" s="7"/>
    </row>
    <row r="987">
      <c r="N987" s="7"/>
    </row>
    <row r="988">
      <c r="N988" s="7"/>
    </row>
    <row r="989">
      <c r="N989" s="7"/>
    </row>
    <row r="990">
      <c r="N990" s="7"/>
    </row>
    <row r="991">
      <c r="N991" s="7"/>
    </row>
    <row r="992">
      <c r="N992" s="7"/>
    </row>
    <row r="993">
      <c r="N993" s="7"/>
    </row>
    <row r="994">
      <c r="N994" s="7"/>
    </row>
    <row r="995">
      <c r="N995" s="7"/>
    </row>
    <row r="996">
      <c r="N996" s="7"/>
    </row>
    <row r="997">
      <c r="N997" s="7"/>
    </row>
    <row r="998">
      <c r="N998" s="7"/>
    </row>
    <row r="999">
      <c r="N999" s="7"/>
    </row>
    <row r="1000">
      <c r="N1000" s="7"/>
    </row>
    <row r="1001">
      <c r="N1001" s="7"/>
    </row>
    <row r="1002">
      <c r="N1002" s="7"/>
    </row>
    <row r="1003">
      <c r="N1003" s="7"/>
    </row>
    <row r="1004">
      <c r="N1004" s="7"/>
    </row>
    <row r="1005">
      <c r="N1005" s="7"/>
    </row>
    <row r="1006">
      <c r="N1006" s="7"/>
    </row>
    <row r="1007">
      <c r="N1007" s="7"/>
    </row>
    <row r="1008">
      <c r="N1008" s="7"/>
    </row>
    <row r="1009">
      <c r="N1009" s="7"/>
    </row>
    <row r="1010">
      <c r="N1010" s="7"/>
    </row>
    <row r="1011">
      <c r="N1011" s="7"/>
    </row>
    <row r="1012">
      <c r="N1012" s="7"/>
    </row>
    <row r="1013">
      <c r="N1013" s="7"/>
    </row>
    <row r="1014">
      <c r="N1014" s="7"/>
    </row>
    <row r="1015">
      <c r="N1015" s="7"/>
    </row>
    <row r="1016">
      <c r="N1016" s="7"/>
    </row>
    <row r="1017">
      <c r="N1017" s="7"/>
    </row>
    <row r="1018">
      <c r="N1018" s="7"/>
    </row>
    <row r="1019">
      <c r="N1019" s="7"/>
    </row>
    <row r="1020">
      <c r="N1020" s="7"/>
    </row>
    <row r="1021">
      <c r="N1021" s="7"/>
    </row>
    <row r="1022">
      <c r="N1022" s="7"/>
    </row>
    <row r="1023">
      <c r="N1023" s="7"/>
    </row>
    <row r="1024">
      <c r="N1024" s="7"/>
    </row>
    <row r="1025">
      <c r="N1025" s="7"/>
    </row>
    <row r="1026">
      <c r="N1026" s="7"/>
    </row>
    <row r="1027">
      <c r="N1027" s="7"/>
    </row>
    <row r="1028">
      <c r="N1028" s="7"/>
    </row>
    <row r="1029">
      <c r="N1029" s="7"/>
    </row>
    <row r="1030">
      <c r="N1030" s="7"/>
    </row>
    <row r="1031">
      <c r="N1031" s="7"/>
    </row>
    <row r="1032">
      <c r="N1032" s="7"/>
    </row>
    <row r="1033">
      <c r="N1033" s="7"/>
    </row>
    <row r="1034">
      <c r="N1034" s="7"/>
    </row>
    <row r="1035">
      <c r="N1035" s="7"/>
    </row>
    <row r="1036">
      <c r="N1036" s="7"/>
    </row>
    <row r="1037">
      <c r="N1037" s="7"/>
    </row>
    <row r="1038">
      <c r="N1038" s="7"/>
    </row>
    <row r="1039">
      <c r="N1039" s="7"/>
    </row>
    <row r="1040">
      <c r="N1040" s="7"/>
    </row>
    <row r="1041">
      <c r="N1041" s="7"/>
    </row>
    <row r="1042">
      <c r="N1042" s="7"/>
    </row>
    <row r="1043">
      <c r="N1043" s="7"/>
    </row>
    <row r="1044">
      <c r="N1044" s="7"/>
    </row>
    <row r="1045">
      <c r="N1045" s="7"/>
    </row>
    <row r="1046">
      <c r="N1046" s="7"/>
    </row>
    <row r="1047">
      <c r="N1047" s="7"/>
    </row>
    <row r="1048">
      <c r="N1048" s="7"/>
    </row>
    <row r="1049">
      <c r="I1049" s="9"/>
      <c r="N1049" s="7"/>
    </row>
    <row r="1050">
      <c r="N1050" s="7"/>
    </row>
    <row r="1051">
      <c r="N1051" s="7"/>
    </row>
    <row r="1052">
      <c r="N1052" s="7"/>
    </row>
    <row r="1053">
      <c r="N1053" s="7"/>
    </row>
    <row r="1054">
      <c r="N1054" s="7"/>
    </row>
    <row r="1055">
      <c r="N1055" s="7"/>
    </row>
    <row r="1056">
      <c r="N1056" s="7"/>
    </row>
    <row r="1057">
      <c r="N1057" s="7"/>
    </row>
    <row r="1058">
      <c r="N1058" s="7"/>
    </row>
    <row r="1059">
      <c r="N1059" s="7"/>
    </row>
    <row r="1060">
      <c r="N1060" s="7"/>
    </row>
    <row r="1061">
      <c r="N1061" s="7"/>
    </row>
    <row r="1062">
      <c r="N1062" s="7"/>
    </row>
    <row r="1063">
      <c r="N1063" s="7"/>
    </row>
    <row r="1064">
      <c r="N1064" s="7"/>
    </row>
    <row r="1065">
      <c r="N1065" s="7"/>
    </row>
    <row r="1066">
      <c r="N1066" s="7"/>
    </row>
    <row r="1067">
      <c r="N1067" s="7"/>
    </row>
    <row r="1068">
      <c r="N1068" s="7"/>
    </row>
    <row r="1069">
      <c r="N1069" s="7"/>
    </row>
    <row r="1070">
      <c r="N1070" s="7"/>
    </row>
    <row r="1071">
      <c r="N1071" s="7"/>
    </row>
    <row r="1072">
      <c r="N1072" s="7"/>
    </row>
    <row r="1073">
      <c r="N1073" s="7"/>
    </row>
    <row r="1074">
      <c r="N1074" s="7"/>
    </row>
    <row r="1075">
      <c r="N1075" s="7"/>
    </row>
    <row r="1076">
      <c r="N1076" s="7"/>
    </row>
    <row r="1077">
      <c r="N1077" s="7"/>
    </row>
    <row r="1078">
      <c r="N1078" s="7"/>
    </row>
    <row r="1079">
      <c r="N1079" s="7"/>
    </row>
    <row r="1080">
      <c r="N1080" s="7"/>
    </row>
    <row r="1081">
      <c r="N1081" s="7"/>
    </row>
    <row r="1082">
      <c r="N1082" s="7"/>
    </row>
    <row r="1083">
      <c r="N1083" s="7"/>
    </row>
    <row r="1084">
      <c r="N1084" s="7"/>
    </row>
    <row r="1085">
      <c r="N1085" s="7"/>
    </row>
    <row r="1086">
      <c r="N1086" s="7"/>
    </row>
    <row r="1087">
      <c r="N1087" s="7"/>
    </row>
    <row r="1088">
      <c r="N1088" s="7"/>
    </row>
    <row r="1089">
      <c r="N1089" s="7"/>
    </row>
    <row r="1090">
      <c r="N1090" s="7"/>
    </row>
    <row r="1091">
      <c r="N1091" s="7"/>
    </row>
    <row r="1092">
      <c r="N1092" s="7"/>
    </row>
    <row r="1093">
      <c r="N1093" s="7"/>
    </row>
    <row r="1094">
      <c r="N1094" s="7"/>
    </row>
    <row r="1095">
      <c r="N1095" s="7"/>
    </row>
    <row r="1096">
      <c r="N1096" s="7"/>
    </row>
    <row r="1097">
      <c r="N1097" s="7"/>
    </row>
    <row r="1098">
      <c r="N1098" s="7"/>
    </row>
    <row r="1099">
      <c r="N1099" s="7"/>
    </row>
    <row r="1100">
      <c r="N1100" s="7"/>
    </row>
    <row r="1101">
      <c r="N1101" s="7"/>
    </row>
    <row r="1102">
      <c r="N1102" s="7"/>
    </row>
    <row r="1103">
      <c r="N1103" s="7"/>
    </row>
    <row r="1104">
      <c r="N1104" s="7"/>
    </row>
    <row r="1105">
      <c r="N1105" s="7"/>
    </row>
    <row r="1106">
      <c r="N1106" s="7"/>
    </row>
    <row r="1107">
      <c r="N1107" s="7"/>
    </row>
    <row r="1108">
      <c r="N1108" s="7"/>
    </row>
    <row r="1109">
      <c r="N1109" s="7"/>
    </row>
    <row r="1110">
      <c r="N1110" s="7"/>
    </row>
    <row r="1111">
      <c r="N1111" s="7"/>
    </row>
    <row r="1112">
      <c r="N1112" s="7"/>
    </row>
    <row r="1113">
      <c r="N1113" s="7"/>
    </row>
    <row r="1114">
      <c r="N1114" s="7"/>
    </row>
    <row r="1115">
      <c r="N1115" s="7"/>
    </row>
    <row r="1116">
      <c r="I1116" s="9"/>
      <c r="N1116" s="7"/>
    </row>
    <row r="1117">
      <c r="N1117" s="7"/>
    </row>
    <row r="1118">
      <c r="N1118" s="7"/>
    </row>
    <row r="1119">
      <c r="N1119" s="7"/>
    </row>
    <row r="1120">
      <c r="N1120" s="7"/>
    </row>
    <row r="1121">
      <c r="N1121" s="7"/>
    </row>
    <row r="1122">
      <c r="N1122" s="7"/>
    </row>
    <row r="1123">
      <c r="N1123" s="7"/>
    </row>
    <row r="1124">
      <c r="N1124" s="7"/>
    </row>
    <row r="1125">
      <c r="N1125" s="7"/>
    </row>
    <row r="1126">
      <c r="N1126" s="7"/>
    </row>
    <row r="1127">
      <c r="N1127" s="7"/>
    </row>
    <row r="1128">
      <c r="N1128" s="7"/>
    </row>
    <row r="1129">
      <c r="N1129" s="7"/>
    </row>
    <row r="1130">
      <c r="N1130" s="7"/>
    </row>
    <row r="1131">
      <c r="N1131" s="7"/>
    </row>
    <row r="1132">
      <c r="N1132" s="7"/>
    </row>
    <row r="1133">
      <c r="N1133" s="7"/>
    </row>
    <row r="1134">
      <c r="N1134" s="7"/>
    </row>
    <row r="1135">
      <c r="N1135" s="7"/>
    </row>
    <row r="1136">
      <c r="N1136" s="7"/>
    </row>
    <row r="1137">
      <c r="N1137" s="7"/>
    </row>
    <row r="1138">
      <c r="N1138" s="7"/>
    </row>
    <row r="1139">
      <c r="N1139" s="7"/>
    </row>
    <row r="1140">
      <c r="N1140" s="7"/>
    </row>
    <row r="1141">
      <c r="N1141" s="7"/>
    </row>
    <row r="1142">
      <c r="N1142" s="7"/>
    </row>
    <row r="1143">
      <c r="N1143" s="7"/>
    </row>
    <row r="1144">
      <c r="N1144" s="7"/>
    </row>
    <row r="1145">
      <c r="N1145" s="7"/>
    </row>
    <row r="1146">
      <c r="N1146" s="7"/>
    </row>
    <row r="1147">
      <c r="N1147" s="7"/>
    </row>
    <row r="1148">
      <c r="N1148" s="7"/>
    </row>
    <row r="1149">
      <c r="N1149" s="7"/>
    </row>
    <row r="1150">
      <c r="N1150" s="7"/>
    </row>
    <row r="1151">
      <c r="N1151" s="7"/>
    </row>
    <row r="1152">
      <c r="N1152" s="7"/>
    </row>
    <row r="1153">
      <c r="N1153" s="7"/>
    </row>
    <row r="1154">
      <c r="N1154" s="7"/>
    </row>
    <row r="1155">
      <c r="N1155" s="7"/>
    </row>
    <row r="1156">
      <c r="N1156" s="7"/>
    </row>
    <row r="1157">
      <c r="N1157" s="7"/>
    </row>
    <row r="1158">
      <c r="N1158" s="7"/>
    </row>
    <row r="1159">
      <c r="N1159" s="7"/>
    </row>
    <row r="1160">
      <c r="N1160" s="7"/>
    </row>
    <row r="1161">
      <c r="N1161" s="7"/>
    </row>
    <row r="1162">
      <c r="N1162" s="7"/>
    </row>
    <row r="1163">
      <c r="N1163" s="7"/>
    </row>
    <row r="1164">
      <c r="N1164" s="7"/>
    </row>
    <row r="1165">
      <c r="N1165" s="7"/>
    </row>
    <row r="1166">
      <c r="N1166" s="7"/>
    </row>
    <row r="1167">
      <c r="N1167" s="7"/>
    </row>
    <row r="1168">
      <c r="N1168" s="7"/>
    </row>
    <row r="1169">
      <c r="N1169" s="7"/>
    </row>
    <row r="1170">
      <c r="N1170" s="7"/>
    </row>
    <row r="1171">
      <c r="N1171" s="7"/>
    </row>
    <row r="1172">
      <c r="N1172" s="7"/>
    </row>
    <row r="1173">
      <c r="N1173" s="7"/>
    </row>
    <row r="1174">
      <c r="N1174" s="7"/>
    </row>
    <row r="1175">
      <c r="N1175" s="7"/>
    </row>
    <row r="1176">
      <c r="N1176" s="7"/>
    </row>
    <row r="1177">
      <c r="N1177" s="7"/>
    </row>
    <row r="1178">
      <c r="N1178" s="7"/>
    </row>
    <row r="1179">
      <c r="N1179" s="7"/>
    </row>
    <row r="1180">
      <c r="N1180" s="7"/>
    </row>
    <row r="1181">
      <c r="N1181" s="7"/>
    </row>
    <row r="1182">
      <c r="N1182" s="7"/>
    </row>
    <row r="1183">
      <c r="N1183" s="7"/>
    </row>
    <row r="1184">
      <c r="N1184" s="7"/>
    </row>
    <row r="1185">
      <c r="N1185" s="7"/>
    </row>
    <row r="1186">
      <c r="N1186" s="7"/>
    </row>
    <row r="1187">
      <c r="N1187" s="7"/>
    </row>
    <row r="1188">
      <c r="N1188" s="7"/>
    </row>
    <row r="1189">
      <c r="N1189" s="7"/>
    </row>
    <row r="1190">
      <c r="N1190" s="7"/>
    </row>
    <row r="1191">
      <c r="N1191" s="7"/>
    </row>
    <row r="1192">
      <c r="N1192" s="7"/>
    </row>
    <row r="1193">
      <c r="N1193" s="7"/>
    </row>
    <row r="1194">
      <c r="N1194" s="7"/>
    </row>
    <row r="1195">
      <c r="N1195" s="7"/>
    </row>
    <row r="1196">
      <c r="N1196" s="7"/>
    </row>
    <row r="1197">
      <c r="N1197" s="7"/>
    </row>
    <row r="1198">
      <c r="N1198" s="7"/>
    </row>
    <row r="1199">
      <c r="N1199" s="7"/>
    </row>
    <row r="1200">
      <c r="N1200" s="7"/>
    </row>
    <row r="1201">
      <c r="N1201" s="7"/>
    </row>
    <row r="1202">
      <c r="N1202" s="7"/>
    </row>
    <row r="1203">
      <c r="N1203" s="7"/>
    </row>
    <row r="1204">
      <c r="N1204" s="7"/>
    </row>
    <row r="1205">
      <c r="N1205" s="7"/>
    </row>
    <row r="1206">
      <c r="N1206" s="7"/>
    </row>
    <row r="1207">
      <c r="N1207" s="7"/>
    </row>
    <row r="1208">
      <c r="N1208" s="7"/>
    </row>
    <row r="1209">
      <c r="N1209" s="7"/>
    </row>
    <row r="1210">
      <c r="N1210" s="7"/>
    </row>
    <row r="1211">
      <c r="N1211" s="7"/>
    </row>
    <row r="1212">
      <c r="N1212" s="7"/>
    </row>
    <row r="1213">
      <c r="N1213" s="7"/>
    </row>
    <row r="1214">
      <c r="N1214" s="7"/>
    </row>
    <row r="1215">
      <c r="N1215" s="7"/>
    </row>
    <row r="1216">
      <c r="N1216" s="7"/>
    </row>
    <row r="1217">
      <c r="N1217" s="7"/>
    </row>
    <row r="1218">
      <c r="N1218" s="7"/>
    </row>
    <row r="1219">
      <c r="N1219" s="7"/>
    </row>
    <row r="1220">
      <c r="N1220" s="7"/>
    </row>
    <row r="1221">
      <c r="N1221" s="7"/>
    </row>
    <row r="1222">
      <c r="N1222" s="7"/>
    </row>
    <row r="1223">
      <c r="N1223" s="7"/>
    </row>
    <row r="1224">
      <c r="N1224" s="7"/>
    </row>
    <row r="1225">
      <c r="N1225" s="7"/>
    </row>
    <row r="1226">
      <c r="N1226" s="7"/>
    </row>
    <row r="1227">
      <c r="N1227" s="7"/>
    </row>
    <row r="1228">
      <c r="N1228" s="7"/>
    </row>
    <row r="1229">
      <c r="N1229" s="7"/>
    </row>
    <row r="1230">
      <c r="N1230" s="7"/>
    </row>
    <row r="1231">
      <c r="N1231" s="7"/>
    </row>
    <row r="1232">
      <c r="N1232" s="7"/>
    </row>
    <row r="1233">
      <c r="N1233" s="7"/>
    </row>
    <row r="1234">
      <c r="N1234" s="7"/>
    </row>
    <row r="1235">
      <c r="N1235" s="7"/>
    </row>
    <row r="1236">
      <c r="N1236" s="7"/>
    </row>
    <row r="1237">
      <c r="N1237" s="7"/>
    </row>
    <row r="1238">
      <c r="N1238" s="7"/>
    </row>
    <row r="1239">
      <c r="N1239" s="7"/>
    </row>
    <row r="1240">
      <c r="N1240" s="7"/>
    </row>
    <row r="1241">
      <c r="N1241" s="7"/>
    </row>
    <row r="1242">
      <c r="N1242" s="7"/>
    </row>
    <row r="1243">
      <c r="N1243" s="7"/>
    </row>
    <row r="1244">
      <c r="N1244" s="7"/>
    </row>
    <row r="1245">
      <c r="N1245" s="7"/>
    </row>
    <row r="1246">
      <c r="N1246" s="7"/>
    </row>
    <row r="1247">
      <c r="N1247" s="7"/>
    </row>
    <row r="1248">
      <c r="N1248" s="7"/>
    </row>
    <row r="1249">
      <c r="N1249" s="7"/>
    </row>
    <row r="1250">
      <c r="N1250" s="7"/>
    </row>
    <row r="1251">
      <c r="N1251" s="7"/>
    </row>
    <row r="1252">
      <c r="N1252" s="7"/>
    </row>
    <row r="1253">
      <c r="N1253" s="7"/>
    </row>
    <row r="1254">
      <c r="N1254" s="7"/>
    </row>
    <row r="1255">
      <c r="N1255" s="7"/>
    </row>
    <row r="1256">
      <c r="N1256" s="7"/>
    </row>
    <row r="1257">
      <c r="N1257" s="7"/>
    </row>
    <row r="1258">
      <c r="N1258" s="7"/>
    </row>
    <row r="1259">
      <c r="N1259" s="7"/>
    </row>
    <row r="1260">
      <c r="N1260" s="7"/>
    </row>
    <row r="1261">
      <c r="N1261" s="7"/>
    </row>
    <row r="1262">
      <c r="N1262" s="7"/>
    </row>
    <row r="1263">
      <c r="N1263" s="7"/>
    </row>
    <row r="1264">
      <c r="N1264" s="7"/>
    </row>
    <row r="1265">
      <c r="N1265" s="7"/>
    </row>
    <row r="1266">
      <c r="N1266" s="7"/>
    </row>
    <row r="1267">
      <c r="N1267" s="7"/>
    </row>
    <row r="1268">
      <c r="N1268" s="7"/>
    </row>
    <row r="1269">
      <c r="N1269" s="7"/>
    </row>
    <row r="1270">
      <c r="N1270" s="7"/>
    </row>
    <row r="1271">
      <c r="N1271" s="7"/>
    </row>
    <row r="1272">
      <c r="N1272" s="7"/>
    </row>
    <row r="1273">
      <c r="N1273" s="7"/>
    </row>
    <row r="1274">
      <c r="N1274" s="7"/>
    </row>
    <row r="1275">
      <c r="N1275" s="7"/>
    </row>
    <row r="1276">
      <c r="N1276" s="7"/>
    </row>
    <row r="1277">
      <c r="N1277" s="7"/>
    </row>
    <row r="1278">
      <c r="N1278" s="7"/>
    </row>
    <row r="1279">
      <c r="N1279" s="7"/>
    </row>
    <row r="1280">
      <c r="N1280" s="7"/>
    </row>
    <row r="1281">
      <c r="N1281" s="7"/>
    </row>
    <row r="1282">
      <c r="N1282" s="7"/>
    </row>
    <row r="1283">
      <c r="I1283" s="9"/>
      <c r="N1283" s="7"/>
    </row>
    <row r="1284">
      <c r="N1284" s="7"/>
    </row>
    <row r="1285">
      <c r="N1285" s="7"/>
    </row>
    <row r="1286">
      <c r="N1286" s="7"/>
    </row>
    <row r="1287">
      <c r="N1287" s="7"/>
    </row>
    <row r="1288">
      <c r="N1288" s="7"/>
    </row>
    <row r="1289">
      <c r="N1289" s="7"/>
    </row>
    <row r="1290">
      <c r="N1290" s="7"/>
    </row>
    <row r="1291">
      <c r="N1291" s="7"/>
    </row>
    <row r="1292">
      <c r="N1292" s="7"/>
    </row>
    <row r="1293">
      <c r="N1293" s="7"/>
    </row>
    <row r="1294">
      <c r="N1294" s="7"/>
    </row>
    <row r="1295">
      <c r="N1295" s="7"/>
    </row>
    <row r="1296">
      <c r="N1296" s="7"/>
    </row>
    <row r="1297">
      <c r="N1297" s="7"/>
    </row>
    <row r="1298">
      <c r="N1298" s="7"/>
    </row>
    <row r="1299">
      <c r="N1299" s="7"/>
    </row>
    <row r="1300">
      <c r="N1300" s="7"/>
    </row>
    <row r="1301">
      <c r="N1301" s="7"/>
    </row>
    <row r="1302">
      <c r="N1302" s="7"/>
    </row>
    <row r="1303">
      <c r="N1303" s="7"/>
    </row>
    <row r="1304">
      <c r="N1304" s="7"/>
    </row>
    <row r="1305">
      <c r="N1305" s="7"/>
    </row>
    <row r="1306">
      <c r="N1306" s="7"/>
    </row>
    <row r="1307">
      <c r="N1307" s="7"/>
    </row>
    <row r="1308">
      <c r="N1308" s="7"/>
    </row>
    <row r="1309">
      <c r="N1309" s="7"/>
    </row>
    <row r="1310">
      <c r="N1310" s="7"/>
    </row>
    <row r="1311">
      <c r="N1311" s="7"/>
    </row>
    <row r="1312">
      <c r="N1312" s="7"/>
    </row>
    <row r="1313">
      <c r="N1313" s="7"/>
    </row>
    <row r="1314">
      <c r="N1314" s="7"/>
    </row>
    <row r="1315">
      <c r="N1315" s="7"/>
    </row>
    <row r="1316">
      <c r="N1316" s="7"/>
    </row>
    <row r="1317">
      <c r="N1317" s="7"/>
    </row>
    <row r="1318">
      <c r="N1318" s="7"/>
    </row>
    <row r="1319">
      <c r="N1319" s="7"/>
    </row>
    <row r="1320">
      <c r="N1320" s="7"/>
    </row>
    <row r="1321">
      <c r="N1321" s="7"/>
    </row>
    <row r="1322">
      <c r="N1322" s="7"/>
    </row>
    <row r="1323">
      <c r="N1323" s="7"/>
    </row>
    <row r="1324">
      <c r="N1324" s="7"/>
    </row>
    <row r="1325">
      <c r="N1325" s="7"/>
    </row>
    <row r="1326">
      <c r="N1326" s="7"/>
    </row>
    <row r="1327">
      <c r="N1327" s="7"/>
    </row>
    <row r="1328">
      <c r="I1328" s="9"/>
      <c r="N1328" s="7"/>
    </row>
    <row r="1329">
      <c r="N1329" s="7"/>
    </row>
    <row r="1330">
      <c r="N1330" s="7"/>
    </row>
    <row r="1331">
      <c r="N1331" s="7"/>
    </row>
    <row r="1332">
      <c r="N1332" s="7"/>
    </row>
    <row r="1333">
      <c r="N1333" s="7"/>
    </row>
    <row r="1334">
      <c r="N1334" s="7"/>
    </row>
    <row r="1335">
      <c r="N1335" s="7"/>
    </row>
    <row r="1336">
      <c r="N1336" s="7"/>
    </row>
    <row r="1337">
      <c r="N1337" s="7"/>
    </row>
    <row r="1338">
      <c r="N1338" s="7"/>
    </row>
    <row r="1339">
      <c r="N1339" s="7"/>
    </row>
    <row r="1340">
      <c r="N1340" s="7"/>
    </row>
    <row r="1341">
      <c r="N1341" s="7"/>
    </row>
    <row r="1342">
      <c r="N1342" s="7"/>
    </row>
    <row r="1343">
      <c r="I1343" s="9"/>
      <c r="N1343" s="7"/>
    </row>
    <row r="1344">
      <c r="N1344" s="7"/>
    </row>
    <row r="1345">
      <c r="N1345" s="7"/>
    </row>
    <row r="1346">
      <c r="N1346" s="7"/>
    </row>
    <row r="1347">
      <c r="N1347" s="7"/>
    </row>
    <row r="1348">
      <c r="N1348" s="7"/>
    </row>
    <row r="1349">
      <c r="N1349" s="7"/>
    </row>
    <row r="1350">
      <c r="N1350" s="7"/>
    </row>
    <row r="1351">
      <c r="N1351" s="7"/>
    </row>
    <row r="1352">
      <c r="N1352" s="7"/>
    </row>
    <row r="1353">
      <c r="N1353" s="7"/>
    </row>
    <row r="1354">
      <c r="N1354" s="7"/>
    </row>
    <row r="1355">
      <c r="N1355" s="7"/>
    </row>
    <row r="1356">
      <c r="N1356" s="7"/>
    </row>
    <row r="1357">
      <c r="N1357" s="7"/>
    </row>
    <row r="1358">
      <c r="N1358" s="7"/>
    </row>
    <row r="1359">
      <c r="N1359" s="7"/>
    </row>
    <row r="1360">
      <c r="N1360" s="7"/>
    </row>
    <row r="1361">
      <c r="N1361" s="7"/>
    </row>
    <row r="1362">
      <c r="N1362" s="7"/>
    </row>
    <row r="1363">
      <c r="N1363" s="7"/>
    </row>
    <row r="1364">
      <c r="N1364" s="7"/>
    </row>
    <row r="1365">
      <c r="N1365" s="7"/>
    </row>
    <row r="1366">
      <c r="N1366" s="7"/>
    </row>
    <row r="1367">
      <c r="N1367" s="7"/>
    </row>
    <row r="1368">
      <c r="N1368" s="7"/>
    </row>
    <row r="1369">
      <c r="N1369" s="7"/>
    </row>
    <row r="1370">
      <c r="N1370" s="7"/>
    </row>
    <row r="1371">
      <c r="N1371" s="7"/>
    </row>
    <row r="1372">
      <c r="N1372" s="7"/>
    </row>
    <row r="1373">
      <c r="N1373" s="7"/>
    </row>
    <row r="1374">
      <c r="N1374" s="7"/>
    </row>
    <row r="1375">
      <c r="N1375" s="7"/>
    </row>
    <row r="1376">
      <c r="I1376" s="9"/>
      <c r="N1376" s="7"/>
    </row>
    <row r="1377">
      <c r="N1377" s="7"/>
    </row>
    <row r="1378">
      <c r="N1378" s="7"/>
    </row>
    <row r="1379">
      <c r="N1379" s="7"/>
    </row>
    <row r="1380">
      <c r="N1380" s="7"/>
    </row>
    <row r="1381">
      <c r="N1381" s="7"/>
    </row>
    <row r="1382">
      <c r="N1382" s="7"/>
    </row>
    <row r="1383">
      <c r="N1383" s="7"/>
    </row>
    <row r="1384">
      <c r="N1384" s="7"/>
    </row>
    <row r="1385">
      <c r="N1385" s="7"/>
    </row>
    <row r="1386">
      <c r="N1386" s="7"/>
    </row>
    <row r="1387">
      <c r="N1387" s="7"/>
    </row>
    <row r="1388">
      <c r="N1388" s="7"/>
    </row>
    <row r="1389">
      <c r="N1389" s="7"/>
    </row>
    <row r="1390">
      <c r="N1390" s="7"/>
    </row>
    <row r="1391">
      <c r="N1391" s="7"/>
    </row>
    <row r="1392">
      <c r="N1392" s="7"/>
    </row>
    <row r="1393">
      <c r="N1393" s="7"/>
    </row>
    <row r="1394">
      <c r="N1394" s="7"/>
    </row>
    <row r="1395">
      <c r="N1395" s="7"/>
    </row>
    <row r="1396">
      <c r="N1396" s="7"/>
    </row>
    <row r="1397">
      <c r="N1397" s="7"/>
    </row>
    <row r="1398">
      <c r="N1398" s="7"/>
    </row>
    <row r="1399">
      <c r="N1399" s="7"/>
    </row>
    <row r="1400">
      <c r="N1400" s="7"/>
    </row>
    <row r="1401">
      <c r="N1401" s="7"/>
    </row>
    <row r="1402">
      <c r="N1402" s="7"/>
    </row>
    <row r="1403">
      <c r="N1403" s="7"/>
    </row>
    <row r="1404">
      <c r="N1404" s="7"/>
    </row>
    <row r="1405">
      <c r="N1405" s="7"/>
    </row>
    <row r="1406">
      <c r="N1406" s="7"/>
    </row>
    <row r="1407">
      <c r="N1407" s="7"/>
    </row>
    <row r="1408">
      <c r="N1408" s="7"/>
    </row>
    <row r="1409">
      <c r="N1409" s="7"/>
    </row>
    <row r="1410">
      <c r="N1410" s="7"/>
    </row>
    <row r="1411">
      <c r="N1411" s="7"/>
    </row>
    <row r="1412">
      <c r="N1412" s="7"/>
    </row>
    <row r="1413">
      <c r="N1413" s="7"/>
    </row>
    <row r="1414">
      <c r="N1414" s="7"/>
    </row>
    <row r="1415">
      <c r="N1415" s="7"/>
    </row>
    <row r="1416">
      <c r="N1416" s="7"/>
    </row>
    <row r="1417">
      <c r="N1417" s="7"/>
    </row>
    <row r="1418">
      <c r="N1418" s="7"/>
    </row>
    <row r="1419">
      <c r="N1419" s="7"/>
    </row>
    <row r="1420">
      <c r="N1420" s="7"/>
    </row>
    <row r="1421">
      <c r="N1421" s="7"/>
    </row>
    <row r="1422">
      <c r="N1422" s="7"/>
    </row>
    <row r="1423">
      <c r="N1423" s="7"/>
    </row>
    <row r="1424">
      <c r="N1424" s="7"/>
    </row>
    <row r="1425">
      <c r="N1425" s="7"/>
    </row>
    <row r="1426">
      <c r="N1426" s="7"/>
    </row>
    <row r="1427">
      <c r="N1427" s="7"/>
    </row>
    <row r="1428">
      <c r="N1428" s="7"/>
    </row>
    <row r="1429">
      <c r="N1429" s="7"/>
    </row>
    <row r="1430">
      <c r="N1430" s="7"/>
    </row>
    <row r="1431">
      <c r="N1431" s="7"/>
    </row>
    <row r="1432">
      <c r="N1432" s="7"/>
    </row>
    <row r="1433">
      <c r="N1433" s="7"/>
    </row>
    <row r="1434">
      <c r="N1434" s="7"/>
    </row>
    <row r="1435">
      <c r="N1435" s="7"/>
    </row>
    <row r="1436">
      <c r="N1436" s="7"/>
    </row>
    <row r="1437">
      <c r="N1437" s="7"/>
    </row>
    <row r="1438">
      <c r="N1438" s="7"/>
    </row>
    <row r="1439">
      <c r="N1439" s="7"/>
    </row>
    <row r="1440">
      <c r="N1440" s="7"/>
    </row>
    <row r="1441">
      <c r="N1441" s="7"/>
    </row>
    <row r="1442">
      <c r="N1442" s="7"/>
    </row>
    <row r="1443">
      <c r="N1443" s="7"/>
    </row>
    <row r="1444">
      <c r="N1444" s="7"/>
    </row>
    <row r="1445">
      <c r="N1445" s="7"/>
    </row>
    <row r="1446">
      <c r="N1446" s="7"/>
    </row>
    <row r="1447">
      <c r="N1447" s="7"/>
    </row>
    <row r="1448">
      <c r="N1448" s="7"/>
    </row>
    <row r="1449">
      <c r="N1449" s="7"/>
    </row>
    <row r="1450">
      <c r="N1450" s="7"/>
    </row>
    <row r="1451">
      <c r="N1451" s="7"/>
    </row>
    <row r="1452">
      <c r="N1452" s="7"/>
    </row>
    <row r="1453">
      <c r="N1453" s="7"/>
    </row>
    <row r="1454">
      <c r="N1454" s="7"/>
    </row>
    <row r="1455">
      <c r="N1455" s="7"/>
    </row>
    <row r="1456">
      <c r="N1456" s="7"/>
    </row>
    <row r="1457">
      <c r="N1457" s="7"/>
    </row>
    <row r="1458">
      <c r="N1458" s="7"/>
    </row>
    <row r="1459">
      <c r="N1459" s="7"/>
    </row>
    <row r="1460">
      <c r="N1460" s="7"/>
    </row>
    <row r="1461">
      <c r="N1461" s="7"/>
    </row>
    <row r="1462">
      <c r="N1462" s="7"/>
    </row>
    <row r="1463">
      <c r="N1463" s="7"/>
    </row>
    <row r="1464">
      <c r="N1464" s="7"/>
    </row>
    <row r="1465">
      <c r="N1465" s="7"/>
    </row>
    <row r="1466">
      <c r="N1466" s="7"/>
    </row>
    <row r="1467">
      <c r="N1467" s="7"/>
    </row>
    <row r="1468">
      <c r="N1468" s="7"/>
    </row>
    <row r="1469">
      <c r="N1469" s="7"/>
    </row>
    <row r="1470">
      <c r="N1470" s="7"/>
    </row>
    <row r="1471">
      <c r="N1471" s="7"/>
    </row>
    <row r="1472">
      <c r="N1472" s="7"/>
    </row>
    <row r="1473">
      <c r="N1473" s="7"/>
    </row>
    <row r="1474">
      <c r="N1474" s="7"/>
    </row>
    <row r="1475">
      <c r="N1475" s="7"/>
    </row>
    <row r="1476">
      <c r="N1476" s="7"/>
    </row>
    <row r="1477">
      <c r="N1477" s="7"/>
    </row>
    <row r="1478">
      <c r="N1478" s="7"/>
    </row>
    <row r="1479">
      <c r="N1479" s="7"/>
    </row>
    <row r="1480">
      <c r="N1480" s="7"/>
    </row>
    <row r="1481">
      <c r="N1481" s="7"/>
    </row>
    <row r="1482">
      <c r="N1482" s="7"/>
    </row>
    <row r="1483">
      <c r="N1483" s="7"/>
    </row>
    <row r="1484">
      <c r="N1484" s="7"/>
    </row>
    <row r="1485">
      <c r="N1485" s="7"/>
    </row>
    <row r="1486">
      <c r="N1486" s="7"/>
    </row>
    <row r="1487">
      <c r="N1487" s="7"/>
    </row>
    <row r="1488">
      <c r="N1488" s="7"/>
    </row>
    <row r="1489">
      <c r="N1489" s="7"/>
    </row>
    <row r="1490">
      <c r="N1490" s="7"/>
    </row>
    <row r="1491">
      <c r="N1491" s="7"/>
    </row>
    <row r="1492">
      <c r="N1492" s="7"/>
    </row>
    <row r="1493">
      <c r="N1493" s="7"/>
    </row>
    <row r="1494">
      <c r="N1494" s="7"/>
    </row>
    <row r="1495">
      <c r="N1495" s="7"/>
    </row>
    <row r="1496">
      <c r="N1496" s="7"/>
    </row>
    <row r="1497">
      <c r="N1497" s="7"/>
    </row>
    <row r="1498">
      <c r="N1498" s="7"/>
    </row>
    <row r="1499">
      <c r="N1499" s="7"/>
    </row>
    <row r="1500">
      <c r="N1500" s="7"/>
    </row>
    <row r="1501">
      <c r="N1501" s="7"/>
    </row>
    <row r="1502">
      <c r="N1502" s="7"/>
    </row>
    <row r="1503">
      <c r="N1503" s="7"/>
    </row>
    <row r="1504">
      <c r="N1504" s="7"/>
    </row>
    <row r="1505">
      <c r="N1505" s="7"/>
    </row>
    <row r="1506">
      <c r="N1506" s="7"/>
    </row>
    <row r="1507">
      <c r="N1507" s="7"/>
    </row>
    <row r="1508">
      <c r="N1508" s="7"/>
    </row>
    <row r="1509">
      <c r="N1509" s="7"/>
    </row>
    <row r="1510">
      <c r="N1510" s="7"/>
    </row>
    <row r="1511">
      <c r="N1511" s="7"/>
    </row>
    <row r="1512">
      <c r="N1512" s="7"/>
    </row>
    <row r="1513">
      <c r="N1513" s="7"/>
    </row>
    <row r="1514">
      <c r="N1514" s="7"/>
    </row>
    <row r="1515">
      <c r="N1515" s="7"/>
    </row>
    <row r="1516">
      <c r="N1516" s="7"/>
    </row>
    <row r="1517">
      <c r="N1517" s="7"/>
    </row>
    <row r="1518">
      <c r="N1518" s="7"/>
    </row>
    <row r="1519">
      <c r="N1519" s="7"/>
    </row>
    <row r="1520">
      <c r="N1520" s="7"/>
    </row>
    <row r="1521">
      <c r="N1521" s="7"/>
    </row>
    <row r="1522">
      <c r="N1522" s="7"/>
    </row>
    <row r="1523">
      <c r="N1523" s="7"/>
    </row>
    <row r="1524">
      <c r="N1524" s="7"/>
    </row>
    <row r="1525">
      <c r="N1525" s="7"/>
    </row>
    <row r="1526">
      <c r="N1526" s="7"/>
    </row>
    <row r="1527">
      <c r="N1527" s="7"/>
    </row>
    <row r="1528">
      <c r="N1528" s="7"/>
    </row>
    <row r="1529">
      <c r="N1529" s="7"/>
    </row>
    <row r="1530">
      <c r="N1530" s="7"/>
    </row>
    <row r="1531">
      <c r="N1531" s="7"/>
    </row>
    <row r="1532">
      <c r="N1532" s="7"/>
    </row>
    <row r="1533">
      <c r="N1533" s="7"/>
    </row>
    <row r="1534">
      <c r="N1534" s="7"/>
    </row>
    <row r="1535">
      <c r="N1535" s="7"/>
    </row>
    <row r="1536">
      <c r="N1536" s="7"/>
    </row>
    <row r="1537">
      <c r="N1537" s="7"/>
    </row>
    <row r="1538">
      <c r="N1538" s="7"/>
    </row>
    <row r="1539">
      <c r="N1539" s="7"/>
    </row>
    <row r="1540">
      <c r="N1540" s="7"/>
    </row>
    <row r="1541">
      <c r="N1541" s="7"/>
    </row>
    <row r="1542">
      <c r="N1542" s="7"/>
    </row>
    <row r="1543">
      <c r="N1543" s="7"/>
    </row>
    <row r="1544">
      <c r="N1544" s="7"/>
    </row>
    <row r="1545">
      <c r="N1545" s="7"/>
    </row>
    <row r="1546">
      <c r="N1546" s="7"/>
    </row>
    <row r="1547">
      <c r="N1547" s="7"/>
    </row>
    <row r="1548">
      <c r="N1548" s="7"/>
    </row>
    <row r="1549">
      <c r="N1549" s="7"/>
    </row>
    <row r="1550">
      <c r="N1550" s="7"/>
    </row>
    <row r="1551">
      <c r="N1551" s="7"/>
    </row>
    <row r="1552">
      <c r="N1552" s="7"/>
    </row>
    <row r="1553">
      <c r="N1553" s="7"/>
    </row>
    <row r="1554">
      <c r="N1554" s="7"/>
    </row>
    <row r="1555">
      <c r="N1555" s="7"/>
    </row>
    <row r="1556">
      <c r="I1556" s="9"/>
      <c r="N1556" s="7"/>
    </row>
    <row r="1557">
      <c r="N1557" s="7"/>
    </row>
    <row r="1558">
      <c r="N1558" s="7"/>
    </row>
    <row r="1559">
      <c r="N1559" s="7"/>
    </row>
    <row r="1560">
      <c r="N1560" s="7"/>
    </row>
    <row r="1561">
      <c r="N1561" s="7"/>
    </row>
    <row r="1562">
      <c r="N1562" s="7"/>
    </row>
    <row r="1563">
      <c r="N1563" s="7"/>
    </row>
    <row r="1564">
      <c r="N1564" s="7"/>
    </row>
    <row r="1565">
      <c r="N1565" s="7"/>
    </row>
    <row r="1566">
      <c r="N1566" s="7"/>
    </row>
    <row r="1567">
      <c r="N1567" s="7"/>
    </row>
    <row r="1568">
      <c r="N1568" s="7"/>
    </row>
    <row r="1569">
      <c r="N1569" s="7"/>
    </row>
    <row r="1570">
      <c r="N1570" s="7"/>
    </row>
    <row r="1571">
      <c r="N1571" s="7"/>
    </row>
    <row r="1572">
      <c r="N1572" s="7"/>
    </row>
    <row r="1573">
      <c r="N1573" s="7"/>
    </row>
    <row r="1574">
      <c r="N1574" s="7"/>
    </row>
    <row r="1575">
      <c r="N1575" s="7"/>
    </row>
    <row r="1576">
      <c r="N1576" s="7"/>
    </row>
    <row r="1577">
      <c r="N1577" s="7"/>
    </row>
    <row r="1578">
      <c r="N1578" s="7"/>
    </row>
    <row r="1579">
      <c r="N1579" s="7"/>
    </row>
    <row r="1580">
      <c r="N1580" s="7"/>
    </row>
    <row r="1581">
      <c r="N1581" s="7"/>
    </row>
    <row r="1582">
      <c r="N1582" s="7"/>
    </row>
    <row r="1583">
      <c r="N1583" s="7"/>
    </row>
    <row r="1584">
      <c r="N1584" s="7"/>
    </row>
    <row r="1585">
      <c r="N1585" s="7"/>
    </row>
    <row r="1586">
      <c r="N1586" s="7"/>
    </row>
    <row r="1587">
      <c r="N1587" s="7"/>
    </row>
    <row r="1588">
      <c r="N1588" s="7"/>
    </row>
    <row r="1589">
      <c r="N1589" s="7"/>
    </row>
    <row r="1590">
      <c r="N1590" s="7"/>
    </row>
    <row r="1591">
      <c r="N1591" s="7"/>
    </row>
    <row r="1592">
      <c r="N1592" s="7"/>
    </row>
    <row r="1593">
      <c r="N1593" s="7"/>
    </row>
    <row r="1594">
      <c r="N1594" s="7"/>
    </row>
    <row r="1595">
      <c r="N1595" s="7"/>
    </row>
    <row r="1596">
      <c r="N1596" s="7"/>
    </row>
    <row r="1597">
      <c r="N1597" s="7"/>
    </row>
    <row r="1598">
      <c r="N1598" s="7"/>
    </row>
    <row r="1599">
      <c r="N1599" s="7"/>
    </row>
    <row r="1600">
      <c r="N1600" s="7"/>
    </row>
    <row r="1601">
      <c r="N1601" s="7"/>
    </row>
    <row r="1602">
      <c r="N1602" s="7"/>
    </row>
    <row r="1603">
      <c r="I1603" s="9"/>
      <c r="N1603" s="7"/>
    </row>
    <row r="1604">
      <c r="N1604" s="7"/>
    </row>
    <row r="1605">
      <c r="N1605" s="7"/>
    </row>
    <row r="1606">
      <c r="N1606" s="7"/>
    </row>
    <row r="1607">
      <c r="N1607" s="7"/>
    </row>
    <row r="1608">
      <c r="N1608" s="7"/>
    </row>
    <row r="1609">
      <c r="N1609" s="7"/>
    </row>
    <row r="1610">
      <c r="N1610" s="7"/>
    </row>
    <row r="1611">
      <c r="N1611" s="7"/>
    </row>
    <row r="1612">
      <c r="N1612" s="7"/>
    </row>
    <row r="1613">
      <c r="N1613" s="7"/>
    </row>
    <row r="1614">
      <c r="N1614" s="7"/>
    </row>
    <row r="1615">
      <c r="N1615" s="7"/>
    </row>
    <row r="1616">
      <c r="N1616" s="7"/>
    </row>
    <row r="1617">
      <c r="N1617" s="7"/>
    </row>
    <row r="1618">
      <c r="N1618" s="7"/>
    </row>
    <row r="1619">
      <c r="N1619" s="7"/>
    </row>
    <row r="1620">
      <c r="N1620" s="7"/>
    </row>
    <row r="1621">
      <c r="N1621" s="7"/>
    </row>
    <row r="1622">
      <c r="N1622" s="7"/>
    </row>
    <row r="1623">
      <c r="N1623" s="7"/>
    </row>
    <row r="1624">
      <c r="N1624" s="7"/>
    </row>
    <row r="1625">
      <c r="N1625" s="7"/>
    </row>
    <row r="1626">
      <c r="N1626" s="7"/>
    </row>
    <row r="1627">
      <c r="N1627" s="7"/>
    </row>
    <row r="1628">
      <c r="N1628" s="7"/>
    </row>
    <row r="1629">
      <c r="N1629" s="7"/>
    </row>
    <row r="1630">
      <c r="N1630" s="7"/>
    </row>
    <row r="1631">
      <c r="N1631" s="7"/>
    </row>
    <row r="1632">
      <c r="N1632" s="7"/>
    </row>
    <row r="1633">
      <c r="N1633" s="7"/>
    </row>
    <row r="1634">
      <c r="N1634" s="7"/>
    </row>
    <row r="1635">
      <c r="N1635" s="7"/>
    </row>
    <row r="1636">
      <c r="N1636" s="7"/>
    </row>
    <row r="1637">
      <c r="N1637" s="7"/>
    </row>
    <row r="1638">
      <c r="N1638" s="7"/>
    </row>
    <row r="1639">
      <c r="N1639" s="7"/>
    </row>
    <row r="1640">
      <c r="N1640" s="7"/>
    </row>
    <row r="1641">
      <c r="N1641" s="7"/>
    </row>
    <row r="1642">
      <c r="N1642" s="7"/>
    </row>
    <row r="1643">
      <c r="N1643" s="7"/>
    </row>
    <row r="1644">
      <c r="N1644" s="7"/>
    </row>
    <row r="1645">
      <c r="N1645" s="7"/>
    </row>
    <row r="1646">
      <c r="N1646" s="7"/>
    </row>
    <row r="1647">
      <c r="N1647" s="7"/>
    </row>
    <row r="1648">
      <c r="N1648" s="7"/>
    </row>
    <row r="1649">
      <c r="N1649" s="7"/>
    </row>
    <row r="1650">
      <c r="N1650" s="7"/>
    </row>
    <row r="1651">
      <c r="N1651" s="7"/>
    </row>
    <row r="1652">
      <c r="N1652" s="7"/>
    </row>
    <row r="1653">
      <c r="N1653" s="7"/>
    </row>
    <row r="1654">
      <c r="N1654" s="7"/>
    </row>
    <row r="1655">
      <c r="N1655" s="7"/>
    </row>
    <row r="1656">
      <c r="N1656" s="7"/>
    </row>
    <row r="1657">
      <c r="N1657" s="7"/>
    </row>
    <row r="1658">
      <c r="N1658" s="7"/>
    </row>
    <row r="1659">
      <c r="N1659" s="7"/>
    </row>
    <row r="1660">
      <c r="N1660" s="7"/>
    </row>
    <row r="1661">
      <c r="N1661" s="7"/>
    </row>
    <row r="1662">
      <c r="N1662" s="7"/>
    </row>
    <row r="1663">
      <c r="N1663" s="7"/>
    </row>
    <row r="1664">
      <c r="N1664" s="7"/>
    </row>
    <row r="1665">
      <c r="N1665" s="7"/>
    </row>
    <row r="1666">
      <c r="N1666" s="7"/>
    </row>
    <row r="1667">
      <c r="N1667" s="7"/>
    </row>
    <row r="1668">
      <c r="N1668" s="7"/>
    </row>
    <row r="1669">
      <c r="N1669" s="7"/>
    </row>
    <row r="1670">
      <c r="N1670" s="7"/>
    </row>
    <row r="1671">
      <c r="N1671" s="7"/>
    </row>
    <row r="1672">
      <c r="N1672" s="7"/>
    </row>
    <row r="1673">
      <c r="N1673" s="7"/>
    </row>
    <row r="1674">
      <c r="N1674" s="7"/>
    </row>
    <row r="1675">
      <c r="N1675" s="7"/>
    </row>
    <row r="1676">
      <c r="N1676" s="7"/>
    </row>
    <row r="1677">
      <c r="N1677" s="7"/>
    </row>
    <row r="1678">
      <c r="N1678" s="7"/>
    </row>
    <row r="1679">
      <c r="N1679" s="7"/>
    </row>
    <row r="1680">
      <c r="N1680" s="7"/>
    </row>
    <row r="1681">
      <c r="N1681" s="7"/>
    </row>
    <row r="1682">
      <c r="N1682" s="7"/>
    </row>
    <row r="1683">
      <c r="N1683" s="7"/>
    </row>
    <row r="1684">
      <c r="N1684" s="7"/>
    </row>
    <row r="1685">
      <c r="N1685" s="7"/>
    </row>
    <row r="1686">
      <c r="N1686" s="7"/>
    </row>
    <row r="1687">
      <c r="N1687" s="7"/>
    </row>
    <row r="1688">
      <c r="N1688" s="7"/>
    </row>
    <row r="1689">
      <c r="N1689" s="7"/>
    </row>
    <row r="1690">
      <c r="N1690" s="7"/>
    </row>
    <row r="1691">
      <c r="N1691" s="7"/>
    </row>
    <row r="1692">
      <c r="N1692" s="7"/>
    </row>
    <row r="1693">
      <c r="N1693" s="7"/>
    </row>
    <row r="1694">
      <c r="N1694" s="7"/>
    </row>
    <row r="1695">
      <c r="N1695" s="7"/>
    </row>
    <row r="1696">
      <c r="N1696" s="7"/>
    </row>
    <row r="1697">
      <c r="N1697" s="7"/>
    </row>
    <row r="1698">
      <c r="N1698" s="7"/>
    </row>
    <row r="1699">
      <c r="N1699" s="7"/>
    </row>
    <row r="1700">
      <c r="N1700" s="7"/>
    </row>
    <row r="1701">
      <c r="N1701" s="7"/>
    </row>
    <row r="1702">
      <c r="N1702" s="7"/>
    </row>
    <row r="1703">
      <c r="N1703" s="7"/>
    </row>
    <row r="1704">
      <c r="N1704" s="7"/>
    </row>
    <row r="1705">
      <c r="N1705" s="7"/>
    </row>
    <row r="1706">
      <c r="N1706" s="7"/>
    </row>
    <row r="1707">
      <c r="N1707" s="7"/>
    </row>
    <row r="1708">
      <c r="N1708" s="7"/>
    </row>
    <row r="1709">
      <c r="N1709" s="7"/>
    </row>
    <row r="1710">
      <c r="N1710" s="7"/>
    </row>
    <row r="1711">
      <c r="N1711" s="7"/>
    </row>
    <row r="1712">
      <c r="N1712" s="7"/>
    </row>
    <row r="1713">
      <c r="N1713" s="7"/>
    </row>
    <row r="1714">
      <c r="N1714" s="7"/>
    </row>
    <row r="1715">
      <c r="N1715" s="7"/>
    </row>
    <row r="1716">
      <c r="N1716" s="7"/>
    </row>
    <row r="1717">
      <c r="N1717" s="7"/>
    </row>
    <row r="1718">
      <c r="N1718" s="7"/>
    </row>
    <row r="1719">
      <c r="N1719" s="7"/>
    </row>
    <row r="1720">
      <c r="N1720" s="7"/>
    </row>
    <row r="1721">
      <c r="N1721" s="7"/>
    </row>
    <row r="1722">
      <c r="N1722" s="7"/>
    </row>
    <row r="1723">
      <c r="N1723" s="7"/>
    </row>
    <row r="1724">
      <c r="N1724" s="7"/>
    </row>
    <row r="1725">
      <c r="N1725" s="7"/>
    </row>
    <row r="1726">
      <c r="N1726" s="7"/>
    </row>
    <row r="1727">
      <c r="N1727" s="7"/>
    </row>
    <row r="1728">
      <c r="N1728" s="7"/>
    </row>
    <row r="1729">
      <c r="N1729" s="7"/>
    </row>
    <row r="1730">
      <c r="N1730" s="7"/>
    </row>
    <row r="1731">
      <c r="N1731" s="7"/>
    </row>
    <row r="1732">
      <c r="N1732" s="7"/>
    </row>
    <row r="1733">
      <c r="N1733" s="7"/>
    </row>
    <row r="1734">
      <c r="N1734" s="7"/>
    </row>
    <row r="1735">
      <c r="N1735" s="7"/>
    </row>
    <row r="1736">
      <c r="N1736" s="7"/>
    </row>
    <row r="1737">
      <c r="N1737" s="7"/>
    </row>
    <row r="1738">
      <c r="N1738" s="7"/>
    </row>
    <row r="1739">
      <c r="N1739" s="7"/>
    </row>
    <row r="1740">
      <c r="N1740" s="7"/>
    </row>
    <row r="1741">
      <c r="N1741" s="7"/>
    </row>
    <row r="1742">
      <c r="N1742" s="7"/>
    </row>
    <row r="1743">
      <c r="N1743" s="7"/>
    </row>
    <row r="1744">
      <c r="N1744" s="7"/>
    </row>
    <row r="1745">
      <c r="N1745" s="7"/>
    </row>
    <row r="1746">
      <c r="N1746" s="7"/>
    </row>
    <row r="1747">
      <c r="N1747" s="7"/>
    </row>
    <row r="1748">
      <c r="N1748" s="7"/>
    </row>
    <row r="1749">
      <c r="N1749" s="7"/>
    </row>
    <row r="1750">
      <c r="N1750" s="7"/>
    </row>
    <row r="1751">
      <c r="N1751" s="7"/>
    </row>
    <row r="1752">
      <c r="N1752" s="7"/>
    </row>
    <row r="1753">
      <c r="N1753" s="7"/>
    </row>
    <row r="1754">
      <c r="N1754" s="7"/>
    </row>
    <row r="1755">
      <c r="N1755" s="7"/>
    </row>
    <row r="1756">
      <c r="N1756" s="7"/>
    </row>
    <row r="1757">
      <c r="N1757" s="7"/>
    </row>
    <row r="1758">
      <c r="N1758" s="7"/>
    </row>
    <row r="1759">
      <c r="N1759" s="7"/>
    </row>
    <row r="1760">
      <c r="N1760" s="7"/>
    </row>
    <row r="1761">
      <c r="N1761" s="7"/>
    </row>
    <row r="1762">
      <c r="N1762" s="7"/>
    </row>
    <row r="1763">
      <c r="N1763" s="7"/>
    </row>
    <row r="1764">
      <c r="N1764" s="7"/>
    </row>
    <row r="1765">
      <c r="N1765" s="7"/>
    </row>
    <row r="1766">
      <c r="N1766" s="7"/>
    </row>
    <row r="1767">
      <c r="N1767" s="7"/>
    </row>
    <row r="1768">
      <c r="N1768" s="7"/>
    </row>
    <row r="1769">
      <c r="N1769" s="7"/>
    </row>
    <row r="1770">
      <c r="N1770" s="7"/>
    </row>
    <row r="1771">
      <c r="N1771" s="7"/>
    </row>
    <row r="1772">
      <c r="N1772" s="7"/>
    </row>
    <row r="1773">
      <c r="N1773" s="7"/>
    </row>
    <row r="1774">
      <c r="N1774" s="7"/>
    </row>
    <row r="1775">
      <c r="N1775" s="7"/>
    </row>
    <row r="1776">
      <c r="N1776" s="7"/>
    </row>
    <row r="1777">
      <c r="N1777" s="7"/>
    </row>
    <row r="1778">
      <c r="N1778" s="7"/>
    </row>
    <row r="1779">
      <c r="N1779" s="7"/>
    </row>
    <row r="1780">
      <c r="N1780" s="7"/>
    </row>
    <row r="1781">
      <c r="N1781" s="7"/>
    </row>
    <row r="1782">
      <c r="N1782" s="7"/>
    </row>
    <row r="1783">
      <c r="N1783" s="7"/>
    </row>
    <row r="1784">
      <c r="N1784" s="7"/>
    </row>
    <row r="1785">
      <c r="N1785" s="7"/>
    </row>
    <row r="1786">
      <c r="N1786" s="7"/>
    </row>
    <row r="1787">
      <c r="N1787" s="7"/>
    </row>
    <row r="1788">
      <c r="N1788" s="7"/>
    </row>
    <row r="1789">
      <c r="N1789" s="7"/>
    </row>
    <row r="1790">
      <c r="N1790" s="7"/>
    </row>
    <row r="1791">
      <c r="N1791" s="7"/>
    </row>
    <row r="1792">
      <c r="N1792" s="7"/>
    </row>
    <row r="1793">
      <c r="N1793" s="7"/>
    </row>
    <row r="1794">
      <c r="N1794" s="7"/>
    </row>
    <row r="1795">
      <c r="N1795" s="7"/>
    </row>
    <row r="1796">
      <c r="N1796" s="7"/>
    </row>
    <row r="1797">
      <c r="N1797" s="7"/>
    </row>
    <row r="1798">
      <c r="N1798" s="7"/>
    </row>
    <row r="1799">
      <c r="N1799" s="7"/>
    </row>
    <row r="1800">
      <c r="N1800" s="7"/>
    </row>
    <row r="1801">
      <c r="N1801" s="7"/>
    </row>
    <row r="1802">
      <c r="N1802" s="7"/>
    </row>
    <row r="1803">
      <c r="N1803" s="7"/>
    </row>
    <row r="1804">
      <c r="N1804" s="7"/>
    </row>
    <row r="1805">
      <c r="N1805" s="7"/>
    </row>
    <row r="1806">
      <c r="N1806" s="7"/>
    </row>
    <row r="1807">
      <c r="N1807" s="7"/>
    </row>
    <row r="1808">
      <c r="N1808" s="7"/>
    </row>
    <row r="1809">
      <c r="N1809" s="7"/>
    </row>
    <row r="1810">
      <c r="N1810" s="7"/>
    </row>
    <row r="1811">
      <c r="N1811" s="7"/>
    </row>
    <row r="1812">
      <c r="N1812" s="7"/>
    </row>
    <row r="1813">
      <c r="N1813" s="7"/>
    </row>
    <row r="1814">
      <c r="N1814" s="7"/>
    </row>
    <row r="1815">
      <c r="N1815" s="7"/>
    </row>
    <row r="1816">
      <c r="N1816" s="7"/>
    </row>
    <row r="1817">
      <c r="N1817" s="7"/>
    </row>
    <row r="1818">
      <c r="N1818" s="7"/>
    </row>
    <row r="1819">
      <c r="N1819" s="7"/>
    </row>
    <row r="1820">
      <c r="N1820" s="7"/>
    </row>
    <row r="1821">
      <c r="N1821" s="7"/>
    </row>
    <row r="1822">
      <c r="N1822" s="7"/>
    </row>
    <row r="1823">
      <c r="N1823" s="7"/>
    </row>
    <row r="1824">
      <c r="N1824" s="7"/>
    </row>
    <row r="1825">
      <c r="N1825" s="7"/>
    </row>
    <row r="1826">
      <c r="N1826" s="7"/>
    </row>
    <row r="1827">
      <c r="N1827" s="7"/>
    </row>
    <row r="1828">
      <c r="N1828" s="7"/>
    </row>
    <row r="1829">
      <c r="N1829" s="7"/>
    </row>
    <row r="1830">
      <c r="N1830" s="7"/>
    </row>
    <row r="1831">
      <c r="N1831" s="7"/>
    </row>
    <row r="1832">
      <c r="N1832" s="7"/>
    </row>
    <row r="1833">
      <c r="N1833" s="7"/>
    </row>
    <row r="1834">
      <c r="N1834" s="7"/>
    </row>
    <row r="1835">
      <c r="N1835" s="7"/>
    </row>
    <row r="1836">
      <c r="N1836" s="7"/>
    </row>
    <row r="1837">
      <c r="N1837" s="7"/>
    </row>
    <row r="1838">
      <c r="N1838" s="7"/>
    </row>
    <row r="1839">
      <c r="N1839" s="7"/>
    </row>
    <row r="1840">
      <c r="N1840" s="7"/>
    </row>
    <row r="1841">
      <c r="N1841" s="7"/>
    </row>
    <row r="1842">
      <c r="N1842" s="7"/>
    </row>
    <row r="1843">
      <c r="N1843" s="7"/>
    </row>
    <row r="1844">
      <c r="N1844" s="7"/>
    </row>
    <row r="1845">
      <c r="N1845" s="7"/>
    </row>
    <row r="1846">
      <c r="N1846" s="7"/>
    </row>
    <row r="1847">
      <c r="N1847" s="7"/>
    </row>
    <row r="1848">
      <c r="N1848" s="7"/>
    </row>
    <row r="1849">
      <c r="N1849" s="7"/>
    </row>
    <row r="1850">
      <c r="N1850" s="7"/>
    </row>
    <row r="1851">
      <c r="N1851" s="7"/>
    </row>
    <row r="1852">
      <c r="N1852" s="7"/>
    </row>
    <row r="1853">
      <c r="N1853" s="7"/>
    </row>
    <row r="1854">
      <c r="N1854" s="7"/>
    </row>
    <row r="1855">
      <c r="N1855" s="7"/>
    </row>
    <row r="1856">
      <c r="N1856" s="7"/>
    </row>
    <row r="1857">
      <c r="N1857" s="7"/>
    </row>
    <row r="1858">
      <c r="N1858" s="7"/>
    </row>
    <row r="1859">
      <c r="N1859" s="7"/>
    </row>
    <row r="1860">
      <c r="N1860" s="7"/>
    </row>
    <row r="1861">
      <c r="I1861" s="9"/>
      <c r="N1861" s="7"/>
    </row>
    <row r="1862">
      <c r="N1862" s="7"/>
    </row>
    <row r="1863">
      <c r="N1863" s="7"/>
    </row>
    <row r="1864">
      <c r="N1864" s="7"/>
    </row>
    <row r="1865">
      <c r="N1865" s="7"/>
    </row>
    <row r="1866">
      <c r="N1866" s="7"/>
    </row>
    <row r="1867">
      <c r="N1867" s="7"/>
    </row>
    <row r="1868">
      <c r="N1868" s="7"/>
    </row>
    <row r="1869">
      <c r="N1869" s="7"/>
    </row>
    <row r="1870">
      <c r="N1870" s="7"/>
    </row>
    <row r="1871">
      <c r="N1871" s="7"/>
    </row>
    <row r="1872">
      <c r="N1872" s="7"/>
    </row>
    <row r="1873">
      <c r="N1873" s="7"/>
    </row>
    <row r="1874">
      <c r="N1874" s="7"/>
    </row>
    <row r="1875">
      <c r="N1875" s="7"/>
    </row>
    <row r="1876">
      <c r="N1876" s="7"/>
    </row>
    <row r="1877">
      <c r="N1877" s="7"/>
    </row>
    <row r="1878">
      <c r="N1878" s="7"/>
    </row>
    <row r="1879">
      <c r="N1879" s="7"/>
    </row>
    <row r="1880">
      <c r="N1880" s="7"/>
    </row>
    <row r="1881">
      <c r="N1881" s="7"/>
    </row>
    <row r="1882">
      <c r="N1882" s="7"/>
    </row>
    <row r="1883">
      <c r="N1883" s="7"/>
    </row>
    <row r="1884">
      <c r="I1884" s="9"/>
      <c r="N1884" s="7"/>
    </row>
    <row r="1885">
      <c r="N1885" s="7"/>
    </row>
    <row r="1886">
      <c r="N1886" s="7"/>
    </row>
    <row r="1887">
      <c r="N1887" s="7"/>
    </row>
    <row r="1888">
      <c r="N1888" s="7"/>
    </row>
    <row r="1889">
      <c r="N1889" s="7"/>
    </row>
    <row r="1890">
      <c r="N1890" s="7"/>
    </row>
    <row r="1891">
      <c r="N1891" s="7"/>
    </row>
    <row r="1892">
      <c r="N1892" s="7"/>
    </row>
    <row r="1893">
      <c r="N1893" s="7"/>
    </row>
    <row r="1894">
      <c r="N1894" s="7"/>
    </row>
    <row r="1895">
      <c r="N1895" s="7"/>
    </row>
    <row r="1896">
      <c r="N1896" s="7"/>
    </row>
    <row r="1897">
      <c r="N1897" s="7"/>
    </row>
    <row r="1898">
      <c r="N1898" s="7"/>
    </row>
    <row r="1899">
      <c r="N1899" s="7"/>
    </row>
    <row r="1900">
      <c r="N1900" s="7"/>
    </row>
    <row r="1901">
      <c r="N1901" s="7"/>
    </row>
    <row r="1902">
      <c r="N1902" s="7"/>
    </row>
    <row r="1903">
      <c r="N1903" s="7"/>
    </row>
    <row r="1904">
      <c r="N1904" s="7"/>
    </row>
    <row r="1905">
      <c r="N1905" s="7"/>
    </row>
    <row r="1906">
      <c r="N1906" s="7"/>
    </row>
    <row r="1907">
      <c r="N1907" s="7"/>
    </row>
    <row r="1908">
      <c r="N1908" s="7"/>
    </row>
    <row r="1909">
      <c r="N1909" s="7"/>
    </row>
    <row r="1910">
      <c r="N1910" s="7"/>
    </row>
    <row r="1911">
      <c r="N1911" s="7"/>
    </row>
    <row r="1912">
      <c r="N1912" s="7"/>
    </row>
    <row r="1913">
      <c r="N1913" s="7"/>
    </row>
    <row r="1914">
      <c r="N1914" s="7"/>
    </row>
    <row r="1915">
      <c r="N1915" s="7"/>
    </row>
    <row r="1916">
      <c r="N1916" s="7"/>
    </row>
    <row r="1917">
      <c r="N1917" s="7"/>
    </row>
    <row r="1918">
      <c r="N1918" s="7"/>
    </row>
    <row r="1919">
      <c r="N1919" s="7"/>
    </row>
    <row r="1920">
      <c r="N1920" s="7"/>
    </row>
    <row r="1921">
      <c r="N1921" s="7"/>
    </row>
    <row r="1922">
      <c r="N1922" s="7"/>
    </row>
    <row r="1923">
      <c r="N1923" s="7"/>
    </row>
    <row r="1924">
      <c r="N1924" s="7"/>
    </row>
    <row r="1925">
      <c r="N1925" s="7"/>
    </row>
    <row r="1926">
      <c r="N1926" s="7"/>
    </row>
    <row r="1927">
      <c r="N1927" s="7"/>
    </row>
    <row r="1928">
      <c r="N1928" s="7"/>
    </row>
    <row r="1929">
      <c r="N1929" s="7"/>
    </row>
    <row r="1930">
      <c r="N1930" s="7"/>
    </row>
    <row r="1931">
      <c r="N1931" s="7"/>
    </row>
    <row r="1932">
      <c r="N1932" s="7"/>
    </row>
    <row r="1933">
      <c r="N1933" s="7"/>
    </row>
    <row r="1934">
      <c r="N1934" s="7"/>
    </row>
    <row r="1935">
      <c r="N1935" s="7"/>
    </row>
    <row r="1936">
      <c r="N1936" s="7"/>
    </row>
    <row r="1937">
      <c r="N1937" s="7"/>
    </row>
    <row r="1938">
      <c r="N1938" s="7"/>
    </row>
    <row r="1939">
      <c r="N1939" s="7"/>
    </row>
    <row r="1940">
      <c r="N1940" s="7"/>
    </row>
    <row r="1941">
      <c r="N1941" s="7"/>
    </row>
    <row r="1942">
      <c r="N1942" s="7"/>
    </row>
    <row r="1943">
      <c r="N1943" s="7"/>
    </row>
    <row r="1944">
      <c r="N1944" s="7"/>
    </row>
    <row r="1945">
      <c r="N1945" s="7"/>
    </row>
    <row r="1946">
      <c r="N1946" s="7"/>
    </row>
    <row r="1947">
      <c r="N1947" s="7"/>
    </row>
    <row r="1948">
      <c r="N1948" s="7"/>
    </row>
    <row r="1949">
      <c r="N1949" s="7"/>
    </row>
    <row r="1950">
      <c r="N1950" s="7"/>
    </row>
    <row r="1951">
      <c r="N1951" s="7"/>
    </row>
    <row r="1952">
      <c r="N1952" s="7"/>
    </row>
    <row r="1953">
      <c r="N1953" s="7"/>
    </row>
    <row r="1954">
      <c r="N1954" s="7"/>
    </row>
    <row r="1955">
      <c r="N1955" s="7"/>
    </row>
    <row r="1956">
      <c r="N1956" s="7"/>
    </row>
    <row r="1957">
      <c r="N1957" s="7"/>
    </row>
    <row r="1958">
      <c r="N1958" s="7"/>
    </row>
    <row r="1959">
      <c r="N1959" s="7"/>
    </row>
    <row r="1960">
      <c r="N1960" s="7"/>
    </row>
    <row r="1961">
      <c r="N1961" s="7"/>
    </row>
    <row r="1962">
      <c r="N1962" s="7"/>
    </row>
    <row r="1963">
      <c r="N1963" s="7"/>
    </row>
    <row r="1964">
      <c r="N1964" s="7"/>
    </row>
    <row r="1965">
      <c r="N1965" s="7"/>
    </row>
    <row r="1966">
      <c r="N1966" s="7"/>
    </row>
    <row r="1967">
      <c r="N1967" s="7"/>
    </row>
    <row r="1968">
      <c r="N1968" s="7"/>
    </row>
    <row r="1969">
      <c r="N1969" s="7"/>
    </row>
    <row r="1970">
      <c r="N1970" s="7"/>
    </row>
    <row r="1971">
      <c r="N1971" s="7"/>
    </row>
    <row r="1972">
      <c r="N1972" s="7"/>
    </row>
    <row r="1973">
      <c r="N1973" s="7"/>
    </row>
    <row r="1974">
      <c r="N1974" s="7"/>
    </row>
    <row r="1975">
      <c r="N1975" s="7"/>
    </row>
    <row r="1976">
      <c r="N1976" s="7"/>
    </row>
    <row r="1977">
      <c r="N1977" s="7"/>
    </row>
    <row r="1978">
      <c r="N1978" s="7"/>
    </row>
    <row r="1979">
      <c r="N1979" s="7"/>
    </row>
    <row r="1980">
      <c r="N1980" s="7"/>
    </row>
    <row r="1981">
      <c r="N1981" s="7"/>
    </row>
    <row r="1982">
      <c r="N1982" s="7"/>
    </row>
    <row r="1983">
      <c r="N1983" s="7"/>
    </row>
    <row r="1984">
      <c r="N1984" s="7"/>
    </row>
    <row r="1985">
      <c r="N1985" s="7"/>
    </row>
    <row r="1986">
      <c r="N1986" s="7"/>
    </row>
    <row r="1987">
      <c r="N1987" s="7"/>
    </row>
    <row r="1988">
      <c r="N1988" s="7"/>
    </row>
    <row r="1989">
      <c r="N1989" s="7"/>
    </row>
    <row r="1990">
      <c r="N1990" s="7"/>
    </row>
    <row r="1991">
      <c r="N1991" s="7"/>
    </row>
    <row r="1992">
      <c r="N1992" s="7"/>
    </row>
    <row r="1993">
      <c r="N1993" s="7"/>
    </row>
    <row r="1994">
      <c r="I1994" s="9"/>
      <c r="N1994" s="7"/>
    </row>
    <row r="1995">
      <c r="N1995" s="7"/>
    </row>
    <row r="1996">
      <c r="N1996" s="7"/>
    </row>
    <row r="1997">
      <c r="N1997" s="7"/>
    </row>
    <row r="1998">
      <c r="N1998" s="7"/>
    </row>
    <row r="1999">
      <c r="N1999" s="7"/>
    </row>
    <row r="2000">
      <c r="N2000" s="7"/>
    </row>
    <row r="2001">
      <c r="N2001" s="7"/>
    </row>
    <row r="2002">
      <c r="N2002" s="7"/>
    </row>
    <row r="2003">
      <c r="N2003" s="7"/>
    </row>
    <row r="2004">
      <c r="N2004" s="7"/>
    </row>
    <row r="2005">
      <c r="N2005" s="7"/>
    </row>
    <row r="2006">
      <c r="N2006" s="7"/>
    </row>
    <row r="2007">
      <c r="N2007" s="7"/>
    </row>
    <row r="2008">
      <c r="N2008" s="7"/>
    </row>
    <row r="2009">
      <c r="N2009" s="7"/>
    </row>
    <row r="2010">
      <c r="N2010" s="7"/>
    </row>
    <row r="2011">
      <c r="N2011" s="7"/>
    </row>
    <row r="2012">
      <c r="N2012" s="7"/>
    </row>
    <row r="2013">
      <c r="N2013" s="7"/>
    </row>
    <row r="2014">
      <c r="N2014" s="7"/>
    </row>
    <row r="2015">
      <c r="N2015" s="7"/>
    </row>
    <row r="2016">
      <c r="N2016" s="7"/>
    </row>
    <row r="2017">
      <c r="N2017" s="7"/>
    </row>
    <row r="2018">
      <c r="N2018" s="7"/>
    </row>
    <row r="2019">
      <c r="N2019" s="7"/>
    </row>
    <row r="2020">
      <c r="N2020" s="7"/>
    </row>
    <row r="2021">
      <c r="N2021" s="7"/>
    </row>
    <row r="2022">
      <c r="N2022" s="7"/>
    </row>
    <row r="2023">
      <c r="N2023" s="7"/>
    </row>
    <row r="2024">
      <c r="N2024" s="7"/>
    </row>
    <row r="2025">
      <c r="N2025" s="7"/>
    </row>
    <row r="2026">
      <c r="N2026" s="7"/>
    </row>
    <row r="2027">
      <c r="N2027" s="7"/>
    </row>
    <row r="2028">
      <c r="N2028" s="7"/>
    </row>
    <row r="2029">
      <c r="N2029" s="7"/>
    </row>
    <row r="2030">
      <c r="N2030" s="7"/>
    </row>
    <row r="2031">
      <c r="N2031" s="7"/>
    </row>
    <row r="2032">
      <c r="N2032" s="7"/>
    </row>
    <row r="2033">
      <c r="N2033" s="7"/>
    </row>
    <row r="2034">
      <c r="N2034" s="7"/>
    </row>
    <row r="2035">
      <c r="N2035" s="7"/>
    </row>
    <row r="2036">
      <c r="N2036" s="7"/>
    </row>
    <row r="2037">
      <c r="N2037" s="7"/>
    </row>
    <row r="2038">
      <c r="N2038" s="7"/>
    </row>
    <row r="2039">
      <c r="N2039" s="7"/>
    </row>
    <row r="2040">
      <c r="N2040" s="7"/>
    </row>
    <row r="2041">
      <c r="N2041" s="7"/>
    </row>
    <row r="2042">
      <c r="N2042" s="7"/>
    </row>
    <row r="2043">
      <c r="N2043" s="7"/>
    </row>
    <row r="2044">
      <c r="N2044" s="7"/>
    </row>
    <row r="2045">
      <c r="N2045" s="7"/>
    </row>
    <row r="2046">
      <c r="N2046" s="7"/>
    </row>
    <row r="2047">
      <c r="N2047" s="7"/>
    </row>
    <row r="2048">
      <c r="N2048" s="7"/>
    </row>
    <row r="2049">
      <c r="N2049" s="7"/>
    </row>
    <row r="2050">
      <c r="N2050" s="7"/>
    </row>
    <row r="2051">
      <c r="N2051" s="7"/>
    </row>
    <row r="2052">
      <c r="N2052" s="7"/>
    </row>
    <row r="2053">
      <c r="N2053" s="7"/>
    </row>
    <row r="2054">
      <c r="N2054" s="7"/>
    </row>
    <row r="2055">
      <c r="N2055" s="7"/>
    </row>
    <row r="2056">
      <c r="N2056" s="7"/>
    </row>
    <row r="2057">
      <c r="N2057" s="7"/>
    </row>
    <row r="2058">
      <c r="N2058" s="7"/>
    </row>
    <row r="2059">
      <c r="N2059" s="7"/>
    </row>
    <row r="2060">
      <c r="N2060" s="7"/>
    </row>
    <row r="2061">
      <c r="N2061" s="7"/>
    </row>
    <row r="2062">
      <c r="N2062" s="7"/>
    </row>
    <row r="2063">
      <c r="N2063" s="7"/>
    </row>
    <row r="2064">
      <c r="N2064" s="7"/>
    </row>
    <row r="2065">
      <c r="N2065" s="7"/>
    </row>
    <row r="2066">
      <c r="N2066" s="7"/>
    </row>
    <row r="2067">
      <c r="N2067" s="7"/>
    </row>
    <row r="2068">
      <c r="N2068" s="7"/>
    </row>
    <row r="2069">
      <c r="N2069" s="7"/>
    </row>
    <row r="2070">
      <c r="N2070" s="7"/>
    </row>
    <row r="2071">
      <c r="N2071" s="7"/>
    </row>
    <row r="2072">
      <c r="N2072" s="7"/>
    </row>
    <row r="2073">
      <c r="N2073" s="7"/>
    </row>
    <row r="2074">
      <c r="N2074" s="7"/>
    </row>
    <row r="2075">
      <c r="N2075" s="7"/>
    </row>
    <row r="2076">
      <c r="N2076" s="7"/>
    </row>
    <row r="2077">
      <c r="N2077" s="7"/>
    </row>
    <row r="2078">
      <c r="N2078" s="7"/>
    </row>
    <row r="2079">
      <c r="N2079" s="7"/>
    </row>
    <row r="2080">
      <c r="N2080" s="7"/>
    </row>
    <row r="2081">
      <c r="N2081" s="7"/>
    </row>
    <row r="2082">
      <c r="N2082" s="7"/>
    </row>
    <row r="2083">
      <c r="N2083" s="7"/>
    </row>
    <row r="2084">
      <c r="N2084" s="7"/>
    </row>
    <row r="2085">
      <c r="N2085" s="7"/>
    </row>
    <row r="2086">
      <c r="N2086" s="7"/>
    </row>
    <row r="2087">
      <c r="N2087" s="7"/>
    </row>
    <row r="2088">
      <c r="N2088" s="7"/>
    </row>
    <row r="2089">
      <c r="N2089" s="7"/>
    </row>
    <row r="2090">
      <c r="N2090" s="7"/>
    </row>
    <row r="2091">
      <c r="N2091" s="7"/>
    </row>
    <row r="2092">
      <c r="N2092" s="7"/>
    </row>
    <row r="2093">
      <c r="N2093" s="7"/>
    </row>
    <row r="2094">
      <c r="N2094" s="7"/>
    </row>
    <row r="2095">
      <c r="N2095" s="7"/>
    </row>
    <row r="2096">
      <c r="N2096" s="7"/>
    </row>
    <row r="2097">
      <c r="N2097" s="7"/>
    </row>
    <row r="2098">
      <c r="N2098" s="7"/>
    </row>
    <row r="2099">
      <c r="N2099" s="7"/>
    </row>
    <row r="2100">
      <c r="N2100" s="7"/>
    </row>
    <row r="2101">
      <c r="N2101" s="7"/>
    </row>
    <row r="2102">
      <c r="N2102" s="7"/>
    </row>
    <row r="2103">
      <c r="N2103" s="7"/>
    </row>
    <row r="2104">
      <c r="N2104" s="7"/>
    </row>
    <row r="2105">
      <c r="N2105" s="7"/>
    </row>
    <row r="2106">
      <c r="N2106" s="7"/>
    </row>
    <row r="2107">
      <c r="N2107" s="7"/>
    </row>
    <row r="2108">
      <c r="N2108" s="7"/>
    </row>
    <row r="2109">
      <c r="N2109" s="7"/>
    </row>
    <row r="2110">
      <c r="N2110" s="7"/>
    </row>
    <row r="2111">
      <c r="N2111" s="7"/>
    </row>
    <row r="2112">
      <c r="N2112" s="7"/>
    </row>
    <row r="2113">
      <c r="N2113" s="7"/>
    </row>
    <row r="2114">
      <c r="N2114" s="7"/>
    </row>
    <row r="2115">
      <c r="N2115" s="7"/>
    </row>
    <row r="2116">
      <c r="N2116" s="7"/>
    </row>
    <row r="2117">
      <c r="N2117" s="7"/>
    </row>
    <row r="2118">
      <c r="N2118" s="7"/>
    </row>
    <row r="2119">
      <c r="N2119" s="7"/>
    </row>
    <row r="2120">
      <c r="N2120" s="7"/>
    </row>
    <row r="2121">
      <c r="N2121" s="7"/>
    </row>
    <row r="2122">
      <c r="N2122" s="7"/>
    </row>
    <row r="2123">
      <c r="N2123" s="7"/>
    </row>
    <row r="2124">
      <c r="N2124" s="7"/>
    </row>
    <row r="2125">
      <c r="N2125" s="7"/>
    </row>
    <row r="2126">
      <c r="N2126" s="7"/>
    </row>
    <row r="2127">
      <c r="N2127" s="7"/>
    </row>
    <row r="2128">
      <c r="N2128" s="7"/>
    </row>
    <row r="2129">
      <c r="N2129" s="7"/>
    </row>
    <row r="2130">
      <c r="N2130" s="7"/>
    </row>
    <row r="2131">
      <c r="N2131" s="7"/>
    </row>
    <row r="2132">
      <c r="N2132" s="7"/>
    </row>
    <row r="2133">
      <c r="N2133" s="7"/>
    </row>
    <row r="2134">
      <c r="N2134" s="7"/>
    </row>
    <row r="2135">
      <c r="N2135" s="7"/>
    </row>
    <row r="2136">
      <c r="N2136" s="7"/>
    </row>
    <row r="2137">
      <c r="N2137" s="7"/>
    </row>
    <row r="2138">
      <c r="N2138" s="7"/>
    </row>
    <row r="2139">
      <c r="N2139" s="7"/>
    </row>
    <row r="2140">
      <c r="N2140" s="7"/>
    </row>
    <row r="2141">
      <c r="N2141" s="7"/>
    </row>
    <row r="2142">
      <c r="N2142" s="7"/>
    </row>
    <row r="2143">
      <c r="N2143" s="7"/>
    </row>
    <row r="2144">
      <c r="N2144" s="7"/>
    </row>
    <row r="2145">
      <c r="N2145" s="7"/>
    </row>
    <row r="2146">
      <c r="N2146" s="7"/>
    </row>
    <row r="2147">
      <c r="N2147" s="7"/>
    </row>
    <row r="2148">
      <c r="N2148" s="7"/>
    </row>
    <row r="2149">
      <c r="N2149" s="7"/>
    </row>
    <row r="2150">
      <c r="N2150" s="7"/>
    </row>
    <row r="2151">
      <c r="N2151" s="7"/>
    </row>
    <row r="2152">
      <c r="N2152" s="7"/>
    </row>
    <row r="2153">
      <c r="N2153" s="7"/>
    </row>
    <row r="2154">
      <c r="N2154" s="7"/>
    </row>
    <row r="2155">
      <c r="N2155" s="7"/>
    </row>
    <row r="2156">
      <c r="N2156" s="7"/>
    </row>
    <row r="2157">
      <c r="N2157" s="7"/>
    </row>
    <row r="2158">
      <c r="N2158" s="7"/>
    </row>
    <row r="2159">
      <c r="N2159" s="7"/>
    </row>
    <row r="2160">
      <c r="N2160" s="7"/>
    </row>
    <row r="2161">
      <c r="N2161" s="7"/>
    </row>
    <row r="2162">
      <c r="N2162" s="7"/>
    </row>
    <row r="2163">
      <c r="N2163" s="7"/>
    </row>
    <row r="2164">
      <c r="N2164" s="7"/>
    </row>
    <row r="2165">
      <c r="N2165" s="7"/>
    </row>
    <row r="2166">
      <c r="N2166" s="7"/>
    </row>
    <row r="2167">
      <c r="N2167" s="7"/>
    </row>
    <row r="2168">
      <c r="N2168" s="7"/>
    </row>
    <row r="2169">
      <c r="N2169" s="7"/>
    </row>
    <row r="2170">
      <c r="N2170" s="7"/>
    </row>
    <row r="2171">
      <c r="N2171" s="7"/>
    </row>
    <row r="2172">
      <c r="N2172" s="7"/>
    </row>
    <row r="2173">
      <c r="N2173" s="7"/>
    </row>
    <row r="2174">
      <c r="N2174" s="7"/>
    </row>
    <row r="2175">
      <c r="N2175" s="7"/>
    </row>
    <row r="2176">
      <c r="N2176" s="7"/>
    </row>
    <row r="2177">
      <c r="N2177" s="7"/>
    </row>
    <row r="2178">
      <c r="N2178" s="7"/>
    </row>
    <row r="2179">
      <c r="N2179" s="7"/>
    </row>
    <row r="2180">
      <c r="N2180" s="7"/>
    </row>
    <row r="2181">
      <c r="N2181" s="7"/>
    </row>
    <row r="2182">
      <c r="N2182" s="7"/>
    </row>
    <row r="2183">
      <c r="N2183" s="7"/>
    </row>
    <row r="2184">
      <c r="I2184" s="9"/>
      <c r="N2184" s="7"/>
    </row>
    <row r="2185">
      <c r="N2185" s="7"/>
    </row>
    <row r="2186">
      <c r="N2186" s="7"/>
    </row>
    <row r="2187">
      <c r="N2187" s="7"/>
    </row>
    <row r="2188">
      <c r="N2188" s="7"/>
    </row>
    <row r="2189">
      <c r="N2189" s="7"/>
    </row>
    <row r="2190">
      <c r="N2190" s="7"/>
    </row>
    <row r="2191">
      <c r="N2191" s="7"/>
    </row>
    <row r="2192">
      <c r="N2192" s="7"/>
    </row>
    <row r="2193">
      <c r="N2193" s="7"/>
    </row>
    <row r="2194">
      <c r="N2194" s="7"/>
    </row>
    <row r="2195">
      <c r="N2195" s="7"/>
    </row>
    <row r="2196">
      <c r="N2196" s="7"/>
    </row>
    <row r="2197">
      <c r="N2197" s="7"/>
    </row>
    <row r="2198">
      <c r="N2198" s="7"/>
    </row>
    <row r="2199">
      <c r="N2199" s="7"/>
    </row>
    <row r="2200">
      <c r="N2200" s="7"/>
    </row>
    <row r="2201">
      <c r="N2201" s="7"/>
    </row>
    <row r="2202">
      <c r="N2202" s="7"/>
    </row>
    <row r="2203">
      <c r="N2203" s="7"/>
    </row>
    <row r="2204">
      <c r="N2204" s="7"/>
    </row>
    <row r="2205">
      <c r="N2205" s="7"/>
    </row>
    <row r="2206">
      <c r="N2206" s="7"/>
    </row>
    <row r="2207">
      <c r="N2207" s="7"/>
    </row>
    <row r="2208">
      <c r="N2208" s="7"/>
    </row>
    <row r="2209">
      <c r="N2209" s="7"/>
    </row>
    <row r="2210">
      <c r="N2210" s="7"/>
    </row>
    <row r="2211">
      <c r="N2211" s="7"/>
    </row>
    <row r="2212">
      <c r="N2212" s="7"/>
    </row>
    <row r="2213">
      <c r="N2213" s="7"/>
    </row>
    <row r="2214">
      <c r="N2214" s="7"/>
    </row>
    <row r="2215">
      <c r="N2215" s="7"/>
    </row>
    <row r="2216">
      <c r="N2216" s="7"/>
    </row>
    <row r="2217">
      <c r="N2217" s="7"/>
    </row>
    <row r="2218">
      <c r="N2218" s="7"/>
    </row>
    <row r="2219">
      <c r="N2219" s="7"/>
    </row>
    <row r="2220">
      <c r="N2220" s="7"/>
    </row>
    <row r="2221">
      <c r="N2221" s="7"/>
    </row>
    <row r="2222">
      <c r="N2222" s="7"/>
    </row>
    <row r="2223">
      <c r="N2223" s="7"/>
    </row>
    <row r="2224">
      <c r="N2224" s="7"/>
    </row>
    <row r="2225">
      <c r="N2225" s="7"/>
    </row>
    <row r="2226">
      <c r="N2226" s="7"/>
    </row>
    <row r="2227">
      <c r="N2227" s="7"/>
    </row>
    <row r="2228">
      <c r="N2228" s="7"/>
    </row>
    <row r="2229">
      <c r="N2229" s="7"/>
    </row>
    <row r="2230">
      <c r="N2230" s="7"/>
    </row>
    <row r="2231">
      <c r="N2231" s="7"/>
    </row>
    <row r="2232">
      <c r="N2232" s="7"/>
    </row>
    <row r="2233">
      <c r="N2233" s="7"/>
    </row>
    <row r="2234">
      <c r="N2234" s="7"/>
    </row>
    <row r="2235">
      <c r="N2235" s="7"/>
    </row>
    <row r="2236">
      <c r="N2236" s="7"/>
    </row>
    <row r="2237">
      <c r="N2237" s="7"/>
    </row>
    <row r="2238">
      <c r="N2238" s="7"/>
    </row>
    <row r="2239">
      <c r="N2239" s="7"/>
    </row>
    <row r="2240">
      <c r="N2240" s="7"/>
    </row>
    <row r="2241">
      <c r="N2241" s="7"/>
    </row>
    <row r="2242">
      <c r="N2242" s="7"/>
    </row>
    <row r="2243">
      <c r="N2243" s="7"/>
    </row>
    <row r="2244">
      <c r="N2244" s="7"/>
    </row>
    <row r="2245">
      <c r="N2245" s="7"/>
    </row>
    <row r="2246">
      <c r="N2246" s="7"/>
    </row>
    <row r="2247">
      <c r="N2247" s="7"/>
    </row>
    <row r="2248">
      <c r="N2248" s="7"/>
    </row>
    <row r="2249">
      <c r="N2249" s="7"/>
    </row>
    <row r="2250">
      <c r="N2250" s="7"/>
    </row>
    <row r="2251">
      <c r="N2251" s="7"/>
    </row>
    <row r="2252">
      <c r="N2252" s="7"/>
    </row>
    <row r="2253">
      <c r="N2253" s="7"/>
    </row>
    <row r="2254">
      <c r="N2254" s="7"/>
    </row>
    <row r="2255">
      <c r="N2255" s="7"/>
    </row>
    <row r="2256">
      <c r="N2256" s="7"/>
    </row>
    <row r="2257">
      <c r="N2257" s="7"/>
    </row>
    <row r="2258">
      <c r="N2258" s="7"/>
    </row>
    <row r="2259">
      <c r="N2259" s="7"/>
    </row>
    <row r="2260">
      <c r="N2260" s="7"/>
    </row>
    <row r="2261">
      <c r="N2261" s="7"/>
    </row>
    <row r="2262">
      <c r="N2262" s="7"/>
    </row>
    <row r="2263">
      <c r="N2263" s="7"/>
    </row>
    <row r="2264">
      <c r="N2264" s="7"/>
    </row>
    <row r="2265">
      <c r="N2265" s="7"/>
    </row>
    <row r="2266">
      <c r="N2266" s="7"/>
    </row>
    <row r="2267">
      <c r="N2267" s="7"/>
    </row>
    <row r="2268">
      <c r="N2268" s="7"/>
    </row>
    <row r="2269">
      <c r="N2269" s="7"/>
    </row>
    <row r="2270">
      <c r="N2270" s="7"/>
    </row>
    <row r="2271">
      <c r="N2271" s="7"/>
    </row>
    <row r="2272">
      <c r="N2272" s="7"/>
    </row>
    <row r="2273">
      <c r="N2273" s="7"/>
    </row>
    <row r="2274">
      <c r="N2274" s="7"/>
    </row>
    <row r="2275">
      <c r="N2275" s="7"/>
    </row>
    <row r="2276">
      <c r="N2276" s="7"/>
    </row>
    <row r="2277">
      <c r="N2277" s="7"/>
    </row>
    <row r="2278">
      <c r="N2278" s="7"/>
    </row>
    <row r="2279">
      <c r="N2279" s="7"/>
    </row>
    <row r="2280">
      <c r="N2280" s="7"/>
    </row>
    <row r="2281">
      <c r="N2281" s="7"/>
    </row>
    <row r="2282">
      <c r="N2282" s="7"/>
    </row>
    <row r="2283">
      <c r="N2283" s="7"/>
    </row>
    <row r="2284">
      <c r="N2284" s="7"/>
    </row>
    <row r="2285">
      <c r="N2285" s="7"/>
    </row>
    <row r="2286">
      <c r="N2286" s="7"/>
    </row>
    <row r="2287">
      <c r="N2287" s="7"/>
    </row>
    <row r="2288">
      <c r="N2288" s="7"/>
    </row>
    <row r="2289">
      <c r="N2289" s="7"/>
    </row>
    <row r="2290">
      <c r="N2290" s="7"/>
    </row>
    <row r="2291">
      <c r="N2291" s="7"/>
    </row>
    <row r="2292">
      <c r="N2292" s="7"/>
    </row>
    <row r="2293">
      <c r="N2293" s="7"/>
    </row>
    <row r="2294">
      <c r="N2294" s="7"/>
    </row>
    <row r="2295">
      <c r="N2295" s="7"/>
    </row>
    <row r="2296">
      <c r="I2296" s="9"/>
      <c r="N2296" s="7"/>
    </row>
    <row r="2297">
      <c r="N2297" s="7"/>
    </row>
    <row r="2298">
      <c r="N2298" s="7"/>
    </row>
    <row r="2299">
      <c r="N2299" s="7"/>
    </row>
    <row r="2300">
      <c r="N2300" s="7"/>
    </row>
    <row r="2301">
      <c r="N2301" s="7"/>
    </row>
    <row r="2302">
      <c r="N2302" s="7"/>
    </row>
    <row r="2303">
      <c r="N2303" s="7"/>
    </row>
    <row r="2304">
      <c r="N2304" s="7"/>
    </row>
    <row r="2305">
      <c r="N2305" s="7"/>
    </row>
    <row r="2306">
      <c r="N2306" s="7"/>
    </row>
    <row r="2307">
      <c r="N2307" s="7"/>
    </row>
    <row r="2308">
      <c r="N2308" s="7"/>
    </row>
    <row r="2309">
      <c r="N2309" s="7"/>
    </row>
    <row r="2310">
      <c r="N2310" s="7"/>
    </row>
    <row r="2311">
      <c r="N2311" s="7"/>
    </row>
    <row r="2312">
      <c r="N2312" s="7"/>
    </row>
    <row r="2313">
      <c r="N2313" s="7"/>
    </row>
    <row r="2314">
      <c r="N2314" s="7"/>
    </row>
    <row r="2315">
      <c r="N2315" s="7"/>
    </row>
    <row r="2316">
      <c r="N2316" s="7"/>
    </row>
    <row r="2317">
      <c r="N2317" s="7"/>
    </row>
    <row r="2318">
      <c r="N2318" s="7"/>
    </row>
    <row r="2319">
      <c r="N2319" s="7"/>
    </row>
    <row r="2320">
      <c r="N2320" s="7"/>
    </row>
    <row r="2321">
      <c r="N2321" s="7"/>
    </row>
    <row r="2322">
      <c r="N2322" s="7"/>
    </row>
    <row r="2323">
      <c r="N2323" s="7"/>
    </row>
    <row r="2324">
      <c r="N2324" s="7"/>
    </row>
    <row r="2325">
      <c r="N2325" s="7"/>
    </row>
    <row r="2326">
      <c r="N2326" s="7"/>
    </row>
    <row r="2327">
      <c r="N2327" s="7"/>
    </row>
    <row r="2328">
      <c r="N2328" s="7"/>
    </row>
    <row r="2329">
      <c r="N2329" s="7"/>
    </row>
    <row r="2330">
      <c r="N2330" s="7"/>
    </row>
    <row r="2331">
      <c r="N2331" s="7"/>
    </row>
    <row r="2332">
      <c r="N2332" s="7"/>
    </row>
    <row r="2333">
      <c r="N2333" s="7"/>
    </row>
    <row r="2334">
      <c r="N2334" s="7"/>
    </row>
    <row r="2335">
      <c r="N2335" s="7"/>
    </row>
    <row r="2336">
      <c r="N2336" s="7"/>
    </row>
    <row r="2337">
      <c r="N2337" s="7"/>
    </row>
    <row r="2338">
      <c r="N2338" s="7"/>
    </row>
    <row r="2339">
      <c r="N2339" s="7"/>
    </row>
    <row r="2340">
      <c r="N2340" s="7"/>
    </row>
    <row r="2341">
      <c r="N2341" s="7"/>
    </row>
    <row r="2342">
      <c r="N2342" s="7"/>
    </row>
    <row r="2343">
      <c r="N2343" s="7"/>
    </row>
    <row r="2344">
      <c r="N2344" s="7"/>
    </row>
    <row r="2345">
      <c r="N2345" s="7"/>
    </row>
    <row r="2346">
      <c r="N2346" s="7"/>
    </row>
    <row r="2347">
      <c r="N2347" s="7"/>
    </row>
    <row r="2348">
      <c r="N2348" s="7"/>
    </row>
    <row r="2349">
      <c r="N2349" s="7"/>
    </row>
    <row r="2350">
      <c r="N2350" s="7"/>
    </row>
    <row r="2351">
      <c r="N2351" s="7"/>
    </row>
    <row r="2352">
      <c r="N2352" s="7"/>
    </row>
    <row r="2353">
      <c r="N2353" s="7"/>
    </row>
    <row r="2354">
      <c r="N2354" s="7"/>
    </row>
    <row r="2355">
      <c r="N2355" s="7"/>
    </row>
    <row r="2356">
      <c r="N2356" s="7"/>
    </row>
    <row r="2357">
      <c r="N2357" s="7"/>
    </row>
    <row r="2358">
      <c r="N2358" s="7"/>
    </row>
    <row r="2359">
      <c r="N2359" s="7"/>
    </row>
    <row r="2360">
      <c r="N2360" s="7"/>
    </row>
    <row r="2361">
      <c r="N2361" s="7"/>
    </row>
    <row r="2362">
      <c r="N2362" s="7"/>
    </row>
    <row r="2363">
      <c r="N2363" s="7"/>
    </row>
    <row r="2364">
      <c r="N2364" s="7"/>
    </row>
    <row r="2365">
      <c r="N2365" s="7"/>
    </row>
    <row r="2366">
      <c r="N2366" s="7"/>
    </row>
    <row r="2367">
      <c r="N2367" s="7"/>
    </row>
    <row r="2368">
      <c r="N2368" s="7"/>
    </row>
    <row r="2369">
      <c r="N2369" s="7"/>
    </row>
    <row r="2370">
      <c r="N2370" s="7"/>
    </row>
    <row r="2371">
      <c r="N2371" s="7"/>
    </row>
    <row r="2372">
      <c r="N2372" s="7"/>
    </row>
    <row r="2373">
      <c r="N2373" s="7"/>
    </row>
    <row r="2374">
      <c r="N2374" s="7"/>
    </row>
    <row r="2375">
      <c r="N2375" s="7"/>
    </row>
    <row r="2376">
      <c r="N2376" s="7"/>
    </row>
    <row r="2377">
      <c r="N2377" s="7"/>
    </row>
    <row r="2378">
      <c r="N2378" s="7"/>
    </row>
    <row r="2379">
      <c r="N2379" s="7"/>
    </row>
    <row r="2380">
      <c r="N2380" s="7"/>
    </row>
    <row r="2381">
      <c r="N2381" s="7"/>
    </row>
    <row r="2382">
      <c r="I2382" s="9"/>
      <c r="N2382" s="7"/>
    </row>
    <row r="2383">
      <c r="N2383" s="7"/>
    </row>
    <row r="2384">
      <c r="N2384" s="7"/>
    </row>
    <row r="2385">
      <c r="N2385" s="7"/>
    </row>
    <row r="2386">
      <c r="N2386" s="7"/>
    </row>
    <row r="2387">
      <c r="N2387" s="7"/>
    </row>
    <row r="2388">
      <c r="N2388" s="7"/>
    </row>
    <row r="2389">
      <c r="N2389" s="7"/>
    </row>
    <row r="2390">
      <c r="N2390" s="7"/>
    </row>
    <row r="2391">
      <c r="N2391" s="7"/>
    </row>
    <row r="2392">
      <c r="N2392" s="7"/>
    </row>
    <row r="2393">
      <c r="N2393" s="7"/>
    </row>
    <row r="2394">
      <c r="I2394" s="9"/>
      <c r="N2394" s="7"/>
    </row>
    <row r="2395">
      <c r="N2395" s="7"/>
    </row>
    <row r="2396">
      <c r="N2396" s="7"/>
    </row>
    <row r="2397">
      <c r="N2397" s="7"/>
    </row>
    <row r="2398">
      <c r="N2398" s="7"/>
    </row>
    <row r="2399">
      <c r="N2399" s="7"/>
    </row>
    <row r="2400">
      <c r="N2400" s="7"/>
    </row>
    <row r="2401">
      <c r="N2401" s="7"/>
    </row>
    <row r="2402">
      <c r="N2402" s="7"/>
    </row>
    <row r="2403">
      <c r="N2403" s="7"/>
    </row>
    <row r="2404">
      <c r="N2404" s="7"/>
    </row>
    <row r="2405">
      <c r="N2405" s="7"/>
    </row>
    <row r="2406">
      <c r="N2406" s="7"/>
    </row>
    <row r="2407">
      <c r="N2407" s="7"/>
    </row>
    <row r="2408">
      <c r="N2408" s="7"/>
    </row>
    <row r="2409">
      <c r="N2409" s="7"/>
    </row>
    <row r="2410">
      <c r="N2410" s="7"/>
    </row>
    <row r="2411">
      <c r="N2411" s="7"/>
    </row>
    <row r="2412">
      <c r="N2412" s="7"/>
    </row>
    <row r="2413">
      <c r="N2413" s="7"/>
    </row>
    <row r="2414">
      <c r="N2414" s="7"/>
    </row>
    <row r="2415">
      <c r="N2415" s="7"/>
    </row>
    <row r="2416">
      <c r="N2416" s="7"/>
    </row>
    <row r="2417">
      <c r="N2417" s="7"/>
    </row>
    <row r="2418">
      <c r="N2418" s="7"/>
    </row>
    <row r="2419">
      <c r="N2419" s="7"/>
    </row>
    <row r="2420">
      <c r="N2420" s="7"/>
    </row>
    <row r="2421">
      <c r="N2421" s="7"/>
    </row>
    <row r="2422">
      <c r="N2422" s="7"/>
    </row>
    <row r="2423">
      <c r="N2423" s="7"/>
    </row>
    <row r="2424">
      <c r="N2424" s="7"/>
    </row>
    <row r="2425">
      <c r="N2425" s="7"/>
    </row>
    <row r="2426">
      <c r="N2426" s="7"/>
    </row>
    <row r="2427">
      <c r="N2427" s="7"/>
    </row>
    <row r="2428">
      <c r="N2428" s="7"/>
    </row>
    <row r="2429">
      <c r="N2429" s="7"/>
    </row>
    <row r="2430">
      <c r="N2430" s="7"/>
    </row>
    <row r="2431">
      <c r="N2431" s="7"/>
    </row>
    <row r="2432">
      <c r="N2432" s="7"/>
    </row>
    <row r="2433">
      <c r="N2433" s="7"/>
    </row>
    <row r="2434">
      <c r="N2434" s="7"/>
    </row>
    <row r="2435">
      <c r="N2435" s="7"/>
    </row>
    <row r="2436">
      <c r="N2436" s="7"/>
    </row>
    <row r="2437">
      <c r="N2437" s="7"/>
    </row>
    <row r="2438">
      <c r="N2438" s="7"/>
    </row>
    <row r="2439">
      <c r="N2439" s="7"/>
    </row>
    <row r="2440">
      <c r="N2440" s="7"/>
    </row>
    <row r="2441">
      <c r="N2441" s="7"/>
    </row>
    <row r="2442">
      <c r="N2442" s="7"/>
    </row>
    <row r="2443">
      <c r="N2443" s="7"/>
    </row>
    <row r="2444">
      <c r="N2444" s="7"/>
    </row>
    <row r="2445">
      <c r="N2445" s="7"/>
    </row>
    <row r="2446">
      <c r="N2446" s="7"/>
    </row>
    <row r="2447">
      <c r="N2447" s="7"/>
    </row>
    <row r="2448">
      <c r="N2448" s="7"/>
    </row>
    <row r="2449">
      <c r="N2449" s="7"/>
    </row>
    <row r="2450">
      <c r="N2450" s="7"/>
    </row>
    <row r="2451">
      <c r="N2451" s="7"/>
    </row>
    <row r="2452">
      <c r="N2452" s="7"/>
    </row>
    <row r="2453">
      <c r="N2453" s="7"/>
    </row>
    <row r="2454">
      <c r="N2454" s="7"/>
    </row>
    <row r="2455">
      <c r="N2455" s="7"/>
    </row>
    <row r="2456">
      <c r="N2456" s="7"/>
    </row>
    <row r="2457">
      <c r="N2457" s="7"/>
    </row>
    <row r="2458">
      <c r="N2458" s="7"/>
    </row>
    <row r="2459">
      <c r="N2459" s="7"/>
    </row>
    <row r="2460">
      <c r="N2460" s="7"/>
    </row>
    <row r="2461">
      <c r="N2461" s="7"/>
    </row>
    <row r="2462">
      <c r="N2462" s="7"/>
    </row>
    <row r="2463">
      <c r="N2463" s="7"/>
    </row>
    <row r="2464">
      <c r="N2464" s="7"/>
    </row>
    <row r="2465">
      <c r="N2465" s="7"/>
    </row>
    <row r="2466">
      <c r="N2466" s="7"/>
    </row>
    <row r="2467">
      <c r="N2467" s="7"/>
    </row>
    <row r="2468">
      <c r="N2468" s="7"/>
    </row>
    <row r="2469">
      <c r="N2469" s="7"/>
    </row>
    <row r="2470">
      <c r="N2470" s="7"/>
    </row>
    <row r="2471">
      <c r="N2471" s="7"/>
    </row>
    <row r="2472">
      <c r="N2472" s="7"/>
    </row>
    <row r="2473">
      <c r="N2473" s="7"/>
    </row>
    <row r="2474">
      <c r="N2474" s="7"/>
    </row>
    <row r="2475">
      <c r="I2475" s="9"/>
      <c r="N2475" s="7"/>
    </row>
    <row r="2476">
      <c r="N2476" s="7"/>
    </row>
    <row r="2477">
      <c r="N2477" s="7"/>
    </row>
    <row r="2478">
      <c r="N2478" s="7"/>
    </row>
    <row r="2479">
      <c r="N2479" s="7"/>
    </row>
    <row r="2480">
      <c r="N2480" s="7"/>
    </row>
    <row r="2481">
      <c r="N2481" s="7"/>
    </row>
    <row r="2482">
      <c r="N2482" s="7"/>
    </row>
    <row r="2483">
      <c r="N2483" s="7"/>
    </row>
    <row r="2484">
      <c r="N2484" s="7"/>
    </row>
    <row r="2485">
      <c r="N2485" s="7"/>
    </row>
    <row r="2486">
      <c r="N2486" s="7"/>
    </row>
    <row r="2487">
      <c r="N2487" s="7"/>
    </row>
    <row r="2488">
      <c r="N2488" s="7"/>
    </row>
    <row r="2489">
      <c r="N2489" s="7"/>
    </row>
    <row r="2490">
      <c r="N2490" s="7"/>
    </row>
    <row r="2491">
      <c r="N2491" s="7"/>
    </row>
    <row r="2492">
      <c r="N2492" s="7"/>
    </row>
    <row r="2493">
      <c r="N2493" s="7"/>
    </row>
    <row r="2494">
      <c r="N2494" s="7"/>
    </row>
    <row r="2495">
      <c r="N2495" s="7"/>
    </row>
    <row r="2496">
      <c r="N2496" s="7"/>
    </row>
    <row r="2497">
      <c r="N2497" s="7"/>
    </row>
    <row r="2498">
      <c r="N2498" s="7"/>
    </row>
    <row r="2499">
      <c r="N2499" s="7"/>
    </row>
    <row r="2500">
      <c r="N2500" s="7"/>
    </row>
    <row r="2501">
      <c r="N2501" s="7"/>
    </row>
    <row r="2502">
      <c r="N2502" s="7"/>
    </row>
    <row r="2503">
      <c r="I2503" s="9"/>
      <c r="N2503" s="7"/>
    </row>
    <row r="2504">
      <c r="N2504" s="7"/>
    </row>
    <row r="2505">
      <c r="N2505" s="7"/>
    </row>
    <row r="2506">
      <c r="N2506" s="7"/>
    </row>
    <row r="2507">
      <c r="N2507" s="7"/>
    </row>
    <row r="2508">
      <c r="N2508" s="7"/>
    </row>
    <row r="2509">
      <c r="N2509" s="7"/>
    </row>
    <row r="2510">
      <c r="N2510" s="7"/>
    </row>
    <row r="2511">
      <c r="N2511" s="7"/>
    </row>
    <row r="2512">
      <c r="N2512" s="7"/>
    </row>
    <row r="2513">
      <c r="N2513" s="7"/>
    </row>
    <row r="2514">
      <c r="N2514" s="7"/>
    </row>
    <row r="2515">
      <c r="N2515" s="7"/>
    </row>
    <row r="2516">
      <c r="N2516" s="7"/>
    </row>
    <row r="2517">
      <c r="N2517" s="7"/>
    </row>
    <row r="2518">
      <c r="N2518" s="7"/>
    </row>
    <row r="2519">
      <c r="N2519" s="7"/>
    </row>
    <row r="2520">
      <c r="N2520" s="7"/>
    </row>
    <row r="2521">
      <c r="N2521" s="7"/>
    </row>
    <row r="2522">
      <c r="N2522" s="7"/>
    </row>
    <row r="2523">
      <c r="N2523" s="7"/>
    </row>
    <row r="2524">
      <c r="N2524" s="7"/>
    </row>
    <row r="2525">
      <c r="N2525" s="7"/>
    </row>
    <row r="2526">
      <c r="N2526" s="7"/>
    </row>
    <row r="2527">
      <c r="N2527" s="7"/>
    </row>
    <row r="2528">
      <c r="N2528" s="7"/>
    </row>
    <row r="2529">
      <c r="N2529" s="7"/>
    </row>
    <row r="2530">
      <c r="N2530" s="7"/>
    </row>
    <row r="2531">
      <c r="N2531" s="7"/>
    </row>
    <row r="2532">
      <c r="N2532" s="7"/>
    </row>
    <row r="2533">
      <c r="N2533" s="7"/>
    </row>
    <row r="2534">
      <c r="N2534" s="7"/>
    </row>
    <row r="2535">
      <c r="N2535" s="7"/>
    </row>
    <row r="2536">
      <c r="N2536" s="7"/>
    </row>
    <row r="2537">
      <c r="N2537" s="7"/>
    </row>
    <row r="2538">
      <c r="N2538" s="7"/>
    </row>
    <row r="2539">
      <c r="N2539" s="7"/>
    </row>
    <row r="2540">
      <c r="N2540" s="7"/>
    </row>
    <row r="2541">
      <c r="N2541" s="7"/>
    </row>
    <row r="2542">
      <c r="N2542" s="7"/>
    </row>
    <row r="2543">
      <c r="N2543" s="7"/>
    </row>
    <row r="2544">
      <c r="N2544" s="7"/>
    </row>
    <row r="2545">
      <c r="N2545" s="7"/>
    </row>
    <row r="2546">
      <c r="N2546" s="7"/>
    </row>
    <row r="2547">
      <c r="N2547" s="7"/>
    </row>
    <row r="2548">
      <c r="N2548" s="7"/>
    </row>
    <row r="2549">
      <c r="N2549" s="7"/>
    </row>
    <row r="2550">
      <c r="N2550" s="7"/>
    </row>
    <row r="2551">
      <c r="N2551" s="7"/>
    </row>
    <row r="2552">
      <c r="N2552" s="7"/>
    </row>
    <row r="2553">
      <c r="N2553" s="7"/>
    </row>
    <row r="2554">
      <c r="N2554" s="7"/>
    </row>
    <row r="2555">
      <c r="N2555" s="7"/>
    </row>
    <row r="2556">
      <c r="N2556" s="7"/>
    </row>
    <row r="2557">
      <c r="N2557" s="7"/>
    </row>
    <row r="2558">
      <c r="N2558" s="7"/>
    </row>
    <row r="2559">
      <c r="N2559" s="7"/>
    </row>
    <row r="2560">
      <c r="N2560" s="7"/>
    </row>
    <row r="2561">
      <c r="N2561" s="7"/>
    </row>
    <row r="2562">
      <c r="N2562" s="7"/>
    </row>
    <row r="2563">
      <c r="N2563" s="7"/>
    </row>
    <row r="2564">
      <c r="N2564" s="7"/>
    </row>
    <row r="2565">
      <c r="N2565" s="7"/>
    </row>
    <row r="2566">
      <c r="N2566" s="7"/>
    </row>
    <row r="2567">
      <c r="N2567" s="7"/>
    </row>
    <row r="2568">
      <c r="N2568" s="7"/>
    </row>
    <row r="2569">
      <c r="N2569" s="7"/>
    </row>
    <row r="2570">
      <c r="N2570" s="7"/>
    </row>
    <row r="2571">
      <c r="N2571" s="7"/>
    </row>
    <row r="2572">
      <c r="N2572" s="7"/>
    </row>
    <row r="2573">
      <c r="N2573" s="7"/>
    </row>
    <row r="2574">
      <c r="N2574" s="7"/>
    </row>
    <row r="2575">
      <c r="N2575" s="7"/>
    </row>
    <row r="2576">
      <c r="N2576" s="7"/>
    </row>
    <row r="2577">
      <c r="N2577" s="7"/>
    </row>
    <row r="2578">
      <c r="N2578" s="7"/>
    </row>
    <row r="2579">
      <c r="N2579" s="7"/>
    </row>
    <row r="2580">
      <c r="N2580" s="7"/>
    </row>
    <row r="2581">
      <c r="N2581" s="7"/>
    </row>
    <row r="2582">
      <c r="N2582" s="7"/>
    </row>
    <row r="2583">
      <c r="N2583" s="7"/>
    </row>
    <row r="2584">
      <c r="N2584" s="7"/>
    </row>
    <row r="2585">
      <c r="N2585" s="7"/>
    </row>
    <row r="2586">
      <c r="N2586" s="7"/>
    </row>
    <row r="2587">
      <c r="N2587" s="7"/>
    </row>
    <row r="2588">
      <c r="N2588" s="7"/>
    </row>
    <row r="2589">
      <c r="N2589" s="7"/>
    </row>
    <row r="2590">
      <c r="N2590" s="7"/>
    </row>
    <row r="2591">
      <c r="N2591" s="7"/>
    </row>
    <row r="2592">
      <c r="N2592" s="7"/>
    </row>
    <row r="2593">
      <c r="N2593" s="7"/>
    </row>
    <row r="2594">
      <c r="N2594" s="7"/>
    </row>
    <row r="2595">
      <c r="N2595" s="7"/>
    </row>
    <row r="2596">
      <c r="N2596" s="7"/>
    </row>
    <row r="2597">
      <c r="N2597" s="7"/>
    </row>
    <row r="2598">
      <c r="N2598" s="7"/>
    </row>
    <row r="2599">
      <c r="N2599" s="7"/>
    </row>
    <row r="2600">
      <c r="N2600" s="7"/>
    </row>
    <row r="2601">
      <c r="N2601" s="7"/>
    </row>
    <row r="2602">
      <c r="N2602" s="7"/>
    </row>
    <row r="2603">
      <c r="N2603" s="7"/>
    </row>
    <row r="2604">
      <c r="N2604" s="7"/>
    </row>
    <row r="2605">
      <c r="N2605" s="7"/>
    </row>
    <row r="2606">
      <c r="N2606" s="7"/>
    </row>
    <row r="2607">
      <c r="N2607" s="7"/>
    </row>
    <row r="2608">
      <c r="N2608" s="7"/>
    </row>
    <row r="2609">
      <c r="N2609" s="7"/>
    </row>
    <row r="2610">
      <c r="N2610" s="7"/>
    </row>
    <row r="2611">
      <c r="N2611" s="7"/>
    </row>
    <row r="2612">
      <c r="N2612" s="7"/>
    </row>
    <row r="2613">
      <c r="N2613" s="7"/>
    </row>
    <row r="2614">
      <c r="N2614" s="7"/>
    </row>
    <row r="2615">
      <c r="N2615" s="7"/>
    </row>
    <row r="2616">
      <c r="N2616" s="7"/>
    </row>
    <row r="2617">
      <c r="N2617" s="7"/>
    </row>
    <row r="2618">
      <c r="N2618" s="7"/>
    </row>
    <row r="2619">
      <c r="N2619" s="7"/>
    </row>
    <row r="2620">
      <c r="N2620" s="7"/>
    </row>
    <row r="2621">
      <c r="N2621" s="7"/>
    </row>
    <row r="2622">
      <c r="N2622" s="7"/>
    </row>
    <row r="2623">
      <c r="N2623" s="7"/>
    </row>
    <row r="2624">
      <c r="N2624" s="7"/>
    </row>
    <row r="2625">
      <c r="N2625" s="7"/>
    </row>
    <row r="2626">
      <c r="N2626" s="7"/>
    </row>
    <row r="2627">
      <c r="N2627" s="7"/>
    </row>
    <row r="2628">
      <c r="N2628" s="7"/>
    </row>
    <row r="2629">
      <c r="N2629" s="7"/>
    </row>
    <row r="2630">
      <c r="N2630" s="7"/>
    </row>
    <row r="2631">
      <c r="N2631" s="7"/>
    </row>
    <row r="2632">
      <c r="N2632" s="7"/>
    </row>
    <row r="2633">
      <c r="N2633" s="7"/>
    </row>
    <row r="2634">
      <c r="N2634" s="7"/>
    </row>
    <row r="2635">
      <c r="N2635" s="7"/>
    </row>
    <row r="2636">
      <c r="N2636" s="7"/>
    </row>
    <row r="2637">
      <c r="N2637" s="7"/>
    </row>
    <row r="2638">
      <c r="N2638" s="7"/>
    </row>
    <row r="2639">
      <c r="N2639" s="7"/>
    </row>
    <row r="2640">
      <c r="N2640" s="7"/>
    </row>
    <row r="2641">
      <c r="N2641" s="7"/>
    </row>
    <row r="2642">
      <c r="N2642" s="7"/>
    </row>
    <row r="2643">
      <c r="N2643" s="7"/>
    </row>
    <row r="2644">
      <c r="N2644" s="7"/>
    </row>
    <row r="2645">
      <c r="N2645" s="7"/>
    </row>
    <row r="2646">
      <c r="N2646" s="7"/>
    </row>
    <row r="2647">
      <c r="N2647" s="7"/>
    </row>
    <row r="2648">
      <c r="N2648" s="7"/>
    </row>
    <row r="2649">
      <c r="N2649" s="7"/>
    </row>
    <row r="2650">
      <c r="N2650" s="7"/>
    </row>
    <row r="2651">
      <c r="N2651" s="7"/>
    </row>
    <row r="2652">
      <c r="I2652" s="9"/>
      <c r="N2652" s="7"/>
    </row>
    <row r="2653">
      <c r="N2653" s="7"/>
    </row>
    <row r="2654">
      <c r="N2654" s="7"/>
    </row>
    <row r="2655">
      <c r="N2655" s="7"/>
    </row>
    <row r="2656">
      <c r="N2656" s="7"/>
    </row>
    <row r="2657">
      <c r="N2657" s="7"/>
    </row>
    <row r="2658">
      <c r="N2658" s="7"/>
    </row>
    <row r="2659">
      <c r="N2659" s="7"/>
    </row>
    <row r="2660">
      <c r="N2660" s="7"/>
    </row>
    <row r="2661">
      <c r="N2661" s="7"/>
    </row>
    <row r="2662">
      <c r="N2662" s="7"/>
    </row>
    <row r="2663">
      <c r="N2663" s="7"/>
    </row>
    <row r="2664">
      <c r="N2664" s="7"/>
    </row>
    <row r="2665">
      <c r="N2665" s="7"/>
    </row>
    <row r="2666">
      <c r="N2666" s="7"/>
    </row>
    <row r="2667">
      <c r="N2667" s="7"/>
    </row>
    <row r="2668">
      <c r="N2668" s="7"/>
    </row>
    <row r="2669">
      <c r="N2669" s="7"/>
    </row>
    <row r="2670">
      <c r="N2670" s="7"/>
    </row>
    <row r="2671">
      <c r="N2671" s="7"/>
    </row>
    <row r="2672">
      <c r="N2672" s="7"/>
    </row>
    <row r="2673">
      <c r="N2673" s="7"/>
    </row>
    <row r="2674">
      <c r="N2674" s="7"/>
    </row>
    <row r="2675">
      <c r="N2675" s="7"/>
    </row>
    <row r="2676">
      <c r="N2676" s="7"/>
    </row>
    <row r="2677">
      <c r="N2677" s="7"/>
    </row>
    <row r="2678">
      <c r="N2678" s="7"/>
    </row>
    <row r="2679">
      <c r="N2679" s="7"/>
    </row>
    <row r="2680">
      <c r="N2680" s="7"/>
    </row>
    <row r="2681">
      <c r="N2681" s="7"/>
    </row>
    <row r="2682">
      <c r="N2682" s="7"/>
    </row>
    <row r="2683">
      <c r="N2683" s="7"/>
    </row>
    <row r="2684">
      <c r="N2684" s="7"/>
    </row>
    <row r="2685">
      <c r="N2685" s="7"/>
    </row>
    <row r="2686">
      <c r="N2686" s="7"/>
    </row>
    <row r="2687">
      <c r="N2687" s="7"/>
    </row>
    <row r="2688">
      <c r="N2688" s="7"/>
    </row>
    <row r="2689">
      <c r="N2689" s="7"/>
    </row>
    <row r="2690">
      <c r="N2690" s="7"/>
    </row>
    <row r="2691">
      <c r="N2691" s="7"/>
    </row>
    <row r="2692">
      <c r="N2692" s="7"/>
    </row>
    <row r="2693">
      <c r="N2693" s="7"/>
    </row>
    <row r="2694">
      <c r="N2694" s="7"/>
    </row>
    <row r="2695">
      <c r="N2695" s="7"/>
    </row>
    <row r="2696">
      <c r="N2696" s="7"/>
    </row>
    <row r="2697">
      <c r="N2697" s="7"/>
    </row>
    <row r="2698">
      <c r="N2698" s="7"/>
    </row>
    <row r="2699">
      <c r="N2699" s="7"/>
    </row>
    <row r="2700">
      <c r="N2700" s="7"/>
    </row>
    <row r="2701">
      <c r="N2701" s="7"/>
    </row>
    <row r="2702">
      <c r="N2702" s="7"/>
    </row>
    <row r="2703">
      <c r="N2703" s="7"/>
    </row>
    <row r="2704">
      <c r="N2704" s="7"/>
    </row>
    <row r="2705">
      <c r="N2705" s="7"/>
    </row>
    <row r="2706">
      <c r="N2706" s="7"/>
    </row>
    <row r="2707">
      <c r="N2707" s="7"/>
    </row>
    <row r="2708">
      <c r="N2708" s="7"/>
    </row>
    <row r="2709">
      <c r="N2709" s="7"/>
    </row>
    <row r="2710">
      <c r="N2710" s="7"/>
    </row>
    <row r="2711">
      <c r="N2711" s="7"/>
    </row>
    <row r="2712">
      <c r="N2712" s="7"/>
    </row>
    <row r="2713">
      <c r="N2713" s="7"/>
    </row>
    <row r="2714">
      <c r="N2714" s="7"/>
    </row>
    <row r="2715">
      <c r="N2715" s="7"/>
    </row>
    <row r="2716">
      <c r="N2716" s="7"/>
    </row>
    <row r="2717">
      <c r="N2717" s="7"/>
    </row>
    <row r="2718">
      <c r="N2718" s="7"/>
    </row>
    <row r="2719">
      <c r="N2719" s="7"/>
    </row>
    <row r="2720">
      <c r="N2720" s="7"/>
    </row>
    <row r="2721">
      <c r="N2721" s="7"/>
    </row>
    <row r="2722">
      <c r="N2722" s="7"/>
    </row>
    <row r="2723">
      <c r="N2723" s="7"/>
    </row>
    <row r="2724">
      <c r="N2724" s="7"/>
    </row>
    <row r="2725">
      <c r="N2725" s="7"/>
    </row>
    <row r="2726">
      <c r="N2726" s="7"/>
    </row>
    <row r="2727">
      <c r="N2727" s="7"/>
    </row>
    <row r="2728">
      <c r="N2728" s="7"/>
    </row>
    <row r="2729">
      <c r="N2729" s="7"/>
    </row>
    <row r="2730">
      <c r="N2730" s="7"/>
    </row>
    <row r="2731">
      <c r="N2731" s="7"/>
    </row>
    <row r="2732">
      <c r="N2732" s="7"/>
    </row>
    <row r="2733">
      <c r="N2733" s="7"/>
    </row>
    <row r="2734">
      <c r="N2734" s="7"/>
    </row>
    <row r="2735">
      <c r="N2735" s="7"/>
    </row>
    <row r="2736">
      <c r="N2736" s="7"/>
    </row>
    <row r="2737">
      <c r="N2737" s="7"/>
    </row>
    <row r="2738">
      <c r="N2738" s="7"/>
    </row>
    <row r="2739">
      <c r="N2739" s="7"/>
    </row>
    <row r="2740">
      <c r="N2740" s="7"/>
    </row>
    <row r="2741">
      <c r="N2741" s="7"/>
    </row>
    <row r="2742">
      <c r="N2742" s="7"/>
    </row>
    <row r="2743">
      <c r="N2743" s="7"/>
    </row>
    <row r="2744">
      <c r="N2744" s="7"/>
    </row>
    <row r="2745">
      <c r="N2745" s="7"/>
    </row>
    <row r="2746">
      <c r="N2746" s="7"/>
    </row>
    <row r="2747">
      <c r="N2747" s="7"/>
    </row>
    <row r="2748">
      <c r="N2748" s="7"/>
    </row>
    <row r="2749">
      <c r="N2749" s="7"/>
    </row>
    <row r="2750">
      <c r="N2750" s="7"/>
    </row>
    <row r="2751">
      <c r="N2751" s="7"/>
    </row>
    <row r="2752">
      <c r="N2752" s="7"/>
    </row>
    <row r="2753">
      <c r="N2753" s="7"/>
    </row>
    <row r="2754">
      <c r="N2754" s="7"/>
    </row>
    <row r="2755">
      <c r="N2755" s="7"/>
    </row>
    <row r="2756">
      <c r="N2756" s="7"/>
    </row>
    <row r="2757">
      <c r="N2757" s="7"/>
    </row>
    <row r="2758">
      <c r="N2758" s="7"/>
    </row>
    <row r="2759">
      <c r="N2759" s="7"/>
    </row>
    <row r="2760">
      <c r="N2760" s="7"/>
    </row>
    <row r="2761">
      <c r="N2761" s="7"/>
    </row>
    <row r="2762">
      <c r="N2762" s="7"/>
    </row>
    <row r="2763">
      <c r="N2763" s="7"/>
    </row>
    <row r="2764">
      <c r="N2764" s="7"/>
    </row>
    <row r="2765">
      <c r="N2765" s="7"/>
    </row>
    <row r="2766">
      <c r="N2766" s="7"/>
    </row>
    <row r="2767">
      <c r="N2767" s="7"/>
    </row>
    <row r="2768">
      <c r="N2768" s="7"/>
    </row>
    <row r="2769">
      <c r="N2769" s="7"/>
    </row>
    <row r="2770">
      <c r="N2770" s="7"/>
    </row>
    <row r="2771">
      <c r="N2771" s="7"/>
    </row>
    <row r="2772">
      <c r="N2772" s="7"/>
    </row>
    <row r="2773">
      <c r="N2773" s="7"/>
    </row>
    <row r="2774">
      <c r="N2774" s="7"/>
    </row>
    <row r="2775">
      <c r="N2775" s="7"/>
    </row>
    <row r="2776">
      <c r="N2776" s="7"/>
    </row>
    <row r="2777">
      <c r="N2777" s="7"/>
    </row>
    <row r="2778">
      <c r="N2778" s="7"/>
    </row>
    <row r="2779">
      <c r="N2779" s="7"/>
    </row>
    <row r="2780">
      <c r="N2780" s="7"/>
    </row>
    <row r="2781">
      <c r="N2781" s="7"/>
    </row>
    <row r="2782">
      <c r="N2782" s="7"/>
    </row>
    <row r="2783">
      <c r="N2783" s="7"/>
    </row>
    <row r="2784">
      <c r="N2784" s="7"/>
    </row>
    <row r="2785">
      <c r="N2785" s="7"/>
    </row>
    <row r="2786">
      <c r="N2786" s="7"/>
    </row>
    <row r="2787">
      <c r="N2787" s="7"/>
    </row>
    <row r="2788">
      <c r="N2788" s="7"/>
    </row>
    <row r="2789">
      <c r="N2789" s="7"/>
    </row>
    <row r="2790">
      <c r="N2790" s="7"/>
    </row>
    <row r="2791">
      <c r="N2791" s="7"/>
    </row>
    <row r="2792">
      <c r="N2792" s="7"/>
    </row>
    <row r="2793">
      <c r="N2793" s="7"/>
    </row>
    <row r="2794">
      <c r="N2794" s="7"/>
    </row>
    <row r="2795">
      <c r="N2795" s="7"/>
    </row>
    <row r="2796">
      <c r="N2796" s="7"/>
    </row>
    <row r="2797">
      <c r="N2797" s="7"/>
    </row>
    <row r="2798">
      <c r="N2798" s="7"/>
    </row>
    <row r="2799">
      <c r="N2799" s="7"/>
    </row>
    <row r="2800">
      <c r="N2800" s="7"/>
    </row>
    <row r="2801">
      <c r="N2801" s="7"/>
    </row>
    <row r="2802">
      <c r="N2802" s="7"/>
    </row>
    <row r="2803">
      <c r="N2803" s="7"/>
    </row>
    <row r="2804">
      <c r="N2804" s="7"/>
    </row>
    <row r="2805">
      <c r="N2805" s="7"/>
    </row>
    <row r="2806">
      <c r="N2806" s="7"/>
    </row>
    <row r="2807">
      <c r="N2807" s="7"/>
    </row>
    <row r="2808">
      <c r="N2808" s="7"/>
    </row>
    <row r="2809">
      <c r="N2809" s="7"/>
    </row>
    <row r="2810">
      <c r="N2810" s="7"/>
    </row>
    <row r="2811">
      <c r="N2811" s="7"/>
    </row>
    <row r="2812">
      <c r="N2812" s="7"/>
    </row>
    <row r="2813">
      <c r="N2813" s="7"/>
    </row>
    <row r="2814">
      <c r="N2814" s="7"/>
    </row>
    <row r="2815">
      <c r="N2815" s="7"/>
    </row>
    <row r="2816">
      <c r="N2816" s="7"/>
    </row>
    <row r="2817">
      <c r="N2817" s="7"/>
    </row>
    <row r="2818">
      <c r="N2818" s="7"/>
    </row>
    <row r="2819">
      <c r="N2819" s="7"/>
    </row>
    <row r="2820">
      <c r="N2820" s="7"/>
    </row>
    <row r="2821">
      <c r="N2821" s="7"/>
    </row>
    <row r="2822">
      <c r="N2822" s="7"/>
    </row>
    <row r="2823">
      <c r="N2823" s="7"/>
    </row>
    <row r="2824">
      <c r="N2824" s="7"/>
    </row>
    <row r="2825">
      <c r="N2825" s="7"/>
    </row>
    <row r="2826">
      <c r="N2826" s="7"/>
    </row>
    <row r="2827">
      <c r="N2827" s="7"/>
    </row>
    <row r="2828">
      <c r="N2828" s="7"/>
    </row>
    <row r="2829">
      <c r="N2829" s="7"/>
    </row>
    <row r="2830">
      <c r="N2830" s="7"/>
    </row>
    <row r="2831">
      <c r="N2831" s="7"/>
    </row>
    <row r="2832">
      <c r="N2832" s="7"/>
    </row>
    <row r="2833">
      <c r="N2833" s="7"/>
    </row>
    <row r="2834">
      <c r="N2834" s="7"/>
    </row>
    <row r="2835">
      <c r="N2835" s="7"/>
    </row>
    <row r="2836">
      <c r="N2836" s="7"/>
    </row>
    <row r="2837">
      <c r="N2837" s="7"/>
    </row>
    <row r="2838">
      <c r="N2838" s="7"/>
    </row>
    <row r="2839">
      <c r="N2839" s="7"/>
    </row>
    <row r="2840">
      <c r="N2840" s="7"/>
    </row>
    <row r="2841">
      <c r="N2841" s="7"/>
    </row>
    <row r="2842">
      <c r="N2842" s="7"/>
    </row>
    <row r="2843">
      <c r="N2843" s="7"/>
    </row>
    <row r="2844">
      <c r="N2844" s="7"/>
    </row>
    <row r="2845">
      <c r="N2845" s="7"/>
    </row>
    <row r="2846">
      <c r="N2846" s="7"/>
    </row>
    <row r="2847">
      <c r="N2847" s="7"/>
    </row>
    <row r="2848">
      <c r="N2848" s="7"/>
    </row>
    <row r="2849">
      <c r="N2849" s="7"/>
    </row>
    <row r="2850">
      <c r="N2850" s="7"/>
    </row>
    <row r="2851">
      <c r="N2851" s="7"/>
    </row>
    <row r="2852">
      <c r="N2852" s="7"/>
    </row>
    <row r="2853">
      <c r="N2853" s="7"/>
    </row>
    <row r="2854">
      <c r="N2854" s="7"/>
    </row>
    <row r="2855">
      <c r="N2855" s="7"/>
    </row>
    <row r="2856">
      <c r="N2856" s="7"/>
    </row>
    <row r="2857">
      <c r="N2857" s="7"/>
    </row>
    <row r="2858">
      <c r="N2858" s="7"/>
    </row>
    <row r="2859">
      <c r="N2859" s="7"/>
    </row>
    <row r="2860">
      <c r="N2860" s="7"/>
    </row>
    <row r="2861">
      <c r="N2861" s="7"/>
    </row>
    <row r="2862">
      <c r="N2862" s="7"/>
    </row>
    <row r="2863">
      <c r="N2863" s="7"/>
    </row>
    <row r="2864">
      <c r="N2864" s="7"/>
    </row>
    <row r="2865">
      <c r="N2865" s="7"/>
    </row>
    <row r="2866">
      <c r="N2866" s="7"/>
    </row>
    <row r="2867">
      <c r="N2867" s="7"/>
    </row>
    <row r="2868">
      <c r="N2868" s="7"/>
    </row>
    <row r="2869">
      <c r="N2869" s="7"/>
    </row>
    <row r="2870">
      <c r="N2870" s="7"/>
    </row>
    <row r="2871">
      <c r="N2871" s="7"/>
    </row>
    <row r="2872">
      <c r="N2872" s="7"/>
    </row>
    <row r="2873">
      <c r="N2873" s="7"/>
    </row>
    <row r="2874">
      <c r="N2874" s="7"/>
    </row>
    <row r="2875">
      <c r="N2875" s="7"/>
    </row>
    <row r="2876">
      <c r="N2876" s="7"/>
    </row>
    <row r="2877">
      <c r="N2877" s="7"/>
    </row>
    <row r="2878">
      <c r="N2878" s="7"/>
    </row>
    <row r="2879">
      <c r="N2879" s="7"/>
    </row>
    <row r="2880">
      <c r="N2880" s="7"/>
    </row>
    <row r="2881">
      <c r="N2881" s="7"/>
    </row>
    <row r="2882">
      <c r="N2882" s="7"/>
    </row>
    <row r="2883">
      <c r="N2883" s="7"/>
    </row>
    <row r="2884">
      <c r="N2884" s="7"/>
    </row>
    <row r="2885">
      <c r="N2885" s="7"/>
    </row>
    <row r="2886">
      <c r="N2886" s="7"/>
    </row>
    <row r="2887">
      <c r="N2887" s="7"/>
    </row>
    <row r="2888">
      <c r="N2888" s="7"/>
    </row>
    <row r="2889">
      <c r="N2889" s="7"/>
    </row>
    <row r="2890">
      <c r="N2890" s="7"/>
    </row>
    <row r="2891">
      <c r="N2891" s="7"/>
    </row>
    <row r="2892">
      <c r="N2892" s="7"/>
    </row>
    <row r="2893">
      <c r="N2893" s="7"/>
    </row>
    <row r="2894">
      <c r="N2894" s="7"/>
    </row>
    <row r="2895">
      <c r="N2895" s="7"/>
    </row>
    <row r="2896">
      <c r="N2896" s="7"/>
    </row>
    <row r="2897">
      <c r="N2897" s="7"/>
    </row>
    <row r="2898">
      <c r="I2898" s="9"/>
      <c r="N2898" s="7"/>
    </row>
    <row r="2899">
      <c r="I2899" s="9"/>
      <c r="N2899" s="7"/>
    </row>
    <row r="2900">
      <c r="N2900" s="7"/>
    </row>
    <row r="2901">
      <c r="N2901" s="7"/>
    </row>
    <row r="2902">
      <c r="N2902" s="7"/>
    </row>
    <row r="2903">
      <c r="N2903" s="7"/>
    </row>
    <row r="2904">
      <c r="N2904" s="7"/>
    </row>
    <row r="2905">
      <c r="N2905" s="7"/>
    </row>
    <row r="2906">
      <c r="N2906" s="7"/>
    </row>
    <row r="2907">
      <c r="N2907" s="7"/>
    </row>
    <row r="2908">
      <c r="N2908" s="7"/>
    </row>
    <row r="2909">
      <c r="N2909" s="7"/>
    </row>
    <row r="2910">
      <c r="N2910" s="7"/>
    </row>
    <row r="2911">
      <c r="N2911" s="7"/>
    </row>
    <row r="2912">
      <c r="N2912" s="7"/>
    </row>
    <row r="2913">
      <c r="N2913" s="7"/>
    </row>
    <row r="2914">
      <c r="N2914" s="7"/>
    </row>
    <row r="2915">
      <c r="N2915" s="7"/>
    </row>
    <row r="2916">
      <c r="N2916" s="7"/>
    </row>
    <row r="2917">
      <c r="N2917" s="7"/>
    </row>
    <row r="2918">
      <c r="N2918" s="7"/>
    </row>
    <row r="2919">
      <c r="N2919" s="7"/>
    </row>
    <row r="2920">
      <c r="N2920" s="7"/>
    </row>
    <row r="2921">
      <c r="N2921" s="7"/>
    </row>
    <row r="2922">
      <c r="N2922" s="7"/>
    </row>
    <row r="2923">
      <c r="N2923" s="7"/>
    </row>
    <row r="2924">
      <c r="N2924" s="7"/>
    </row>
    <row r="2925">
      <c r="N2925" s="7"/>
    </row>
    <row r="2926">
      <c r="N2926" s="7"/>
    </row>
    <row r="2927">
      <c r="N2927" s="7"/>
    </row>
    <row r="2928">
      <c r="N2928" s="7"/>
    </row>
    <row r="2929">
      <c r="N2929" s="7"/>
    </row>
    <row r="2930">
      <c r="N2930" s="7"/>
    </row>
    <row r="2931">
      <c r="N2931" s="7"/>
    </row>
    <row r="2932">
      <c r="N2932" s="7"/>
    </row>
    <row r="2933">
      <c r="N2933" s="7"/>
    </row>
    <row r="2934">
      <c r="N2934" s="7"/>
    </row>
    <row r="2935">
      <c r="N2935" s="7"/>
    </row>
    <row r="2936">
      <c r="N2936" s="7"/>
    </row>
    <row r="2937">
      <c r="N2937" s="7"/>
    </row>
    <row r="2938">
      <c r="N2938" s="7"/>
    </row>
    <row r="2939">
      <c r="N2939" s="7"/>
    </row>
    <row r="2940">
      <c r="N2940" s="7"/>
    </row>
    <row r="2941">
      <c r="N2941" s="7"/>
    </row>
    <row r="2942">
      <c r="N2942" s="7"/>
    </row>
    <row r="2943">
      <c r="N2943" s="7"/>
    </row>
    <row r="2944">
      <c r="N2944" s="7"/>
    </row>
    <row r="2945">
      <c r="N2945" s="7"/>
    </row>
    <row r="2946">
      <c r="N2946" s="7"/>
    </row>
    <row r="2947">
      <c r="N2947" s="7"/>
    </row>
    <row r="2948">
      <c r="N2948" s="7"/>
    </row>
    <row r="2949">
      <c r="N2949" s="7"/>
    </row>
    <row r="2950">
      <c r="N2950" s="7"/>
    </row>
    <row r="2951">
      <c r="N2951" s="7"/>
    </row>
    <row r="2952">
      <c r="N2952" s="7"/>
    </row>
    <row r="2953">
      <c r="N2953" s="7"/>
    </row>
    <row r="2954">
      <c r="N2954" s="7"/>
    </row>
    <row r="2955">
      <c r="N2955" s="7"/>
    </row>
    <row r="2956">
      <c r="N2956" s="7"/>
    </row>
    <row r="2957">
      <c r="N2957" s="7"/>
    </row>
    <row r="2958">
      <c r="N2958" s="7"/>
    </row>
    <row r="2959">
      <c r="N2959" s="7"/>
    </row>
    <row r="2960">
      <c r="N2960" s="7"/>
    </row>
    <row r="2961">
      <c r="N2961" s="7"/>
    </row>
    <row r="2962">
      <c r="N2962" s="7"/>
    </row>
    <row r="2963">
      <c r="N2963" s="7"/>
    </row>
    <row r="2964">
      <c r="N2964" s="7"/>
    </row>
    <row r="2965">
      <c r="N2965" s="7"/>
    </row>
    <row r="2966">
      <c r="N2966" s="7"/>
    </row>
    <row r="2967">
      <c r="N2967" s="7"/>
    </row>
    <row r="2968">
      <c r="N2968" s="7"/>
    </row>
    <row r="2969">
      <c r="N2969" s="7"/>
    </row>
    <row r="2970">
      <c r="N2970" s="7"/>
    </row>
    <row r="2971">
      <c r="N2971" s="7"/>
    </row>
    <row r="2972">
      <c r="N2972" s="7"/>
    </row>
    <row r="2973">
      <c r="N2973" s="7"/>
    </row>
    <row r="2974">
      <c r="N2974" s="7"/>
    </row>
    <row r="2975">
      <c r="N2975" s="7"/>
    </row>
    <row r="2976">
      <c r="N2976" s="7"/>
    </row>
    <row r="2977">
      <c r="N2977" s="7"/>
    </row>
    <row r="2978">
      <c r="N2978" s="7"/>
    </row>
    <row r="2979">
      <c r="N2979" s="7"/>
    </row>
    <row r="2980">
      <c r="N2980" s="7"/>
    </row>
    <row r="2981">
      <c r="I2981" s="9"/>
      <c r="N2981" s="7"/>
    </row>
    <row r="2982">
      <c r="N2982" s="7"/>
    </row>
    <row r="2983">
      <c r="N2983" s="7"/>
    </row>
    <row r="2984">
      <c r="N2984" s="7"/>
    </row>
    <row r="2985">
      <c r="N2985" s="7"/>
    </row>
    <row r="2986">
      <c r="N2986" s="7"/>
    </row>
    <row r="2987">
      <c r="N2987" s="7"/>
    </row>
    <row r="2988">
      <c r="N2988" s="7"/>
    </row>
    <row r="2989">
      <c r="N2989" s="7"/>
    </row>
    <row r="2990">
      <c r="N2990" s="7"/>
    </row>
    <row r="2991">
      <c r="N2991" s="7"/>
    </row>
    <row r="2992">
      <c r="N2992" s="7"/>
    </row>
    <row r="2993">
      <c r="N2993" s="7"/>
    </row>
    <row r="2994">
      <c r="N2994" s="7"/>
    </row>
    <row r="2995">
      <c r="N2995" s="7"/>
    </row>
    <row r="2996">
      <c r="N2996" s="7"/>
    </row>
    <row r="2997">
      <c r="N2997" s="7"/>
    </row>
    <row r="2998">
      <c r="N2998" s="7"/>
    </row>
    <row r="2999">
      <c r="N2999" s="7"/>
    </row>
    <row r="3000">
      <c r="N3000" s="7"/>
    </row>
    <row r="3001">
      <c r="N3001" s="7"/>
    </row>
    <row r="3002">
      <c r="N3002" s="7"/>
    </row>
    <row r="3003">
      <c r="N3003" s="7"/>
    </row>
    <row r="3004">
      <c r="N3004" s="7"/>
    </row>
    <row r="3005">
      <c r="N3005" s="7"/>
    </row>
    <row r="3006">
      <c r="N3006" s="7"/>
    </row>
    <row r="3007">
      <c r="N3007" s="7"/>
    </row>
    <row r="3008">
      <c r="N3008" s="7"/>
    </row>
    <row r="3009">
      <c r="N3009" s="7"/>
    </row>
    <row r="3010">
      <c r="N3010" s="7"/>
    </row>
    <row r="3011">
      <c r="N3011" s="7"/>
    </row>
    <row r="3012">
      <c r="N3012" s="7"/>
    </row>
    <row r="3013">
      <c r="N3013" s="7"/>
    </row>
    <row r="3014">
      <c r="N3014" s="7"/>
    </row>
    <row r="3015">
      <c r="N3015" s="7"/>
    </row>
    <row r="3016">
      <c r="N3016" s="7"/>
    </row>
    <row r="3017">
      <c r="N3017" s="7"/>
    </row>
    <row r="3018">
      <c r="N3018" s="7"/>
    </row>
    <row r="3019">
      <c r="N3019" s="7"/>
    </row>
    <row r="3020">
      <c r="N3020" s="7"/>
    </row>
    <row r="3021">
      <c r="N3021" s="7"/>
    </row>
    <row r="3022">
      <c r="N3022" s="7"/>
    </row>
    <row r="3023">
      <c r="N3023" s="7"/>
    </row>
    <row r="3024">
      <c r="N3024" s="7"/>
    </row>
    <row r="3025">
      <c r="N3025" s="7"/>
    </row>
    <row r="3026">
      <c r="N3026" s="7"/>
    </row>
    <row r="3027">
      <c r="N3027" s="7"/>
    </row>
    <row r="3028">
      <c r="N3028" s="7"/>
    </row>
    <row r="3029">
      <c r="N3029" s="7"/>
    </row>
    <row r="3030">
      <c r="N3030" s="7"/>
    </row>
    <row r="3031">
      <c r="N3031" s="7"/>
    </row>
    <row r="3032">
      <c r="N3032" s="7"/>
    </row>
    <row r="3033">
      <c r="N3033" s="7"/>
    </row>
    <row r="3034">
      <c r="N3034" s="7"/>
    </row>
    <row r="3035">
      <c r="N3035" s="7"/>
    </row>
    <row r="3036">
      <c r="N3036" s="7"/>
    </row>
    <row r="3037">
      <c r="N3037" s="7"/>
    </row>
    <row r="3038">
      <c r="N3038" s="7"/>
    </row>
    <row r="3039">
      <c r="N3039" s="7"/>
    </row>
    <row r="3040">
      <c r="N3040" s="7"/>
    </row>
    <row r="3041">
      <c r="N3041" s="7"/>
    </row>
    <row r="3042">
      <c r="N3042" s="7"/>
    </row>
    <row r="3043">
      <c r="I3043" s="9"/>
      <c r="N3043" s="7"/>
    </row>
    <row r="3044">
      <c r="N3044" s="7"/>
    </row>
    <row r="3045">
      <c r="N3045" s="7"/>
    </row>
    <row r="3046">
      <c r="N3046" s="7"/>
    </row>
    <row r="3047">
      <c r="N3047" s="7"/>
    </row>
    <row r="3048">
      <c r="N3048" s="7"/>
    </row>
    <row r="3049">
      <c r="N3049" s="7"/>
    </row>
    <row r="3050">
      <c r="N3050" s="7"/>
    </row>
    <row r="3051">
      <c r="N3051" s="7"/>
    </row>
    <row r="3052">
      <c r="N3052" s="7"/>
    </row>
    <row r="3053">
      <c r="N3053" s="7"/>
    </row>
    <row r="3054">
      <c r="N3054" s="7"/>
    </row>
    <row r="3055">
      <c r="N3055" s="7"/>
    </row>
    <row r="3056">
      <c r="N3056" s="7"/>
    </row>
    <row r="3057">
      <c r="N3057" s="7"/>
    </row>
    <row r="3058">
      <c r="N3058" s="7"/>
    </row>
    <row r="3059">
      <c r="N3059" s="7"/>
    </row>
    <row r="3060">
      <c r="N3060" s="7"/>
    </row>
    <row r="3061">
      <c r="N3061" s="7"/>
    </row>
    <row r="3062">
      <c r="I3062" s="9"/>
      <c r="N3062" s="7"/>
    </row>
    <row r="3063">
      <c r="N3063" s="7"/>
    </row>
    <row r="3064">
      <c r="N3064" s="7"/>
    </row>
    <row r="3065">
      <c r="N3065" s="7"/>
    </row>
    <row r="3066">
      <c r="N3066" s="7"/>
    </row>
    <row r="3067">
      <c r="N3067" s="7"/>
    </row>
    <row r="3068">
      <c r="N3068" s="7"/>
    </row>
    <row r="3069">
      <c r="N3069" s="7"/>
    </row>
    <row r="3070">
      <c r="N3070" s="7"/>
    </row>
    <row r="3071">
      <c r="N3071" s="7"/>
    </row>
    <row r="3072">
      <c r="N3072" s="7"/>
    </row>
    <row r="3073">
      <c r="N3073" s="7"/>
    </row>
    <row r="3074">
      <c r="N3074" s="7"/>
    </row>
    <row r="3075">
      <c r="N3075" s="7"/>
    </row>
    <row r="3076">
      <c r="N3076" s="7"/>
    </row>
    <row r="3077">
      <c r="N3077" s="7"/>
    </row>
    <row r="3078">
      <c r="N3078" s="7"/>
    </row>
    <row r="3079">
      <c r="N3079" s="7"/>
    </row>
    <row r="3080">
      <c r="N3080" s="7"/>
    </row>
    <row r="3081">
      <c r="N3081" s="7"/>
    </row>
    <row r="3082">
      <c r="N3082" s="7"/>
    </row>
    <row r="3083">
      <c r="N3083" s="7"/>
    </row>
    <row r="3084">
      <c r="N3084" s="7"/>
    </row>
    <row r="3085">
      <c r="N3085" s="7"/>
    </row>
    <row r="3086">
      <c r="N3086" s="7"/>
    </row>
    <row r="3087">
      <c r="N3087" s="7"/>
    </row>
    <row r="3088">
      <c r="N3088" s="7"/>
    </row>
    <row r="3089">
      <c r="N3089" s="7"/>
    </row>
    <row r="3090">
      <c r="N3090" s="7"/>
    </row>
    <row r="3091">
      <c r="N3091" s="7"/>
    </row>
    <row r="3092">
      <c r="N3092" s="7"/>
    </row>
    <row r="3093">
      <c r="N3093" s="7"/>
    </row>
    <row r="3094">
      <c r="N3094" s="7"/>
    </row>
    <row r="3095">
      <c r="N3095" s="7"/>
    </row>
    <row r="3096">
      <c r="N3096" s="7"/>
    </row>
    <row r="3097">
      <c r="N3097" s="7"/>
    </row>
    <row r="3098">
      <c r="N3098" s="7"/>
    </row>
    <row r="3099">
      <c r="N3099" s="7"/>
    </row>
    <row r="3100">
      <c r="N3100" s="7"/>
    </row>
    <row r="3101">
      <c r="N3101" s="7"/>
    </row>
    <row r="3102">
      <c r="N3102" s="7"/>
    </row>
    <row r="3103">
      <c r="N3103" s="7"/>
    </row>
    <row r="3104">
      <c r="N3104" s="7"/>
    </row>
    <row r="3105">
      <c r="N3105" s="7"/>
    </row>
    <row r="3106">
      <c r="N3106" s="7"/>
    </row>
    <row r="3107">
      <c r="N3107" s="7"/>
    </row>
    <row r="3108">
      <c r="N3108" s="7"/>
    </row>
    <row r="3109">
      <c r="N3109" s="7"/>
    </row>
    <row r="3110">
      <c r="N3110" s="7"/>
    </row>
    <row r="3111">
      <c r="N3111" s="7"/>
    </row>
    <row r="3112">
      <c r="N3112" s="7"/>
    </row>
    <row r="3113">
      <c r="N3113" s="7"/>
    </row>
    <row r="3114">
      <c r="N3114" s="7"/>
    </row>
    <row r="3115">
      <c r="N3115" s="7"/>
    </row>
    <row r="3116">
      <c r="N3116" s="7"/>
    </row>
    <row r="3117">
      <c r="N3117" s="7"/>
    </row>
    <row r="3118">
      <c r="N3118" s="7"/>
    </row>
    <row r="3119">
      <c r="N3119" s="7"/>
    </row>
    <row r="3120">
      <c r="N3120" s="7"/>
    </row>
    <row r="3121">
      <c r="N3121" s="7"/>
    </row>
    <row r="3122">
      <c r="N3122" s="7"/>
    </row>
    <row r="3123">
      <c r="N3123" s="7"/>
    </row>
    <row r="3124">
      <c r="N3124" s="7"/>
    </row>
    <row r="3125">
      <c r="N3125" s="7"/>
    </row>
    <row r="3126">
      <c r="N3126" s="7"/>
    </row>
    <row r="3127">
      <c r="N3127" s="7"/>
    </row>
    <row r="3128">
      <c r="N3128" s="7"/>
    </row>
    <row r="3129">
      <c r="N3129" s="7"/>
    </row>
    <row r="3130">
      <c r="N3130" s="7"/>
    </row>
    <row r="3131">
      <c r="N3131" s="7"/>
    </row>
    <row r="3132">
      <c r="N3132" s="7"/>
    </row>
    <row r="3133">
      <c r="N3133" s="7"/>
    </row>
    <row r="3134">
      <c r="N3134" s="7"/>
    </row>
    <row r="3135">
      <c r="N3135" s="7"/>
    </row>
    <row r="3136">
      <c r="N3136" s="7"/>
    </row>
    <row r="3137">
      <c r="N3137" s="7"/>
    </row>
    <row r="3138">
      <c r="N3138" s="7"/>
    </row>
    <row r="3139">
      <c r="I3139" s="9"/>
      <c r="N3139" s="7"/>
    </row>
    <row r="3140">
      <c r="N3140" s="7"/>
    </row>
    <row r="3141">
      <c r="N3141" s="7"/>
    </row>
    <row r="3142">
      <c r="N3142" s="7"/>
    </row>
    <row r="3143">
      <c r="N3143" s="7"/>
    </row>
    <row r="3144">
      <c r="N3144" s="7"/>
    </row>
    <row r="3145">
      <c r="N3145" s="7"/>
    </row>
    <row r="3146">
      <c r="N3146" s="7"/>
    </row>
    <row r="3147">
      <c r="N3147" s="7"/>
    </row>
    <row r="3148">
      <c r="N3148" s="7"/>
    </row>
    <row r="3149">
      <c r="N3149" s="7"/>
    </row>
    <row r="3150">
      <c r="N3150" s="7"/>
    </row>
    <row r="3151">
      <c r="N3151" s="7"/>
    </row>
    <row r="3152">
      <c r="N3152" s="7"/>
    </row>
    <row r="3153">
      <c r="N3153" s="7"/>
    </row>
    <row r="3154">
      <c r="N3154" s="7"/>
    </row>
    <row r="3155">
      <c r="N3155" s="7"/>
    </row>
    <row r="3156">
      <c r="N3156" s="7"/>
    </row>
    <row r="3157">
      <c r="N3157" s="7"/>
    </row>
    <row r="3158">
      <c r="N3158" s="7"/>
    </row>
    <row r="3159">
      <c r="N3159" s="7"/>
    </row>
    <row r="3160">
      <c r="N3160" s="7"/>
    </row>
    <row r="3161">
      <c r="N3161" s="7"/>
    </row>
    <row r="3162">
      <c r="N3162" s="7"/>
    </row>
    <row r="3163">
      <c r="N3163" s="7"/>
    </row>
    <row r="3164">
      <c r="N3164" s="7"/>
    </row>
    <row r="3165">
      <c r="N3165" s="7"/>
    </row>
    <row r="3166">
      <c r="N3166" s="7"/>
    </row>
    <row r="3167">
      <c r="N3167" s="7"/>
    </row>
    <row r="3168">
      <c r="N3168" s="7"/>
    </row>
    <row r="3169">
      <c r="N3169" s="7"/>
    </row>
    <row r="3170">
      <c r="N3170" s="7"/>
    </row>
    <row r="3171">
      <c r="N3171" s="7"/>
    </row>
    <row r="3172">
      <c r="N3172" s="7"/>
    </row>
    <row r="3173">
      <c r="N3173" s="7"/>
    </row>
    <row r="3174">
      <c r="N3174" s="7"/>
    </row>
    <row r="3175">
      <c r="N3175" s="7"/>
    </row>
    <row r="3176">
      <c r="N3176" s="7"/>
    </row>
    <row r="3177">
      <c r="N3177" s="7"/>
    </row>
    <row r="3178">
      <c r="N3178" s="7"/>
    </row>
    <row r="3179">
      <c r="N3179" s="7"/>
    </row>
    <row r="3180">
      <c r="N3180" s="7"/>
    </row>
    <row r="3181">
      <c r="N3181" s="7"/>
    </row>
    <row r="3182">
      <c r="N3182" s="7"/>
    </row>
    <row r="3183">
      <c r="N3183" s="7"/>
    </row>
    <row r="3184">
      <c r="N3184" s="7"/>
    </row>
    <row r="3185">
      <c r="N3185" s="7"/>
    </row>
    <row r="3186">
      <c r="N3186" s="7"/>
    </row>
    <row r="3187">
      <c r="N3187" s="7"/>
    </row>
    <row r="3188">
      <c r="N3188" s="7"/>
    </row>
    <row r="3189">
      <c r="N3189" s="7"/>
    </row>
    <row r="3190">
      <c r="N3190" s="7"/>
    </row>
    <row r="3191">
      <c r="N3191" s="7"/>
    </row>
    <row r="3192">
      <c r="N3192" s="7"/>
    </row>
    <row r="3193">
      <c r="N3193" s="7"/>
    </row>
    <row r="3194">
      <c r="N3194" s="7"/>
    </row>
    <row r="3195">
      <c r="N3195" s="7"/>
    </row>
    <row r="3196">
      <c r="N3196" s="7"/>
    </row>
    <row r="3197">
      <c r="N3197" s="7"/>
    </row>
    <row r="3198">
      <c r="N3198" s="7"/>
    </row>
    <row r="3199">
      <c r="N3199" s="7"/>
    </row>
    <row r="3200">
      <c r="N3200" s="7"/>
    </row>
    <row r="3201">
      <c r="N3201" s="7"/>
    </row>
    <row r="3202">
      <c r="N3202" s="7"/>
    </row>
    <row r="3203">
      <c r="N3203" s="7"/>
    </row>
    <row r="3204">
      <c r="N3204" s="7"/>
    </row>
    <row r="3205">
      <c r="N3205" s="7"/>
    </row>
    <row r="3206">
      <c r="N3206" s="7"/>
    </row>
    <row r="3207">
      <c r="N3207" s="7"/>
    </row>
    <row r="3208">
      <c r="N3208" s="7"/>
    </row>
    <row r="3209">
      <c r="N3209" s="7"/>
    </row>
    <row r="3210">
      <c r="N3210" s="7"/>
    </row>
    <row r="3211">
      <c r="I3211" s="9"/>
      <c r="N3211" s="7"/>
    </row>
    <row r="3212">
      <c r="N3212" s="7"/>
    </row>
    <row r="3213">
      <c r="N3213" s="7"/>
    </row>
    <row r="3214">
      <c r="N3214" s="7"/>
    </row>
    <row r="3215">
      <c r="N3215" s="7"/>
    </row>
    <row r="3216">
      <c r="N3216" s="7"/>
    </row>
    <row r="3217">
      <c r="N3217" s="7"/>
    </row>
    <row r="3218">
      <c r="N3218" s="7"/>
    </row>
    <row r="3219">
      <c r="N3219" s="7"/>
    </row>
    <row r="3220">
      <c r="N3220" s="7"/>
    </row>
    <row r="3221">
      <c r="N3221" s="7"/>
    </row>
    <row r="3222">
      <c r="N3222" s="7"/>
    </row>
    <row r="3223">
      <c r="N3223" s="7"/>
    </row>
    <row r="3224">
      <c r="N3224" s="7"/>
    </row>
    <row r="3225">
      <c r="N3225" s="7"/>
    </row>
    <row r="3226">
      <c r="N3226" s="7"/>
    </row>
    <row r="3227">
      <c r="N3227" s="7"/>
    </row>
    <row r="3228">
      <c r="N3228" s="7"/>
    </row>
    <row r="3229">
      <c r="N3229" s="7"/>
    </row>
    <row r="3230">
      <c r="N3230" s="7"/>
    </row>
    <row r="3231">
      <c r="N3231" s="7"/>
    </row>
    <row r="3232">
      <c r="N3232" s="7"/>
    </row>
    <row r="3233">
      <c r="N3233" s="7"/>
    </row>
    <row r="3234">
      <c r="N3234" s="7"/>
    </row>
    <row r="3235">
      <c r="N3235" s="7"/>
    </row>
    <row r="3236">
      <c r="N3236" s="7"/>
    </row>
    <row r="3237">
      <c r="N3237" s="7"/>
    </row>
    <row r="3238">
      <c r="N3238" s="7"/>
    </row>
    <row r="3239">
      <c r="N3239" s="7"/>
    </row>
    <row r="3240">
      <c r="N3240" s="7"/>
    </row>
    <row r="3241">
      <c r="N3241" s="7"/>
    </row>
    <row r="3242">
      <c r="N3242" s="7"/>
    </row>
    <row r="3243">
      <c r="N3243" s="7"/>
    </row>
    <row r="3244">
      <c r="N3244" s="7"/>
    </row>
    <row r="3245">
      <c r="N3245" s="7"/>
    </row>
    <row r="3246">
      <c r="N3246" s="7"/>
    </row>
    <row r="3247">
      <c r="N3247" s="7"/>
    </row>
    <row r="3248">
      <c r="N3248" s="7"/>
    </row>
    <row r="3249">
      <c r="N3249" s="7"/>
    </row>
    <row r="3250">
      <c r="N3250" s="7"/>
    </row>
    <row r="3251">
      <c r="N3251" s="7"/>
    </row>
    <row r="3252">
      <c r="N3252" s="7"/>
    </row>
    <row r="3253">
      <c r="N3253" s="7"/>
    </row>
    <row r="3254">
      <c r="N3254" s="7"/>
    </row>
    <row r="3255">
      <c r="N3255" s="7"/>
    </row>
    <row r="3256">
      <c r="N3256" s="7"/>
    </row>
    <row r="3257">
      <c r="N3257" s="7"/>
    </row>
    <row r="3258">
      <c r="N3258" s="7"/>
    </row>
    <row r="3259">
      <c r="N3259" s="7"/>
    </row>
    <row r="3260">
      <c r="N3260" s="7"/>
    </row>
    <row r="3261">
      <c r="N3261" s="7"/>
    </row>
    <row r="3262">
      <c r="N3262" s="7"/>
    </row>
    <row r="3263">
      <c r="N3263" s="7"/>
    </row>
    <row r="3264">
      <c r="N3264" s="7"/>
    </row>
    <row r="3265">
      <c r="N3265" s="7"/>
    </row>
    <row r="3266">
      <c r="N3266" s="7"/>
    </row>
    <row r="3267">
      <c r="N3267" s="7"/>
    </row>
    <row r="3268">
      <c r="N3268" s="7"/>
    </row>
    <row r="3269">
      <c r="N3269" s="7"/>
    </row>
    <row r="3270">
      <c r="N3270" s="7"/>
    </row>
    <row r="3271">
      <c r="N3271" s="7"/>
    </row>
    <row r="3272">
      <c r="N3272" s="7"/>
    </row>
    <row r="3273">
      <c r="N3273" s="7"/>
    </row>
    <row r="3274">
      <c r="N3274" s="7"/>
    </row>
    <row r="3275">
      <c r="N3275" s="7"/>
    </row>
    <row r="3276">
      <c r="N3276" s="7"/>
    </row>
    <row r="3277">
      <c r="N3277" s="7"/>
    </row>
    <row r="3278">
      <c r="N3278" s="7"/>
    </row>
    <row r="3279">
      <c r="N3279" s="7"/>
    </row>
    <row r="3280">
      <c r="N3280" s="7"/>
    </row>
    <row r="3281">
      <c r="N3281" s="7"/>
    </row>
    <row r="3282">
      <c r="N3282" s="7"/>
    </row>
    <row r="3283">
      <c r="N3283" s="7"/>
    </row>
    <row r="3284">
      <c r="N3284" s="7"/>
    </row>
    <row r="3285">
      <c r="N3285" s="7"/>
    </row>
    <row r="3286">
      <c r="N3286" s="7"/>
    </row>
    <row r="3287">
      <c r="N3287" s="7"/>
    </row>
    <row r="3288">
      <c r="N3288" s="7"/>
    </row>
    <row r="3289">
      <c r="N3289" s="7"/>
    </row>
    <row r="3290">
      <c r="N3290" s="7"/>
    </row>
    <row r="3291">
      <c r="N3291" s="7"/>
    </row>
    <row r="3292">
      <c r="N3292" s="7"/>
    </row>
    <row r="3293">
      <c r="N3293" s="7"/>
    </row>
    <row r="3294">
      <c r="N3294" s="7"/>
    </row>
    <row r="3295">
      <c r="N3295" s="7"/>
    </row>
    <row r="3296">
      <c r="N3296" s="7"/>
    </row>
    <row r="3297">
      <c r="N3297" s="7"/>
    </row>
    <row r="3298">
      <c r="N3298" s="7"/>
    </row>
    <row r="3299">
      <c r="N3299" s="7"/>
    </row>
    <row r="3300">
      <c r="N3300" s="7"/>
    </row>
    <row r="3301">
      <c r="N3301" s="7"/>
    </row>
    <row r="3302">
      <c r="N3302" s="7"/>
    </row>
    <row r="3303">
      <c r="N3303" s="7"/>
    </row>
    <row r="3304">
      <c r="N3304" s="7"/>
    </row>
    <row r="3305">
      <c r="N3305" s="7"/>
    </row>
    <row r="3306">
      <c r="N3306" s="7"/>
    </row>
    <row r="3307">
      <c r="N3307" s="7"/>
    </row>
    <row r="3308">
      <c r="N3308" s="7"/>
    </row>
    <row r="3309">
      <c r="N3309" s="7"/>
    </row>
    <row r="3310">
      <c r="N3310" s="7"/>
    </row>
    <row r="3311">
      <c r="N3311" s="7"/>
    </row>
    <row r="3312">
      <c r="N3312" s="7"/>
    </row>
    <row r="3313">
      <c r="N3313" s="7"/>
    </row>
    <row r="3314">
      <c r="N3314" s="7"/>
    </row>
    <row r="3315">
      <c r="N3315" s="7"/>
    </row>
    <row r="3316">
      <c r="N3316" s="7"/>
    </row>
    <row r="3317">
      <c r="N3317" s="7"/>
    </row>
    <row r="3318">
      <c r="N3318" s="7"/>
    </row>
    <row r="3319">
      <c r="N3319" s="7"/>
    </row>
    <row r="3320">
      <c r="N3320" s="7"/>
    </row>
    <row r="3321">
      <c r="I3321" s="9"/>
      <c r="N3321" s="7"/>
    </row>
    <row r="3322">
      <c r="N3322" s="7"/>
    </row>
    <row r="3323">
      <c r="N3323" s="7"/>
    </row>
    <row r="3324">
      <c r="N3324" s="7"/>
    </row>
    <row r="3325">
      <c r="N3325" s="7"/>
    </row>
    <row r="3326">
      <c r="N3326" s="7"/>
    </row>
    <row r="3327">
      <c r="N3327" s="7"/>
    </row>
    <row r="3328">
      <c r="N3328" s="7"/>
    </row>
    <row r="3329">
      <c r="N3329" s="7"/>
    </row>
    <row r="3330">
      <c r="N3330" s="7"/>
    </row>
    <row r="3331">
      <c r="N3331" s="7"/>
    </row>
    <row r="3332">
      <c r="N3332" s="7"/>
    </row>
    <row r="3333">
      <c r="N3333" s="7"/>
    </row>
    <row r="3334">
      <c r="N3334" s="7"/>
    </row>
    <row r="3335">
      <c r="N3335" s="7"/>
    </row>
    <row r="3336">
      <c r="N3336" s="7"/>
    </row>
    <row r="3337">
      <c r="N3337" s="7"/>
    </row>
    <row r="3338">
      <c r="N3338" s="7"/>
    </row>
    <row r="3339">
      <c r="N3339" s="7"/>
    </row>
    <row r="3340">
      <c r="N3340" s="7"/>
    </row>
    <row r="3341">
      <c r="N3341" s="7"/>
    </row>
    <row r="3342">
      <c r="N3342" s="7"/>
    </row>
    <row r="3343">
      <c r="N3343" s="7"/>
    </row>
    <row r="3344">
      <c r="N3344" s="7"/>
    </row>
    <row r="3345">
      <c r="N3345" s="7"/>
    </row>
    <row r="3346">
      <c r="N3346" s="7"/>
    </row>
    <row r="3347">
      <c r="N3347" s="7"/>
    </row>
    <row r="3348">
      <c r="N3348" s="7"/>
    </row>
    <row r="3349">
      <c r="N3349" s="7"/>
    </row>
    <row r="3350">
      <c r="N3350" s="7"/>
    </row>
    <row r="3351">
      <c r="N3351" s="7"/>
    </row>
    <row r="3352">
      <c r="N3352" s="7"/>
    </row>
    <row r="3353">
      <c r="N3353" s="7"/>
    </row>
    <row r="3354">
      <c r="N3354" s="7"/>
    </row>
    <row r="3355">
      <c r="N3355" s="7"/>
    </row>
    <row r="3356">
      <c r="N3356" s="7"/>
    </row>
    <row r="3357">
      <c r="N3357" s="7"/>
    </row>
    <row r="3358">
      <c r="N3358" s="7"/>
    </row>
    <row r="3359">
      <c r="N3359" s="7"/>
    </row>
    <row r="3360">
      <c r="N3360" s="7"/>
    </row>
    <row r="3361">
      <c r="N3361" s="7"/>
    </row>
    <row r="3362">
      <c r="N3362" s="7"/>
    </row>
    <row r="3363">
      <c r="N3363" s="7"/>
    </row>
    <row r="3364">
      <c r="N3364" s="7"/>
    </row>
    <row r="3365">
      <c r="N3365" s="7"/>
    </row>
    <row r="3366">
      <c r="N3366" s="7"/>
    </row>
    <row r="3367">
      <c r="N3367" s="7"/>
    </row>
    <row r="3368">
      <c r="N3368" s="7"/>
    </row>
    <row r="3369">
      <c r="N3369" s="7"/>
    </row>
    <row r="3370">
      <c r="N3370" s="7"/>
    </row>
    <row r="3371">
      <c r="N3371" s="7"/>
    </row>
    <row r="3372">
      <c r="N3372" s="7"/>
    </row>
    <row r="3373">
      <c r="N3373" s="7"/>
    </row>
    <row r="3374">
      <c r="N3374" s="7"/>
    </row>
    <row r="3375">
      <c r="N3375" s="7"/>
    </row>
    <row r="3376">
      <c r="N3376" s="7"/>
    </row>
    <row r="3377">
      <c r="N3377" s="7"/>
    </row>
    <row r="3378">
      <c r="N3378" s="7"/>
    </row>
    <row r="3379">
      <c r="N3379" s="7"/>
    </row>
    <row r="3380">
      <c r="N3380" s="7"/>
    </row>
    <row r="3381">
      <c r="N3381" s="7"/>
    </row>
    <row r="3382">
      <c r="N3382" s="7"/>
    </row>
    <row r="3383">
      <c r="N3383" s="7"/>
    </row>
    <row r="3384">
      <c r="N3384" s="7"/>
    </row>
    <row r="3385">
      <c r="N3385" s="7"/>
    </row>
    <row r="3386">
      <c r="N3386" s="7"/>
    </row>
    <row r="3387">
      <c r="N3387" s="7"/>
    </row>
    <row r="3388">
      <c r="N3388" s="7"/>
    </row>
    <row r="3389">
      <c r="N3389" s="7"/>
    </row>
    <row r="3390">
      <c r="I3390" s="9"/>
      <c r="N3390" s="7"/>
    </row>
    <row r="3391">
      <c r="N3391" s="7"/>
    </row>
    <row r="3392">
      <c r="N3392" s="7"/>
    </row>
    <row r="3393">
      <c r="N3393" s="7"/>
    </row>
    <row r="3394">
      <c r="N3394" s="7"/>
    </row>
    <row r="3395">
      <c r="N3395" s="7"/>
    </row>
    <row r="3396">
      <c r="N3396" s="7"/>
    </row>
    <row r="3397">
      <c r="N3397" s="7"/>
    </row>
    <row r="3398">
      <c r="N3398" s="7"/>
    </row>
    <row r="3399">
      <c r="N3399" s="7"/>
    </row>
    <row r="3400">
      <c r="N3400" s="7"/>
    </row>
    <row r="3401">
      <c r="N3401" s="7"/>
    </row>
    <row r="3402">
      <c r="N3402" s="7"/>
    </row>
    <row r="3403">
      <c r="N3403" s="7"/>
    </row>
    <row r="3404">
      <c r="N3404" s="7"/>
    </row>
    <row r="3405">
      <c r="N3405" s="7"/>
    </row>
    <row r="3406">
      <c r="N3406" s="7"/>
    </row>
    <row r="3407">
      <c r="N3407" s="7"/>
    </row>
    <row r="3408">
      <c r="N3408" s="7"/>
    </row>
    <row r="3409">
      <c r="N3409" s="7"/>
    </row>
    <row r="3410">
      <c r="N3410" s="7"/>
    </row>
    <row r="3411">
      <c r="N3411" s="7"/>
    </row>
    <row r="3412">
      <c r="N3412" s="7"/>
    </row>
    <row r="3413">
      <c r="N3413" s="7"/>
    </row>
    <row r="3414">
      <c r="N3414" s="7"/>
    </row>
    <row r="3415">
      <c r="N3415" s="7"/>
    </row>
    <row r="3416">
      <c r="N3416" s="7"/>
    </row>
    <row r="3417">
      <c r="N3417" s="7"/>
    </row>
    <row r="3418">
      <c r="N3418" s="7"/>
    </row>
    <row r="3419">
      <c r="N3419" s="7"/>
    </row>
    <row r="3420">
      <c r="N3420" s="7"/>
    </row>
    <row r="3421">
      <c r="N3421" s="7"/>
    </row>
    <row r="3422">
      <c r="N3422" s="7"/>
    </row>
    <row r="3423">
      <c r="N3423" s="7"/>
    </row>
    <row r="3424">
      <c r="N3424" s="7"/>
    </row>
    <row r="3425">
      <c r="N3425" s="7"/>
    </row>
    <row r="3426">
      <c r="N3426" s="7"/>
    </row>
    <row r="3427">
      <c r="N3427" s="7"/>
    </row>
    <row r="3428">
      <c r="N3428" s="7"/>
    </row>
    <row r="3429">
      <c r="N3429" s="7"/>
    </row>
    <row r="3430">
      <c r="N3430" s="7"/>
    </row>
    <row r="3431">
      <c r="N3431" s="7"/>
    </row>
    <row r="3432">
      <c r="N3432" s="7"/>
    </row>
    <row r="3433">
      <c r="N3433" s="7"/>
    </row>
    <row r="3434">
      <c r="N3434" s="7"/>
    </row>
    <row r="3435">
      <c r="N3435" s="7"/>
    </row>
    <row r="3436">
      <c r="N3436" s="7"/>
    </row>
    <row r="3437">
      <c r="N3437" s="7"/>
    </row>
    <row r="3438">
      <c r="N3438" s="7"/>
    </row>
    <row r="3439">
      <c r="N3439" s="7"/>
    </row>
    <row r="3440">
      <c r="N3440" s="7"/>
    </row>
    <row r="3441">
      <c r="N3441" s="7"/>
    </row>
    <row r="3442">
      <c r="N3442" s="7"/>
    </row>
    <row r="3443">
      <c r="N3443" s="7"/>
    </row>
    <row r="3444">
      <c r="N3444" s="7"/>
    </row>
    <row r="3445">
      <c r="N3445" s="7"/>
    </row>
    <row r="3446">
      <c r="N3446" s="7"/>
    </row>
    <row r="3447">
      <c r="N3447" s="7"/>
    </row>
    <row r="3448">
      <c r="N3448" s="7"/>
    </row>
    <row r="3449">
      <c r="N3449" s="7"/>
    </row>
    <row r="3450">
      <c r="N3450" s="7"/>
    </row>
    <row r="3451">
      <c r="N3451" s="7"/>
    </row>
    <row r="3452">
      <c r="N3452" s="7"/>
    </row>
    <row r="3453">
      <c r="N3453" s="7"/>
    </row>
    <row r="3454">
      <c r="N3454" s="7"/>
    </row>
    <row r="3455">
      <c r="N3455" s="7"/>
    </row>
    <row r="3456">
      <c r="N3456" s="7"/>
    </row>
    <row r="3457">
      <c r="N3457" s="7"/>
    </row>
    <row r="3458">
      <c r="N3458" s="7"/>
    </row>
    <row r="3459">
      <c r="N3459" s="7"/>
    </row>
    <row r="3460">
      <c r="N3460" s="7"/>
    </row>
    <row r="3461">
      <c r="N3461" s="7"/>
    </row>
    <row r="3462">
      <c r="N3462" s="7"/>
    </row>
    <row r="3463">
      <c r="N3463" s="7"/>
    </row>
    <row r="3464">
      <c r="N3464" s="7"/>
    </row>
    <row r="3465">
      <c r="N3465" s="7"/>
    </row>
    <row r="3466">
      <c r="N3466" s="7"/>
    </row>
    <row r="3467">
      <c r="N3467" s="7"/>
    </row>
    <row r="3468">
      <c r="N3468" s="7"/>
    </row>
    <row r="3469">
      <c r="N3469" s="7"/>
    </row>
    <row r="3470">
      <c r="N3470" s="7"/>
    </row>
    <row r="3471">
      <c r="N3471" s="7"/>
    </row>
    <row r="3472">
      <c r="N3472" s="7"/>
    </row>
    <row r="3473">
      <c r="N3473" s="7"/>
    </row>
    <row r="3474">
      <c r="N3474" s="7"/>
    </row>
    <row r="3475">
      <c r="N3475" s="7"/>
    </row>
    <row r="3476">
      <c r="N3476" s="7"/>
    </row>
    <row r="3477">
      <c r="N3477" s="7"/>
    </row>
    <row r="3478">
      <c r="N3478" s="7"/>
    </row>
    <row r="3479">
      <c r="N3479" s="7"/>
    </row>
    <row r="3480">
      <c r="N3480" s="7"/>
    </row>
    <row r="3481">
      <c r="N3481" s="7"/>
    </row>
    <row r="3482">
      <c r="N3482" s="7"/>
    </row>
    <row r="3483">
      <c r="N3483" s="7"/>
    </row>
    <row r="3484">
      <c r="N3484" s="7"/>
    </row>
    <row r="3485">
      <c r="N3485" s="7"/>
    </row>
    <row r="3486">
      <c r="N3486" s="7"/>
    </row>
    <row r="3487">
      <c r="N3487" s="7"/>
    </row>
    <row r="3488">
      <c r="N3488" s="7"/>
    </row>
    <row r="3489">
      <c r="N3489" s="7"/>
    </row>
    <row r="3490">
      <c r="N3490" s="7"/>
    </row>
    <row r="3491">
      <c r="N3491" s="7"/>
    </row>
    <row r="3492">
      <c r="N3492" s="7"/>
    </row>
    <row r="3493">
      <c r="N3493" s="7"/>
    </row>
    <row r="3494">
      <c r="N3494" s="7"/>
    </row>
    <row r="3495">
      <c r="N3495" s="7"/>
    </row>
    <row r="3496">
      <c r="N3496" s="7"/>
    </row>
    <row r="3497">
      <c r="N3497" s="7"/>
    </row>
    <row r="3498">
      <c r="N3498" s="7"/>
    </row>
    <row r="3499">
      <c r="N3499" s="7"/>
    </row>
    <row r="3500">
      <c r="N3500" s="7"/>
    </row>
    <row r="3501">
      <c r="N3501" s="7"/>
    </row>
    <row r="3502">
      <c r="N3502" s="7"/>
    </row>
    <row r="3503">
      <c r="N3503" s="7"/>
    </row>
    <row r="3504">
      <c r="N3504" s="7"/>
    </row>
    <row r="3505">
      <c r="N3505" s="7"/>
    </row>
    <row r="3506">
      <c r="N3506" s="7"/>
    </row>
    <row r="3507">
      <c r="N3507" s="7"/>
    </row>
    <row r="3508">
      <c r="N3508" s="7"/>
    </row>
    <row r="3509">
      <c r="N3509" s="7"/>
    </row>
    <row r="3510">
      <c r="N3510" s="7"/>
    </row>
    <row r="3511">
      <c r="N3511" s="7"/>
    </row>
    <row r="3512">
      <c r="N3512" s="7"/>
    </row>
    <row r="3513">
      <c r="N3513" s="7"/>
    </row>
    <row r="3514">
      <c r="N3514" s="7"/>
    </row>
    <row r="3515">
      <c r="N3515" s="7"/>
    </row>
    <row r="3516">
      <c r="N3516" s="7"/>
    </row>
    <row r="3517">
      <c r="N3517" s="7"/>
    </row>
    <row r="3518">
      <c r="N3518" s="7"/>
    </row>
    <row r="3519">
      <c r="N3519" s="7"/>
    </row>
    <row r="3520">
      <c r="N3520" s="7"/>
    </row>
    <row r="3521">
      <c r="N3521" s="7"/>
    </row>
    <row r="3522">
      <c r="N3522" s="7"/>
    </row>
    <row r="3523">
      <c r="N3523" s="7"/>
    </row>
    <row r="3524">
      <c r="N3524" s="7"/>
    </row>
    <row r="3525">
      <c r="N3525" s="7"/>
    </row>
    <row r="3526">
      <c r="N3526" s="7"/>
    </row>
    <row r="3527">
      <c r="N3527" s="7"/>
    </row>
    <row r="3528">
      <c r="N3528" s="7"/>
    </row>
    <row r="3529">
      <c r="N3529" s="7"/>
    </row>
    <row r="3530">
      <c r="N3530" s="7"/>
    </row>
    <row r="3531">
      <c r="N3531" s="7"/>
    </row>
    <row r="3532">
      <c r="N3532" s="7"/>
    </row>
    <row r="3533">
      <c r="N3533" s="7"/>
    </row>
    <row r="3534">
      <c r="N3534" s="7"/>
    </row>
    <row r="3535">
      <c r="N3535" s="7"/>
    </row>
    <row r="3536">
      <c r="N3536" s="7"/>
    </row>
    <row r="3537">
      <c r="N3537" s="7"/>
    </row>
    <row r="3538">
      <c r="N3538" s="7"/>
    </row>
    <row r="3539">
      <c r="N3539" s="7"/>
    </row>
    <row r="3540">
      <c r="N3540" s="7"/>
    </row>
    <row r="3541">
      <c r="N3541" s="7"/>
    </row>
    <row r="3542">
      <c r="N3542" s="7"/>
    </row>
    <row r="3543">
      <c r="N3543" s="7"/>
    </row>
    <row r="3544">
      <c r="N3544" s="7"/>
    </row>
    <row r="3545">
      <c r="N3545" s="7"/>
    </row>
    <row r="3546">
      <c r="N3546" s="7"/>
    </row>
    <row r="3547">
      <c r="N3547" s="7"/>
    </row>
    <row r="3548">
      <c r="N3548" s="7"/>
    </row>
    <row r="3549">
      <c r="N3549" s="7"/>
    </row>
    <row r="3550">
      <c r="N3550" s="7"/>
    </row>
    <row r="3551">
      <c r="N3551" s="7"/>
    </row>
    <row r="3552">
      <c r="N3552" s="7"/>
    </row>
    <row r="3553">
      <c r="N3553" s="7"/>
    </row>
    <row r="3554">
      <c r="N3554" s="7"/>
    </row>
    <row r="3555">
      <c r="N3555" s="7"/>
    </row>
    <row r="3556">
      <c r="N3556" s="7"/>
    </row>
    <row r="3557">
      <c r="N3557" s="7"/>
    </row>
    <row r="3558">
      <c r="N3558" s="7"/>
    </row>
    <row r="3559">
      <c r="N3559" s="7"/>
    </row>
    <row r="3560">
      <c r="N3560" s="7"/>
    </row>
    <row r="3561">
      <c r="N3561" s="7"/>
    </row>
    <row r="3562">
      <c r="N3562" s="7"/>
    </row>
    <row r="3563">
      <c r="N3563" s="7"/>
    </row>
    <row r="3564">
      <c r="N3564" s="7"/>
    </row>
    <row r="3565">
      <c r="N3565" s="7"/>
    </row>
    <row r="3566">
      <c r="N3566" s="7"/>
    </row>
    <row r="3567">
      <c r="N3567" s="7"/>
    </row>
    <row r="3568">
      <c r="N3568" s="7"/>
    </row>
    <row r="3569">
      <c r="N3569" s="7"/>
    </row>
    <row r="3570">
      <c r="N3570" s="7"/>
    </row>
    <row r="3571">
      <c r="N3571" s="7"/>
    </row>
    <row r="3572">
      <c r="N3572" s="7"/>
    </row>
    <row r="3573">
      <c r="N3573" s="7"/>
    </row>
    <row r="3574">
      <c r="N3574" s="7"/>
    </row>
    <row r="3575">
      <c r="N3575" s="7"/>
    </row>
    <row r="3576">
      <c r="N3576" s="7"/>
    </row>
    <row r="3577">
      <c r="N3577" s="7"/>
    </row>
    <row r="3578">
      <c r="N3578" s="7"/>
    </row>
    <row r="3579">
      <c r="N3579" s="7"/>
    </row>
    <row r="3580">
      <c r="N3580" s="7"/>
    </row>
    <row r="3581">
      <c r="N3581" s="7"/>
    </row>
    <row r="3582">
      <c r="N3582" s="7"/>
    </row>
    <row r="3583">
      <c r="N3583" s="7"/>
    </row>
    <row r="3584">
      <c r="N3584" s="7"/>
    </row>
    <row r="3585">
      <c r="N3585" s="7"/>
    </row>
    <row r="3586">
      <c r="I3586" s="9"/>
      <c r="N3586" s="7"/>
    </row>
    <row r="3587">
      <c r="N3587" s="7"/>
    </row>
    <row r="3588">
      <c r="N3588" s="7"/>
    </row>
    <row r="3589">
      <c r="N3589" s="7"/>
    </row>
    <row r="3590">
      <c r="N3590" s="7"/>
    </row>
    <row r="3591">
      <c r="N3591" s="7"/>
    </row>
    <row r="3592">
      <c r="N3592" s="7"/>
    </row>
    <row r="3593">
      <c r="I3593" s="9"/>
      <c r="N3593" s="7"/>
    </row>
    <row r="3594">
      <c r="N3594" s="7"/>
    </row>
    <row r="3595">
      <c r="N3595" s="7"/>
    </row>
    <row r="3596">
      <c r="N3596" s="7"/>
    </row>
    <row r="3597">
      <c r="N3597" s="7"/>
    </row>
    <row r="3598">
      <c r="N3598" s="7"/>
    </row>
    <row r="3599">
      <c r="N3599" s="7"/>
    </row>
    <row r="3600">
      <c r="N3600" s="7"/>
    </row>
    <row r="3601">
      <c r="N3601" s="7"/>
    </row>
    <row r="3602">
      <c r="N3602" s="7"/>
    </row>
    <row r="3603">
      <c r="N3603" s="7"/>
    </row>
    <row r="3604">
      <c r="N3604" s="7"/>
    </row>
    <row r="3605">
      <c r="N3605" s="7"/>
    </row>
    <row r="3606">
      <c r="N3606" s="7"/>
    </row>
    <row r="3607">
      <c r="N3607" s="7"/>
    </row>
    <row r="3608">
      <c r="N3608" s="7"/>
    </row>
    <row r="3609">
      <c r="N3609" s="7"/>
    </row>
    <row r="3610">
      <c r="N3610" s="7"/>
    </row>
    <row r="3611">
      <c r="N3611" s="7"/>
    </row>
    <row r="3612">
      <c r="N3612" s="7"/>
    </row>
    <row r="3613">
      <c r="N3613" s="7"/>
    </row>
    <row r="3614">
      <c r="N3614" s="7"/>
    </row>
    <row r="3615">
      <c r="N3615" s="7"/>
    </row>
    <row r="3616">
      <c r="N3616" s="7"/>
    </row>
    <row r="3617">
      <c r="N3617" s="7"/>
    </row>
    <row r="3618">
      <c r="N3618" s="7"/>
    </row>
    <row r="3619">
      <c r="N3619" s="7"/>
    </row>
    <row r="3620">
      <c r="N3620" s="7"/>
    </row>
    <row r="3621">
      <c r="N3621" s="7"/>
    </row>
    <row r="3622">
      <c r="N3622" s="7"/>
    </row>
    <row r="3623">
      <c r="N3623" s="7"/>
    </row>
    <row r="3624">
      <c r="N3624" s="7"/>
    </row>
    <row r="3625">
      <c r="N3625" s="7"/>
    </row>
    <row r="3626">
      <c r="N3626" s="7"/>
    </row>
    <row r="3627">
      <c r="N3627" s="7"/>
    </row>
    <row r="3628">
      <c r="N3628" s="7"/>
    </row>
    <row r="3629">
      <c r="N3629" s="7"/>
    </row>
    <row r="3630">
      <c r="N3630" s="7"/>
    </row>
    <row r="3631">
      <c r="N3631" s="7"/>
    </row>
    <row r="3632">
      <c r="N3632" s="7"/>
    </row>
    <row r="3633">
      <c r="N3633" s="7"/>
    </row>
    <row r="3634">
      <c r="N3634" s="7"/>
    </row>
    <row r="3635">
      <c r="N3635" s="7"/>
    </row>
    <row r="3636">
      <c r="N3636" s="7"/>
    </row>
    <row r="3637">
      <c r="N3637" s="7"/>
    </row>
    <row r="3638">
      <c r="N3638" s="7"/>
    </row>
    <row r="3639">
      <c r="N3639" s="7"/>
    </row>
    <row r="3640">
      <c r="N3640" s="7"/>
    </row>
    <row r="3641">
      <c r="N3641" s="7"/>
    </row>
    <row r="3642">
      <c r="N3642" s="7"/>
    </row>
    <row r="3643">
      <c r="N3643" s="7"/>
    </row>
    <row r="3644">
      <c r="N3644" s="7"/>
    </row>
    <row r="3645">
      <c r="N3645" s="7"/>
    </row>
    <row r="3646">
      <c r="N3646" s="7"/>
    </row>
    <row r="3647">
      <c r="N3647" s="7"/>
    </row>
    <row r="3648">
      <c r="N3648" s="7"/>
    </row>
    <row r="3649">
      <c r="N3649" s="7"/>
    </row>
    <row r="3650">
      <c r="N3650" s="7"/>
    </row>
    <row r="3651">
      <c r="N3651" s="7"/>
    </row>
    <row r="3652">
      <c r="N3652" s="7"/>
    </row>
    <row r="3653">
      <c r="N3653" s="7"/>
    </row>
    <row r="3654">
      <c r="N3654" s="7"/>
    </row>
    <row r="3655">
      <c r="N3655" s="7"/>
    </row>
    <row r="3656">
      <c r="N3656" s="7"/>
    </row>
    <row r="3657">
      <c r="N3657" s="7"/>
    </row>
    <row r="3658">
      <c r="N3658" s="7"/>
    </row>
    <row r="3659">
      <c r="N3659" s="7"/>
    </row>
    <row r="3660">
      <c r="N3660" s="7"/>
    </row>
    <row r="3661">
      <c r="N3661" s="7"/>
    </row>
    <row r="3662">
      <c r="N3662" s="7"/>
    </row>
    <row r="3663">
      <c r="N3663" s="7"/>
    </row>
    <row r="3664">
      <c r="N3664" s="7"/>
    </row>
    <row r="3665">
      <c r="N3665" s="7"/>
    </row>
    <row r="3666">
      <c r="N3666" s="7"/>
    </row>
    <row r="3667">
      <c r="I3667" s="9"/>
      <c r="N3667" s="7"/>
    </row>
    <row r="3668">
      <c r="N3668" s="7"/>
    </row>
    <row r="3669">
      <c r="N3669" s="7"/>
    </row>
    <row r="3670">
      <c r="N3670" s="7"/>
    </row>
    <row r="3671">
      <c r="N3671" s="7"/>
    </row>
    <row r="3672">
      <c r="N3672" s="7"/>
    </row>
    <row r="3673">
      <c r="N3673" s="7"/>
    </row>
    <row r="3674">
      <c r="N3674" s="7"/>
    </row>
    <row r="3675">
      <c r="N3675" s="7"/>
    </row>
    <row r="3676">
      <c r="N3676" s="7"/>
    </row>
    <row r="3677">
      <c r="N3677" s="7"/>
    </row>
    <row r="3678">
      <c r="N3678" s="7"/>
    </row>
    <row r="3679">
      <c r="N3679" s="7"/>
    </row>
    <row r="3680">
      <c r="N3680" s="7"/>
    </row>
    <row r="3681">
      <c r="N3681" s="7"/>
    </row>
    <row r="3682">
      <c r="N3682" s="7"/>
    </row>
    <row r="3683">
      <c r="N3683" s="7"/>
    </row>
    <row r="3684">
      <c r="N3684" s="7"/>
    </row>
    <row r="3685">
      <c r="N3685" s="7"/>
    </row>
    <row r="3686">
      <c r="N3686" s="7"/>
    </row>
    <row r="3687">
      <c r="N3687" s="7"/>
    </row>
    <row r="3688">
      <c r="N3688" s="7"/>
    </row>
    <row r="3689">
      <c r="N3689" s="7"/>
    </row>
    <row r="3690">
      <c r="N3690" s="7"/>
    </row>
    <row r="3691">
      <c r="N3691" s="7"/>
    </row>
    <row r="3692">
      <c r="N3692" s="7"/>
    </row>
    <row r="3693">
      <c r="N3693" s="7"/>
    </row>
    <row r="3694">
      <c r="N3694" s="7"/>
    </row>
    <row r="3695">
      <c r="I3695" s="9"/>
      <c r="N3695" s="7"/>
    </row>
    <row r="3696">
      <c r="N3696" s="7"/>
    </row>
    <row r="3697">
      <c r="N3697" s="7"/>
    </row>
    <row r="3698">
      <c r="N3698" s="7"/>
    </row>
    <row r="3699">
      <c r="N3699" s="7"/>
    </row>
    <row r="3700">
      <c r="N3700" s="7"/>
    </row>
    <row r="3701">
      <c r="N3701" s="7"/>
    </row>
    <row r="3702">
      <c r="N3702" s="7"/>
    </row>
    <row r="3703">
      <c r="N3703" s="7"/>
    </row>
    <row r="3704">
      <c r="N3704" s="7"/>
    </row>
    <row r="3705">
      <c r="I3705" s="9"/>
      <c r="N3705" s="7"/>
    </row>
    <row r="3706">
      <c r="N3706" s="7"/>
    </row>
    <row r="3707">
      <c r="N3707" s="7"/>
    </row>
    <row r="3708">
      <c r="N3708" s="7"/>
    </row>
    <row r="3709">
      <c r="N3709" s="7"/>
    </row>
    <row r="3710">
      <c r="N3710" s="7"/>
    </row>
    <row r="3711">
      <c r="N3711" s="7"/>
    </row>
    <row r="3712">
      <c r="N3712" s="7"/>
    </row>
    <row r="3713">
      <c r="N3713" s="7"/>
    </row>
    <row r="3714">
      <c r="N3714" s="7"/>
    </row>
    <row r="3715">
      <c r="N3715" s="7"/>
    </row>
    <row r="3716">
      <c r="N3716" s="7"/>
    </row>
    <row r="3717">
      <c r="N3717" s="7"/>
    </row>
    <row r="3718">
      <c r="N3718" s="7"/>
    </row>
    <row r="3719">
      <c r="N3719" s="7"/>
    </row>
    <row r="3720">
      <c r="N3720" s="7"/>
    </row>
    <row r="3721">
      <c r="N3721" s="7"/>
    </row>
    <row r="3722">
      <c r="N3722" s="7"/>
    </row>
    <row r="3723">
      <c r="N3723" s="7"/>
    </row>
    <row r="3724">
      <c r="N3724" s="7"/>
    </row>
    <row r="3725">
      <c r="N3725" s="7"/>
    </row>
    <row r="3726">
      <c r="N3726" s="7"/>
    </row>
    <row r="3727">
      <c r="N3727" s="7"/>
    </row>
    <row r="3728">
      <c r="N3728" s="7"/>
    </row>
    <row r="3729">
      <c r="N3729" s="7"/>
    </row>
    <row r="3730">
      <c r="N3730" s="7"/>
    </row>
    <row r="3731">
      <c r="N3731" s="7"/>
    </row>
    <row r="3732">
      <c r="N3732" s="7"/>
    </row>
    <row r="3733">
      <c r="I3733" s="9"/>
      <c r="N3733" s="7"/>
    </row>
    <row r="3734">
      <c r="N3734" s="7"/>
    </row>
    <row r="3735">
      <c r="N3735" s="7"/>
    </row>
    <row r="3736">
      <c r="N3736" s="7"/>
    </row>
    <row r="3737">
      <c r="N3737" s="7"/>
    </row>
    <row r="3738">
      <c r="N3738" s="7"/>
    </row>
    <row r="3739">
      <c r="N3739" s="7"/>
    </row>
    <row r="3740">
      <c r="N3740" s="7"/>
    </row>
    <row r="3741">
      <c r="N3741" s="7"/>
    </row>
    <row r="3742">
      <c r="N3742" s="7"/>
    </row>
    <row r="3743">
      <c r="N3743" s="7"/>
    </row>
    <row r="3744">
      <c r="N3744" s="7"/>
    </row>
    <row r="3745">
      <c r="N3745" s="7"/>
    </row>
    <row r="3746">
      <c r="N3746" s="7"/>
    </row>
    <row r="3747">
      <c r="N3747" s="7"/>
    </row>
    <row r="3748">
      <c r="N3748" s="7"/>
    </row>
    <row r="3749">
      <c r="N3749" s="7"/>
    </row>
    <row r="3750">
      <c r="N3750" s="7"/>
    </row>
    <row r="3751">
      <c r="N3751" s="7"/>
    </row>
    <row r="3752">
      <c r="N3752" s="7"/>
    </row>
    <row r="3753">
      <c r="N3753" s="7"/>
    </row>
    <row r="3754">
      <c r="N3754" s="7"/>
    </row>
    <row r="3755">
      <c r="N3755" s="7"/>
    </row>
    <row r="3756">
      <c r="N3756" s="7"/>
    </row>
    <row r="3757">
      <c r="N3757" s="7"/>
    </row>
    <row r="3758">
      <c r="N3758" s="7"/>
    </row>
    <row r="3759">
      <c r="N3759" s="7"/>
    </row>
    <row r="3760">
      <c r="N3760" s="7"/>
    </row>
    <row r="3761">
      <c r="N3761" s="7"/>
    </row>
    <row r="3762">
      <c r="N3762" s="7"/>
    </row>
    <row r="3763">
      <c r="N3763" s="7"/>
    </row>
    <row r="3764">
      <c r="N3764" s="7"/>
    </row>
    <row r="3765">
      <c r="N3765" s="7"/>
    </row>
    <row r="3766">
      <c r="N3766" s="7"/>
    </row>
    <row r="3767">
      <c r="N3767" s="7"/>
    </row>
    <row r="3768">
      <c r="N3768" s="7"/>
    </row>
    <row r="3769">
      <c r="N3769" s="7"/>
    </row>
    <row r="3770">
      <c r="N3770" s="7"/>
    </row>
    <row r="3771">
      <c r="N3771" s="7"/>
    </row>
    <row r="3772">
      <c r="N3772" s="7"/>
    </row>
    <row r="3773">
      <c r="N3773" s="7"/>
    </row>
    <row r="3774">
      <c r="N3774" s="7"/>
    </row>
    <row r="3775">
      <c r="N3775" s="7"/>
    </row>
    <row r="3776">
      <c r="N3776" s="7"/>
    </row>
    <row r="3777">
      <c r="N3777" s="7"/>
    </row>
    <row r="3778">
      <c r="N3778" s="7"/>
    </row>
    <row r="3779">
      <c r="N3779" s="7"/>
    </row>
    <row r="3780">
      <c r="N3780" s="7"/>
    </row>
    <row r="3781">
      <c r="N3781" s="7"/>
    </row>
    <row r="3782">
      <c r="N3782" s="7"/>
    </row>
    <row r="3783">
      <c r="N3783" s="7"/>
    </row>
    <row r="3784">
      <c r="N3784" s="7"/>
    </row>
    <row r="3785">
      <c r="N3785" s="7"/>
    </row>
    <row r="3786">
      <c r="N3786" s="7"/>
    </row>
    <row r="3787">
      <c r="N3787" s="7"/>
    </row>
    <row r="3788">
      <c r="N3788" s="7"/>
    </row>
    <row r="3789">
      <c r="N3789" s="7"/>
    </row>
    <row r="3790">
      <c r="N3790" s="7"/>
    </row>
    <row r="3791">
      <c r="N3791" s="7"/>
    </row>
    <row r="3792">
      <c r="N3792" s="7"/>
    </row>
    <row r="3793">
      <c r="N3793" s="7"/>
    </row>
    <row r="3794">
      <c r="N3794" s="7"/>
    </row>
    <row r="3795">
      <c r="N3795" s="7"/>
    </row>
    <row r="3796">
      <c r="N3796" s="7"/>
    </row>
    <row r="3797">
      <c r="N3797" s="7"/>
    </row>
    <row r="3798">
      <c r="N3798" s="7"/>
    </row>
    <row r="3799">
      <c r="N3799" s="7"/>
    </row>
    <row r="3800">
      <c r="N3800" s="7"/>
    </row>
    <row r="3801">
      <c r="N3801" s="7"/>
    </row>
    <row r="3802">
      <c r="N3802" s="7"/>
    </row>
    <row r="3803">
      <c r="N3803" s="7"/>
    </row>
    <row r="3804">
      <c r="N3804" s="7"/>
    </row>
    <row r="3805">
      <c r="N3805" s="7"/>
    </row>
    <row r="3806">
      <c r="N3806" s="7"/>
    </row>
    <row r="3807">
      <c r="N3807" s="7"/>
    </row>
    <row r="3808">
      <c r="N3808" s="7"/>
    </row>
    <row r="3809">
      <c r="N3809" s="7"/>
    </row>
    <row r="3810">
      <c r="N3810" s="7"/>
    </row>
    <row r="3811">
      <c r="N3811" s="7"/>
    </row>
    <row r="3812">
      <c r="N3812" s="7"/>
    </row>
    <row r="3813">
      <c r="N3813" s="7"/>
    </row>
    <row r="3814">
      <c r="N3814" s="7"/>
    </row>
    <row r="3815">
      <c r="N3815" s="7"/>
    </row>
    <row r="3816">
      <c r="N3816" s="7"/>
    </row>
    <row r="3817">
      <c r="N3817" s="7"/>
    </row>
    <row r="3818">
      <c r="N3818" s="7"/>
    </row>
    <row r="3819">
      <c r="N3819" s="7"/>
    </row>
    <row r="3820">
      <c r="N3820" s="7"/>
    </row>
    <row r="3821">
      <c r="N3821" s="7"/>
    </row>
    <row r="3822">
      <c r="N3822" s="7"/>
    </row>
    <row r="3823">
      <c r="N3823" s="7"/>
    </row>
    <row r="3824">
      <c r="N3824" s="7"/>
    </row>
    <row r="3825">
      <c r="N3825" s="7"/>
    </row>
    <row r="3826">
      <c r="N3826" s="7"/>
    </row>
    <row r="3827">
      <c r="N3827" s="7"/>
    </row>
    <row r="3828">
      <c r="N3828" s="7"/>
    </row>
    <row r="3829">
      <c r="N3829" s="7"/>
    </row>
    <row r="3830">
      <c r="N3830" s="7"/>
    </row>
    <row r="3831">
      <c r="N3831" s="7"/>
    </row>
    <row r="3832">
      <c r="N3832" s="7"/>
    </row>
    <row r="3833">
      <c r="N3833" s="7"/>
    </row>
    <row r="3834">
      <c r="N3834" s="7"/>
    </row>
    <row r="3835">
      <c r="N3835" s="7"/>
    </row>
    <row r="3836">
      <c r="N3836" s="7"/>
    </row>
    <row r="3837">
      <c r="N3837" s="7"/>
    </row>
    <row r="3838">
      <c r="N3838" s="7"/>
    </row>
    <row r="3839">
      <c r="N3839" s="7"/>
    </row>
    <row r="3840">
      <c r="N3840" s="7"/>
    </row>
    <row r="3841">
      <c r="N3841" s="7"/>
    </row>
    <row r="3842">
      <c r="N3842" s="7"/>
    </row>
    <row r="3843">
      <c r="N3843" s="7"/>
    </row>
    <row r="3844">
      <c r="N3844" s="7"/>
    </row>
    <row r="3845">
      <c r="N3845" s="7"/>
    </row>
    <row r="3846">
      <c r="N3846" s="7"/>
    </row>
    <row r="3847">
      <c r="N3847" s="7"/>
    </row>
    <row r="3848">
      <c r="N3848" s="7"/>
    </row>
    <row r="3849">
      <c r="N3849" s="7"/>
    </row>
    <row r="3850">
      <c r="N3850" s="7"/>
    </row>
    <row r="3851">
      <c r="N3851" s="7"/>
    </row>
    <row r="3852">
      <c r="N3852" s="7"/>
    </row>
    <row r="3853">
      <c r="N3853" s="7"/>
    </row>
    <row r="3854">
      <c r="N3854" s="7"/>
    </row>
    <row r="3855">
      <c r="N3855" s="7"/>
    </row>
    <row r="3856">
      <c r="N3856" s="7"/>
    </row>
    <row r="3857">
      <c r="N3857" s="7"/>
    </row>
    <row r="3858">
      <c r="N3858" s="7"/>
    </row>
    <row r="3859">
      <c r="N3859" s="7"/>
    </row>
    <row r="3860">
      <c r="N3860" s="7"/>
    </row>
    <row r="3861">
      <c r="N3861" s="7"/>
    </row>
    <row r="3862">
      <c r="N3862" s="7"/>
    </row>
    <row r="3863">
      <c r="N3863" s="7"/>
    </row>
    <row r="3864">
      <c r="N3864" s="7"/>
    </row>
    <row r="3865">
      <c r="N3865" s="7"/>
    </row>
    <row r="3866">
      <c r="N3866" s="7"/>
    </row>
    <row r="3867">
      <c r="N3867" s="7"/>
    </row>
    <row r="3868">
      <c r="N3868" s="7"/>
    </row>
    <row r="3869">
      <c r="N3869" s="7"/>
    </row>
    <row r="3870">
      <c r="N3870" s="7"/>
    </row>
    <row r="3871">
      <c r="N3871" s="7"/>
    </row>
    <row r="3872">
      <c r="N3872" s="7"/>
    </row>
    <row r="3873">
      <c r="N3873" s="7"/>
    </row>
    <row r="3874">
      <c r="N3874" s="7"/>
    </row>
    <row r="3875">
      <c r="N3875" s="7"/>
    </row>
    <row r="3876">
      <c r="N3876" s="7"/>
    </row>
    <row r="3877">
      <c r="N3877" s="7"/>
    </row>
    <row r="3878">
      <c r="N3878" s="7"/>
    </row>
    <row r="3879">
      <c r="N3879" s="7"/>
    </row>
    <row r="3880">
      <c r="N3880" s="7"/>
    </row>
    <row r="3881">
      <c r="N3881" s="7"/>
    </row>
    <row r="3882">
      <c r="I3882" s="9"/>
      <c r="N3882" s="7"/>
    </row>
    <row r="3883">
      <c r="N3883" s="7"/>
    </row>
    <row r="3884">
      <c r="N3884" s="7"/>
    </row>
    <row r="3885">
      <c r="N3885" s="7"/>
    </row>
    <row r="3886">
      <c r="N3886" s="7"/>
    </row>
    <row r="3887">
      <c r="N3887" s="7"/>
    </row>
    <row r="3888">
      <c r="N3888" s="7"/>
    </row>
    <row r="3889">
      <c r="N3889" s="7"/>
    </row>
    <row r="3890">
      <c r="N3890" s="7"/>
    </row>
    <row r="3891">
      <c r="N3891" s="7"/>
    </row>
    <row r="3892">
      <c r="N3892" s="7"/>
    </row>
    <row r="3893">
      <c r="N3893" s="7"/>
    </row>
    <row r="3894">
      <c r="N3894" s="7"/>
    </row>
    <row r="3895">
      <c r="N3895" s="7"/>
    </row>
    <row r="3896">
      <c r="N3896" s="7"/>
    </row>
    <row r="3897">
      <c r="I3897" s="9"/>
      <c r="N3897" s="7"/>
    </row>
    <row r="3898">
      <c r="N3898" s="7"/>
    </row>
    <row r="3899">
      <c r="N3899" s="7"/>
    </row>
    <row r="3900">
      <c r="N3900" s="7"/>
    </row>
    <row r="3901">
      <c r="N3901" s="7"/>
    </row>
    <row r="3902">
      <c r="N3902" s="7"/>
    </row>
    <row r="3903">
      <c r="N3903" s="7"/>
    </row>
    <row r="3904">
      <c r="N3904" s="7"/>
    </row>
    <row r="3905">
      <c r="N3905" s="7"/>
    </row>
    <row r="3906">
      <c r="N3906" s="7"/>
    </row>
    <row r="3907">
      <c r="N3907" s="7"/>
    </row>
    <row r="3908">
      <c r="N3908" s="7"/>
    </row>
    <row r="3909">
      <c r="N3909" s="7"/>
    </row>
    <row r="3910">
      <c r="N3910" s="7"/>
    </row>
    <row r="3911">
      <c r="N3911" s="7"/>
    </row>
    <row r="3912">
      <c r="N3912" s="7"/>
    </row>
    <row r="3913">
      <c r="N3913" s="7"/>
    </row>
    <row r="3914">
      <c r="N3914" s="7"/>
    </row>
    <row r="3915">
      <c r="N3915" s="7"/>
    </row>
    <row r="3916">
      <c r="N3916" s="7"/>
    </row>
    <row r="3917">
      <c r="N3917" s="7"/>
    </row>
    <row r="3918">
      <c r="N3918" s="7"/>
    </row>
    <row r="3919">
      <c r="N3919" s="7"/>
    </row>
    <row r="3920">
      <c r="N3920" s="7"/>
    </row>
    <row r="3921">
      <c r="N3921" s="7"/>
    </row>
    <row r="3922">
      <c r="N3922" s="7"/>
    </row>
    <row r="3923">
      <c r="N3923" s="7"/>
    </row>
    <row r="3924">
      <c r="N3924" s="7"/>
    </row>
    <row r="3925">
      <c r="N3925" s="7"/>
    </row>
    <row r="3926">
      <c r="N3926" s="7"/>
    </row>
    <row r="3927">
      <c r="N3927" s="7"/>
    </row>
    <row r="3928">
      <c r="N3928" s="7"/>
    </row>
    <row r="3929">
      <c r="N3929" s="7"/>
    </row>
    <row r="3930">
      <c r="N3930" s="7"/>
    </row>
    <row r="3931">
      <c r="N3931" s="7"/>
    </row>
    <row r="3932">
      <c r="N3932" s="7"/>
    </row>
    <row r="3933">
      <c r="N3933" s="7"/>
    </row>
    <row r="3934">
      <c r="N3934" s="7"/>
    </row>
    <row r="3935">
      <c r="N3935" s="7"/>
    </row>
    <row r="3936">
      <c r="N3936" s="7"/>
    </row>
    <row r="3937">
      <c r="N3937" s="7"/>
    </row>
    <row r="3938">
      <c r="N3938" s="7"/>
    </row>
    <row r="3939">
      <c r="N3939" s="7"/>
    </row>
    <row r="3940">
      <c r="N3940" s="7"/>
    </row>
    <row r="3941">
      <c r="N3941" s="7"/>
    </row>
    <row r="3942">
      <c r="N3942" s="7"/>
    </row>
    <row r="3943">
      <c r="N3943" s="7"/>
    </row>
    <row r="3944">
      <c r="N3944" s="7"/>
    </row>
    <row r="3945">
      <c r="N3945" s="7"/>
    </row>
    <row r="3946">
      <c r="N3946" s="7"/>
    </row>
    <row r="3947">
      <c r="N3947" s="7"/>
    </row>
    <row r="3948">
      <c r="N3948" s="7"/>
    </row>
    <row r="3949">
      <c r="N3949" s="7"/>
    </row>
    <row r="3950">
      <c r="N3950" s="7"/>
    </row>
    <row r="3951">
      <c r="N3951" s="7"/>
    </row>
    <row r="3952">
      <c r="N3952" s="7"/>
    </row>
    <row r="3953">
      <c r="N3953" s="7"/>
    </row>
    <row r="3954">
      <c r="N3954" s="7"/>
    </row>
    <row r="3955">
      <c r="N3955" s="7"/>
    </row>
    <row r="3956">
      <c r="N3956" s="7"/>
    </row>
    <row r="3957">
      <c r="N3957" s="7"/>
    </row>
    <row r="3958">
      <c r="N3958" s="7"/>
    </row>
    <row r="3959">
      <c r="N3959" s="7"/>
    </row>
    <row r="3960">
      <c r="N3960" s="7"/>
    </row>
    <row r="3961">
      <c r="N3961" s="7"/>
    </row>
    <row r="3962">
      <c r="N3962" s="7"/>
    </row>
    <row r="3963">
      <c r="N3963" s="7"/>
    </row>
    <row r="3964">
      <c r="N3964" s="7"/>
    </row>
    <row r="3965">
      <c r="N3965" s="7"/>
    </row>
    <row r="3966">
      <c r="N3966" s="7"/>
    </row>
    <row r="3967">
      <c r="N3967" s="7"/>
    </row>
    <row r="3968">
      <c r="N3968" s="7"/>
    </row>
    <row r="3969">
      <c r="N3969" s="7"/>
    </row>
    <row r="3970">
      <c r="N3970" s="7"/>
    </row>
    <row r="3971">
      <c r="N3971" s="7"/>
    </row>
    <row r="3972">
      <c r="N3972" s="7"/>
    </row>
    <row r="3973">
      <c r="N3973" s="7"/>
    </row>
    <row r="3974">
      <c r="N3974" s="7"/>
    </row>
    <row r="3975">
      <c r="N3975" s="7"/>
    </row>
    <row r="3976">
      <c r="N3976" s="7"/>
    </row>
    <row r="3977">
      <c r="N3977" s="7"/>
    </row>
    <row r="3978">
      <c r="N3978" s="7"/>
    </row>
    <row r="3979">
      <c r="N3979" s="7"/>
    </row>
    <row r="3980">
      <c r="N3980" s="7"/>
    </row>
    <row r="3981">
      <c r="N3981" s="7"/>
    </row>
    <row r="3982">
      <c r="N3982" s="7"/>
    </row>
    <row r="3983">
      <c r="N3983" s="7"/>
    </row>
    <row r="3984">
      <c r="N3984" s="7"/>
    </row>
    <row r="3985">
      <c r="N3985" s="7"/>
    </row>
    <row r="3986">
      <c r="N3986" s="7"/>
    </row>
    <row r="3987">
      <c r="N3987" s="7"/>
    </row>
    <row r="3988">
      <c r="N3988" s="7"/>
    </row>
    <row r="3989">
      <c r="N3989" s="7"/>
    </row>
    <row r="3990">
      <c r="N3990" s="7"/>
    </row>
    <row r="3991">
      <c r="N3991" s="7"/>
    </row>
    <row r="3992">
      <c r="N3992" s="7"/>
    </row>
    <row r="3993">
      <c r="N3993" s="7"/>
    </row>
    <row r="3994">
      <c r="N3994" s="7"/>
    </row>
    <row r="3995">
      <c r="N3995" s="7"/>
    </row>
    <row r="3996">
      <c r="N3996" s="7"/>
    </row>
    <row r="3997">
      <c r="N3997" s="7"/>
    </row>
    <row r="3998">
      <c r="N3998" s="7"/>
    </row>
    <row r="3999">
      <c r="N3999" s="7"/>
    </row>
    <row r="4000">
      <c r="N4000" s="7"/>
    </row>
    <row r="4001">
      <c r="I4001" s="9"/>
      <c r="N4001" s="7"/>
    </row>
    <row r="4002">
      <c r="N4002" s="7"/>
    </row>
    <row r="4003">
      <c r="N4003" s="7"/>
    </row>
    <row r="4004">
      <c r="N4004" s="7"/>
    </row>
    <row r="4005">
      <c r="N4005" s="7"/>
    </row>
    <row r="4006">
      <c r="N4006" s="7"/>
    </row>
    <row r="4007">
      <c r="N4007" s="7"/>
    </row>
    <row r="4008">
      <c r="N4008" s="7"/>
    </row>
    <row r="4009">
      <c r="N4009" s="7"/>
    </row>
    <row r="4010">
      <c r="N4010" s="7"/>
    </row>
    <row r="4011">
      <c r="N4011" s="7"/>
    </row>
    <row r="4012">
      <c r="N4012" s="7"/>
    </row>
    <row r="4013">
      <c r="N4013" s="7"/>
    </row>
    <row r="4014">
      <c r="N4014" s="7"/>
    </row>
    <row r="4015">
      <c r="N4015" s="7"/>
    </row>
    <row r="4016">
      <c r="N4016" s="7"/>
    </row>
    <row r="4017">
      <c r="N4017" s="7"/>
    </row>
    <row r="4018">
      <c r="N4018" s="7"/>
    </row>
    <row r="4019">
      <c r="N4019" s="7"/>
    </row>
    <row r="4020">
      <c r="N4020" s="7"/>
    </row>
    <row r="4021">
      <c r="N4021" s="7"/>
    </row>
    <row r="4022">
      <c r="N4022" s="7"/>
    </row>
    <row r="4023">
      <c r="N4023" s="7"/>
    </row>
    <row r="4024">
      <c r="N4024" s="7"/>
    </row>
    <row r="4025">
      <c r="N4025" s="7"/>
    </row>
    <row r="4026">
      <c r="N4026" s="7"/>
    </row>
    <row r="4027">
      <c r="N4027" s="7"/>
    </row>
    <row r="4028">
      <c r="N4028" s="7"/>
    </row>
    <row r="4029">
      <c r="N4029" s="7"/>
    </row>
    <row r="4030">
      <c r="N4030" s="7"/>
    </row>
    <row r="4031">
      <c r="N4031" s="7"/>
    </row>
    <row r="4032">
      <c r="N4032" s="7"/>
    </row>
    <row r="4033">
      <c r="N4033" s="7"/>
    </row>
    <row r="4034">
      <c r="N4034" s="7"/>
    </row>
    <row r="4035">
      <c r="N4035" s="7"/>
    </row>
    <row r="4036">
      <c r="N4036" s="7"/>
    </row>
    <row r="4037">
      <c r="N4037" s="7"/>
    </row>
    <row r="4038">
      <c r="N4038" s="7"/>
    </row>
    <row r="4039">
      <c r="N4039" s="7"/>
    </row>
    <row r="4040">
      <c r="N4040" s="7"/>
    </row>
    <row r="4041">
      <c r="N4041" s="7"/>
    </row>
    <row r="4042">
      <c r="N4042" s="7"/>
    </row>
    <row r="4043">
      <c r="N4043" s="7"/>
    </row>
    <row r="4044">
      <c r="N4044" s="7"/>
    </row>
    <row r="4045">
      <c r="N4045" s="7"/>
    </row>
    <row r="4046">
      <c r="N4046" s="7"/>
    </row>
    <row r="4047">
      <c r="N4047" s="7"/>
    </row>
    <row r="4048">
      <c r="N4048" s="7"/>
    </row>
    <row r="4049">
      <c r="N4049" s="7"/>
    </row>
    <row r="4050">
      <c r="N4050" s="7"/>
    </row>
    <row r="4051">
      <c r="N4051" s="7"/>
    </row>
    <row r="4052">
      <c r="N4052" s="7"/>
    </row>
    <row r="4053">
      <c r="N4053" s="7"/>
    </row>
    <row r="4054">
      <c r="N4054" s="7"/>
    </row>
    <row r="4055">
      <c r="N4055" s="7"/>
    </row>
    <row r="4056">
      <c r="N4056" s="7"/>
    </row>
    <row r="4057">
      <c r="N4057" s="7"/>
    </row>
    <row r="4058">
      <c r="N4058" s="7"/>
    </row>
    <row r="4059">
      <c r="N4059" s="7"/>
    </row>
    <row r="4060">
      <c r="N4060" s="7"/>
    </row>
    <row r="4061">
      <c r="N4061" s="7"/>
    </row>
    <row r="4062">
      <c r="N4062" s="7"/>
    </row>
    <row r="4063">
      <c r="N4063" s="7"/>
    </row>
    <row r="4064">
      <c r="N4064" s="7"/>
    </row>
    <row r="4065">
      <c r="N4065" s="7"/>
    </row>
    <row r="4066">
      <c r="N4066" s="7"/>
    </row>
    <row r="4067">
      <c r="N4067" s="7"/>
    </row>
    <row r="4068">
      <c r="N4068" s="7"/>
    </row>
    <row r="4069">
      <c r="N4069" s="7"/>
    </row>
    <row r="4070">
      <c r="N4070" s="7"/>
    </row>
    <row r="4071">
      <c r="N4071" s="7"/>
    </row>
    <row r="4072">
      <c r="N4072" s="7"/>
    </row>
    <row r="4073">
      <c r="N4073" s="7"/>
    </row>
    <row r="4074">
      <c r="N4074" s="7"/>
    </row>
    <row r="4075">
      <c r="N4075" s="7"/>
    </row>
    <row r="4076">
      <c r="N4076" s="7"/>
    </row>
    <row r="4077">
      <c r="N4077" s="7"/>
    </row>
    <row r="4078">
      <c r="N4078" s="7"/>
    </row>
    <row r="4079">
      <c r="N4079" s="7"/>
    </row>
    <row r="4080">
      <c r="N4080" s="7"/>
    </row>
    <row r="4081">
      <c r="N4081" s="7"/>
    </row>
    <row r="4082">
      <c r="N4082" s="7"/>
    </row>
    <row r="4083">
      <c r="N4083" s="7"/>
    </row>
    <row r="4084">
      <c r="N4084" s="7"/>
    </row>
    <row r="4085">
      <c r="N4085" s="7"/>
    </row>
    <row r="4086">
      <c r="N4086" s="7"/>
    </row>
    <row r="4087">
      <c r="N4087" s="7"/>
    </row>
    <row r="4088">
      <c r="N4088" s="7"/>
    </row>
    <row r="4089">
      <c r="N4089" s="7"/>
    </row>
    <row r="4090">
      <c r="N4090" s="7"/>
    </row>
    <row r="4091">
      <c r="N4091" s="7"/>
    </row>
    <row r="4092">
      <c r="N4092" s="7"/>
    </row>
    <row r="4093">
      <c r="N4093" s="7"/>
    </row>
    <row r="4094">
      <c r="N4094" s="7"/>
    </row>
    <row r="4095">
      <c r="N4095" s="7"/>
    </row>
    <row r="4096">
      <c r="N4096" s="7"/>
    </row>
    <row r="4097">
      <c r="N4097" s="7"/>
    </row>
    <row r="4098">
      <c r="N4098" s="7"/>
    </row>
    <row r="4099">
      <c r="N4099" s="7"/>
    </row>
    <row r="4100">
      <c r="N4100" s="7"/>
    </row>
    <row r="4101">
      <c r="N4101" s="7"/>
    </row>
    <row r="4102">
      <c r="N4102" s="7"/>
    </row>
    <row r="4103">
      <c r="N4103" s="7"/>
    </row>
    <row r="4104">
      <c r="N4104" s="7"/>
    </row>
    <row r="4105">
      <c r="N4105" s="7"/>
    </row>
    <row r="4106">
      <c r="N4106" s="7"/>
    </row>
    <row r="4107">
      <c r="N4107" s="7"/>
    </row>
    <row r="4108">
      <c r="N4108" s="7"/>
    </row>
    <row r="4109">
      <c r="N4109" s="7"/>
    </row>
    <row r="4110">
      <c r="I4110" s="9"/>
      <c r="N4110" s="7"/>
    </row>
    <row r="4111">
      <c r="N4111" s="7"/>
    </row>
    <row r="4112">
      <c r="N4112" s="7"/>
    </row>
    <row r="4113">
      <c r="N4113" s="7"/>
    </row>
    <row r="4114">
      <c r="N4114" s="7"/>
    </row>
    <row r="4115">
      <c r="N4115" s="7"/>
    </row>
    <row r="4116">
      <c r="N4116" s="7"/>
    </row>
    <row r="4117">
      <c r="N4117" s="7"/>
    </row>
    <row r="4118">
      <c r="N4118" s="7"/>
    </row>
    <row r="4119">
      <c r="N4119" s="7"/>
    </row>
    <row r="4120">
      <c r="N4120" s="7"/>
    </row>
    <row r="4121">
      <c r="N4121" s="7"/>
    </row>
    <row r="4122">
      <c r="N4122" s="7"/>
    </row>
    <row r="4123">
      <c r="N4123" s="7"/>
    </row>
    <row r="4124">
      <c r="I4124" s="9"/>
      <c r="N4124" s="7"/>
    </row>
    <row r="4125">
      <c r="N4125" s="7"/>
    </row>
    <row r="4126">
      <c r="N4126" s="7"/>
    </row>
    <row r="4127">
      <c r="N4127" s="7"/>
    </row>
    <row r="4128">
      <c r="N4128" s="7"/>
    </row>
    <row r="4129">
      <c r="N4129" s="7"/>
    </row>
    <row r="4130">
      <c r="N4130" s="7"/>
    </row>
    <row r="4131">
      <c r="N4131" s="7"/>
    </row>
    <row r="4132">
      <c r="I4132" s="9"/>
      <c r="N4132" s="7"/>
    </row>
    <row r="4133">
      <c r="N4133" s="7"/>
    </row>
    <row r="4134">
      <c r="N4134" s="7"/>
    </row>
    <row r="4135">
      <c r="N4135" s="7"/>
    </row>
    <row r="4136">
      <c r="N4136" s="7"/>
    </row>
    <row r="4137">
      <c r="N4137" s="7"/>
    </row>
    <row r="4138">
      <c r="N4138" s="7"/>
    </row>
    <row r="4139">
      <c r="N4139" s="7"/>
    </row>
    <row r="4140">
      <c r="N4140" s="7"/>
    </row>
    <row r="4141">
      <c r="N4141" s="7"/>
    </row>
    <row r="4142">
      <c r="N4142" s="7"/>
    </row>
    <row r="4143">
      <c r="N4143" s="7"/>
    </row>
    <row r="4144">
      <c r="N4144" s="7"/>
    </row>
    <row r="4145">
      <c r="N4145" s="7"/>
    </row>
    <row r="4146">
      <c r="N4146" s="7"/>
    </row>
    <row r="4147">
      <c r="N4147" s="7"/>
    </row>
    <row r="4148">
      <c r="N4148" s="7"/>
    </row>
    <row r="4149">
      <c r="N4149" s="7"/>
    </row>
    <row r="4150">
      <c r="N4150" s="7"/>
    </row>
    <row r="4151">
      <c r="N4151" s="7"/>
    </row>
    <row r="4152">
      <c r="N4152" s="7"/>
    </row>
    <row r="4153">
      <c r="N4153" s="7"/>
    </row>
    <row r="4154">
      <c r="N4154" s="7"/>
    </row>
    <row r="4155">
      <c r="N4155" s="7"/>
    </row>
    <row r="4156">
      <c r="N4156" s="7"/>
    </row>
    <row r="4157">
      <c r="N4157" s="7"/>
    </row>
    <row r="4158">
      <c r="N4158" s="7"/>
    </row>
    <row r="4159">
      <c r="N4159" s="7"/>
    </row>
    <row r="4160">
      <c r="N4160" s="7"/>
    </row>
    <row r="4161">
      <c r="N4161" s="7"/>
    </row>
    <row r="4162">
      <c r="N4162" s="7"/>
    </row>
    <row r="4163">
      <c r="N4163" s="7"/>
    </row>
    <row r="4164">
      <c r="N4164" s="7"/>
    </row>
    <row r="4165">
      <c r="N4165" s="7"/>
    </row>
    <row r="4166">
      <c r="N4166" s="7"/>
    </row>
    <row r="4167">
      <c r="N4167" s="7"/>
    </row>
    <row r="4168">
      <c r="N4168" s="7"/>
    </row>
    <row r="4169">
      <c r="N4169" s="7"/>
    </row>
    <row r="4170">
      <c r="N4170" s="7"/>
    </row>
    <row r="4171">
      <c r="N4171" s="7"/>
    </row>
    <row r="4172">
      <c r="N4172" s="7"/>
    </row>
    <row r="4173">
      <c r="N4173" s="7"/>
    </row>
    <row r="4174">
      <c r="N4174" s="7"/>
    </row>
    <row r="4175">
      <c r="N4175" s="7"/>
    </row>
    <row r="4176">
      <c r="N4176" s="7"/>
    </row>
    <row r="4177">
      <c r="N4177" s="7"/>
    </row>
    <row r="4178">
      <c r="N4178" s="7"/>
    </row>
    <row r="4179">
      <c r="N4179" s="7"/>
    </row>
    <row r="4180">
      <c r="N4180" s="7"/>
    </row>
    <row r="4181">
      <c r="N4181" s="7"/>
    </row>
    <row r="4182">
      <c r="N4182" s="7"/>
    </row>
    <row r="4183">
      <c r="N4183" s="7"/>
    </row>
    <row r="4184">
      <c r="N4184" s="7"/>
    </row>
    <row r="4185">
      <c r="N4185" s="7"/>
    </row>
    <row r="4186">
      <c r="N4186" s="7"/>
    </row>
    <row r="4187">
      <c r="N4187" s="7"/>
    </row>
    <row r="4188">
      <c r="N4188" s="7"/>
    </row>
    <row r="4189">
      <c r="N4189" s="7"/>
    </row>
    <row r="4190">
      <c r="N4190" s="7"/>
    </row>
    <row r="4191">
      <c r="N4191" s="7"/>
    </row>
    <row r="4192">
      <c r="N4192" s="7"/>
    </row>
    <row r="4193">
      <c r="N4193" s="7"/>
    </row>
    <row r="4194">
      <c r="I4194" s="9"/>
      <c r="N4194" s="7"/>
    </row>
    <row r="4195">
      <c r="N4195" s="7"/>
    </row>
    <row r="4196">
      <c r="N4196" s="7"/>
    </row>
    <row r="4197">
      <c r="N4197" s="7"/>
    </row>
    <row r="4198">
      <c r="N4198" s="7"/>
    </row>
    <row r="4199">
      <c r="N4199" s="7"/>
    </row>
    <row r="4200">
      <c r="N4200" s="7"/>
    </row>
    <row r="4201">
      <c r="N4201" s="7"/>
    </row>
    <row r="4202">
      <c r="N4202" s="7"/>
    </row>
    <row r="4203">
      <c r="N4203" s="7"/>
    </row>
    <row r="4204">
      <c r="N4204" s="7"/>
    </row>
    <row r="4205">
      <c r="N4205" s="7"/>
    </row>
    <row r="4206">
      <c r="N4206" s="7"/>
    </row>
    <row r="4207">
      <c r="N4207" s="7"/>
    </row>
    <row r="4208">
      <c r="N4208" s="7"/>
    </row>
    <row r="4209">
      <c r="N4209" s="7"/>
    </row>
    <row r="4210">
      <c r="N4210" s="7"/>
    </row>
    <row r="4211">
      <c r="N4211" s="7"/>
    </row>
    <row r="4212">
      <c r="N4212" s="7"/>
    </row>
    <row r="4213">
      <c r="N4213" s="7"/>
    </row>
    <row r="4214">
      <c r="N4214" s="7"/>
    </row>
    <row r="4215">
      <c r="N4215" s="7"/>
    </row>
    <row r="4216">
      <c r="N4216" s="7"/>
    </row>
    <row r="4217">
      <c r="N4217" s="7"/>
    </row>
    <row r="4218">
      <c r="N4218" s="7"/>
    </row>
    <row r="4219">
      <c r="N4219" s="7"/>
    </row>
    <row r="4220">
      <c r="N4220" s="7"/>
    </row>
    <row r="4221">
      <c r="N4221" s="7"/>
    </row>
    <row r="4222">
      <c r="N4222" s="7"/>
    </row>
    <row r="4223">
      <c r="N4223" s="7"/>
    </row>
    <row r="4224">
      <c r="N4224" s="7"/>
    </row>
    <row r="4225">
      <c r="N4225" s="7"/>
    </row>
    <row r="4226">
      <c r="N4226" s="7"/>
    </row>
    <row r="4227">
      <c r="N4227" s="7"/>
    </row>
    <row r="4228">
      <c r="N4228" s="7"/>
    </row>
    <row r="4229">
      <c r="N4229" s="7"/>
    </row>
    <row r="4230">
      <c r="N4230" s="7"/>
    </row>
    <row r="4231">
      <c r="N4231" s="7"/>
    </row>
    <row r="4232">
      <c r="N4232" s="7"/>
    </row>
    <row r="4233">
      <c r="N4233" s="7"/>
    </row>
    <row r="4234">
      <c r="N4234" s="7"/>
    </row>
    <row r="4235">
      <c r="N4235" s="7"/>
    </row>
    <row r="4236">
      <c r="N4236" s="7"/>
    </row>
    <row r="4237">
      <c r="N4237" s="7"/>
    </row>
    <row r="4238">
      <c r="N4238" s="7"/>
    </row>
    <row r="4239">
      <c r="N4239" s="7"/>
    </row>
    <row r="4240">
      <c r="N4240" s="7"/>
    </row>
    <row r="4241">
      <c r="N4241" s="7"/>
    </row>
    <row r="4242">
      <c r="N4242" s="7"/>
    </row>
    <row r="4243">
      <c r="N4243" s="7"/>
    </row>
    <row r="4244">
      <c r="N4244" s="7"/>
    </row>
    <row r="4245">
      <c r="N4245" s="7"/>
    </row>
    <row r="4246">
      <c r="N4246" s="7"/>
    </row>
    <row r="4247">
      <c r="N4247" s="7"/>
    </row>
    <row r="4248">
      <c r="N4248" s="7"/>
    </row>
    <row r="4249">
      <c r="N4249" s="7"/>
    </row>
    <row r="4250">
      <c r="N4250" s="7"/>
    </row>
    <row r="4251">
      <c r="I4251" s="9"/>
      <c r="N4251" s="7"/>
    </row>
    <row r="4252">
      <c r="N4252" s="7"/>
    </row>
    <row r="4253">
      <c r="N4253" s="7"/>
    </row>
    <row r="4254">
      <c r="N4254" s="7"/>
    </row>
    <row r="4255">
      <c r="N4255" s="7"/>
    </row>
    <row r="4256">
      <c r="N4256" s="7"/>
    </row>
    <row r="4257">
      <c r="I4257" s="9"/>
      <c r="N4257" s="7"/>
    </row>
    <row r="4258">
      <c r="N4258" s="7"/>
    </row>
    <row r="4259">
      <c r="N4259" s="7"/>
    </row>
    <row r="4260">
      <c r="N4260" s="7"/>
    </row>
    <row r="4261">
      <c r="N4261" s="7"/>
    </row>
    <row r="4262">
      <c r="N4262" s="7"/>
    </row>
    <row r="4263">
      <c r="N4263" s="7"/>
    </row>
    <row r="4264">
      <c r="N4264" s="7"/>
    </row>
    <row r="4265">
      <c r="I4265" s="9"/>
      <c r="N4265" s="7"/>
    </row>
    <row r="4266">
      <c r="N4266" s="7"/>
    </row>
    <row r="4267">
      <c r="N4267" s="7"/>
    </row>
    <row r="4268">
      <c r="N4268" s="7"/>
    </row>
    <row r="4269">
      <c r="N4269" s="7"/>
    </row>
    <row r="4270">
      <c r="N4270" s="7"/>
    </row>
    <row r="4271">
      <c r="N4271" s="7"/>
    </row>
    <row r="4272">
      <c r="N4272" s="7"/>
    </row>
    <row r="4273">
      <c r="I4273" s="9"/>
      <c r="N4273" s="7"/>
    </row>
    <row r="4274">
      <c r="N4274" s="7"/>
    </row>
    <row r="4275">
      <c r="N4275" s="7"/>
    </row>
    <row r="4276">
      <c r="N4276" s="7"/>
    </row>
    <row r="4277">
      <c r="N4277" s="7"/>
    </row>
    <row r="4278">
      <c r="N4278" s="7"/>
    </row>
    <row r="4279">
      <c r="N4279" s="7"/>
    </row>
    <row r="4280">
      <c r="N4280" s="7"/>
    </row>
    <row r="4281">
      <c r="N4281" s="7"/>
    </row>
    <row r="4282">
      <c r="N4282" s="7"/>
    </row>
    <row r="4283">
      <c r="N4283" s="7"/>
    </row>
    <row r="4284">
      <c r="N4284" s="7"/>
    </row>
    <row r="4285">
      <c r="N4285" s="7"/>
    </row>
    <row r="4286">
      <c r="N4286" s="7"/>
    </row>
    <row r="4287">
      <c r="N4287" s="7"/>
    </row>
    <row r="4288">
      <c r="N4288" s="7"/>
    </row>
    <row r="4289">
      <c r="N4289" s="7"/>
    </row>
    <row r="4290">
      <c r="N4290" s="7"/>
    </row>
    <row r="4291">
      <c r="N4291" s="7"/>
    </row>
    <row r="4292">
      <c r="N4292" s="7"/>
    </row>
    <row r="4293">
      <c r="N4293" s="7"/>
    </row>
    <row r="4294">
      <c r="N4294" s="7"/>
    </row>
    <row r="4295">
      <c r="N4295" s="7"/>
    </row>
    <row r="4296">
      <c r="N4296" s="7"/>
    </row>
    <row r="4297">
      <c r="N4297" s="7"/>
    </row>
    <row r="4298">
      <c r="N4298" s="7"/>
    </row>
    <row r="4299">
      <c r="N4299" s="7"/>
    </row>
    <row r="4300">
      <c r="N4300" s="7"/>
    </row>
    <row r="4301">
      <c r="N4301" s="7"/>
    </row>
    <row r="4302">
      <c r="N4302" s="7"/>
    </row>
    <row r="4303">
      <c r="N4303" s="7"/>
    </row>
    <row r="4304">
      <c r="N4304" s="7"/>
    </row>
    <row r="4305">
      <c r="N4305" s="7"/>
    </row>
    <row r="4306">
      <c r="N4306" s="7"/>
    </row>
    <row r="4307">
      <c r="N4307" s="7"/>
    </row>
    <row r="4308">
      <c r="N4308" s="7"/>
    </row>
    <row r="4309">
      <c r="N4309" s="7"/>
    </row>
    <row r="4310">
      <c r="N4310" s="7"/>
    </row>
    <row r="4311">
      <c r="N4311" s="7"/>
    </row>
    <row r="4312">
      <c r="N4312" s="7"/>
    </row>
    <row r="4313">
      <c r="N4313" s="7"/>
    </row>
    <row r="4314">
      <c r="N4314" s="7"/>
    </row>
    <row r="4315">
      <c r="N4315" s="7"/>
    </row>
    <row r="4316">
      <c r="N4316" s="7"/>
    </row>
    <row r="4317">
      <c r="N4317" s="7"/>
    </row>
    <row r="4318">
      <c r="N4318" s="7"/>
    </row>
    <row r="4319">
      <c r="N4319" s="7"/>
    </row>
    <row r="4320">
      <c r="N4320" s="7"/>
    </row>
    <row r="4321">
      <c r="N4321" s="7"/>
    </row>
    <row r="4322">
      <c r="N4322" s="7"/>
    </row>
    <row r="4323">
      <c r="N4323" s="7"/>
    </row>
    <row r="4324">
      <c r="N4324" s="7"/>
    </row>
    <row r="4325">
      <c r="N4325" s="7"/>
    </row>
    <row r="4326">
      <c r="I4326" s="9"/>
      <c r="N4326" s="7"/>
    </row>
    <row r="4327">
      <c r="N4327" s="7"/>
    </row>
    <row r="4328">
      <c r="N4328" s="7"/>
    </row>
    <row r="4329">
      <c r="N4329" s="7"/>
    </row>
    <row r="4330">
      <c r="N4330" s="7"/>
    </row>
    <row r="4331">
      <c r="N4331" s="7"/>
    </row>
    <row r="4332">
      <c r="N4332" s="7"/>
    </row>
    <row r="4333">
      <c r="N4333" s="7"/>
    </row>
    <row r="4334">
      <c r="N4334" s="7"/>
    </row>
    <row r="4335">
      <c r="N4335" s="7"/>
    </row>
    <row r="4336">
      <c r="N4336" s="7"/>
    </row>
    <row r="4337">
      <c r="N4337" s="7"/>
    </row>
    <row r="4338">
      <c r="N4338" s="7"/>
    </row>
    <row r="4339">
      <c r="N4339" s="7"/>
    </row>
    <row r="4340">
      <c r="N4340" s="7"/>
    </row>
    <row r="4341">
      <c r="N4341" s="7"/>
    </row>
    <row r="4342">
      <c r="N4342" s="7"/>
    </row>
    <row r="4343">
      <c r="N4343" s="7"/>
    </row>
    <row r="4344">
      <c r="N4344" s="7"/>
    </row>
    <row r="4345">
      <c r="N4345" s="7"/>
    </row>
    <row r="4346">
      <c r="N4346" s="7"/>
    </row>
    <row r="4347">
      <c r="N4347" s="7"/>
    </row>
    <row r="4348">
      <c r="N4348" s="7"/>
    </row>
    <row r="4349">
      <c r="N4349" s="7"/>
    </row>
    <row r="4350">
      <c r="N4350" s="7"/>
    </row>
    <row r="4351">
      <c r="N4351" s="7"/>
    </row>
    <row r="4352">
      <c r="N4352" s="7"/>
    </row>
    <row r="4353">
      <c r="N4353" s="7"/>
    </row>
    <row r="4354">
      <c r="N4354" s="7"/>
    </row>
    <row r="4355">
      <c r="N4355" s="7"/>
    </row>
    <row r="4356">
      <c r="N4356" s="7"/>
    </row>
    <row r="4357">
      <c r="N4357" s="7"/>
    </row>
    <row r="4358">
      <c r="N4358" s="7"/>
    </row>
    <row r="4359">
      <c r="N4359" s="7"/>
    </row>
    <row r="4360">
      <c r="N4360" s="7"/>
    </row>
    <row r="4361">
      <c r="N4361" s="7"/>
    </row>
    <row r="4362">
      <c r="N4362" s="7"/>
    </row>
    <row r="4363">
      <c r="N4363" s="7"/>
    </row>
    <row r="4364">
      <c r="N4364" s="7"/>
    </row>
    <row r="4365">
      <c r="N4365" s="7"/>
    </row>
    <row r="4366">
      <c r="N4366" s="7"/>
    </row>
    <row r="4367">
      <c r="N4367" s="7"/>
    </row>
    <row r="4368">
      <c r="N4368" s="7"/>
    </row>
    <row r="4369">
      <c r="N4369" s="7"/>
    </row>
    <row r="4370">
      <c r="N4370" s="7"/>
    </row>
    <row r="4371">
      <c r="N4371" s="7"/>
    </row>
    <row r="4372">
      <c r="N4372" s="7"/>
    </row>
    <row r="4373">
      <c r="N4373" s="7"/>
    </row>
    <row r="4374">
      <c r="N4374" s="7"/>
    </row>
    <row r="4375">
      <c r="N4375" s="7"/>
    </row>
    <row r="4376">
      <c r="N4376" s="7"/>
    </row>
    <row r="4377">
      <c r="N4377" s="7"/>
    </row>
    <row r="4378">
      <c r="N4378" s="7"/>
    </row>
    <row r="4379">
      <c r="N4379" s="7"/>
    </row>
    <row r="4380">
      <c r="N4380" s="7"/>
    </row>
    <row r="4381">
      <c r="N4381" s="7"/>
    </row>
    <row r="4382">
      <c r="N4382" s="7"/>
    </row>
    <row r="4383">
      <c r="N4383" s="7"/>
    </row>
    <row r="4384">
      <c r="N4384" s="7"/>
    </row>
    <row r="4385">
      <c r="N4385" s="7"/>
    </row>
    <row r="4386">
      <c r="N4386" s="7"/>
    </row>
    <row r="4387">
      <c r="N4387" s="7"/>
    </row>
    <row r="4388">
      <c r="N4388" s="7"/>
    </row>
    <row r="4389">
      <c r="N4389" s="7"/>
    </row>
    <row r="4390">
      <c r="N4390" s="7"/>
    </row>
    <row r="4391">
      <c r="N4391" s="7"/>
    </row>
    <row r="4392">
      <c r="N4392" s="7"/>
    </row>
    <row r="4393">
      <c r="N4393" s="7"/>
    </row>
    <row r="4394">
      <c r="N4394" s="7"/>
    </row>
    <row r="4395">
      <c r="N4395" s="7"/>
    </row>
    <row r="4396">
      <c r="N4396" s="7"/>
    </row>
    <row r="4397">
      <c r="N4397" s="7"/>
    </row>
    <row r="4398">
      <c r="N4398" s="7"/>
    </row>
    <row r="4399">
      <c r="N4399" s="7"/>
    </row>
    <row r="4400">
      <c r="N4400" s="7"/>
    </row>
    <row r="4401">
      <c r="N4401" s="7"/>
    </row>
    <row r="4402">
      <c r="N4402" s="7"/>
    </row>
    <row r="4403">
      <c r="N4403" s="7"/>
    </row>
    <row r="4404">
      <c r="N4404" s="7"/>
    </row>
    <row r="4405">
      <c r="N4405" s="7"/>
    </row>
    <row r="4406">
      <c r="N4406" s="7"/>
    </row>
    <row r="4407">
      <c r="N4407" s="7"/>
    </row>
    <row r="4408">
      <c r="N4408" s="7"/>
    </row>
    <row r="4409">
      <c r="N4409" s="7"/>
    </row>
    <row r="4410">
      <c r="N4410" s="7"/>
    </row>
    <row r="4411">
      <c r="N4411" s="7"/>
    </row>
    <row r="4412">
      <c r="N4412" s="7"/>
    </row>
    <row r="4413">
      <c r="N4413" s="7"/>
    </row>
    <row r="4414">
      <c r="N4414" s="7"/>
    </row>
    <row r="4415">
      <c r="N4415" s="7"/>
    </row>
    <row r="4416">
      <c r="N4416" s="7"/>
    </row>
    <row r="4417">
      <c r="N4417" s="7"/>
    </row>
    <row r="4418">
      <c r="N4418" s="7"/>
    </row>
    <row r="4419">
      <c r="N4419" s="7"/>
    </row>
    <row r="4420">
      <c r="N4420" s="7"/>
    </row>
    <row r="4421">
      <c r="N4421" s="7"/>
    </row>
    <row r="4422">
      <c r="N4422" s="7"/>
    </row>
    <row r="4423">
      <c r="N4423" s="7"/>
    </row>
    <row r="4424">
      <c r="N4424" s="7"/>
    </row>
    <row r="4425">
      <c r="N4425" s="7"/>
    </row>
    <row r="4426">
      <c r="N4426" s="7"/>
    </row>
    <row r="4427">
      <c r="N4427" s="7"/>
    </row>
    <row r="4428">
      <c r="N4428" s="7"/>
    </row>
    <row r="4429">
      <c r="N4429" s="7"/>
    </row>
    <row r="4430">
      <c r="N4430" s="7"/>
    </row>
    <row r="4431">
      <c r="N4431" s="7"/>
    </row>
    <row r="4432">
      <c r="N4432" s="7"/>
    </row>
    <row r="4433">
      <c r="N4433" s="7"/>
    </row>
    <row r="4434">
      <c r="N4434" s="7"/>
    </row>
    <row r="4435">
      <c r="N4435" s="7"/>
    </row>
    <row r="4436">
      <c r="N4436" s="7"/>
    </row>
    <row r="4437">
      <c r="N4437" s="7"/>
    </row>
    <row r="4438">
      <c r="N4438" s="7"/>
    </row>
    <row r="4439">
      <c r="N4439" s="7"/>
    </row>
    <row r="4440">
      <c r="N4440" s="7"/>
    </row>
    <row r="4441">
      <c r="N4441" s="7"/>
    </row>
    <row r="4442">
      <c r="N4442" s="7"/>
    </row>
    <row r="4443">
      <c r="N4443" s="7"/>
    </row>
    <row r="4444">
      <c r="N4444" s="7"/>
    </row>
    <row r="4445">
      <c r="N4445" s="7"/>
    </row>
    <row r="4446">
      <c r="N4446" s="7"/>
    </row>
    <row r="4447">
      <c r="N4447" s="7"/>
    </row>
    <row r="4448">
      <c r="N4448" s="7"/>
    </row>
    <row r="4449">
      <c r="N4449" s="7"/>
    </row>
    <row r="4450">
      <c r="N4450" s="7"/>
    </row>
    <row r="4451">
      <c r="N4451" s="7"/>
    </row>
    <row r="4452">
      <c r="N4452" s="7"/>
    </row>
    <row r="4453">
      <c r="N4453" s="7"/>
    </row>
    <row r="4454">
      <c r="N4454" s="7"/>
    </row>
    <row r="4455">
      <c r="N4455" s="7"/>
    </row>
    <row r="4456">
      <c r="N4456" s="7"/>
    </row>
    <row r="4457">
      <c r="N4457" s="7"/>
    </row>
    <row r="4458">
      <c r="N4458" s="7"/>
    </row>
    <row r="4459">
      <c r="N4459" s="7"/>
    </row>
    <row r="4460">
      <c r="N4460" s="7"/>
    </row>
    <row r="4461">
      <c r="N4461" s="7"/>
    </row>
    <row r="4462">
      <c r="N4462" s="7"/>
    </row>
    <row r="4463">
      <c r="N4463" s="7"/>
    </row>
    <row r="4464">
      <c r="N4464" s="7"/>
    </row>
    <row r="4465">
      <c r="N4465" s="7"/>
    </row>
    <row r="4466">
      <c r="N4466" s="7"/>
    </row>
    <row r="4467">
      <c r="N4467" s="7"/>
    </row>
    <row r="4468">
      <c r="N4468" s="7"/>
    </row>
    <row r="4469">
      <c r="N4469" s="7"/>
    </row>
    <row r="4470">
      <c r="N4470" s="7"/>
    </row>
    <row r="4471">
      <c r="N4471" s="7"/>
    </row>
    <row r="4472">
      <c r="N4472" s="7"/>
    </row>
    <row r="4473">
      <c r="N4473" s="7"/>
    </row>
    <row r="4474">
      <c r="N4474" s="7"/>
    </row>
    <row r="4475">
      <c r="N4475" s="7"/>
    </row>
    <row r="4476">
      <c r="N4476" s="7"/>
    </row>
    <row r="4477">
      <c r="N4477" s="7"/>
    </row>
    <row r="4478">
      <c r="N4478" s="7"/>
    </row>
    <row r="4479">
      <c r="N4479" s="7"/>
    </row>
    <row r="4480">
      <c r="N4480" s="7"/>
    </row>
    <row r="4481">
      <c r="N4481" s="7"/>
    </row>
    <row r="4482">
      <c r="N4482" s="7"/>
    </row>
    <row r="4483">
      <c r="N4483" s="7"/>
    </row>
    <row r="4484">
      <c r="N4484" s="7"/>
    </row>
    <row r="4485">
      <c r="N4485" s="7"/>
    </row>
    <row r="4486">
      <c r="N4486" s="7"/>
    </row>
    <row r="4487">
      <c r="N4487" s="7"/>
    </row>
    <row r="4488">
      <c r="N4488" s="7"/>
    </row>
    <row r="4489">
      <c r="N4489" s="7"/>
    </row>
    <row r="4490">
      <c r="N4490" s="7"/>
    </row>
    <row r="4491">
      <c r="N4491" s="7"/>
    </row>
    <row r="4492">
      <c r="N4492" s="7"/>
    </row>
    <row r="4493">
      <c r="N4493" s="7"/>
    </row>
    <row r="4494">
      <c r="N4494" s="7"/>
    </row>
    <row r="4495">
      <c r="N4495" s="7"/>
    </row>
    <row r="4496">
      <c r="N4496" s="7"/>
    </row>
    <row r="4497">
      <c r="N4497" s="7"/>
    </row>
    <row r="4498">
      <c r="N4498" s="7"/>
    </row>
    <row r="4499">
      <c r="N4499" s="7"/>
    </row>
    <row r="4500">
      <c r="N4500" s="7"/>
    </row>
    <row r="4501">
      <c r="N4501" s="7"/>
    </row>
    <row r="4502">
      <c r="N4502" s="7"/>
    </row>
    <row r="4503">
      <c r="N4503" s="7"/>
    </row>
    <row r="4504">
      <c r="N4504" s="7"/>
    </row>
    <row r="4505">
      <c r="N4505" s="7"/>
    </row>
    <row r="4506">
      <c r="N4506" s="7"/>
    </row>
    <row r="4507">
      <c r="N4507" s="7"/>
    </row>
    <row r="4508">
      <c r="I4508" s="9"/>
      <c r="N4508" s="7"/>
    </row>
    <row r="4509">
      <c r="N4509" s="7"/>
    </row>
    <row r="4510">
      <c r="N4510" s="7"/>
    </row>
    <row r="4511">
      <c r="N4511" s="7"/>
    </row>
    <row r="4512">
      <c r="N4512" s="7"/>
    </row>
    <row r="4513">
      <c r="N4513" s="7"/>
    </row>
    <row r="4514">
      <c r="N4514" s="7"/>
    </row>
    <row r="4515">
      <c r="N4515" s="7"/>
    </row>
    <row r="4516">
      <c r="N4516" s="7"/>
    </row>
    <row r="4517">
      <c r="N4517" s="7"/>
    </row>
    <row r="4518">
      <c r="N4518" s="7"/>
    </row>
    <row r="4519">
      <c r="N4519" s="7"/>
    </row>
    <row r="4520">
      <c r="N4520" s="7"/>
    </row>
    <row r="4521">
      <c r="N4521" s="7"/>
    </row>
    <row r="4522">
      <c r="N4522" s="7"/>
    </row>
    <row r="4523">
      <c r="N4523" s="7"/>
    </row>
    <row r="4524">
      <c r="N4524" s="7"/>
    </row>
    <row r="4525">
      <c r="N4525" s="7"/>
    </row>
    <row r="4526">
      <c r="N4526" s="7"/>
    </row>
    <row r="4527">
      <c r="N4527" s="7"/>
    </row>
    <row r="4528">
      <c r="N4528" s="7"/>
    </row>
    <row r="4529">
      <c r="N4529" s="7"/>
    </row>
    <row r="4530">
      <c r="N4530" s="7"/>
    </row>
    <row r="4531">
      <c r="N4531" s="7"/>
    </row>
    <row r="4532">
      <c r="N4532" s="7"/>
    </row>
    <row r="4533">
      <c r="N4533" s="7"/>
    </row>
    <row r="4534">
      <c r="N4534" s="7"/>
    </row>
    <row r="4535">
      <c r="N4535" s="7"/>
    </row>
    <row r="4536">
      <c r="N4536" s="7"/>
    </row>
    <row r="4537">
      <c r="N4537" s="7"/>
    </row>
    <row r="4538">
      <c r="N4538" s="7"/>
    </row>
    <row r="4539">
      <c r="N4539" s="7"/>
    </row>
    <row r="4540">
      <c r="N4540" s="7"/>
    </row>
    <row r="4541">
      <c r="N4541" s="7"/>
    </row>
    <row r="4542">
      <c r="N4542" s="7"/>
    </row>
    <row r="4543">
      <c r="N4543" s="7"/>
    </row>
    <row r="4544">
      <c r="N4544" s="7"/>
    </row>
    <row r="4545">
      <c r="N4545" s="7"/>
    </row>
    <row r="4546">
      <c r="N4546" s="7"/>
    </row>
    <row r="4547">
      <c r="N4547" s="7"/>
    </row>
    <row r="4548">
      <c r="N4548" s="7"/>
    </row>
    <row r="4549">
      <c r="N4549" s="7"/>
    </row>
    <row r="4550">
      <c r="N4550" s="7"/>
    </row>
    <row r="4551">
      <c r="N4551" s="7"/>
    </row>
    <row r="4552">
      <c r="N4552" s="7"/>
    </row>
    <row r="4553">
      <c r="N4553" s="7"/>
    </row>
    <row r="4554">
      <c r="N4554" s="7"/>
    </row>
    <row r="4555">
      <c r="N4555" s="7"/>
    </row>
    <row r="4556">
      <c r="N4556" s="7"/>
    </row>
    <row r="4557">
      <c r="N4557" s="7"/>
    </row>
    <row r="4558">
      <c r="N4558" s="7"/>
    </row>
    <row r="4559">
      <c r="N4559" s="7"/>
    </row>
    <row r="4560">
      <c r="N4560" s="7"/>
    </row>
    <row r="4561">
      <c r="N4561" s="7"/>
    </row>
    <row r="4562">
      <c r="N4562" s="7"/>
    </row>
    <row r="4563">
      <c r="N4563" s="7"/>
    </row>
    <row r="4564">
      <c r="N4564" s="7"/>
    </row>
    <row r="4565">
      <c r="N4565" s="7"/>
    </row>
    <row r="4566">
      <c r="N4566" s="7"/>
    </row>
    <row r="4567">
      <c r="N4567" s="7"/>
    </row>
    <row r="4568">
      <c r="N4568" s="7"/>
    </row>
    <row r="4569">
      <c r="N4569" s="7"/>
    </row>
    <row r="4570">
      <c r="N4570" s="7"/>
    </row>
    <row r="4571">
      <c r="N4571" s="7"/>
    </row>
    <row r="4572">
      <c r="N4572" s="7"/>
    </row>
    <row r="4573">
      <c r="N4573" s="7"/>
    </row>
    <row r="4574">
      <c r="N4574" s="7"/>
    </row>
    <row r="4575">
      <c r="N4575" s="7"/>
    </row>
    <row r="4576">
      <c r="N4576" s="7"/>
    </row>
    <row r="4577">
      <c r="N4577" s="7"/>
    </row>
    <row r="4578">
      <c r="N4578" s="7"/>
    </row>
    <row r="4579">
      <c r="N4579" s="7"/>
    </row>
    <row r="4580">
      <c r="N4580" s="7"/>
    </row>
    <row r="4581">
      <c r="N4581" s="7"/>
    </row>
    <row r="4582">
      <c r="N4582" s="7"/>
    </row>
    <row r="4583">
      <c r="N4583" s="7"/>
    </row>
    <row r="4584">
      <c r="N4584" s="7"/>
    </row>
    <row r="4585">
      <c r="N4585" s="7"/>
    </row>
    <row r="4586">
      <c r="N4586" s="7"/>
    </row>
    <row r="4587">
      <c r="N4587" s="7"/>
    </row>
    <row r="4588">
      <c r="N4588" s="7"/>
    </row>
    <row r="4589">
      <c r="N4589" s="7"/>
    </row>
    <row r="4590">
      <c r="N4590" s="7"/>
    </row>
    <row r="4591">
      <c r="N4591" s="7"/>
    </row>
    <row r="4592">
      <c r="N4592" s="7"/>
    </row>
    <row r="4593">
      <c r="N4593" s="7"/>
    </row>
    <row r="4594">
      <c r="N4594" s="7"/>
    </row>
    <row r="4595">
      <c r="N4595" s="7"/>
    </row>
    <row r="4596">
      <c r="N4596" s="7"/>
    </row>
    <row r="4597">
      <c r="N4597" s="7"/>
    </row>
    <row r="4598">
      <c r="N4598" s="7"/>
    </row>
    <row r="4599">
      <c r="N4599" s="7"/>
    </row>
    <row r="4600">
      <c r="N4600" s="7"/>
    </row>
    <row r="4601">
      <c r="N4601" s="7"/>
    </row>
    <row r="4602">
      <c r="N4602" s="7"/>
    </row>
    <row r="4603">
      <c r="N4603" s="7"/>
    </row>
    <row r="4604">
      <c r="N4604" s="7"/>
    </row>
    <row r="4605">
      <c r="N4605" s="7"/>
    </row>
    <row r="4606">
      <c r="N4606" s="7"/>
    </row>
    <row r="4607">
      <c r="N4607" s="7"/>
    </row>
    <row r="4608">
      <c r="N4608" s="7"/>
    </row>
    <row r="4609">
      <c r="N4609" s="7"/>
    </row>
    <row r="4610">
      <c r="N4610" s="7"/>
    </row>
    <row r="4611">
      <c r="N4611" s="7"/>
    </row>
    <row r="4612">
      <c r="N4612" s="7"/>
    </row>
    <row r="4613">
      <c r="N4613" s="7"/>
    </row>
    <row r="4614">
      <c r="N4614" s="7"/>
    </row>
    <row r="4615">
      <c r="N4615" s="7"/>
    </row>
    <row r="4616">
      <c r="N4616" s="7"/>
    </row>
    <row r="4617">
      <c r="N4617" s="7"/>
    </row>
    <row r="4618">
      <c r="N4618" s="7"/>
    </row>
    <row r="4619">
      <c r="I4619" s="9"/>
      <c r="N4619" s="7"/>
    </row>
    <row r="4620">
      <c r="N4620" s="7"/>
    </row>
    <row r="4621">
      <c r="N4621" s="7"/>
    </row>
    <row r="4622">
      <c r="N4622" s="7"/>
    </row>
    <row r="4623">
      <c r="N4623" s="7"/>
    </row>
    <row r="4624">
      <c r="N4624" s="7"/>
    </row>
    <row r="4625">
      <c r="N4625" s="7"/>
    </row>
    <row r="4626">
      <c r="N4626" s="7"/>
    </row>
    <row r="4627">
      <c r="N4627" s="7"/>
    </row>
    <row r="4628">
      <c r="N4628" s="7"/>
    </row>
    <row r="4629">
      <c r="N4629" s="7"/>
    </row>
    <row r="4630">
      <c r="N4630" s="7"/>
    </row>
    <row r="4631">
      <c r="N4631" s="7"/>
    </row>
    <row r="4632">
      <c r="N4632" s="7"/>
    </row>
    <row r="4633">
      <c r="N4633" s="7"/>
    </row>
    <row r="4634">
      <c r="N4634" s="7"/>
    </row>
    <row r="4635">
      <c r="N4635" s="7"/>
    </row>
    <row r="4636">
      <c r="N4636" s="7"/>
    </row>
    <row r="4637">
      <c r="N4637" s="7"/>
    </row>
    <row r="4638">
      <c r="N4638" s="7"/>
    </row>
    <row r="4639">
      <c r="N4639" s="7"/>
    </row>
    <row r="4640">
      <c r="N4640" s="7"/>
    </row>
    <row r="4641">
      <c r="N4641" s="7"/>
    </row>
    <row r="4642">
      <c r="N4642" s="7"/>
    </row>
    <row r="4643">
      <c r="N4643" s="7"/>
    </row>
    <row r="4644">
      <c r="N4644" s="7"/>
    </row>
    <row r="4645">
      <c r="N4645" s="7"/>
    </row>
    <row r="4646">
      <c r="N4646" s="7"/>
    </row>
    <row r="4647">
      <c r="N4647" s="7"/>
    </row>
    <row r="4648">
      <c r="N4648" s="7"/>
    </row>
    <row r="4649">
      <c r="N4649" s="7"/>
    </row>
    <row r="4650">
      <c r="N4650" s="7"/>
    </row>
    <row r="4651">
      <c r="N4651" s="7"/>
    </row>
    <row r="4652">
      <c r="N4652" s="7"/>
    </row>
    <row r="4653">
      <c r="N4653" s="7"/>
    </row>
    <row r="4654">
      <c r="N4654" s="7"/>
    </row>
    <row r="4655">
      <c r="N4655" s="7"/>
    </row>
    <row r="4656">
      <c r="N4656" s="7"/>
    </row>
    <row r="4657">
      <c r="N4657" s="7"/>
    </row>
    <row r="4658">
      <c r="N4658" s="7"/>
    </row>
    <row r="4659">
      <c r="N4659" s="7"/>
    </row>
    <row r="4660">
      <c r="N4660" s="7"/>
    </row>
    <row r="4661">
      <c r="N4661" s="7"/>
    </row>
    <row r="4662">
      <c r="N4662" s="7"/>
    </row>
    <row r="4663">
      <c r="N4663" s="7"/>
    </row>
    <row r="4664">
      <c r="N4664" s="7"/>
    </row>
    <row r="4665">
      <c r="N4665" s="7"/>
    </row>
    <row r="4666">
      <c r="N4666" s="7"/>
    </row>
    <row r="4667">
      <c r="N4667" s="7"/>
    </row>
    <row r="4668">
      <c r="N4668" s="7"/>
    </row>
    <row r="4669">
      <c r="N4669" s="7"/>
    </row>
    <row r="4670">
      <c r="N4670" s="7"/>
    </row>
    <row r="4671">
      <c r="N4671" s="7"/>
    </row>
    <row r="4672">
      <c r="N4672" s="7"/>
    </row>
    <row r="4673">
      <c r="N4673" s="7"/>
    </row>
    <row r="4674">
      <c r="N4674" s="7"/>
    </row>
    <row r="4675">
      <c r="N4675" s="7"/>
    </row>
    <row r="4676">
      <c r="N4676" s="7"/>
    </row>
    <row r="4677">
      <c r="N4677" s="7"/>
    </row>
    <row r="4678">
      <c r="N4678" s="7"/>
    </row>
    <row r="4679">
      <c r="N4679" s="7"/>
    </row>
    <row r="4680">
      <c r="N4680" s="7"/>
    </row>
    <row r="4681">
      <c r="N4681" s="7"/>
    </row>
    <row r="4682">
      <c r="N4682" s="7"/>
    </row>
    <row r="4683">
      <c r="N4683" s="7"/>
    </row>
    <row r="4684">
      <c r="N4684" s="7"/>
    </row>
    <row r="4685">
      <c r="N4685" s="7"/>
    </row>
    <row r="4686">
      <c r="N4686" s="7"/>
    </row>
    <row r="4687">
      <c r="N4687" s="7"/>
    </row>
    <row r="4688">
      <c r="N4688" s="7"/>
    </row>
    <row r="4689">
      <c r="N4689" s="7"/>
    </row>
    <row r="4690">
      <c r="N4690" s="7"/>
    </row>
    <row r="4691">
      <c r="N4691" s="7"/>
    </row>
    <row r="4692">
      <c r="N4692" s="7"/>
    </row>
    <row r="4693">
      <c r="N4693" s="7"/>
    </row>
    <row r="4694">
      <c r="N4694" s="7"/>
    </row>
    <row r="4695">
      <c r="N4695" s="7"/>
    </row>
    <row r="4696">
      <c r="N4696" s="7"/>
    </row>
    <row r="4697">
      <c r="N4697" s="7"/>
    </row>
    <row r="4698">
      <c r="N4698" s="7"/>
    </row>
    <row r="4699">
      <c r="N4699" s="7"/>
    </row>
    <row r="4700">
      <c r="N4700" s="7"/>
    </row>
    <row r="4701">
      <c r="N4701" s="7"/>
    </row>
    <row r="4702">
      <c r="N4702" s="7"/>
    </row>
    <row r="4703">
      <c r="N4703" s="7"/>
    </row>
    <row r="4704">
      <c r="N4704" s="7"/>
    </row>
    <row r="4705">
      <c r="N4705" s="7"/>
    </row>
    <row r="4706">
      <c r="N4706" s="7"/>
    </row>
    <row r="4707">
      <c r="N4707" s="7"/>
    </row>
    <row r="4708">
      <c r="N4708" s="7"/>
    </row>
    <row r="4709">
      <c r="N4709" s="7"/>
    </row>
    <row r="4710">
      <c r="N4710" s="7"/>
    </row>
    <row r="4711">
      <c r="I4711" s="9"/>
      <c r="N4711" s="7"/>
    </row>
    <row r="4712">
      <c r="N4712" s="7"/>
    </row>
    <row r="4713">
      <c r="N4713" s="7"/>
    </row>
    <row r="4714">
      <c r="N4714" s="7"/>
    </row>
    <row r="4715">
      <c r="N4715" s="7"/>
    </row>
    <row r="4716">
      <c r="N4716" s="7"/>
    </row>
    <row r="4717">
      <c r="N4717" s="7"/>
    </row>
    <row r="4718">
      <c r="N4718" s="7"/>
    </row>
    <row r="4719">
      <c r="N4719" s="7"/>
    </row>
    <row r="4720">
      <c r="N4720" s="7"/>
    </row>
    <row r="4721">
      <c r="N4721" s="7"/>
    </row>
    <row r="4722">
      <c r="N4722" s="7"/>
    </row>
    <row r="4723">
      <c r="N4723" s="7"/>
    </row>
    <row r="4724">
      <c r="N4724" s="7"/>
    </row>
    <row r="4725">
      <c r="N4725" s="7"/>
    </row>
    <row r="4726">
      <c r="N4726" s="7"/>
    </row>
    <row r="4727">
      <c r="N4727" s="7"/>
    </row>
    <row r="4728">
      <c r="N4728" s="7"/>
    </row>
    <row r="4729">
      <c r="N4729" s="7"/>
    </row>
    <row r="4730">
      <c r="N4730" s="7"/>
    </row>
    <row r="4731">
      <c r="N4731" s="7"/>
    </row>
    <row r="4732">
      <c r="N4732" s="7"/>
    </row>
    <row r="4733">
      <c r="N4733" s="7"/>
    </row>
    <row r="4734">
      <c r="N4734" s="7"/>
    </row>
    <row r="4735">
      <c r="N4735" s="7"/>
    </row>
    <row r="4736">
      <c r="N4736" s="7"/>
    </row>
    <row r="4737">
      <c r="N4737" s="7"/>
    </row>
    <row r="4738">
      <c r="N4738" s="7"/>
    </row>
    <row r="4739">
      <c r="N4739" s="7"/>
    </row>
    <row r="4740">
      <c r="N4740" s="7"/>
    </row>
    <row r="4741">
      <c r="N4741" s="7"/>
    </row>
    <row r="4742">
      <c r="N4742" s="7"/>
    </row>
    <row r="4743">
      <c r="N4743" s="7"/>
    </row>
    <row r="4744">
      <c r="N4744" s="7"/>
    </row>
    <row r="4745">
      <c r="N4745" s="7"/>
    </row>
    <row r="4746">
      <c r="N4746" s="7"/>
    </row>
    <row r="4747">
      <c r="N4747" s="7"/>
    </row>
    <row r="4748">
      <c r="N4748" s="7"/>
    </row>
    <row r="4749">
      <c r="N4749" s="7"/>
    </row>
    <row r="4750">
      <c r="N4750" s="7"/>
    </row>
    <row r="4751">
      <c r="N4751" s="7"/>
    </row>
    <row r="4752">
      <c r="N4752" s="7"/>
    </row>
    <row r="4753">
      <c r="N4753" s="7"/>
    </row>
    <row r="4754">
      <c r="N4754" s="7"/>
    </row>
    <row r="4755">
      <c r="N4755" s="7"/>
    </row>
    <row r="4756">
      <c r="N4756" s="7"/>
    </row>
    <row r="4757">
      <c r="N4757" s="7"/>
    </row>
    <row r="4758">
      <c r="N4758" s="7"/>
    </row>
    <row r="4759">
      <c r="N4759" s="7"/>
    </row>
    <row r="4760">
      <c r="N4760" s="7"/>
    </row>
    <row r="4761">
      <c r="N4761" s="7"/>
    </row>
    <row r="4762">
      <c r="N4762" s="7"/>
    </row>
    <row r="4763">
      <c r="N4763" s="7"/>
    </row>
    <row r="4764">
      <c r="N4764" s="7"/>
    </row>
    <row r="4765">
      <c r="N4765" s="7"/>
    </row>
    <row r="4766">
      <c r="N4766" s="7"/>
    </row>
    <row r="4767">
      <c r="N4767" s="7"/>
    </row>
    <row r="4768">
      <c r="N4768" s="7"/>
    </row>
    <row r="4769">
      <c r="N4769" s="7"/>
    </row>
    <row r="4770">
      <c r="N4770" s="7"/>
    </row>
    <row r="4771">
      <c r="N4771" s="7"/>
    </row>
    <row r="4772">
      <c r="N4772" s="7"/>
    </row>
    <row r="4773">
      <c r="N4773" s="7"/>
    </row>
    <row r="4774">
      <c r="N4774" s="7"/>
    </row>
    <row r="4775">
      <c r="N4775" s="7"/>
    </row>
    <row r="4776">
      <c r="N4776" s="7"/>
    </row>
    <row r="4777">
      <c r="N4777" s="7"/>
    </row>
    <row r="4778">
      <c r="N4778" s="7"/>
    </row>
    <row r="4779">
      <c r="N4779" s="7"/>
    </row>
    <row r="4780">
      <c r="N4780" s="7"/>
    </row>
    <row r="4781">
      <c r="N4781" s="7"/>
    </row>
    <row r="4782">
      <c r="N4782" s="7"/>
    </row>
    <row r="4783">
      <c r="N4783" s="7"/>
    </row>
    <row r="4784">
      <c r="N4784" s="7"/>
    </row>
    <row r="4785">
      <c r="N4785" s="7"/>
    </row>
    <row r="4786">
      <c r="N4786" s="7"/>
    </row>
    <row r="4787">
      <c r="N4787" s="7"/>
    </row>
    <row r="4788">
      <c r="N4788" s="7"/>
    </row>
    <row r="4789">
      <c r="N4789" s="7"/>
    </row>
    <row r="4790">
      <c r="N4790" s="7"/>
    </row>
    <row r="4791">
      <c r="N4791" s="7"/>
    </row>
    <row r="4792">
      <c r="N4792" s="7"/>
    </row>
    <row r="4793">
      <c r="N4793" s="7"/>
    </row>
    <row r="4794">
      <c r="N4794" s="7"/>
    </row>
    <row r="4795">
      <c r="N4795" s="7"/>
    </row>
    <row r="4796">
      <c r="N4796" s="7"/>
    </row>
    <row r="4797">
      <c r="N4797" s="7"/>
    </row>
    <row r="4798">
      <c r="N4798" s="7"/>
    </row>
    <row r="4799">
      <c r="N4799" s="7"/>
    </row>
    <row r="4800">
      <c r="N4800" s="7"/>
    </row>
    <row r="4801">
      <c r="N4801" s="7"/>
    </row>
    <row r="4802">
      <c r="N4802" s="7"/>
    </row>
    <row r="4803">
      <c r="N4803" s="7"/>
    </row>
    <row r="4804">
      <c r="N4804" s="7"/>
    </row>
    <row r="4805">
      <c r="N4805" s="7"/>
    </row>
    <row r="4806">
      <c r="N4806" s="7"/>
    </row>
    <row r="4807">
      <c r="N4807" s="7"/>
    </row>
    <row r="4808">
      <c r="N4808" s="7"/>
    </row>
    <row r="4809">
      <c r="N4809" s="7"/>
    </row>
    <row r="4810">
      <c r="N4810" s="7"/>
    </row>
    <row r="4811">
      <c r="N4811" s="7"/>
    </row>
    <row r="4812">
      <c r="N4812" s="7"/>
    </row>
    <row r="4813">
      <c r="N4813" s="7"/>
    </row>
    <row r="4814">
      <c r="N4814" s="7"/>
    </row>
    <row r="4815">
      <c r="N4815" s="7"/>
    </row>
    <row r="4816">
      <c r="N4816" s="7"/>
    </row>
    <row r="4817">
      <c r="N4817" s="7"/>
    </row>
    <row r="4818">
      <c r="N4818" s="7"/>
    </row>
    <row r="4819">
      <c r="N4819" s="7"/>
    </row>
    <row r="4820">
      <c r="N4820" s="7"/>
    </row>
    <row r="4821">
      <c r="N4821" s="7"/>
    </row>
    <row r="4822">
      <c r="N4822" s="7"/>
    </row>
    <row r="4823">
      <c r="N4823" s="7"/>
    </row>
    <row r="4824">
      <c r="N4824" s="7"/>
    </row>
    <row r="4825">
      <c r="N4825" s="7"/>
    </row>
    <row r="4826">
      <c r="N4826" s="7"/>
    </row>
    <row r="4827">
      <c r="N4827" s="7"/>
    </row>
    <row r="4828">
      <c r="N4828" s="7"/>
    </row>
    <row r="4829">
      <c r="N4829" s="7"/>
    </row>
    <row r="4830">
      <c r="N4830" s="7"/>
    </row>
    <row r="4831">
      <c r="N4831" s="7"/>
    </row>
    <row r="4832">
      <c r="N4832" s="7"/>
    </row>
    <row r="4833">
      <c r="N4833" s="7"/>
    </row>
    <row r="4834">
      <c r="N4834" s="7"/>
    </row>
    <row r="4835">
      <c r="N4835" s="7"/>
    </row>
    <row r="4836">
      <c r="N4836" s="7"/>
    </row>
    <row r="4837">
      <c r="N4837" s="7"/>
    </row>
    <row r="4838">
      <c r="N4838" s="7"/>
    </row>
    <row r="4839">
      <c r="N4839" s="7"/>
    </row>
    <row r="4840">
      <c r="N4840" s="7"/>
    </row>
    <row r="4841">
      <c r="N4841" s="7"/>
    </row>
    <row r="4842">
      <c r="N4842" s="7"/>
    </row>
    <row r="4843">
      <c r="N4843" s="7"/>
    </row>
    <row r="4844">
      <c r="N4844" s="7"/>
    </row>
    <row r="4845">
      <c r="N4845" s="7"/>
    </row>
    <row r="4846">
      <c r="N4846" s="7"/>
    </row>
    <row r="4847">
      <c r="N4847" s="7"/>
    </row>
    <row r="4848">
      <c r="N4848" s="7"/>
    </row>
    <row r="4849">
      <c r="N4849" s="7"/>
    </row>
    <row r="4850">
      <c r="N4850" s="7"/>
    </row>
    <row r="4851">
      <c r="N4851" s="7"/>
    </row>
    <row r="4852">
      <c r="N4852" s="7"/>
    </row>
    <row r="4853">
      <c r="N4853" s="7"/>
    </row>
    <row r="4854">
      <c r="N4854" s="7"/>
    </row>
    <row r="4855">
      <c r="N4855" s="7"/>
    </row>
    <row r="4856">
      <c r="N4856" s="7"/>
    </row>
    <row r="4857">
      <c r="N4857" s="7"/>
    </row>
    <row r="4858">
      <c r="N4858" s="7"/>
    </row>
    <row r="4859">
      <c r="N4859" s="7"/>
    </row>
    <row r="4860">
      <c r="N4860" s="7"/>
    </row>
    <row r="4861">
      <c r="N4861" s="7"/>
    </row>
    <row r="4862">
      <c r="N4862" s="7"/>
    </row>
    <row r="4863">
      <c r="N4863" s="7"/>
    </row>
    <row r="4864">
      <c r="N4864" s="7"/>
    </row>
    <row r="4865">
      <c r="N4865" s="7"/>
    </row>
    <row r="4866">
      <c r="N4866" s="7"/>
    </row>
    <row r="4867">
      <c r="N4867" s="7"/>
    </row>
    <row r="4868">
      <c r="N4868" s="7"/>
    </row>
    <row r="4869">
      <c r="N4869" s="7"/>
    </row>
    <row r="4870">
      <c r="N4870" s="7"/>
    </row>
    <row r="4871">
      <c r="N4871" s="7"/>
    </row>
    <row r="4872">
      <c r="N4872" s="7"/>
    </row>
    <row r="4873">
      <c r="N4873" s="7"/>
    </row>
    <row r="4874">
      <c r="N4874" s="7"/>
    </row>
    <row r="4875">
      <c r="N4875" s="7"/>
    </row>
    <row r="4876">
      <c r="N4876" s="7"/>
    </row>
    <row r="4877">
      <c r="N4877" s="7"/>
    </row>
    <row r="4878">
      <c r="N4878" s="7"/>
    </row>
    <row r="4879">
      <c r="N4879" s="7"/>
    </row>
    <row r="4880">
      <c r="N4880" s="7"/>
    </row>
    <row r="4881">
      <c r="N4881" s="7"/>
    </row>
    <row r="4882">
      <c r="N4882" s="7"/>
    </row>
    <row r="4883">
      <c r="N4883" s="7"/>
    </row>
    <row r="4884">
      <c r="N4884" s="7"/>
    </row>
    <row r="4885">
      <c r="N4885" s="7"/>
    </row>
    <row r="4886">
      <c r="N4886" s="7"/>
    </row>
    <row r="4887">
      <c r="N4887" s="7"/>
    </row>
    <row r="4888">
      <c r="N4888" s="7"/>
    </row>
    <row r="4889">
      <c r="N4889" s="7"/>
    </row>
    <row r="4890">
      <c r="N4890" s="7"/>
    </row>
    <row r="4891">
      <c r="N4891" s="7"/>
    </row>
    <row r="4892">
      <c r="N4892" s="7"/>
    </row>
    <row r="4893">
      <c r="N4893" s="7"/>
    </row>
    <row r="4894">
      <c r="N4894" s="7"/>
    </row>
    <row r="4895">
      <c r="N4895" s="7"/>
    </row>
    <row r="4896">
      <c r="N4896" s="7"/>
    </row>
    <row r="4897">
      <c r="N4897" s="7"/>
    </row>
    <row r="4898">
      <c r="N4898" s="7"/>
    </row>
    <row r="4899">
      <c r="N4899" s="7"/>
    </row>
    <row r="4900">
      <c r="N4900" s="7"/>
    </row>
    <row r="4901">
      <c r="I4901" s="9"/>
      <c r="N4901" s="7"/>
    </row>
    <row r="4902">
      <c r="N4902" s="7"/>
    </row>
    <row r="4903">
      <c r="N4903" s="7"/>
    </row>
    <row r="4904">
      <c r="N4904" s="7"/>
    </row>
    <row r="4905">
      <c r="N4905" s="7"/>
    </row>
    <row r="4906">
      <c r="N4906" s="7"/>
    </row>
    <row r="4907">
      <c r="N4907" s="7"/>
    </row>
    <row r="4908">
      <c r="N4908" s="7"/>
    </row>
    <row r="4909">
      <c r="N4909" s="7"/>
    </row>
    <row r="4910">
      <c r="N4910" s="7"/>
    </row>
    <row r="4911">
      <c r="N4911" s="7"/>
    </row>
    <row r="4912">
      <c r="N4912" s="7"/>
    </row>
    <row r="4913">
      <c r="N4913" s="7"/>
    </row>
    <row r="4914">
      <c r="N4914" s="7"/>
    </row>
    <row r="4915">
      <c r="N4915" s="7"/>
    </row>
    <row r="4916">
      <c r="N4916" s="7"/>
    </row>
    <row r="4917">
      <c r="N4917" s="7"/>
    </row>
    <row r="4918">
      <c r="N4918" s="7"/>
    </row>
    <row r="4919">
      <c r="N4919" s="7"/>
    </row>
    <row r="4920">
      <c r="N4920" s="7"/>
    </row>
    <row r="4921">
      <c r="N4921" s="7"/>
    </row>
    <row r="4922">
      <c r="N4922" s="7"/>
    </row>
    <row r="4923">
      <c r="N4923" s="7"/>
    </row>
    <row r="4924">
      <c r="N4924" s="7"/>
    </row>
    <row r="4925">
      <c r="N4925" s="7"/>
    </row>
    <row r="4926">
      <c r="N4926" s="7"/>
    </row>
    <row r="4927">
      <c r="N4927" s="7"/>
    </row>
    <row r="4928">
      <c r="N4928" s="7"/>
    </row>
    <row r="4929">
      <c r="N4929" s="7"/>
    </row>
    <row r="4930">
      <c r="N4930" s="7"/>
    </row>
    <row r="4931">
      <c r="N4931" s="7"/>
    </row>
    <row r="4932">
      <c r="N4932" s="7"/>
    </row>
    <row r="4933">
      <c r="N4933" s="7"/>
    </row>
    <row r="4934">
      <c r="N4934" s="7"/>
    </row>
    <row r="4935">
      <c r="N4935" s="7"/>
    </row>
    <row r="4936">
      <c r="N4936" s="7"/>
    </row>
    <row r="4937">
      <c r="N4937" s="7"/>
    </row>
    <row r="4938">
      <c r="N4938" s="7"/>
    </row>
    <row r="4939">
      <c r="N4939" s="7"/>
    </row>
    <row r="4940">
      <c r="N4940" s="7"/>
    </row>
    <row r="4941">
      <c r="N4941" s="7"/>
    </row>
    <row r="4942">
      <c r="N4942" s="7"/>
    </row>
    <row r="4943">
      <c r="N4943" s="7"/>
    </row>
    <row r="4944">
      <c r="N4944" s="7"/>
    </row>
    <row r="4945">
      <c r="N4945" s="7"/>
    </row>
    <row r="4946">
      <c r="N4946" s="7"/>
    </row>
    <row r="4947">
      <c r="N4947" s="7"/>
    </row>
    <row r="4948">
      <c r="N4948" s="7"/>
    </row>
    <row r="4949">
      <c r="N4949" s="7"/>
    </row>
    <row r="4950">
      <c r="N4950" s="7"/>
    </row>
    <row r="4951">
      <c r="N4951" s="7"/>
    </row>
    <row r="4952">
      <c r="N4952" s="7"/>
    </row>
    <row r="4953">
      <c r="N4953" s="7"/>
    </row>
    <row r="4954">
      <c r="N4954" s="7"/>
    </row>
    <row r="4955">
      <c r="N4955" s="7"/>
    </row>
    <row r="4956">
      <c r="N4956" s="7"/>
    </row>
    <row r="4957">
      <c r="N4957" s="7"/>
    </row>
    <row r="4958">
      <c r="N4958" s="7"/>
    </row>
    <row r="4959">
      <c r="N4959" s="7"/>
    </row>
    <row r="4960">
      <c r="N4960" s="7"/>
    </row>
    <row r="4961">
      <c r="N4961" s="7"/>
    </row>
    <row r="4962">
      <c r="N4962" s="7"/>
    </row>
    <row r="4963">
      <c r="N4963" s="7"/>
    </row>
    <row r="4964">
      <c r="N4964" s="7"/>
    </row>
    <row r="4965">
      <c r="N4965" s="7"/>
    </row>
    <row r="4966">
      <c r="N4966" s="7"/>
    </row>
    <row r="4967">
      <c r="N4967" s="7"/>
    </row>
    <row r="4968">
      <c r="N4968" s="7"/>
    </row>
    <row r="4969">
      <c r="N4969" s="7"/>
    </row>
    <row r="4970">
      <c r="N4970" s="7"/>
    </row>
    <row r="4971">
      <c r="N4971" s="7"/>
    </row>
    <row r="4972">
      <c r="N4972" s="7"/>
    </row>
    <row r="4973">
      <c r="N4973" s="7"/>
    </row>
    <row r="4974">
      <c r="N4974" s="7"/>
    </row>
    <row r="4975">
      <c r="N4975" s="7"/>
    </row>
    <row r="4976">
      <c r="N4976" s="7"/>
    </row>
    <row r="4977">
      <c r="N4977" s="7"/>
    </row>
    <row r="4978">
      <c r="N4978" s="7"/>
    </row>
    <row r="4979">
      <c r="N4979" s="7"/>
    </row>
    <row r="4980">
      <c r="N4980" s="7"/>
    </row>
    <row r="4981">
      <c r="N4981" s="7"/>
    </row>
    <row r="4982">
      <c r="N4982" s="7"/>
    </row>
    <row r="4983">
      <c r="N4983" s="7"/>
    </row>
    <row r="4984">
      <c r="N4984" s="7"/>
    </row>
    <row r="4985">
      <c r="N4985" s="7"/>
    </row>
    <row r="4986">
      <c r="N4986" s="7"/>
    </row>
    <row r="4987">
      <c r="N4987" s="7"/>
    </row>
    <row r="4988">
      <c r="N4988" s="7"/>
    </row>
    <row r="4989">
      <c r="N4989" s="7"/>
    </row>
    <row r="4990">
      <c r="N4990" s="7"/>
    </row>
    <row r="4991">
      <c r="N4991" s="7"/>
    </row>
    <row r="4992">
      <c r="N4992" s="7"/>
    </row>
    <row r="4993">
      <c r="N4993" s="7"/>
    </row>
    <row r="4994">
      <c r="N4994" s="7"/>
    </row>
    <row r="4995">
      <c r="N4995" s="7"/>
    </row>
    <row r="4996">
      <c r="N4996" s="7"/>
    </row>
    <row r="4997">
      <c r="N4997" s="7"/>
    </row>
    <row r="4998">
      <c r="N4998" s="7"/>
    </row>
    <row r="4999">
      <c r="N4999" s="7"/>
    </row>
    <row r="5000">
      <c r="N5000" s="7"/>
    </row>
    <row r="5001">
      <c r="N5001" s="7"/>
    </row>
    <row r="5002">
      <c r="N5002" s="7"/>
    </row>
    <row r="5003">
      <c r="N5003" s="7"/>
    </row>
    <row r="5004">
      <c r="N5004" s="7"/>
    </row>
    <row r="5005">
      <c r="N5005" s="7"/>
    </row>
    <row r="5006">
      <c r="N5006" s="7"/>
    </row>
    <row r="5007">
      <c r="N5007" s="7"/>
    </row>
    <row r="5008">
      <c r="N5008" s="7"/>
    </row>
    <row r="5009">
      <c r="N5009" s="7"/>
    </row>
    <row r="5010">
      <c r="N5010" s="7"/>
    </row>
    <row r="5011">
      <c r="N5011" s="7"/>
    </row>
    <row r="5012">
      <c r="N5012" s="7"/>
    </row>
    <row r="5013">
      <c r="N5013" s="7"/>
    </row>
    <row r="5014">
      <c r="N5014" s="7"/>
    </row>
    <row r="5015">
      <c r="N5015" s="7"/>
    </row>
    <row r="5016">
      <c r="N5016" s="7"/>
    </row>
    <row r="5017">
      <c r="N5017" s="7"/>
    </row>
    <row r="5018">
      <c r="N5018" s="7"/>
    </row>
    <row r="5019">
      <c r="N5019" s="7"/>
    </row>
    <row r="5020">
      <c r="N5020" s="7"/>
    </row>
    <row r="5021">
      <c r="N5021" s="7"/>
    </row>
    <row r="5022">
      <c r="N5022" s="7"/>
    </row>
    <row r="5023">
      <c r="N5023" s="7"/>
    </row>
    <row r="5024">
      <c r="N5024" s="7"/>
    </row>
    <row r="5025">
      <c r="N5025" s="7"/>
    </row>
    <row r="5026">
      <c r="N5026" s="7"/>
    </row>
    <row r="5027">
      <c r="N5027" s="7"/>
    </row>
    <row r="5028">
      <c r="N5028" s="7"/>
    </row>
    <row r="5029">
      <c r="N5029" s="7"/>
    </row>
    <row r="5030">
      <c r="N5030" s="7"/>
    </row>
    <row r="5031">
      <c r="N5031" s="7"/>
    </row>
    <row r="5032">
      <c r="N5032" s="7"/>
    </row>
    <row r="5033">
      <c r="N5033" s="7"/>
    </row>
    <row r="5034">
      <c r="N5034" s="7"/>
    </row>
    <row r="5035">
      <c r="N5035" s="7"/>
    </row>
    <row r="5036">
      <c r="N5036" s="7"/>
    </row>
    <row r="5037">
      <c r="N5037" s="7"/>
    </row>
    <row r="5038">
      <c r="N5038" s="7"/>
    </row>
    <row r="5039">
      <c r="N5039" s="7"/>
    </row>
    <row r="5040">
      <c r="N5040" s="7"/>
    </row>
    <row r="5041">
      <c r="N5041" s="7"/>
    </row>
    <row r="5042">
      <c r="N5042" s="7"/>
    </row>
    <row r="5043">
      <c r="N5043" s="7"/>
    </row>
    <row r="5044">
      <c r="N5044" s="7"/>
    </row>
    <row r="5045">
      <c r="N5045" s="7"/>
    </row>
    <row r="5046">
      <c r="N5046" s="7"/>
    </row>
    <row r="5047">
      <c r="N5047" s="7"/>
    </row>
    <row r="5048">
      <c r="N5048" s="7"/>
    </row>
    <row r="5049">
      <c r="N5049" s="7"/>
    </row>
    <row r="5050">
      <c r="N5050" s="7"/>
    </row>
    <row r="5051">
      <c r="N5051" s="7"/>
    </row>
    <row r="5052">
      <c r="N5052" s="7"/>
    </row>
    <row r="5053">
      <c r="N5053" s="7"/>
    </row>
    <row r="5054">
      <c r="N5054" s="7"/>
    </row>
    <row r="5055">
      <c r="N5055" s="7"/>
    </row>
    <row r="5056">
      <c r="N5056" s="7"/>
    </row>
    <row r="5057">
      <c r="N5057" s="7"/>
    </row>
    <row r="5058">
      <c r="N5058" s="7"/>
    </row>
    <row r="5059">
      <c r="N5059" s="7"/>
    </row>
    <row r="5060">
      <c r="N5060" s="7"/>
    </row>
    <row r="5061">
      <c r="N5061" s="7"/>
    </row>
    <row r="5062">
      <c r="N5062" s="7"/>
    </row>
    <row r="5063">
      <c r="N5063" s="7"/>
    </row>
    <row r="5064">
      <c r="N5064" s="7"/>
    </row>
    <row r="5065">
      <c r="N5065" s="7"/>
    </row>
    <row r="5066">
      <c r="N5066" s="7"/>
    </row>
    <row r="5067">
      <c r="N5067" s="7"/>
    </row>
    <row r="5068">
      <c r="N5068" s="7"/>
    </row>
    <row r="5069">
      <c r="N5069" s="7"/>
    </row>
    <row r="5070">
      <c r="N5070" s="7"/>
    </row>
    <row r="5071">
      <c r="N5071" s="7"/>
    </row>
    <row r="5072">
      <c r="N5072" s="7"/>
    </row>
    <row r="5073">
      <c r="N5073" s="7"/>
    </row>
    <row r="5074">
      <c r="N5074" s="7"/>
    </row>
    <row r="5075">
      <c r="N5075" s="7"/>
    </row>
    <row r="5076">
      <c r="N5076" s="7"/>
    </row>
    <row r="5077">
      <c r="N5077" s="7"/>
    </row>
    <row r="5078">
      <c r="N5078" s="7"/>
    </row>
    <row r="5079">
      <c r="I5079" s="9"/>
      <c r="N5079" s="7"/>
    </row>
    <row r="5080">
      <c r="N5080" s="7"/>
    </row>
    <row r="5081">
      <c r="N5081" s="7"/>
    </row>
    <row r="5082">
      <c r="N5082" s="7"/>
    </row>
    <row r="5083">
      <c r="N5083" s="7"/>
    </row>
    <row r="5084">
      <c r="N5084" s="7"/>
    </row>
    <row r="5085">
      <c r="N5085" s="7"/>
    </row>
    <row r="5086">
      <c r="N5086" s="7"/>
    </row>
    <row r="5087">
      <c r="N5087" s="7"/>
    </row>
    <row r="5088">
      <c r="N5088" s="7"/>
    </row>
    <row r="5089">
      <c r="N5089" s="7"/>
    </row>
    <row r="5090">
      <c r="N5090" s="7"/>
    </row>
    <row r="5091">
      <c r="N5091" s="7"/>
    </row>
    <row r="5092">
      <c r="N5092" s="7"/>
    </row>
    <row r="5093">
      <c r="N5093" s="7"/>
    </row>
    <row r="5094">
      <c r="N5094" s="7"/>
    </row>
    <row r="5095">
      <c r="N5095" s="7"/>
    </row>
    <row r="5096">
      <c r="N5096" s="7"/>
    </row>
    <row r="5097">
      <c r="N5097" s="7"/>
    </row>
    <row r="5098">
      <c r="N5098" s="7"/>
    </row>
    <row r="5099">
      <c r="N5099" s="7"/>
    </row>
    <row r="5100">
      <c r="N5100" s="7"/>
    </row>
    <row r="5101">
      <c r="N5101" s="7"/>
    </row>
    <row r="5102">
      <c r="N5102" s="7"/>
    </row>
    <row r="5103">
      <c r="N5103" s="7"/>
    </row>
    <row r="5104">
      <c r="N5104" s="7"/>
    </row>
    <row r="5105">
      <c r="N5105" s="7"/>
    </row>
    <row r="5106">
      <c r="N5106" s="7"/>
    </row>
    <row r="5107">
      <c r="N5107" s="7"/>
    </row>
    <row r="5108">
      <c r="N5108" s="7"/>
    </row>
    <row r="5109">
      <c r="N5109" s="7"/>
    </row>
    <row r="5110">
      <c r="N5110" s="7"/>
    </row>
    <row r="5111">
      <c r="N5111" s="7"/>
    </row>
    <row r="5112">
      <c r="N5112" s="7"/>
    </row>
    <row r="5113">
      <c r="N5113" s="7"/>
    </row>
    <row r="5114">
      <c r="N5114" s="7"/>
    </row>
    <row r="5115">
      <c r="N5115" s="7"/>
    </row>
    <row r="5116">
      <c r="N5116" s="7"/>
    </row>
    <row r="5117">
      <c r="N5117" s="7"/>
    </row>
    <row r="5118">
      <c r="N5118" s="7"/>
    </row>
    <row r="5119">
      <c r="N5119" s="7"/>
    </row>
    <row r="5120">
      <c r="N5120" s="7"/>
    </row>
    <row r="5121">
      <c r="N5121" s="7"/>
    </row>
    <row r="5122">
      <c r="N5122" s="7"/>
    </row>
    <row r="5123">
      <c r="N5123" s="7"/>
    </row>
    <row r="5124">
      <c r="N5124" s="7"/>
    </row>
    <row r="5125">
      <c r="N5125" s="7"/>
    </row>
    <row r="5126">
      <c r="N5126" s="7"/>
    </row>
    <row r="5127">
      <c r="N5127" s="7"/>
    </row>
    <row r="5128">
      <c r="N5128" s="7"/>
    </row>
    <row r="5129">
      <c r="N5129" s="7"/>
    </row>
    <row r="5130">
      <c r="N5130" s="7"/>
    </row>
    <row r="5131">
      <c r="N5131" s="7"/>
    </row>
    <row r="5132">
      <c r="N5132" s="7"/>
    </row>
    <row r="5133">
      <c r="N5133" s="7"/>
    </row>
    <row r="5134">
      <c r="N5134" s="7"/>
    </row>
    <row r="5135">
      <c r="N5135" s="7"/>
    </row>
    <row r="5136">
      <c r="N5136" s="7"/>
    </row>
    <row r="5137">
      <c r="N5137" s="7"/>
    </row>
    <row r="5138">
      <c r="N5138" s="7"/>
    </row>
    <row r="5139">
      <c r="N5139" s="7"/>
    </row>
    <row r="5140">
      <c r="N5140" s="7"/>
    </row>
    <row r="5141">
      <c r="N5141" s="7"/>
    </row>
    <row r="5142">
      <c r="N5142" s="7"/>
    </row>
    <row r="5143">
      <c r="N5143" s="7"/>
    </row>
    <row r="5144">
      <c r="N5144" s="7"/>
    </row>
    <row r="5145">
      <c r="N5145" s="7"/>
    </row>
    <row r="5146">
      <c r="N5146" s="7"/>
    </row>
    <row r="5147">
      <c r="N5147" s="7"/>
    </row>
    <row r="5148">
      <c r="N5148" s="7"/>
    </row>
    <row r="5149">
      <c r="N5149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8">
        <v>1.0</v>
      </c>
      <c r="B2" s="8" t="s">
        <v>744</v>
      </c>
      <c r="C2" s="8" t="s">
        <v>21</v>
      </c>
      <c r="D2" s="8">
        <v>0.0</v>
      </c>
      <c r="E2" s="8">
        <v>133000.0</v>
      </c>
      <c r="F2" s="8">
        <v>0.09</v>
      </c>
      <c r="G2" s="8">
        <v>1.16</v>
      </c>
      <c r="H2" s="8" t="s">
        <v>744</v>
      </c>
      <c r="I2" s="9">
        <v>46162.51018518519</v>
      </c>
      <c r="J2" s="8" t="s">
        <v>25</v>
      </c>
      <c r="K2" s="8">
        <v>137000.0</v>
      </c>
      <c r="L2" s="8">
        <v>131000.0</v>
      </c>
      <c r="M2" s="8">
        <v>135000.0</v>
      </c>
      <c r="N2" s="7">
        <v>42248.0</v>
      </c>
      <c r="O2" s="8" t="s">
        <v>26</v>
      </c>
      <c r="P2" s="8" t="s">
        <v>28</v>
      </c>
      <c r="Q2" s="8" t="s">
        <v>746</v>
      </c>
      <c r="R2" s="8" t="s">
        <v>747</v>
      </c>
      <c r="S2" s="8" t="s">
        <v>748</v>
      </c>
    </row>
    <row r="3">
      <c r="A3" s="8">
        <v>2.0</v>
      </c>
      <c r="B3" s="8" t="s">
        <v>19</v>
      </c>
      <c r="C3" s="8" t="s">
        <v>21</v>
      </c>
      <c r="D3" s="8">
        <v>9.0</v>
      </c>
      <c r="E3" s="8">
        <v>17000.0</v>
      </c>
      <c r="F3" s="8">
        <v>0.6</v>
      </c>
      <c r="G3" s="8">
        <v>1.09</v>
      </c>
      <c r="H3" s="8" t="s">
        <v>19</v>
      </c>
      <c r="I3" s="9">
        <v>46058.00326388889</v>
      </c>
      <c r="J3" s="8" t="s">
        <v>23</v>
      </c>
      <c r="K3" s="8">
        <v>18000.0</v>
      </c>
      <c r="L3" s="8">
        <v>15000.0</v>
      </c>
      <c r="M3" s="8">
        <v>16000.0</v>
      </c>
      <c r="N3" s="7">
        <v>42251.0</v>
      </c>
      <c r="O3" s="8" t="s">
        <v>26</v>
      </c>
      <c r="P3" s="8" t="s">
        <v>28</v>
      </c>
      <c r="Q3" s="8" t="s">
        <v>29</v>
      </c>
      <c r="R3" s="8" t="s">
        <v>30</v>
      </c>
      <c r="S3" s="8" t="s">
        <v>32</v>
      </c>
    </row>
    <row r="4">
      <c r="A4" s="8">
        <v>3.0</v>
      </c>
      <c r="B4" s="8" t="s">
        <v>55</v>
      </c>
      <c r="C4" s="8" t="s">
        <v>21</v>
      </c>
      <c r="D4" s="8">
        <v>77.0</v>
      </c>
      <c r="E4" s="8">
        <v>13000.0</v>
      </c>
      <c r="F4" s="8">
        <v>0.02</v>
      </c>
      <c r="G4" s="8">
        <v>1.1</v>
      </c>
      <c r="H4" s="8" t="s">
        <v>55</v>
      </c>
      <c r="I4" s="9">
        <v>46149.25953703704</v>
      </c>
      <c r="J4" s="8" t="s">
        <v>25</v>
      </c>
      <c r="K4" s="8">
        <v>62000.0</v>
      </c>
      <c r="L4" s="8">
        <v>13000.0</v>
      </c>
      <c r="M4" s="8">
        <v>80000.0</v>
      </c>
      <c r="N4" s="7">
        <v>42249.0</v>
      </c>
      <c r="O4" s="8" t="s">
        <v>31</v>
      </c>
      <c r="P4" s="8" t="s">
        <v>28</v>
      </c>
      <c r="Q4" s="8" t="s">
        <v>753</v>
      </c>
      <c r="R4" s="8" t="s">
        <v>754</v>
      </c>
      <c r="S4" s="8" t="s">
        <v>32</v>
      </c>
    </row>
    <row r="5">
      <c r="A5" s="8">
        <v>4.0</v>
      </c>
      <c r="B5" s="8" t="s">
        <v>755</v>
      </c>
      <c r="C5" s="8" t="s">
        <v>21</v>
      </c>
      <c r="D5" s="8">
        <v>34.0</v>
      </c>
      <c r="E5" s="8">
        <v>9600.0</v>
      </c>
      <c r="F5" s="8">
        <v>0.6</v>
      </c>
      <c r="G5" s="8">
        <v>1.01</v>
      </c>
      <c r="H5" s="8" t="s">
        <v>755</v>
      </c>
      <c r="I5" s="9">
        <v>46149.23415509259</v>
      </c>
      <c r="J5" s="8" t="s">
        <v>25</v>
      </c>
      <c r="K5" s="8">
        <v>32000.0</v>
      </c>
      <c r="L5" s="8">
        <v>15000.0</v>
      </c>
      <c r="M5" s="8">
        <v>16000.0</v>
      </c>
      <c r="N5" s="7">
        <v>42248.0</v>
      </c>
      <c r="O5" s="8" t="s">
        <v>31</v>
      </c>
      <c r="P5" s="8" t="s">
        <v>28</v>
      </c>
      <c r="Q5" s="8" t="s">
        <v>758</v>
      </c>
      <c r="R5" s="8" t="s">
        <v>759</v>
      </c>
      <c r="S5" s="8" t="s">
        <v>748</v>
      </c>
    </row>
    <row r="6">
      <c r="A6" s="8">
        <v>5.0</v>
      </c>
      <c r="B6" s="8" t="s">
        <v>761</v>
      </c>
      <c r="C6" s="8" t="s">
        <v>21</v>
      </c>
      <c r="D6" s="8">
        <v>0.0</v>
      </c>
      <c r="E6" s="8">
        <v>9400.0</v>
      </c>
      <c r="F6" s="8">
        <v>0.25</v>
      </c>
      <c r="G6" s="8">
        <v>1.06</v>
      </c>
      <c r="H6" s="8" t="s">
        <v>762</v>
      </c>
      <c r="I6" s="9">
        <v>46149.2334837963</v>
      </c>
      <c r="J6" s="8" t="s">
        <v>25</v>
      </c>
      <c r="K6" s="8">
        <v>9400.0</v>
      </c>
      <c r="L6" s="8">
        <v>5900.0</v>
      </c>
      <c r="M6" s="8">
        <v>6000.0</v>
      </c>
      <c r="N6" s="7">
        <v>42248.0</v>
      </c>
      <c r="O6" s="8" t="s">
        <v>26</v>
      </c>
      <c r="Q6" s="8" t="s">
        <v>764</v>
      </c>
      <c r="R6" s="8" t="s">
        <v>765</v>
      </c>
      <c r="S6" s="8" t="s">
        <v>766</v>
      </c>
    </row>
    <row r="7">
      <c r="A7" s="8">
        <v>6.0</v>
      </c>
      <c r="B7" s="8" t="s">
        <v>767</v>
      </c>
      <c r="C7" s="8" t="s">
        <v>21</v>
      </c>
      <c r="D7" s="8">
        <v>72.0</v>
      </c>
      <c r="E7" s="8">
        <v>8300.0</v>
      </c>
      <c r="F7" s="8">
        <v>0.45</v>
      </c>
      <c r="G7" s="8">
        <v>0.58</v>
      </c>
      <c r="H7" s="8" t="s">
        <v>744</v>
      </c>
      <c r="I7" s="9">
        <v>46149.25880787037</v>
      </c>
      <c r="J7" s="8" t="s">
        <v>769</v>
      </c>
      <c r="K7" s="8">
        <v>541000.0</v>
      </c>
      <c r="L7" s="8">
        <v>137000.0</v>
      </c>
      <c r="M7" s="8">
        <v>140000.0</v>
      </c>
      <c r="N7" s="7">
        <v>42251.0</v>
      </c>
      <c r="O7" s="8" t="s">
        <v>31</v>
      </c>
      <c r="P7" s="8" t="s">
        <v>28</v>
      </c>
      <c r="Q7" s="8" t="s">
        <v>771</v>
      </c>
      <c r="R7" s="8" t="s">
        <v>773</v>
      </c>
      <c r="S7" s="8" t="s">
        <v>774</v>
      </c>
    </row>
    <row r="8">
      <c r="A8" s="8">
        <v>7.0</v>
      </c>
      <c r="B8" s="8" t="s">
        <v>35</v>
      </c>
      <c r="C8" s="8" t="s">
        <v>21</v>
      </c>
      <c r="D8" s="8">
        <v>70.0</v>
      </c>
      <c r="E8" s="8">
        <v>6700.0</v>
      </c>
      <c r="F8" s="8">
        <v>1.6</v>
      </c>
      <c r="G8" s="8">
        <v>1.08</v>
      </c>
      <c r="H8" s="8" t="s">
        <v>35</v>
      </c>
      <c r="I8" s="9">
        <v>46149.25696759259</v>
      </c>
      <c r="J8" s="8" t="s">
        <v>40</v>
      </c>
      <c r="K8" s="8">
        <v>7100.0</v>
      </c>
      <c r="L8" s="8">
        <v>11000.0</v>
      </c>
      <c r="M8" s="8">
        <v>11000.0</v>
      </c>
      <c r="N8" s="7">
        <v>42254.0</v>
      </c>
      <c r="O8" s="8" t="s">
        <v>31</v>
      </c>
      <c r="P8" s="8" t="s">
        <v>28</v>
      </c>
      <c r="Q8" s="8" t="s">
        <v>43</v>
      </c>
      <c r="R8" s="8" t="s">
        <v>45</v>
      </c>
      <c r="S8" s="8" t="s">
        <v>32</v>
      </c>
    </row>
    <row r="9">
      <c r="A9" s="8">
        <v>8.0</v>
      </c>
      <c r="B9" s="8" t="s">
        <v>777</v>
      </c>
      <c r="C9" s="8" t="s">
        <v>21</v>
      </c>
      <c r="D9" s="8">
        <v>51.0</v>
      </c>
      <c r="E9" s="8">
        <v>6200.0</v>
      </c>
      <c r="F9" s="8">
        <v>0.6</v>
      </c>
      <c r="G9" s="8">
        <v>0.94</v>
      </c>
      <c r="H9" s="8" t="s">
        <v>755</v>
      </c>
      <c r="I9" s="9">
        <v>46149.25173611111</v>
      </c>
      <c r="J9" s="8" t="s">
        <v>90</v>
      </c>
      <c r="K9" s="8">
        <v>7100.0</v>
      </c>
      <c r="L9" s="8">
        <v>15000.0</v>
      </c>
      <c r="M9" s="8">
        <v>16000.0</v>
      </c>
      <c r="N9" s="7">
        <v>42254.0</v>
      </c>
      <c r="O9" s="8" t="s">
        <v>31</v>
      </c>
      <c r="P9" s="8" t="s">
        <v>28</v>
      </c>
      <c r="Q9" s="8" t="s">
        <v>780</v>
      </c>
      <c r="R9" s="8" t="s">
        <v>781</v>
      </c>
      <c r="S9" s="8" t="s">
        <v>782</v>
      </c>
    </row>
    <row r="10">
      <c r="A10" s="8">
        <v>9.0</v>
      </c>
      <c r="B10" s="8" t="s">
        <v>783</v>
      </c>
      <c r="C10" s="8" t="s">
        <v>21</v>
      </c>
      <c r="D10" s="8">
        <v>16.0</v>
      </c>
      <c r="E10" s="8">
        <v>5300.0</v>
      </c>
      <c r="F10" s="8">
        <v>0.09</v>
      </c>
      <c r="G10" s="8">
        <v>1.13</v>
      </c>
      <c r="H10" s="8" t="s">
        <v>744</v>
      </c>
      <c r="I10" s="9">
        <v>46149.25784722222</v>
      </c>
      <c r="J10" s="8" t="s">
        <v>25</v>
      </c>
      <c r="K10" s="8">
        <v>5700.0</v>
      </c>
      <c r="L10" s="8">
        <v>137000.0</v>
      </c>
      <c r="M10" s="8">
        <v>140000.0</v>
      </c>
      <c r="N10" s="7">
        <v>42252.0</v>
      </c>
      <c r="O10" s="8" t="s">
        <v>26</v>
      </c>
      <c r="Q10" s="8" t="s">
        <v>785</v>
      </c>
      <c r="R10" s="8" t="s">
        <v>786</v>
      </c>
      <c r="S10" s="8" t="s">
        <v>32</v>
      </c>
    </row>
    <row r="11">
      <c r="A11" s="8">
        <v>10.0</v>
      </c>
      <c r="B11" s="8" t="s">
        <v>762</v>
      </c>
      <c r="C11" s="8" t="s">
        <v>21</v>
      </c>
      <c r="D11" s="8">
        <v>40.0</v>
      </c>
      <c r="E11" s="8">
        <v>5100.0</v>
      </c>
      <c r="F11" s="8">
        <v>0.7</v>
      </c>
      <c r="G11" s="8">
        <v>1.3</v>
      </c>
      <c r="H11" s="8" t="s">
        <v>762</v>
      </c>
      <c r="I11" s="9">
        <v>46149.24983796296</v>
      </c>
      <c r="J11" s="8" t="s">
        <v>789</v>
      </c>
      <c r="K11" s="8">
        <v>16000.0</v>
      </c>
      <c r="L11" s="8">
        <v>5900.0</v>
      </c>
      <c r="M11" s="8">
        <v>6000.0</v>
      </c>
      <c r="N11" s="7">
        <v>42287.0</v>
      </c>
      <c r="O11" s="8" t="s">
        <v>31</v>
      </c>
      <c r="P11" s="8" t="s">
        <v>28</v>
      </c>
      <c r="Q11" s="8" t="s">
        <v>791</v>
      </c>
      <c r="R11" s="8" t="s">
        <v>792</v>
      </c>
      <c r="S11" s="8" t="s">
        <v>793</v>
      </c>
    </row>
    <row r="12">
      <c r="A12" s="8">
        <v>11.0</v>
      </c>
      <c r="B12" s="8" t="s">
        <v>794</v>
      </c>
      <c r="C12" s="8" t="s">
        <v>21</v>
      </c>
      <c r="D12" s="8">
        <v>52.0</v>
      </c>
      <c r="E12" s="8">
        <v>4600.0</v>
      </c>
      <c r="F12" s="8">
        <v>5.0</v>
      </c>
      <c r="G12" s="8">
        <v>1.04</v>
      </c>
      <c r="H12" s="8" t="s">
        <v>744</v>
      </c>
      <c r="I12" s="9">
        <v>46149.2365162037</v>
      </c>
      <c r="J12" s="8" t="s">
        <v>25</v>
      </c>
      <c r="K12" s="8">
        <v>4600.0</v>
      </c>
      <c r="L12" s="8">
        <v>137000.0</v>
      </c>
      <c r="M12" s="8">
        <v>140000.0</v>
      </c>
      <c r="N12" s="7">
        <v>42305.0</v>
      </c>
      <c r="O12" s="8" t="s">
        <v>796</v>
      </c>
      <c r="P12" s="8" t="s">
        <v>28</v>
      </c>
      <c r="Q12" s="8" t="s">
        <v>797</v>
      </c>
      <c r="R12" s="8" t="s">
        <v>799</v>
      </c>
      <c r="S12" s="8" t="s">
        <v>800</v>
      </c>
    </row>
    <row r="13">
      <c r="A13" s="8">
        <v>12.0</v>
      </c>
      <c r="B13" s="8" t="s">
        <v>801</v>
      </c>
      <c r="C13" s="8" t="s">
        <v>21</v>
      </c>
      <c r="D13" s="8">
        <v>61.0</v>
      </c>
      <c r="E13" s="8">
        <v>4500.0</v>
      </c>
      <c r="F13" s="8">
        <v>7.0</v>
      </c>
      <c r="H13" s="8" t="s">
        <v>755</v>
      </c>
      <c r="I13" s="9">
        <v>46149.25616898148</v>
      </c>
      <c r="J13" s="8" t="s">
        <v>90</v>
      </c>
      <c r="K13" s="8">
        <v>4500.0</v>
      </c>
      <c r="L13" s="8">
        <v>15000.0</v>
      </c>
      <c r="M13" s="8">
        <v>16000.0</v>
      </c>
      <c r="N13" s="7">
        <v>42550.0</v>
      </c>
      <c r="O13" s="8" t="s">
        <v>803</v>
      </c>
      <c r="P13" s="8" t="s">
        <v>28</v>
      </c>
      <c r="Q13" s="8" t="s">
        <v>805</v>
      </c>
      <c r="R13" s="8" t="s">
        <v>806</v>
      </c>
      <c r="S13" s="8" t="s">
        <v>32</v>
      </c>
    </row>
    <row r="14">
      <c r="A14" s="8">
        <v>13.0</v>
      </c>
      <c r="B14" s="8" t="s">
        <v>123</v>
      </c>
      <c r="C14" s="8" t="s">
        <v>21</v>
      </c>
      <c r="D14" s="8">
        <v>72.0</v>
      </c>
      <c r="E14" s="8">
        <v>4200.0</v>
      </c>
      <c r="F14" s="8">
        <v>0.06</v>
      </c>
      <c r="G14" s="8">
        <v>1.12</v>
      </c>
      <c r="H14" s="8" t="s">
        <v>123</v>
      </c>
      <c r="I14" s="9">
        <v>46149.239907407406</v>
      </c>
      <c r="J14" s="8" t="s">
        <v>809</v>
      </c>
      <c r="K14" s="8">
        <v>591000.0</v>
      </c>
      <c r="L14" s="8">
        <v>900.0</v>
      </c>
      <c r="M14" s="8">
        <v>719000.0</v>
      </c>
      <c r="N14" s="7">
        <v>42251.0</v>
      </c>
      <c r="O14" s="8" t="s">
        <v>147</v>
      </c>
      <c r="P14" s="8" t="s">
        <v>28</v>
      </c>
      <c r="Q14" s="8" t="s">
        <v>810</v>
      </c>
      <c r="R14" s="8" t="s">
        <v>812</v>
      </c>
      <c r="S14" s="8" t="s">
        <v>32</v>
      </c>
    </row>
    <row r="15">
      <c r="A15" s="8">
        <v>14.0</v>
      </c>
      <c r="B15" s="8" t="s">
        <v>813</v>
      </c>
      <c r="C15" s="8" t="s">
        <v>21</v>
      </c>
      <c r="D15" s="8">
        <v>65.0</v>
      </c>
      <c r="E15" s="8">
        <v>4100.0</v>
      </c>
      <c r="F15" s="8">
        <v>0.3</v>
      </c>
      <c r="G15" s="8">
        <v>1.04</v>
      </c>
      <c r="H15" s="8" t="s">
        <v>35</v>
      </c>
      <c r="I15" s="9">
        <v>46149.247777777775</v>
      </c>
      <c r="J15" s="8" t="s">
        <v>545</v>
      </c>
      <c r="K15" s="8">
        <v>9900.0</v>
      </c>
      <c r="L15" s="8">
        <v>11000.0</v>
      </c>
      <c r="M15" s="8">
        <v>11000.0</v>
      </c>
      <c r="N15" s="7">
        <v>42250.0</v>
      </c>
      <c r="O15" s="8" t="s">
        <v>31</v>
      </c>
      <c r="P15" s="8" t="s">
        <v>28</v>
      </c>
      <c r="Q15" s="8" t="s">
        <v>817</v>
      </c>
      <c r="R15" s="8" t="s">
        <v>818</v>
      </c>
      <c r="S15" s="8" t="s">
        <v>32</v>
      </c>
    </row>
    <row r="16">
      <c r="A16" s="8">
        <v>15.0</v>
      </c>
      <c r="B16" s="8" t="s">
        <v>20</v>
      </c>
      <c r="C16" s="8" t="s">
        <v>21</v>
      </c>
      <c r="D16" s="8">
        <v>80.0</v>
      </c>
      <c r="E16" s="8">
        <v>3900.0</v>
      </c>
      <c r="H16" s="8" t="s">
        <v>20</v>
      </c>
      <c r="I16" s="9">
        <v>46149.24853009259</v>
      </c>
      <c r="J16" s="8" t="s">
        <v>25</v>
      </c>
      <c r="K16" s="8">
        <v>977000.0</v>
      </c>
      <c r="L16" s="8">
        <v>1500.0</v>
      </c>
      <c r="M16" s="8">
        <v>41000.0</v>
      </c>
      <c r="N16" s="7">
        <v>42255.0</v>
      </c>
      <c r="O16" s="8" t="s">
        <v>31</v>
      </c>
      <c r="P16" s="8" t="s">
        <v>28</v>
      </c>
      <c r="Q16" s="8" t="s">
        <v>34</v>
      </c>
      <c r="R16" s="8" t="s">
        <v>36</v>
      </c>
      <c r="S16" s="8" t="s">
        <v>32</v>
      </c>
    </row>
    <row r="17">
      <c r="A17" s="8">
        <v>16.0</v>
      </c>
      <c r="B17" s="8" t="s">
        <v>823</v>
      </c>
      <c r="C17" s="8" t="s">
        <v>21</v>
      </c>
      <c r="D17" s="8">
        <v>47.0</v>
      </c>
      <c r="E17" s="8">
        <v>3700.0</v>
      </c>
      <c r="F17" s="8">
        <v>0.6</v>
      </c>
      <c r="G17" s="8">
        <v>1.03</v>
      </c>
      <c r="H17" s="8" t="s">
        <v>19</v>
      </c>
      <c r="I17" s="9">
        <v>46149.23486111111</v>
      </c>
      <c r="J17" s="8" t="s">
        <v>25</v>
      </c>
      <c r="K17" s="8">
        <v>3900.0</v>
      </c>
      <c r="L17" s="8">
        <v>26000.0</v>
      </c>
      <c r="M17" s="8">
        <v>27000.0</v>
      </c>
      <c r="N17" s="7">
        <v>42248.0</v>
      </c>
      <c r="O17" s="8" t="s">
        <v>26</v>
      </c>
      <c r="P17" s="8" t="s">
        <v>28</v>
      </c>
      <c r="Q17" s="8" t="s">
        <v>827</v>
      </c>
      <c r="R17" s="8" t="s">
        <v>828</v>
      </c>
      <c r="S17" s="8" t="s">
        <v>32</v>
      </c>
    </row>
    <row r="18">
      <c r="A18" s="8">
        <v>17.0</v>
      </c>
      <c r="B18" s="8" t="s">
        <v>51</v>
      </c>
      <c r="C18" s="8" t="s">
        <v>21</v>
      </c>
      <c r="D18" s="8">
        <v>48.0</v>
      </c>
      <c r="E18" s="8">
        <v>3200.0</v>
      </c>
      <c r="F18" s="8">
        <v>0.6</v>
      </c>
      <c r="G18" s="8">
        <v>0.95</v>
      </c>
      <c r="H18" s="8" t="s">
        <v>19</v>
      </c>
      <c r="I18" s="9">
        <v>46149.24775462963</v>
      </c>
      <c r="J18" s="8" t="s">
        <v>25</v>
      </c>
      <c r="K18" s="8">
        <v>3300.0</v>
      </c>
      <c r="L18" s="8">
        <v>26000.0</v>
      </c>
      <c r="M18" s="8">
        <v>27000.0</v>
      </c>
      <c r="N18" s="7">
        <v>42283.0</v>
      </c>
      <c r="O18" s="8" t="s">
        <v>26</v>
      </c>
      <c r="P18" s="8" t="s">
        <v>28</v>
      </c>
      <c r="Q18" s="8" t="s">
        <v>57</v>
      </c>
      <c r="R18" s="8" t="s">
        <v>59</v>
      </c>
      <c r="S18" s="8" t="s">
        <v>32</v>
      </c>
    </row>
    <row r="19">
      <c r="A19" s="8">
        <v>18.0</v>
      </c>
      <c r="B19" s="8" t="s">
        <v>832</v>
      </c>
      <c r="C19" s="8" t="s">
        <v>21</v>
      </c>
      <c r="D19" s="8">
        <v>20.0</v>
      </c>
      <c r="E19" s="8">
        <v>2900.0</v>
      </c>
      <c r="F19" s="8">
        <v>0.03</v>
      </c>
      <c r="G19" s="8">
        <v>1.01</v>
      </c>
      <c r="H19" s="8" t="s">
        <v>832</v>
      </c>
      <c r="I19" s="9">
        <v>46149.23436342592</v>
      </c>
      <c r="J19" s="8" t="s">
        <v>833</v>
      </c>
      <c r="K19" s="8">
        <v>4200.0</v>
      </c>
      <c r="L19" s="8">
        <v>3700.0</v>
      </c>
      <c r="M19" s="8">
        <v>3800.0</v>
      </c>
      <c r="N19" s="7">
        <v>42771.0</v>
      </c>
      <c r="O19" s="8" t="s">
        <v>127</v>
      </c>
      <c r="P19" s="8" t="s">
        <v>28</v>
      </c>
      <c r="Q19" s="8" t="s">
        <v>835</v>
      </c>
      <c r="R19" s="8" t="s">
        <v>836</v>
      </c>
      <c r="S19" s="8" t="s">
        <v>837</v>
      </c>
    </row>
    <row r="20">
      <c r="A20" s="8">
        <v>19.0</v>
      </c>
      <c r="B20" s="8" t="s">
        <v>838</v>
      </c>
      <c r="C20" s="8" t="s">
        <v>21</v>
      </c>
      <c r="D20" s="8">
        <v>55.0</v>
      </c>
      <c r="E20" s="8">
        <v>2800.0</v>
      </c>
      <c r="F20" s="8">
        <v>0.01</v>
      </c>
      <c r="G20" s="8">
        <v>1.02</v>
      </c>
      <c r="H20" s="8" t="s">
        <v>838</v>
      </c>
      <c r="I20" s="9">
        <v>46149.25894675926</v>
      </c>
      <c r="J20" s="8" t="s">
        <v>25</v>
      </c>
      <c r="K20" s="8">
        <v>4200.0</v>
      </c>
      <c r="L20" s="8">
        <v>2100.0</v>
      </c>
      <c r="M20" s="8">
        <v>2200.0</v>
      </c>
      <c r="N20" s="7">
        <v>42248.0</v>
      </c>
      <c r="O20" s="8" t="s">
        <v>26</v>
      </c>
      <c r="P20" s="8" t="s">
        <v>28</v>
      </c>
      <c r="Q20" s="8" t="s">
        <v>840</v>
      </c>
      <c r="R20" s="8" t="s">
        <v>841</v>
      </c>
      <c r="S20" s="8" t="s">
        <v>843</v>
      </c>
    </row>
    <row r="21">
      <c r="A21" s="8">
        <v>20.0</v>
      </c>
      <c r="B21" s="8" t="s">
        <v>398</v>
      </c>
      <c r="C21" s="8" t="s">
        <v>21</v>
      </c>
      <c r="D21" s="8">
        <v>75.0</v>
      </c>
      <c r="E21" s="8">
        <v>2600.0</v>
      </c>
      <c r="G21" s="8">
        <v>1.19</v>
      </c>
      <c r="H21" s="8" t="s">
        <v>398</v>
      </c>
      <c r="I21" s="9">
        <v>46150.084861111114</v>
      </c>
      <c r="J21" s="8" t="s">
        <v>25</v>
      </c>
      <c r="K21" s="8">
        <v>402000.0</v>
      </c>
      <c r="L21" s="8">
        <v>2700.0</v>
      </c>
      <c r="M21" s="8">
        <v>1550000.0</v>
      </c>
      <c r="N21" s="7">
        <v>42249.0</v>
      </c>
      <c r="O21" s="8" t="s">
        <v>147</v>
      </c>
      <c r="P21" s="8" t="s">
        <v>28</v>
      </c>
      <c r="Q21" s="8" t="s">
        <v>845</v>
      </c>
      <c r="R21" s="8" t="s">
        <v>846</v>
      </c>
      <c r="S21" s="8" t="s">
        <v>32</v>
      </c>
    </row>
    <row r="22">
      <c r="A22" s="8">
        <v>21.0</v>
      </c>
      <c r="B22" s="8" t="s">
        <v>847</v>
      </c>
      <c r="C22" s="8" t="s">
        <v>21</v>
      </c>
      <c r="D22" s="8">
        <v>16.0</v>
      </c>
      <c r="E22" s="8">
        <v>2100.0</v>
      </c>
      <c r="F22" s="8">
        <v>0.03</v>
      </c>
      <c r="G22" s="8">
        <v>0.91</v>
      </c>
      <c r="H22" s="8" t="s">
        <v>832</v>
      </c>
      <c r="I22" s="9">
        <v>45956.917650462965</v>
      </c>
      <c r="J22" s="8" t="s">
        <v>90</v>
      </c>
      <c r="K22" s="8">
        <v>2300.0</v>
      </c>
      <c r="L22" s="8">
        <v>5100.0</v>
      </c>
      <c r="M22" s="8">
        <v>5400.0</v>
      </c>
      <c r="N22" s="7">
        <v>42791.0</v>
      </c>
      <c r="O22" s="8" t="s">
        <v>849</v>
      </c>
      <c r="P22" s="8" t="s">
        <v>28</v>
      </c>
      <c r="Q22" s="8" t="s">
        <v>851</v>
      </c>
      <c r="R22" s="8" t="s">
        <v>852</v>
      </c>
      <c r="S22" s="8" t="s">
        <v>800</v>
      </c>
    </row>
    <row r="23">
      <c r="A23" s="8">
        <v>22.0</v>
      </c>
      <c r="B23" s="8" t="s">
        <v>60</v>
      </c>
      <c r="C23" s="8" t="s">
        <v>21</v>
      </c>
      <c r="D23" s="8">
        <v>35.0</v>
      </c>
      <c r="E23" s="8">
        <v>2100.0</v>
      </c>
      <c r="H23" s="8" t="s">
        <v>60</v>
      </c>
      <c r="I23" s="9">
        <v>46058.00179398148</v>
      </c>
      <c r="J23" s="8" t="s">
        <v>62</v>
      </c>
      <c r="K23" s="8">
        <v>2400.0</v>
      </c>
      <c r="L23" s="8">
        <v>1500.0</v>
      </c>
      <c r="M23" s="8">
        <v>1800.0</v>
      </c>
      <c r="N23" s="7">
        <v>42792.0</v>
      </c>
      <c r="O23" s="8" t="s">
        <v>26</v>
      </c>
      <c r="P23" s="8" t="s">
        <v>28</v>
      </c>
      <c r="Q23" s="8" t="s">
        <v>65</v>
      </c>
      <c r="R23" s="8" t="s">
        <v>66</v>
      </c>
      <c r="S23" s="8" t="s">
        <v>32</v>
      </c>
    </row>
    <row r="24">
      <c r="A24" s="8">
        <v>23.0</v>
      </c>
      <c r="B24" s="8" t="s">
        <v>38</v>
      </c>
      <c r="C24" s="8" t="s">
        <v>21</v>
      </c>
      <c r="D24" s="8">
        <v>80.0</v>
      </c>
      <c r="E24" s="8">
        <v>1900.0</v>
      </c>
      <c r="F24" s="8">
        <v>0.6</v>
      </c>
      <c r="G24" s="8">
        <v>0.95</v>
      </c>
      <c r="H24" s="8" t="s">
        <v>19</v>
      </c>
      <c r="I24" s="9">
        <v>45897.646875</v>
      </c>
      <c r="J24" s="8" t="s">
        <v>42</v>
      </c>
      <c r="K24" s="8">
        <v>48000.0</v>
      </c>
      <c r="L24" s="8">
        <v>26000.0</v>
      </c>
      <c r="M24" s="8">
        <v>27000.0</v>
      </c>
      <c r="N24" s="7">
        <v>42248.0</v>
      </c>
      <c r="O24" s="8" t="s">
        <v>31</v>
      </c>
      <c r="P24" s="8" t="s">
        <v>28</v>
      </c>
      <c r="Q24" s="8" t="s">
        <v>47</v>
      </c>
      <c r="R24" s="8" t="s">
        <v>52</v>
      </c>
      <c r="S24" s="8" t="s">
        <v>32</v>
      </c>
    </row>
    <row r="25">
      <c r="A25" s="8">
        <v>24.0</v>
      </c>
      <c r="B25" s="8" t="s">
        <v>73</v>
      </c>
      <c r="C25" s="8" t="s">
        <v>21</v>
      </c>
      <c r="D25" s="8">
        <v>81.0</v>
      </c>
      <c r="E25" s="8">
        <v>1900.0</v>
      </c>
      <c r="F25" s="8">
        <v>2.5</v>
      </c>
      <c r="H25" s="8" t="s">
        <v>19</v>
      </c>
      <c r="I25" s="9">
        <v>45893.25895833333</v>
      </c>
      <c r="J25" s="8" t="s">
        <v>58</v>
      </c>
      <c r="K25" s="8">
        <v>2300.0</v>
      </c>
      <c r="L25" s="8">
        <v>28000.0</v>
      </c>
      <c r="M25" s="8">
        <v>29000.0</v>
      </c>
      <c r="N25" s="7">
        <v>44401.0</v>
      </c>
      <c r="O25" s="8" t="s">
        <v>31</v>
      </c>
      <c r="P25" s="8" t="s">
        <v>28</v>
      </c>
      <c r="Q25" s="8" t="s">
        <v>76</v>
      </c>
      <c r="R25" s="8" t="s">
        <v>78</v>
      </c>
      <c r="S25" s="8" t="s">
        <v>32</v>
      </c>
    </row>
    <row r="26">
      <c r="A26" s="8">
        <v>25.0</v>
      </c>
      <c r="B26" s="8" t="s">
        <v>857</v>
      </c>
      <c r="C26" s="8" t="s">
        <v>21</v>
      </c>
      <c r="D26" s="8">
        <v>83.0</v>
      </c>
      <c r="E26" s="8">
        <v>1700.0</v>
      </c>
      <c r="F26" s="8">
        <v>0.3</v>
      </c>
      <c r="G26" s="8">
        <v>1.02</v>
      </c>
      <c r="H26" s="8" t="s">
        <v>857</v>
      </c>
      <c r="I26" s="9">
        <v>45978.88162037037</v>
      </c>
      <c r="J26" s="8" t="s">
        <v>858</v>
      </c>
      <c r="K26" s="8">
        <v>4680000.0</v>
      </c>
      <c r="L26" s="8">
        <v>1600.0</v>
      </c>
      <c r="M26" s="8">
        <v>1980000.0</v>
      </c>
      <c r="N26" s="7">
        <v>42256.0</v>
      </c>
      <c r="O26" s="8" t="s">
        <v>26</v>
      </c>
      <c r="P26" s="8" t="s">
        <v>28</v>
      </c>
      <c r="Q26" s="8" t="s">
        <v>860</v>
      </c>
      <c r="R26" s="8" t="s">
        <v>861</v>
      </c>
      <c r="S26" s="8" t="s">
        <v>32</v>
      </c>
    </row>
    <row r="27">
      <c r="A27" s="8">
        <v>26.0</v>
      </c>
      <c r="B27" s="8" t="s">
        <v>862</v>
      </c>
      <c r="C27" s="8" t="s">
        <v>21</v>
      </c>
      <c r="D27" s="8">
        <v>74.0</v>
      </c>
      <c r="E27" s="8">
        <v>1600.0</v>
      </c>
      <c r="F27" s="8">
        <v>0.5</v>
      </c>
      <c r="G27" s="8">
        <v>1.04</v>
      </c>
      <c r="H27" s="8" t="s">
        <v>755</v>
      </c>
      <c r="I27" s="9">
        <v>45978.91601851852</v>
      </c>
      <c r="J27" s="8" t="s">
        <v>450</v>
      </c>
      <c r="K27" s="8">
        <v>3100.0</v>
      </c>
      <c r="L27" s="8">
        <v>11000.0</v>
      </c>
      <c r="M27" s="8">
        <v>11000.0</v>
      </c>
      <c r="N27" s="7">
        <v>42252.0</v>
      </c>
      <c r="O27" s="8" t="s">
        <v>26</v>
      </c>
      <c r="P27" s="8" t="s">
        <v>28</v>
      </c>
      <c r="Q27" s="8" t="s">
        <v>865</v>
      </c>
      <c r="R27" s="8" t="s">
        <v>867</v>
      </c>
      <c r="S27" s="8" t="s">
        <v>782</v>
      </c>
    </row>
    <row r="28">
      <c r="A28" s="8">
        <v>27.0</v>
      </c>
      <c r="B28" s="8" t="s">
        <v>868</v>
      </c>
      <c r="C28" s="8" t="s">
        <v>21</v>
      </c>
      <c r="D28" s="8">
        <v>0.0</v>
      </c>
      <c r="E28" s="8">
        <v>1600.0</v>
      </c>
      <c r="F28" s="8">
        <v>0.6</v>
      </c>
      <c r="G28" s="8">
        <v>1.09</v>
      </c>
      <c r="H28" s="8" t="s">
        <v>761</v>
      </c>
      <c r="I28" s="9">
        <v>45895.29540509259</v>
      </c>
      <c r="J28" s="8" t="s">
        <v>870</v>
      </c>
      <c r="K28" s="8">
        <v>1600.0</v>
      </c>
      <c r="L28" s="8">
        <v>17000.0</v>
      </c>
      <c r="M28" s="8">
        <v>17000.0</v>
      </c>
      <c r="N28" s="7">
        <v>42311.0</v>
      </c>
      <c r="O28" s="8" t="s">
        <v>849</v>
      </c>
      <c r="P28" s="8" t="s">
        <v>28</v>
      </c>
      <c r="Q28" s="8" t="s">
        <v>871</v>
      </c>
      <c r="R28" s="8" t="s">
        <v>872</v>
      </c>
      <c r="S28" s="8" t="s">
        <v>748</v>
      </c>
    </row>
    <row r="29">
      <c r="A29" s="8">
        <v>28.0</v>
      </c>
      <c r="B29" s="8" t="s">
        <v>874</v>
      </c>
      <c r="C29" s="8" t="s">
        <v>21</v>
      </c>
      <c r="D29" s="8">
        <v>43.0</v>
      </c>
      <c r="E29" s="8">
        <v>1500.0</v>
      </c>
      <c r="F29" s="8">
        <v>0.6</v>
      </c>
      <c r="G29" s="8">
        <v>1.03</v>
      </c>
      <c r="H29" s="8" t="s">
        <v>755</v>
      </c>
      <c r="I29" s="9">
        <v>45989.0046875</v>
      </c>
      <c r="J29" s="8" t="s">
        <v>870</v>
      </c>
      <c r="K29" s="8">
        <v>1500.0</v>
      </c>
      <c r="L29" s="8">
        <v>21000.0</v>
      </c>
      <c r="M29" s="8">
        <v>21000.0</v>
      </c>
      <c r="N29" s="7">
        <v>42253.0</v>
      </c>
      <c r="O29" s="8" t="s">
        <v>849</v>
      </c>
      <c r="P29" s="8" t="s">
        <v>28</v>
      </c>
      <c r="Q29" s="8" t="s">
        <v>876</v>
      </c>
      <c r="R29" s="8" t="s">
        <v>877</v>
      </c>
      <c r="S29" s="8" t="s">
        <v>748</v>
      </c>
    </row>
    <row r="30">
      <c r="A30" s="8">
        <v>29.0</v>
      </c>
      <c r="B30" s="8" t="s">
        <v>79</v>
      </c>
      <c r="C30" s="8" t="s">
        <v>21</v>
      </c>
      <c r="D30" s="8">
        <v>75.0</v>
      </c>
      <c r="E30" s="8">
        <v>1400.0</v>
      </c>
      <c r="G30" s="8">
        <v>1.06</v>
      </c>
      <c r="H30" s="8" t="s">
        <v>35</v>
      </c>
      <c r="I30" s="9">
        <v>45896.80138888889</v>
      </c>
      <c r="J30" s="8" t="s">
        <v>82</v>
      </c>
      <c r="K30" s="8">
        <v>1400.0</v>
      </c>
      <c r="L30" s="8">
        <v>16000.0</v>
      </c>
      <c r="M30" s="8">
        <v>16000.0</v>
      </c>
      <c r="N30" s="7">
        <v>42310.0</v>
      </c>
      <c r="O30" s="8" t="s">
        <v>31</v>
      </c>
      <c r="P30" s="8" t="s">
        <v>28</v>
      </c>
      <c r="Q30" s="8" t="s">
        <v>84</v>
      </c>
      <c r="R30" s="8" t="s">
        <v>86</v>
      </c>
      <c r="S30" s="8" t="s">
        <v>32</v>
      </c>
    </row>
    <row r="31">
      <c r="A31" s="8">
        <v>30.0</v>
      </c>
      <c r="B31" s="10" t="s">
        <v>881</v>
      </c>
      <c r="C31" s="8" t="s">
        <v>21</v>
      </c>
      <c r="D31" s="8">
        <v>0.0</v>
      </c>
      <c r="E31" s="8">
        <v>1400.0</v>
      </c>
      <c r="F31" s="8">
        <v>0.07</v>
      </c>
      <c r="G31" s="8">
        <v>0.99</v>
      </c>
      <c r="H31" s="8" t="s">
        <v>744</v>
      </c>
      <c r="I31" s="9">
        <v>46149.25202546296</v>
      </c>
      <c r="J31" s="8" t="s">
        <v>90</v>
      </c>
      <c r="K31" s="8">
        <v>1400.0</v>
      </c>
      <c r="L31" s="8">
        <v>137000.0</v>
      </c>
      <c r="M31" s="8">
        <v>140000.0</v>
      </c>
      <c r="N31" s="7">
        <v>42248.0</v>
      </c>
      <c r="O31" s="8" t="s">
        <v>885</v>
      </c>
      <c r="Q31" s="8" t="s">
        <v>886</v>
      </c>
      <c r="R31" s="8" t="s">
        <v>887</v>
      </c>
      <c r="S31" s="8" t="s">
        <v>748</v>
      </c>
    </row>
    <row r="32">
      <c r="A32" s="8">
        <v>31.0</v>
      </c>
      <c r="B32" s="8" t="s">
        <v>889</v>
      </c>
      <c r="C32" s="8" t="s">
        <v>21</v>
      </c>
      <c r="D32" s="8">
        <v>24.0</v>
      </c>
      <c r="E32" s="8">
        <v>1300.0</v>
      </c>
      <c r="H32" s="8" t="s">
        <v>832</v>
      </c>
      <c r="I32" s="9">
        <v>45893.83008101852</v>
      </c>
      <c r="J32" s="8" t="s">
        <v>870</v>
      </c>
      <c r="K32" s="8">
        <v>1300.0</v>
      </c>
      <c r="L32" s="8">
        <v>6300.0</v>
      </c>
      <c r="M32" s="8">
        <v>6700.0</v>
      </c>
      <c r="N32" s="7">
        <v>43616.0</v>
      </c>
      <c r="O32" s="8" t="s">
        <v>147</v>
      </c>
      <c r="P32" s="8" t="s">
        <v>28</v>
      </c>
      <c r="Q32" s="8" t="s">
        <v>890</v>
      </c>
      <c r="R32" s="8" t="s">
        <v>892</v>
      </c>
      <c r="S32" s="8" t="s">
        <v>782</v>
      </c>
    </row>
    <row r="33">
      <c r="A33" s="8">
        <v>32.0</v>
      </c>
      <c r="B33" s="8" t="s">
        <v>893</v>
      </c>
      <c r="C33" s="8" t="s">
        <v>21</v>
      </c>
      <c r="D33" s="8">
        <v>15.0</v>
      </c>
      <c r="E33" s="8">
        <v>1200.0</v>
      </c>
      <c r="G33" s="8">
        <v>1.12</v>
      </c>
      <c r="H33" s="8" t="s">
        <v>744</v>
      </c>
      <c r="I33" s="9">
        <v>45895.292662037034</v>
      </c>
      <c r="J33" s="8" t="s">
        <v>62</v>
      </c>
      <c r="K33" s="8">
        <v>1200.0</v>
      </c>
      <c r="L33" s="8">
        <v>207000.0</v>
      </c>
      <c r="M33" s="8">
        <v>212000.0</v>
      </c>
      <c r="N33" s="7">
        <v>42315.0</v>
      </c>
      <c r="O33" s="8" t="s">
        <v>127</v>
      </c>
      <c r="Q33" s="8" t="s">
        <v>895</v>
      </c>
      <c r="R33" s="8" t="s">
        <v>896</v>
      </c>
      <c r="S33" s="8" t="s">
        <v>32</v>
      </c>
    </row>
    <row r="34">
      <c r="A34" s="8">
        <v>33.0</v>
      </c>
      <c r="B34" s="8" t="s">
        <v>898</v>
      </c>
      <c r="C34" s="8" t="s">
        <v>21</v>
      </c>
      <c r="D34" s="8">
        <v>64.0</v>
      </c>
      <c r="E34" s="8">
        <v>1200.0</v>
      </c>
      <c r="G34" s="8">
        <v>0.96</v>
      </c>
      <c r="H34" s="8" t="s">
        <v>838</v>
      </c>
      <c r="I34" s="9">
        <v>45950.4350462963</v>
      </c>
      <c r="J34" s="8" t="s">
        <v>105</v>
      </c>
      <c r="K34" s="8">
        <v>1700.0</v>
      </c>
      <c r="L34" s="8">
        <v>6500.0</v>
      </c>
      <c r="M34" s="8">
        <v>6700.0</v>
      </c>
      <c r="N34" s="7">
        <v>42249.0</v>
      </c>
      <c r="O34" s="8" t="s">
        <v>26</v>
      </c>
      <c r="P34" s="8" t="s">
        <v>28</v>
      </c>
      <c r="Q34" s="8" t="s">
        <v>900</v>
      </c>
      <c r="R34" s="8" t="s">
        <v>901</v>
      </c>
      <c r="S34" s="8" t="s">
        <v>32</v>
      </c>
    </row>
    <row r="35">
      <c r="A35" s="8">
        <v>34.0</v>
      </c>
      <c r="B35" s="8" t="s">
        <v>153</v>
      </c>
      <c r="C35" s="8" t="s">
        <v>21</v>
      </c>
      <c r="D35" s="8">
        <v>59.0</v>
      </c>
      <c r="E35" s="8">
        <v>1100.0</v>
      </c>
      <c r="G35" s="8">
        <v>1.12</v>
      </c>
      <c r="H35" s="8" t="s">
        <v>153</v>
      </c>
      <c r="I35" s="9">
        <v>45897.20715277778</v>
      </c>
      <c r="J35" s="8" t="s">
        <v>25</v>
      </c>
      <c r="K35" s="8">
        <v>292000.0</v>
      </c>
      <c r="L35" s="8">
        <v>800.0</v>
      </c>
      <c r="M35" s="8">
        <v>357000.0</v>
      </c>
      <c r="N35" s="7">
        <v>42253.0</v>
      </c>
      <c r="O35" s="8" t="s">
        <v>147</v>
      </c>
      <c r="P35" s="8" t="s">
        <v>28</v>
      </c>
      <c r="Q35" s="8" t="s">
        <v>904</v>
      </c>
      <c r="R35" s="8" t="s">
        <v>905</v>
      </c>
      <c r="S35" s="8" t="s">
        <v>32</v>
      </c>
    </row>
    <row r="36">
      <c r="A36" s="8">
        <v>35.0</v>
      </c>
      <c r="B36" s="8" t="s">
        <v>906</v>
      </c>
      <c r="C36" s="8" t="s">
        <v>21</v>
      </c>
      <c r="D36" s="8">
        <v>75.0</v>
      </c>
      <c r="E36" s="8">
        <v>1100.0</v>
      </c>
      <c r="H36" s="8" t="s">
        <v>398</v>
      </c>
      <c r="I36" s="9">
        <v>45897.13643518519</v>
      </c>
      <c r="J36" s="8" t="s">
        <v>90</v>
      </c>
      <c r="K36" s="8">
        <v>106000.0</v>
      </c>
      <c r="L36" s="8">
        <v>3800.0</v>
      </c>
      <c r="M36" s="8">
        <v>1570000.0</v>
      </c>
      <c r="N36" s="7">
        <v>42252.0</v>
      </c>
      <c r="O36" s="8" t="s">
        <v>147</v>
      </c>
      <c r="P36" s="8" t="s">
        <v>28</v>
      </c>
      <c r="Q36" s="8" t="s">
        <v>909</v>
      </c>
      <c r="R36" s="8" t="s">
        <v>910</v>
      </c>
      <c r="S36" s="8" t="s">
        <v>32</v>
      </c>
    </row>
    <row r="37">
      <c r="A37" s="8">
        <v>36.0</v>
      </c>
      <c r="B37" s="8" t="s">
        <v>912</v>
      </c>
      <c r="C37" s="8" t="s">
        <v>21</v>
      </c>
      <c r="D37" s="8">
        <v>44.0</v>
      </c>
      <c r="E37" s="8">
        <v>1100.0</v>
      </c>
      <c r="F37" s="8">
        <v>0.6</v>
      </c>
      <c r="G37" s="8">
        <v>1.03</v>
      </c>
      <c r="H37" s="8" t="s">
        <v>912</v>
      </c>
      <c r="I37" s="9">
        <v>45908.65111111111</v>
      </c>
      <c r="J37" s="8" t="s">
        <v>914</v>
      </c>
      <c r="K37" s="8">
        <v>1200.0</v>
      </c>
      <c r="L37" s="8">
        <v>4500.0</v>
      </c>
      <c r="M37" s="8">
        <v>4600.0</v>
      </c>
      <c r="N37" s="7">
        <v>42351.0</v>
      </c>
      <c r="O37" s="8" t="s">
        <v>849</v>
      </c>
      <c r="P37" s="8" t="s">
        <v>28</v>
      </c>
      <c r="Q37" s="8" t="s">
        <v>915</v>
      </c>
      <c r="R37" s="8" t="s">
        <v>916</v>
      </c>
      <c r="S37" s="8" t="s">
        <v>748</v>
      </c>
    </row>
    <row r="38">
      <c r="A38" s="8">
        <v>37.0</v>
      </c>
      <c r="B38" s="8" t="s">
        <v>918</v>
      </c>
      <c r="C38" s="8" t="s">
        <v>21</v>
      </c>
      <c r="D38" s="8">
        <v>59.0</v>
      </c>
      <c r="E38" s="8">
        <v>1100.0</v>
      </c>
      <c r="G38" s="8">
        <v>1.19</v>
      </c>
      <c r="H38" s="8" t="s">
        <v>918</v>
      </c>
      <c r="I38" s="9">
        <v>45895.13138888889</v>
      </c>
      <c r="J38" s="8" t="s">
        <v>90</v>
      </c>
      <c r="K38" s="8">
        <v>142000.0</v>
      </c>
      <c r="L38" s="8">
        <v>1600.0</v>
      </c>
      <c r="M38" s="8">
        <v>471000.0</v>
      </c>
      <c r="N38" s="7">
        <v>42248.0</v>
      </c>
      <c r="O38" s="8" t="s">
        <v>107</v>
      </c>
      <c r="P38" s="8" t="s">
        <v>28</v>
      </c>
      <c r="Q38" s="8" t="s">
        <v>920</v>
      </c>
      <c r="R38" s="8" t="s">
        <v>921</v>
      </c>
      <c r="S38" s="8" t="s">
        <v>32</v>
      </c>
    </row>
    <row r="39">
      <c r="A39" s="8">
        <v>38.0</v>
      </c>
      <c r="B39" s="8" t="s">
        <v>922</v>
      </c>
      <c r="C39" s="8" t="s">
        <v>21</v>
      </c>
      <c r="D39" s="8">
        <v>53.0</v>
      </c>
      <c r="E39" s="8">
        <v>1100.0</v>
      </c>
      <c r="F39" s="8">
        <v>0.7</v>
      </c>
      <c r="G39" s="8">
        <v>1.27</v>
      </c>
      <c r="H39" s="8" t="s">
        <v>761</v>
      </c>
      <c r="I39" s="9">
        <v>45901.203125</v>
      </c>
      <c r="J39" s="8" t="s">
        <v>25</v>
      </c>
      <c r="K39" s="8">
        <v>54000.0</v>
      </c>
      <c r="L39" s="8">
        <v>17000.0</v>
      </c>
      <c r="M39" s="8">
        <v>17000.0</v>
      </c>
      <c r="N39" s="7">
        <v>42256.0</v>
      </c>
      <c r="O39" s="8" t="s">
        <v>925</v>
      </c>
      <c r="Q39" s="8" t="s">
        <v>926</v>
      </c>
      <c r="R39" s="8" t="s">
        <v>927</v>
      </c>
      <c r="S39" s="8" t="s">
        <v>748</v>
      </c>
    </row>
    <row r="40">
      <c r="A40" s="8">
        <v>39.0</v>
      </c>
      <c r="B40" s="8" t="s">
        <v>928</v>
      </c>
      <c r="C40" s="8" t="s">
        <v>21</v>
      </c>
      <c r="D40" s="8">
        <v>57.0</v>
      </c>
      <c r="E40" s="8">
        <v>1000.0</v>
      </c>
      <c r="F40" s="8">
        <v>0.6</v>
      </c>
      <c r="G40" s="8">
        <v>1.28</v>
      </c>
      <c r="H40" s="8" t="s">
        <v>930</v>
      </c>
      <c r="I40" s="9">
        <v>45896.67324074074</v>
      </c>
      <c r="J40" s="8" t="s">
        <v>40</v>
      </c>
      <c r="K40" s="8">
        <v>1200.0</v>
      </c>
      <c r="L40" s="8">
        <v>5400.0</v>
      </c>
      <c r="M40" s="8">
        <v>6500.0</v>
      </c>
      <c r="N40" s="7">
        <v>42252.0</v>
      </c>
      <c r="O40" s="8" t="s">
        <v>26</v>
      </c>
      <c r="P40" s="8" t="s">
        <v>28</v>
      </c>
      <c r="Q40" s="8" t="s">
        <v>932</v>
      </c>
      <c r="R40" s="8" t="s">
        <v>933</v>
      </c>
      <c r="S40" s="8" t="s">
        <v>934</v>
      </c>
    </row>
    <row r="41">
      <c r="A41" s="8">
        <v>40.0</v>
      </c>
      <c r="B41" s="8" t="s">
        <v>935</v>
      </c>
      <c r="C41" s="8" t="s">
        <v>21</v>
      </c>
      <c r="D41" s="8">
        <v>67.0</v>
      </c>
      <c r="E41" s="8">
        <v>1000.0</v>
      </c>
      <c r="H41" s="8" t="s">
        <v>935</v>
      </c>
      <c r="I41" s="9">
        <v>45893.29493055555</v>
      </c>
      <c r="J41" s="8" t="s">
        <v>25</v>
      </c>
      <c r="K41" s="8">
        <v>271000.0</v>
      </c>
      <c r="L41" s="8">
        <v>600.0</v>
      </c>
      <c r="M41" s="8">
        <v>568000.0</v>
      </c>
      <c r="N41" s="7">
        <v>43983.0</v>
      </c>
      <c r="O41" s="8" t="s">
        <v>147</v>
      </c>
      <c r="P41" s="8" t="s">
        <v>938</v>
      </c>
      <c r="Q41" s="8" t="s">
        <v>940</v>
      </c>
      <c r="R41" s="8" t="s">
        <v>941</v>
      </c>
      <c r="S41" s="8" t="s">
        <v>32</v>
      </c>
    </row>
    <row r="42">
      <c r="A42" s="8">
        <v>41.0</v>
      </c>
      <c r="B42" s="8" t="s">
        <v>942</v>
      </c>
      <c r="C42" s="8" t="s">
        <v>21</v>
      </c>
      <c r="D42" s="8">
        <v>92.0</v>
      </c>
      <c r="E42" s="8">
        <v>1000.0</v>
      </c>
      <c r="G42" s="8">
        <v>0.49</v>
      </c>
      <c r="H42" s="8" t="s">
        <v>55</v>
      </c>
      <c r="I42" s="9">
        <v>45898.187060185184</v>
      </c>
      <c r="J42" s="8" t="s">
        <v>62</v>
      </c>
      <c r="K42" s="8">
        <v>1900000.0</v>
      </c>
      <c r="L42" s="8">
        <v>14000.0</v>
      </c>
      <c r="M42" s="8">
        <v>69000.0</v>
      </c>
      <c r="N42" s="7">
        <v>42278.0</v>
      </c>
      <c r="O42" s="8" t="s">
        <v>31</v>
      </c>
      <c r="P42" s="8" t="s">
        <v>28</v>
      </c>
      <c r="Q42" s="8" t="s">
        <v>945</v>
      </c>
      <c r="R42" s="8" t="s">
        <v>946</v>
      </c>
      <c r="S42" s="8" t="s">
        <v>32</v>
      </c>
    </row>
    <row r="43">
      <c r="A43" s="8">
        <v>42.0</v>
      </c>
      <c r="B43" s="8" t="s">
        <v>947</v>
      </c>
      <c r="C43" s="8" t="s">
        <v>21</v>
      </c>
      <c r="D43" s="8">
        <v>27.0</v>
      </c>
      <c r="E43" s="8">
        <v>1000.0</v>
      </c>
      <c r="F43" s="8">
        <v>0.7</v>
      </c>
      <c r="H43" s="8" t="s">
        <v>19</v>
      </c>
      <c r="I43" s="9">
        <v>45905.90665509259</v>
      </c>
      <c r="J43" s="8" t="s">
        <v>870</v>
      </c>
      <c r="K43" s="8">
        <v>1500.0</v>
      </c>
      <c r="L43" s="8">
        <v>28000.0</v>
      </c>
      <c r="M43" s="8">
        <v>29000.0</v>
      </c>
      <c r="N43" s="7">
        <v>42671.0</v>
      </c>
      <c r="O43" s="8" t="s">
        <v>26</v>
      </c>
      <c r="P43" s="8" t="s">
        <v>28</v>
      </c>
      <c r="Q43" s="8" t="s">
        <v>949</v>
      </c>
      <c r="R43" s="8" t="s">
        <v>950</v>
      </c>
      <c r="S43" s="8" t="s">
        <v>32</v>
      </c>
    </row>
    <row r="44">
      <c r="A44" s="8">
        <v>43.0</v>
      </c>
      <c r="B44" s="8" t="s">
        <v>951</v>
      </c>
      <c r="C44" s="8" t="s">
        <v>21</v>
      </c>
      <c r="D44" s="8">
        <v>59.0</v>
      </c>
      <c r="E44" s="8">
        <v>1000.0</v>
      </c>
      <c r="F44" s="8">
        <v>0.6</v>
      </c>
      <c r="H44" s="8" t="s">
        <v>930</v>
      </c>
      <c r="I44" s="9">
        <v>45896.608460648145</v>
      </c>
      <c r="J44" s="8" t="s">
        <v>450</v>
      </c>
      <c r="K44" s="8">
        <v>1100.0</v>
      </c>
      <c r="L44" s="8">
        <v>5400.0</v>
      </c>
      <c r="M44" s="8">
        <v>6500.0</v>
      </c>
      <c r="N44" s="7">
        <v>42337.0</v>
      </c>
      <c r="O44" s="8" t="s">
        <v>31</v>
      </c>
      <c r="P44" s="8" t="s">
        <v>28</v>
      </c>
      <c r="Q44" s="8" t="s">
        <v>953</v>
      </c>
      <c r="R44" s="8" t="s">
        <v>954</v>
      </c>
      <c r="S44" s="8" t="s">
        <v>782</v>
      </c>
    </row>
    <row r="45">
      <c r="A45" s="8">
        <v>44.0</v>
      </c>
      <c r="B45" s="8" t="s">
        <v>116</v>
      </c>
      <c r="C45" s="8" t="s">
        <v>21</v>
      </c>
      <c r="D45" s="8">
        <v>70.0</v>
      </c>
      <c r="E45" s="8">
        <v>1000.0</v>
      </c>
      <c r="H45" s="8" t="s">
        <v>116</v>
      </c>
      <c r="I45" s="9">
        <v>45895.22857638889</v>
      </c>
      <c r="J45" s="8" t="s">
        <v>956</v>
      </c>
      <c r="K45" s="8">
        <v>4200.0</v>
      </c>
      <c r="L45" s="8">
        <v>3100.0</v>
      </c>
      <c r="M45" s="8">
        <v>274000.0</v>
      </c>
      <c r="N45" s="7">
        <v>42248.0</v>
      </c>
      <c r="O45" s="8" t="s">
        <v>107</v>
      </c>
      <c r="P45" s="8" t="s">
        <v>28</v>
      </c>
      <c r="Q45" s="8" t="s">
        <v>958</v>
      </c>
      <c r="R45" s="8" t="s">
        <v>959</v>
      </c>
      <c r="S45" s="8" t="s">
        <v>32</v>
      </c>
    </row>
    <row r="46">
      <c r="A46" s="8">
        <v>45.0</v>
      </c>
      <c r="B46" s="8" t="s">
        <v>960</v>
      </c>
      <c r="C46" s="8" t="s">
        <v>21</v>
      </c>
      <c r="D46" s="8">
        <v>73.0</v>
      </c>
      <c r="E46" s="8">
        <v>900.0</v>
      </c>
      <c r="F46" s="8">
        <v>3.0</v>
      </c>
      <c r="G46" s="8">
        <v>0.97</v>
      </c>
      <c r="H46" s="8" t="s">
        <v>744</v>
      </c>
      <c r="I46" s="9">
        <v>45897.236122685186</v>
      </c>
      <c r="J46" s="8" t="s">
        <v>25</v>
      </c>
      <c r="K46" s="8">
        <v>900.0</v>
      </c>
      <c r="L46" s="8">
        <v>210000.0</v>
      </c>
      <c r="M46" s="8">
        <v>214000.0</v>
      </c>
      <c r="N46" s="7">
        <v>42253.0</v>
      </c>
      <c r="O46" s="8" t="s">
        <v>127</v>
      </c>
      <c r="P46" s="8" t="s">
        <v>28</v>
      </c>
      <c r="Q46" s="8" t="s">
        <v>963</v>
      </c>
      <c r="R46" s="8" t="s">
        <v>964</v>
      </c>
      <c r="S46" s="8" t="s">
        <v>748</v>
      </c>
    </row>
    <row r="47">
      <c r="A47" s="8">
        <v>46.0</v>
      </c>
      <c r="B47" s="8" t="s">
        <v>88</v>
      </c>
      <c r="C47" s="8" t="s">
        <v>21</v>
      </c>
      <c r="D47" s="8">
        <v>40.0</v>
      </c>
      <c r="E47" s="8">
        <v>800.0</v>
      </c>
      <c r="F47" s="8">
        <v>1.1</v>
      </c>
      <c r="H47" s="8" t="s">
        <v>19</v>
      </c>
      <c r="I47" s="9">
        <v>45950.43460648148</v>
      </c>
      <c r="J47" s="8" t="s">
        <v>90</v>
      </c>
      <c r="K47" s="8">
        <v>800.0</v>
      </c>
      <c r="L47" s="8">
        <v>27000.0</v>
      </c>
      <c r="M47" s="8">
        <v>28000.0</v>
      </c>
      <c r="N47" s="7">
        <v>43406.0</v>
      </c>
      <c r="O47" s="8" t="s">
        <v>26</v>
      </c>
      <c r="P47" s="8" t="s">
        <v>28</v>
      </c>
      <c r="Q47" s="8" t="s">
        <v>93</v>
      </c>
      <c r="R47" s="8" t="s">
        <v>95</v>
      </c>
      <c r="S47" s="8" t="s">
        <v>32</v>
      </c>
    </row>
    <row r="48">
      <c r="A48" s="8">
        <v>47.0</v>
      </c>
      <c r="B48" s="8" t="s">
        <v>968</v>
      </c>
      <c r="C48" s="8" t="s">
        <v>21</v>
      </c>
      <c r="D48" s="8">
        <v>74.0</v>
      </c>
      <c r="E48" s="8">
        <v>800.0</v>
      </c>
      <c r="F48" s="8">
        <v>0.5</v>
      </c>
      <c r="G48" s="8">
        <v>1.44</v>
      </c>
      <c r="H48" s="8" t="s">
        <v>930</v>
      </c>
      <c r="I48" s="9">
        <v>45896.83689814815</v>
      </c>
      <c r="J48" s="8" t="s">
        <v>90</v>
      </c>
      <c r="K48" s="8">
        <v>900.0</v>
      </c>
      <c r="L48" s="8">
        <v>5400.0</v>
      </c>
      <c r="M48" s="8">
        <v>6500.0</v>
      </c>
      <c r="N48" s="7">
        <v>42251.0</v>
      </c>
      <c r="O48" s="8" t="s">
        <v>31</v>
      </c>
      <c r="P48" s="8" t="s">
        <v>28</v>
      </c>
      <c r="Q48" s="8" t="s">
        <v>970</v>
      </c>
      <c r="R48" s="8" t="s">
        <v>971</v>
      </c>
      <c r="S48" s="8" t="s">
        <v>934</v>
      </c>
    </row>
    <row r="49">
      <c r="A49" s="8">
        <v>48.0</v>
      </c>
      <c r="B49" s="8" t="s">
        <v>973</v>
      </c>
      <c r="C49" s="8" t="s">
        <v>21</v>
      </c>
      <c r="D49" s="8">
        <v>69.0</v>
      </c>
      <c r="E49" s="8">
        <v>800.0</v>
      </c>
      <c r="H49" s="8" t="s">
        <v>35</v>
      </c>
      <c r="I49" s="9">
        <v>45979.51422453704</v>
      </c>
      <c r="J49" s="8" t="s">
        <v>96</v>
      </c>
      <c r="K49" s="8">
        <v>900.0</v>
      </c>
      <c r="L49" s="8">
        <v>14000.0</v>
      </c>
      <c r="M49" s="8">
        <v>14000.0</v>
      </c>
      <c r="N49" s="7">
        <v>42839.0</v>
      </c>
      <c r="O49" s="8" t="s">
        <v>31</v>
      </c>
      <c r="P49" s="8" t="s">
        <v>28</v>
      </c>
      <c r="Q49" s="8" t="s">
        <v>975</v>
      </c>
      <c r="R49" s="8" t="s">
        <v>976</v>
      </c>
      <c r="S49" s="8" t="s">
        <v>32</v>
      </c>
    </row>
    <row r="50">
      <c r="A50" s="8">
        <v>49.0</v>
      </c>
      <c r="B50" s="8" t="s">
        <v>978</v>
      </c>
      <c r="C50" s="8" t="s">
        <v>21</v>
      </c>
      <c r="D50" s="8">
        <v>82.0</v>
      </c>
      <c r="E50" s="8">
        <v>800.0</v>
      </c>
      <c r="H50" s="8" t="s">
        <v>55</v>
      </c>
      <c r="I50" s="9">
        <v>45973.91569444445</v>
      </c>
      <c r="J50" s="8" t="s">
        <v>979</v>
      </c>
      <c r="K50" s="8">
        <v>4800.0</v>
      </c>
      <c r="L50" s="8">
        <v>13000.0</v>
      </c>
      <c r="M50" s="8">
        <v>61000.0</v>
      </c>
      <c r="N50" s="7">
        <v>42255.0</v>
      </c>
      <c r="O50" s="8" t="s">
        <v>31</v>
      </c>
      <c r="P50" s="8" t="s">
        <v>28</v>
      </c>
      <c r="Q50" s="8" t="s">
        <v>981</v>
      </c>
      <c r="R50" s="8" t="s">
        <v>982</v>
      </c>
      <c r="S50" s="8" t="s">
        <v>32</v>
      </c>
    </row>
    <row r="51">
      <c r="A51" s="8">
        <v>50.0</v>
      </c>
      <c r="B51" s="8" t="s">
        <v>103</v>
      </c>
      <c r="C51" s="8" t="s">
        <v>21</v>
      </c>
      <c r="D51" s="8">
        <v>75.0</v>
      </c>
      <c r="E51" s="8">
        <v>700.0</v>
      </c>
      <c r="H51" s="8" t="s">
        <v>103</v>
      </c>
      <c r="I51" s="9">
        <v>45895.951944444445</v>
      </c>
      <c r="J51" s="8" t="s">
        <v>105</v>
      </c>
      <c r="K51" s="8">
        <v>177000.0</v>
      </c>
      <c r="L51" s="8">
        <v>1400.0</v>
      </c>
      <c r="M51" s="8">
        <v>531000.0</v>
      </c>
      <c r="N51" s="7">
        <v>42432.0</v>
      </c>
      <c r="O51" s="8" t="s">
        <v>107</v>
      </c>
      <c r="P51" s="8" t="s">
        <v>28</v>
      </c>
      <c r="Q51" s="8" t="s">
        <v>109</v>
      </c>
      <c r="R51" s="8" t="s">
        <v>110</v>
      </c>
      <c r="S51" s="8" t="s">
        <v>32</v>
      </c>
    </row>
    <row r="52">
      <c r="A52" s="8">
        <v>51.0</v>
      </c>
      <c r="B52" s="8" t="s">
        <v>986</v>
      </c>
      <c r="C52" s="8" t="s">
        <v>21</v>
      </c>
      <c r="D52" s="8">
        <v>71.0</v>
      </c>
      <c r="E52" s="8">
        <v>700.0</v>
      </c>
      <c r="G52" s="8">
        <v>1.1</v>
      </c>
      <c r="H52" s="8" t="s">
        <v>912</v>
      </c>
      <c r="I52" s="9">
        <v>45895.15033564815</v>
      </c>
      <c r="J52" s="8" t="s">
        <v>25</v>
      </c>
      <c r="K52" s="8">
        <v>1300.0</v>
      </c>
      <c r="L52" s="8">
        <v>4600.0</v>
      </c>
      <c r="M52" s="8">
        <v>4700.0</v>
      </c>
      <c r="N52" s="7">
        <v>42248.0</v>
      </c>
      <c r="O52" s="8" t="s">
        <v>107</v>
      </c>
      <c r="P52" s="8" t="s">
        <v>28</v>
      </c>
      <c r="Q52" s="8" t="s">
        <v>987</v>
      </c>
      <c r="R52" s="8" t="s">
        <v>989</v>
      </c>
      <c r="S52" s="8" t="s">
        <v>990</v>
      </c>
    </row>
    <row r="53">
      <c r="A53" s="8">
        <v>52.0</v>
      </c>
      <c r="B53" s="8" t="s">
        <v>114</v>
      </c>
      <c r="C53" s="8" t="s">
        <v>21</v>
      </c>
      <c r="D53" s="8">
        <v>77.0</v>
      </c>
      <c r="E53" s="8">
        <v>700.0</v>
      </c>
      <c r="H53" s="8" t="s">
        <v>116</v>
      </c>
      <c r="I53" s="9">
        <v>45897.49208333333</v>
      </c>
      <c r="J53" s="8" t="s">
        <v>117</v>
      </c>
      <c r="K53" s="8">
        <v>200000.0</v>
      </c>
      <c r="L53" s="8">
        <v>3100.0</v>
      </c>
      <c r="M53" s="8">
        <v>268000.0</v>
      </c>
      <c r="N53" s="7">
        <v>42549.0</v>
      </c>
      <c r="O53" s="8" t="s">
        <v>107</v>
      </c>
      <c r="P53" s="8" t="s">
        <v>28</v>
      </c>
      <c r="Q53" s="8" t="s">
        <v>120</v>
      </c>
      <c r="R53" s="8" t="s">
        <v>122</v>
      </c>
      <c r="S53" s="8" t="s">
        <v>32</v>
      </c>
    </row>
    <row r="54">
      <c r="A54" s="8">
        <v>53.0</v>
      </c>
      <c r="B54" s="8" t="s">
        <v>993</v>
      </c>
      <c r="C54" s="8" t="s">
        <v>21</v>
      </c>
      <c r="D54" s="8">
        <v>83.0</v>
      </c>
      <c r="E54" s="8">
        <v>700.0</v>
      </c>
      <c r="F54" s="8">
        <v>0.2</v>
      </c>
      <c r="G54" s="8">
        <v>1.2</v>
      </c>
      <c r="H54" s="8" t="s">
        <v>993</v>
      </c>
      <c r="I54" s="9">
        <v>45989.2559375</v>
      </c>
      <c r="J54" s="8" t="s">
        <v>858</v>
      </c>
      <c r="K54" s="8">
        <v>1430000.0</v>
      </c>
      <c r="L54" s="8">
        <v>700.0</v>
      </c>
      <c r="M54" s="8">
        <v>2270000.0</v>
      </c>
      <c r="N54" s="7">
        <v>42260.0</v>
      </c>
      <c r="O54" s="8" t="s">
        <v>26</v>
      </c>
      <c r="P54" s="8" t="s">
        <v>28</v>
      </c>
      <c r="Q54" s="8" t="s">
        <v>995</v>
      </c>
      <c r="R54" s="8" t="s">
        <v>996</v>
      </c>
      <c r="S54" s="8" t="s">
        <v>32</v>
      </c>
    </row>
    <row r="55">
      <c r="A55" s="8">
        <v>54.0</v>
      </c>
      <c r="B55" s="8" t="s">
        <v>997</v>
      </c>
      <c r="C55" s="8" t="s">
        <v>21</v>
      </c>
      <c r="D55" s="8">
        <v>50.0</v>
      </c>
      <c r="E55" s="8">
        <v>600.0</v>
      </c>
      <c r="H55" s="8" t="s">
        <v>762</v>
      </c>
      <c r="I55" s="9">
        <v>46079.16142361111</v>
      </c>
      <c r="J55" s="8" t="s">
        <v>90</v>
      </c>
      <c r="K55" s="8">
        <v>1200.0</v>
      </c>
      <c r="L55" s="8">
        <v>5900.0</v>
      </c>
      <c r="M55" s="8">
        <v>6100.0</v>
      </c>
      <c r="N55" s="7">
        <v>43352.0</v>
      </c>
      <c r="O55" s="8" t="s">
        <v>803</v>
      </c>
      <c r="P55" s="8" t="s">
        <v>28</v>
      </c>
      <c r="Q55" s="8" t="s">
        <v>1000</v>
      </c>
      <c r="R55" s="8" t="s">
        <v>1001</v>
      </c>
      <c r="S55" s="8" t="s">
        <v>1002</v>
      </c>
    </row>
    <row r="56">
      <c r="A56" s="8">
        <v>55.0</v>
      </c>
      <c r="B56" s="8" t="s">
        <v>131</v>
      </c>
      <c r="C56" s="8" t="s">
        <v>21</v>
      </c>
      <c r="D56" s="8">
        <v>81.0</v>
      </c>
      <c r="E56" s="8">
        <v>600.0</v>
      </c>
      <c r="H56" s="8" t="s">
        <v>19</v>
      </c>
      <c r="I56" s="9">
        <v>45896.622615740744</v>
      </c>
      <c r="J56" s="8" t="s">
        <v>42</v>
      </c>
      <c r="K56" s="8">
        <v>700.0</v>
      </c>
      <c r="L56" s="8">
        <v>26000.0</v>
      </c>
      <c r="M56" s="8">
        <v>27000.0</v>
      </c>
      <c r="N56" s="7">
        <v>45132.0</v>
      </c>
      <c r="O56" s="8" t="s">
        <v>31</v>
      </c>
      <c r="P56" s="8" t="s">
        <v>28</v>
      </c>
      <c r="Q56" s="8" t="s">
        <v>136</v>
      </c>
      <c r="R56" s="8">
        <v>489.0</v>
      </c>
      <c r="S56" s="8" t="s">
        <v>32</v>
      </c>
    </row>
    <row r="57">
      <c r="A57" s="8">
        <v>56.0</v>
      </c>
      <c r="B57" s="8" t="s">
        <v>1005</v>
      </c>
      <c r="C57" s="8" t="s">
        <v>21</v>
      </c>
      <c r="D57" s="8">
        <v>72.0</v>
      </c>
      <c r="E57" s="8">
        <v>500.0</v>
      </c>
      <c r="F57" s="8">
        <v>0.02</v>
      </c>
      <c r="G57" s="8">
        <v>1.1</v>
      </c>
      <c r="H57" s="8" t="s">
        <v>398</v>
      </c>
      <c r="I57" s="9">
        <v>45976.892743055556</v>
      </c>
      <c r="J57" s="8" t="s">
        <v>25</v>
      </c>
      <c r="K57" s="8">
        <v>560000.0</v>
      </c>
      <c r="L57" s="8">
        <v>3600.0</v>
      </c>
      <c r="M57" s="8">
        <v>1660000.0</v>
      </c>
      <c r="N57" s="7">
        <v>42258.0</v>
      </c>
      <c r="O57" s="8" t="s">
        <v>147</v>
      </c>
      <c r="P57" s="8" t="s">
        <v>28</v>
      </c>
      <c r="Q57" s="8" t="s">
        <v>1007</v>
      </c>
      <c r="R57" s="8" t="s">
        <v>1008</v>
      </c>
      <c r="S57" s="8" t="s">
        <v>32</v>
      </c>
    </row>
    <row r="58">
      <c r="A58" s="8">
        <v>57.0</v>
      </c>
      <c r="B58" s="8" t="s">
        <v>1009</v>
      </c>
      <c r="C58" s="8" t="s">
        <v>21</v>
      </c>
      <c r="D58" s="8">
        <v>0.0</v>
      </c>
      <c r="E58" s="8">
        <v>500.0</v>
      </c>
      <c r="F58" s="8">
        <v>0.6</v>
      </c>
      <c r="G58" s="8">
        <v>0.96</v>
      </c>
      <c r="H58" s="8" t="s">
        <v>912</v>
      </c>
      <c r="I58" s="9">
        <v>45898.0137962963</v>
      </c>
      <c r="J58" s="8" t="s">
        <v>25</v>
      </c>
      <c r="K58" s="8">
        <v>500.0</v>
      </c>
      <c r="L58" s="8">
        <v>4600.0</v>
      </c>
      <c r="M58" s="8">
        <v>4600.0</v>
      </c>
      <c r="N58" s="7">
        <v>42315.0</v>
      </c>
      <c r="O58" s="8" t="s">
        <v>127</v>
      </c>
      <c r="Q58" s="8" t="s">
        <v>1010</v>
      </c>
      <c r="R58" s="8" t="s">
        <v>1011</v>
      </c>
      <c r="S58" s="8" t="s">
        <v>748</v>
      </c>
    </row>
    <row r="59">
      <c r="A59" s="8">
        <v>58.0</v>
      </c>
      <c r="B59" s="8" t="s">
        <v>138</v>
      </c>
      <c r="C59" s="8" t="s">
        <v>21</v>
      </c>
      <c r="D59" s="8">
        <v>73.0</v>
      </c>
      <c r="E59" s="8">
        <v>500.0</v>
      </c>
      <c r="G59" s="8">
        <v>1.51</v>
      </c>
      <c r="H59" s="8" t="s">
        <v>138</v>
      </c>
      <c r="I59" s="9">
        <v>45895.18194444444</v>
      </c>
      <c r="J59" s="8" t="s">
        <v>143</v>
      </c>
      <c r="K59" s="8">
        <v>62000.0</v>
      </c>
      <c r="L59" s="8">
        <v>2900.0</v>
      </c>
      <c r="M59" s="8">
        <v>737000.0</v>
      </c>
      <c r="N59" s="7">
        <v>42271.0</v>
      </c>
      <c r="O59" s="8" t="s">
        <v>147</v>
      </c>
      <c r="P59" s="8" t="s">
        <v>28</v>
      </c>
      <c r="Q59" s="8" t="s">
        <v>149</v>
      </c>
      <c r="R59" s="8" t="s">
        <v>150</v>
      </c>
      <c r="S59" s="8" t="s">
        <v>32</v>
      </c>
    </row>
    <row r="60">
      <c r="A60" s="8">
        <v>59.0</v>
      </c>
      <c r="B60" s="8" t="s">
        <v>1013</v>
      </c>
      <c r="C60" s="8" t="s">
        <v>21</v>
      </c>
      <c r="D60" s="8">
        <v>54.0</v>
      </c>
      <c r="E60" s="8">
        <v>500.0</v>
      </c>
      <c r="F60" s="8">
        <v>1.0</v>
      </c>
      <c r="H60" s="8" t="s">
        <v>123</v>
      </c>
      <c r="I60" s="9">
        <v>45897.23931712963</v>
      </c>
      <c r="J60" s="8" t="s">
        <v>809</v>
      </c>
      <c r="K60" s="8">
        <v>63000.0</v>
      </c>
      <c r="L60" s="8">
        <v>4500.0</v>
      </c>
      <c r="M60" s="8">
        <v>867000.0</v>
      </c>
      <c r="N60" s="7">
        <v>42248.0</v>
      </c>
      <c r="O60" s="8" t="s">
        <v>147</v>
      </c>
      <c r="P60" s="8" t="s">
        <v>28</v>
      </c>
      <c r="Q60" s="8" t="s">
        <v>1015</v>
      </c>
      <c r="R60" s="8" t="s">
        <v>1016</v>
      </c>
      <c r="S60" s="8" t="s">
        <v>32</v>
      </c>
    </row>
    <row r="61">
      <c r="A61" s="8">
        <v>60.0</v>
      </c>
      <c r="B61" s="8" t="s">
        <v>1017</v>
      </c>
      <c r="C61" s="8" t="s">
        <v>21</v>
      </c>
      <c r="D61" s="8">
        <v>8.0</v>
      </c>
      <c r="E61" s="8">
        <v>500.0</v>
      </c>
      <c r="F61" s="8">
        <v>65.0</v>
      </c>
      <c r="H61" s="8" t="s">
        <v>761</v>
      </c>
      <c r="I61" s="9">
        <v>45889.79822916666</v>
      </c>
      <c r="J61" s="8" t="s">
        <v>25</v>
      </c>
      <c r="K61" s="8">
        <v>500.0</v>
      </c>
      <c r="L61" s="8">
        <v>17000.0</v>
      </c>
      <c r="M61" s="8">
        <v>17000.0</v>
      </c>
      <c r="N61" s="7">
        <v>42264.0</v>
      </c>
      <c r="O61" s="8" t="s">
        <v>127</v>
      </c>
      <c r="P61" s="8" t="s">
        <v>28</v>
      </c>
      <c r="Q61" s="8" t="s">
        <v>1018</v>
      </c>
      <c r="R61" s="8" t="s">
        <v>1019</v>
      </c>
      <c r="S61" s="8" t="s">
        <v>748</v>
      </c>
    </row>
    <row r="62">
      <c r="A62" s="8">
        <v>61.0</v>
      </c>
      <c r="B62" s="8" t="s">
        <v>1020</v>
      </c>
      <c r="C62" s="8" t="s">
        <v>21</v>
      </c>
      <c r="D62" s="8">
        <v>68.0</v>
      </c>
      <c r="E62" s="8">
        <v>500.0</v>
      </c>
      <c r="F62" s="8">
        <v>3.0</v>
      </c>
      <c r="G62" s="8">
        <v>1.06</v>
      </c>
      <c r="H62" s="8" t="s">
        <v>744</v>
      </c>
      <c r="I62" s="9">
        <v>45898.461493055554</v>
      </c>
      <c r="J62" s="8" t="s">
        <v>25</v>
      </c>
      <c r="K62" s="8">
        <v>500.0</v>
      </c>
      <c r="L62" s="8">
        <v>207000.0</v>
      </c>
      <c r="M62" s="8">
        <v>212000.0</v>
      </c>
      <c r="N62" s="7">
        <v>42265.0</v>
      </c>
      <c r="O62" s="8" t="s">
        <v>1022</v>
      </c>
      <c r="P62" s="8" t="s">
        <v>28</v>
      </c>
      <c r="Q62" s="8" t="s">
        <v>1024</v>
      </c>
      <c r="R62" s="8" t="s">
        <v>1025</v>
      </c>
      <c r="S62" s="8" t="s">
        <v>748</v>
      </c>
    </row>
    <row r="63">
      <c r="A63" s="8">
        <v>62.0</v>
      </c>
      <c r="B63" s="8" t="s">
        <v>1026</v>
      </c>
      <c r="C63" s="8" t="s">
        <v>21</v>
      </c>
      <c r="D63" s="8">
        <v>81.0</v>
      </c>
      <c r="E63" s="8">
        <v>450.0</v>
      </c>
      <c r="F63" s="8">
        <v>0.9</v>
      </c>
      <c r="H63" s="8" t="s">
        <v>761</v>
      </c>
      <c r="I63" s="9">
        <v>45979.911261574074</v>
      </c>
      <c r="J63" s="8" t="s">
        <v>25</v>
      </c>
      <c r="K63" s="8">
        <v>500.0</v>
      </c>
      <c r="L63" s="8">
        <v>15000.0</v>
      </c>
      <c r="M63" s="8">
        <v>16000.0</v>
      </c>
      <c r="N63" s="7">
        <v>42407.0</v>
      </c>
      <c r="O63" s="8" t="s">
        <v>1028</v>
      </c>
      <c r="P63" s="8" t="s">
        <v>28</v>
      </c>
      <c r="Q63" s="8" t="s">
        <v>1029</v>
      </c>
      <c r="R63" s="8" t="s">
        <v>1030</v>
      </c>
      <c r="S63" s="8" t="s">
        <v>748</v>
      </c>
    </row>
    <row r="64">
      <c r="A64" s="8">
        <v>63.0</v>
      </c>
      <c r="B64" s="8" t="s">
        <v>1031</v>
      </c>
      <c r="C64" s="8" t="s">
        <v>21</v>
      </c>
      <c r="D64" s="8">
        <v>88.0</v>
      </c>
      <c r="E64" s="8">
        <v>400.0</v>
      </c>
      <c r="F64" s="8">
        <v>0.6</v>
      </c>
      <c r="H64" s="8" t="s">
        <v>930</v>
      </c>
      <c r="I64" s="9">
        <v>45891.39775462963</v>
      </c>
      <c r="J64" s="8" t="s">
        <v>1032</v>
      </c>
      <c r="K64" s="8">
        <v>2000.0</v>
      </c>
      <c r="L64" s="8">
        <v>5300.0</v>
      </c>
      <c r="M64" s="8">
        <v>6500.0</v>
      </c>
      <c r="N64" s="7">
        <v>42248.0</v>
      </c>
      <c r="O64" s="8" t="s">
        <v>1034</v>
      </c>
      <c r="P64" s="8" t="s">
        <v>28</v>
      </c>
      <c r="Q64" s="8" t="s">
        <v>1035</v>
      </c>
      <c r="R64" s="8" t="s">
        <v>1036</v>
      </c>
      <c r="S64" s="8" t="s">
        <v>934</v>
      </c>
    </row>
    <row r="65">
      <c r="A65" s="8">
        <v>64.0</v>
      </c>
      <c r="B65" s="8" t="s">
        <v>1037</v>
      </c>
      <c r="C65" s="8" t="s">
        <v>21</v>
      </c>
      <c r="D65" s="8">
        <v>77.0</v>
      </c>
      <c r="E65" s="8">
        <v>400.0</v>
      </c>
      <c r="F65" s="8">
        <v>0.7</v>
      </c>
      <c r="H65" s="8" t="s">
        <v>761</v>
      </c>
      <c r="I65" s="9">
        <v>45893.32365740741</v>
      </c>
      <c r="J65" s="8" t="s">
        <v>25</v>
      </c>
      <c r="K65" s="8">
        <v>9300.0</v>
      </c>
      <c r="L65" s="8">
        <v>17000.0</v>
      </c>
      <c r="M65" s="8">
        <v>18000.0</v>
      </c>
      <c r="N65" s="7">
        <v>43908.0</v>
      </c>
      <c r="O65" s="8" t="s">
        <v>1028</v>
      </c>
      <c r="P65" s="8" t="s">
        <v>28</v>
      </c>
      <c r="Q65" s="8" t="s">
        <v>1039</v>
      </c>
      <c r="R65" s="8" t="s">
        <v>1040</v>
      </c>
      <c r="S65" s="8" t="s">
        <v>748</v>
      </c>
    </row>
    <row r="66">
      <c r="A66" s="8">
        <v>65.0</v>
      </c>
      <c r="B66" s="8" t="s">
        <v>1042</v>
      </c>
      <c r="C66" s="8" t="s">
        <v>21</v>
      </c>
      <c r="D66" s="8">
        <v>39.0</v>
      </c>
      <c r="E66" s="8">
        <v>400.0</v>
      </c>
      <c r="F66" s="8">
        <v>0.6</v>
      </c>
      <c r="G66" s="8">
        <v>0.93</v>
      </c>
      <c r="H66" s="8" t="s">
        <v>744</v>
      </c>
      <c r="I66" s="9">
        <v>45897.38543981482</v>
      </c>
      <c r="J66" s="8" t="s">
        <v>90</v>
      </c>
      <c r="K66" s="8">
        <v>400.0</v>
      </c>
      <c r="L66" s="8">
        <v>210000.0</v>
      </c>
      <c r="M66" s="8">
        <v>214000.0</v>
      </c>
      <c r="N66" s="7">
        <v>42283.0</v>
      </c>
      <c r="O66" s="8" t="s">
        <v>26</v>
      </c>
      <c r="P66" s="8" t="s">
        <v>28</v>
      </c>
      <c r="Q66" s="8" t="s">
        <v>1044</v>
      </c>
      <c r="R66" s="8" t="s">
        <v>1046</v>
      </c>
      <c r="S66" s="8" t="s">
        <v>32</v>
      </c>
    </row>
    <row r="67">
      <c r="A67" s="8">
        <v>66.0</v>
      </c>
      <c r="B67" s="8" t="s">
        <v>152</v>
      </c>
      <c r="C67" s="8" t="s">
        <v>21</v>
      </c>
      <c r="D67" s="8">
        <v>66.0</v>
      </c>
      <c r="E67" s="8">
        <v>400.0</v>
      </c>
      <c r="H67" s="8" t="s">
        <v>153</v>
      </c>
      <c r="I67" s="9">
        <v>45886.00578703704</v>
      </c>
      <c r="J67" s="8" t="s">
        <v>25</v>
      </c>
      <c r="K67" s="8">
        <v>123000.0</v>
      </c>
      <c r="L67" s="8">
        <v>200.0</v>
      </c>
      <c r="M67" s="8">
        <v>171000.0</v>
      </c>
      <c r="N67" s="7">
        <v>43877.0</v>
      </c>
      <c r="O67" s="8" t="s">
        <v>107</v>
      </c>
      <c r="P67" s="8" t="s">
        <v>28</v>
      </c>
      <c r="Q67" s="8" t="s">
        <v>157</v>
      </c>
      <c r="R67" s="8" t="s">
        <v>159</v>
      </c>
      <c r="S67" s="8" t="s">
        <v>32</v>
      </c>
    </row>
    <row r="68">
      <c r="A68" s="8">
        <v>67.0</v>
      </c>
      <c r="B68" s="8" t="s">
        <v>1049</v>
      </c>
      <c r="C68" s="8" t="s">
        <v>21</v>
      </c>
      <c r="D68" s="8">
        <v>0.0</v>
      </c>
      <c r="E68" s="8">
        <v>400.0</v>
      </c>
      <c r="G68" s="8">
        <v>1.19</v>
      </c>
      <c r="H68" s="8" t="s">
        <v>744</v>
      </c>
      <c r="I68" s="9">
        <v>45977.24193287037</v>
      </c>
      <c r="J68" s="8" t="s">
        <v>789</v>
      </c>
      <c r="K68" s="8">
        <v>400.0</v>
      </c>
      <c r="L68" s="8">
        <v>147000.0</v>
      </c>
      <c r="M68" s="8">
        <v>151000.0</v>
      </c>
      <c r="N68" s="7">
        <v>42253.0</v>
      </c>
      <c r="O68" s="8" t="s">
        <v>127</v>
      </c>
      <c r="P68" s="8" t="s">
        <v>28</v>
      </c>
      <c r="Q68" s="8" t="s">
        <v>1051</v>
      </c>
      <c r="R68" s="8" t="s">
        <v>1052</v>
      </c>
      <c r="S68" s="8" t="s">
        <v>748</v>
      </c>
    </row>
    <row r="69">
      <c r="A69" s="8">
        <v>68.0</v>
      </c>
      <c r="B69" s="8" t="s">
        <v>1053</v>
      </c>
      <c r="C69" s="8" t="s">
        <v>21</v>
      </c>
      <c r="D69" s="8">
        <v>75.0</v>
      </c>
      <c r="E69" s="8">
        <v>400.0</v>
      </c>
      <c r="F69" s="8">
        <v>0.6</v>
      </c>
      <c r="H69" s="8" t="s">
        <v>930</v>
      </c>
      <c r="I69" s="9">
        <v>45887.41909722222</v>
      </c>
      <c r="J69" s="8" t="s">
        <v>62</v>
      </c>
      <c r="K69" s="8">
        <v>400.0</v>
      </c>
      <c r="L69" s="8">
        <v>5100.0</v>
      </c>
      <c r="M69" s="8">
        <v>6300.0</v>
      </c>
      <c r="N69" s="7">
        <v>42256.0</v>
      </c>
      <c r="O69" s="8" t="s">
        <v>26</v>
      </c>
      <c r="P69" s="8" t="s">
        <v>28</v>
      </c>
      <c r="Q69" s="8" t="s">
        <v>1056</v>
      </c>
      <c r="R69" s="8" t="s">
        <v>1057</v>
      </c>
      <c r="S69" s="8" t="s">
        <v>782</v>
      </c>
    </row>
    <row r="70">
      <c r="A70" s="8">
        <v>69.0</v>
      </c>
      <c r="B70" s="8" t="s">
        <v>161</v>
      </c>
      <c r="C70" s="8" t="s">
        <v>21</v>
      </c>
      <c r="D70" s="8">
        <v>75.0</v>
      </c>
      <c r="E70" s="8">
        <v>350.0</v>
      </c>
      <c r="F70" s="8">
        <v>0.03</v>
      </c>
      <c r="G70" s="8">
        <v>1.24</v>
      </c>
      <c r="H70" s="8" t="s">
        <v>161</v>
      </c>
      <c r="I70" s="9">
        <v>45908.674722222226</v>
      </c>
      <c r="J70" s="8" t="s">
        <v>165</v>
      </c>
      <c r="K70" s="8">
        <v>390000.0</v>
      </c>
      <c r="L70" s="8">
        <v>30.0</v>
      </c>
      <c r="M70" s="8">
        <v>61000.0</v>
      </c>
      <c r="N70" s="7">
        <v>42377.0</v>
      </c>
      <c r="O70" s="8" t="s">
        <v>26</v>
      </c>
      <c r="P70" s="8" t="s">
        <v>28</v>
      </c>
      <c r="Q70" s="8" t="s">
        <v>168</v>
      </c>
      <c r="R70" s="8" t="s">
        <v>171</v>
      </c>
      <c r="S70" s="8" t="s">
        <v>32</v>
      </c>
    </row>
    <row r="71">
      <c r="A71" s="8">
        <v>70.0</v>
      </c>
      <c r="B71" s="8" t="s">
        <v>1059</v>
      </c>
      <c r="C71" s="8" t="s">
        <v>21</v>
      </c>
      <c r="D71" s="8">
        <v>59.0</v>
      </c>
      <c r="E71" s="8">
        <v>350.0</v>
      </c>
      <c r="F71" s="8">
        <v>5.0</v>
      </c>
      <c r="H71" s="8" t="s">
        <v>744</v>
      </c>
      <c r="I71" s="9">
        <v>45900.77884259259</v>
      </c>
      <c r="J71" s="8" t="s">
        <v>90</v>
      </c>
      <c r="K71" s="8">
        <v>350.0</v>
      </c>
      <c r="L71" s="8">
        <v>208000.0</v>
      </c>
      <c r="M71" s="8">
        <v>213000.0</v>
      </c>
      <c r="N71" s="7">
        <v>42430.0</v>
      </c>
      <c r="O71" s="8" t="s">
        <v>803</v>
      </c>
      <c r="P71" s="8" t="s">
        <v>28</v>
      </c>
      <c r="Q71" s="8" t="s">
        <v>1061</v>
      </c>
      <c r="R71" s="8" t="s">
        <v>1062</v>
      </c>
      <c r="S71" s="8" t="s">
        <v>32</v>
      </c>
    </row>
    <row r="72">
      <c r="A72" s="8">
        <v>71.0</v>
      </c>
      <c r="B72" s="8" t="s">
        <v>1063</v>
      </c>
      <c r="C72" s="8" t="s">
        <v>21</v>
      </c>
      <c r="D72" s="8">
        <v>80.0</v>
      </c>
      <c r="E72" s="8">
        <v>350.0</v>
      </c>
      <c r="F72" s="8">
        <v>0.15</v>
      </c>
      <c r="H72" s="8" t="s">
        <v>857</v>
      </c>
      <c r="I72" s="9">
        <v>46065.580625</v>
      </c>
      <c r="J72" s="8" t="s">
        <v>1065</v>
      </c>
      <c r="K72" s="8">
        <v>175000.0</v>
      </c>
      <c r="L72" s="8">
        <v>1400.0</v>
      </c>
      <c r="M72" s="8">
        <v>4270000.0</v>
      </c>
      <c r="N72" s="7">
        <v>42379.0</v>
      </c>
      <c r="O72" s="8" t="s">
        <v>26</v>
      </c>
      <c r="P72" s="8" t="s">
        <v>28</v>
      </c>
      <c r="Q72" s="8" t="s">
        <v>1067</v>
      </c>
      <c r="R72" s="8" t="s">
        <v>1068</v>
      </c>
      <c r="S72" s="8" t="s">
        <v>32</v>
      </c>
    </row>
    <row r="73">
      <c r="A73" s="8">
        <v>72.0</v>
      </c>
      <c r="B73" s="10" t="s">
        <v>1070</v>
      </c>
      <c r="C73" s="8" t="s">
        <v>21</v>
      </c>
      <c r="D73" s="8">
        <v>1.0</v>
      </c>
      <c r="E73" s="8">
        <v>350.0</v>
      </c>
      <c r="F73" s="8">
        <v>1.0</v>
      </c>
      <c r="G73" s="8">
        <v>0.9</v>
      </c>
      <c r="H73" s="8" t="s">
        <v>744</v>
      </c>
      <c r="I73" s="9">
        <v>45893.259664351855</v>
      </c>
      <c r="J73" s="8" t="s">
        <v>789</v>
      </c>
      <c r="K73" s="8">
        <v>350.0</v>
      </c>
      <c r="L73" s="8">
        <v>207000.0</v>
      </c>
      <c r="M73" s="8">
        <v>211000.0</v>
      </c>
      <c r="N73" s="7">
        <v>42248.0</v>
      </c>
      <c r="O73" s="8" t="s">
        <v>127</v>
      </c>
      <c r="Q73" s="8" t="s">
        <v>1077</v>
      </c>
      <c r="R73" s="8" t="s">
        <v>1079</v>
      </c>
      <c r="S73" s="8" t="s">
        <v>748</v>
      </c>
    </row>
    <row r="74">
      <c r="A74" s="8">
        <v>73.0</v>
      </c>
      <c r="B74" s="8" t="s">
        <v>1081</v>
      </c>
      <c r="C74" s="8" t="s">
        <v>21</v>
      </c>
      <c r="D74" s="8">
        <v>71.0</v>
      </c>
      <c r="E74" s="8">
        <v>350.0</v>
      </c>
      <c r="G74" s="8">
        <v>1.4</v>
      </c>
      <c r="H74" s="8" t="s">
        <v>55</v>
      </c>
      <c r="I74" s="9">
        <v>45962.932291666664</v>
      </c>
      <c r="J74" s="8" t="s">
        <v>90</v>
      </c>
      <c r="K74" s="8">
        <v>1000.0</v>
      </c>
      <c r="L74" s="8">
        <v>13000.0</v>
      </c>
      <c r="M74" s="8">
        <v>60000.0</v>
      </c>
      <c r="N74" s="7">
        <v>42248.0</v>
      </c>
      <c r="O74" s="8" t="s">
        <v>127</v>
      </c>
      <c r="P74" s="8" t="s">
        <v>28</v>
      </c>
      <c r="Q74" s="8" t="s">
        <v>1083</v>
      </c>
      <c r="R74" s="8" t="s">
        <v>1084</v>
      </c>
      <c r="S74" s="8" t="s">
        <v>32</v>
      </c>
    </row>
    <row r="75">
      <c r="A75" s="8">
        <v>74.0</v>
      </c>
      <c r="B75" s="8" t="s">
        <v>1086</v>
      </c>
      <c r="C75" s="8" t="s">
        <v>21</v>
      </c>
      <c r="D75" s="8">
        <v>61.0</v>
      </c>
      <c r="E75" s="8">
        <v>350.0</v>
      </c>
      <c r="F75" s="8">
        <v>0.8</v>
      </c>
      <c r="H75" s="8" t="s">
        <v>19</v>
      </c>
      <c r="I75" s="9">
        <v>45892.85282407407</v>
      </c>
      <c r="J75" s="8" t="s">
        <v>870</v>
      </c>
      <c r="K75" s="8">
        <v>350.0</v>
      </c>
      <c r="L75" s="8">
        <v>28000.0</v>
      </c>
      <c r="M75" s="8">
        <v>29000.0</v>
      </c>
      <c r="N75" s="7">
        <v>44966.0</v>
      </c>
      <c r="O75" s="8" t="s">
        <v>147</v>
      </c>
      <c r="P75" s="8" t="s">
        <v>28</v>
      </c>
      <c r="Q75" s="8" t="s">
        <v>1089</v>
      </c>
      <c r="R75" s="8" t="s">
        <v>1090</v>
      </c>
      <c r="S75" s="8" t="s">
        <v>32</v>
      </c>
    </row>
    <row r="76">
      <c r="A76" s="8">
        <v>75.0</v>
      </c>
      <c r="B76" s="8" t="s">
        <v>1091</v>
      </c>
      <c r="C76" s="8" t="s">
        <v>21</v>
      </c>
      <c r="D76" s="8">
        <v>18.0</v>
      </c>
      <c r="E76" s="8">
        <v>350.0</v>
      </c>
      <c r="H76" s="8" t="s">
        <v>60</v>
      </c>
      <c r="I76" s="9">
        <v>46082.88240740741</v>
      </c>
      <c r="J76" s="8" t="s">
        <v>62</v>
      </c>
      <c r="K76" s="8">
        <v>350.0</v>
      </c>
      <c r="L76" s="8">
        <v>150.0</v>
      </c>
      <c r="M76" s="8">
        <v>200.0</v>
      </c>
      <c r="N76" s="7">
        <v>42790.0</v>
      </c>
      <c r="O76" s="8" t="s">
        <v>127</v>
      </c>
      <c r="P76" s="8" t="s">
        <v>28</v>
      </c>
      <c r="Q76" s="8" t="s">
        <v>1094</v>
      </c>
      <c r="R76" s="8">
        <v>709.0</v>
      </c>
      <c r="S76" s="8" t="s">
        <v>1095</v>
      </c>
    </row>
    <row r="77">
      <c r="A77" s="8">
        <v>76.0</v>
      </c>
      <c r="B77" s="8" t="s">
        <v>1096</v>
      </c>
      <c r="C77" s="8" t="s">
        <v>21</v>
      </c>
      <c r="D77" s="8">
        <v>63.0</v>
      </c>
      <c r="E77" s="8">
        <v>300.0</v>
      </c>
      <c r="G77" s="8">
        <v>1.23</v>
      </c>
      <c r="H77" s="8" t="s">
        <v>986</v>
      </c>
      <c r="I77" s="9">
        <v>45898.36010416667</v>
      </c>
      <c r="J77" s="8" t="s">
        <v>25</v>
      </c>
      <c r="K77" s="8">
        <v>350.0</v>
      </c>
      <c r="L77" s="8">
        <v>4000.0</v>
      </c>
      <c r="M77" s="8">
        <v>4600.0</v>
      </c>
      <c r="N77" s="7">
        <v>42248.0</v>
      </c>
      <c r="O77" s="8" t="s">
        <v>107</v>
      </c>
      <c r="P77" s="8" t="s">
        <v>28</v>
      </c>
      <c r="Q77" s="8" t="s">
        <v>1100</v>
      </c>
      <c r="R77" s="8" t="s">
        <v>1101</v>
      </c>
      <c r="S77" s="8" t="s">
        <v>748</v>
      </c>
    </row>
    <row r="78">
      <c r="A78" s="8">
        <v>77.0</v>
      </c>
      <c r="B78" s="8" t="s">
        <v>1103</v>
      </c>
      <c r="C78" s="8" t="s">
        <v>21</v>
      </c>
      <c r="D78" s="8">
        <v>58.0</v>
      </c>
      <c r="E78" s="8">
        <v>300.0</v>
      </c>
      <c r="F78" s="8">
        <v>1.7</v>
      </c>
      <c r="H78" s="8" t="s">
        <v>744</v>
      </c>
      <c r="I78" s="9">
        <v>45896.89263888889</v>
      </c>
      <c r="J78" s="8" t="s">
        <v>789</v>
      </c>
      <c r="K78" s="8">
        <v>300.0</v>
      </c>
      <c r="L78" s="8">
        <v>210000.0</v>
      </c>
      <c r="M78" s="8">
        <v>214000.0</v>
      </c>
      <c r="N78" s="7">
        <v>42884.0</v>
      </c>
      <c r="O78" s="8" t="s">
        <v>127</v>
      </c>
      <c r="P78" s="8" t="s">
        <v>28</v>
      </c>
      <c r="Q78" s="8" t="s">
        <v>1106</v>
      </c>
      <c r="R78" s="8" t="s">
        <v>1107</v>
      </c>
      <c r="S78" s="8" t="s">
        <v>32</v>
      </c>
    </row>
    <row r="79">
      <c r="A79" s="8">
        <v>78.0</v>
      </c>
      <c r="B79" s="8" t="s">
        <v>173</v>
      </c>
      <c r="C79" s="8" t="s">
        <v>21</v>
      </c>
      <c r="D79" s="8">
        <v>53.0</v>
      </c>
      <c r="E79" s="8">
        <v>300.0</v>
      </c>
      <c r="F79" s="8">
        <v>1.0</v>
      </c>
      <c r="G79" s="8">
        <v>0.92</v>
      </c>
      <c r="H79" s="8" t="s">
        <v>88</v>
      </c>
      <c r="I79" s="9">
        <v>45928.37082175926</v>
      </c>
      <c r="J79" s="8" t="s">
        <v>62</v>
      </c>
      <c r="K79" s="8">
        <v>350.0</v>
      </c>
      <c r="L79" s="8">
        <v>1500.0</v>
      </c>
      <c r="M79" s="8">
        <v>1800.0</v>
      </c>
      <c r="N79" s="7">
        <v>42255.0</v>
      </c>
      <c r="O79" s="8" t="s">
        <v>26</v>
      </c>
      <c r="P79" s="8" t="s">
        <v>28</v>
      </c>
      <c r="Q79" s="8" t="s">
        <v>181</v>
      </c>
      <c r="R79" s="8" t="s">
        <v>182</v>
      </c>
      <c r="S79" s="8" t="s">
        <v>32</v>
      </c>
    </row>
    <row r="80">
      <c r="A80" s="8">
        <v>79.0</v>
      </c>
      <c r="B80" s="8" t="s">
        <v>1112</v>
      </c>
      <c r="C80" s="8" t="s">
        <v>21</v>
      </c>
      <c r="D80" s="8">
        <v>34.0</v>
      </c>
      <c r="E80" s="8">
        <v>300.0</v>
      </c>
      <c r="F80" s="8">
        <v>0.25</v>
      </c>
      <c r="G80" s="8">
        <v>1.11</v>
      </c>
      <c r="H80" s="8" t="s">
        <v>912</v>
      </c>
      <c r="I80" s="9">
        <v>45896.324421296296</v>
      </c>
      <c r="J80" s="8" t="s">
        <v>25</v>
      </c>
      <c r="K80" s="8">
        <v>400.0</v>
      </c>
      <c r="L80" s="8">
        <v>4600.0</v>
      </c>
      <c r="M80" s="8">
        <v>4700.0</v>
      </c>
      <c r="N80" s="7">
        <v>42310.0</v>
      </c>
      <c r="O80" s="8" t="s">
        <v>31</v>
      </c>
      <c r="P80" s="8" t="s">
        <v>28</v>
      </c>
      <c r="Q80" s="8" t="s">
        <v>1113</v>
      </c>
      <c r="R80" s="8" t="s">
        <v>1114</v>
      </c>
      <c r="S80" s="8" t="s">
        <v>1115</v>
      </c>
    </row>
    <row r="81">
      <c r="A81" s="8">
        <v>80.0</v>
      </c>
      <c r="B81" s="8" t="s">
        <v>185</v>
      </c>
      <c r="C81" s="8" t="s">
        <v>21</v>
      </c>
      <c r="D81" s="8">
        <v>74.0</v>
      </c>
      <c r="E81" s="8">
        <v>300.0</v>
      </c>
      <c r="G81" s="8">
        <v>1.14</v>
      </c>
      <c r="H81" s="8" t="s">
        <v>185</v>
      </c>
      <c r="I81" s="9">
        <v>45971.251597222225</v>
      </c>
      <c r="K81" s="8">
        <v>1200.0</v>
      </c>
      <c r="L81" s="8">
        <v>350.0</v>
      </c>
      <c r="M81" s="8">
        <v>2200.0</v>
      </c>
      <c r="N81" s="7">
        <v>42254.0</v>
      </c>
      <c r="O81" s="8" t="s">
        <v>107</v>
      </c>
      <c r="P81" s="8" t="s">
        <v>28</v>
      </c>
      <c r="Q81" s="8" t="s">
        <v>190</v>
      </c>
      <c r="R81" s="8" t="s">
        <v>191</v>
      </c>
      <c r="S81" s="8" t="s">
        <v>32</v>
      </c>
    </row>
    <row r="82">
      <c r="A82" s="8">
        <v>81.0</v>
      </c>
      <c r="B82" s="10" t="s">
        <v>1117</v>
      </c>
      <c r="C82" s="8" t="s">
        <v>21</v>
      </c>
      <c r="D82" s="8">
        <v>0.0</v>
      </c>
      <c r="E82" s="8">
        <v>300.0</v>
      </c>
      <c r="G82" s="8">
        <v>1.03</v>
      </c>
      <c r="H82" s="8" t="s">
        <v>777</v>
      </c>
      <c r="I82" s="9">
        <v>45974.884988425925</v>
      </c>
      <c r="J82" s="8" t="s">
        <v>789</v>
      </c>
      <c r="K82" s="8">
        <v>300.0</v>
      </c>
      <c r="L82" s="8">
        <v>13000.0</v>
      </c>
      <c r="M82" s="8">
        <v>14000.0</v>
      </c>
      <c r="N82" s="7">
        <v>42349.0</v>
      </c>
      <c r="O82" s="8" t="s">
        <v>127</v>
      </c>
      <c r="Q82" s="8" t="s">
        <v>1120</v>
      </c>
      <c r="R82" s="8" t="s">
        <v>1121</v>
      </c>
      <c r="S82" s="8" t="s">
        <v>748</v>
      </c>
    </row>
    <row r="83">
      <c r="A83" s="8">
        <v>82.0</v>
      </c>
      <c r="B83" s="8" t="s">
        <v>194</v>
      </c>
      <c r="C83" s="8" t="s">
        <v>21</v>
      </c>
      <c r="D83" s="8">
        <v>74.0</v>
      </c>
      <c r="E83" s="8">
        <v>250.0</v>
      </c>
      <c r="H83" s="8" t="s">
        <v>185</v>
      </c>
      <c r="I83" s="9">
        <v>45980.77521990741</v>
      </c>
      <c r="J83" s="8" t="s">
        <v>90</v>
      </c>
      <c r="K83" s="8">
        <v>14000.0</v>
      </c>
      <c r="L83" s="8">
        <v>400.0</v>
      </c>
      <c r="M83" s="8">
        <v>2400.0</v>
      </c>
      <c r="N83" s="7">
        <v>43868.0</v>
      </c>
      <c r="O83" s="8" t="s">
        <v>107</v>
      </c>
      <c r="P83" s="8" t="s">
        <v>28</v>
      </c>
      <c r="Q83" s="8" t="s">
        <v>197</v>
      </c>
      <c r="R83" s="8" t="s">
        <v>198</v>
      </c>
      <c r="S83" s="8" t="s">
        <v>32</v>
      </c>
    </row>
    <row r="84">
      <c r="A84" s="8">
        <v>83.0</v>
      </c>
      <c r="B84" s="8" t="s">
        <v>1124</v>
      </c>
      <c r="C84" s="8" t="s">
        <v>21</v>
      </c>
      <c r="D84" s="8">
        <v>70.0</v>
      </c>
      <c r="E84" s="8">
        <v>250.0</v>
      </c>
      <c r="G84" s="8">
        <v>1.19</v>
      </c>
      <c r="H84" s="8" t="s">
        <v>116</v>
      </c>
      <c r="I84" s="9">
        <v>45891.796168981484</v>
      </c>
      <c r="J84" s="8" t="s">
        <v>90</v>
      </c>
      <c r="K84" s="8">
        <v>23000.0</v>
      </c>
      <c r="L84" s="8">
        <v>3100.0</v>
      </c>
      <c r="M84" s="8">
        <v>276000.0</v>
      </c>
      <c r="N84" s="7">
        <v>42867.0</v>
      </c>
      <c r="O84" s="8" t="s">
        <v>147</v>
      </c>
      <c r="P84" s="8" t="s">
        <v>28</v>
      </c>
      <c r="Q84" s="8" t="s">
        <v>1127</v>
      </c>
      <c r="R84" s="8" t="s">
        <v>1128</v>
      </c>
      <c r="S84" s="8" t="s">
        <v>32</v>
      </c>
    </row>
    <row r="85">
      <c r="A85" s="8">
        <v>84.0</v>
      </c>
      <c r="B85" s="8" t="s">
        <v>1130</v>
      </c>
      <c r="C85" s="8" t="s">
        <v>21</v>
      </c>
      <c r="D85" s="8">
        <v>55.0</v>
      </c>
      <c r="E85" s="8">
        <v>250.0</v>
      </c>
      <c r="H85" s="8" t="s">
        <v>832</v>
      </c>
      <c r="I85" s="9">
        <v>45911.18475694444</v>
      </c>
      <c r="J85" s="8" t="s">
        <v>1131</v>
      </c>
      <c r="K85" s="8">
        <v>250.0</v>
      </c>
      <c r="L85" s="8">
        <v>6200.0</v>
      </c>
      <c r="M85" s="8">
        <v>6600.0</v>
      </c>
      <c r="N85" s="7">
        <v>43362.0</v>
      </c>
      <c r="O85" s="8" t="s">
        <v>803</v>
      </c>
      <c r="P85" s="8" t="s">
        <v>28</v>
      </c>
      <c r="Q85" s="8" t="s">
        <v>1133</v>
      </c>
      <c r="R85" s="8" t="s">
        <v>1134</v>
      </c>
      <c r="S85" s="8" t="s">
        <v>32</v>
      </c>
    </row>
    <row r="86">
      <c r="A86" s="8">
        <v>85.0</v>
      </c>
      <c r="B86" s="8" t="s">
        <v>1135</v>
      </c>
      <c r="C86" s="8" t="s">
        <v>21</v>
      </c>
      <c r="D86" s="8">
        <v>43.0</v>
      </c>
      <c r="E86" s="8">
        <v>250.0</v>
      </c>
      <c r="H86" s="8" t="s">
        <v>744</v>
      </c>
      <c r="I86" s="9">
        <v>45940.97998842593</v>
      </c>
      <c r="J86" s="8" t="s">
        <v>789</v>
      </c>
      <c r="K86" s="8">
        <v>250.0</v>
      </c>
      <c r="L86" s="8">
        <v>181000.0</v>
      </c>
      <c r="M86" s="8">
        <v>185000.0</v>
      </c>
      <c r="N86" s="7">
        <v>42665.0</v>
      </c>
      <c r="O86" s="8" t="s">
        <v>803</v>
      </c>
      <c r="P86" s="8" t="s">
        <v>28</v>
      </c>
      <c r="Q86" s="8" t="s">
        <v>1137</v>
      </c>
      <c r="R86" s="8">
        <v>73.0</v>
      </c>
      <c r="S86" s="8" t="s">
        <v>748</v>
      </c>
    </row>
    <row r="87">
      <c r="A87" s="8">
        <v>86.0</v>
      </c>
      <c r="B87" s="8" t="s">
        <v>1138</v>
      </c>
      <c r="C87" s="8" t="s">
        <v>21</v>
      </c>
      <c r="D87" s="8">
        <v>51.0</v>
      </c>
      <c r="E87" s="8">
        <v>250.0</v>
      </c>
      <c r="F87" s="8">
        <v>1.6</v>
      </c>
      <c r="G87" s="8">
        <v>0.42</v>
      </c>
      <c r="H87" s="8" t="s">
        <v>997</v>
      </c>
      <c r="I87" s="9">
        <v>45976.04282407407</v>
      </c>
      <c r="J87" s="8" t="s">
        <v>62</v>
      </c>
      <c r="K87" s="8">
        <v>19000.0</v>
      </c>
      <c r="L87" s="8">
        <v>0.0</v>
      </c>
      <c r="M87" s="8">
        <v>3200.0</v>
      </c>
      <c r="N87" s="7">
        <v>42254.0</v>
      </c>
      <c r="O87" s="8" t="s">
        <v>31</v>
      </c>
      <c r="P87" s="8" t="s">
        <v>28</v>
      </c>
      <c r="Q87" s="8" t="s">
        <v>1141</v>
      </c>
      <c r="R87" s="8" t="s">
        <v>1142</v>
      </c>
      <c r="S87" s="8" t="s">
        <v>1143</v>
      </c>
    </row>
    <row r="88">
      <c r="A88" s="8">
        <v>87.0</v>
      </c>
      <c r="B88" s="8" t="s">
        <v>1144</v>
      </c>
      <c r="C88" s="8" t="s">
        <v>21</v>
      </c>
      <c r="D88" s="8">
        <v>49.0</v>
      </c>
      <c r="E88" s="8">
        <v>200.0</v>
      </c>
      <c r="F88" s="8">
        <v>0.35</v>
      </c>
      <c r="H88" s="8" t="s">
        <v>755</v>
      </c>
      <c r="I88" s="9">
        <v>46117.84556712963</v>
      </c>
      <c r="J88" s="8" t="s">
        <v>62</v>
      </c>
      <c r="K88" s="8">
        <v>200.0</v>
      </c>
      <c r="L88" s="8">
        <v>16000.0</v>
      </c>
      <c r="M88" s="8">
        <v>16000.0</v>
      </c>
      <c r="N88" s="7">
        <v>42982.0</v>
      </c>
      <c r="O88" s="8" t="s">
        <v>31</v>
      </c>
      <c r="P88" s="8" t="s">
        <v>28</v>
      </c>
      <c r="S88" s="8" t="s">
        <v>782</v>
      </c>
    </row>
    <row r="89">
      <c r="A89" s="8">
        <v>88.0</v>
      </c>
      <c r="B89" s="8" t="s">
        <v>1148</v>
      </c>
      <c r="C89" s="8" t="s">
        <v>21</v>
      </c>
      <c r="D89" s="8">
        <v>25.0</v>
      </c>
      <c r="E89" s="8">
        <v>200.0</v>
      </c>
      <c r="G89" s="8">
        <v>1.0</v>
      </c>
      <c r="H89" s="8" t="s">
        <v>838</v>
      </c>
      <c r="I89" s="9">
        <v>45898.46129629629</v>
      </c>
      <c r="J89" s="8" t="s">
        <v>1150</v>
      </c>
      <c r="K89" s="8">
        <v>200.0</v>
      </c>
      <c r="L89" s="8">
        <v>6400.0</v>
      </c>
      <c r="M89" s="8">
        <v>6700.0</v>
      </c>
      <c r="N89" s="7">
        <v>42248.0</v>
      </c>
      <c r="O89" s="8" t="s">
        <v>26</v>
      </c>
      <c r="Q89" s="8" t="s">
        <v>1151</v>
      </c>
      <c r="R89" s="8" t="s">
        <v>1152</v>
      </c>
      <c r="S89" s="8" t="s">
        <v>782</v>
      </c>
    </row>
    <row r="90">
      <c r="A90" s="8">
        <v>89.0</v>
      </c>
      <c r="B90" s="8" t="s">
        <v>1154</v>
      </c>
      <c r="C90" s="8" t="s">
        <v>21</v>
      </c>
      <c r="D90" s="8">
        <v>2.0</v>
      </c>
      <c r="E90" s="8">
        <v>200.0</v>
      </c>
      <c r="H90" s="8" t="s">
        <v>744</v>
      </c>
      <c r="I90" s="9">
        <v>45938.00324074074</v>
      </c>
      <c r="J90" s="8" t="s">
        <v>1155</v>
      </c>
      <c r="K90" s="8">
        <v>250.0</v>
      </c>
      <c r="L90" s="8">
        <v>179000.0</v>
      </c>
      <c r="M90" s="8">
        <v>183000.0</v>
      </c>
      <c r="N90" s="7">
        <v>42938.0</v>
      </c>
      <c r="O90" s="8" t="s">
        <v>147</v>
      </c>
      <c r="P90" s="8" t="s">
        <v>28</v>
      </c>
      <c r="Q90" s="8" t="s">
        <v>1157</v>
      </c>
      <c r="R90" s="8" t="s">
        <v>1158</v>
      </c>
      <c r="S90" s="8" t="s">
        <v>748</v>
      </c>
    </row>
    <row r="91">
      <c r="A91" s="8">
        <v>90.0</v>
      </c>
      <c r="B91" s="8" t="s">
        <v>1159</v>
      </c>
      <c r="C91" s="8" t="s">
        <v>21</v>
      </c>
      <c r="D91" s="8">
        <v>78.0</v>
      </c>
      <c r="E91" s="8">
        <v>200.0</v>
      </c>
      <c r="H91" s="8" t="s">
        <v>123</v>
      </c>
      <c r="I91" s="9">
        <v>46076.57324074074</v>
      </c>
      <c r="K91" s="8">
        <v>13000.0</v>
      </c>
      <c r="L91" s="8">
        <v>5100.0</v>
      </c>
      <c r="M91" s="8">
        <v>596000.0</v>
      </c>
      <c r="N91" s="7">
        <v>42308.0</v>
      </c>
      <c r="O91" s="8" t="s">
        <v>107</v>
      </c>
      <c r="P91" s="8" t="s">
        <v>28</v>
      </c>
      <c r="S91" s="8" t="s">
        <v>32</v>
      </c>
    </row>
    <row r="92">
      <c r="A92" s="8">
        <v>91.0</v>
      </c>
      <c r="B92" s="8" t="s">
        <v>1161</v>
      </c>
      <c r="C92" s="8" t="s">
        <v>21</v>
      </c>
      <c r="D92" s="8">
        <v>73.0</v>
      </c>
      <c r="E92" s="8">
        <v>200.0</v>
      </c>
      <c r="F92" s="8">
        <v>0.6</v>
      </c>
      <c r="H92" s="8" t="s">
        <v>930</v>
      </c>
      <c r="I92" s="9">
        <v>45941.18817129629</v>
      </c>
      <c r="K92" s="8">
        <v>800.0</v>
      </c>
      <c r="L92" s="8">
        <v>5300.0</v>
      </c>
      <c r="M92" s="8">
        <v>5700.0</v>
      </c>
      <c r="N92" s="7">
        <v>42253.0</v>
      </c>
      <c r="O92" s="8" t="s">
        <v>1028</v>
      </c>
      <c r="P92" s="8" t="s">
        <v>28</v>
      </c>
      <c r="Q92" s="8" t="s">
        <v>1164</v>
      </c>
      <c r="R92" s="8" t="s">
        <v>1165</v>
      </c>
      <c r="S92" s="8" t="s">
        <v>934</v>
      </c>
    </row>
    <row r="93">
      <c r="A93" s="8">
        <v>92.0</v>
      </c>
      <c r="B93" s="8" t="s">
        <v>1166</v>
      </c>
      <c r="C93" s="8" t="s">
        <v>21</v>
      </c>
      <c r="D93" s="8">
        <v>14.0</v>
      </c>
      <c r="E93" s="8">
        <v>200.0</v>
      </c>
      <c r="F93" s="8">
        <v>0.09</v>
      </c>
      <c r="G93" s="8">
        <v>0.81</v>
      </c>
      <c r="H93" s="8" t="s">
        <v>744</v>
      </c>
      <c r="I93" s="9">
        <v>46157.10802083334</v>
      </c>
      <c r="J93" s="8" t="s">
        <v>25</v>
      </c>
      <c r="K93" s="8">
        <v>200.0</v>
      </c>
      <c r="L93" s="8">
        <v>131000.0</v>
      </c>
      <c r="M93" s="8">
        <v>135000.0</v>
      </c>
      <c r="N93" s="7">
        <v>42537.0</v>
      </c>
      <c r="O93" s="8" t="s">
        <v>26</v>
      </c>
      <c r="P93" s="8" t="s">
        <v>28</v>
      </c>
      <c r="Q93" s="8" t="s">
        <v>1169</v>
      </c>
      <c r="R93" s="8" t="s">
        <v>1170</v>
      </c>
      <c r="S93" s="8" t="s">
        <v>32</v>
      </c>
    </row>
    <row r="94">
      <c r="A94" s="8">
        <v>93.0</v>
      </c>
      <c r="B94" s="8" t="s">
        <v>1171</v>
      </c>
      <c r="C94" s="8" t="s">
        <v>21</v>
      </c>
      <c r="D94" s="8">
        <v>74.0</v>
      </c>
      <c r="E94" s="8">
        <v>200.0</v>
      </c>
      <c r="H94" s="8" t="s">
        <v>123</v>
      </c>
      <c r="I94" s="9">
        <v>46089.648935185185</v>
      </c>
      <c r="J94" s="8" t="s">
        <v>90</v>
      </c>
      <c r="K94" s="8">
        <v>13000.0</v>
      </c>
      <c r="L94" s="8">
        <v>600.0</v>
      </c>
      <c r="M94" s="8">
        <v>204000.0</v>
      </c>
      <c r="N94" s="7">
        <v>44463.0</v>
      </c>
      <c r="O94" s="8" t="s">
        <v>107</v>
      </c>
      <c r="P94" s="8" t="s">
        <v>1174</v>
      </c>
      <c r="S94" s="8" t="s">
        <v>32</v>
      </c>
    </row>
    <row r="95">
      <c r="A95" s="8">
        <v>94.0</v>
      </c>
      <c r="B95" s="8" t="s">
        <v>201</v>
      </c>
      <c r="C95" s="8" t="s">
        <v>21</v>
      </c>
      <c r="D95" s="8">
        <v>29.0</v>
      </c>
      <c r="E95" s="8">
        <v>200.0</v>
      </c>
      <c r="F95" s="8">
        <v>4.0</v>
      </c>
      <c r="H95" s="8" t="s">
        <v>19</v>
      </c>
      <c r="I95" s="9">
        <v>45974.01957175926</v>
      </c>
      <c r="J95" s="8" t="s">
        <v>25</v>
      </c>
      <c r="K95" s="8">
        <v>200.0</v>
      </c>
      <c r="L95" s="8">
        <v>37000.0</v>
      </c>
      <c r="M95" s="8">
        <v>38000.0</v>
      </c>
      <c r="N95" s="7">
        <v>44025.0</v>
      </c>
      <c r="O95" s="8" t="s">
        <v>127</v>
      </c>
      <c r="P95" s="8" t="s">
        <v>28</v>
      </c>
      <c r="S95" s="8" t="s">
        <v>32</v>
      </c>
    </row>
    <row r="96">
      <c r="A96" s="8">
        <v>95.0</v>
      </c>
      <c r="B96" s="8" t="s">
        <v>1178</v>
      </c>
      <c r="C96" s="8" t="s">
        <v>21</v>
      </c>
      <c r="D96" s="8">
        <v>65.0</v>
      </c>
      <c r="E96" s="8">
        <v>200.0</v>
      </c>
      <c r="H96" s="8" t="s">
        <v>1178</v>
      </c>
      <c r="I96" s="9">
        <v>45943.41253472222</v>
      </c>
      <c r="J96" s="8" t="s">
        <v>90</v>
      </c>
      <c r="K96" s="8">
        <v>53000.0</v>
      </c>
      <c r="L96" s="8">
        <v>100.0</v>
      </c>
      <c r="M96" s="8">
        <v>166000.0</v>
      </c>
      <c r="N96" s="7">
        <v>44027.0</v>
      </c>
      <c r="O96" s="8" t="s">
        <v>147</v>
      </c>
      <c r="P96" s="8" t="s">
        <v>938</v>
      </c>
      <c r="S96" s="8" t="s">
        <v>32</v>
      </c>
    </row>
    <row r="97">
      <c r="A97" s="8">
        <v>96.0</v>
      </c>
      <c r="B97" s="8" t="s">
        <v>1182</v>
      </c>
      <c r="C97" s="8" t="s">
        <v>21</v>
      </c>
      <c r="D97" s="8">
        <v>28.0</v>
      </c>
      <c r="E97" s="8">
        <v>200.0</v>
      </c>
      <c r="F97" s="8">
        <v>0.7</v>
      </c>
      <c r="H97" s="8" t="s">
        <v>1183</v>
      </c>
      <c r="I97" s="9">
        <v>45985.5021412037</v>
      </c>
      <c r="J97" s="8" t="s">
        <v>90</v>
      </c>
      <c r="K97" s="8">
        <v>200.0</v>
      </c>
      <c r="L97" s="8">
        <v>6300.0</v>
      </c>
      <c r="M97" s="8">
        <v>6700.0</v>
      </c>
      <c r="N97" s="7">
        <v>42346.0</v>
      </c>
      <c r="O97" s="8" t="s">
        <v>1186</v>
      </c>
      <c r="P97" s="8" t="s">
        <v>28</v>
      </c>
      <c r="Q97" s="8" t="s">
        <v>1187</v>
      </c>
      <c r="R97" s="8" t="s">
        <v>1188</v>
      </c>
      <c r="S97" s="8" t="s">
        <v>782</v>
      </c>
    </row>
    <row r="98">
      <c r="A98" s="8">
        <v>97.0</v>
      </c>
      <c r="B98" s="8" t="s">
        <v>1190</v>
      </c>
      <c r="C98" s="8" t="s">
        <v>21</v>
      </c>
      <c r="D98" s="8">
        <v>77.0</v>
      </c>
      <c r="E98" s="8">
        <v>150.0</v>
      </c>
      <c r="H98" s="8" t="s">
        <v>744</v>
      </c>
      <c r="I98" s="9">
        <v>46123.39202546296</v>
      </c>
      <c r="J98" s="8" t="s">
        <v>96</v>
      </c>
      <c r="K98" s="8">
        <v>150.0</v>
      </c>
      <c r="L98" s="8">
        <v>136000.0</v>
      </c>
      <c r="M98" s="8">
        <v>140000.0</v>
      </c>
      <c r="N98" s="7">
        <v>43091.0</v>
      </c>
      <c r="O98" s="8" t="s">
        <v>26</v>
      </c>
      <c r="P98" s="8" t="s">
        <v>28</v>
      </c>
      <c r="S98" s="8" t="s">
        <v>934</v>
      </c>
    </row>
    <row r="99">
      <c r="A99" s="8">
        <v>98.0</v>
      </c>
      <c r="B99" s="8" t="s">
        <v>1193</v>
      </c>
      <c r="C99" s="8" t="s">
        <v>21</v>
      </c>
      <c r="D99" s="8">
        <v>67.0</v>
      </c>
      <c r="E99" s="8">
        <v>150.0</v>
      </c>
      <c r="H99" s="8" t="s">
        <v>755</v>
      </c>
      <c r="I99" s="9">
        <v>46149.513969907406</v>
      </c>
      <c r="K99" s="8">
        <v>700.0</v>
      </c>
      <c r="L99" s="8">
        <v>15000.0</v>
      </c>
      <c r="M99" s="8">
        <v>16000.0</v>
      </c>
      <c r="N99" s="7">
        <v>44887.0</v>
      </c>
      <c r="O99" s="8" t="s">
        <v>803</v>
      </c>
      <c r="P99" s="8" t="s">
        <v>28</v>
      </c>
      <c r="S99" s="8" t="s">
        <v>837</v>
      </c>
    </row>
    <row r="100">
      <c r="A100" s="8">
        <v>99.0</v>
      </c>
      <c r="B100" s="8" t="s">
        <v>1196</v>
      </c>
      <c r="C100" s="8" t="s">
        <v>21</v>
      </c>
      <c r="D100" s="8">
        <v>79.0</v>
      </c>
      <c r="E100" s="8">
        <v>150.0</v>
      </c>
      <c r="H100" s="8" t="s">
        <v>20</v>
      </c>
      <c r="I100" s="9">
        <v>46152.56929398148</v>
      </c>
      <c r="J100" s="8" t="s">
        <v>90</v>
      </c>
      <c r="K100" s="8">
        <v>2700.0</v>
      </c>
      <c r="L100" s="8">
        <v>1500.0</v>
      </c>
      <c r="M100" s="8">
        <v>42000.0</v>
      </c>
      <c r="N100" s="7">
        <v>42820.0</v>
      </c>
      <c r="O100" s="8" t="s">
        <v>31</v>
      </c>
      <c r="P100" s="8" t="s">
        <v>28</v>
      </c>
      <c r="S100" s="8" t="s">
        <v>32</v>
      </c>
    </row>
    <row r="101">
      <c r="A101" s="8">
        <v>100.0</v>
      </c>
      <c r="B101" s="8" t="s">
        <v>210</v>
      </c>
      <c r="C101" s="8" t="s">
        <v>21</v>
      </c>
      <c r="D101" s="8">
        <v>75.0</v>
      </c>
      <c r="E101" s="8">
        <v>150.0</v>
      </c>
      <c r="H101" s="8" t="s">
        <v>123</v>
      </c>
      <c r="I101" s="9">
        <v>46082.52782407407</v>
      </c>
      <c r="K101" s="8">
        <v>150.0</v>
      </c>
      <c r="L101" s="8">
        <v>5100.0</v>
      </c>
      <c r="M101" s="8">
        <v>596000.0</v>
      </c>
      <c r="N101" s="7">
        <v>45173.0</v>
      </c>
      <c r="O101" s="8" t="s">
        <v>107</v>
      </c>
      <c r="P101" s="8" t="s">
        <v>28</v>
      </c>
      <c r="S101" s="8" t="s">
        <v>32</v>
      </c>
    </row>
    <row r="102">
      <c r="A102" s="8">
        <v>101.0</v>
      </c>
      <c r="B102" s="8" t="s">
        <v>1201</v>
      </c>
      <c r="C102" s="8" t="s">
        <v>21</v>
      </c>
      <c r="D102" s="8">
        <v>45.0</v>
      </c>
      <c r="E102" s="8">
        <v>150.0</v>
      </c>
      <c r="H102" s="8" t="s">
        <v>832</v>
      </c>
      <c r="I102" s="9">
        <v>46146.58459490741</v>
      </c>
      <c r="J102" s="8" t="s">
        <v>62</v>
      </c>
      <c r="K102" s="8">
        <v>150.0</v>
      </c>
      <c r="L102" s="8">
        <v>3700.0</v>
      </c>
      <c r="M102" s="8">
        <v>3800.0</v>
      </c>
      <c r="N102" s="7">
        <v>43322.0</v>
      </c>
      <c r="O102" s="8" t="s">
        <v>127</v>
      </c>
      <c r="P102" s="8" t="s">
        <v>28</v>
      </c>
      <c r="S102" s="8" t="s">
        <v>782</v>
      </c>
    </row>
    <row r="103">
      <c r="A103" s="8">
        <v>102.0</v>
      </c>
      <c r="B103" s="8" t="s">
        <v>1204</v>
      </c>
      <c r="C103" s="8" t="s">
        <v>21</v>
      </c>
      <c r="D103" s="8">
        <v>0.0</v>
      </c>
      <c r="E103" s="8">
        <v>150.0</v>
      </c>
      <c r="F103" s="8">
        <v>7.0</v>
      </c>
      <c r="H103" s="8" t="s">
        <v>744</v>
      </c>
      <c r="I103" s="9">
        <v>46149.46789351852</v>
      </c>
      <c r="J103" s="8" t="s">
        <v>25</v>
      </c>
      <c r="K103" s="8">
        <v>200.0</v>
      </c>
      <c r="L103" s="8">
        <v>137000.0</v>
      </c>
      <c r="M103" s="8">
        <v>140000.0</v>
      </c>
      <c r="N103" s="7">
        <v>42309.0</v>
      </c>
      <c r="O103" s="8" t="s">
        <v>26</v>
      </c>
      <c r="P103" s="8" t="s">
        <v>28</v>
      </c>
      <c r="Q103" s="8" t="s">
        <v>1206</v>
      </c>
      <c r="R103" s="8" t="s">
        <v>1207</v>
      </c>
      <c r="S103" s="8" t="s">
        <v>1208</v>
      </c>
    </row>
    <row r="104">
      <c r="A104" s="8">
        <v>103.0</v>
      </c>
      <c r="B104" s="8" t="s">
        <v>1210</v>
      </c>
      <c r="C104" s="8" t="s">
        <v>21</v>
      </c>
      <c r="D104" s="8">
        <v>41.0</v>
      </c>
      <c r="E104" s="8">
        <v>150.0</v>
      </c>
      <c r="G104" s="8">
        <v>0.95</v>
      </c>
      <c r="H104" s="8" t="s">
        <v>755</v>
      </c>
      <c r="I104" s="9">
        <v>46123.82780092592</v>
      </c>
      <c r="J104" s="8" t="s">
        <v>25</v>
      </c>
      <c r="K104" s="8">
        <v>150.0</v>
      </c>
      <c r="L104" s="8">
        <v>16000.0</v>
      </c>
      <c r="M104" s="8">
        <v>16000.0</v>
      </c>
      <c r="N104" s="7">
        <v>42256.0</v>
      </c>
      <c r="O104" s="8" t="s">
        <v>803</v>
      </c>
      <c r="P104" s="8" t="s">
        <v>28</v>
      </c>
      <c r="S104" s="8" t="s">
        <v>748</v>
      </c>
    </row>
    <row r="105">
      <c r="A105" s="8">
        <v>104.0</v>
      </c>
      <c r="B105" s="8" t="s">
        <v>1214</v>
      </c>
      <c r="C105" s="8" t="s">
        <v>21</v>
      </c>
      <c r="D105" s="8">
        <v>80.0</v>
      </c>
      <c r="E105" s="8">
        <v>150.0</v>
      </c>
      <c r="G105" s="8">
        <v>1.0</v>
      </c>
      <c r="H105" s="8" t="s">
        <v>20</v>
      </c>
      <c r="I105" s="9">
        <v>46099.88267361111</v>
      </c>
      <c r="J105" s="8" t="s">
        <v>1215</v>
      </c>
      <c r="K105" s="8">
        <v>1330000.0</v>
      </c>
      <c r="L105" s="8">
        <v>400.0</v>
      </c>
      <c r="M105" s="8">
        <v>1910000.0</v>
      </c>
      <c r="N105" s="7">
        <v>42288.0</v>
      </c>
      <c r="O105" s="8" t="s">
        <v>26</v>
      </c>
      <c r="P105" s="8" t="s">
        <v>28</v>
      </c>
      <c r="S105" s="8" t="s">
        <v>32</v>
      </c>
    </row>
    <row r="106">
      <c r="A106" s="8">
        <v>105.0</v>
      </c>
      <c r="B106" s="8" t="s">
        <v>1218</v>
      </c>
      <c r="C106" s="8" t="s">
        <v>21</v>
      </c>
      <c r="D106" s="8">
        <v>29.0</v>
      </c>
      <c r="E106" s="8">
        <v>150.0</v>
      </c>
      <c r="F106" s="8">
        <v>0.01</v>
      </c>
      <c r="G106" s="8">
        <v>1.0</v>
      </c>
      <c r="H106" s="8" t="s">
        <v>838</v>
      </c>
      <c r="I106" s="9">
        <v>46156.73391203704</v>
      </c>
      <c r="J106" s="8" t="s">
        <v>789</v>
      </c>
      <c r="K106" s="8">
        <v>1200.0</v>
      </c>
      <c r="L106" s="8">
        <v>2000.0</v>
      </c>
      <c r="M106" s="8">
        <v>2100.0</v>
      </c>
      <c r="N106" s="7">
        <v>42283.0</v>
      </c>
      <c r="O106" s="8" t="s">
        <v>31</v>
      </c>
      <c r="P106" s="8" t="s">
        <v>28</v>
      </c>
      <c r="Q106" s="8" t="s">
        <v>1221</v>
      </c>
      <c r="R106" s="8">
        <v>86.0</v>
      </c>
      <c r="S106" s="8" t="s">
        <v>1223</v>
      </c>
    </row>
    <row r="107">
      <c r="A107" s="8">
        <v>106.0</v>
      </c>
      <c r="B107" s="8" t="s">
        <v>1224</v>
      </c>
      <c r="C107" s="8" t="s">
        <v>21</v>
      </c>
      <c r="D107" s="8">
        <v>65.0</v>
      </c>
      <c r="E107" s="8">
        <v>150.0</v>
      </c>
      <c r="F107" s="8">
        <v>1.4</v>
      </c>
      <c r="H107" s="8" t="s">
        <v>1226</v>
      </c>
      <c r="I107" s="9">
        <v>46163.15738425926</v>
      </c>
      <c r="J107" s="8" t="s">
        <v>96</v>
      </c>
      <c r="K107" s="8">
        <v>150.0</v>
      </c>
      <c r="L107" s="8">
        <v>1100.0</v>
      </c>
      <c r="M107" s="8">
        <v>1200.0</v>
      </c>
      <c r="N107" s="7">
        <v>42280.0</v>
      </c>
      <c r="O107" s="8" t="s">
        <v>26</v>
      </c>
      <c r="P107" s="8" t="s">
        <v>28</v>
      </c>
      <c r="S107" s="8" t="s">
        <v>934</v>
      </c>
    </row>
    <row r="108">
      <c r="A108" s="8">
        <v>107.0</v>
      </c>
      <c r="B108" s="8" t="s">
        <v>1229</v>
      </c>
      <c r="C108" s="8" t="s">
        <v>21</v>
      </c>
      <c r="D108" s="8">
        <v>5.0</v>
      </c>
      <c r="E108" s="8">
        <v>150.0</v>
      </c>
      <c r="H108" s="8" t="s">
        <v>832</v>
      </c>
      <c r="I108" s="9">
        <v>46122.51421296296</v>
      </c>
      <c r="J108" s="8" t="s">
        <v>62</v>
      </c>
      <c r="K108" s="8">
        <v>150.0</v>
      </c>
      <c r="L108" s="8">
        <v>3500.0</v>
      </c>
      <c r="M108" s="8">
        <v>3600.0</v>
      </c>
      <c r="N108" s="7">
        <v>42803.0</v>
      </c>
      <c r="O108" s="8" t="s">
        <v>127</v>
      </c>
      <c r="S108" s="8" t="s">
        <v>1095</v>
      </c>
    </row>
    <row r="109">
      <c r="A109" s="8">
        <v>108.0</v>
      </c>
      <c r="B109" s="8" t="s">
        <v>1232</v>
      </c>
      <c r="C109" s="8" t="s">
        <v>21</v>
      </c>
      <c r="D109" s="8">
        <v>76.0</v>
      </c>
      <c r="E109" s="8">
        <v>150.0</v>
      </c>
      <c r="H109" s="8" t="s">
        <v>123</v>
      </c>
      <c r="I109" s="9">
        <v>46148.67591435185</v>
      </c>
      <c r="K109" s="8">
        <v>3600.0</v>
      </c>
      <c r="L109" s="8">
        <v>800.0</v>
      </c>
      <c r="M109" s="8">
        <v>194000.0</v>
      </c>
      <c r="N109" s="7">
        <v>44217.0</v>
      </c>
      <c r="O109" s="8" t="s">
        <v>147</v>
      </c>
      <c r="P109" s="8" t="s">
        <v>1174</v>
      </c>
      <c r="S109" s="8" t="s">
        <v>32</v>
      </c>
    </row>
    <row r="110">
      <c r="A110" s="8">
        <v>109.0</v>
      </c>
      <c r="B110" s="8" t="s">
        <v>216</v>
      </c>
      <c r="C110" s="8" t="s">
        <v>21</v>
      </c>
      <c r="D110" s="8">
        <v>76.0</v>
      </c>
      <c r="E110" s="8">
        <v>150.0</v>
      </c>
      <c r="H110" s="8" t="s">
        <v>20</v>
      </c>
      <c r="I110" s="9">
        <v>46155.9793287037</v>
      </c>
      <c r="K110" s="8">
        <v>7400.0</v>
      </c>
      <c r="L110" s="8">
        <v>1300.0</v>
      </c>
      <c r="M110" s="8">
        <v>508000.0</v>
      </c>
      <c r="N110" s="7">
        <v>42794.0</v>
      </c>
      <c r="O110" s="8" t="s">
        <v>107</v>
      </c>
      <c r="P110" s="8" t="s">
        <v>28</v>
      </c>
      <c r="S110" s="8" t="s">
        <v>32</v>
      </c>
    </row>
    <row r="111">
      <c r="A111" s="8">
        <v>110.0</v>
      </c>
      <c r="B111" s="8" t="s">
        <v>1237</v>
      </c>
      <c r="C111" s="8" t="s">
        <v>21</v>
      </c>
      <c r="D111" s="8">
        <v>82.0</v>
      </c>
      <c r="E111" s="8">
        <v>150.0</v>
      </c>
      <c r="H111" s="8" t="s">
        <v>1183</v>
      </c>
      <c r="I111" s="9">
        <v>46090.17050925926</v>
      </c>
      <c r="J111" s="8" t="s">
        <v>96</v>
      </c>
      <c r="K111" s="8">
        <v>150.0</v>
      </c>
      <c r="L111" s="8">
        <v>3400.0</v>
      </c>
      <c r="M111" s="8">
        <v>3800.0</v>
      </c>
      <c r="N111" s="7">
        <v>44504.0</v>
      </c>
      <c r="O111" s="8" t="s">
        <v>31</v>
      </c>
      <c r="P111" s="8" t="s">
        <v>28</v>
      </c>
      <c r="S111" s="8" t="s">
        <v>934</v>
      </c>
    </row>
    <row r="112">
      <c r="A112" s="8">
        <v>111.0</v>
      </c>
      <c r="B112" s="8" t="s">
        <v>1240</v>
      </c>
      <c r="C112" s="8" t="s">
        <v>21</v>
      </c>
      <c r="D112" s="8">
        <v>70.0</v>
      </c>
      <c r="E112" s="8">
        <v>150.0</v>
      </c>
      <c r="F112" s="8">
        <v>0.7</v>
      </c>
      <c r="H112" s="8" t="s">
        <v>755</v>
      </c>
      <c r="I112" s="9">
        <v>46100.589212962965</v>
      </c>
      <c r="J112" s="8" t="s">
        <v>1243</v>
      </c>
      <c r="K112" s="8">
        <v>5900.0</v>
      </c>
      <c r="L112" s="8">
        <v>17000.0</v>
      </c>
      <c r="M112" s="8">
        <v>17000.0</v>
      </c>
      <c r="N112" s="7">
        <v>43507.0</v>
      </c>
      <c r="O112" s="8" t="s">
        <v>925</v>
      </c>
      <c r="P112" s="8" t="s">
        <v>28</v>
      </c>
      <c r="S112" s="8" t="s">
        <v>837</v>
      </c>
    </row>
    <row r="113">
      <c r="A113" s="8">
        <v>112.0</v>
      </c>
      <c r="B113" s="8" t="s">
        <v>1245</v>
      </c>
      <c r="C113" s="8" t="s">
        <v>21</v>
      </c>
      <c r="D113" s="8">
        <v>78.0</v>
      </c>
      <c r="E113" s="8">
        <v>150.0</v>
      </c>
      <c r="G113" s="8">
        <v>1.02</v>
      </c>
      <c r="H113" s="8" t="s">
        <v>123</v>
      </c>
      <c r="I113" s="9">
        <v>46124.58810185185</v>
      </c>
      <c r="J113" s="8" t="s">
        <v>58</v>
      </c>
      <c r="K113" s="8">
        <v>39000.0</v>
      </c>
      <c r="L113" s="8">
        <v>5100.0</v>
      </c>
      <c r="M113" s="8">
        <v>607000.0</v>
      </c>
      <c r="N113" s="7">
        <v>42248.0</v>
      </c>
      <c r="O113" s="8" t="s">
        <v>147</v>
      </c>
      <c r="P113" s="8" t="s">
        <v>28</v>
      </c>
      <c r="Q113" s="8" t="s">
        <v>1247</v>
      </c>
      <c r="R113" s="8" t="s">
        <v>1249</v>
      </c>
      <c r="S113" s="8" t="s">
        <v>32</v>
      </c>
    </row>
    <row r="114">
      <c r="A114" s="8">
        <v>113.0</v>
      </c>
      <c r="B114" s="8" t="s">
        <v>1250</v>
      </c>
      <c r="C114" s="8" t="s">
        <v>21</v>
      </c>
      <c r="D114" s="8">
        <v>66.0</v>
      </c>
      <c r="E114" s="8">
        <v>150.0</v>
      </c>
      <c r="H114" s="8" t="s">
        <v>1250</v>
      </c>
      <c r="I114" s="9">
        <v>46147.633877314816</v>
      </c>
      <c r="K114" s="8">
        <v>42000.0</v>
      </c>
      <c r="L114" s="8">
        <v>150.0</v>
      </c>
      <c r="M114" s="8">
        <v>212000.0</v>
      </c>
      <c r="N114" s="7">
        <v>44136.0</v>
      </c>
      <c r="O114" s="8" t="s">
        <v>147</v>
      </c>
      <c r="P114" s="8" t="s">
        <v>938</v>
      </c>
      <c r="S114" s="8" t="s">
        <v>32</v>
      </c>
    </row>
    <row r="115">
      <c r="A115" s="8">
        <v>114.0</v>
      </c>
      <c r="B115" s="8" t="s">
        <v>222</v>
      </c>
      <c r="C115" s="8" t="s">
        <v>21</v>
      </c>
      <c r="D115" s="8">
        <v>75.0</v>
      </c>
      <c r="E115" s="8">
        <v>150.0</v>
      </c>
      <c r="H115" s="8" t="s">
        <v>19</v>
      </c>
      <c r="I115" s="9">
        <v>46125.94479166667</v>
      </c>
      <c r="J115" s="8" t="s">
        <v>96</v>
      </c>
      <c r="K115" s="8">
        <v>150.0</v>
      </c>
      <c r="L115" s="8">
        <v>26000.0</v>
      </c>
      <c r="M115" s="8">
        <v>27000.0</v>
      </c>
      <c r="N115" s="7">
        <v>45134.0</v>
      </c>
      <c r="O115" s="8" t="s">
        <v>31</v>
      </c>
      <c r="P115" s="8" t="s">
        <v>28</v>
      </c>
      <c r="S115" s="8" t="s">
        <v>32</v>
      </c>
    </row>
    <row r="116">
      <c r="A116" s="8">
        <v>115.0</v>
      </c>
      <c r="B116" s="8" t="s">
        <v>697</v>
      </c>
      <c r="C116" s="8" t="s">
        <v>21</v>
      </c>
      <c r="D116" s="8">
        <v>76.0</v>
      </c>
      <c r="E116" s="8">
        <v>150.0</v>
      </c>
      <c r="G116" s="8">
        <v>1.1</v>
      </c>
      <c r="H116" s="8" t="s">
        <v>697</v>
      </c>
      <c r="I116" s="9">
        <v>46160.36732638889</v>
      </c>
      <c r="J116" s="8" t="s">
        <v>1255</v>
      </c>
      <c r="K116" s="8">
        <v>23000.0</v>
      </c>
      <c r="L116" s="8">
        <v>250.0</v>
      </c>
      <c r="M116" s="8">
        <v>228000.0</v>
      </c>
      <c r="N116" s="7">
        <v>42372.0</v>
      </c>
      <c r="O116" s="8" t="s">
        <v>147</v>
      </c>
      <c r="P116" s="8" t="s">
        <v>28</v>
      </c>
      <c r="S116" s="8" t="s">
        <v>32</v>
      </c>
    </row>
    <row r="117">
      <c r="A117" s="8">
        <v>116.0</v>
      </c>
      <c r="B117" s="8" t="s">
        <v>228</v>
      </c>
      <c r="C117" s="8" t="s">
        <v>21</v>
      </c>
      <c r="D117" s="8">
        <v>19.0</v>
      </c>
      <c r="E117" s="8">
        <v>150.0</v>
      </c>
      <c r="H117" s="8" t="s">
        <v>19</v>
      </c>
      <c r="I117" s="9">
        <v>46156.209710648145</v>
      </c>
      <c r="J117" s="8" t="s">
        <v>25</v>
      </c>
      <c r="K117" s="8">
        <v>150.0</v>
      </c>
      <c r="L117" s="8">
        <v>26000.0</v>
      </c>
      <c r="M117" s="8">
        <v>27000.0</v>
      </c>
      <c r="N117" s="7">
        <v>42269.0</v>
      </c>
      <c r="O117" s="8" t="s">
        <v>26</v>
      </c>
      <c r="P117" s="8" t="s">
        <v>28</v>
      </c>
      <c r="S117" s="8" t="s">
        <v>32</v>
      </c>
    </row>
    <row r="118">
      <c r="A118" s="8">
        <v>117.0</v>
      </c>
      <c r="B118" s="8" t="s">
        <v>1258</v>
      </c>
      <c r="C118" s="8" t="s">
        <v>21</v>
      </c>
      <c r="D118" s="8">
        <v>67.0</v>
      </c>
      <c r="E118" s="8">
        <v>150.0</v>
      </c>
      <c r="H118" s="8" t="s">
        <v>1258</v>
      </c>
      <c r="I118" s="9">
        <v>46149.07802083333</v>
      </c>
      <c r="K118" s="8">
        <v>152000.0</v>
      </c>
      <c r="L118" s="8">
        <v>70.0</v>
      </c>
      <c r="M118" s="8">
        <v>158000.0</v>
      </c>
      <c r="N118" s="7">
        <v>44186.0</v>
      </c>
      <c r="O118" s="8" t="s">
        <v>147</v>
      </c>
      <c r="P118" s="8" t="s">
        <v>938</v>
      </c>
      <c r="S118" s="8" t="s">
        <v>32</v>
      </c>
    </row>
    <row r="119">
      <c r="A119" s="8">
        <v>118.0</v>
      </c>
      <c r="B119" s="8" t="s">
        <v>1261</v>
      </c>
      <c r="C119" s="8" t="s">
        <v>21</v>
      </c>
      <c r="D119" s="8">
        <v>71.0</v>
      </c>
      <c r="E119" s="8">
        <v>150.0</v>
      </c>
      <c r="H119" s="8" t="s">
        <v>1261</v>
      </c>
      <c r="I119" s="9">
        <v>46156.3503125</v>
      </c>
      <c r="K119" s="8">
        <v>3800.0</v>
      </c>
      <c r="L119" s="8">
        <v>150.0</v>
      </c>
      <c r="M119" s="8">
        <v>608000.0</v>
      </c>
      <c r="N119" s="7">
        <v>44088.0</v>
      </c>
      <c r="O119" s="8" t="s">
        <v>147</v>
      </c>
      <c r="P119" s="8" t="s">
        <v>28</v>
      </c>
      <c r="S119" s="8" t="s">
        <v>32</v>
      </c>
    </row>
    <row r="120">
      <c r="A120" s="8">
        <v>119.0</v>
      </c>
      <c r="B120" s="8" t="s">
        <v>1264</v>
      </c>
      <c r="C120" s="8" t="s">
        <v>21</v>
      </c>
      <c r="D120" s="8">
        <v>42.0</v>
      </c>
      <c r="E120" s="8">
        <v>100.0</v>
      </c>
      <c r="F120" s="8">
        <v>0.6</v>
      </c>
      <c r="H120" s="8" t="s">
        <v>838</v>
      </c>
      <c r="I120" s="9">
        <v>46161.25515046297</v>
      </c>
      <c r="J120" s="8" t="s">
        <v>90</v>
      </c>
      <c r="K120" s="8">
        <v>300.0</v>
      </c>
      <c r="L120" s="8">
        <v>1900.0</v>
      </c>
      <c r="M120" s="8">
        <v>2100.0</v>
      </c>
      <c r="N120" s="7">
        <v>44148.0</v>
      </c>
      <c r="O120" s="8" t="s">
        <v>31</v>
      </c>
      <c r="P120" s="8" t="s">
        <v>28</v>
      </c>
      <c r="Q120" s="8" t="s">
        <v>1268</v>
      </c>
      <c r="R120" s="8" t="s">
        <v>1269</v>
      </c>
      <c r="S120" s="8" t="s">
        <v>1270</v>
      </c>
    </row>
    <row r="121">
      <c r="A121" s="8">
        <v>120.0</v>
      </c>
      <c r="B121" s="8" t="s">
        <v>1271</v>
      </c>
      <c r="C121" s="8" t="s">
        <v>21</v>
      </c>
      <c r="D121" s="8">
        <v>22.0</v>
      </c>
      <c r="E121" s="8">
        <v>100.0</v>
      </c>
      <c r="H121" s="8" t="s">
        <v>744</v>
      </c>
      <c r="I121" s="9">
        <v>46163.15893518519</v>
      </c>
      <c r="J121" s="8" t="s">
        <v>90</v>
      </c>
      <c r="K121" s="8">
        <v>100.0</v>
      </c>
      <c r="L121" s="8">
        <v>131000.0</v>
      </c>
      <c r="M121" s="8">
        <v>135000.0</v>
      </c>
      <c r="N121" s="7">
        <v>42469.0</v>
      </c>
      <c r="O121" s="8" t="s">
        <v>147</v>
      </c>
      <c r="P121" s="8" t="s">
        <v>28</v>
      </c>
      <c r="Q121" s="8" t="s">
        <v>1274</v>
      </c>
      <c r="R121" s="8" t="s">
        <v>1276</v>
      </c>
      <c r="S121" s="8" t="s">
        <v>32</v>
      </c>
    </row>
    <row r="122">
      <c r="A122" s="8">
        <v>121.0</v>
      </c>
      <c r="B122" s="8" t="s">
        <v>1277</v>
      </c>
      <c r="C122" s="8" t="s">
        <v>21</v>
      </c>
      <c r="D122" s="8">
        <v>75.0</v>
      </c>
      <c r="E122" s="8">
        <v>100.0</v>
      </c>
      <c r="H122" s="8" t="s">
        <v>398</v>
      </c>
      <c r="I122" s="9">
        <v>46071.64575231481</v>
      </c>
      <c r="J122" s="8" t="s">
        <v>90</v>
      </c>
      <c r="K122" s="8">
        <v>62000.0</v>
      </c>
      <c r="L122" s="8">
        <v>2900.0</v>
      </c>
      <c r="M122" s="8">
        <v>1700000.0</v>
      </c>
      <c r="N122" s="7">
        <v>42717.0</v>
      </c>
      <c r="O122" s="8" t="s">
        <v>147</v>
      </c>
      <c r="P122" s="8" t="s">
        <v>28</v>
      </c>
      <c r="S122" s="8" t="s">
        <v>32</v>
      </c>
    </row>
    <row r="123">
      <c r="A123" s="8">
        <v>122.0</v>
      </c>
      <c r="B123" s="8" t="s">
        <v>1281</v>
      </c>
      <c r="C123" s="8" t="s">
        <v>21</v>
      </c>
      <c r="D123" s="8">
        <v>24.0</v>
      </c>
      <c r="E123" s="8">
        <v>100.0</v>
      </c>
      <c r="G123" s="8">
        <v>1.02</v>
      </c>
      <c r="H123" s="8" t="s">
        <v>744</v>
      </c>
      <c r="I123" s="9">
        <v>46090.056967592594</v>
      </c>
      <c r="J123" s="8" t="s">
        <v>1283</v>
      </c>
      <c r="K123" s="8">
        <v>250.0</v>
      </c>
      <c r="L123" s="8">
        <v>145000.0</v>
      </c>
      <c r="M123" s="8">
        <v>149000.0</v>
      </c>
      <c r="N123" s="7">
        <v>42284.0</v>
      </c>
      <c r="O123" s="8" t="s">
        <v>147</v>
      </c>
      <c r="P123" s="8" t="s">
        <v>28</v>
      </c>
      <c r="Q123" s="8" t="s">
        <v>1286</v>
      </c>
      <c r="R123" s="8" t="s">
        <v>1287</v>
      </c>
      <c r="S123" s="8" t="s">
        <v>748</v>
      </c>
    </row>
    <row r="124">
      <c r="A124" s="8">
        <v>123.0</v>
      </c>
      <c r="B124" s="8" t="s">
        <v>1288</v>
      </c>
      <c r="C124" s="8" t="s">
        <v>21</v>
      </c>
      <c r="D124" s="8">
        <v>89.0</v>
      </c>
      <c r="E124" s="8">
        <v>100.0</v>
      </c>
      <c r="F124" s="8">
        <v>0.9</v>
      </c>
      <c r="H124" s="8" t="s">
        <v>1290</v>
      </c>
      <c r="I124" s="9">
        <v>46131.83893518519</v>
      </c>
      <c r="J124" s="8" t="s">
        <v>96</v>
      </c>
      <c r="K124" s="8">
        <v>34000.0</v>
      </c>
      <c r="L124" s="8">
        <v>90.0</v>
      </c>
      <c r="M124" s="8">
        <v>49000.0</v>
      </c>
      <c r="N124" s="7">
        <v>42350.0</v>
      </c>
      <c r="O124" s="8" t="s">
        <v>31</v>
      </c>
      <c r="P124" s="8" t="s">
        <v>28</v>
      </c>
      <c r="S124" s="8" t="s">
        <v>32</v>
      </c>
    </row>
    <row r="125">
      <c r="A125" s="8">
        <v>124.0</v>
      </c>
      <c r="B125" s="8" t="s">
        <v>1293</v>
      </c>
      <c r="C125" s="8" t="s">
        <v>21</v>
      </c>
      <c r="D125" s="8">
        <v>72.0</v>
      </c>
      <c r="E125" s="8">
        <v>100.0</v>
      </c>
      <c r="F125" s="8">
        <v>0.6</v>
      </c>
      <c r="H125" s="8" t="s">
        <v>1226</v>
      </c>
      <c r="I125" s="9">
        <v>46162.12048611111</v>
      </c>
      <c r="K125" s="8">
        <v>150.0</v>
      </c>
      <c r="L125" s="8">
        <v>1100.0</v>
      </c>
      <c r="M125" s="8">
        <v>1200.0</v>
      </c>
      <c r="N125" s="7">
        <v>42307.0</v>
      </c>
      <c r="O125" s="8" t="s">
        <v>26</v>
      </c>
      <c r="P125" s="8" t="s">
        <v>28</v>
      </c>
      <c r="Q125" s="8" t="s">
        <v>1297</v>
      </c>
      <c r="R125" s="8" t="s">
        <v>1298</v>
      </c>
      <c r="S125" s="8" t="s">
        <v>782</v>
      </c>
    </row>
    <row r="126">
      <c r="A126" s="8">
        <v>125.0</v>
      </c>
      <c r="B126" s="8" t="s">
        <v>1299</v>
      </c>
      <c r="C126" s="8" t="s">
        <v>21</v>
      </c>
      <c r="D126" s="8">
        <v>75.0</v>
      </c>
      <c r="E126" s="8">
        <v>100.0</v>
      </c>
      <c r="H126" s="8" t="s">
        <v>1226</v>
      </c>
      <c r="I126" s="9">
        <v>46159.5093287037</v>
      </c>
      <c r="J126" s="8" t="s">
        <v>96</v>
      </c>
      <c r="K126" s="8">
        <v>150.0</v>
      </c>
      <c r="L126" s="8">
        <v>1000.0</v>
      </c>
      <c r="M126" s="8">
        <v>1100.0</v>
      </c>
      <c r="N126" s="7">
        <v>42451.0</v>
      </c>
      <c r="O126" s="8" t="s">
        <v>31</v>
      </c>
      <c r="P126" s="8" t="s">
        <v>28</v>
      </c>
      <c r="S126" s="8" t="s">
        <v>934</v>
      </c>
    </row>
    <row r="127">
      <c r="A127" s="8">
        <v>126.0</v>
      </c>
      <c r="B127" s="8" t="s">
        <v>1303</v>
      </c>
      <c r="C127" s="8" t="s">
        <v>21</v>
      </c>
      <c r="D127" s="8">
        <v>83.0</v>
      </c>
      <c r="E127" s="8">
        <v>100.0</v>
      </c>
      <c r="F127" s="8">
        <v>0.2</v>
      </c>
      <c r="G127" s="8">
        <v>0.25</v>
      </c>
      <c r="H127" s="8" t="s">
        <v>1303</v>
      </c>
      <c r="I127" s="9">
        <v>46162.26210648148</v>
      </c>
      <c r="J127" s="8" t="s">
        <v>1305</v>
      </c>
      <c r="K127" s="8">
        <v>555000.0</v>
      </c>
      <c r="L127" s="8">
        <v>0.0</v>
      </c>
      <c r="M127" s="8">
        <v>73000.0</v>
      </c>
      <c r="N127" s="7">
        <v>42270.0</v>
      </c>
      <c r="O127" s="8" t="s">
        <v>107</v>
      </c>
      <c r="P127" s="8" t="s">
        <v>28</v>
      </c>
      <c r="Q127" s="8" t="s">
        <v>1308</v>
      </c>
      <c r="R127" s="8" t="s">
        <v>1309</v>
      </c>
      <c r="S127" s="8" t="s">
        <v>1310</v>
      </c>
    </row>
    <row r="128">
      <c r="A128" s="8">
        <v>127.0</v>
      </c>
      <c r="B128" s="8" t="s">
        <v>1311</v>
      </c>
      <c r="C128" s="8" t="s">
        <v>21</v>
      </c>
      <c r="D128" s="8">
        <v>21.0</v>
      </c>
      <c r="E128" s="8">
        <v>100.0</v>
      </c>
      <c r="H128" s="8" t="s">
        <v>838</v>
      </c>
      <c r="I128" s="9">
        <v>46122.70233796296</v>
      </c>
      <c r="J128" s="8" t="s">
        <v>789</v>
      </c>
      <c r="K128" s="8">
        <v>100.0</v>
      </c>
      <c r="L128" s="8">
        <v>2100.0</v>
      </c>
      <c r="M128" s="8">
        <v>2200.0</v>
      </c>
      <c r="N128" s="7">
        <v>42631.0</v>
      </c>
      <c r="O128" s="8" t="s">
        <v>1314</v>
      </c>
      <c r="P128" s="8" t="s">
        <v>28</v>
      </c>
      <c r="S128" s="8" t="s">
        <v>32</v>
      </c>
    </row>
    <row r="129">
      <c r="A129" s="8">
        <v>128.0</v>
      </c>
      <c r="B129" s="8" t="s">
        <v>247</v>
      </c>
      <c r="C129" s="8" t="s">
        <v>21</v>
      </c>
      <c r="D129" s="8">
        <v>74.0</v>
      </c>
      <c r="E129" s="8">
        <v>100.0</v>
      </c>
      <c r="G129" s="8">
        <v>1.03</v>
      </c>
      <c r="H129" s="8" t="s">
        <v>19</v>
      </c>
      <c r="I129" s="9">
        <v>46146.18368055556</v>
      </c>
      <c r="K129" s="8">
        <v>150.0</v>
      </c>
      <c r="L129" s="8">
        <v>26000.0</v>
      </c>
      <c r="M129" s="8">
        <v>27000.0</v>
      </c>
      <c r="N129" s="7">
        <v>42268.0</v>
      </c>
      <c r="O129" s="8" t="s">
        <v>26</v>
      </c>
      <c r="P129" s="8" t="s">
        <v>28</v>
      </c>
      <c r="Q129" s="8" t="s">
        <v>252</v>
      </c>
      <c r="R129" s="8" t="s">
        <v>254</v>
      </c>
      <c r="S129" s="8" t="s">
        <v>32</v>
      </c>
    </row>
    <row r="130">
      <c r="A130" s="8">
        <v>129.0</v>
      </c>
      <c r="B130" s="8" t="s">
        <v>1319</v>
      </c>
      <c r="C130" s="8" t="s">
        <v>21</v>
      </c>
      <c r="D130" s="8">
        <v>4.0</v>
      </c>
      <c r="E130" s="8">
        <v>100.0</v>
      </c>
      <c r="F130" s="8">
        <v>1.5</v>
      </c>
      <c r="H130" s="8" t="s">
        <v>783</v>
      </c>
      <c r="I130" s="9">
        <v>46077.42224537037</v>
      </c>
      <c r="J130" s="8" t="s">
        <v>870</v>
      </c>
      <c r="K130" s="8">
        <v>150.0</v>
      </c>
      <c r="L130" s="8">
        <v>13000.0</v>
      </c>
      <c r="M130" s="8">
        <v>18000.0</v>
      </c>
      <c r="N130" s="7">
        <v>43300.0</v>
      </c>
      <c r="O130" s="8" t="s">
        <v>26</v>
      </c>
      <c r="P130" s="8" t="s">
        <v>28</v>
      </c>
      <c r="S130" s="8" t="s">
        <v>748</v>
      </c>
    </row>
    <row r="131">
      <c r="A131" s="8">
        <v>130.0</v>
      </c>
      <c r="B131" s="8" t="s">
        <v>53</v>
      </c>
      <c r="C131" s="8" t="s">
        <v>21</v>
      </c>
      <c r="D131" s="8">
        <v>81.0</v>
      </c>
      <c r="E131" s="8">
        <v>100.0</v>
      </c>
      <c r="H131" s="8" t="s">
        <v>55</v>
      </c>
      <c r="I131" s="9">
        <v>46100.86599537037</v>
      </c>
      <c r="J131" s="8" t="s">
        <v>58</v>
      </c>
      <c r="K131" s="8">
        <v>2100000.0</v>
      </c>
      <c r="L131" s="8">
        <v>15000.0</v>
      </c>
      <c r="M131" s="8">
        <v>67000.0</v>
      </c>
      <c r="N131" s="7">
        <v>42405.0</v>
      </c>
      <c r="O131" s="8" t="s">
        <v>31</v>
      </c>
      <c r="P131" s="8" t="s">
        <v>28</v>
      </c>
      <c r="S131" s="8" t="s">
        <v>32</v>
      </c>
    </row>
    <row r="132">
      <c r="A132" s="8">
        <v>131.0</v>
      </c>
      <c r="B132" s="8" t="s">
        <v>1323</v>
      </c>
      <c r="C132" s="8" t="s">
        <v>21</v>
      </c>
      <c r="D132" s="8">
        <v>69.0</v>
      </c>
      <c r="E132" s="8">
        <v>100.0</v>
      </c>
      <c r="H132" s="8" t="s">
        <v>744</v>
      </c>
      <c r="I132" s="9">
        <v>46070.885717592595</v>
      </c>
      <c r="J132" s="8" t="s">
        <v>789</v>
      </c>
      <c r="K132" s="8">
        <v>100.0</v>
      </c>
      <c r="L132" s="8">
        <v>145000.0</v>
      </c>
      <c r="M132" s="8">
        <v>149000.0</v>
      </c>
      <c r="N132" s="7">
        <v>42890.0</v>
      </c>
      <c r="O132" s="8" t="s">
        <v>127</v>
      </c>
      <c r="P132" s="8" t="s">
        <v>28</v>
      </c>
      <c r="S132" s="8" t="s">
        <v>32</v>
      </c>
    </row>
    <row r="133">
      <c r="A133" s="8">
        <v>132.0</v>
      </c>
      <c r="B133" s="8" t="s">
        <v>1326</v>
      </c>
      <c r="C133" s="8" t="s">
        <v>21</v>
      </c>
      <c r="D133" s="8">
        <v>48.0</v>
      </c>
      <c r="E133" s="8">
        <v>100.0</v>
      </c>
      <c r="F133" s="8">
        <v>0.6</v>
      </c>
      <c r="H133" s="8" t="s">
        <v>862</v>
      </c>
      <c r="I133" s="9">
        <v>46047.28605324074</v>
      </c>
      <c r="J133" s="8" t="s">
        <v>96</v>
      </c>
      <c r="K133" s="8">
        <v>100.0</v>
      </c>
      <c r="L133" s="8">
        <v>1500.0</v>
      </c>
      <c r="M133" s="8">
        <v>1700.0</v>
      </c>
      <c r="N133" s="7">
        <v>44075.0</v>
      </c>
      <c r="O133" s="8" t="s">
        <v>849</v>
      </c>
      <c r="P133" s="8" t="s">
        <v>28</v>
      </c>
      <c r="Q133" s="8" t="s">
        <v>1330</v>
      </c>
      <c r="R133" s="8" t="s">
        <v>1331</v>
      </c>
      <c r="S133" s="8" t="s">
        <v>934</v>
      </c>
    </row>
    <row r="134">
      <c r="A134" s="8">
        <v>133.0</v>
      </c>
      <c r="B134" s="8" t="s">
        <v>1333</v>
      </c>
      <c r="C134" s="8" t="s">
        <v>21</v>
      </c>
      <c r="D134" s="8">
        <v>78.0</v>
      </c>
      <c r="E134" s="8">
        <v>100.0</v>
      </c>
      <c r="H134" s="8" t="s">
        <v>19</v>
      </c>
      <c r="I134" s="9">
        <v>46156.33909722222</v>
      </c>
      <c r="K134" s="8">
        <v>150.0</v>
      </c>
      <c r="L134" s="8">
        <v>26000.0</v>
      </c>
      <c r="M134" s="8">
        <v>27000.0</v>
      </c>
      <c r="N134" s="7">
        <v>43975.0</v>
      </c>
      <c r="O134" s="8" t="s">
        <v>31</v>
      </c>
      <c r="P134" s="8" t="s">
        <v>28</v>
      </c>
      <c r="S134" s="8" t="s">
        <v>32</v>
      </c>
    </row>
    <row r="135">
      <c r="A135" s="8">
        <v>134.0</v>
      </c>
      <c r="B135" s="8" t="s">
        <v>68</v>
      </c>
      <c r="C135" s="8" t="s">
        <v>21</v>
      </c>
      <c r="D135" s="8">
        <v>79.0</v>
      </c>
      <c r="E135" s="8">
        <v>100.0</v>
      </c>
      <c r="H135" s="8" t="s">
        <v>20</v>
      </c>
      <c r="I135" s="9">
        <v>46161.79056712963</v>
      </c>
      <c r="J135" s="8" t="s">
        <v>58</v>
      </c>
      <c r="K135" s="8">
        <v>135000.0</v>
      </c>
      <c r="L135" s="8">
        <v>1400.0</v>
      </c>
      <c r="M135" s="8">
        <v>470000.0</v>
      </c>
      <c r="N135" s="7">
        <v>43879.0</v>
      </c>
      <c r="O135" s="8" t="s">
        <v>31</v>
      </c>
      <c r="P135" s="8" t="s">
        <v>28</v>
      </c>
      <c r="S135" s="8" t="s">
        <v>32</v>
      </c>
    </row>
    <row r="136">
      <c r="A136" s="8">
        <v>135.0</v>
      </c>
      <c r="B136" s="8" t="s">
        <v>1337</v>
      </c>
      <c r="C136" s="8" t="s">
        <v>21</v>
      </c>
      <c r="D136" s="8">
        <v>76.0</v>
      </c>
      <c r="E136" s="8">
        <v>100.0</v>
      </c>
      <c r="H136" s="8" t="s">
        <v>930</v>
      </c>
      <c r="I136" s="9">
        <v>46149.00409722222</v>
      </c>
      <c r="K136" s="8">
        <v>150.0</v>
      </c>
      <c r="L136" s="8">
        <v>2100.0</v>
      </c>
      <c r="M136" s="8">
        <v>2700.0</v>
      </c>
      <c r="N136" s="7">
        <v>42277.0</v>
      </c>
      <c r="O136" s="8" t="s">
        <v>26</v>
      </c>
      <c r="P136" s="8" t="s">
        <v>28</v>
      </c>
      <c r="S136" s="8" t="s">
        <v>934</v>
      </c>
    </row>
    <row r="137">
      <c r="A137" s="8">
        <v>136.0</v>
      </c>
      <c r="B137" s="8" t="s">
        <v>83</v>
      </c>
      <c r="C137" s="8" t="s">
        <v>21</v>
      </c>
      <c r="D137" s="8">
        <v>78.0</v>
      </c>
      <c r="E137" s="8">
        <v>100.0</v>
      </c>
      <c r="H137" s="8" t="s">
        <v>19</v>
      </c>
      <c r="I137" s="9">
        <v>46088.12480324074</v>
      </c>
      <c r="K137" s="8">
        <v>300.0</v>
      </c>
      <c r="L137" s="8">
        <v>33000.0</v>
      </c>
      <c r="M137" s="8">
        <v>34000.0</v>
      </c>
      <c r="N137" s="7">
        <v>44012.0</v>
      </c>
      <c r="O137" s="8" t="s">
        <v>31</v>
      </c>
      <c r="P137" s="8" t="s">
        <v>28</v>
      </c>
      <c r="S137" s="8" t="s">
        <v>32</v>
      </c>
    </row>
    <row r="138">
      <c r="A138" s="8">
        <v>137.0</v>
      </c>
      <c r="B138" s="8" t="s">
        <v>1290</v>
      </c>
      <c r="C138" s="8" t="s">
        <v>21</v>
      </c>
      <c r="D138" s="8">
        <v>88.0</v>
      </c>
      <c r="E138" s="8">
        <v>100.0</v>
      </c>
      <c r="F138" s="8">
        <v>1.0</v>
      </c>
      <c r="H138" s="8" t="s">
        <v>1290</v>
      </c>
      <c r="I138" s="9">
        <v>46152.627962962964</v>
      </c>
      <c r="J138" s="8" t="s">
        <v>96</v>
      </c>
      <c r="K138" s="8">
        <v>15000.0</v>
      </c>
      <c r="L138" s="8">
        <v>100.0</v>
      </c>
      <c r="M138" s="8">
        <v>50000.0</v>
      </c>
      <c r="N138" s="7">
        <v>42351.0</v>
      </c>
      <c r="O138" s="8" t="s">
        <v>31</v>
      </c>
      <c r="P138" s="8" t="s">
        <v>28</v>
      </c>
      <c r="S138" s="8" t="s">
        <v>32</v>
      </c>
    </row>
    <row r="139">
      <c r="A139" s="8">
        <v>138.0</v>
      </c>
      <c r="B139" s="8" t="s">
        <v>1346</v>
      </c>
      <c r="C139" s="8" t="s">
        <v>21</v>
      </c>
      <c r="D139" s="8">
        <v>2.0</v>
      </c>
      <c r="E139" s="8">
        <v>100.0</v>
      </c>
      <c r="F139" s="8">
        <v>0.09</v>
      </c>
      <c r="H139" s="8" t="s">
        <v>744</v>
      </c>
      <c r="I139" s="9">
        <v>46146.27621527778</v>
      </c>
      <c r="J139" s="8" t="s">
        <v>25</v>
      </c>
      <c r="K139" s="8">
        <v>100.0</v>
      </c>
      <c r="L139" s="8">
        <v>137000.0</v>
      </c>
      <c r="M139" s="8">
        <v>140000.0</v>
      </c>
      <c r="N139" s="7">
        <v>42265.0</v>
      </c>
      <c r="O139" s="8" t="s">
        <v>26</v>
      </c>
      <c r="Q139" s="8" t="s">
        <v>1350</v>
      </c>
      <c r="R139" s="8" t="s">
        <v>1351</v>
      </c>
      <c r="S139" s="8" t="s">
        <v>748</v>
      </c>
    </row>
    <row r="140">
      <c r="A140" s="8">
        <v>139.0</v>
      </c>
      <c r="B140" s="8" t="s">
        <v>1353</v>
      </c>
      <c r="C140" s="8" t="s">
        <v>21</v>
      </c>
      <c r="D140" s="8">
        <v>69.0</v>
      </c>
      <c r="E140" s="8">
        <v>100.0</v>
      </c>
      <c r="H140" s="8" t="s">
        <v>1353</v>
      </c>
      <c r="I140" s="9">
        <v>46143.99476851852</v>
      </c>
      <c r="K140" s="8">
        <v>21000.0</v>
      </c>
      <c r="L140" s="8">
        <v>250.0</v>
      </c>
      <c r="M140" s="8">
        <v>133000.0</v>
      </c>
      <c r="N140" s="7">
        <v>42819.0</v>
      </c>
      <c r="O140" s="8" t="s">
        <v>147</v>
      </c>
      <c r="P140" s="8" t="s">
        <v>28</v>
      </c>
      <c r="S140" s="8" t="s">
        <v>32</v>
      </c>
    </row>
    <row r="141">
      <c r="A141" s="8">
        <v>140.0</v>
      </c>
      <c r="B141" s="8" t="s">
        <v>91</v>
      </c>
      <c r="C141" s="8" t="s">
        <v>21</v>
      </c>
      <c r="D141" s="8">
        <v>78.0</v>
      </c>
      <c r="E141" s="8">
        <v>100.0</v>
      </c>
      <c r="F141" s="8">
        <v>0.6</v>
      </c>
      <c r="H141" s="8" t="s">
        <v>19</v>
      </c>
      <c r="I141" s="9">
        <v>46089.097291666665</v>
      </c>
      <c r="J141" s="8" t="s">
        <v>96</v>
      </c>
      <c r="K141" s="8">
        <v>5200.0</v>
      </c>
      <c r="L141" s="8">
        <v>33000.0</v>
      </c>
      <c r="M141" s="8">
        <v>34000.0</v>
      </c>
      <c r="N141" s="7">
        <v>42279.0</v>
      </c>
      <c r="O141" s="8" t="s">
        <v>31</v>
      </c>
      <c r="P141" s="8" t="s">
        <v>28</v>
      </c>
      <c r="S141" s="8" t="s">
        <v>32</v>
      </c>
    </row>
    <row r="142">
      <c r="A142" s="8">
        <v>141.0</v>
      </c>
      <c r="B142" s="8" t="s">
        <v>1359</v>
      </c>
      <c r="C142" s="8" t="s">
        <v>21</v>
      </c>
      <c r="D142" s="8">
        <v>2.0</v>
      </c>
      <c r="E142" s="8">
        <v>100.0</v>
      </c>
      <c r="F142" s="8">
        <v>1.6</v>
      </c>
      <c r="H142" s="8" t="s">
        <v>744</v>
      </c>
      <c r="I142" s="9">
        <v>46107.385092592594</v>
      </c>
      <c r="J142" s="8" t="s">
        <v>90</v>
      </c>
      <c r="K142" s="8">
        <v>100.0</v>
      </c>
      <c r="L142" s="8">
        <v>137000.0</v>
      </c>
      <c r="M142" s="8">
        <v>141000.0</v>
      </c>
      <c r="N142" s="7">
        <v>42518.0</v>
      </c>
      <c r="O142" s="8" t="s">
        <v>127</v>
      </c>
      <c r="P142" s="8" t="s">
        <v>28</v>
      </c>
      <c r="Q142" s="8" t="s">
        <v>1362</v>
      </c>
      <c r="R142" s="8" t="s">
        <v>1364</v>
      </c>
      <c r="S142" s="8" t="s">
        <v>32</v>
      </c>
    </row>
    <row r="143">
      <c r="A143" s="8">
        <v>142.0</v>
      </c>
      <c r="B143" s="8" t="s">
        <v>1365</v>
      </c>
      <c r="C143" s="8" t="s">
        <v>21</v>
      </c>
      <c r="D143" s="8">
        <v>72.0</v>
      </c>
      <c r="E143" s="8">
        <v>90.0</v>
      </c>
      <c r="H143" s="8" t="s">
        <v>20</v>
      </c>
      <c r="I143" s="9">
        <v>46156.821550925924</v>
      </c>
      <c r="K143" s="8">
        <v>1000.0</v>
      </c>
      <c r="L143" s="8">
        <v>1300.0</v>
      </c>
      <c r="M143" s="8">
        <v>502000.0</v>
      </c>
      <c r="N143" s="7">
        <v>42494.0</v>
      </c>
      <c r="O143" s="8" t="s">
        <v>107</v>
      </c>
      <c r="P143" s="8" t="s">
        <v>28</v>
      </c>
      <c r="S143" s="8" t="s">
        <v>32</v>
      </c>
    </row>
    <row r="144">
      <c r="A144" s="8">
        <v>143.0</v>
      </c>
      <c r="B144" s="8" t="s">
        <v>1368</v>
      </c>
      <c r="C144" s="8" t="s">
        <v>21</v>
      </c>
      <c r="D144" s="8">
        <v>0.0</v>
      </c>
      <c r="E144" s="8">
        <v>90.0</v>
      </c>
      <c r="H144" s="8" t="s">
        <v>832</v>
      </c>
      <c r="I144" s="9">
        <v>46147.25730324074</v>
      </c>
      <c r="J144" s="8" t="s">
        <v>62</v>
      </c>
      <c r="K144" s="8">
        <v>90.0</v>
      </c>
      <c r="L144" s="8">
        <v>3700.0</v>
      </c>
      <c r="M144" s="8">
        <v>3800.0</v>
      </c>
      <c r="N144" s="7">
        <v>44507.0</v>
      </c>
      <c r="O144" s="8" t="s">
        <v>1371</v>
      </c>
      <c r="P144" s="8" t="s">
        <v>28</v>
      </c>
      <c r="Q144" s="8" t="s">
        <v>1372</v>
      </c>
      <c r="R144" s="8" t="s">
        <v>1373</v>
      </c>
      <c r="S144" s="8" t="s">
        <v>1374</v>
      </c>
    </row>
    <row r="145">
      <c r="A145" s="8">
        <v>144.0</v>
      </c>
      <c r="B145" s="8" t="s">
        <v>701</v>
      </c>
      <c r="C145" s="8" t="s">
        <v>21</v>
      </c>
      <c r="D145" s="8">
        <v>66.0</v>
      </c>
      <c r="E145" s="8">
        <v>90.0</v>
      </c>
      <c r="H145" s="8" t="s">
        <v>1377</v>
      </c>
      <c r="I145" s="9">
        <v>46162.45814814815</v>
      </c>
      <c r="K145" s="8">
        <v>22000.0</v>
      </c>
      <c r="L145" s="8">
        <v>70.0</v>
      </c>
      <c r="M145" s="8">
        <v>392000.0</v>
      </c>
      <c r="N145" s="7">
        <v>44665.0</v>
      </c>
      <c r="O145" s="8" t="s">
        <v>147</v>
      </c>
      <c r="P145" s="8" t="s">
        <v>938</v>
      </c>
      <c r="S145" s="8" t="s">
        <v>32</v>
      </c>
    </row>
    <row r="146">
      <c r="A146" s="8">
        <v>145.0</v>
      </c>
      <c r="B146" s="8" t="s">
        <v>1379</v>
      </c>
      <c r="C146" s="8" t="s">
        <v>21</v>
      </c>
      <c r="D146" s="8">
        <v>65.0</v>
      </c>
      <c r="E146" s="8">
        <v>90.0</v>
      </c>
      <c r="G146" s="8">
        <v>1.13</v>
      </c>
      <c r="H146" s="8" t="s">
        <v>123</v>
      </c>
      <c r="I146" s="9">
        <v>46125.24488425926</v>
      </c>
      <c r="J146" s="8" t="s">
        <v>90</v>
      </c>
      <c r="K146" s="8">
        <v>20000.0</v>
      </c>
      <c r="L146" s="8">
        <v>800.0</v>
      </c>
      <c r="M146" s="8">
        <v>776000.0</v>
      </c>
      <c r="N146" s="7">
        <v>42254.0</v>
      </c>
      <c r="O146" s="8" t="s">
        <v>26</v>
      </c>
      <c r="P146" s="8" t="s">
        <v>28</v>
      </c>
      <c r="Q146" s="8" t="s">
        <v>1383</v>
      </c>
      <c r="R146" s="8" t="s">
        <v>1384</v>
      </c>
      <c r="S146" s="8" t="s">
        <v>32</v>
      </c>
    </row>
    <row r="147">
      <c r="A147" s="8">
        <v>146.0</v>
      </c>
      <c r="B147" s="8" t="s">
        <v>1385</v>
      </c>
      <c r="C147" s="8" t="s">
        <v>21</v>
      </c>
      <c r="D147" s="8">
        <v>0.0</v>
      </c>
      <c r="E147" s="8">
        <v>90.0</v>
      </c>
      <c r="H147" s="8" t="s">
        <v>832</v>
      </c>
      <c r="I147" s="9">
        <v>46147.7221412037</v>
      </c>
      <c r="J147" s="8" t="s">
        <v>23</v>
      </c>
      <c r="K147" s="8">
        <v>90.0</v>
      </c>
      <c r="L147" s="8">
        <v>3700.0</v>
      </c>
      <c r="M147" s="8">
        <v>3800.0</v>
      </c>
      <c r="N147" s="7">
        <v>43216.0</v>
      </c>
      <c r="O147" s="8" t="s">
        <v>885</v>
      </c>
      <c r="S147" s="8" t="s">
        <v>748</v>
      </c>
    </row>
    <row r="148">
      <c r="A148" s="8">
        <v>147.0</v>
      </c>
      <c r="B148" s="8" t="s">
        <v>1389</v>
      </c>
      <c r="C148" s="8" t="s">
        <v>21</v>
      </c>
      <c r="D148" s="8">
        <v>76.0</v>
      </c>
      <c r="E148" s="8">
        <v>90.0</v>
      </c>
      <c r="H148" s="8" t="s">
        <v>123</v>
      </c>
      <c r="I148" s="9">
        <v>46161.03939814815</v>
      </c>
      <c r="J148" s="8" t="s">
        <v>90</v>
      </c>
      <c r="K148" s="8">
        <v>17000.0</v>
      </c>
      <c r="L148" s="8">
        <v>1300.0</v>
      </c>
      <c r="M148" s="8">
        <v>168000.0</v>
      </c>
      <c r="N148" s="7">
        <v>44006.0</v>
      </c>
      <c r="O148" s="8" t="s">
        <v>107</v>
      </c>
      <c r="P148" s="8" t="s">
        <v>1174</v>
      </c>
      <c r="S148" s="8" t="s">
        <v>32</v>
      </c>
    </row>
    <row r="149">
      <c r="A149" s="8">
        <v>148.0</v>
      </c>
      <c r="B149" s="8" t="s">
        <v>1393</v>
      </c>
      <c r="C149" s="8" t="s">
        <v>21</v>
      </c>
      <c r="D149" s="8">
        <v>13.0</v>
      </c>
      <c r="E149" s="8">
        <v>90.0</v>
      </c>
      <c r="H149" s="8" t="s">
        <v>832</v>
      </c>
      <c r="I149" s="9">
        <v>46125.687581018516</v>
      </c>
      <c r="J149" s="8" t="s">
        <v>1395</v>
      </c>
      <c r="K149" s="8">
        <v>90.0</v>
      </c>
      <c r="L149" s="8">
        <v>3600.0</v>
      </c>
      <c r="M149" s="8">
        <v>3700.0</v>
      </c>
      <c r="N149" s="7">
        <v>44204.0</v>
      </c>
      <c r="O149" s="8" t="s">
        <v>26</v>
      </c>
      <c r="P149" s="8" t="s">
        <v>28</v>
      </c>
      <c r="S149" s="8" t="s">
        <v>1095</v>
      </c>
    </row>
    <row r="150">
      <c r="A150" s="8">
        <v>149.0</v>
      </c>
      <c r="B150" s="8" t="s">
        <v>331</v>
      </c>
      <c r="C150" s="8" t="s">
        <v>21</v>
      </c>
      <c r="D150" s="8">
        <v>16.0</v>
      </c>
      <c r="E150" s="8">
        <v>90.0</v>
      </c>
      <c r="H150" s="8" t="s">
        <v>60</v>
      </c>
      <c r="I150" s="9">
        <v>46142.77353009259</v>
      </c>
      <c r="J150" s="8" t="s">
        <v>90</v>
      </c>
      <c r="K150" s="8">
        <v>300.0</v>
      </c>
      <c r="L150" s="8">
        <v>900.0</v>
      </c>
      <c r="M150" s="8">
        <v>1200.0</v>
      </c>
      <c r="N150" s="7">
        <v>43289.0</v>
      </c>
      <c r="O150" s="8" t="s">
        <v>26</v>
      </c>
      <c r="P150" s="8" t="s">
        <v>28</v>
      </c>
      <c r="S150" s="8" t="s">
        <v>32</v>
      </c>
    </row>
    <row r="151">
      <c r="A151" s="8">
        <v>150.0</v>
      </c>
      <c r="B151" s="8" t="s">
        <v>1400</v>
      </c>
      <c r="C151" s="8" t="s">
        <v>21</v>
      </c>
      <c r="D151" s="8">
        <v>75.0</v>
      </c>
      <c r="E151" s="8">
        <v>90.0</v>
      </c>
      <c r="H151" s="8" t="s">
        <v>398</v>
      </c>
      <c r="I151" s="9">
        <v>46127.25604166667</v>
      </c>
      <c r="K151" s="8">
        <v>11000.0</v>
      </c>
      <c r="L151" s="8">
        <v>600.0</v>
      </c>
      <c r="M151" s="8">
        <v>360000.0</v>
      </c>
      <c r="N151" s="7">
        <v>43881.0</v>
      </c>
      <c r="O151" s="8" t="s">
        <v>107</v>
      </c>
      <c r="P151" s="8" t="s">
        <v>28</v>
      </c>
      <c r="S151" s="8" t="s">
        <v>32</v>
      </c>
    </row>
    <row r="152">
      <c r="A152" s="8">
        <v>151.0</v>
      </c>
      <c r="B152" s="8" t="s">
        <v>338</v>
      </c>
      <c r="C152" s="8" t="s">
        <v>21</v>
      </c>
      <c r="D152" s="8">
        <v>76.0</v>
      </c>
      <c r="E152" s="8">
        <v>90.0</v>
      </c>
      <c r="H152" s="8" t="s">
        <v>338</v>
      </c>
      <c r="I152" s="9">
        <v>46155.92582175926</v>
      </c>
      <c r="K152" s="8">
        <v>7100.0</v>
      </c>
      <c r="L152" s="8">
        <v>100.0</v>
      </c>
      <c r="M152" s="8">
        <v>9500.0</v>
      </c>
      <c r="N152" s="7">
        <v>42823.0</v>
      </c>
      <c r="O152" s="8" t="s">
        <v>147</v>
      </c>
      <c r="P152" s="8" t="s">
        <v>28</v>
      </c>
      <c r="Q152" s="8" t="s">
        <v>344</v>
      </c>
      <c r="R152" s="8" t="s">
        <v>346</v>
      </c>
      <c r="S152" s="8" t="s">
        <v>32</v>
      </c>
    </row>
    <row r="153">
      <c r="A153" s="8">
        <v>152.0</v>
      </c>
      <c r="B153" s="8" t="s">
        <v>349</v>
      </c>
      <c r="C153" s="8" t="s">
        <v>21</v>
      </c>
      <c r="D153" s="8">
        <v>65.0</v>
      </c>
      <c r="E153" s="8">
        <v>80.0</v>
      </c>
      <c r="H153" s="8" t="s">
        <v>349</v>
      </c>
      <c r="I153" s="9">
        <v>46126.20508101852</v>
      </c>
      <c r="J153" s="8" t="s">
        <v>90</v>
      </c>
      <c r="K153" s="8">
        <v>26000.0</v>
      </c>
      <c r="L153" s="8">
        <v>150.0</v>
      </c>
      <c r="M153" s="8">
        <v>28000.0</v>
      </c>
      <c r="N153" s="7">
        <v>43181.0</v>
      </c>
      <c r="O153" s="8" t="s">
        <v>107</v>
      </c>
      <c r="P153" s="8" t="s">
        <v>28</v>
      </c>
      <c r="Q153" s="8" t="s">
        <v>356</v>
      </c>
      <c r="R153" s="8" t="s">
        <v>358</v>
      </c>
      <c r="S153" s="8" t="s">
        <v>32</v>
      </c>
    </row>
    <row r="154">
      <c r="A154" s="8">
        <v>153.0</v>
      </c>
      <c r="B154" s="8" t="s">
        <v>1409</v>
      </c>
      <c r="C154" s="8" t="s">
        <v>21</v>
      </c>
      <c r="D154" s="8">
        <v>77.0</v>
      </c>
      <c r="E154" s="8">
        <v>80.0</v>
      </c>
      <c r="H154" s="8" t="s">
        <v>370</v>
      </c>
      <c r="I154" s="9">
        <v>46148.53083333333</v>
      </c>
      <c r="J154" s="8" t="s">
        <v>90</v>
      </c>
      <c r="K154" s="8">
        <v>102000.0</v>
      </c>
      <c r="L154" s="8">
        <v>100.0</v>
      </c>
      <c r="M154" s="8">
        <v>2900.0</v>
      </c>
      <c r="N154" s="7">
        <v>42273.0</v>
      </c>
      <c r="O154" s="8" t="s">
        <v>147</v>
      </c>
      <c r="P154" s="8" t="s">
        <v>28</v>
      </c>
      <c r="S154" s="8" t="s">
        <v>32</v>
      </c>
    </row>
    <row r="155">
      <c r="A155" s="8">
        <v>154.0</v>
      </c>
      <c r="B155" s="8" t="s">
        <v>1412</v>
      </c>
      <c r="C155" s="8" t="s">
        <v>21</v>
      </c>
      <c r="D155" s="8">
        <v>58.0</v>
      </c>
      <c r="E155" s="8">
        <v>80.0</v>
      </c>
      <c r="H155" s="8" t="s">
        <v>1183</v>
      </c>
      <c r="I155" s="9">
        <v>46077.05436342592</v>
      </c>
      <c r="J155" s="8" t="s">
        <v>96</v>
      </c>
      <c r="K155" s="8">
        <v>80.0</v>
      </c>
      <c r="L155" s="8">
        <v>3500.0</v>
      </c>
      <c r="M155" s="8">
        <v>3700.0</v>
      </c>
      <c r="N155" s="7">
        <v>42261.0</v>
      </c>
      <c r="O155" s="8" t="s">
        <v>1186</v>
      </c>
      <c r="P155" s="8" t="s">
        <v>28</v>
      </c>
      <c r="S155" s="8" t="s">
        <v>934</v>
      </c>
    </row>
    <row r="156">
      <c r="A156" s="8">
        <v>155.0</v>
      </c>
      <c r="B156" s="8" t="s">
        <v>1416</v>
      </c>
      <c r="C156" s="8" t="s">
        <v>21</v>
      </c>
      <c r="D156" s="8">
        <v>0.0</v>
      </c>
      <c r="E156" s="8">
        <v>80.0</v>
      </c>
      <c r="H156" s="8" t="s">
        <v>832</v>
      </c>
      <c r="I156" s="9">
        <v>46146.607141203705</v>
      </c>
      <c r="J156" s="8" t="s">
        <v>62</v>
      </c>
      <c r="K156" s="8">
        <v>80.0</v>
      </c>
      <c r="L156" s="8">
        <v>3700.0</v>
      </c>
      <c r="M156" s="8">
        <v>3800.0</v>
      </c>
      <c r="N156" s="7">
        <v>42911.0</v>
      </c>
      <c r="O156" s="8" t="s">
        <v>147</v>
      </c>
      <c r="P156" s="8" t="s">
        <v>28</v>
      </c>
      <c r="S156" s="8" t="s">
        <v>1419</v>
      </c>
    </row>
    <row r="157">
      <c r="A157" s="8">
        <v>156.0</v>
      </c>
      <c r="B157" s="8" t="s">
        <v>359</v>
      </c>
      <c r="C157" s="8" t="s">
        <v>21</v>
      </c>
      <c r="D157" s="8">
        <v>75.0</v>
      </c>
      <c r="E157" s="8">
        <v>80.0</v>
      </c>
      <c r="H157" s="8" t="s">
        <v>123</v>
      </c>
      <c r="I157" s="9">
        <v>46123.46344907407</v>
      </c>
      <c r="J157" s="8" t="s">
        <v>96</v>
      </c>
      <c r="K157" s="8">
        <v>800.0</v>
      </c>
      <c r="L157" s="8">
        <v>700.0</v>
      </c>
      <c r="M157" s="8">
        <v>205000.0</v>
      </c>
      <c r="N157" s="7">
        <v>42405.0</v>
      </c>
      <c r="O157" s="8" t="s">
        <v>107</v>
      </c>
      <c r="P157" s="8" t="s">
        <v>28</v>
      </c>
      <c r="S157" s="8" t="s">
        <v>32</v>
      </c>
    </row>
    <row r="158">
      <c r="A158" s="8">
        <v>157.0</v>
      </c>
      <c r="B158" s="8" t="s">
        <v>1424</v>
      </c>
      <c r="C158" s="8" t="s">
        <v>21</v>
      </c>
      <c r="D158" s="8">
        <v>3.0</v>
      </c>
      <c r="E158" s="8">
        <v>80.0</v>
      </c>
      <c r="F158" s="8">
        <v>0.9</v>
      </c>
      <c r="H158" s="8" t="s">
        <v>783</v>
      </c>
      <c r="I158" s="9">
        <v>46082.695381944446</v>
      </c>
      <c r="J158" s="8" t="s">
        <v>1155</v>
      </c>
      <c r="K158" s="8">
        <v>80.0</v>
      </c>
      <c r="L158" s="8">
        <v>13000.0</v>
      </c>
      <c r="M158" s="8">
        <v>18000.0</v>
      </c>
      <c r="N158" s="7">
        <v>45121.0</v>
      </c>
      <c r="O158" s="8" t="s">
        <v>147</v>
      </c>
      <c r="P158" s="8" t="s">
        <v>28</v>
      </c>
      <c r="S158" s="8" t="s">
        <v>748</v>
      </c>
    </row>
    <row r="159">
      <c r="A159" s="8">
        <v>158.0</v>
      </c>
      <c r="B159" s="8" t="s">
        <v>1428</v>
      </c>
      <c r="C159" s="8" t="s">
        <v>21</v>
      </c>
      <c r="D159" s="8">
        <v>76.0</v>
      </c>
      <c r="E159" s="8">
        <v>80.0</v>
      </c>
      <c r="H159" s="8" t="s">
        <v>398</v>
      </c>
      <c r="I159" s="9">
        <v>46088.89570601852</v>
      </c>
      <c r="J159" s="8" t="s">
        <v>90</v>
      </c>
      <c r="K159" s="8">
        <v>13000.0</v>
      </c>
      <c r="L159" s="8">
        <v>600.0</v>
      </c>
      <c r="M159" s="8">
        <v>305000.0</v>
      </c>
      <c r="N159" s="7">
        <v>43868.0</v>
      </c>
      <c r="O159" s="8" t="s">
        <v>107</v>
      </c>
      <c r="P159" s="8" t="s">
        <v>1174</v>
      </c>
      <c r="S159" s="8" t="s">
        <v>32</v>
      </c>
    </row>
    <row r="160">
      <c r="A160" s="8">
        <v>159.0</v>
      </c>
      <c r="B160" s="8" t="s">
        <v>1430</v>
      </c>
      <c r="C160" s="8" t="s">
        <v>21</v>
      </c>
      <c r="D160" s="8">
        <v>86.0</v>
      </c>
      <c r="E160" s="8">
        <v>80.0</v>
      </c>
      <c r="H160" s="8" t="s">
        <v>1430</v>
      </c>
      <c r="I160" s="9">
        <v>46126.19488425926</v>
      </c>
      <c r="K160" s="8">
        <v>4840000.0</v>
      </c>
      <c r="L160" s="8">
        <v>250.0</v>
      </c>
      <c r="M160" s="8">
        <v>109000.0</v>
      </c>
      <c r="N160" s="7">
        <v>42327.0</v>
      </c>
      <c r="O160" s="8" t="s">
        <v>31</v>
      </c>
      <c r="P160" s="8" t="s">
        <v>28</v>
      </c>
      <c r="S160" s="8" t="s">
        <v>32</v>
      </c>
    </row>
    <row r="161">
      <c r="A161" s="8">
        <v>160.0</v>
      </c>
      <c r="B161" s="8" t="s">
        <v>1433</v>
      </c>
      <c r="C161" s="8" t="s">
        <v>21</v>
      </c>
      <c r="D161" s="8">
        <v>63.0</v>
      </c>
      <c r="E161" s="8">
        <v>80.0</v>
      </c>
      <c r="F161" s="8">
        <v>1.4</v>
      </c>
      <c r="G161" s="8">
        <v>0.87</v>
      </c>
      <c r="H161" s="8" t="s">
        <v>744</v>
      </c>
      <c r="I161" s="9">
        <v>46147.80615740741</v>
      </c>
      <c r="J161" s="8" t="s">
        <v>476</v>
      </c>
      <c r="K161" s="8">
        <v>90.0</v>
      </c>
      <c r="L161" s="8">
        <v>137000.0</v>
      </c>
      <c r="M161" s="8">
        <v>140000.0</v>
      </c>
      <c r="N161" s="7">
        <v>42250.0</v>
      </c>
      <c r="O161" s="8" t="s">
        <v>26</v>
      </c>
      <c r="P161" s="8" t="s">
        <v>28</v>
      </c>
      <c r="S161" s="8" t="s">
        <v>934</v>
      </c>
    </row>
    <row r="162">
      <c r="A162" s="8">
        <v>161.0</v>
      </c>
      <c r="B162" s="8" t="s">
        <v>1437</v>
      </c>
      <c r="C162" s="8" t="s">
        <v>21</v>
      </c>
      <c r="D162" s="8">
        <v>54.0</v>
      </c>
      <c r="E162" s="8">
        <v>80.0</v>
      </c>
      <c r="H162" s="8" t="s">
        <v>19</v>
      </c>
      <c r="I162" s="9">
        <v>46161.75342592593</v>
      </c>
      <c r="J162" s="8" t="s">
        <v>25</v>
      </c>
      <c r="K162" s="8">
        <v>90.0</v>
      </c>
      <c r="L162" s="8">
        <v>26000.0</v>
      </c>
      <c r="M162" s="8">
        <v>27000.0</v>
      </c>
      <c r="N162" s="7">
        <v>42309.0</v>
      </c>
      <c r="O162" s="8" t="s">
        <v>26</v>
      </c>
      <c r="P162" s="8" t="s">
        <v>28</v>
      </c>
      <c r="S162" s="8" t="s">
        <v>32</v>
      </c>
    </row>
    <row r="163">
      <c r="A163" s="8">
        <v>162.0</v>
      </c>
      <c r="B163" s="8" t="s">
        <v>1441</v>
      </c>
      <c r="C163" s="8" t="s">
        <v>21</v>
      </c>
      <c r="D163" s="8">
        <v>75.0</v>
      </c>
      <c r="E163" s="8">
        <v>80.0</v>
      </c>
      <c r="H163" s="8" t="s">
        <v>1353</v>
      </c>
      <c r="I163" s="9">
        <v>46127.373923611114</v>
      </c>
      <c r="J163" s="8" t="s">
        <v>96</v>
      </c>
      <c r="K163" s="8">
        <v>8000.0</v>
      </c>
      <c r="L163" s="8">
        <v>200.0</v>
      </c>
      <c r="M163" s="8">
        <v>248000.0</v>
      </c>
      <c r="N163" s="7">
        <v>42639.0</v>
      </c>
      <c r="O163" s="8" t="s">
        <v>147</v>
      </c>
      <c r="P163" s="8" t="s">
        <v>28</v>
      </c>
      <c r="S163" s="8" t="s">
        <v>32</v>
      </c>
    </row>
    <row r="164">
      <c r="A164" s="8">
        <v>163.0</v>
      </c>
      <c r="B164" s="8" t="s">
        <v>1444</v>
      </c>
      <c r="C164" s="8" t="s">
        <v>21</v>
      </c>
      <c r="D164" s="8">
        <v>3.0</v>
      </c>
      <c r="E164" s="8">
        <v>80.0</v>
      </c>
      <c r="G164" s="8">
        <v>0.57</v>
      </c>
      <c r="H164" s="8" t="s">
        <v>744</v>
      </c>
      <c r="I164" s="9">
        <v>46100.62700231482</v>
      </c>
      <c r="J164" s="8" t="s">
        <v>1446</v>
      </c>
      <c r="K164" s="8">
        <v>80.0</v>
      </c>
      <c r="L164" s="8">
        <v>141000.0</v>
      </c>
      <c r="M164" s="8">
        <v>145000.0</v>
      </c>
      <c r="N164" s="7">
        <v>42845.0</v>
      </c>
      <c r="O164" s="8" t="s">
        <v>147</v>
      </c>
      <c r="P164" s="8" t="s">
        <v>28</v>
      </c>
      <c r="Q164" s="8" t="s">
        <v>1449</v>
      </c>
      <c r="R164" s="8" t="s">
        <v>1450</v>
      </c>
      <c r="S164" s="8" t="s">
        <v>1451</v>
      </c>
    </row>
    <row r="165">
      <c r="A165" s="8">
        <v>164.0</v>
      </c>
      <c r="B165" s="8" t="s">
        <v>1452</v>
      </c>
      <c r="C165" s="8" t="s">
        <v>21</v>
      </c>
      <c r="D165" s="8">
        <v>71.0</v>
      </c>
      <c r="E165" s="8">
        <v>80.0</v>
      </c>
      <c r="H165" s="8" t="s">
        <v>1452</v>
      </c>
      <c r="I165" s="9">
        <v>46126.409050925926</v>
      </c>
      <c r="J165" s="8" t="s">
        <v>1455</v>
      </c>
      <c r="K165" s="8">
        <v>116000.0</v>
      </c>
      <c r="L165" s="8">
        <v>50.0</v>
      </c>
      <c r="M165" s="8">
        <v>740000.0</v>
      </c>
      <c r="N165" s="7">
        <v>42317.0</v>
      </c>
      <c r="O165" s="8" t="s">
        <v>107</v>
      </c>
      <c r="P165" s="8" t="s">
        <v>28</v>
      </c>
      <c r="S165" s="8" t="s">
        <v>32</v>
      </c>
    </row>
    <row r="166">
      <c r="A166" s="8">
        <v>165.0</v>
      </c>
      <c r="B166" s="8" t="s">
        <v>1457</v>
      </c>
      <c r="C166" s="8" t="s">
        <v>21</v>
      </c>
      <c r="D166" s="8">
        <v>76.0</v>
      </c>
      <c r="E166" s="8">
        <v>80.0</v>
      </c>
      <c r="H166" s="8" t="s">
        <v>123</v>
      </c>
      <c r="I166" s="9">
        <v>46160.00784722222</v>
      </c>
      <c r="K166" s="8">
        <v>200.0</v>
      </c>
      <c r="L166" s="8">
        <v>1300.0</v>
      </c>
      <c r="M166" s="8">
        <v>168000.0</v>
      </c>
      <c r="N166" s="7">
        <v>43937.0</v>
      </c>
      <c r="O166" s="8" t="s">
        <v>107</v>
      </c>
      <c r="P166" s="8" t="s">
        <v>28</v>
      </c>
      <c r="S166" s="8" t="s">
        <v>32</v>
      </c>
    </row>
    <row r="167">
      <c r="A167" s="8">
        <v>166.0</v>
      </c>
      <c r="B167" s="8" t="s">
        <v>1461</v>
      </c>
      <c r="C167" s="8" t="s">
        <v>21</v>
      </c>
      <c r="D167" s="8">
        <v>31.0</v>
      </c>
      <c r="E167" s="8">
        <v>70.0</v>
      </c>
      <c r="F167" s="8">
        <v>0.7</v>
      </c>
      <c r="H167" s="8" t="s">
        <v>744</v>
      </c>
      <c r="I167" s="9">
        <v>46144.207291666666</v>
      </c>
      <c r="J167" s="8" t="s">
        <v>789</v>
      </c>
      <c r="K167" s="8">
        <v>100.0</v>
      </c>
      <c r="L167" s="8">
        <v>137000.0</v>
      </c>
      <c r="M167" s="8">
        <v>140000.0</v>
      </c>
      <c r="N167" s="7">
        <v>42259.0</v>
      </c>
      <c r="O167" s="8" t="s">
        <v>26</v>
      </c>
      <c r="P167" s="8" t="s">
        <v>28</v>
      </c>
      <c r="S167" s="8" t="s">
        <v>32</v>
      </c>
    </row>
    <row r="168">
      <c r="A168" s="8">
        <v>167.0</v>
      </c>
      <c r="B168" s="8" t="s">
        <v>1464</v>
      </c>
      <c r="C168" s="8" t="s">
        <v>21</v>
      </c>
      <c r="D168" s="8">
        <v>77.0</v>
      </c>
      <c r="E168" s="8">
        <v>70.0</v>
      </c>
      <c r="H168" s="8" t="s">
        <v>398</v>
      </c>
      <c r="I168" s="9">
        <v>46161.10569444444</v>
      </c>
      <c r="K168" s="8">
        <v>9500.0</v>
      </c>
      <c r="L168" s="8">
        <v>700.0</v>
      </c>
      <c r="M168" s="8">
        <v>349000.0</v>
      </c>
      <c r="N168" s="7">
        <v>43869.0</v>
      </c>
      <c r="O168" s="8" t="s">
        <v>147</v>
      </c>
      <c r="P168" s="8" t="s">
        <v>28</v>
      </c>
      <c r="S168" s="8" t="s">
        <v>32</v>
      </c>
    </row>
    <row r="169">
      <c r="A169" s="8">
        <v>168.0</v>
      </c>
      <c r="B169" s="8" t="s">
        <v>1468</v>
      </c>
      <c r="C169" s="8" t="s">
        <v>21</v>
      </c>
      <c r="D169" s="8">
        <v>0.0</v>
      </c>
      <c r="E169" s="8">
        <v>70.0</v>
      </c>
      <c r="H169" s="8" t="s">
        <v>744</v>
      </c>
      <c r="I169" s="9">
        <v>46142.55396990741</v>
      </c>
      <c r="J169" s="8" t="s">
        <v>90</v>
      </c>
      <c r="K169" s="8">
        <v>70.0</v>
      </c>
      <c r="L169" s="8">
        <v>136000.0</v>
      </c>
      <c r="M169" s="8">
        <v>140000.0</v>
      </c>
      <c r="N169" s="7">
        <v>42285.0</v>
      </c>
      <c r="O169" s="8" t="s">
        <v>796</v>
      </c>
      <c r="P169" s="8" t="s">
        <v>28</v>
      </c>
      <c r="Q169" s="8" t="s">
        <v>1471</v>
      </c>
      <c r="R169" s="8">
        <v>31.0</v>
      </c>
      <c r="S169" s="8" t="s">
        <v>32</v>
      </c>
    </row>
    <row r="170">
      <c r="A170" s="8">
        <v>169.0</v>
      </c>
      <c r="B170" s="8" t="s">
        <v>1473</v>
      </c>
      <c r="C170" s="8" t="s">
        <v>21</v>
      </c>
      <c r="D170" s="8">
        <v>2.0</v>
      </c>
      <c r="E170" s="8">
        <v>70.0</v>
      </c>
      <c r="H170" s="8" t="s">
        <v>744</v>
      </c>
      <c r="I170" s="9">
        <v>46124.04162037037</v>
      </c>
      <c r="J170" s="8" t="s">
        <v>90</v>
      </c>
      <c r="K170" s="8">
        <v>70.0</v>
      </c>
      <c r="L170" s="8">
        <v>136000.0</v>
      </c>
      <c r="M170" s="8">
        <v>140000.0</v>
      </c>
      <c r="N170" s="7">
        <v>44703.0</v>
      </c>
      <c r="O170" s="8" t="s">
        <v>26</v>
      </c>
      <c r="P170" s="8" t="s">
        <v>28</v>
      </c>
      <c r="S170" s="8" t="s">
        <v>32</v>
      </c>
    </row>
    <row r="171">
      <c r="A171" s="8">
        <v>170.0</v>
      </c>
      <c r="B171" s="8" t="s">
        <v>1476</v>
      </c>
      <c r="C171" s="8" t="s">
        <v>21</v>
      </c>
      <c r="D171" s="8">
        <v>59.0</v>
      </c>
      <c r="E171" s="8">
        <v>70.0</v>
      </c>
      <c r="H171" s="8" t="s">
        <v>755</v>
      </c>
      <c r="I171" s="9">
        <v>46087.89585648148</v>
      </c>
      <c r="J171" s="8" t="s">
        <v>62</v>
      </c>
      <c r="K171" s="8">
        <v>70.0</v>
      </c>
      <c r="L171" s="8">
        <v>17000.0</v>
      </c>
      <c r="M171" s="8">
        <v>17000.0</v>
      </c>
      <c r="N171" s="7">
        <v>42257.0</v>
      </c>
      <c r="O171" s="8" t="s">
        <v>127</v>
      </c>
      <c r="P171" s="8" t="s">
        <v>28</v>
      </c>
      <c r="S171" s="8" t="s">
        <v>748</v>
      </c>
    </row>
    <row r="172">
      <c r="A172" s="8">
        <v>171.0</v>
      </c>
      <c r="B172" s="8" t="s">
        <v>1480</v>
      </c>
      <c r="C172" s="8" t="s">
        <v>21</v>
      </c>
      <c r="D172" s="8">
        <v>26.0</v>
      </c>
      <c r="E172" s="8">
        <v>70.0</v>
      </c>
      <c r="H172" s="8" t="s">
        <v>1183</v>
      </c>
      <c r="I172" s="9">
        <v>46099.90355324074</v>
      </c>
      <c r="K172" s="8">
        <v>150.0</v>
      </c>
      <c r="L172" s="8">
        <v>3300.0</v>
      </c>
      <c r="M172" s="8">
        <v>3600.0</v>
      </c>
      <c r="N172" s="7">
        <v>42378.0</v>
      </c>
      <c r="O172" s="8" t="s">
        <v>31</v>
      </c>
      <c r="P172" s="8" t="s">
        <v>28</v>
      </c>
      <c r="S172" s="8" t="s">
        <v>1483</v>
      </c>
    </row>
    <row r="173">
      <c r="A173" s="8">
        <v>172.0</v>
      </c>
      <c r="B173" s="8" t="s">
        <v>1484</v>
      </c>
      <c r="C173" s="8" t="s">
        <v>21</v>
      </c>
      <c r="D173" s="8">
        <v>55.0</v>
      </c>
      <c r="E173" s="8">
        <v>70.0</v>
      </c>
      <c r="H173" s="8" t="s">
        <v>35</v>
      </c>
      <c r="I173" s="9">
        <v>46145.49365740741</v>
      </c>
      <c r="J173" s="8" t="s">
        <v>96</v>
      </c>
      <c r="K173" s="8">
        <v>90.0</v>
      </c>
      <c r="L173" s="8">
        <v>11000.0</v>
      </c>
      <c r="M173" s="8">
        <v>11000.0</v>
      </c>
      <c r="N173" s="7">
        <v>42305.0</v>
      </c>
      <c r="O173" s="8" t="s">
        <v>31</v>
      </c>
      <c r="P173" s="8" t="s">
        <v>28</v>
      </c>
      <c r="S173" s="8" t="s">
        <v>32</v>
      </c>
    </row>
    <row r="174">
      <c r="A174" s="8">
        <v>173.0</v>
      </c>
      <c r="B174" s="8" t="s">
        <v>1488</v>
      </c>
      <c r="C174" s="8" t="s">
        <v>21</v>
      </c>
      <c r="D174" s="8">
        <v>66.0</v>
      </c>
      <c r="E174" s="8">
        <v>70.0</v>
      </c>
      <c r="F174" s="8">
        <v>0.1</v>
      </c>
      <c r="H174" s="8" t="s">
        <v>930</v>
      </c>
      <c r="I174" s="9">
        <v>46147.08127314815</v>
      </c>
      <c r="K174" s="8">
        <v>70.0</v>
      </c>
      <c r="L174" s="8">
        <v>600.0</v>
      </c>
      <c r="M174" s="8">
        <v>600.0</v>
      </c>
      <c r="N174" s="7">
        <v>42514.0</v>
      </c>
      <c r="O174" s="8" t="s">
        <v>26</v>
      </c>
      <c r="P174" s="8" t="s">
        <v>28</v>
      </c>
      <c r="Q174" s="8" t="s">
        <v>1491</v>
      </c>
      <c r="R174" s="8" t="s">
        <v>1492</v>
      </c>
      <c r="S174" s="8" t="s">
        <v>782</v>
      </c>
    </row>
    <row r="175">
      <c r="A175" s="8">
        <v>174.0</v>
      </c>
      <c r="B175" s="8" t="s">
        <v>1494</v>
      </c>
      <c r="C175" s="8" t="s">
        <v>21</v>
      </c>
      <c r="D175" s="8">
        <v>76.0</v>
      </c>
      <c r="E175" s="8">
        <v>70.0</v>
      </c>
      <c r="H175" s="8" t="s">
        <v>398</v>
      </c>
      <c r="I175" s="9">
        <v>46088.62642361111</v>
      </c>
      <c r="K175" s="8">
        <v>4600.0</v>
      </c>
      <c r="L175" s="8">
        <v>600.0</v>
      </c>
      <c r="M175" s="8">
        <v>305000.0</v>
      </c>
      <c r="N175" s="7">
        <v>43869.0</v>
      </c>
      <c r="O175" s="8" t="s">
        <v>107</v>
      </c>
      <c r="P175" s="8" t="s">
        <v>1174</v>
      </c>
      <c r="S175" s="8" t="s">
        <v>32</v>
      </c>
    </row>
    <row r="176">
      <c r="A176" s="8">
        <v>175.0</v>
      </c>
      <c r="B176" s="8" t="s">
        <v>1497</v>
      </c>
      <c r="C176" s="8" t="s">
        <v>21</v>
      </c>
      <c r="D176" s="8">
        <v>68.0</v>
      </c>
      <c r="E176" s="8">
        <v>70.0</v>
      </c>
      <c r="F176" s="8">
        <v>0.02</v>
      </c>
      <c r="H176" s="8" t="s">
        <v>398</v>
      </c>
      <c r="I176" s="9">
        <v>46089.83798611111</v>
      </c>
      <c r="J176" s="8" t="s">
        <v>90</v>
      </c>
      <c r="K176" s="8">
        <v>129000.0</v>
      </c>
      <c r="L176" s="8">
        <v>3200.0</v>
      </c>
      <c r="M176" s="8">
        <v>1710000.0</v>
      </c>
      <c r="N176" s="7">
        <v>42379.0</v>
      </c>
      <c r="O176" s="8" t="s">
        <v>26</v>
      </c>
      <c r="P176" s="8" t="s">
        <v>28</v>
      </c>
      <c r="Q176" s="8" t="s">
        <v>1501</v>
      </c>
      <c r="R176" s="8" t="s">
        <v>1502</v>
      </c>
      <c r="S176" s="8" t="s">
        <v>32</v>
      </c>
    </row>
    <row r="177">
      <c r="A177" s="8">
        <v>176.0</v>
      </c>
      <c r="B177" s="8" t="s">
        <v>1504</v>
      </c>
      <c r="C177" s="8" t="s">
        <v>21</v>
      </c>
      <c r="D177" s="8">
        <v>71.0</v>
      </c>
      <c r="E177" s="8">
        <v>70.0</v>
      </c>
      <c r="H177" s="8" t="s">
        <v>398</v>
      </c>
      <c r="I177" s="9">
        <v>46149.0071875</v>
      </c>
      <c r="J177" s="8" t="s">
        <v>90</v>
      </c>
      <c r="K177" s="8">
        <v>72000.0</v>
      </c>
      <c r="L177" s="8">
        <v>2700.0</v>
      </c>
      <c r="M177" s="8">
        <v>1550000.0</v>
      </c>
      <c r="N177" s="7">
        <v>42789.0</v>
      </c>
      <c r="O177" s="8" t="s">
        <v>147</v>
      </c>
      <c r="P177" s="8" t="s">
        <v>28</v>
      </c>
      <c r="S177" s="8" t="s">
        <v>32</v>
      </c>
    </row>
    <row r="178">
      <c r="A178" s="8">
        <v>177.0</v>
      </c>
      <c r="B178" s="8" t="s">
        <v>1506</v>
      </c>
      <c r="C178" s="8" t="s">
        <v>21</v>
      </c>
      <c r="D178" s="8">
        <v>3.0</v>
      </c>
      <c r="E178" s="8">
        <v>70.0</v>
      </c>
      <c r="H178" s="8" t="s">
        <v>762</v>
      </c>
      <c r="I178" s="9">
        <v>46123.887824074074</v>
      </c>
      <c r="J178" s="8" t="s">
        <v>62</v>
      </c>
      <c r="K178" s="8">
        <v>2700.0</v>
      </c>
      <c r="L178" s="8">
        <v>5800.0</v>
      </c>
      <c r="M178" s="8">
        <v>5800.0</v>
      </c>
      <c r="N178" s="7">
        <v>44134.0</v>
      </c>
      <c r="O178" s="8" t="s">
        <v>925</v>
      </c>
      <c r="P178" s="8" t="s">
        <v>28</v>
      </c>
      <c r="S178" s="8" t="s">
        <v>748</v>
      </c>
    </row>
    <row r="179">
      <c r="A179" s="8">
        <v>178.0</v>
      </c>
      <c r="B179" s="8" t="s">
        <v>396</v>
      </c>
      <c r="C179" s="8" t="s">
        <v>21</v>
      </c>
      <c r="D179" s="8">
        <v>75.0</v>
      </c>
      <c r="E179" s="8">
        <v>70.0</v>
      </c>
      <c r="H179" s="8" t="s">
        <v>398</v>
      </c>
      <c r="I179" s="9">
        <v>46160.66483796296</v>
      </c>
      <c r="J179" s="8" t="s">
        <v>58</v>
      </c>
      <c r="K179" s="8">
        <v>6300.0</v>
      </c>
      <c r="L179" s="8">
        <v>700.0</v>
      </c>
      <c r="M179" s="8">
        <v>349000.0</v>
      </c>
      <c r="N179" s="7">
        <v>43868.0</v>
      </c>
      <c r="O179" s="8" t="s">
        <v>107</v>
      </c>
      <c r="P179" s="8" t="s">
        <v>28</v>
      </c>
      <c r="S179" s="8" t="s">
        <v>32</v>
      </c>
    </row>
    <row r="180">
      <c r="A180" s="8">
        <v>179.0</v>
      </c>
      <c r="B180" s="8" t="s">
        <v>1512</v>
      </c>
      <c r="C180" s="8" t="s">
        <v>21</v>
      </c>
      <c r="D180" s="8">
        <v>69.0</v>
      </c>
      <c r="E180" s="8">
        <v>70.0</v>
      </c>
      <c r="H180" s="8" t="s">
        <v>20</v>
      </c>
      <c r="I180" s="9">
        <v>46142.60019675926</v>
      </c>
      <c r="J180" s="8" t="s">
        <v>90</v>
      </c>
      <c r="K180" s="8">
        <v>1200.0</v>
      </c>
      <c r="L180" s="8">
        <v>1200.0</v>
      </c>
      <c r="M180" s="8">
        <v>65000.0</v>
      </c>
      <c r="N180" s="7">
        <v>42867.0</v>
      </c>
      <c r="O180" s="8" t="s">
        <v>127</v>
      </c>
      <c r="P180" s="8" t="s">
        <v>28</v>
      </c>
      <c r="S180" s="8" t="s">
        <v>1515</v>
      </c>
    </row>
    <row r="181">
      <c r="A181" s="8">
        <v>180.0</v>
      </c>
      <c r="B181" s="8" t="s">
        <v>1516</v>
      </c>
      <c r="C181" s="8" t="s">
        <v>21</v>
      </c>
      <c r="D181" s="8">
        <v>2.0</v>
      </c>
      <c r="E181" s="8">
        <v>70.0</v>
      </c>
      <c r="H181" s="8" t="s">
        <v>744</v>
      </c>
      <c r="I181" s="9">
        <v>46122.44495370371</v>
      </c>
      <c r="J181" s="8" t="s">
        <v>105</v>
      </c>
      <c r="K181" s="8">
        <v>70.0</v>
      </c>
      <c r="L181" s="8">
        <v>136000.0</v>
      </c>
      <c r="M181" s="8">
        <v>140000.0</v>
      </c>
      <c r="N181" s="7">
        <v>42959.0</v>
      </c>
      <c r="O181" s="8" t="s">
        <v>1519</v>
      </c>
      <c r="P181" s="8" t="s">
        <v>28</v>
      </c>
      <c r="S181" s="8" t="s">
        <v>748</v>
      </c>
    </row>
    <row r="182">
      <c r="A182" s="8">
        <v>181.0</v>
      </c>
      <c r="B182" s="8" t="s">
        <v>1521</v>
      </c>
      <c r="C182" s="8" t="s">
        <v>21</v>
      </c>
      <c r="D182" s="8">
        <v>68.0</v>
      </c>
      <c r="E182" s="8">
        <v>70.0</v>
      </c>
      <c r="H182" s="8" t="s">
        <v>1250</v>
      </c>
      <c r="I182" s="9">
        <v>46161.75699074074</v>
      </c>
      <c r="K182" s="8">
        <v>32000.0</v>
      </c>
      <c r="L182" s="8">
        <v>150.0</v>
      </c>
      <c r="M182" s="8">
        <v>184000.0</v>
      </c>
      <c r="N182" s="7">
        <v>44492.0</v>
      </c>
      <c r="O182" s="8" t="s">
        <v>147</v>
      </c>
      <c r="P182" s="8" t="s">
        <v>938</v>
      </c>
      <c r="S182" s="8" t="s">
        <v>32</v>
      </c>
    </row>
    <row r="183">
      <c r="A183" s="8">
        <v>182.0</v>
      </c>
      <c r="B183" s="8" t="s">
        <v>401</v>
      </c>
      <c r="C183" s="8" t="s">
        <v>21</v>
      </c>
      <c r="D183" s="8">
        <v>79.0</v>
      </c>
      <c r="E183" s="8">
        <v>70.0</v>
      </c>
      <c r="H183" s="8" t="s">
        <v>123</v>
      </c>
      <c r="I183" s="9">
        <v>46141.236030092594</v>
      </c>
      <c r="J183" s="8" t="s">
        <v>90</v>
      </c>
      <c r="K183" s="8">
        <v>5600.0</v>
      </c>
      <c r="L183" s="8">
        <v>5400.0</v>
      </c>
      <c r="M183" s="8">
        <v>531000.0</v>
      </c>
      <c r="N183" s="7">
        <v>43870.0</v>
      </c>
      <c r="O183" s="8" t="s">
        <v>26</v>
      </c>
      <c r="P183" s="8" t="s">
        <v>28</v>
      </c>
      <c r="S183" s="8" t="s">
        <v>32</v>
      </c>
    </row>
    <row r="184">
      <c r="A184" s="8">
        <v>183.0</v>
      </c>
      <c r="B184" s="8" t="s">
        <v>1527</v>
      </c>
      <c r="C184" s="8" t="s">
        <v>21</v>
      </c>
      <c r="D184" s="8">
        <v>46.0</v>
      </c>
      <c r="E184" s="8">
        <v>70.0</v>
      </c>
      <c r="F184" s="8">
        <v>11.0</v>
      </c>
      <c r="H184" s="8" t="s">
        <v>744</v>
      </c>
      <c r="I184" s="9">
        <v>46144.419641203705</v>
      </c>
      <c r="J184" s="8" t="s">
        <v>62</v>
      </c>
      <c r="K184" s="8">
        <v>70.0</v>
      </c>
      <c r="L184" s="8">
        <v>137000.0</v>
      </c>
      <c r="M184" s="8">
        <v>140000.0</v>
      </c>
      <c r="N184" s="7">
        <v>42314.0</v>
      </c>
      <c r="O184" s="8" t="s">
        <v>26</v>
      </c>
      <c r="P184" s="8" t="s">
        <v>28</v>
      </c>
      <c r="S184" s="8" t="s">
        <v>32</v>
      </c>
    </row>
    <row r="185">
      <c r="A185" s="8">
        <v>184.0</v>
      </c>
      <c r="B185" s="8" t="s">
        <v>1530</v>
      </c>
      <c r="C185" s="8" t="s">
        <v>21</v>
      </c>
      <c r="D185" s="8">
        <v>77.0</v>
      </c>
      <c r="E185" s="8">
        <v>70.0</v>
      </c>
      <c r="H185" s="8" t="s">
        <v>55</v>
      </c>
      <c r="I185" s="9">
        <v>46144.19924768519</v>
      </c>
      <c r="J185" s="8" t="s">
        <v>58</v>
      </c>
      <c r="K185" s="8">
        <v>1460000.0</v>
      </c>
      <c r="L185" s="8">
        <v>15000.0</v>
      </c>
      <c r="M185" s="8">
        <v>72000.0</v>
      </c>
      <c r="N185" s="7">
        <v>42782.0</v>
      </c>
      <c r="O185" s="8" t="s">
        <v>31</v>
      </c>
      <c r="P185" s="8" t="s">
        <v>28</v>
      </c>
      <c r="S185" s="8" t="s">
        <v>32</v>
      </c>
    </row>
    <row r="186">
      <c r="A186" s="8">
        <v>185.0</v>
      </c>
      <c r="B186" s="8" t="s">
        <v>1533</v>
      </c>
      <c r="C186" s="8" t="s">
        <v>21</v>
      </c>
      <c r="D186" s="8">
        <v>54.0</v>
      </c>
      <c r="E186" s="8">
        <v>70.0</v>
      </c>
      <c r="H186" s="8" t="s">
        <v>20</v>
      </c>
      <c r="I186" s="9">
        <v>46124.20795138889</v>
      </c>
      <c r="J186" s="8" t="s">
        <v>90</v>
      </c>
      <c r="K186" s="8">
        <v>500.0</v>
      </c>
      <c r="L186" s="8">
        <v>1000.0</v>
      </c>
      <c r="M186" s="8">
        <v>49000.0</v>
      </c>
      <c r="N186" s="7">
        <v>42308.0</v>
      </c>
      <c r="O186" s="8" t="s">
        <v>26</v>
      </c>
      <c r="P186" s="8" t="s">
        <v>28</v>
      </c>
      <c r="S186" s="8" t="s">
        <v>32</v>
      </c>
    </row>
    <row r="187">
      <c r="A187" s="8">
        <v>186.0</v>
      </c>
      <c r="B187" s="8" t="s">
        <v>1535</v>
      </c>
      <c r="C187" s="8" t="s">
        <v>21</v>
      </c>
      <c r="D187" s="8">
        <v>37.0</v>
      </c>
      <c r="E187" s="8">
        <v>70.0</v>
      </c>
      <c r="H187" s="8" t="s">
        <v>1540</v>
      </c>
      <c r="I187" s="9">
        <v>46103.989270833335</v>
      </c>
      <c r="J187" s="8" t="s">
        <v>545</v>
      </c>
      <c r="K187" s="8">
        <v>900.0</v>
      </c>
      <c r="L187" s="8">
        <v>30.0</v>
      </c>
      <c r="M187" s="8">
        <v>600.0</v>
      </c>
      <c r="N187" s="7">
        <v>44782.0</v>
      </c>
      <c r="O187" s="8" t="s">
        <v>107</v>
      </c>
      <c r="P187" s="8" t="s">
        <v>28</v>
      </c>
      <c r="S187" s="8" t="s">
        <v>32</v>
      </c>
    </row>
    <row r="188">
      <c r="A188" s="8">
        <v>187.0</v>
      </c>
      <c r="B188" s="8" t="s">
        <v>370</v>
      </c>
      <c r="C188" s="8" t="s">
        <v>21</v>
      </c>
      <c r="D188" s="8">
        <v>76.0</v>
      </c>
      <c r="E188" s="8">
        <v>70.0</v>
      </c>
      <c r="H188" s="8" t="s">
        <v>338</v>
      </c>
      <c r="I188" s="9">
        <v>46123.14491898148</v>
      </c>
      <c r="K188" s="8">
        <v>200.0</v>
      </c>
      <c r="L188" s="8">
        <v>50.0</v>
      </c>
      <c r="M188" s="8">
        <v>3200.0</v>
      </c>
      <c r="N188" s="7">
        <v>43880.0</v>
      </c>
      <c r="O188" s="8" t="s">
        <v>107</v>
      </c>
      <c r="P188" s="8" t="s">
        <v>28</v>
      </c>
      <c r="S188" s="8" t="s">
        <v>32</v>
      </c>
    </row>
    <row r="189">
      <c r="A189" s="8">
        <v>188.0</v>
      </c>
      <c r="B189" s="8" t="s">
        <v>1550</v>
      </c>
      <c r="C189" s="8" t="s">
        <v>21</v>
      </c>
      <c r="D189" s="8">
        <v>76.0</v>
      </c>
      <c r="E189" s="8">
        <v>70.0</v>
      </c>
      <c r="H189" s="8" t="s">
        <v>1430</v>
      </c>
      <c r="I189" s="9">
        <v>46142.86356481481</v>
      </c>
      <c r="K189" s="8">
        <v>400.0</v>
      </c>
      <c r="L189" s="8">
        <v>250.0</v>
      </c>
      <c r="M189" s="8">
        <v>111000.0</v>
      </c>
      <c r="N189" s="7">
        <v>44019.0</v>
      </c>
      <c r="O189" s="8" t="s">
        <v>147</v>
      </c>
      <c r="P189" s="8" t="s">
        <v>28</v>
      </c>
      <c r="S189" s="8" t="s">
        <v>32</v>
      </c>
    </row>
    <row r="190">
      <c r="A190" s="8">
        <v>189.0</v>
      </c>
      <c r="B190" s="8" t="s">
        <v>102</v>
      </c>
      <c r="C190" s="8" t="s">
        <v>21</v>
      </c>
      <c r="D190" s="8">
        <v>79.0</v>
      </c>
      <c r="E190" s="8">
        <v>60.0</v>
      </c>
      <c r="H190" s="8" t="s">
        <v>55</v>
      </c>
      <c r="I190" s="9">
        <v>46142.388344907406</v>
      </c>
      <c r="J190" s="8" t="s">
        <v>58</v>
      </c>
      <c r="K190" s="8">
        <v>172000.0</v>
      </c>
      <c r="L190" s="8">
        <v>15000.0</v>
      </c>
      <c r="M190" s="8">
        <v>70000.0</v>
      </c>
      <c r="N190" s="7">
        <v>42249.0</v>
      </c>
      <c r="O190" s="8" t="s">
        <v>31</v>
      </c>
      <c r="P190" s="8" t="s">
        <v>28</v>
      </c>
      <c r="S190" s="8" t="s">
        <v>111</v>
      </c>
    </row>
    <row r="191">
      <c r="A191" s="8">
        <v>190.0</v>
      </c>
      <c r="B191" s="8" t="s">
        <v>1559</v>
      </c>
      <c r="C191" s="8" t="s">
        <v>21</v>
      </c>
      <c r="D191" s="8">
        <v>77.0</v>
      </c>
      <c r="E191" s="8">
        <v>60.0</v>
      </c>
      <c r="H191" s="8" t="s">
        <v>123</v>
      </c>
      <c r="I191" s="9">
        <v>46155.075474537036</v>
      </c>
      <c r="J191" s="8" t="s">
        <v>90</v>
      </c>
      <c r="K191" s="8">
        <v>9400.0</v>
      </c>
      <c r="L191" s="8">
        <v>1300.0</v>
      </c>
      <c r="M191" s="8">
        <v>164000.0</v>
      </c>
      <c r="N191" s="7">
        <v>44006.0</v>
      </c>
      <c r="O191" s="8" t="s">
        <v>107</v>
      </c>
      <c r="P191" s="8" t="s">
        <v>1174</v>
      </c>
      <c r="S191" s="8" t="s">
        <v>32</v>
      </c>
    </row>
    <row r="192">
      <c r="A192" s="8">
        <v>191.0</v>
      </c>
      <c r="B192" s="8" t="s">
        <v>1565</v>
      </c>
      <c r="C192" s="8" t="s">
        <v>21</v>
      </c>
      <c r="D192" s="8">
        <v>65.0</v>
      </c>
      <c r="E192" s="8">
        <v>60.0</v>
      </c>
      <c r="F192" s="8">
        <v>1.0</v>
      </c>
      <c r="H192" s="8" t="s">
        <v>755</v>
      </c>
      <c r="I192" s="9">
        <v>46141.88193287037</v>
      </c>
      <c r="J192" s="8" t="s">
        <v>96</v>
      </c>
      <c r="K192" s="8">
        <v>450.0</v>
      </c>
      <c r="L192" s="8">
        <v>15000.0</v>
      </c>
      <c r="M192" s="8">
        <v>16000.0</v>
      </c>
      <c r="N192" s="7">
        <v>42295.0</v>
      </c>
      <c r="O192" s="8" t="s">
        <v>31</v>
      </c>
      <c r="P192" s="8" t="s">
        <v>28</v>
      </c>
      <c r="S192" s="8" t="s">
        <v>782</v>
      </c>
    </row>
    <row r="193">
      <c r="A193" s="8">
        <v>192.0</v>
      </c>
      <c r="B193" s="8" t="s">
        <v>1571</v>
      </c>
      <c r="C193" s="8" t="s">
        <v>21</v>
      </c>
      <c r="D193" s="8">
        <v>0.0</v>
      </c>
      <c r="E193" s="8">
        <v>60.0</v>
      </c>
      <c r="H193" s="8" t="s">
        <v>744</v>
      </c>
      <c r="I193" s="9">
        <v>46145.15825231482</v>
      </c>
      <c r="J193" s="8" t="s">
        <v>62</v>
      </c>
      <c r="K193" s="8">
        <v>60.0</v>
      </c>
      <c r="L193" s="8">
        <v>137000.0</v>
      </c>
      <c r="M193" s="8">
        <v>140000.0</v>
      </c>
      <c r="N193" s="7">
        <v>45088.0</v>
      </c>
      <c r="O193" s="8" t="s">
        <v>26</v>
      </c>
      <c r="P193" s="8" t="s">
        <v>28</v>
      </c>
      <c r="Q193" s="8" t="s">
        <v>1576</v>
      </c>
      <c r="R193" s="8">
        <v>71.0</v>
      </c>
      <c r="S193" s="8" t="s">
        <v>748</v>
      </c>
    </row>
    <row r="194">
      <c r="A194" s="8">
        <v>193.0</v>
      </c>
      <c r="B194" s="8" t="s">
        <v>417</v>
      </c>
      <c r="C194" s="8" t="s">
        <v>21</v>
      </c>
      <c r="D194" s="8">
        <v>77.0</v>
      </c>
      <c r="E194" s="8">
        <v>60.0</v>
      </c>
      <c r="H194" s="8" t="s">
        <v>123</v>
      </c>
      <c r="I194" s="9">
        <v>46141.77211805555</v>
      </c>
      <c r="J194" s="8" t="s">
        <v>90</v>
      </c>
      <c r="K194" s="8">
        <v>11000.0</v>
      </c>
      <c r="L194" s="8">
        <v>5400.0</v>
      </c>
      <c r="M194" s="8">
        <v>531000.0</v>
      </c>
      <c r="N194" s="7">
        <v>42395.0</v>
      </c>
      <c r="O194" s="8" t="s">
        <v>147</v>
      </c>
      <c r="P194" s="8" t="s">
        <v>28</v>
      </c>
      <c r="S194" s="8" t="s">
        <v>32</v>
      </c>
    </row>
    <row r="195">
      <c r="A195" s="8">
        <v>194.0</v>
      </c>
      <c r="B195" s="8" t="s">
        <v>1583</v>
      </c>
      <c r="C195" s="8" t="s">
        <v>21</v>
      </c>
      <c r="D195" s="8">
        <v>0.0</v>
      </c>
      <c r="E195" s="8">
        <v>60.0</v>
      </c>
      <c r="G195" s="8">
        <v>1.02</v>
      </c>
      <c r="H195" s="8" t="s">
        <v>744</v>
      </c>
      <c r="I195" s="9">
        <v>46155.48082175926</v>
      </c>
      <c r="J195" s="8" t="s">
        <v>90</v>
      </c>
      <c r="K195" s="8">
        <v>70.0</v>
      </c>
      <c r="L195" s="8">
        <v>131000.0</v>
      </c>
      <c r="M195" s="8">
        <v>135000.0</v>
      </c>
      <c r="N195" s="7">
        <v>42279.0</v>
      </c>
      <c r="O195" s="8" t="s">
        <v>26</v>
      </c>
      <c r="P195" s="8" t="s">
        <v>28</v>
      </c>
      <c r="Q195" s="8" t="s">
        <v>1587</v>
      </c>
      <c r="R195" s="8">
        <v>94.0</v>
      </c>
      <c r="S195" s="8" t="s">
        <v>748</v>
      </c>
    </row>
    <row r="196">
      <c r="A196" s="8">
        <v>195.0</v>
      </c>
      <c r="B196" s="8" t="s">
        <v>421</v>
      </c>
      <c r="C196" s="8" t="s">
        <v>21</v>
      </c>
      <c r="D196" s="8">
        <v>43.0</v>
      </c>
      <c r="E196" s="8">
        <v>60.0</v>
      </c>
      <c r="G196" s="8">
        <v>0.89</v>
      </c>
      <c r="H196" s="8" t="s">
        <v>19</v>
      </c>
      <c r="I196" s="9">
        <v>46126.21601851852</v>
      </c>
      <c r="J196" s="8" t="s">
        <v>25</v>
      </c>
      <c r="K196" s="8">
        <v>70.0</v>
      </c>
      <c r="L196" s="8">
        <v>26000.0</v>
      </c>
      <c r="M196" s="8">
        <v>27000.0</v>
      </c>
      <c r="N196" s="7">
        <v>42279.0</v>
      </c>
      <c r="O196" s="8" t="s">
        <v>127</v>
      </c>
      <c r="P196" s="8" t="s">
        <v>28</v>
      </c>
      <c r="S196" s="8" t="s">
        <v>32</v>
      </c>
    </row>
    <row r="197">
      <c r="A197" s="8">
        <v>196.0</v>
      </c>
      <c r="B197" s="8" t="s">
        <v>1595</v>
      </c>
      <c r="C197" s="8" t="s">
        <v>21</v>
      </c>
      <c r="D197" s="8">
        <v>42.0</v>
      </c>
      <c r="E197" s="8">
        <v>60.0</v>
      </c>
      <c r="H197" s="8" t="s">
        <v>755</v>
      </c>
      <c r="I197" s="9">
        <v>46131.636342592596</v>
      </c>
      <c r="J197" s="8" t="s">
        <v>25</v>
      </c>
      <c r="K197" s="8">
        <v>60.0</v>
      </c>
      <c r="L197" s="8">
        <v>16000.0</v>
      </c>
      <c r="M197" s="8">
        <v>17000.0</v>
      </c>
      <c r="N197" s="7">
        <v>42912.0</v>
      </c>
      <c r="O197" s="8" t="s">
        <v>803</v>
      </c>
      <c r="P197" s="8" t="s">
        <v>28</v>
      </c>
      <c r="S197" s="8" t="s">
        <v>782</v>
      </c>
    </row>
    <row r="198">
      <c r="A198" s="8">
        <v>197.0</v>
      </c>
      <c r="B198" s="8" t="s">
        <v>1601</v>
      </c>
      <c r="C198" s="8" t="s">
        <v>21</v>
      </c>
      <c r="D198" s="8">
        <v>73.0</v>
      </c>
      <c r="E198" s="8">
        <v>60.0</v>
      </c>
      <c r="H198" s="8" t="s">
        <v>1604</v>
      </c>
      <c r="I198" s="9">
        <v>46124.04101851852</v>
      </c>
      <c r="K198" s="8">
        <v>4400.0</v>
      </c>
      <c r="L198" s="8">
        <v>10.0</v>
      </c>
      <c r="M198" s="8">
        <v>72000.0</v>
      </c>
      <c r="N198" s="7">
        <v>42536.0</v>
      </c>
      <c r="O198" s="8" t="s">
        <v>107</v>
      </c>
      <c r="P198" s="8" t="s">
        <v>28</v>
      </c>
      <c r="S198" s="8" t="s">
        <v>32</v>
      </c>
    </row>
    <row r="199">
      <c r="A199" s="8">
        <v>198.0</v>
      </c>
      <c r="B199" s="8" t="s">
        <v>1605</v>
      </c>
      <c r="C199" s="8" t="s">
        <v>21</v>
      </c>
      <c r="D199" s="8">
        <v>77.0</v>
      </c>
      <c r="E199" s="8">
        <v>60.0</v>
      </c>
      <c r="H199" s="8" t="s">
        <v>1605</v>
      </c>
      <c r="I199" s="9">
        <v>46075.54644675926</v>
      </c>
      <c r="J199" s="8" t="s">
        <v>96</v>
      </c>
      <c r="K199" s="8">
        <v>13000.0</v>
      </c>
      <c r="L199" s="8">
        <v>40.0</v>
      </c>
      <c r="M199" s="8">
        <v>141000.0</v>
      </c>
      <c r="N199" s="7">
        <v>42587.0</v>
      </c>
      <c r="O199" s="8" t="s">
        <v>147</v>
      </c>
      <c r="P199" s="8" t="s">
        <v>28</v>
      </c>
      <c r="S199" s="8" t="s">
        <v>32</v>
      </c>
    </row>
    <row r="200">
      <c r="A200" s="8">
        <v>199.0</v>
      </c>
      <c r="B200" s="8" t="s">
        <v>433</v>
      </c>
      <c r="C200" s="8" t="s">
        <v>21</v>
      </c>
      <c r="D200" s="8">
        <v>79.0</v>
      </c>
      <c r="E200" s="8">
        <v>60.0</v>
      </c>
      <c r="H200" s="8" t="s">
        <v>20</v>
      </c>
      <c r="I200" s="9">
        <v>46162.98672453704</v>
      </c>
      <c r="K200" s="8">
        <v>9800.0</v>
      </c>
      <c r="L200" s="8">
        <v>1400.0</v>
      </c>
      <c r="M200" s="8">
        <v>469000.0</v>
      </c>
      <c r="N200" s="7">
        <v>43088.0</v>
      </c>
      <c r="O200" s="8" t="s">
        <v>147</v>
      </c>
      <c r="P200" s="8" t="s">
        <v>28</v>
      </c>
      <c r="S200" s="8" t="s">
        <v>32</v>
      </c>
    </row>
    <row r="201">
      <c r="A201" s="8">
        <v>200.0</v>
      </c>
      <c r="B201" s="8" t="s">
        <v>1614</v>
      </c>
      <c r="C201" s="8" t="s">
        <v>21</v>
      </c>
      <c r="D201" s="8">
        <v>0.0</v>
      </c>
      <c r="E201" s="8">
        <v>60.0</v>
      </c>
      <c r="G201" s="8">
        <v>0.73</v>
      </c>
      <c r="H201" s="8" t="s">
        <v>762</v>
      </c>
      <c r="I201" s="9">
        <v>46143.54240740741</v>
      </c>
      <c r="J201" s="8" t="s">
        <v>956</v>
      </c>
      <c r="K201" s="8">
        <v>80.0</v>
      </c>
      <c r="L201" s="8">
        <v>5800.0</v>
      </c>
      <c r="M201" s="8">
        <v>6000.0</v>
      </c>
      <c r="N201" s="7">
        <v>42248.0</v>
      </c>
      <c r="O201" s="8" t="s">
        <v>1022</v>
      </c>
      <c r="P201" s="8" t="s">
        <v>28</v>
      </c>
      <c r="S201" s="8" t="s">
        <v>1619</v>
      </c>
    </row>
    <row r="202">
      <c r="A202" s="8">
        <v>201.0</v>
      </c>
      <c r="B202" s="8" t="s">
        <v>1621</v>
      </c>
      <c r="C202" s="8" t="s">
        <v>21</v>
      </c>
      <c r="D202" s="8">
        <v>68.0</v>
      </c>
      <c r="E202" s="8">
        <v>60.0</v>
      </c>
      <c r="H202" s="8" t="s">
        <v>1452</v>
      </c>
      <c r="I202" s="9">
        <v>46161.256747685184</v>
      </c>
      <c r="J202" s="8" t="s">
        <v>58</v>
      </c>
      <c r="K202" s="8">
        <v>465000.0</v>
      </c>
      <c r="L202" s="8">
        <v>20.0</v>
      </c>
      <c r="M202" s="8">
        <v>53000.0</v>
      </c>
      <c r="N202" s="7">
        <v>42835.0</v>
      </c>
      <c r="O202" s="8" t="s">
        <v>147</v>
      </c>
      <c r="P202" s="8" t="s">
        <v>28</v>
      </c>
      <c r="S202" s="8" t="s">
        <v>32</v>
      </c>
    </row>
    <row r="203">
      <c r="A203" s="8">
        <v>202.0</v>
      </c>
      <c r="B203" s="8" t="s">
        <v>1626</v>
      </c>
      <c r="C203" s="8" t="s">
        <v>21</v>
      </c>
      <c r="D203" s="8">
        <v>77.0</v>
      </c>
      <c r="E203" s="8">
        <v>60.0</v>
      </c>
      <c r="H203" s="8" t="s">
        <v>1353</v>
      </c>
      <c r="I203" s="9">
        <v>46087.896215277775</v>
      </c>
      <c r="K203" s="8">
        <v>17000.0</v>
      </c>
      <c r="L203" s="8">
        <v>250.0</v>
      </c>
      <c r="M203" s="8">
        <v>170000.0</v>
      </c>
      <c r="N203" s="7">
        <v>44168.0</v>
      </c>
      <c r="O203" s="8" t="s">
        <v>147</v>
      </c>
      <c r="P203" s="8" t="s">
        <v>28</v>
      </c>
      <c r="S203" s="8" t="s">
        <v>32</v>
      </c>
    </row>
    <row r="204">
      <c r="A204" s="8">
        <v>203.0</v>
      </c>
      <c r="B204" s="10" t="s">
        <v>1632</v>
      </c>
      <c r="C204" s="8" t="s">
        <v>21</v>
      </c>
      <c r="D204" s="8">
        <v>59.0</v>
      </c>
      <c r="E204" s="8">
        <v>60.0</v>
      </c>
      <c r="H204" s="8" t="s">
        <v>20</v>
      </c>
      <c r="I204" s="9">
        <v>46124.70407407408</v>
      </c>
      <c r="J204" s="8" t="s">
        <v>90</v>
      </c>
      <c r="K204" s="8">
        <v>800.0</v>
      </c>
      <c r="L204" s="8">
        <v>1000.0</v>
      </c>
      <c r="M204" s="8">
        <v>49000.0</v>
      </c>
      <c r="N204" s="7">
        <v>42357.0</v>
      </c>
      <c r="O204" s="8" t="s">
        <v>127</v>
      </c>
      <c r="S204" s="8" t="s">
        <v>32</v>
      </c>
    </row>
    <row r="205">
      <c r="A205" s="8">
        <v>204.0</v>
      </c>
      <c r="B205" s="8" t="s">
        <v>437</v>
      </c>
      <c r="C205" s="8" t="s">
        <v>21</v>
      </c>
      <c r="D205" s="8">
        <v>84.0</v>
      </c>
      <c r="E205" s="8">
        <v>60.0</v>
      </c>
      <c r="H205" s="8" t="s">
        <v>55</v>
      </c>
      <c r="I205" s="9">
        <v>46143.34128472222</v>
      </c>
      <c r="K205" s="8">
        <v>5200.0</v>
      </c>
      <c r="L205" s="8">
        <v>15000.0</v>
      </c>
      <c r="M205" s="8">
        <v>71000.0</v>
      </c>
      <c r="N205" s="7">
        <v>42631.0</v>
      </c>
      <c r="O205" s="8" t="s">
        <v>31</v>
      </c>
      <c r="P205" s="8" t="s">
        <v>28</v>
      </c>
      <c r="S205" s="8" t="s">
        <v>32</v>
      </c>
    </row>
    <row r="206">
      <c r="A206" s="8">
        <v>205.0</v>
      </c>
      <c r="B206" s="8" t="s">
        <v>1647</v>
      </c>
      <c r="C206" s="8" t="s">
        <v>21</v>
      </c>
      <c r="D206" s="8">
        <v>65.0</v>
      </c>
      <c r="E206" s="8">
        <v>60.0</v>
      </c>
      <c r="H206" s="8" t="s">
        <v>1183</v>
      </c>
      <c r="I206" s="9">
        <v>46161.422268518516</v>
      </c>
      <c r="J206" s="8" t="s">
        <v>1649</v>
      </c>
      <c r="K206" s="8">
        <v>60.0</v>
      </c>
      <c r="L206" s="8">
        <v>3200.0</v>
      </c>
      <c r="M206" s="8">
        <v>81000.0</v>
      </c>
      <c r="N206" s="7">
        <v>42465.0</v>
      </c>
      <c r="O206" s="8" t="s">
        <v>26</v>
      </c>
      <c r="P206" s="8" t="s">
        <v>28</v>
      </c>
      <c r="S206" s="8" t="s">
        <v>782</v>
      </c>
    </row>
    <row r="207">
      <c r="A207" s="8">
        <v>206.0</v>
      </c>
      <c r="B207" s="8" t="s">
        <v>1653</v>
      </c>
      <c r="C207" s="8" t="s">
        <v>21</v>
      </c>
      <c r="D207" s="8">
        <v>72.0</v>
      </c>
      <c r="E207" s="8">
        <v>60.0</v>
      </c>
      <c r="H207" s="8" t="s">
        <v>1654</v>
      </c>
      <c r="I207" s="9">
        <v>46137.20142361111</v>
      </c>
      <c r="K207" s="8">
        <v>7500.0</v>
      </c>
      <c r="L207" s="8">
        <v>250.0</v>
      </c>
      <c r="M207" s="8">
        <v>805000.0</v>
      </c>
      <c r="N207" s="7">
        <v>44138.0</v>
      </c>
      <c r="O207" s="8" t="s">
        <v>107</v>
      </c>
      <c r="P207" s="8" t="s">
        <v>938</v>
      </c>
      <c r="S207" s="8" t="s">
        <v>32</v>
      </c>
    </row>
    <row r="208">
      <c r="A208" s="8">
        <v>207.0</v>
      </c>
      <c r="B208" s="8" t="s">
        <v>447</v>
      </c>
      <c r="C208" s="8" t="s">
        <v>21</v>
      </c>
      <c r="D208" s="8">
        <v>78.0</v>
      </c>
      <c r="E208" s="8">
        <v>60.0</v>
      </c>
      <c r="H208" s="8" t="s">
        <v>20</v>
      </c>
      <c r="I208" s="9">
        <v>46160.97094907407</v>
      </c>
      <c r="J208" s="8" t="s">
        <v>450</v>
      </c>
      <c r="K208" s="8">
        <v>3000.0</v>
      </c>
      <c r="L208" s="8">
        <v>1400.0</v>
      </c>
      <c r="M208" s="8">
        <v>474000.0</v>
      </c>
      <c r="N208" s="7">
        <v>42891.0</v>
      </c>
      <c r="O208" s="8" t="s">
        <v>107</v>
      </c>
      <c r="P208" s="8" t="s">
        <v>28</v>
      </c>
      <c r="S208" s="8" t="s">
        <v>32</v>
      </c>
    </row>
    <row r="209">
      <c r="A209" s="8">
        <v>208.0</v>
      </c>
      <c r="B209" s="8" t="s">
        <v>452</v>
      </c>
      <c r="C209" s="8" t="s">
        <v>21</v>
      </c>
      <c r="D209" s="8">
        <v>76.0</v>
      </c>
      <c r="E209" s="8">
        <v>60.0</v>
      </c>
      <c r="H209" s="8" t="s">
        <v>123</v>
      </c>
      <c r="I209" s="9">
        <v>46144.548530092594</v>
      </c>
      <c r="J209" s="8" t="s">
        <v>96</v>
      </c>
      <c r="K209" s="8">
        <v>450.0</v>
      </c>
      <c r="L209" s="8">
        <v>800.0</v>
      </c>
      <c r="M209" s="8">
        <v>201000.0</v>
      </c>
      <c r="N209" s="7">
        <v>43868.0</v>
      </c>
      <c r="O209" s="8" t="s">
        <v>107</v>
      </c>
      <c r="P209" s="8" t="s">
        <v>28</v>
      </c>
      <c r="S209" s="8" t="s">
        <v>32</v>
      </c>
    </row>
    <row r="210">
      <c r="A210" s="8">
        <v>209.0</v>
      </c>
      <c r="B210" s="8" t="s">
        <v>1661</v>
      </c>
      <c r="C210" s="8" t="s">
        <v>21</v>
      </c>
      <c r="D210" s="8">
        <v>0.0</v>
      </c>
      <c r="E210" s="8">
        <v>50.0</v>
      </c>
      <c r="H210" s="8" t="s">
        <v>762</v>
      </c>
      <c r="I210" s="9">
        <v>46124.573530092595</v>
      </c>
      <c r="J210" s="8" t="s">
        <v>90</v>
      </c>
      <c r="K210" s="8">
        <v>50.0</v>
      </c>
      <c r="L210" s="8">
        <v>5800.0</v>
      </c>
      <c r="M210" s="8">
        <v>5800.0</v>
      </c>
      <c r="N210" s="7">
        <v>43352.0</v>
      </c>
      <c r="O210" s="8" t="s">
        <v>1665</v>
      </c>
      <c r="P210" s="8" t="s">
        <v>28</v>
      </c>
      <c r="Q210" s="8" t="s">
        <v>1666</v>
      </c>
      <c r="R210" s="8">
        <v>121.0</v>
      </c>
      <c r="S210" s="8" t="s">
        <v>800</v>
      </c>
    </row>
    <row r="211">
      <c r="A211" s="8">
        <v>210.0</v>
      </c>
      <c r="B211" s="8" t="s">
        <v>1668</v>
      </c>
      <c r="C211" s="8" t="s">
        <v>21</v>
      </c>
      <c r="D211" s="8">
        <v>1.0</v>
      </c>
      <c r="E211" s="8">
        <v>50.0</v>
      </c>
      <c r="G211" s="8">
        <v>0.94</v>
      </c>
      <c r="H211" s="8" t="s">
        <v>744</v>
      </c>
      <c r="I211" s="9">
        <v>46145.85638888889</v>
      </c>
      <c r="J211" s="8" t="s">
        <v>90</v>
      </c>
      <c r="K211" s="8">
        <v>50.0</v>
      </c>
      <c r="L211" s="8">
        <v>137000.0</v>
      </c>
      <c r="M211" s="8">
        <v>140000.0</v>
      </c>
      <c r="N211" s="7">
        <v>42310.0</v>
      </c>
      <c r="O211" s="8" t="s">
        <v>127</v>
      </c>
      <c r="P211" s="8" t="s">
        <v>28</v>
      </c>
      <c r="Q211" s="8" t="s">
        <v>1671</v>
      </c>
      <c r="R211" s="8" t="s">
        <v>1673</v>
      </c>
      <c r="S211" s="8" t="s">
        <v>748</v>
      </c>
    </row>
    <row r="212">
      <c r="A212" s="8">
        <v>211.0</v>
      </c>
      <c r="B212" s="8" t="s">
        <v>1674</v>
      </c>
      <c r="C212" s="8" t="s">
        <v>21</v>
      </c>
      <c r="D212" s="8">
        <v>24.0</v>
      </c>
      <c r="E212" s="8">
        <v>50.0</v>
      </c>
      <c r="H212" s="8" t="s">
        <v>744</v>
      </c>
      <c r="I212" s="9">
        <v>46088.90591435185</v>
      </c>
      <c r="J212" s="8" t="s">
        <v>1676</v>
      </c>
      <c r="K212" s="8">
        <v>50.0</v>
      </c>
      <c r="L212" s="8">
        <v>145000.0</v>
      </c>
      <c r="M212" s="8">
        <v>149000.0</v>
      </c>
      <c r="N212" s="7">
        <v>42868.0</v>
      </c>
      <c r="O212" s="8" t="s">
        <v>147</v>
      </c>
      <c r="P212" s="8" t="s">
        <v>28</v>
      </c>
      <c r="S212" s="8" t="s">
        <v>32</v>
      </c>
    </row>
    <row r="213">
      <c r="A213" s="8">
        <v>212.0</v>
      </c>
      <c r="B213" s="8" t="s">
        <v>1678</v>
      </c>
      <c r="C213" s="8" t="s">
        <v>21</v>
      </c>
      <c r="D213" s="8">
        <v>0.0</v>
      </c>
      <c r="E213" s="8">
        <v>50.0</v>
      </c>
      <c r="H213" s="8" t="s">
        <v>1678</v>
      </c>
      <c r="I213" s="9">
        <v>46143.34614583333</v>
      </c>
      <c r="J213" s="8" t="s">
        <v>96</v>
      </c>
      <c r="K213" s="8">
        <v>60.0</v>
      </c>
      <c r="L213" s="8">
        <v>30.0</v>
      </c>
      <c r="M213" s="8">
        <v>30.0</v>
      </c>
      <c r="N213" s="7">
        <v>42302.0</v>
      </c>
      <c r="O213" s="8" t="s">
        <v>147</v>
      </c>
      <c r="P213" s="8" t="s">
        <v>28</v>
      </c>
      <c r="S213" s="8" t="s">
        <v>1681</v>
      </c>
    </row>
    <row r="214">
      <c r="A214" s="8">
        <v>213.0</v>
      </c>
      <c r="B214" s="8" t="s">
        <v>1682</v>
      </c>
      <c r="C214" s="8" t="s">
        <v>21</v>
      </c>
      <c r="D214" s="8">
        <v>78.0</v>
      </c>
      <c r="E214" s="8">
        <v>50.0</v>
      </c>
      <c r="H214" s="8" t="s">
        <v>123</v>
      </c>
      <c r="I214" s="9">
        <v>46149.0034375</v>
      </c>
      <c r="K214" s="8">
        <v>60000.0</v>
      </c>
      <c r="L214" s="8">
        <v>900.0</v>
      </c>
      <c r="M214" s="8">
        <v>717000.0</v>
      </c>
      <c r="N214" s="7">
        <v>42248.0</v>
      </c>
      <c r="O214" s="8" t="s">
        <v>147</v>
      </c>
      <c r="P214" s="8" t="s">
        <v>28</v>
      </c>
      <c r="S214" s="8" t="s">
        <v>32</v>
      </c>
    </row>
    <row r="215">
      <c r="A215" s="8">
        <v>214.0</v>
      </c>
      <c r="B215" s="8" t="s">
        <v>1686</v>
      </c>
      <c r="C215" s="8" t="s">
        <v>21</v>
      </c>
      <c r="D215" s="8">
        <v>75.0</v>
      </c>
      <c r="E215" s="8">
        <v>50.0</v>
      </c>
      <c r="H215" s="8" t="s">
        <v>398</v>
      </c>
      <c r="I215" s="9">
        <v>46161.914375</v>
      </c>
      <c r="J215" s="8" t="s">
        <v>90</v>
      </c>
      <c r="K215" s="8">
        <v>91000.0</v>
      </c>
      <c r="L215" s="8">
        <v>2700.0</v>
      </c>
      <c r="M215" s="8">
        <v>1460000.0</v>
      </c>
      <c r="N215" s="7">
        <v>42250.0</v>
      </c>
      <c r="O215" s="8" t="s">
        <v>147</v>
      </c>
      <c r="P215" s="8" t="s">
        <v>28</v>
      </c>
      <c r="S215" s="8" t="s">
        <v>32</v>
      </c>
    </row>
    <row r="216">
      <c r="A216" s="8">
        <v>215.0</v>
      </c>
      <c r="B216" s="8" t="s">
        <v>1689</v>
      </c>
      <c r="C216" s="8" t="s">
        <v>21</v>
      </c>
      <c r="D216" s="8">
        <v>62.0</v>
      </c>
      <c r="E216" s="8">
        <v>50.0</v>
      </c>
      <c r="H216" s="8" t="s">
        <v>1183</v>
      </c>
      <c r="I216" s="9">
        <v>46085.47074074074</v>
      </c>
      <c r="J216" s="8" t="s">
        <v>96</v>
      </c>
      <c r="K216" s="8">
        <v>60.0</v>
      </c>
      <c r="L216" s="8">
        <v>3500.0</v>
      </c>
      <c r="M216" s="8">
        <v>3700.0</v>
      </c>
      <c r="N216" s="7">
        <v>42463.0</v>
      </c>
      <c r="O216" s="8" t="s">
        <v>31</v>
      </c>
      <c r="P216" s="8" t="s">
        <v>28</v>
      </c>
      <c r="S216" s="8" t="s">
        <v>934</v>
      </c>
    </row>
    <row r="217">
      <c r="A217" s="8">
        <v>216.0</v>
      </c>
      <c r="B217" s="8" t="s">
        <v>478</v>
      </c>
      <c r="C217" s="8" t="s">
        <v>21</v>
      </c>
      <c r="D217" s="8">
        <v>77.0</v>
      </c>
      <c r="E217" s="8">
        <v>50.0</v>
      </c>
      <c r="H217" s="8" t="s">
        <v>123</v>
      </c>
      <c r="I217" s="9">
        <v>46143.65200231481</v>
      </c>
      <c r="J217" s="8" t="s">
        <v>90</v>
      </c>
      <c r="K217" s="8">
        <v>6900.0</v>
      </c>
      <c r="L217" s="8">
        <v>5400.0</v>
      </c>
      <c r="M217" s="8">
        <v>508000.0</v>
      </c>
      <c r="N217" s="7">
        <v>42516.0</v>
      </c>
      <c r="O217" s="8" t="s">
        <v>147</v>
      </c>
      <c r="P217" s="8" t="s">
        <v>28</v>
      </c>
      <c r="S217" s="8" t="s">
        <v>32</v>
      </c>
    </row>
    <row r="218">
      <c r="A218" s="8">
        <v>217.0</v>
      </c>
      <c r="B218" s="8" t="s">
        <v>1695</v>
      </c>
      <c r="C218" s="8" t="s">
        <v>21</v>
      </c>
      <c r="D218" s="8">
        <v>0.0</v>
      </c>
      <c r="E218" s="8">
        <v>50.0</v>
      </c>
      <c r="H218" s="8" t="s">
        <v>1697</v>
      </c>
      <c r="I218" s="9">
        <v>46143.167974537035</v>
      </c>
      <c r="J218" s="8" t="s">
        <v>96</v>
      </c>
      <c r="K218" s="8">
        <v>50.0</v>
      </c>
      <c r="L218" s="8">
        <v>90.0</v>
      </c>
      <c r="M218" s="8">
        <v>90.0</v>
      </c>
      <c r="N218" s="7">
        <v>42819.0</v>
      </c>
      <c r="O218" s="8" t="s">
        <v>147</v>
      </c>
      <c r="P218" s="8" t="s">
        <v>28</v>
      </c>
      <c r="S218" s="8" t="s">
        <v>32</v>
      </c>
    </row>
    <row r="219">
      <c r="A219" s="8">
        <v>218.0</v>
      </c>
      <c r="B219" s="8" t="s">
        <v>1699</v>
      </c>
      <c r="C219" s="8" t="s">
        <v>21</v>
      </c>
      <c r="D219" s="8">
        <v>61.0</v>
      </c>
      <c r="E219" s="8">
        <v>50.0</v>
      </c>
      <c r="H219" s="8" t="s">
        <v>1699</v>
      </c>
      <c r="I219" s="9">
        <v>46085.36056712963</v>
      </c>
      <c r="J219" s="8" t="s">
        <v>62</v>
      </c>
      <c r="K219" s="8">
        <v>18000.0</v>
      </c>
      <c r="L219" s="8">
        <v>10.0</v>
      </c>
      <c r="M219" s="8">
        <v>121000.0</v>
      </c>
      <c r="N219" s="7">
        <v>42937.0</v>
      </c>
      <c r="O219" s="8" t="s">
        <v>107</v>
      </c>
      <c r="P219" s="8" t="s">
        <v>28</v>
      </c>
      <c r="S219" s="8" t="s">
        <v>32</v>
      </c>
    </row>
    <row r="220">
      <c r="A220" s="8">
        <v>219.0</v>
      </c>
      <c r="B220" s="8" t="s">
        <v>1704</v>
      </c>
      <c r="C220" s="8" t="s">
        <v>21</v>
      </c>
      <c r="D220" s="8">
        <v>64.0</v>
      </c>
      <c r="E220" s="8">
        <v>50.0</v>
      </c>
      <c r="H220" s="8" t="s">
        <v>1704</v>
      </c>
      <c r="I220" s="9">
        <v>46160.007627314815</v>
      </c>
      <c r="J220" s="8" t="s">
        <v>90</v>
      </c>
      <c r="K220" s="8">
        <v>73000.0</v>
      </c>
      <c r="L220" s="8">
        <v>20.0</v>
      </c>
      <c r="M220" s="8">
        <v>93000.0</v>
      </c>
      <c r="N220" s="7">
        <v>42347.0</v>
      </c>
      <c r="O220" s="8" t="s">
        <v>147</v>
      </c>
      <c r="P220" s="8" t="s">
        <v>28</v>
      </c>
      <c r="S220" s="8" t="s">
        <v>32</v>
      </c>
    </row>
    <row r="221">
      <c r="A221" s="8">
        <v>220.0</v>
      </c>
      <c r="B221" s="8" t="s">
        <v>486</v>
      </c>
      <c r="C221" s="8" t="s">
        <v>21</v>
      </c>
      <c r="D221" s="8">
        <v>17.0</v>
      </c>
      <c r="E221" s="8">
        <v>50.0</v>
      </c>
      <c r="H221" s="8" t="s">
        <v>60</v>
      </c>
      <c r="I221" s="9">
        <v>46126.708136574074</v>
      </c>
      <c r="J221" s="8" t="s">
        <v>62</v>
      </c>
      <c r="K221" s="8">
        <v>300.0</v>
      </c>
      <c r="L221" s="8">
        <v>900.0</v>
      </c>
      <c r="M221" s="8">
        <v>1100.0</v>
      </c>
      <c r="N221" s="7">
        <v>43045.0</v>
      </c>
      <c r="O221" s="8" t="s">
        <v>26</v>
      </c>
      <c r="P221" s="8" t="s">
        <v>28</v>
      </c>
      <c r="S221" s="8" t="s">
        <v>32</v>
      </c>
    </row>
    <row r="222">
      <c r="A222" s="8">
        <v>221.0</v>
      </c>
      <c r="B222" s="10" t="s">
        <v>1711</v>
      </c>
      <c r="C222" s="8" t="s">
        <v>21</v>
      </c>
      <c r="D222" s="8">
        <v>68.0</v>
      </c>
      <c r="E222" s="8">
        <v>50.0</v>
      </c>
      <c r="H222" s="8" t="s">
        <v>20</v>
      </c>
      <c r="I222" s="9">
        <v>46122.795752314814</v>
      </c>
      <c r="J222" s="8" t="s">
        <v>90</v>
      </c>
      <c r="K222" s="8">
        <v>500.0</v>
      </c>
      <c r="L222" s="8">
        <v>1000.0</v>
      </c>
      <c r="M222" s="8">
        <v>49000.0</v>
      </c>
      <c r="N222" s="7">
        <v>42251.0</v>
      </c>
      <c r="O222" s="8" t="s">
        <v>127</v>
      </c>
      <c r="S222" s="8" t="s">
        <v>32</v>
      </c>
    </row>
    <row r="223">
      <c r="A223" s="8">
        <v>222.0</v>
      </c>
      <c r="B223" s="8" t="s">
        <v>1722</v>
      </c>
      <c r="C223" s="8" t="s">
        <v>21</v>
      </c>
      <c r="D223" s="8">
        <v>34.0</v>
      </c>
      <c r="E223" s="8">
        <v>50.0</v>
      </c>
      <c r="H223" s="8" t="s">
        <v>755</v>
      </c>
      <c r="I223" s="9">
        <v>46155.67854166667</v>
      </c>
      <c r="J223" s="8" t="s">
        <v>62</v>
      </c>
      <c r="K223" s="8">
        <v>50.0</v>
      </c>
      <c r="L223" s="8">
        <v>16000.0</v>
      </c>
      <c r="M223" s="8">
        <v>16000.0</v>
      </c>
      <c r="N223" s="7">
        <v>43468.0</v>
      </c>
      <c r="O223" s="8" t="s">
        <v>925</v>
      </c>
      <c r="P223" s="8" t="s">
        <v>28</v>
      </c>
      <c r="S223" s="8" t="s">
        <v>800</v>
      </c>
    </row>
    <row r="224">
      <c r="A224" s="8">
        <v>223.0</v>
      </c>
      <c r="B224" s="8" t="s">
        <v>1726</v>
      </c>
      <c r="C224" s="8" t="s">
        <v>21</v>
      </c>
      <c r="D224" s="8">
        <v>0.0</v>
      </c>
      <c r="E224" s="8">
        <v>50.0</v>
      </c>
      <c r="H224" s="8" t="s">
        <v>755</v>
      </c>
      <c r="I224" s="9">
        <v>46141.674259259256</v>
      </c>
      <c r="J224" s="8" t="s">
        <v>62</v>
      </c>
      <c r="K224" s="8">
        <v>50.0</v>
      </c>
      <c r="L224" s="8">
        <v>15000.0</v>
      </c>
      <c r="M224" s="8">
        <v>16000.0</v>
      </c>
      <c r="N224" s="7">
        <v>42336.0</v>
      </c>
      <c r="O224" s="8" t="s">
        <v>147</v>
      </c>
      <c r="P224" s="8" t="s">
        <v>28</v>
      </c>
      <c r="S224" s="8" t="s">
        <v>32</v>
      </c>
    </row>
    <row r="225">
      <c r="A225" s="8">
        <v>224.0</v>
      </c>
      <c r="B225" s="8" t="s">
        <v>1730</v>
      </c>
      <c r="C225" s="8" t="s">
        <v>21</v>
      </c>
      <c r="D225" s="8">
        <v>75.0</v>
      </c>
      <c r="E225" s="8">
        <v>50.0</v>
      </c>
      <c r="H225" s="8" t="s">
        <v>398</v>
      </c>
      <c r="I225" s="9">
        <v>46123.5096412037</v>
      </c>
      <c r="K225" s="8">
        <v>13000.0</v>
      </c>
      <c r="L225" s="8">
        <v>600.0</v>
      </c>
      <c r="M225" s="8">
        <v>356000.0</v>
      </c>
      <c r="N225" s="7">
        <v>43868.0</v>
      </c>
      <c r="O225" s="8" t="s">
        <v>147</v>
      </c>
      <c r="P225" s="8" t="s">
        <v>1174</v>
      </c>
      <c r="S225" s="8" t="s">
        <v>32</v>
      </c>
    </row>
    <row r="226">
      <c r="A226" s="8">
        <v>225.0</v>
      </c>
      <c r="B226" s="8" t="s">
        <v>1733</v>
      </c>
      <c r="C226" s="8" t="s">
        <v>21</v>
      </c>
      <c r="D226" s="8">
        <v>22.0</v>
      </c>
      <c r="E226" s="8">
        <v>50.0</v>
      </c>
      <c r="H226" s="8" t="s">
        <v>720</v>
      </c>
      <c r="I226" s="9">
        <v>46089.496157407404</v>
      </c>
      <c r="J226" s="8" t="s">
        <v>96</v>
      </c>
      <c r="K226" s="8">
        <v>5300.0</v>
      </c>
      <c r="L226" s="8">
        <v>50.0</v>
      </c>
      <c r="M226" s="8">
        <v>69000.0</v>
      </c>
      <c r="N226" s="7">
        <v>44137.0</v>
      </c>
      <c r="O226" s="8" t="s">
        <v>147</v>
      </c>
      <c r="P226" s="8" t="s">
        <v>28</v>
      </c>
      <c r="S226" s="8" t="s">
        <v>32</v>
      </c>
    </row>
    <row r="227">
      <c r="A227" s="8">
        <v>226.0</v>
      </c>
      <c r="B227" s="8" t="s">
        <v>494</v>
      </c>
      <c r="C227" s="8" t="s">
        <v>21</v>
      </c>
      <c r="D227" s="8">
        <v>78.0</v>
      </c>
      <c r="E227" s="8">
        <v>40.0</v>
      </c>
      <c r="F227" s="8">
        <v>0.03</v>
      </c>
      <c r="H227" s="8" t="s">
        <v>494</v>
      </c>
      <c r="I227" s="9">
        <v>46160.50954861111</v>
      </c>
      <c r="J227" s="8" t="s">
        <v>96</v>
      </c>
      <c r="K227" s="8">
        <v>90000.0</v>
      </c>
      <c r="L227" s="8">
        <v>20.0</v>
      </c>
      <c r="M227" s="8">
        <v>207000.0</v>
      </c>
      <c r="N227" s="7">
        <v>43399.0</v>
      </c>
      <c r="O227" s="8" t="s">
        <v>26</v>
      </c>
      <c r="P227" s="8" t="s">
        <v>28</v>
      </c>
      <c r="S227" s="8" t="s">
        <v>32</v>
      </c>
    </row>
    <row r="228">
      <c r="A228" s="8">
        <v>227.0</v>
      </c>
      <c r="B228" s="8" t="s">
        <v>1739</v>
      </c>
      <c r="C228" s="8" t="s">
        <v>21</v>
      </c>
      <c r="D228" s="8">
        <v>73.0</v>
      </c>
      <c r="E228" s="8">
        <v>40.0</v>
      </c>
      <c r="H228" s="8" t="s">
        <v>701</v>
      </c>
      <c r="I228" s="9">
        <v>46085.531168981484</v>
      </c>
      <c r="K228" s="8">
        <v>18000.0</v>
      </c>
      <c r="L228" s="8">
        <v>100.0</v>
      </c>
      <c r="M228" s="8">
        <v>187000.0</v>
      </c>
      <c r="N228" s="7">
        <v>43936.0</v>
      </c>
      <c r="O228" s="8" t="s">
        <v>147</v>
      </c>
      <c r="P228" s="8" t="s">
        <v>28</v>
      </c>
      <c r="S228" s="8" t="s">
        <v>32</v>
      </c>
    </row>
    <row r="229">
      <c r="A229" s="8">
        <v>228.0</v>
      </c>
      <c r="B229" s="8" t="s">
        <v>1742</v>
      </c>
      <c r="C229" s="8" t="s">
        <v>21</v>
      </c>
      <c r="D229" s="8">
        <v>24.0</v>
      </c>
      <c r="E229" s="8">
        <v>40.0</v>
      </c>
      <c r="H229" s="8" t="s">
        <v>744</v>
      </c>
      <c r="I229" s="9">
        <v>46154.9422337963</v>
      </c>
      <c r="J229" s="8" t="s">
        <v>90</v>
      </c>
      <c r="K229" s="8">
        <v>200.0</v>
      </c>
      <c r="L229" s="8">
        <v>131000.0</v>
      </c>
      <c r="M229" s="8">
        <v>135000.0</v>
      </c>
      <c r="N229" s="7">
        <v>43889.0</v>
      </c>
      <c r="O229" s="8" t="s">
        <v>1745</v>
      </c>
      <c r="P229" s="8" t="s">
        <v>28</v>
      </c>
      <c r="S229" s="8" t="s">
        <v>782</v>
      </c>
    </row>
    <row r="230">
      <c r="A230" s="8">
        <v>229.0</v>
      </c>
      <c r="B230" s="8" t="s">
        <v>1747</v>
      </c>
      <c r="C230" s="8" t="s">
        <v>21</v>
      </c>
      <c r="D230" s="8">
        <v>79.0</v>
      </c>
      <c r="E230" s="8">
        <v>40.0</v>
      </c>
      <c r="F230" s="8">
        <v>0.06</v>
      </c>
      <c r="H230" s="8" t="s">
        <v>857</v>
      </c>
      <c r="I230" s="9">
        <v>46089.8344212963</v>
      </c>
      <c r="J230" s="8" t="s">
        <v>58</v>
      </c>
      <c r="K230" s="8">
        <v>911000.0</v>
      </c>
      <c r="L230" s="8">
        <v>1600.0</v>
      </c>
      <c r="M230" s="8">
        <v>4320000.0</v>
      </c>
      <c r="N230" s="7">
        <v>42278.0</v>
      </c>
      <c r="O230" s="8" t="s">
        <v>26</v>
      </c>
      <c r="P230" s="8" t="s">
        <v>28</v>
      </c>
      <c r="S230" s="8" t="s">
        <v>32</v>
      </c>
    </row>
    <row r="231">
      <c r="A231" s="8">
        <v>230.0</v>
      </c>
      <c r="B231" s="8" t="s">
        <v>1748</v>
      </c>
      <c r="C231" s="8" t="s">
        <v>21</v>
      </c>
      <c r="D231" s="8">
        <v>76.0</v>
      </c>
      <c r="E231" s="8">
        <v>40.0</v>
      </c>
      <c r="H231" s="8" t="s">
        <v>398</v>
      </c>
      <c r="I231" s="9">
        <v>46089.23226851852</v>
      </c>
      <c r="K231" s="8">
        <v>700.0</v>
      </c>
      <c r="L231" s="8">
        <v>600.0</v>
      </c>
      <c r="M231" s="8">
        <v>305000.0</v>
      </c>
      <c r="N231" s="7">
        <v>44356.0</v>
      </c>
      <c r="O231" s="8" t="s">
        <v>147</v>
      </c>
      <c r="P231" s="8" t="s">
        <v>28</v>
      </c>
      <c r="S231" s="8" t="s">
        <v>32</v>
      </c>
    </row>
    <row r="232">
      <c r="A232" s="8">
        <v>231.0</v>
      </c>
      <c r="B232" s="8" t="s">
        <v>1751</v>
      </c>
      <c r="C232" s="8" t="s">
        <v>21</v>
      </c>
      <c r="D232" s="8">
        <v>72.0</v>
      </c>
      <c r="E232" s="8">
        <v>40.0</v>
      </c>
      <c r="H232" s="8" t="s">
        <v>744</v>
      </c>
      <c r="I232" s="9">
        <v>46160.66605324074</v>
      </c>
      <c r="J232" s="8" t="s">
        <v>25</v>
      </c>
      <c r="K232" s="8">
        <v>60.0</v>
      </c>
      <c r="L232" s="8">
        <v>131000.0</v>
      </c>
      <c r="M232" s="8">
        <v>135000.0</v>
      </c>
      <c r="N232" s="7">
        <v>43843.0</v>
      </c>
      <c r="O232" s="8" t="s">
        <v>1754</v>
      </c>
      <c r="P232" s="8" t="s">
        <v>28</v>
      </c>
      <c r="S232" s="8" t="s">
        <v>1755</v>
      </c>
    </row>
    <row r="233">
      <c r="A233" s="8">
        <v>232.0</v>
      </c>
      <c r="B233" s="8" t="s">
        <v>1756</v>
      </c>
      <c r="C233" s="8" t="s">
        <v>21</v>
      </c>
      <c r="D233" s="8">
        <v>75.0</v>
      </c>
      <c r="E233" s="8">
        <v>40.0</v>
      </c>
      <c r="H233" s="8" t="s">
        <v>398</v>
      </c>
      <c r="I233" s="9">
        <v>46146.21571759259</v>
      </c>
      <c r="K233" s="8">
        <v>14000.0</v>
      </c>
      <c r="L233" s="8">
        <v>700.0</v>
      </c>
      <c r="M233" s="8">
        <v>329000.0</v>
      </c>
      <c r="N233" s="7">
        <v>43972.0</v>
      </c>
      <c r="O233" s="8" t="s">
        <v>107</v>
      </c>
      <c r="P233" s="8" t="s">
        <v>28</v>
      </c>
      <c r="S233" s="8" t="s">
        <v>32</v>
      </c>
    </row>
    <row r="234">
      <c r="A234" s="8">
        <v>233.0</v>
      </c>
      <c r="B234" s="8" t="s">
        <v>1759</v>
      </c>
      <c r="C234" s="8" t="s">
        <v>21</v>
      </c>
      <c r="D234" s="8">
        <v>0.0</v>
      </c>
      <c r="E234" s="8">
        <v>40.0</v>
      </c>
      <c r="H234" s="8" t="s">
        <v>744</v>
      </c>
      <c r="I234" s="9">
        <v>46123.02170138889</v>
      </c>
      <c r="J234" s="8" t="s">
        <v>62</v>
      </c>
      <c r="K234" s="8">
        <v>40.0</v>
      </c>
      <c r="L234" s="8">
        <v>136000.0</v>
      </c>
      <c r="M234" s="8">
        <v>140000.0</v>
      </c>
      <c r="N234" s="7">
        <v>43895.0</v>
      </c>
      <c r="O234" s="8" t="s">
        <v>147</v>
      </c>
      <c r="P234" s="8" t="s">
        <v>28</v>
      </c>
      <c r="S234" s="8" t="s">
        <v>32</v>
      </c>
    </row>
    <row r="235">
      <c r="A235" s="8">
        <v>234.0</v>
      </c>
      <c r="B235" s="8" t="s">
        <v>1763</v>
      </c>
      <c r="C235" s="8" t="s">
        <v>21</v>
      </c>
      <c r="D235" s="8">
        <v>67.0</v>
      </c>
      <c r="E235" s="8">
        <v>40.0</v>
      </c>
      <c r="H235" s="8" t="s">
        <v>1763</v>
      </c>
      <c r="I235" s="9">
        <v>46150.20730324074</v>
      </c>
      <c r="J235" s="8" t="s">
        <v>90</v>
      </c>
      <c r="K235" s="8">
        <v>1900.0</v>
      </c>
      <c r="L235" s="8">
        <v>10.0</v>
      </c>
      <c r="M235" s="8">
        <v>1200.0</v>
      </c>
      <c r="N235" s="7">
        <v>43870.0</v>
      </c>
      <c r="O235" s="8" t="s">
        <v>26</v>
      </c>
      <c r="P235" s="8" t="s">
        <v>28</v>
      </c>
      <c r="S235" s="8" t="s">
        <v>32</v>
      </c>
    </row>
    <row r="236">
      <c r="A236" s="8">
        <v>235.0</v>
      </c>
      <c r="B236" s="8" t="s">
        <v>502</v>
      </c>
      <c r="C236" s="8" t="s">
        <v>21</v>
      </c>
      <c r="D236" s="8">
        <v>65.0</v>
      </c>
      <c r="E236" s="8">
        <v>40.0</v>
      </c>
      <c r="H236" s="8" t="s">
        <v>19</v>
      </c>
      <c r="I236" s="9">
        <v>46163.15423611111</v>
      </c>
      <c r="J236" s="8" t="s">
        <v>96</v>
      </c>
      <c r="K236" s="8">
        <v>350.0</v>
      </c>
      <c r="L236" s="8">
        <v>26000.0</v>
      </c>
      <c r="M236" s="8">
        <v>27000.0</v>
      </c>
      <c r="N236" s="7">
        <v>42919.0</v>
      </c>
      <c r="O236" s="8" t="s">
        <v>26</v>
      </c>
      <c r="P236" s="8" t="s">
        <v>28</v>
      </c>
      <c r="S236" s="8" t="s">
        <v>32</v>
      </c>
    </row>
    <row r="237">
      <c r="A237" s="8">
        <v>236.0</v>
      </c>
      <c r="B237" s="8" t="s">
        <v>119</v>
      </c>
      <c r="C237" s="8" t="s">
        <v>21</v>
      </c>
      <c r="D237" s="8">
        <v>77.0</v>
      </c>
      <c r="E237" s="8">
        <v>40.0</v>
      </c>
      <c r="H237" s="8" t="s">
        <v>123</v>
      </c>
      <c r="I237" s="9">
        <v>46088.24863425926</v>
      </c>
      <c r="J237" s="8" t="s">
        <v>58</v>
      </c>
      <c r="K237" s="8">
        <v>27000.0</v>
      </c>
      <c r="L237" s="8">
        <v>5100.0</v>
      </c>
      <c r="M237" s="8">
        <v>584000.0</v>
      </c>
      <c r="N237" s="7">
        <v>42253.0</v>
      </c>
      <c r="O237" s="8" t="s">
        <v>31</v>
      </c>
      <c r="P237" s="8" t="s">
        <v>28</v>
      </c>
      <c r="S237" s="8" t="s">
        <v>32</v>
      </c>
    </row>
    <row r="238">
      <c r="A238" s="8">
        <v>237.0</v>
      </c>
      <c r="B238" s="8" t="s">
        <v>508</v>
      </c>
      <c r="C238" s="8" t="s">
        <v>21</v>
      </c>
      <c r="D238" s="8">
        <v>78.0</v>
      </c>
      <c r="E238" s="8">
        <v>40.0</v>
      </c>
      <c r="H238" s="8" t="s">
        <v>123</v>
      </c>
      <c r="I238" s="9">
        <v>46100.971550925926</v>
      </c>
      <c r="K238" s="8">
        <v>70.0</v>
      </c>
      <c r="L238" s="8">
        <v>5100.0</v>
      </c>
      <c r="M238" s="8">
        <v>588000.0</v>
      </c>
      <c r="N238" s="7">
        <v>43868.0</v>
      </c>
      <c r="O238" s="8" t="s">
        <v>107</v>
      </c>
      <c r="P238" s="8" t="s">
        <v>28</v>
      </c>
      <c r="S238" s="8" t="s">
        <v>32</v>
      </c>
    </row>
    <row r="239">
      <c r="A239" s="8">
        <v>238.0</v>
      </c>
      <c r="B239" s="8" t="s">
        <v>1776</v>
      </c>
      <c r="C239" s="8" t="s">
        <v>21</v>
      </c>
      <c r="D239" s="8">
        <v>0.0</v>
      </c>
      <c r="E239" s="8">
        <v>40.0</v>
      </c>
      <c r="H239" s="8" t="s">
        <v>744</v>
      </c>
      <c r="I239" s="9">
        <v>46125.923472222225</v>
      </c>
      <c r="J239" s="8" t="s">
        <v>62</v>
      </c>
      <c r="K239" s="8">
        <v>40.0</v>
      </c>
      <c r="L239" s="8">
        <v>136000.0</v>
      </c>
      <c r="M239" s="8">
        <v>140000.0</v>
      </c>
      <c r="N239" s="7">
        <v>43032.0</v>
      </c>
      <c r="O239" s="8" t="s">
        <v>26</v>
      </c>
      <c r="P239" s="8" t="s">
        <v>28</v>
      </c>
      <c r="S239" s="8" t="s">
        <v>782</v>
      </c>
    </row>
    <row r="240">
      <c r="A240" s="8">
        <v>239.0</v>
      </c>
      <c r="B240" s="8" t="s">
        <v>512</v>
      </c>
      <c r="C240" s="8" t="s">
        <v>21</v>
      </c>
      <c r="D240" s="8">
        <v>75.0</v>
      </c>
      <c r="E240" s="8">
        <v>40.0</v>
      </c>
      <c r="H240" s="8" t="s">
        <v>398</v>
      </c>
      <c r="I240" s="9">
        <v>46159.65021990741</v>
      </c>
      <c r="K240" s="8">
        <v>200.0</v>
      </c>
      <c r="L240" s="8">
        <v>700.0</v>
      </c>
      <c r="M240" s="8">
        <v>344000.0</v>
      </c>
      <c r="N240" s="7">
        <v>43868.0</v>
      </c>
      <c r="O240" s="8" t="s">
        <v>107</v>
      </c>
      <c r="P240" s="8" t="s">
        <v>28</v>
      </c>
      <c r="S240" s="8" t="s">
        <v>32</v>
      </c>
    </row>
    <row r="241">
      <c r="A241" s="8">
        <v>240.0</v>
      </c>
      <c r="B241" s="8" t="s">
        <v>1784</v>
      </c>
      <c r="C241" s="8" t="s">
        <v>21</v>
      </c>
      <c r="D241" s="8">
        <v>78.0</v>
      </c>
      <c r="E241" s="8">
        <v>40.0</v>
      </c>
      <c r="H241" s="8" t="s">
        <v>930</v>
      </c>
      <c r="I241" s="9">
        <v>46125.9825462963</v>
      </c>
      <c r="K241" s="8">
        <v>40.0</v>
      </c>
      <c r="L241" s="8">
        <v>1500.0</v>
      </c>
      <c r="M241" s="8">
        <v>2000.0</v>
      </c>
      <c r="N241" s="7">
        <v>45261.0</v>
      </c>
      <c r="O241" s="8" t="s">
        <v>31</v>
      </c>
      <c r="P241" s="8" t="s">
        <v>28</v>
      </c>
      <c r="S241" s="8" t="s">
        <v>934</v>
      </c>
    </row>
    <row r="242">
      <c r="A242" s="8">
        <v>241.0</v>
      </c>
      <c r="B242" s="8" t="s">
        <v>516</v>
      </c>
      <c r="C242" s="8" t="s">
        <v>21</v>
      </c>
      <c r="D242" s="8">
        <v>79.0</v>
      </c>
      <c r="E242" s="8">
        <v>40.0</v>
      </c>
      <c r="H242" s="8" t="s">
        <v>123</v>
      </c>
      <c r="I242" s="9">
        <v>46142.47016203704</v>
      </c>
      <c r="J242" s="8" t="s">
        <v>90</v>
      </c>
      <c r="K242" s="8">
        <v>11000.0</v>
      </c>
      <c r="L242" s="8">
        <v>5400.0</v>
      </c>
      <c r="M242" s="8">
        <v>529000.0</v>
      </c>
      <c r="N242" s="7">
        <v>42384.0</v>
      </c>
      <c r="O242" s="8" t="s">
        <v>107</v>
      </c>
      <c r="P242" s="8" t="s">
        <v>28</v>
      </c>
      <c r="S242" s="8" t="s">
        <v>32</v>
      </c>
    </row>
    <row r="243">
      <c r="A243" s="8">
        <v>242.0</v>
      </c>
      <c r="B243" s="8" t="s">
        <v>1790</v>
      </c>
      <c r="C243" s="8" t="s">
        <v>21</v>
      </c>
      <c r="D243" s="8">
        <v>76.0</v>
      </c>
      <c r="E243" s="8">
        <v>40.0</v>
      </c>
      <c r="H243" s="8" t="s">
        <v>123</v>
      </c>
      <c r="I243" s="9">
        <v>46162.12650462963</v>
      </c>
      <c r="J243" s="8" t="s">
        <v>1792</v>
      </c>
      <c r="K243" s="8">
        <v>15000.0</v>
      </c>
      <c r="L243" s="8">
        <v>1300.0</v>
      </c>
      <c r="M243" s="8">
        <v>175000.0</v>
      </c>
      <c r="N243" s="7">
        <v>44011.0</v>
      </c>
      <c r="O243" s="8" t="s">
        <v>107</v>
      </c>
      <c r="P243" s="8" t="s">
        <v>28</v>
      </c>
      <c r="S243" s="8" t="s">
        <v>32</v>
      </c>
    </row>
    <row r="244">
      <c r="A244" s="8">
        <v>243.0</v>
      </c>
      <c r="B244" s="8" t="s">
        <v>520</v>
      </c>
      <c r="C244" s="8" t="s">
        <v>21</v>
      </c>
      <c r="D244" s="8">
        <v>76.0</v>
      </c>
      <c r="E244" s="8">
        <v>40.0</v>
      </c>
      <c r="H244" s="8" t="s">
        <v>398</v>
      </c>
      <c r="I244" s="9">
        <v>46084.66798611111</v>
      </c>
      <c r="J244" s="8" t="s">
        <v>90</v>
      </c>
      <c r="K244" s="8">
        <v>91000.0</v>
      </c>
      <c r="L244" s="8">
        <v>600.0</v>
      </c>
      <c r="M244" s="8">
        <v>296000.0</v>
      </c>
      <c r="N244" s="7">
        <v>43275.0</v>
      </c>
      <c r="O244" s="8" t="s">
        <v>147</v>
      </c>
      <c r="P244" s="8" t="s">
        <v>28</v>
      </c>
      <c r="S244" s="8" t="s">
        <v>32</v>
      </c>
    </row>
    <row r="245">
      <c r="A245" s="8">
        <v>244.0</v>
      </c>
      <c r="B245" s="8" t="s">
        <v>1797</v>
      </c>
      <c r="C245" s="8" t="s">
        <v>21</v>
      </c>
      <c r="D245" s="8">
        <v>68.0</v>
      </c>
      <c r="E245" s="8">
        <v>40.0</v>
      </c>
      <c r="H245" s="8" t="s">
        <v>1258</v>
      </c>
      <c r="I245" s="9">
        <v>46122.90725694445</v>
      </c>
      <c r="J245" s="8" t="s">
        <v>82</v>
      </c>
      <c r="K245" s="8">
        <v>12000.0</v>
      </c>
      <c r="L245" s="8">
        <v>60.0</v>
      </c>
      <c r="M245" s="8">
        <v>96000.0</v>
      </c>
      <c r="N245" s="7">
        <v>44765.0</v>
      </c>
      <c r="O245" s="8" t="s">
        <v>147</v>
      </c>
      <c r="P245" s="8" t="s">
        <v>938</v>
      </c>
      <c r="S245" s="8" t="s">
        <v>32</v>
      </c>
    </row>
    <row r="246">
      <c r="A246" s="8">
        <v>245.0</v>
      </c>
      <c r="B246" s="8" t="s">
        <v>1800</v>
      </c>
      <c r="C246" s="8" t="s">
        <v>21</v>
      </c>
      <c r="D246" s="8">
        <v>75.0</v>
      </c>
      <c r="E246" s="8">
        <v>40.0</v>
      </c>
      <c r="H246" s="8" t="s">
        <v>1800</v>
      </c>
      <c r="I246" s="9">
        <v>46107.3783912037</v>
      </c>
      <c r="K246" s="8">
        <v>96000.0</v>
      </c>
      <c r="L246" s="8">
        <v>20.0</v>
      </c>
      <c r="M246" s="8">
        <v>179000.0</v>
      </c>
      <c r="N246" s="7">
        <v>42485.0</v>
      </c>
      <c r="O246" s="8" t="s">
        <v>147</v>
      </c>
      <c r="P246" s="8" t="s">
        <v>28</v>
      </c>
      <c r="S246" s="8" t="s">
        <v>32</v>
      </c>
    </row>
    <row r="247">
      <c r="A247" s="8">
        <v>246.0</v>
      </c>
      <c r="B247" s="8" t="s">
        <v>1804</v>
      </c>
      <c r="C247" s="8" t="s">
        <v>21</v>
      </c>
      <c r="D247" s="8">
        <v>73.0</v>
      </c>
      <c r="E247" s="8">
        <v>40.0</v>
      </c>
      <c r="H247" s="8" t="s">
        <v>1804</v>
      </c>
      <c r="I247" s="9">
        <v>46100.57224537037</v>
      </c>
      <c r="J247" s="8" t="s">
        <v>148</v>
      </c>
      <c r="K247" s="8">
        <v>23000.0</v>
      </c>
      <c r="L247" s="8">
        <v>60.0</v>
      </c>
      <c r="M247" s="8">
        <v>74000.0</v>
      </c>
      <c r="N247" s="7">
        <v>42306.0</v>
      </c>
      <c r="O247" s="8" t="s">
        <v>147</v>
      </c>
      <c r="P247" s="8" t="s">
        <v>28</v>
      </c>
      <c r="S247" s="8" t="s">
        <v>32</v>
      </c>
    </row>
    <row r="248">
      <c r="A248" s="8">
        <v>247.0</v>
      </c>
      <c r="B248" s="8" t="s">
        <v>1807</v>
      </c>
      <c r="C248" s="8" t="s">
        <v>21</v>
      </c>
      <c r="D248" s="8">
        <v>73.0</v>
      </c>
      <c r="E248" s="8">
        <v>40.0</v>
      </c>
      <c r="H248" s="8" t="s">
        <v>1409</v>
      </c>
      <c r="I248" s="9">
        <v>46124.395532407405</v>
      </c>
      <c r="J248" s="8" t="s">
        <v>90</v>
      </c>
      <c r="K248" s="8">
        <v>700.0</v>
      </c>
      <c r="L248" s="8">
        <v>50.0</v>
      </c>
      <c r="M248" s="8">
        <v>376000.0</v>
      </c>
      <c r="N248" s="7">
        <v>44013.0</v>
      </c>
      <c r="O248" s="8" t="s">
        <v>1314</v>
      </c>
      <c r="P248" s="8" t="s">
        <v>28</v>
      </c>
      <c r="S248" s="8" t="s">
        <v>32</v>
      </c>
    </row>
    <row r="249">
      <c r="A249" s="8">
        <v>248.0</v>
      </c>
      <c r="B249" s="8" t="s">
        <v>1811</v>
      </c>
      <c r="C249" s="8" t="s">
        <v>21</v>
      </c>
      <c r="D249" s="8">
        <v>51.0</v>
      </c>
      <c r="E249" s="8">
        <v>40.0</v>
      </c>
      <c r="H249" s="8" t="s">
        <v>755</v>
      </c>
      <c r="I249" s="9">
        <v>46123.50219907407</v>
      </c>
      <c r="J249" s="8" t="s">
        <v>789</v>
      </c>
      <c r="K249" s="8">
        <v>40.0</v>
      </c>
      <c r="L249" s="8">
        <v>16000.0</v>
      </c>
      <c r="M249" s="8">
        <v>16000.0</v>
      </c>
      <c r="N249" s="7">
        <v>42683.0</v>
      </c>
      <c r="O249" s="8" t="s">
        <v>849</v>
      </c>
      <c r="P249" s="8" t="s">
        <v>28</v>
      </c>
      <c r="S249" s="8" t="s">
        <v>748</v>
      </c>
    </row>
    <row r="250">
      <c r="A250" s="8">
        <v>249.0</v>
      </c>
      <c r="B250" s="8" t="s">
        <v>534</v>
      </c>
      <c r="C250" s="8" t="s">
        <v>21</v>
      </c>
      <c r="D250" s="8">
        <v>63.0</v>
      </c>
      <c r="E250" s="8">
        <v>40.0</v>
      </c>
      <c r="H250" s="8" t="s">
        <v>35</v>
      </c>
      <c r="I250" s="9">
        <v>46127.30511574074</v>
      </c>
      <c r="J250" s="8" t="s">
        <v>450</v>
      </c>
      <c r="K250" s="8">
        <v>60.0</v>
      </c>
      <c r="L250" s="8">
        <v>11000.0</v>
      </c>
      <c r="M250" s="8">
        <v>11000.0</v>
      </c>
      <c r="N250" s="7">
        <v>43276.0</v>
      </c>
      <c r="O250" s="8" t="s">
        <v>31</v>
      </c>
      <c r="P250" s="8" t="s">
        <v>28</v>
      </c>
      <c r="S250" s="8" t="s">
        <v>32</v>
      </c>
    </row>
    <row r="251">
      <c r="A251" s="8">
        <v>250.0</v>
      </c>
      <c r="B251" s="8" t="s">
        <v>1604</v>
      </c>
      <c r="C251" s="8" t="s">
        <v>21</v>
      </c>
      <c r="D251" s="8">
        <v>73.0</v>
      </c>
      <c r="E251" s="8">
        <v>40.0</v>
      </c>
      <c r="H251" s="8" t="s">
        <v>1196</v>
      </c>
      <c r="I251" s="9">
        <v>46156.9233912037</v>
      </c>
      <c r="J251" s="8" t="s">
        <v>90</v>
      </c>
      <c r="K251" s="8">
        <v>65000.0</v>
      </c>
      <c r="L251" s="8">
        <v>70.0</v>
      </c>
      <c r="M251" s="8">
        <v>39000.0</v>
      </c>
      <c r="N251" s="7">
        <v>42261.0</v>
      </c>
      <c r="O251" s="8" t="s">
        <v>147</v>
      </c>
      <c r="P251" s="8" t="s">
        <v>28</v>
      </c>
      <c r="S251" s="8" t="s">
        <v>32</v>
      </c>
    </row>
    <row r="252">
      <c r="A252" s="8">
        <v>251.0</v>
      </c>
      <c r="B252" s="8" t="s">
        <v>538</v>
      </c>
      <c r="C252" s="8" t="s">
        <v>21</v>
      </c>
      <c r="D252" s="8">
        <v>75.0</v>
      </c>
      <c r="E252" s="8">
        <v>40.0</v>
      </c>
      <c r="H252" s="8" t="s">
        <v>398</v>
      </c>
      <c r="I252" s="9">
        <v>46161.25817129629</v>
      </c>
      <c r="K252" s="8">
        <v>3300.0</v>
      </c>
      <c r="L252" s="8">
        <v>700.0</v>
      </c>
      <c r="M252" s="8">
        <v>349000.0</v>
      </c>
      <c r="N252" s="7">
        <v>43869.0</v>
      </c>
      <c r="O252" s="8" t="s">
        <v>107</v>
      </c>
      <c r="P252" s="8" t="s">
        <v>28</v>
      </c>
      <c r="S252" s="8" t="s">
        <v>32</v>
      </c>
    </row>
    <row r="253">
      <c r="A253" s="8">
        <v>252.0</v>
      </c>
      <c r="B253" s="8" t="s">
        <v>1826</v>
      </c>
      <c r="C253" s="8" t="s">
        <v>21</v>
      </c>
      <c r="D253" s="8">
        <v>69.0</v>
      </c>
      <c r="E253" s="8">
        <v>40.0</v>
      </c>
      <c r="H253" s="8" t="s">
        <v>1353</v>
      </c>
      <c r="I253" s="9">
        <v>46145.25616898148</v>
      </c>
      <c r="J253" s="8" t="s">
        <v>96</v>
      </c>
      <c r="K253" s="8">
        <v>450.0</v>
      </c>
      <c r="L253" s="8">
        <v>250.0</v>
      </c>
      <c r="M253" s="8">
        <v>132000.0</v>
      </c>
      <c r="N253" s="7">
        <v>43874.0</v>
      </c>
      <c r="O253" s="8" t="s">
        <v>147</v>
      </c>
      <c r="P253" s="8" t="s">
        <v>28</v>
      </c>
      <c r="S253" s="8" t="s">
        <v>32</v>
      </c>
    </row>
    <row r="254">
      <c r="A254" s="8">
        <v>253.0</v>
      </c>
      <c r="B254" s="8" t="s">
        <v>543</v>
      </c>
      <c r="C254" s="8" t="s">
        <v>21</v>
      </c>
      <c r="D254" s="8">
        <v>68.0</v>
      </c>
      <c r="E254" s="8">
        <v>40.0</v>
      </c>
      <c r="H254" s="8" t="s">
        <v>35</v>
      </c>
      <c r="I254" s="9">
        <v>46106.682291666664</v>
      </c>
      <c r="J254" s="8" t="s">
        <v>545</v>
      </c>
      <c r="K254" s="8">
        <v>50.0</v>
      </c>
      <c r="L254" s="8">
        <v>11000.0</v>
      </c>
      <c r="M254" s="8">
        <v>11000.0</v>
      </c>
      <c r="N254" s="7">
        <v>42398.0</v>
      </c>
      <c r="O254" s="8" t="s">
        <v>31</v>
      </c>
      <c r="P254" s="8" t="s">
        <v>28</v>
      </c>
      <c r="S254" s="8" t="s">
        <v>32</v>
      </c>
    </row>
    <row r="255">
      <c r="A255" s="8">
        <v>254.0</v>
      </c>
      <c r="B255" s="8" t="s">
        <v>1833</v>
      </c>
      <c r="C255" s="8" t="s">
        <v>21</v>
      </c>
      <c r="D255" s="8">
        <v>69.0</v>
      </c>
      <c r="E255" s="8">
        <v>40.0</v>
      </c>
      <c r="H255" s="8" t="s">
        <v>20</v>
      </c>
      <c r="I255" s="9">
        <v>46160.838275462964</v>
      </c>
      <c r="J255" s="8" t="s">
        <v>1834</v>
      </c>
      <c r="K255" s="8">
        <v>204000.0</v>
      </c>
      <c r="L255" s="8">
        <v>500.0</v>
      </c>
      <c r="M255" s="8">
        <v>4960000.0</v>
      </c>
      <c r="N255" s="7">
        <v>42278.0</v>
      </c>
      <c r="O255" s="8" t="s">
        <v>26</v>
      </c>
      <c r="P255" s="8" t="s">
        <v>28</v>
      </c>
      <c r="S255" s="8" t="s">
        <v>32</v>
      </c>
    </row>
    <row r="256">
      <c r="A256" s="8">
        <v>255.0</v>
      </c>
      <c r="B256" s="8" t="s">
        <v>1836</v>
      </c>
      <c r="C256" s="8" t="s">
        <v>21</v>
      </c>
      <c r="D256" s="8">
        <v>0.0</v>
      </c>
      <c r="E256" s="8">
        <v>40.0</v>
      </c>
      <c r="H256" s="8" t="s">
        <v>744</v>
      </c>
      <c r="I256" s="9">
        <v>46126.70122685185</v>
      </c>
      <c r="J256" s="8" t="s">
        <v>1838</v>
      </c>
      <c r="K256" s="8">
        <v>40.0</v>
      </c>
      <c r="L256" s="8">
        <v>136000.0</v>
      </c>
      <c r="M256" s="8">
        <v>140000.0</v>
      </c>
      <c r="N256" s="7">
        <v>42468.0</v>
      </c>
      <c r="O256" s="8" t="s">
        <v>26</v>
      </c>
      <c r="P256" s="8" t="s">
        <v>28</v>
      </c>
      <c r="S256" s="8" t="s">
        <v>748</v>
      </c>
    </row>
    <row r="257">
      <c r="A257" s="8">
        <v>256.0</v>
      </c>
      <c r="B257" s="8" t="s">
        <v>1840</v>
      </c>
      <c r="C257" s="8" t="s">
        <v>21</v>
      </c>
      <c r="D257" s="8">
        <v>9.0</v>
      </c>
      <c r="E257" s="8">
        <v>40.0</v>
      </c>
      <c r="H257" s="8" t="s">
        <v>755</v>
      </c>
      <c r="I257" s="9">
        <v>46125.771469907406</v>
      </c>
      <c r="J257" s="8" t="s">
        <v>789</v>
      </c>
      <c r="K257" s="8">
        <v>40.0</v>
      </c>
      <c r="L257" s="8">
        <v>16000.0</v>
      </c>
      <c r="M257" s="8">
        <v>17000.0</v>
      </c>
      <c r="N257" s="7">
        <v>42359.0</v>
      </c>
      <c r="O257" s="8" t="s">
        <v>31</v>
      </c>
      <c r="P257" s="8" t="s">
        <v>28</v>
      </c>
      <c r="S257" s="8" t="s">
        <v>32</v>
      </c>
    </row>
    <row r="258">
      <c r="A258" s="8">
        <v>257.0</v>
      </c>
      <c r="B258" s="8" t="s">
        <v>1845</v>
      </c>
      <c r="C258" s="8" t="s">
        <v>21</v>
      </c>
      <c r="D258" s="8">
        <v>76.0</v>
      </c>
      <c r="E258" s="8">
        <v>40.0</v>
      </c>
      <c r="H258" s="8" t="s">
        <v>123</v>
      </c>
      <c r="I258" s="9">
        <v>46090.05700231482</v>
      </c>
      <c r="K258" s="8">
        <v>13000.0</v>
      </c>
      <c r="L258" s="8">
        <v>5100.0</v>
      </c>
      <c r="M258" s="8">
        <v>584000.0</v>
      </c>
      <c r="N258" s="7">
        <v>44514.0</v>
      </c>
      <c r="O258" s="8" t="s">
        <v>107</v>
      </c>
      <c r="P258" s="8" t="s">
        <v>28</v>
      </c>
      <c r="S258" s="8" t="s">
        <v>32</v>
      </c>
    </row>
    <row r="259">
      <c r="A259" s="8">
        <v>258.0</v>
      </c>
      <c r="B259" s="8" t="s">
        <v>1849</v>
      </c>
      <c r="C259" s="8" t="s">
        <v>21</v>
      </c>
      <c r="D259" s="8">
        <v>67.0</v>
      </c>
      <c r="E259" s="8">
        <v>40.0</v>
      </c>
      <c r="H259" s="8" t="s">
        <v>1353</v>
      </c>
      <c r="I259" s="9">
        <v>46145.50053240741</v>
      </c>
      <c r="J259" s="8" t="s">
        <v>1032</v>
      </c>
      <c r="K259" s="8">
        <v>3800.0</v>
      </c>
      <c r="L259" s="8">
        <v>250.0</v>
      </c>
      <c r="M259" s="8">
        <v>132000.0</v>
      </c>
      <c r="N259" s="7">
        <v>42304.0</v>
      </c>
      <c r="O259" s="8" t="s">
        <v>147</v>
      </c>
      <c r="P259" s="8" t="s">
        <v>28</v>
      </c>
      <c r="S259" s="8" t="s">
        <v>32</v>
      </c>
    </row>
    <row r="260">
      <c r="A260" s="8">
        <v>259.0</v>
      </c>
      <c r="B260" s="8" t="s">
        <v>552</v>
      </c>
      <c r="C260" s="8" t="s">
        <v>21</v>
      </c>
      <c r="D260" s="8">
        <v>62.0</v>
      </c>
      <c r="E260" s="8">
        <v>40.0</v>
      </c>
      <c r="H260" s="8" t="s">
        <v>552</v>
      </c>
      <c r="I260" s="9">
        <v>46083.664456018516</v>
      </c>
      <c r="K260" s="8">
        <v>70.0</v>
      </c>
      <c r="L260" s="8">
        <v>10.0</v>
      </c>
      <c r="M260" s="8">
        <v>1100.0</v>
      </c>
      <c r="N260" s="7">
        <v>45092.0</v>
      </c>
      <c r="O260" s="8" t="s">
        <v>107</v>
      </c>
      <c r="P260" s="8" t="s">
        <v>28</v>
      </c>
      <c r="S260" s="8" t="s">
        <v>32</v>
      </c>
    </row>
    <row r="261">
      <c r="A261" s="8">
        <v>260.0</v>
      </c>
      <c r="B261" s="8" t="s">
        <v>557</v>
      </c>
      <c r="C261" s="8" t="s">
        <v>21</v>
      </c>
      <c r="D261" s="8">
        <v>76.0</v>
      </c>
      <c r="E261" s="8">
        <v>30.0</v>
      </c>
      <c r="H261" s="8" t="s">
        <v>91</v>
      </c>
      <c r="I261" s="9">
        <v>46082.528125</v>
      </c>
      <c r="K261" s="8">
        <v>28000.0</v>
      </c>
      <c r="L261" s="8">
        <v>100.0</v>
      </c>
      <c r="M261" s="8">
        <v>870000.0</v>
      </c>
      <c r="N261" s="7">
        <v>42628.0</v>
      </c>
      <c r="O261" s="8" t="s">
        <v>147</v>
      </c>
      <c r="P261" s="8" t="s">
        <v>28</v>
      </c>
      <c r="S261" s="8" t="s">
        <v>32</v>
      </c>
    </row>
    <row r="262">
      <c r="A262" s="8">
        <v>261.0</v>
      </c>
      <c r="B262" s="8" t="s">
        <v>1857</v>
      </c>
      <c r="C262" s="8" t="s">
        <v>21</v>
      </c>
      <c r="D262" s="8">
        <v>77.0</v>
      </c>
      <c r="E262" s="8">
        <v>30.0</v>
      </c>
      <c r="H262" s="8" t="s">
        <v>1605</v>
      </c>
      <c r="I262" s="9">
        <v>46162.247349537036</v>
      </c>
      <c r="J262" s="8" t="s">
        <v>96</v>
      </c>
      <c r="K262" s="8">
        <v>6500.0</v>
      </c>
      <c r="L262" s="8">
        <v>80.0</v>
      </c>
      <c r="M262" s="8">
        <v>108000.0</v>
      </c>
      <c r="N262" s="7">
        <v>44596.0</v>
      </c>
      <c r="O262" s="8" t="s">
        <v>147</v>
      </c>
      <c r="P262" s="8" t="s">
        <v>28</v>
      </c>
      <c r="S262" s="8" t="s">
        <v>32</v>
      </c>
    </row>
    <row r="263">
      <c r="A263" s="8">
        <v>262.0</v>
      </c>
      <c r="B263" s="8" t="s">
        <v>1860</v>
      </c>
      <c r="C263" s="8" t="s">
        <v>21</v>
      </c>
      <c r="D263" s="8">
        <v>67.0</v>
      </c>
      <c r="E263" s="8">
        <v>30.0</v>
      </c>
      <c r="H263" s="8" t="s">
        <v>1860</v>
      </c>
      <c r="I263" s="9">
        <v>46072.28990740741</v>
      </c>
      <c r="J263" s="8" t="s">
        <v>96</v>
      </c>
      <c r="K263" s="8">
        <v>97000.0</v>
      </c>
      <c r="L263" s="8">
        <v>10.0</v>
      </c>
      <c r="M263" s="8">
        <v>59000.0</v>
      </c>
      <c r="N263" s="7">
        <v>42322.0</v>
      </c>
      <c r="O263" s="8" t="s">
        <v>147</v>
      </c>
      <c r="P263" s="8" t="s">
        <v>28</v>
      </c>
      <c r="S263" s="8" t="s">
        <v>32</v>
      </c>
    </row>
    <row r="264">
      <c r="A264" s="8">
        <v>263.0</v>
      </c>
      <c r="B264" s="8" t="s">
        <v>1862</v>
      </c>
      <c r="C264" s="8" t="s">
        <v>21</v>
      </c>
      <c r="D264" s="8">
        <v>82.0</v>
      </c>
      <c r="E264" s="8">
        <v>30.0</v>
      </c>
      <c r="H264" s="8" t="s">
        <v>1290</v>
      </c>
      <c r="I264" s="9">
        <v>46100.741736111115</v>
      </c>
      <c r="J264" s="8" t="s">
        <v>96</v>
      </c>
      <c r="K264" s="8">
        <v>17000.0</v>
      </c>
      <c r="L264" s="8">
        <v>80.0</v>
      </c>
      <c r="M264" s="8">
        <v>47000.0</v>
      </c>
      <c r="N264" s="7">
        <v>42612.0</v>
      </c>
      <c r="O264" s="8" t="s">
        <v>31</v>
      </c>
      <c r="P264" s="8" t="s">
        <v>28</v>
      </c>
      <c r="S264" s="8" t="s">
        <v>32</v>
      </c>
    </row>
    <row r="265">
      <c r="A265" s="8">
        <v>264.0</v>
      </c>
      <c r="B265" s="8" t="s">
        <v>569</v>
      </c>
      <c r="C265" s="8" t="s">
        <v>21</v>
      </c>
      <c r="D265" s="8">
        <v>64.0</v>
      </c>
      <c r="E265" s="8">
        <v>30.0</v>
      </c>
      <c r="H265" s="8" t="s">
        <v>570</v>
      </c>
      <c r="I265" s="9">
        <v>46144.7100462963</v>
      </c>
      <c r="J265" s="8" t="s">
        <v>90</v>
      </c>
      <c r="K265" s="8">
        <v>4300.0</v>
      </c>
      <c r="L265" s="8">
        <v>20.0</v>
      </c>
      <c r="M265" s="8">
        <v>12000.0</v>
      </c>
      <c r="N265" s="7">
        <v>43878.0</v>
      </c>
      <c r="O265" s="8" t="s">
        <v>107</v>
      </c>
      <c r="P265" s="8" t="s">
        <v>28</v>
      </c>
      <c r="S265" s="8" t="s">
        <v>32</v>
      </c>
    </row>
    <row r="266">
      <c r="A266" s="8">
        <v>265.0</v>
      </c>
      <c r="B266" s="8" t="s">
        <v>1870</v>
      </c>
      <c r="C266" s="8" t="s">
        <v>21</v>
      </c>
      <c r="D266" s="8">
        <v>67.0</v>
      </c>
      <c r="E266" s="8">
        <v>30.0</v>
      </c>
      <c r="H266" s="8" t="s">
        <v>484</v>
      </c>
      <c r="I266" s="9">
        <v>46145.48711805556</v>
      </c>
      <c r="J266" s="8" t="s">
        <v>90</v>
      </c>
      <c r="K266" s="8">
        <v>3500.0</v>
      </c>
      <c r="L266" s="8">
        <v>100.0</v>
      </c>
      <c r="M266" s="8">
        <v>27000.0</v>
      </c>
      <c r="N266" s="7">
        <v>44677.0</v>
      </c>
      <c r="O266" s="8" t="s">
        <v>107</v>
      </c>
      <c r="P266" s="8" t="s">
        <v>1174</v>
      </c>
      <c r="S266" s="8" t="s">
        <v>32</v>
      </c>
    </row>
    <row r="267">
      <c r="A267" s="8">
        <v>266.0</v>
      </c>
      <c r="B267" s="8" t="s">
        <v>574</v>
      </c>
      <c r="C267" s="8" t="s">
        <v>21</v>
      </c>
      <c r="D267" s="8">
        <v>77.0</v>
      </c>
      <c r="E267" s="8">
        <v>30.0</v>
      </c>
      <c r="F267" s="8">
        <v>0.6</v>
      </c>
      <c r="H267" s="8" t="s">
        <v>19</v>
      </c>
      <c r="I267" s="9">
        <v>46155.123125</v>
      </c>
      <c r="K267" s="8">
        <v>80.0</v>
      </c>
      <c r="L267" s="8">
        <v>26000.0</v>
      </c>
      <c r="M267" s="8">
        <v>27000.0</v>
      </c>
      <c r="N267" s="7">
        <v>44012.0</v>
      </c>
      <c r="O267" s="8" t="s">
        <v>31</v>
      </c>
      <c r="P267" s="8" t="s">
        <v>28</v>
      </c>
      <c r="S267" s="8" t="s">
        <v>32</v>
      </c>
    </row>
    <row r="268">
      <c r="A268" s="8">
        <v>267.0</v>
      </c>
      <c r="B268" s="8" t="s">
        <v>1875</v>
      </c>
      <c r="C268" s="8" t="s">
        <v>21</v>
      </c>
      <c r="D268" s="8">
        <v>65.0</v>
      </c>
      <c r="E268" s="8">
        <v>30.0</v>
      </c>
      <c r="F268" s="8">
        <v>0.7</v>
      </c>
      <c r="H268" s="8" t="s">
        <v>1326</v>
      </c>
      <c r="I268" s="9">
        <v>46143.76708333333</v>
      </c>
      <c r="J268" s="8" t="s">
        <v>96</v>
      </c>
      <c r="K268" s="8">
        <v>80.0</v>
      </c>
      <c r="L268" s="8">
        <v>150.0</v>
      </c>
      <c r="M268" s="8">
        <v>350.0</v>
      </c>
      <c r="N268" s="7">
        <v>43509.0</v>
      </c>
      <c r="O268" s="8" t="s">
        <v>26</v>
      </c>
      <c r="P268" s="8" t="s">
        <v>28</v>
      </c>
      <c r="S268" s="8" t="s">
        <v>782</v>
      </c>
    </row>
    <row r="269">
      <c r="A269" s="8">
        <v>268.0</v>
      </c>
      <c r="B269" s="8" t="s">
        <v>1879</v>
      </c>
      <c r="C269" s="8" t="s">
        <v>21</v>
      </c>
      <c r="D269" s="8">
        <v>80.0</v>
      </c>
      <c r="E269" s="8">
        <v>30.0</v>
      </c>
      <c r="H269" s="8" t="s">
        <v>123</v>
      </c>
      <c r="I269" s="9">
        <v>46150.234976851854</v>
      </c>
      <c r="J269" s="8" t="s">
        <v>90</v>
      </c>
      <c r="K269" s="8">
        <v>4000.0</v>
      </c>
      <c r="L269" s="8">
        <v>5400.0</v>
      </c>
      <c r="M269" s="8">
        <v>504000.0</v>
      </c>
      <c r="N269" s="7">
        <v>42271.0</v>
      </c>
      <c r="O269" s="8" t="s">
        <v>147</v>
      </c>
      <c r="P269" s="8" t="s">
        <v>28</v>
      </c>
      <c r="S269" s="8" t="s">
        <v>32</v>
      </c>
    </row>
    <row r="270">
      <c r="A270" s="8">
        <v>269.0</v>
      </c>
      <c r="B270" s="8" t="s">
        <v>1882</v>
      </c>
      <c r="C270" s="8" t="s">
        <v>21</v>
      </c>
      <c r="D270" s="8">
        <v>84.0</v>
      </c>
      <c r="E270" s="8">
        <v>30.0</v>
      </c>
      <c r="H270" s="8" t="s">
        <v>1882</v>
      </c>
      <c r="I270" s="9">
        <v>46033.773414351854</v>
      </c>
      <c r="J270" s="8" t="s">
        <v>143</v>
      </c>
      <c r="K270" s="8">
        <v>1730000.0</v>
      </c>
      <c r="L270" s="8">
        <v>10.0</v>
      </c>
      <c r="M270" s="8">
        <v>3800000.0</v>
      </c>
      <c r="N270" s="7">
        <v>42445.0</v>
      </c>
      <c r="O270" s="8" t="s">
        <v>26</v>
      </c>
      <c r="P270" s="8" t="s">
        <v>28</v>
      </c>
      <c r="S270" s="8" t="s">
        <v>32</v>
      </c>
    </row>
    <row r="271">
      <c r="A271" s="8">
        <v>270.0</v>
      </c>
      <c r="B271" s="8" t="s">
        <v>1377</v>
      </c>
      <c r="C271" s="8" t="s">
        <v>21</v>
      </c>
      <c r="D271" s="8">
        <v>73.0</v>
      </c>
      <c r="E271" s="8">
        <v>30.0</v>
      </c>
      <c r="H271" s="8" t="s">
        <v>701</v>
      </c>
      <c r="I271" s="9">
        <v>46126.21648148148</v>
      </c>
      <c r="J271" s="8" t="s">
        <v>58</v>
      </c>
      <c r="K271" s="8">
        <v>208000.0</v>
      </c>
      <c r="L271" s="8">
        <v>80.0</v>
      </c>
      <c r="M271" s="8">
        <v>530000.0</v>
      </c>
      <c r="N271" s="7">
        <v>42413.0</v>
      </c>
      <c r="O271" s="8" t="s">
        <v>147</v>
      </c>
      <c r="P271" s="8" t="s">
        <v>28</v>
      </c>
      <c r="S271" s="8" t="s">
        <v>32</v>
      </c>
    </row>
    <row r="272">
      <c r="A272" s="8">
        <v>271.0</v>
      </c>
      <c r="B272" s="8" t="s">
        <v>1888</v>
      </c>
      <c r="C272" s="8" t="s">
        <v>21</v>
      </c>
      <c r="D272" s="8">
        <v>73.0</v>
      </c>
      <c r="E272" s="8">
        <v>30.0</v>
      </c>
      <c r="H272" s="8" t="s">
        <v>1353</v>
      </c>
      <c r="I272" s="9">
        <v>46100.42932870371</v>
      </c>
      <c r="J272" s="8" t="s">
        <v>96</v>
      </c>
      <c r="K272" s="8">
        <v>300.0</v>
      </c>
      <c r="L272" s="8">
        <v>200.0</v>
      </c>
      <c r="M272" s="8">
        <v>225000.0</v>
      </c>
      <c r="N272" s="7">
        <v>42668.0</v>
      </c>
      <c r="O272" s="8" t="s">
        <v>107</v>
      </c>
      <c r="P272" s="8" t="s">
        <v>28</v>
      </c>
      <c r="S272" s="8" t="s">
        <v>32</v>
      </c>
    </row>
    <row r="273">
      <c r="A273" s="8">
        <v>272.0</v>
      </c>
      <c r="B273" s="8" t="s">
        <v>1891</v>
      </c>
      <c r="C273" s="8" t="s">
        <v>21</v>
      </c>
      <c r="D273" s="8">
        <v>48.0</v>
      </c>
      <c r="E273" s="8">
        <v>30.0</v>
      </c>
      <c r="H273" s="8" t="s">
        <v>1891</v>
      </c>
      <c r="I273" s="9">
        <v>46143.987858796296</v>
      </c>
      <c r="J273" s="8" t="s">
        <v>90</v>
      </c>
      <c r="K273" s="8">
        <v>12000.0</v>
      </c>
      <c r="L273" s="8">
        <v>10.0</v>
      </c>
      <c r="M273" s="8">
        <v>42000.0</v>
      </c>
      <c r="N273" s="7">
        <v>42358.0</v>
      </c>
      <c r="O273" s="8" t="s">
        <v>107</v>
      </c>
      <c r="P273" s="8" t="s">
        <v>28</v>
      </c>
      <c r="S273" s="8" t="s">
        <v>32</v>
      </c>
    </row>
    <row r="274">
      <c r="A274" s="8">
        <v>273.0</v>
      </c>
      <c r="B274" s="8" t="s">
        <v>1895</v>
      </c>
      <c r="C274" s="8" t="s">
        <v>21</v>
      </c>
      <c r="D274" s="8">
        <v>38.0</v>
      </c>
      <c r="E274" s="8">
        <v>30.0</v>
      </c>
      <c r="F274" s="8">
        <v>1.0</v>
      </c>
      <c r="H274" s="8" t="s">
        <v>744</v>
      </c>
      <c r="I274" s="9">
        <v>46147.089155092595</v>
      </c>
      <c r="J274" s="8" t="s">
        <v>90</v>
      </c>
      <c r="K274" s="8">
        <v>90.0</v>
      </c>
      <c r="L274" s="8">
        <v>137000.0</v>
      </c>
      <c r="M274" s="8">
        <v>140000.0</v>
      </c>
      <c r="N274" s="7">
        <v>42249.0</v>
      </c>
      <c r="O274" s="8" t="s">
        <v>26</v>
      </c>
      <c r="P274" s="8" t="s">
        <v>28</v>
      </c>
      <c r="Q274" s="8" t="s">
        <v>1898</v>
      </c>
      <c r="R274" s="8" t="s">
        <v>1900</v>
      </c>
      <c r="S274" s="8" t="s">
        <v>782</v>
      </c>
    </row>
    <row r="275">
      <c r="A275" s="8">
        <v>274.0</v>
      </c>
      <c r="B275" s="8" t="s">
        <v>1901</v>
      </c>
      <c r="C275" s="8" t="s">
        <v>21</v>
      </c>
      <c r="D275" s="8">
        <v>61.0</v>
      </c>
      <c r="E275" s="8">
        <v>30.0</v>
      </c>
      <c r="H275" s="8" t="s">
        <v>1733</v>
      </c>
      <c r="I275" s="9">
        <v>46162.51013888889</v>
      </c>
      <c r="K275" s="8">
        <v>3200.0</v>
      </c>
      <c r="L275" s="8">
        <v>70.0</v>
      </c>
      <c r="M275" s="8">
        <v>80000.0</v>
      </c>
      <c r="N275" s="7">
        <v>44232.0</v>
      </c>
      <c r="O275" s="8" t="s">
        <v>147</v>
      </c>
      <c r="P275" s="8" t="s">
        <v>28</v>
      </c>
      <c r="S275" s="8" t="s">
        <v>32</v>
      </c>
    </row>
    <row r="276">
      <c r="A276" s="8">
        <v>275.0</v>
      </c>
      <c r="B276" s="8" t="s">
        <v>595</v>
      </c>
      <c r="C276" s="8" t="s">
        <v>21</v>
      </c>
      <c r="D276" s="8">
        <v>81.0</v>
      </c>
      <c r="E276" s="8">
        <v>30.0</v>
      </c>
      <c r="H276" s="8" t="s">
        <v>20</v>
      </c>
      <c r="I276" s="9">
        <v>46156.72243055556</v>
      </c>
      <c r="J276" s="8" t="s">
        <v>90</v>
      </c>
      <c r="K276" s="8">
        <v>1500.0</v>
      </c>
      <c r="L276" s="8">
        <v>1300.0</v>
      </c>
      <c r="M276" s="8">
        <v>502000.0</v>
      </c>
      <c r="N276" s="7">
        <v>42445.0</v>
      </c>
      <c r="O276" s="8" t="s">
        <v>127</v>
      </c>
      <c r="P276" s="8" t="s">
        <v>28</v>
      </c>
      <c r="S276" s="8" t="s">
        <v>32</v>
      </c>
    </row>
    <row r="277">
      <c r="A277" s="8">
        <v>276.0</v>
      </c>
      <c r="B277" s="8" t="s">
        <v>1907</v>
      </c>
      <c r="C277" s="8" t="s">
        <v>21</v>
      </c>
      <c r="D277" s="8">
        <v>0.0</v>
      </c>
      <c r="E277" s="8">
        <v>30.0</v>
      </c>
      <c r="H277" s="8" t="s">
        <v>744</v>
      </c>
      <c r="I277" s="9">
        <v>46145.17811342593</v>
      </c>
      <c r="J277" s="8" t="s">
        <v>105</v>
      </c>
      <c r="K277" s="8">
        <v>30.0</v>
      </c>
      <c r="L277" s="8">
        <v>137000.0</v>
      </c>
      <c r="M277" s="8">
        <v>140000.0</v>
      </c>
      <c r="N277" s="7">
        <v>42324.0</v>
      </c>
      <c r="O277" s="8" t="s">
        <v>147</v>
      </c>
      <c r="P277" s="8" t="s">
        <v>28</v>
      </c>
      <c r="S277" s="8" t="s">
        <v>32</v>
      </c>
    </row>
    <row r="278">
      <c r="A278" s="8">
        <v>277.0</v>
      </c>
      <c r="B278" s="8" t="s">
        <v>1911</v>
      </c>
      <c r="C278" s="8" t="s">
        <v>21</v>
      </c>
      <c r="D278" s="8">
        <v>8.0</v>
      </c>
      <c r="E278" s="8">
        <v>30.0</v>
      </c>
      <c r="H278" s="8" t="s">
        <v>1678</v>
      </c>
      <c r="I278" s="9">
        <v>46089.42491898148</v>
      </c>
      <c r="J278" s="8" t="s">
        <v>96</v>
      </c>
      <c r="K278" s="8">
        <v>30.0</v>
      </c>
      <c r="L278" s="8">
        <v>30.0</v>
      </c>
      <c r="M278" s="8">
        <v>30.0</v>
      </c>
      <c r="N278" s="7">
        <v>43999.0</v>
      </c>
      <c r="O278" s="8" t="s">
        <v>26</v>
      </c>
      <c r="P278" s="8" t="s">
        <v>28</v>
      </c>
      <c r="S278" s="8" t="s">
        <v>782</v>
      </c>
    </row>
    <row r="279">
      <c r="A279" s="8">
        <v>278.0</v>
      </c>
      <c r="B279" s="8" t="s">
        <v>1914</v>
      </c>
      <c r="C279" s="8" t="s">
        <v>21</v>
      </c>
      <c r="D279" s="8">
        <v>2.0</v>
      </c>
      <c r="E279" s="8">
        <v>30.0</v>
      </c>
      <c r="F279" s="8">
        <v>1.0</v>
      </c>
      <c r="H279" s="8" t="s">
        <v>744</v>
      </c>
      <c r="I279" s="9">
        <v>46149.05769675926</v>
      </c>
      <c r="J279" s="8" t="s">
        <v>62</v>
      </c>
      <c r="K279" s="8">
        <v>30.0</v>
      </c>
      <c r="L279" s="8">
        <v>137000.0</v>
      </c>
      <c r="M279" s="8">
        <v>140000.0</v>
      </c>
      <c r="N279" s="7">
        <v>42276.0</v>
      </c>
      <c r="O279" s="8" t="s">
        <v>925</v>
      </c>
      <c r="P279" s="8" t="s">
        <v>28</v>
      </c>
      <c r="S279" s="8" t="s">
        <v>748</v>
      </c>
    </row>
    <row r="280">
      <c r="A280" s="8">
        <v>279.0</v>
      </c>
      <c r="B280" s="8" t="s">
        <v>606</v>
      </c>
      <c r="C280" s="8" t="s">
        <v>21</v>
      </c>
      <c r="D280" s="8">
        <v>74.0</v>
      </c>
      <c r="E280" s="8">
        <v>30.0</v>
      </c>
      <c r="H280" s="8" t="s">
        <v>60</v>
      </c>
      <c r="I280" s="9">
        <v>46147.80061342593</v>
      </c>
      <c r="K280" s="8">
        <v>30.0</v>
      </c>
      <c r="L280" s="8">
        <v>150.0</v>
      </c>
      <c r="M280" s="8">
        <v>500.0</v>
      </c>
      <c r="N280" s="7">
        <v>42412.0</v>
      </c>
      <c r="O280" s="8" t="s">
        <v>26</v>
      </c>
      <c r="P280" s="8" t="s">
        <v>28</v>
      </c>
      <c r="S280" s="8" t="s">
        <v>32</v>
      </c>
    </row>
    <row r="281">
      <c r="A281" s="8">
        <v>280.0</v>
      </c>
      <c r="B281" s="8" t="s">
        <v>610</v>
      </c>
      <c r="C281" s="8" t="s">
        <v>21</v>
      </c>
      <c r="D281" s="8">
        <v>75.0</v>
      </c>
      <c r="E281" s="8">
        <v>30.0</v>
      </c>
      <c r="F281" s="8">
        <v>0.3</v>
      </c>
      <c r="H281" s="8" t="s">
        <v>19</v>
      </c>
      <c r="I281" s="9">
        <v>46143.560902777775</v>
      </c>
      <c r="J281" s="8" t="s">
        <v>96</v>
      </c>
      <c r="K281" s="8">
        <v>40.0</v>
      </c>
      <c r="L281" s="8">
        <v>26000.0</v>
      </c>
      <c r="M281" s="8">
        <v>27000.0</v>
      </c>
      <c r="N281" s="7">
        <v>44000.0</v>
      </c>
      <c r="O281" s="8" t="s">
        <v>31</v>
      </c>
      <c r="P281" s="8" t="s">
        <v>28</v>
      </c>
      <c r="S281" s="8" t="s">
        <v>32</v>
      </c>
    </row>
    <row r="282">
      <c r="A282" s="8">
        <v>281.0</v>
      </c>
      <c r="B282" s="8" t="s">
        <v>618</v>
      </c>
      <c r="C282" s="8" t="s">
        <v>21</v>
      </c>
      <c r="D282" s="8">
        <v>82.0</v>
      </c>
      <c r="E282" s="8">
        <v>30.0</v>
      </c>
      <c r="H282" s="8" t="s">
        <v>123</v>
      </c>
      <c r="I282" s="9">
        <v>46082.69509259259</v>
      </c>
      <c r="K282" s="8">
        <v>34000.0</v>
      </c>
      <c r="L282" s="8">
        <v>5100.0</v>
      </c>
      <c r="M282" s="8">
        <v>596000.0</v>
      </c>
      <c r="N282" s="7">
        <v>42373.0</v>
      </c>
      <c r="O282" s="8" t="s">
        <v>31</v>
      </c>
      <c r="P282" s="8" t="s">
        <v>28</v>
      </c>
      <c r="S282" s="8" t="s">
        <v>32</v>
      </c>
    </row>
    <row r="283">
      <c r="A283" s="8">
        <v>282.0</v>
      </c>
      <c r="B283" s="8" t="s">
        <v>1923</v>
      </c>
      <c r="C283" s="8" t="s">
        <v>21</v>
      </c>
      <c r="D283" s="8">
        <v>73.0</v>
      </c>
      <c r="E283" s="8">
        <v>30.0</v>
      </c>
      <c r="H283" s="8" t="s">
        <v>701</v>
      </c>
      <c r="I283" s="9">
        <v>46147.13118055555</v>
      </c>
      <c r="J283" s="8" t="s">
        <v>90</v>
      </c>
      <c r="K283" s="8">
        <v>12000.0</v>
      </c>
      <c r="L283" s="8">
        <v>100.0</v>
      </c>
      <c r="M283" s="8">
        <v>173000.0</v>
      </c>
      <c r="N283" s="7">
        <v>44369.0</v>
      </c>
      <c r="O283" s="8" t="s">
        <v>107</v>
      </c>
      <c r="P283" s="8" t="s">
        <v>1174</v>
      </c>
      <c r="S283" s="8" t="s">
        <v>32</v>
      </c>
    </row>
    <row r="284">
      <c r="A284" s="8">
        <v>283.0</v>
      </c>
      <c r="B284" s="8" t="s">
        <v>622</v>
      </c>
      <c r="C284" s="8" t="s">
        <v>21</v>
      </c>
      <c r="D284" s="8">
        <v>75.0</v>
      </c>
      <c r="E284" s="8">
        <v>30.0</v>
      </c>
      <c r="H284" s="8" t="s">
        <v>398</v>
      </c>
      <c r="I284" s="9">
        <v>46149.81978009259</v>
      </c>
      <c r="K284" s="8">
        <v>15000.0</v>
      </c>
      <c r="L284" s="8">
        <v>700.0</v>
      </c>
      <c r="M284" s="8">
        <v>338000.0</v>
      </c>
      <c r="N284" s="7">
        <v>43871.0</v>
      </c>
      <c r="O284" s="8" t="s">
        <v>147</v>
      </c>
      <c r="P284" s="8" t="s">
        <v>28</v>
      </c>
      <c r="S284" s="8" t="s">
        <v>32</v>
      </c>
    </row>
    <row r="285">
      <c r="A285" s="8">
        <v>284.0</v>
      </c>
      <c r="B285" s="8" t="s">
        <v>1928</v>
      </c>
      <c r="C285" s="8" t="s">
        <v>21</v>
      </c>
      <c r="D285" s="8">
        <v>12.0</v>
      </c>
      <c r="E285" s="8">
        <v>30.0</v>
      </c>
      <c r="H285" s="8" t="s">
        <v>744</v>
      </c>
      <c r="I285" s="9">
        <v>46089.892280092594</v>
      </c>
      <c r="J285" s="8" t="s">
        <v>62</v>
      </c>
      <c r="K285" s="8">
        <v>30.0</v>
      </c>
      <c r="L285" s="8">
        <v>145000.0</v>
      </c>
      <c r="M285" s="8">
        <v>149000.0</v>
      </c>
      <c r="N285" s="7">
        <v>45022.0</v>
      </c>
      <c r="O285" s="8" t="s">
        <v>127</v>
      </c>
      <c r="P285" s="8" t="s">
        <v>28</v>
      </c>
      <c r="S285" s="8" t="s">
        <v>782</v>
      </c>
    </row>
    <row r="286">
      <c r="A286" s="8">
        <v>285.0</v>
      </c>
      <c r="B286" s="8" t="s">
        <v>625</v>
      </c>
      <c r="C286" s="8" t="s">
        <v>21</v>
      </c>
      <c r="D286" s="8">
        <v>58.0</v>
      </c>
      <c r="E286" s="8">
        <v>30.0</v>
      </c>
      <c r="H286" s="8" t="s">
        <v>60</v>
      </c>
      <c r="I286" s="9">
        <v>46144.80913194444</v>
      </c>
      <c r="J286" s="8" t="s">
        <v>96</v>
      </c>
      <c r="K286" s="8">
        <v>30.0</v>
      </c>
      <c r="L286" s="8">
        <v>80.0</v>
      </c>
      <c r="M286" s="8">
        <v>100.0</v>
      </c>
      <c r="N286" s="7">
        <v>43028.0</v>
      </c>
      <c r="O286" s="8" t="s">
        <v>26</v>
      </c>
      <c r="P286" s="8" t="s">
        <v>28</v>
      </c>
      <c r="S286" s="8" t="s">
        <v>32</v>
      </c>
    </row>
    <row r="287">
      <c r="A287" s="8">
        <v>286.0</v>
      </c>
      <c r="B287" s="8" t="s">
        <v>1935</v>
      </c>
      <c r="C287" s="8" t="s">
        <v>21</v>
      </c>
      <c r="D287" s="8">
        <v>62.0</v>
      </c>
      <c r="E287" s="8">
        <v>30.0</v>
      </c>
      <c r="G287" s="8">
        <v>1.01</v>
      </c>
      <c r="H287" s="8" t="s">
        <v>1938</v>
      </c>
      <c r="I287" s="9">
        <v>46077.41422453704</v>
      </c>
      <c r="J287" s="8" t="s">
        <v>96</v>
      </c>
      <c r="K287" s="8">
        <v>50.0</v>
      </c>
      <c r="L287" s="8">
        <v>150.0</v>
      </c>
      <c r="M287" s="8">
        <v>350.0</v>
      </c>
      <c r="N287" s="7">
        <v>42250.0</v>
      </c>
      <c r="O287" s="8" t="s">
        <v>26</v>
      </c>
      <c r="P287" s="8" t="s">
        <v>28</v>
      </c>
      <c r="Q287" s="8" t="s">
        <v>1941</v>
      </c>
      <c r="R287" s="8" t="s">
        <v>1942</v>
      </c>
      <c r="S287" s="8" t="s">
        <v>32</v>
      </c>
    </row>
    <row r="288">
      <c r="A288" s="8">
        <v>287.0</v>
      </c>
      <c r="B288" s="8" t="s">
        <v>634</v>
      </c>
      <c r="C288" s="8" t="s">
        <v>21</v>
      </c>
      <c r="D288" s="8">
        <v>2.0</v>
      </c>
      <c r="E288" s="8">
        <v>30.0</v>
      </c>
      <c r="H288" s="8" t="s">
        <v>60</v>
      </c>
      <c r="I288" s="9">
        <v>46123.03989583333</v>
      </c>
      <c r="J288" s="8" t="s">
        <v>90</v>
      </c>
      <c r="K288" s="8">
        <v>30.0</v>
      </c>
      <c r="L288" s="8">
        <v>150.0</v>
      </c>
      <c r="M288" s="8">
        <v>500.0</v>
      </c>
      <c r="N288" s="7">
        <v>42386.0</v>
      </c>
      <c r="O288" s="8" t="s">
        <v>26</v>
      </c>
      <c r="P288" s="8" t="s">
        <v>28</v>
      </c>
      <c r="S288" s="8" t="s">
        <v>32</v>
      </c>
    </row>
    <row r="289">
      <c r="A289" s="8">
        <v>288.0</v>
      </c>
      <c r="B289" s="8" t="s">
        <v>1946</v>
      </c>
      <c r="C289" s="8" t="s">
        <v>21</v>
      </c>
      <c r="D289" s="8">
        <v>47.0</v>
      </c>
      <c r="E289" s="8">
        <v>30.0</v>
      </c>
      <c r="H289" s="8" t="s">
        <v>1326</v>
      </c>
      <c r="I289" s="9">
        <v>46149.004282407404</v>
      </c>
      <c r="J289" s="8" t="s">
        <v>96</v>
      </c>
      <c r="K289" s="8">
        <v>60.0</v>
      </c>
      <c r="L289" s="8">
        <v>150.0</v>
      </c>
      <c r="M289" s="8">
        <v>400.0</v>
      </c>
      <c r="N289" s="7">
        <v>43035.0</v>
      </c>
      <c r="O289" s="8" t="s">
        <v>885</v>
      </c>
      <c r="P289" s="8" t="s">
        <v>28</v>
      </c>
      <c r="Q289" s="8" t="s">
        <v>1948</v>
      </c>
      <c r="R289" s="8" t="s">
        <v>1949</v>
      </c>
      <c r="S289" s="8" t="s">
        <v>748</v>
      </c>
    </row>
    <row r="290">
      <c r="A290" s="8">
        <v>289.0</v>
      </c>
      <c r="B290" s="8" t="s">
        <v>1950</v>
      </c>
      <c r="C290" s="8" t="s">
        <v>21</v>
      </c>
      <c r="D290" s="8">
        <v>75.0</v>
      </c>
      <c r="E290" s="8">
        <v>30.0</v>
      </c>
      <c r="H290" s="8" t="s">
        <v>1952</v>
      </c>
      <c r="I290" s="9">
        <v>46145.514375</v>
      </c>
      <c r="J290" s="8" t="s">
        <v>789</v>
      </c>
      <c r="K290" s="8">
        <v>3600.0</v>
      </c>
      <c r="L290" s="8">
        <v>10.0</v>
      </c>
      <c r="M290" s="8">
        <v>6800.0</v>
      </c>
      <c r="N290" s="7">
        <v>43870.0</v>
      </c>
      <c r="O290" s="8" t="s">
        <v>107</v>
      </c>
      <c r="P290" s="8" t="s">
        <v>1954</v>
      </c>
      <c r="S290" s="8" t="s">
        <v>32</v>
      </c>
    </row>
    <row r="291">
      <c r="A291" s="8">
        <v>290.0</v>
      </c>
      <c r="B291" s="8" t="s">
        <v>639</v>
      </c>
      <c r="C291" s="8" t="s">
        <v>21</v>
      </c>
      <c r="D291" s="8">
        <v>79.0</v>
      </c>
      <c r="E291" s="8">
        <v>30.0</v>
      </c>
      <c r="H291" s="8" t="s">
        <v>20</v>
      </c>
      <c r="I291" s="9">
        <v>46162.082337962966</v>
      </c>
      <c r="J291" s="8" t="s">
        <v>62</v>
      </c>
      <c r="K291" s="8">
        <v>31000.0</v>
      </c>
      <c r="L291" s="8">
        <v>1400.0</v>
      </c>
      <c r="M291" s="8">
        <v>470000.0</v>
      </c>
      <c r="N291" s="7">
        <v>44113.0</v>
      </c>
      <c r="O291" s="8" t="s">
        <v>147</v>
      </c>
      <c r="P291" s="8" t="s">
        <v>28</v>
      </c>
      <c r="S291" s="8" t="s">
        <v>32</v>
      </c>
    </row>
    <row r="292">
      <c r="A292" s="8">
        <v>291.0</v>
      </c>
      <c r="B292" s="8" t="s">
        <v>1959</v>
      </c>
      <c r="C292" s="8" t="s">
        <v>21</v>
      </c>
      <c r="D292" s="8">
        <v>1.0</v>
      </c>
      <c r="E292" s="8">
        <v>30.0</v>
      </c>
      <c r="F292" s="8">
        <v>1.4</v>
      </c>
      <c r="H292" s="8" t="s">
        <v>744</v>
      </c>
      <c r="I292" s="9">
        <v>46160.50855324074</v>
      </c>
      <c r="J292" s="8" t="s">
        <v>23</v>
      </c>
      <c r="K292" s="8">
        <v>30.0</v>
      </c>
      <c r="L292" s="8">
        <v>131000.0</v>
      </c>
      <c r="M292" s="8">
        <v>135000.0</v>
      </c>
      <c r="N292" s="7">
        <v>43447.0</v>
      </c>
      <c r="O292" s="8" t="s">
        <v>26</v>
      </c>
      <c r="P292" s="8" t="s">
        <v>28</v>
      </c>
      <c r="S292" s="8" t="s">
        <v>748</v>
      </c>
    </row>
    <row r="293">
      <c r="A293" s="8">
        <v>292.0</v>
      </c>
      <c r="B293" s="8" t="s">
        <v>1962</v>
      </c>
      <c r="C293" s="8" t="s">
        <v>21</v>
      </c>
      <c r="D293" s="8">
        <v>12.0</v>
      </c>
      <c r="E293" s="8">
        <v>30.0</v>
      </c>
      <c r="H293" s="8" t="s">
        <v>60</v>
      </c>
      <c r="I293" s="9">
        <v>46082.38416666666</v>
      </c>
      <c r="J293" s="8" t="s">
        <v>1964</v>
      </c>
      <c r="K293" s="8">
        <v>30.0</v>
      </c>
      <c r="L293" s="8">
        <v>150.0</v>
      </c>
      <c r="M293" s="8">
        <v>200.0</v>
      </c>
      <c r="N293" s="7">
        <v>44626.0</v>
      </c>
      <c r="O293" s="8" t="s">
        <v>127</v>
      </c>
      <c r="P293" s="8" t="s">
        <v>28</v>
      </c>
      <c r="S293" s="8" t="s">
        <v>32</v>
      </c>
    </row>
    <row r="294">
      <c r="A294" s="8">
        <v>293.0</v>
      </c>
      <c r="B294" s="8" t="s">
        <v>1967</v>
      </c>
      <c r="C294" s="8" t="s">
        <v>21</v>
      </c>
      <c r="D294" s="8">
        <v>73.0</v>
      </c>
      <c r="E294" s="8">
        <v>30.0</v>
      </c>
      <c r="H294" s="8" t="s">
        <v>697</v>
      </c>
      <c r="I294" s="9">
        <v>46162.72712962963</v>
      </c>
      <c r="K294" s="8">
        <v>24000.0</v>
      </c>
      <c r="L294" s="8">
        <v>250.0</v>
      </c>
      <c r="M294" s="8">
        <v>423000.0</v>
      </c>
      <c r="N294" s="7">
        <v>42273.0</v>
      </c>
      <c r="O294" s="8" t="s">
        <v>147</v>
      </c>
      <c r="P294" s="8" t="s">
        <v>28</v>
      </c>
      <c r="S294" s="8" t="s">
        <v>32</v>
      </c>
    </row>
    <row r="295">
      <c r="A295" s="8">
        <v>294.0</v>
      </c>
      <c r="B295" s="8" t="s">
        <v>1970</v>
      </c>
      <c r="C295" s="8" t="s">
        <v>21</v>
      </c>
      <c r="D295" s="8">
        <v>0.0</v>
      </c>
      <c r="E295" s="8">
        <v>20.0</v>
      </c>
      <c r="H295" s="8" t="s">
        <v>744</v>
      </c>
      <c r="I295" s="9">
        <v>46101.0403125</v>
      </c>
      <c r="J295" s="8" t="s">
        <v>90</v>
      </c>
      <c r="K295" s="8">
        <v>20.0</v>
      </c>
      <c r="L295" s="8">
        <v>141000.0</v>
      </c>
      <c r="M295" s="8">
        <v>145000.0</v>
      </c>
      <c r="N295" s="7">
        <v>44155.0</v>
      </c>
      <c r="O295" s="8" t="s">
        <v>803</v>
      </c>
      <c r="P295" s="8" t="s">
        <v>28</v>
      </c>
      <c r="S295" s="8" t="s">
        <v>748</v>
      </c>
    </row>
    <row r="296">
      <c r="A296" s="8">
        <v>295.0</v>
      </c>
      <c r="B296" s="8" t="s">
        <v>1974</v>
      </c>
      <c r="C296" s="8" t="s">
        <v>21</v>
      </c>
      <c r="D296" s="8">
        <v>69.0</v>
      </c>
      <c r="E296" s="8">
        <v>20.0</v>
      </c>
      <c r="H296" s="8" t="s">
        <v>1976</v>
      </c>
      <c r="I296" s="9">
        <v>46123.89200231482</v>
      </c>
      <c r="K296" s="8">
        <v>3100.0</v>
      </c>
      <c r="L296" s="8">
        <v>0.0</v>
      </c>
      <c r="M296" s="8">
        <v>84000.0</v>
      </c>
      <c r="N296" s="7">
        <v>42800.0</v>
      </c>
      <c r="O296" s="8" t="s">
        <v>147</v>
      </c>
      <c r="P296" s="8" t="s">
        <v>28</v>
      </c>
      <c r="S296" s="8" t="s">
        <v>32</v>
      </c>
    </row>
    <row r="297">
      <c r="A297" s="8">
        <v>296.0</v>
      </c>
      <c r="B297" s="8" t="s">
        <v>1979</v>
      </c>
      <c r="C297" s="8" t="s">
        <v>21</v>
      </c>
      <c r="D297" s="8">
        <v>14.0</v>
      </c>
      <c r="E297" s="8">
        <v>20.0</v>
      </c>
      <c r="H297" s="8" t="s">
        <v>744</v>
      </c>
      <c r="I297" s="9">
        <v>46125.69761574074</v>
      </c>
      <c r="J297" s="8" t="s">
        <v>1982</v>
      </c>
      <c r="K297" s="8">
        <v>20.0</v>
      </c>
      <c r="L297" s="8">
        <v>136000.0</v>
      </c>
      <c r="M297" s="8">
        <v>140000.0</v>
      </c>
      <c r="N297" s="7">
        <v>43014.0</v>
      </c>
      <c r="O297" s="8" t="s">
        <v>147</v>
      </c>
      <c r="P297" s="8" t="s">
        <v>28</v>
      </c>
      <c r="S297" s="8" t="s">
        <v>748</v>
      </c>
    </row>
    <row r="298">
      <c r="A298" s="8">
        <v>297.0</v>
      </c>
      <c r="B298" s="8" t="s">
        <v>1984</v>
      </c>
      <c r="C298" s="8" t="s">
        <v>21</v>
      </c>
      <c r="D298" s="8">
        <v>0.0</v>
      </c>
      <c r="E298" s="8">
        <v>20.0</v>
      </c>
      <c r="H298" s="8" t="s">
        <v>1678</v>
      </c>
      <c r="I298" s="9">
        <v>46161.257835648146</v>
      </c>
      <c r="J298" s="8" t="s">
        <v>1986</v>
      </c>
      <c r="K298" s="8">
        <v>20.0</v>
      </c>
      <c r="L298" s="8">
        <v>40.0</v>
      </c>
      <c r="M298" s="8">
        <v>40.0</v>
      </c>
      <c r="N298" s="7">
        <v>42314.0</v>
      </c>
      <c r="O298" s="8" t="s">
        <v>26</v>
      </c>
      <c r="P298" s="8" t="s">
        <v>28</v>
      </c>
      <c r="S298" s="8" t="s">
        <v>782</v>
      </c>
    </row>
    <row r="299">
      <c r="A299" s="8">
        <v>298.0</v>
      </c>
      <c r="B299" s="8" t="s">
        <v>1988</v>
      </c>
      <c r="C299" s="8" t="s">
        <v>21</v>
      </c>
      <c r="D299" s="8">
        <v>74.0</v>
      </c>
      <c r="E299" s="8">
        <v>20.0</v>
      </c>
      <c r="H299" s="8" t="s">
        <v>398</v>
      </c>
      <c r="I299" s="9">
        <v>46148.16465277778</v>
      </c>
      <c r="J299" s="8" t="s">
        <v>62</v>
      </c>
      <c r="K299" s="8">
        <v>3100.0</v>
      </c>
      <c r="L299" s="8">
        <v>700.0</v>
      </c>
      <c r="M299" s="8">
        <v>332000.0</v>
      </c>
      <c r="N299" s="7">
        <v>44285.0</v>
      </c>
      <c r="O299" s="8" t="s">
        <v>1991</v>
      </c>
      <c r="P299" s="8" t="s">
        <v>938</v>
      </c>
      <c r="S299" s="8" t="s">
        <v>32</v>
      </c>
    </row>
    <row r="300">
      <c r="A300" s="8">
        <v>299.0</v>
      </c>
      <c r="B300" s="8" t="s">
        <v>1993</v>
      </c>
      <c r="C300" s="8" t="s">
        <v>21</v>
      </c>
      <c r="D300" s="8">
        <v>76.0</v>
      </c>
      <c r="E300" s="8">
        <v>20.0</v>
      </c>
      <c r="H300" s="8" t="s">
        <v>123</v>
      </c>
      <c r="I300" s="9">
        <v>46145.35853009259</v>
      </c>
      <c r="J300" s="8" t="s">
        <v>90</v>
      </c>
      <c r="K300" s="8">
        <v>1700.0</v>
      </c>
      <c r="L300" s="8">
        <v>800.0</v>
      </c>
      <c r="M300" s="8">
        <v>201000.0</v>
      </c>
      <c r="N300" s="7">
        <v>43967.0</v>
      </c>
      <c r="O300" s="8" t="s">
        <v>107</v>
      </c>
      <c r="P300" s="8" t="s">
        <v>28</v>
      </c>
      <c r="S300" s="8" t="s">
        <v>32</v>
      </c>
    </row>
    <row r="301">
      <c r="A301" s="8">
        <v>300.0</v>
      </c>
      <c r="B301" s="8" t="s">
        <v>1996</v>
      </c>
      <c r="C301" s="8" t="s">
        <v>21</v>
      </c>
      <c r="D301" s="8">
        <v>77.0</v>
      </c>
      <c r="E301" s="8">
        <v>20.0</v>
      </c>
      <c r="H301" s="8" t="s">
        <v>53</v>
      </c>
      <c r="I301" s="9">
        <v>46163.192037037035</v>
      </c>
      <c r="K301" s="8">
        <v>341000.0</v>
      </c>
      <c r="L301" s="8">
        <v>10.0</v>
      </c>
      <c r="M301" s="8">
        <v>1320000.0</v>
      </c>
      <c r="N301" s="7">
        <v>44362.0</v>
      </c>
      <c r="O301" s="8" t="s">
        <v>31</v>
      </c>
      <c r="P301" s="8" t="s">
        <v>28</v>
      </c>
      <c r="S301" s="8" t="s">
        <v>32</v>
      </c>
    </row>
    <row r="302">
      <c r="A302" s="8">
        <v>301.0</v>
      </c>
      <c r="B302" s="8" t="s">
        <v>2000</v>
      </c>
      <c r="C302" s="8" t="s">
        <v>21</v>
      </c>
      <c r="D302" s="8">
        <v>68.0</v>
      </c>
      <c r="E302" s="8">
        <v>20.0</v>
      </c>
      <c r="H302" s="8" t="s">
        <v>20</v>
      </c>
      <c r="I302" s="9">
        <v>46106.875914351855</v>
      </c>
      <c r="J302" s="8" t="s">
        <v>2003</v>
      </c>
      <c r="K302" s="8">
        <v>327000.0</v>
      </c>
      <c r="L302" s="8">
        <v>10.0</v>
      </c>
      <c r="M302" s="8">
        <v>421000.0</v>
      </c>
      <c r="N302" s="7">
        <v>42445.0</v>
      </c>
      <c r="O302" s="8" t="s">
        <v>26</v>
      </c>
      <c r="P302" s="8" t="s">
        <v>28</v>
      </c>
      <c r="S302" s="8" t="s">
        <v>32</v>
      </c>
    </row>
    <row r="303">
      <c r="A303" s="8">
        <v>302.0</v>
      </c>
      <c r="B303" s="8" t="s">
        <v>683</v>
      </c>
      <c r="C303" s="8" t="s">
        <v>21</v>
      </c>
      <c r="D303" s="8">
        <v>73.0</v>
      </c>
      <c r="E303" s="8">
        <v>20.0</v>
      </c>
      <c r="H303" s="8" t="s">
        <v>35</v>
      </c>
      <c r="I303" s="9">
        <v>46085.18225694444</v>
      </c>
      <c r="J303" s="8" t="s">
        <v>96</v>
      </c>
      <c r="K303" s="8">
        <v>40.0</v>
      </c>
      <c r="L303" s="8">
        <v>11000.0</v>
      </c>
      <c r="M303" s="8">
        <v>11000.0</v>
      </c>
      <c r="N303" s="7">
        <v>42570.0</v>
      </c>
      <c r="O303" s="8" t="s">
        <v>31</v>
      </c>
      <c r="P303" s="8" t="s">
        <v>28</v>
      </c>
      <c r="S303" s="8" t="s">
        <v>32</v>
      </c>
    </row>
    <row r="304">
      <c r="A304" s="8">
        <v>303.0</v>
      </c>
      <c r="B304" s="8" t="s">
        <v>2006</v>
      </c>
      <c r="C304" s="8" t="s">
        <v>21</v>
      </c>
      <c r="D304" s="8">
        <v>73.0</v>
      </c>
      <c r="E304" s="8">
        <v>20.0</v>
      </c>
      <c r="F304" s="8">
        <v>0.25</v>
      </c>
      <c r="H304" s="8" t="s">
        <v>1226</v>
      </c>
      <c r="I304" s="9">
        <v>46160.83896990741</v>
      </c>
      <c r="K304" s="8">
        <v>20.0</v>
      </c>
      <c r="L304" s="8">
        <v>1000.0</v>
      </c>
      <c r="M304" s="8">
        <v>1100.0</v>
      </c>
      <c r="N304" s="7">
        <v>42536.0</v>
      </c>
      <c r="O304" s="8" t="s">
        <v>26</v>
      </c>
      <c r="P304" s="8" t="s">
        <v>28</v>
      </c>
      <c r="S304" s="8" t="s">
        <v>782</v>
      </c>
    </row>
    <row r="305">
      <c r="A305" s="8">
        <v>304.0</v>
      </c>
      <c r="B305" s="8" t="s">
        <v>2009</v>
      </c>
      <c r="C305" s="8" t="s">
        <v>21</v>
      </c>
      <c r="D305" s="8">
        <v>31.0</v>
      </c>
      <c r="E305" s="8">
        <v>20.0</v>
      </c>
      <c r="H305" s="8" t="s">
        <v>744</v>
      </c>
      <c r="I305" s="9">
        <v>46149.00011574074</v>
      </c>
      <c r="J305" s="8" t="s">
        <v>90</v>
      </c>
      <c r="K305" s="8">
        <v>150.0</v>
      </c>
      <c r="L305" s="8">
        <v>137000.0</v>
      </c>
      <c r="M305" s="8">
        <v>140000.0</v>
      </c>
      <c r="N305" s="7">
        <v>42522.0</v>
      </c>
      <c r="O305" s="8" t="s">
        <v>1028</v>
      </c>
      <c r="P305" s="8" t="s">
        <v>28</v>
      </c>
      <c r="S305" s="8" t="s">
        <v>2012</v>
      </c>
    </row>
    <row r="306">
      <c r="A306" s="8">
        <v>305.0</v>
      </c>
      <c r="B306" s="8" t="s">
        <v>2014</v>
      </c>
      <c r="C306" s="8" t="s">
        <v>21</v>
      </c>
      <c r="D306" s="8">
        <v>24.0</v>
      </c>
      <c r="E306" s="8">
        <v>20.0</v>
      </c>
      <c r="H306" s="8" t="s">
        <v>60</v>
      </c>
      <c r="I306" s="9">
        <v>46157.35157407408</v>
      </c>
      <c r="J306" s="8" t="s">
        <v>90</v>
      </c>
      <c r="K306" s="8">
        <v>20.0</v>
      </c>
      <c r="L306" s="8">
        <v>70.0</v>
      </c>
      <c r="M306" s="8">
        <v>90.0</v>
      </c>
      <c r="N306" s="7">
        <v>42458.0</v>
      </c>
      <c r="O306" s="8" t="s">
        <v>26</v>
      </c>
      <c r="P306" s="8" t="s">
        <v>28</v>
      </c>
      <c r="S306" s="8" t="s">
        <v>32</v>
      </c>
    </row>
    <row r="307">
      <c r="A307" s="8">
        <v>306.0</v>
      </c>
      <c r="B307" s="8" t="s">
        <v>2017</v>
      </c>
      <c r="C307" s="8" t="s">
        <v>21</v>
      </c>
      <c r="D307" s="8">
        <v>69.0</v>
      </c>
      <c r="E307" s="8">
        <v>20.0</v>
      </c>
      <c r="H307" s="8" t="s">
        <v>2019</v>
      </c>
      <c r="I307" s="9">
        <v>46052.876238425924</v>
      </c>
      <c r="K307" s="8">
        <v>60.0</v>
      </c>
      <c r="L307" s="8">
        <v>350.0</v>
      </c>
      <c r="M307" s="8">
        <v>239000.0</v>
      </c>
      <c r="N307" s="7">
        <v>42383.0</v>
      </c>
      <c r="O307" s="8" t="s">
        <v>107</v>
      </c>
      <c r="P307" s="8" t="s">
        <v>28</v>
      </c>
      <c r="S307" s="8" t="s">
        <v>32</v>
      </c>
    </row>
    <row r="308">
      <c r="A308" s="8">
        <v>307.0</v>
      </c>
      <c r="B308" s="8" t="s">
        <v>2020</v>
      </c>
      <c r="C308" s="8" t="s">
        <v>21</v>
      </c>
      <c r="D308" s="8">
        <v>74.0</v>
      </c>
      <c r="E308" s="8">
        <v>20.0</v>
      </c>
      <c r="H308" s="8" t="s">
        <v>35</v>
      </c>
      <c r="I308" s="9">
        <v>46161.261145833334</v>
      </c>
      <c r="J308" s="8" t="s">
        <v>96</v>
      </c>
      <c r="K308" s="8">
        <v>900.0</v>
      </c>
      <c r="L308" s="8">
        <v>11000.0</v>
      </c>
      <c r="M308" s="8">
        <v>12000.0</v>
      </c>
      <c r="N308" s="7">
        <v>42767.0</v>
      </c>
      <c r="O308" s="8" t="s">
        <v>31</v>
      </c>
      <c r="P308" s="8" t="s">
        <v>28</v>
      </c>
      <c r="S308" s="8" t="s">
        <v>32</v>
      </c>
    </row>
    <row r="309">
      <c r="A309" s="8">
        <v>308.0</v>
      </c>
      <c r="B309" s="8" t="s">
        <v>2022</v>
      </c>
      <c r="C309" s="8" t="s">
        <v>21</v>
      </c>
      <c r="D309" s="8">
        <v>10.0</v>
      </c>
      <c r="E309" s="8">
        <v>20.0</v>
      </c>
      <c r="H309" s="8" t="s">
        <v>744</v>
      </c>
      <c r="I309" s="9">
        <v>46160.36787037037</v>
      </c>
      <c r="J309" s="8" t="s">
        <v>2024</v>
      </c>
      <c r="K309" s="8">
        <v>3800.0</v>
      </c>
      <c r="L309" s="8">
        <v>131000.0</v>
      </c>
      <c r="M309" s="8">
        <v>135000.0</v>
      </c>
      <c r="N309" s="7">
        <v>42727.0</v>
      </c>
      <c r="O309" s="8" t="s">
        <v>31</v>
      </c>
      <c r="S309" s="8" t="s">
        <v>2026</v>
      </c>
    </row>
    <row r="310">
      <c r="A310" s="8">
        <v>309.0</v>
      </c>
      <c r="B310" s="8" t="s">
        <v>2028</v>
      </c>
      <c r="C310" s="8" t="s">
        <v>21</v>
      </c>
      <c r="D310" s="8">
        <v>76.0</v>
      </c>
      <c r="E310" s="8">
        <v>20.0</v>
      </c>
      <c r="H310" s="8" t="s">
        <v>1353</v>
      </c>
      <c r="I310" s="9">
        <v>46107.10548611111</v>
      </c>
      <c r="J310" s="8" t="s">
        <v>62</v>
      </c>
      <c r="K310" s="8">
        <v>20.0</v>
      </c>
      <c r="L310" s="8">
        <v>200.0</v>
      </c>
      <c r="M310" s="8">
        <v>220000.0</v>
      </c>
      <c r="N310" s="7">
        <v>42419.0</v>
      </c>
      <c r="O310" s="8" t="s">
        <v>147</v>
      </c>
      <c r="P310" s="8" t="s">
        <v>28</v>
      </c>
      <c r="S310" s="8" t="s">
        <v>32</v>
      </c>
    </row>
    <row r="311">
      <c r="A311" s="8">
        <v>310.0</v>
      </c>
      <c r="B311" s="8" t="s">
        <v>2032</v>
      </c>
      <c r="C311" s="8" t="s">
        <v>21</v>
      </c>
      <c r="D311" s="8">
        <v>73.0</v>
      </c>
      <c r="E311" s="8">
        <v>20.0</v>
      </c>
      <c r="H311" s="8" t="s">
        <v>1409</v>
      </c>
      <c r="I311" s="9">
        <v>46146.34019675926</v>
      </c>
      <c r="J311" s="8" t="s">
        <v>90</v>
      </c>
      <c r="K311" s="8">
        <v>62000.0</v>
      </c>
      <c r="L311" s="8">
        <v>70.0</v>
      </c>
      <c r="M311" s="8">
        <v>367000.0</v>
      </c>
      <c r="N311" s="7">
        <v>42454.0</v>
      </c>
      <c r="O311" s="8" t="s">
        <v>127</v>
      </c>
      <c r="P311" s="8" t="s">
        <v>28</v>
      </c>
      <c r="S311" s="8" t="s">
        <v>32</v>
      </c>
    </row>
    <row r="312">
      <c r="A312" s="8">
        <v>311.0</v>
      </c>
      <c r="B312" s="8" t="s">
        <v>692</v>
      </c>
      <c r="C312" s="8" t="s">
        <v>21</v>
      </c>
      <c r="D312" s="8">
        <v>83.0</v>
      </c>
      <c r="E312" s="8">
        <v>20.0</v>
      </c>
      <c r="H312" s="8" t="s">
        <v>55</v>
      </c>
      <c r="I312" s="9">
        <v>46131.96947916667</v>
      </c>
      <c r="K312" s="8">
        <v>7900.0</v>
      </c>
      <c r="L312" s="8">
        <v>15000.0</v>
      </c>
      <c r="M312" s="8">
        <v>69000.0</v>
      </c>
      <c r="N312" s="7">
        <v>42612.0</v>
      </c>
      <c r="O312" s="8" t="s">
        <v>31</v>
      </c>
      <c r="P312" s="8" t="s">
        <v>28</v>
      </c>
      <c r="S312" s="8" t="s">
        <v>32</v>
      </c>
    </row>
    <row r="313">
      <c r="A313" s="8">
        <v>312.0</v>
      </c>
      <c r="B313" s="8" t="s">
        <v>2038</v>
      </c>
      <c r="C313" s="8" t="s">
        <v>21</v>
      </c>
      <c r="D313" s="8">
        <v>75.0</v>
      </c>
      <c r="E313" s="8">
        <v>20.0</v>
      </c>
      <c r="H313" s="8" t="s">
        <v>398</v>
      </c>
      <c r="I313" s="9">
        <v>46123.75679398148</v>
      </c>
      <c r="J313" s="8" t="s">
        <v>90</v>
      </c>
      <c r="K313" s="8">
        <v>14000.0</v>
      </c>
      <c r="L313" s="8">
        <v>600.0</v>
      </c>
      <c r="M313" s="8">
        <v>356000.0</v>
      </c>
      <c r="N313" s="7">
        <v>43882.0</v>
      </c>
      <c r="O313" s="8" t="s">
        <v>107</v>
      </c>
      <c r="P313" s="8" t="s">
        <v>1174</v>
      </c>
      <c r="S313" s="8" t="s">
        <v>32</v>
      </c>
    </row>
    <row r="314">
      <c r="A314" s="8">
        <v>313.0</v>
      </c>
      <c r="B314" s="8" t="s">
        <v>2041</v>
      </c>
      <c r="C314" s="8" t="s">
        <v>21</v>
      </c>
      <c r="D314" s="8">
        <v>3.0</v>
      </c>
      <c r="E314" s="8">
        <v>20.0</v>
      </c>
      <c r="H314" s="8" t="s">
        <v>1697</v>
      </c>
      <c r="I314" s="9">
        <v>46144.156805555554</v>
      </c>
      <c r="J314" s="8" t="s">
        <v>96</v>
      </c>
      <c r="K314" s="8">
        <v>20.0</v>
      </c>
      <c r="L314" s="8">
        <v>90.0</v>
      </c>
      <c r="M314" s="8">
        <v>90.0</v>
      </c>
      <c r="N314" s="7">
        <v>44360.0</v>
      </c>
      <c r="O314" s="8" t="s">
        <v>26</v>
      </c>
      <c r="P314" s="8" t="s">
        <v>28</v>
      </c>
      <c r="S314" s="8" t="s">
        <v>782</v>
      </c>
    </row>
    <row r="315">
      <c r="A315" s="8">
        <v>314.0</v>
      </c>
      <c r="B315" s="8" t="s">
        <v>693</v>
      </c>
      <c r="C315" s="8" t="s">
        <v>21</v>
      </c>
      <c r="D315" s="8">
        <v>76.0</v>
      </c>
      <c r="E315" s="8">
        <v>20.0</v>
      </c>
      <c r="H315" s="8" t="s">
        <v>398</v>
      </c>
      <c r="I315" s="9">
        <v>46089.228796296295</v>
      </c>
      <c r="K315" s="8">
        <v>11000.0</v>
      </c>
      <c r="L315" s="8">
        <v>600.0</v>
      </c>
      <c r="M315" s="8">
        <v>305000.0</v>
      </c>
      <c r="N315" s="7">
        <v>43477.0</v>
      </c>
      <c r="O315" s="8" t="s">
        <v>147</v>
      </c>
      <c r="P315" s="8" t="s">
        <v>28</v>
      </c>
      <c r="S315" s="8" t="s">
        <v>32</v>
      </c>
    </row>
    <row r="316">
      <c r="A316" s="8">
        <v>315.0</v>
      </c>
      <c r="B316" s="8" t="s">
        <v>2046</v>
      </c>
      <c r="C316" s="8" t="s">
        <v>21</v>
      </c>
      <c r="D316" s="8">
        <v>72.0</v>
      </c>
      <c r="E316" s="8">
        <v>20.0</v>
      </c>
      <c r="H316" s="8" t="s">
        <v>2048</v>
      </c>
      <c r="I316" s="9">
        <v>46155.924421296295</v>
      </c>
      <c r="J316" s="8" t="s">
        <v>58</v>
      </c>
      <c r="K316" s="8">
        <v>30000.0</v>
      </c>
      <c r="L316" s="8">
        <v>0.0</v>
      </c>
      <c r="M316" s="8">
        <v>42000.0</v>
      </c>
      <c r="N316" s="7">
        <v>43098.0</v>
      </c>
      <c r="O316" s="8" t="s">
        <v>147</v>
      </c>
      <c r="P316" s="8" t="s">
        <v>28</v>
      </c>
      <c r="S316" s="8" t="s">
        <v>32</v>
      </c>
    </row>
    <row r="317">
      <c r="A317" s="8">
        <v>316.0</v>
      </c>
      <c r="B317" s="8" t="s">
        <v>2051</v>
      </c>
      <c r="C317" s="8" t="s">
        <v>21</v>
      </c>
      <c r="D317" s="8">
        <v>54.0</v>
      </c>
      <c r="E317" s="8">
        <v>20.0</v>
      </c>
      <c r="H317" s="8" t="s">
        <v>755</v>
      </c>
      <c r="I317" s="9">
        <v>46160.84307870371</v>
      </c>
      <c r="J317" s="8" t="s">
        <v>90</v>
      </c>
      <c r="K317" s="8">
        <v>30.0</v>
      </c>
      <c r="L317" s="8">
        <v>16000.0</v>
      </c>
      <c r="M317" s="8">
        <v>16000.0</v>
      </c>
      <c r="N317" s="7">
        <v>42407.0</v>
      </c>
      <c r="O317" s="8" t="s">
        <v>803</v>
      </c>
      <c r="S317" s="8" t="s">
        <v>748</v>
      </c>
    </row>
    <row r="318">
      <c r="A318" s="8">
        <v>317.0</v>
      </c>
      <c r="B318" s="8" t="s">
        <v>2055</v>
      </c>
      <c r="C318" s="8" t="s">
        <v>21</v>
      </c>
      <c r="D318" s="8">
        <v>63.0</v>
      </c>
      <c r="E318" s="8">
        <v>20.0</v>
      </c>
      <c r="H318" s="8" t="s">
        <v>1183</v>
      </c>
      <c r="I318" s="9">
        <v>46082.531180555554</v>
      </c>
      <c r="J318" s="8" t="s">
        <v>96</v>
      </c>
      <c r="K318" s="8">
        <v>20.0</v>
      </c>
      <c r="L318" s="8">
        <v>3500.0</v>
      </c>
      <c r="M318" s="8">
        <v>3700.0</v>
      </c>
      <c r="N318" s="7">
        <v>44872.0</v>
      </c>
      <c r="O318" s="8" t="s">
        <v>26</v>
      </c>
      <c r="P318" s="8" t="s">
        <v>28</v>
      </c>
      <c r="S318" s="8" t="s">
        <v>934</v>
      </c>
    </row>
    <row r="319">
      <c r="A319" s="8">
        <v>318.0</v>
      </c>
      <c r="B319" s="8" t="s">
        <v>2059</v>
      </c>
      <c r="C319" s="8" t="s">
        <v>21</v>
      </c>
      <c r="D319" s="8">
        <v>0.0</v>
      </c>
      <c r="E319" s="8">
        <v>20.0</v>
      </c>
      <c r="H319" s="8" t="s">
        <v>744</v>
      </c>
      <c r="I319" s="9">
        <v>46162.50802083333</v>
      </c>
      <c r="J319" s="8" t="s">
        <v>62</v>
      </c>
      <c r="K319" s="8">
        <v>90.0</v>
      </c>
      <c r="L319" s="8">
        <v>131000.0</v>
      </c>
      <c r="M319" s="8">
        <v>135000.0</v>
      </c>
      <c r="N319" s="7">
        <v>42319.0</v>
      </c>
      <c r="O319" s="8" t="s">
        <v>127</v>
      </c>
      <c r="P319" s="8" t="s">
        <v>28</v>
      </c>
      <c r="S319" s="8" t="s">
        <v>32</v>
      </c>
    </row>
    <row r="320">
      <c r="A320" s="8">
        <v>319.0</v>
      </c>
      <c r="B320" s="8" t="s">
        <v>2063</v>
      </c>
      <c r="C320" s="8" t="s">
        <v>21</v>
      </c>
      <c r="D320" s="8">
        <v>4.0</v>
      </c>
      <c r="E320" s="8">
        <v>20.0</v>
      </c>
      <c r="H320" s="8" t="s">
        <v>19</v>
      </c>
      <c r="I320" s="9">
        <v>46148.34883101852</v>
      </c>
      <c r="J320" s="8" t="s">
        <v>90</v>
      </c>
      <c r="K320" s="8">
        <v>20.0</v>
      </c>
      <c r="L320" s="8">
        <v>26000.0</v>
      </c>
      <c r="M320" s="8">
        <v>27000.0</v>
      </c>
      <c r="N320" s="7">
        <v>43456.0</v>
      </c>
      <c r="O320" s="8" t="s">
        <v>147</v>
      </c>
      <c r="P320" s="8" t="s">
        <v>28</v>
      </c>
      <c r="S320" s="8" t="s">
        <v>32</v>
      </c>
    </row>
    <row r="321">
      <c r="A321" s="8">
        <v>320.0</v>
      </c>
      <c r="B321" s="8" t="s">
        <v>696</v>
      </c>
      <c r="C321" s="8" t="s">
        <v>21</v>
      </c>
      <c r="D321" s="8">
        <v>73.0</v>
      </c>
      <c r="E321" s="8">
        <v>20.0</v>
      </c>
      <c r="H321" s="8" t="s">
        <v>697</v>
      </c>
      <c r="I321" s="9">
        <v>46148.49435185185</v>
      </c>
      <c r="J321" s="8" t="s">
        <v>96</v>
      </c>
      <c r="K321" s="8">
        <v>2200.0</v>
      </c>
      <c r="L321" s="8">
        <v>250.0</v>
      </c>
      <c r="M321" s="8">
        <v>212000.0</v>
      </c>
      <c r="N321" s="7">
        <v>43195.0</v>
      </c>
      <c r="O321" s="8" t="s">
        <v>147</v>
      </c>
      <c r="P321" s="8" t="s">
        <v>28</v>
      </c>
      <c r="S321" s="8" t="s">
        <v>32</v>
      </c>
    </row>
    <row r="322">
      <c r="A322" s="8">
        <v>321.0</v>
      </c>
      <c r="B322" s="8" t="s">
        <v>2069</v>
      </c>
      <c r="C322" s="8" t="s">
        <v>21</v>
      </c>
      <c r="D322" s="8">
        <v>81.0</v>
      </c>
      <c r="E322" s="8">
        <v>20.0</v>
      </c>
      <c r="H322" s="8" t="s">
        <v>1290</v>
      </c>
      <c r="I322" s="9">
        <v>46160.723287037035</v>
      </c>
      <c r="K322" s="8">
        <v>36000.0</v>
      </c>
      <c r="L322" s="8">
        <v>40.0</v>
      </c>
      <c r="M322" s="8">
        <v>1460000.0</v>
      </c>
      <c r="N322" s="7">
        <v>44211.0</v>
      </c>
      <c r="O322" s="8" t="s">
        <v>26</v>
      </c>
      <c r="P322" s="8" t="s">
        <v>28</v>
      </c>
      <c r="S322" s="8" t="s">
        <v>32</v>
      </c>
    </row>
    <row r="323">
      <c r="A323" s="8">
        <v>322.0</v>
      </c>
      <c r="B323" s="8" t="s">
        <v>2073</v>
      </c>
      <c r="C323" s="8" t="s">
        <v>21</v>
      </c>
      <c r="D323" s="8">
        <v>69.0</v>
      </c>
      <c r="E323" s="8">
        <v>20.0</v>
      </c>
      <c r="H323" s="8" t="s">
        <v>2074</v>
      </c>
      <c r="I323" s="9">
        <v>46155.975011574075</v>
      </c>
      <c r="J323" s="8" t="s">
        <v>96</v>
      </c>
      <c r="K323" s="8">
        <v>5300.0</v>
      </c>
      <c r="L323" s="8">
        <v>20.0</v>
      </c>
      <c r="M323" s="8">
        <v>162000.0</v>
      </c>
      <c r="N323" s="7">
        <v>44881.0</v>
      </c>
      <c r="O323" s="8" t="s">
        <v>107</v>
      </c>
      <c r="P323" s="8" t="s">
        <v>938</v>
      </c>
      <c r="S323" s="8" t="s">
        <v>32</v>
      </c>
    </row>
    <row r="324">
      <c r="A324" s="8">
        <v>323.0</v>
      </c>
      <c r="B324" s="8" t="s">
        <v>2076</v>
      </c>
      <c r="C324" s="8" t="s">
        <v>21</v>
      </c>
      <c r="D324" s="8">
        <v>74.0</v>
      </c>
      <c r="E324" s="8">
        <v>20.0</v>
      </c>
      <c r="H324" s="8" t="s">
        <v>1804</v>
      </c>
      <c r="I324" s="9">
        <v>46143.851018518515</v>
      </c>
      <c r="J324" s="8" t="s">
        <v>96</v>
      </c>
      <c r="K324" s="8">
        <v>12000.0</v>
      </c>
      <c r="L324" s="8">
        <v>50.0</v>
      </c>
      <c r="M324" s="8">
        <v>63000.0</v>
      </c>
      <c r="N324" s="7">
        <v>42349.0</v>
      </c>
      <c r="O324" s="8" t="s">
        <v>147</v>
      </c>
      <c r="P324" s="8" t="s">
        <v>28</v>
      </c>
      <c r="S324" s="8" t="s">
        <v>32</v>
      </c>
    </row>
    <row r="325">
      <c r="A325" s="8">
        <v>324.0</v>
      </c>
      <c r="B325" s="8" t="s">
        <v>2079</v>
      </c>
      <c r="C325" s="8" t="s">
        <v>21</v>
      </c>
      <c r="D325" s="8">
        <v>0.0</v>
      </c>
      <c r="E325" s="8">
        <v>20.0</v>
      </c>
      <c r="H325" s="8" t="s">
        <v>744</v>
      </c>
      <c r="I325" s="9">
        <v>46088.398935185185</v>
      </c>
      <c r="J325" s="8" t="s">
        <v>90</v>
      </c>
      <c r="K325" s="8">
        <v>20.0</v>
      </c>
      <c r="L325" s="8">
        <v>145000.0</v>
      </c>
      <c r="M325" s="8">
        <v>149000.0</v>
      </c>
      <c r="N325" s="7">
        <v>42542.0</v>
      </c>
      <c r="O325" s="8" t="s">
        <v>803</v>
      </c>
      <c r="P325" s="8" t="s">
        <v>28</v>
      </c>
      <c r="S325" s="8" t="s">
        <v>782</v>
      </c>
    </row>
    <row r="326">
      <c r="A326" s="8">
        <v>325.0</v>
      </c>
      <c r="B326" s="8" t="s">
        <v>699</v>
      </c>
      <c r="C326" s="8" t="s">
        <v>21</v>
      </c>
      <c r="D326" s="8">
        <v>57.0</v>
      </c>
      <c r="E326" s="8">
        <v>20.0</v>
      </c>
      <c r="H326" s="8" t="s">
        <v>55</v>
      </c>
      <c r="I326" s="9">
        <v>46131.94018518519</v>
      </c>
      <c r="J326" s="8" t="s">
        <v>90</v>
      </c>
      <c r="K326" s="8">
        <v>3700.0</v>
      </c>
      <c r="L326" s="8">
        <v>15000.0</v>
      </c>
      <c r="M326" s="8">
        <v>69000.0</v>
      </c>
      <c r="N326" s="7">
        <v>42404.0</v>
      </c>
      <c r="O326" s="8" t="s">
        <v>31</v>
      </c>
      <c r="P326" s="8" t="s">
        <v>28</v>
      </c>
      <c r="S326" s="8" t="s">
        <v>32</v>
      </c>
    </row>
    <row r="327">
      <c r="A327" s="8">
        <v>326.0</v>
      </c>
      <c r="B327" s="8" t="s">
        <v>700</v>
      </c>
      <c r="C327" s="8" t="s">
        <v>21</v>
      </c>
      <c r="D327" s="8">
        <v>76.0</v>
      </c>
      <c r="E327" s="8">
        <v>20.0</v>
      </c>
      <c r="H327" s="8" t="s">
        <v>701</v>
      </c>
      <c r="I327" s="9">
        <v>46123.208715277775</v>
      </c>
      <c r="K327" s="8">
        <v>4400.0</v>
      </c>
      <c r="L327" s="8">
        <v>70.0</v>
      </c>
      <c r="M327" s="8">
        <v>405000.0</v>
      </c>
      <c r="N327" s="7">
        <v>42848.0</v>
      </c>
      <c r="O327" s="8" t="s">
        <v>107</v>
      </c>
      <c r="P327" s="8" t="s">
        <v>28</v>
      </c>
      <c r="S327" s="8" t="s">
        <v>32</v>
      </c>
    </row>
    <row r="328">
      <c r="A328" s="8">
        <v>327.0</v>
      </c>
      <c r="B328" s="8" t="s">
        <v>702</v>
      </c>
      <c r="C328" s="8" t="s">
        <v>21</v>
      </c>
      <c r="D328" s="8">
        <v>36.0</v>
      </c>
      <c r="E328" s="8">
        <v>20.0</v>
      </c>
      <c r="H328" s="8" t="s">
        <v>19</v>
      </c>
      <c r="I328" s="9">
        <v>46123.770625</v>
      </c>
      <c r="J328" s="8" t="s">
        <v>25</v>
      </c>
      <c r="K328" s="8">
        <v>20.0</v>
      </c>
      <c r="L328" s="8">
        <v>26000.0</v>
      </c>
      <c r="M328" s="8">
        <v>27000.0</v>
      </c>
      <c r="N328" s="7">
        <v>43855.0</v>
      </c>
      <c r="O328" s="8" t="s">
        <v>26</v>
      </c>
      <c r="P328" s="8" t="s">
        <v>28</v>
      </c>
      <c r="S328" s="8" t="s">
        <v>32</v>
      </c>
    </row>
    <row r="329">
      <c r="A329" s="8">
        <v>328.0</v>
      </c>
      <c r="B329" s="8" t="s">
        <v>2088</v>
      </c>
      <c r="C329" s="8" t="s">
        <v>21</v>
      </c>
      <c r="D329" s="8">
        <v>74.0</v>
      </c>
      <c r="E329" s="8">
        <v>20.0</v>
      </c>
      <c r="H329" s="8" t="s">
        <v>1409</v>
      </c>
      <c r="I329" s="9">
        <v>46088.752280092594</v>
      </c>
      <c r="J329" s="8" t="s">
        <v>90</v>
      </c>
      <c r="K329" s="8">
        <v>5900.0</v>
      </c>
      <c r="L329" s="8">
        <v>60.0</v>
      </c>
      <c r="M329" s="8">
        <v>390000.0</v>
      </c>
      <c r="N329" s="7">
        <v>42469.0</v>
      </c>
      <c r="O329" s="8" t="s">
        <v>107</v>
      </c>
      <c r="P329" s="8" t="s">
        <v>28</v>
      </c>
      <c r="S329" s="8" t="s">
        <v>32</v>
      </c>
    </row>
    <row r="330">
      <c r="A330" s="8">
        <v>329.0</v>
      </c>
      <c r="B330" s="8" t="s">
        <v>2092</v>
      </c>
      <c r="C330" s="8" t="s">
        <v>21</v>
      </c>
      <c r="D330" s="8">
        <v>71.0</v>
      </c>
      <c r="E330" s="8">
        <v>20.0</v>
      </c>
      <c r="H330" s="8" t="s">
        <v>930</v>
      </c>
      <c r="I330" s="9">
        <v>46142.56380787037</v>
      </c>
      <c r="J330" s="8" t="s">
        <v>96</v>
      </c>
      <c r="K330" s="8">
        <v>20.0</v>
      </c>
      <c r="L330" s="8">
        <v>2100.0</v>
      </c>
      <c r="M330" s="8">
        <v>3200.0</v>
      </c>
      <c r="N330" s="7">
        <v>44521.0</v>
      </c>
      <c r="O330" s="8" t="s">
        <v>26</v>
      </c>
      <c r="P330" s="8" t="s">
        <v>28</v>
      </c>
      <c r="S330" s="8" t="s">
        <v>32</v>
      </c>
    </row>
    <row r="331">
      <c r="A331" s="8">
        <v>330.0</v>
      </c>
      <c r="B331" s="8" t="s">
        <v>2095</v>
      </c>
      <c r="C331" s="8" t="s">
        <v>21</v>
      </c>
      <c r="D331" s="8">
        <v>0.0</v>
      </c>
      <c r="E331" s="8">
        <v>20.0</v>
      </c>
      <c r="H331" s="8" t="s">
        <v>783</v>
      </c>
      <c r="I331" s="9">
        <v>46083.36078703704</v>
      </c>
      <c r="J331" s="8" t="s">
        <v>105</v>
      </c>
      <c r="K331" s="8">
        <v>20.0</v>
      </c>
      <c r="L331" s="8">
        <v>13000.0</v>
      </c>
      <c r="M331" s="8">
        <v>18000.0</v>
      </c>
      <c r="N331" s="7">
        <v>42298.0</v>
      </c>
      <c r="O331" s="8" t="s">
        <v>26</v>
      </c>
      <c r="P331" s="8" t="s">
        <v>28</v>
      </c>
      <c r="S331" s="8" t="s">
        <v>2098</v>
      </c>
    </row>
    <row r="332">
      <c r="A332" s="8">
        <v>331.0</v>
      </c>
      <c r="B332" s="8" t="s">
        <v>2101</v>
      </c>
      <c r="C332" s="8" t="s">
        <v>21</v>
      </c>
      <c r="D332" s="8">
        <v>74.0</v>
      </c>
      <c r="E332" s="8">
        <v>20.0</v>
      </c>
      <c r="H332" s="8" t="s">
        <v>398</v>
      </c>
      <c r="I332" s="9">
        <v>46126.199224537035</v>
      </c>
      <c r="K332" s="8">
        <v>80.0</v>
      </c>
      <c r="L332" s="8">
        <v>600.0</v>
      </c>
      <c r="M332" s="8">
        <v>358000.0</v>
      </c>
      <c r="N332" s="7">
        <v>43876.0</v>
      </c>
      <c r="O332" s="8" t="s">
        <v>147</v>
      </c>
      <c r="P332" s="8" t="s">
        <v>28</v>
      </c>
      <c r="S332" s="8" t="s">
        <v>32</v>
      </c>
    </row>
    <row r="333">
      <c r="A333" s="8">
        <v>332.0</v>
      </c>
      <c r="B333" s="8" t="s">
        <v>706</v>
      </c>
      <c r="C333" s="8" t="s">
        <v>21</v>
      </c>
      <c r="D333" s="8">
        <v>49.0</v>
      </c>
      <c r="E333" s="8">
        <v>20.0</v>
      </c>
      <c r="G333" s="8">
        <v>1.16</v>
      </c>
      <c r="H333" s="8" t="s">
        <v>35</v>
      </c>
      <c r="I333" s="9">
        <v>46106.59496527778</v>
      </c>
      <c r="J333" s="8" t="s">
        <v>82</v>
      </c>
      <c r="K333" s="8">
        <v>50.0</v>
      </c>
      <c r="L333" s="8">
        <v>11000.0</v>
      </c>
      <c r="M333" s="8">
        <v>11000.0</v>
      </c>
      <c r="N333" s="7">
        <v>42276.0</v>
      </c>
      <c r="O333" s="8" t="s">
        <v>26</v>
      </c>
      <c r="P333" s="8" t="s">
        <v>28</v>
      </c>
      <c r="S333" s="8" t="s">
        <v>32</v>
      </c>
    </row>
    <row r="334">
      <c r="A334" s="8">
        <v>333.0</v>
      </c>
      <c r="B334" s="8" t="s">
        <v>2107</v>
      </c>
      <c r="C334" s="8" t="s">
        <v>21</v>
      </c>
      <c r="D334" s="8">
        <v>68.0</v>
      </c>
      <c r="E334" s="8">
        <v>20.0</v>
      </c>
      <c r="H334" s="8" t="s">
        <v>1250</v>
      </c>
      <c r="I334" s="9">
        <v>46156.84850694444</v>
      </c>
      <c r="K334" s="8">
        <v>61000.0</v>
      </c>
      <c r="L334" s="8">
        <v>150.0</v>
      </c>
      <c r="M334" s="8">
        <v>206000.0</v>
      </c>
      <c r="N334" s="7">
        <v>44631.0</v>
      </c>
      <c r="O334" s="8" t="s">
        <v>26</v>
      </c>
      <c r="P334" s="8" t="s">
        <v>938</v>
      </c>
      <c r="S334" s="8" t="s">
        <v>32</v>
      </c>
    </row>
    <row r="335">
      <c r="A335" s="8">
        <v>334.0</v>
      </c>
      <c r="B335" s="8" t="s">
        <v>2110</v>
      </c>
      <c r="C335" s="8" t="s">
        <v>21</v>
      </c>
      <c r="D335" s="8">
        <v>28.0</v>
      </c>
      <c r="E335" s="8">
        <v>20.0</v>
      </c>
      <c r="H335" s="8" t="s">
        <v>1952</v>
      </c>
      <c r="I335" s="9">
        <v>46144.88951388889</v>
      </c>
      <c r="K335" s="8">
        <v>150.0</v>
      </c>
      <c r="L335" s="8">
        <v>10.0</v>
      </c>
      <c r="M335" s="8">
        <v>6900.0</v>
      </c>
      <c r="N335" s="7">
        <v>44690.0</v>
      </c>
      <c r="O335" s="8" t="s">
        <v>925</v>
      </c>
      <c r="P335" s="8" t="s">
        <v>28</v>
      </c>
      <c r="S335" s="8" t="s">
        <v>32</v>
      </c>
    </row>
    <row r="336">
      <c r="A336" s="8">
        <v>335.0</v>
      </c>
      <c r="B336" s="8" t="s">
        <v>2113</v>
      </c>
      <c r="C336" s="8" t="s">
        <v>21</v>
      </c>
      <c r="D336" s="8">
        <v>81.0</v>
      </c>
      <c r="E336" s="8">
        <v>20.0</v>
      </c>
      <c r="H336" s="8" t="s">
        <v>1290</v>
      </c>
      <c r="I336" s="9">
        <v>46149.80930555556</v>
      </c>
      <c r="J336" s="8" t="s">
        <v>1255</v>
      </c>
      <c r="K336" s="8">
        <v>165000.0</v>
      </c>
      <c r="L336" s="8">
        <v>30.0</v>
      </c>
      <c r="M336" s="8">
        <v>1380000.0</v>
      </c>
      <c r="N336" s="7">
        <v>42277.0</v>
      </c>
      <c r="O336" s="8" t="s">
        <v>26</v>
      </c>
      <c r="P336" s="8" t="s">
        <v>28</v>
      </c>
      <c r="S336" s="8" t="s">
        <v>32</v>
      </c>
    </row>
    <row r="337">
      <c r="A337" s="8">
        <v>336.0</v>
      </c>
      <c r="B337" s="8" t="s">
        <v>2117</v>
      </c>
      <c r="C337" s="8" t="s">
        <v>21</v>
      </c>
      <c r="D337" s="8">
        <v>72.0</v>
      </c>
      <c r="E337" s="8">
        <v>20.0</v>
      </c>
      <c r="H337" s="8" t="s">
        <v>2117</v>
      </c>
      <c r="I337" s="9">
        <v>46157.07662037037</v>
      </c>
      <c r="J337" s="8" t="s">
        <v>62</v>
      </c>
      <c r="K337" s="8">
        <v>50.0</v>
      </c>
      <c r="L337" s="8">
        <v>30.0</v>
      </c>
      <c r="M337" s="8">
        <v>2000.0</v>
      </c>
      <c r="N337" s="7">
        <v>42736.0</v>
      </c>
      <c r="O337" s="8" t="s">
        <v>147</v>
      </c>
      <c r="P337" s="8" t="s">
        <v>28</v>
      </c>
      <c r="S337" s="8" t="s">
        <v>32</v>
      </c>
    </row>
    <row r="338">
      <c r="A338" s="8">
        <v>337.0</v>
      </c>
      <c r="B338" s="8" t="s">
        <v>2120</v>
      </c>
      <c r="C338" s="8" t="s">
        <v>21</v>
      </c>
      <c r="D338" s="8">
        <v>72.0</v>
      </c>
      <c r="E338" s="8">
        <v>20.0</v>
      </c>
      <c r="H338" s="8" t="s">
        <v>194</v>
      </c>
      <c r="I338" s="9">
        <v>46100.869363425925</v>
      </c>
      <c r="J338" s="8" t="s">
        <v>90</v>
      </c>
      <c r="K338" s="8">
        <v>1400.0</v>
      </c>
      <c r="L338" s="8">
        <v>150.0</v>
      </c>
      <c r="M338" s="8">
        <v>2800.0</v>
      </c>
      <c r="N338" s="7">
        <v>42396.0</v>
      </c>
      <c r="O338" s="8" t="s">
        <v>107</v>
      </c>
      <c r="P338" s="8" t="s">
        <v>28</v>
      </c>
      <c r="S338" s="8" t="s">
        <v>32</v>
      </c>
    </row>
    <row r="339">
      <c r="A339" s="8">
        <v>338.0</v>
      </c>
      <c r="B339" s="8" t="s">
        <v>2124</v>
      </c>
      <c r="C339" s="8" t="s">
        <v>21</v>
      </c>
      <c r="D339" s="8">
        <v>45.0</v>
      </c>
      <c r="E339" s="8">
        <v>20.0</v>
      </c>
      <c r="H339" s="8" t="s">
        <v>744</v>
      </c>
      <c r="I339" s="9">
        <v>46141.7559375</v>
      </c>
      <c r="J339" s="8" t="s">
        <v>789</v>
      </c>
      <c r="K339" s="8">
        <v>40.0</v>
      </c>
      <c r="L339" s="8">
        <v>136000.0</v>
      </c>
      <c r="M339" s="8">
        <v>140000.0</v>
      </c>
      <c r="N339" s="7">
        <v>43411.0</v>
      </c>
      <c r="O339" s="8" t="s">
        <v>31</v>
      </c>
      <c r="P339" s="8" t="s">
        <v>28</v>
      </c>
      <c r="S339" s="8" t="s">
        <v>2128</v>
      </c>
    </row>
    <row r="340">
      <c r="A340" s="8">
        <v>339.0</v>
      </c>
      <c r="B340" s="8" t="s">
        <v>2129</v>
      </c>
      <c r="C340" s="8" t="s">
        <v>21</v>
      </c>
      <c r="D340" s="8">
        <v>0.0</v>
      </c>
      <c r="E340" s="8">
        <v>20.0</v>
      </c>
      <c r="H340" s="8" t="s">
        <v>744</v>
      </c>
      <c r="I340" s="9">
        <v>46145.40211805556</v>
      </c>
      <c r="J340" s="8" t="s">
        <v>90</v>
      </c>
      <c r="K340" s="8">
        <v>20.0</v>
      </c>
      <c r="L340" s="8">
        <v>137000.0</v>
      </c>
      <c r="M340" s="8">
        <v>140000.0</v>
      </c>
      <c r="N340" s="7">
        <v>42278.0</v>
      </c>
      <c r="O340" s="8" t="s">
        <v>147</v>
      </c>
      <c r="P340" s="8" t="s">
        <v>28</v>
      </c>
      <c r="S340" s="8" t="s">
        <v>748</v>
      </c>
    </row>
    <row r="341">
      <c r="A341" s="8">
        <v>340.0</v>
      </c>
      <c r="B341" s="8" t="s">
        <v>711</v>
      </c>
      <c r="C341" s="8" t="s">
        <v>21</v>
      </c>
      <c r="D341" s="8">
        <v>66.0</v>
      </c>
      <c r="E341" s="8">
        <v>20.0</v>
      </c>
      <c r="H341" s="8" t="s">
        <v>60</v>
      </c>
      <c r="I341" s="9">
        <v>46147.56422453704</v>
      </c>
      <c r="K341" s="8">
        <v>20.0</v>
      </c>
      <c r="L341" s="8">
        <v>150.0</v>
      </c>
      <c r="M341" s="8">
        <v>500.0</v>
      </c>
      <c r="N341" s="7">
        <v>42576.0</v>
      </c>
      <c r="O341" s="8" t="s">
        <v>26</v>
      </c>
      <c r="P341" s="8" t="s">
        <v>28</v>
      </c>
      <c r="S341" s="8" t="s">
        <v>32</v>
      </c>
    </row>
    <row r="342">
      <c r="A342" s="8">
        <v>341.0</v>
      </c>
      <c r="B342" s="8" t="s">
        <v>713</v>
      </c>
      <c r="C342" s="8" t="s">
        <v>21</v>
      </c>
      <c r="D342" s="8">
        <v>16.0</v>
      </c>
      <c r="E342" s="8">
        <v>20.0</v>
      </c>
      <c r="H342" s="8" t="s">
        <v>60</v>
      </c>
      <c r="I342" s="9">
        <v>46147.2680787037</v>
      </c>
      <c r="J342" s="8" t="s">
        <v>96</v>
      </c>
      <c r="K342" s="8">
        <v>200.0</v>
      </c>
      <c r="L342" s="8">
        <v>1000.0</v>
      </c>
      <c r="M342" s="8">
        <v>1200.0</v>
      </c>
      <c r="N342" s="7">
        <v>44638.0</v>
      </c>
      <c r="O342" s="8" t="s">
        <v>26</v>
      </c>
      <c r="P342" s="8" t="s">
        <v>28</v>
      </c>
      <c r="S342" s="8" t="s">
        <v>32</v>
      </c>
    </row>
    <row r="343">
      <c r="A343" s="8">
        <v>342.0</v>
      </c>
      <c r="B343" s="8" t="s">
        <v>2136</v>
      </c>
      <c r="C343" s="8" t="s">
        <v>21</v>
      </c>
      <c r="D343" s="8">
        <v>4.0</v>
      </c>
      <c r="E343" s="8">
        <v>20.0</v>
      </c>
      <c r="H343" s="8" t="s">
        <v>744</v>
      </c>
      <c r="I343" s="9">
        <v>46122.602800925924</v>
      </c>
      <c r="J343" s="8" t="s">
        <v>1838</v>
      </c>
      <c r="K343" s="8">
        <v>20.0</v>
      </c>
      <c r="L343" s="8">
        <v>136000.0</v>
      </c>
      <c r="M343" s="8">
        <v>140000.0</v>
      </c>
      <c r="N343" s="7">
        <v>44193.0</v>
      </c>
      <c r="O343" s="8" t="s">
        <v>147</v>
      </c>
      <c r="P343" s="8" t="s">
        <v>28</v>
      </c>
      <c r="S343" s="8" t="s">
        <v>32</v>
      </c>
    </row>
    <row r="344">
      <c r="A344" s="8">
        <v>343.0</v>
      </c>
      <c r="B344" s="8" t="s">
        <v>2139</v>
      </c>
      <c r="C344" s="8" t="s">
        <v>21</v>
      </c>
      <c r="D344" s="8">
        <v>54.0</v>
      </c>
      <c r="E344" s="8">
        <v>20.0</v>
      </c>
      <c r="H344" s="8" t="s">
        <v>2141</v>
      </c>
      <c r="I344" s="9">
        <v>46156.155856481484</v>
      </c>
      <c r="J344" s="8" t="s">
        <v>96</v>
      </c>
      <c r="K344" s="8">
        <v>100.0</v>
      </c>
      <c r="L344" s="8">
        <v>150.0</v>
      </c>
      <c r="M344" s="8">
        <v>300.0</v>
      </c>
      <c r="N344" s="7">
        <v>42706.0</v>
      </c>
      <c r="O344" s="8" t="s">
        <v>26</v>
      </c>
      <c r="P344" s="8" t="s">
        <v>28</v>
      </c>
      <c r="S344" s="8" t="s">
        <v>32</v>
      </c>
    </row>
    <row r="345">
      <c r="A345" s="8">
        <v>344.0</v>
      </c>
      <c r="B345" s="10" t="s">
        <v>2144</v>
      </c>
      <c r="C345" s="8" t="s">
        <v>21</v>
      </c>
      <c r="D345" s="8">
        <v>4.0</v>
      </c>
      <c r="E345" s="8">
        <v>20.0</v>
      </c>
      <c r="F345" s="8">
        <v>2.0</v>
      </c>
      <c r="H345" s="8" t="s">
        <v>755</v>
      </c>
      <c r="I345" s="9">
        <v>46122.691516203704</v>
      </c>
      <c r="J345" s="8" t="s">
        <v>90</v>
      </c>
      <c r="K345" s="8">
        <v>20.0</v>
      </c>
      <c r="L345" s="8">
        <v>16000.0</v>
      </c>
      <c r="M345" s="8">
        <v>16000.0</v>
      </c>
      <c r="N345" s="7">
        <v>42322.0</v>
      </c>
      <c r="O345" s="8" t="s">
        <v>127</v>
      </c>
      <c r="Q345" s="8" t="s">
        <v>2151</v>
      </c>
      <c r="R345" s="8" t="s">
        <v>2152</v>
      </c>
      <c r="S345" s="8" t="s">
        <v>748</v>
      </c>
    </row>
    <row r="346">
      <c r="A346" s="8">
        <v>345.0</v>
      </c>
      <c r="B346" s="8" t="s">
        <v>2153</v>
      </c>
      <c r="C346" s="8" t="s">
        <v>21</v>
      </c>
      <c r="D346" s="8">
        <v>76.0</v>
      </c>
      <c r="E346" s="8">
        <v>20.0</v>
      </c>
      <c r="H346" s="8" t="s">
        <v>20</v>
      </c>
      <c r="I346" s="9">
        <v>46162.90387731481</v>
      </c>
      <c r="J346" s="8" t="s">
        <v>90</v>
      </c>
      <c r="K346" s="8">
        <v>58000.0</v>
      </c>
      <c r="L346" s="8">
        <v>1400.0</v>
      </c>
      <c r="M346" s="8">
        <v>469000.0</v>
      </c>
      <c r="N346" s="7">
        <v>42496.0</v>
      </c>
      <c r="O346" s="8" t="s">
        <v>147</v>
      </c>
      <c r="P346" s="8" t="s">
        <v>938</v>
      </c>
      <c r="S346" s="8" t="s">
        <v>32</v>
      </c>
    </row>
    <row r="347">
      <c r="A347" s="8">
        <v>346.0</v>
      </c>
      <c r="B347" s="8" t="s">
        <v>719</v>
      </c>
      <c r="C347" s="8" t="s">
        <v>21</v>
      </c>
      <c r="D347" s="8">
        <v>68.0</v>
      </c>
      <c r="E347" s="8">
        <v>20.0</v>
      </c>
      <c r="H347" s="8" t="s">
        <v>720</v>
      </c>
      <c r="I347" s="9">
        <v>46125.768113425926</v>
      </c>
      <c r="J347" s="8" t="s">
        <v>58</v>
      </c>
      <c r="K347" s="8">
        <v>13000.0</v>
      </c>
      <c r="L347" s="8">
        <v>80.0</v>
      </c>
      <c r="M347" s="8">
        <v>76000.0</v>
      </c>
      <c r="N347" s="7">
        <v>44268.0</v>
      </c>
      <c r="O347" s="8" t="s">
        <v>26</v>
      </c>
      <c r="P347" s="8" t="s">
        <v>28</v>
      </c>
      <c r="S347" s="8" t="s">
        <v>32</v>
      </c>
    </row>
    <row r="348">
      <c r="A348" s="8">
        <v>347.0</v>
      </c>
      <c r="B348" s="8" t="s">
        <v>722</v>
      </c>
      <c r="C348" s="8" t="s">
        <v>21</v>
      </c>
      <c r="D348" s="8">
        <v>76.0</v>
      </c>
      <c r="E348" s="8">
        <v>20.0</v>
      </c>
      <c r="H348" s="8" t="s">
        <v>123</v>
      </c>
      <c r="I348" s="9">
        <v>46099.89270833333</v>
      </c>
      <c r="J348" s="8" t="s">
        <v>148</v>
      </c>
      <c r="K348" s="8">
        <v>37000.0</v>
      </c>
      <c r="L348" s="8">
        <v>5100.0</v>
      </c>
      <c r="M348" s="8">
        <v>587000.0</v>
      </c>
      <c r="N348" s="7">
        <v>42404.0</v>
      </c>
      <c r="O348" s="8" t="s">
        <v>31</v>
      </c>
      <c r="P348" s="8" t="s">
        <v>28</v>
      </c>
      <c r="S348" s="8" t="s">
        <v>32</v>
      </c>
    </row>
    <row r="349">
      <c r="A349" s="8">
        <v>348.0</v>
      </c>
      <c r="B349" s="8" t="s">
        <v>2163</v>
      </c>
      <c r="C349" s="8" t="s">
        <v>21</v>
      </c>
      <c r="D349" s="8">
        <v>75.0</v>
      </c>
      <c r="E349" s="8">
        <v>20.0</v>
      </c>
      <c r="H349" s="8" t="s">
        <v>398</v>
      </c>
      <c r="I349" s="9">
        <v>46146.60407407407</v>
      </c>
      <c r="J349" s="8" t="s">
        <v>90</v>
      </c>
      <c r="K349" s="8">
        <v>4300.0</v>
      </c>
      <c r="L349" s="8">
        <v>700.0</v>
      </c>
      <c r="M349" s="8">
        <v>329000.0</v>
      </c>
      <c r="N349" s="7">
        <v>44566.0</v>
      </c>
      <c r="O349" s="8" t="s">
        <v>107</v>
      </c>
      <c r="P349" s="8" t="s">
        <v>1174</v>
      </c>
      <c r="S349" s="8" t="s">
        <v>32</v>
      </c>
    </row>
    <row r="350">
      <c r="A350" s="8">
        <v>349.0</v>
      </c>
      <c r="B350" s="8" t="s">
        <v>2166</v>
      </c>
      <c r="C350" s="8" t="s">
        <v>21</v>
      </c>
      <c r="D350" s="8">
        <v>54.0</v>
      </c>
      <c r="E350" s="8">
        <v>20.0</v>
      </c>
      <c r="H350" s="8" t="s">
        <v>755</v>
      </c>
      <c r="I350" s="9">
        <v>46155.6808912037</v>
      </c>
      <c r="J350" s="8" t="s">
        <v>90</v>
      </c>
      <c r="K350" s="8">
        <v>50.0</v>
      </c>
      <c r="L350" s="8">
        <v>16000.0</v>
      </c>
      <c r="M350" s="8">
        <v>16000.0</v>
      </c>
      <c r="N350" s="7">
        <v>42971.0</v>
      </c>
      <c r="O350" s="8" t="s">
        <v>796</v>
      </c>
      <c r="P350" s="8" t="s">
        <v>28</v>
      </c>
      <c r="S350" s="8" t="s">
        <v>748</v>
      </c>
    </row>
    <row r="351">
      <c r="A351" s="8">
        <v>350.0</v>
      </c>
      <c r="B351" s="8" t="s">
        <v>725</v>
      </c>
      <c r="C351" s="8" t="s">
        <v>21</v>
      </c>
      <c r="D351" s="8">
        <v>76.0</v>
      </c>
      <c r="E351" s="8">
        <v>20.0</v>
      </c>
      <c r="H351" s="8" t="s">
        <v>370</v>
      </c>
      <c r="I351" s="9">
        <v>46161.7908912037</v>
      </c>
      <c r="K351" s="8">
        <v>1100.0</v>
      </c>
      <c r="L351" s="8">
        <v>100.0</v>
      </c>
      <c r="M351" s="8">
        <v>3100.0</v>
      </c>
      <c r="N351" s="7">
        <v>43868.0</v>
      </c>
      <c r="O351" s="8" t="s">
        <v>107</v>
      </c>
      <c r="P351" s="8" t="s">
        <v>28</v>
      </c>
      <c r="S351" s="8" t="s">
        <v>32</v>
      </c>
    </row>
    <row r="352">
      <c r="A352" s="8">
        <v>351.0</v>
      </c>
      <c r="B352" s="8" t="s">
        <v>726</v>
      </c>
      <c r="C352" s="8" t="s">
        <v>21</v>
      </c>
      <c r="D352" s="8">
        <v>69.0</v>
      </c>
      <c r="E352" s="8">
        <v>20.0</v>
      </c>
      <c r="H352" s="8" t="s">
        <v>35</v>
      </c>
      <c r="I352" s="9">
        <v>46071.851064814815</v>
      </c>
      <c r="J352" s="8" t="s">
        <v>727</v>
      </c>
      <c r="K352" s="8">
        <v>20.0</v>
      </c>
      <c r="L352" s="8">
        <v>11000.0</v>
      </c>
      <c r="M352" s="8">
        <v>11000.0</v>
      </c>
      <c r="N352" s="7">
        <v>44323.0</v>
      </c>
      <c r="O352" s="8" t="s">
        <v>31</v>
      </c>
      <c r="P352" s="8" t="s">
        <v>28</v>
      </c>
      <c r="S352" s="8" t="s">
        <v>32</v>
      </c>
    </row>
    <row r="353">
      <c r="A353" s="8">
        <v>352.0</v>
      </c>
      <c r="B353" s="8" t="s">
        <v>728</v>
      </c>
      <c r="C353" s="8" t="s">
        <v>21</v>
      </c>
      <c r="D353" s="8">
        <v>75.0</v>
      </c>
      <c r="E353" s="8">
        <v>20.0</v>
      </c>
      <c r="H353" s="8" t="s">
        <v>398</v>
      </c>
      <c r="I353" s="9">
        <v>46155.31927083333</v>
      </c>
      <c r="K353" s="8">
        <v>11000.0</v>
      </c>
      <c r="L353" s="8">
        <v>700.0</v>
      </c>
      <c r="M353" s="8">
        <v>348000.0</v>
      </c>
      <c r="N353" s="7">
        <v>42379.0</v>
      </c>
      <c r="O353" s="8" t="s">
        <v>147</v>
      </c>
      <c r="P353" s="8" t="s">
        <v>28</v>
      </c>
      <c r="S353" s="8" t="s">
        <v>32</v>
      </c>
    </row>
    <row r="354">
      <c r="A354" s="8">
        <v>353.0</v>
      </c>
      <c r="B354" s="8" t="s">
        <v>2176</v>
      </c>
      <c r="C354" s="8" t="s">
        <v>21</v>
      </c>
      <c r="D354" s="8">
        <v>22.0</v>
      </c>
      <c r="E354" s="8">
        <v>20.0</v>
      </c>
      <c r="H354" s="8" t="s">
        <v>762</v>
      </c>
      <c r="I354" s="9">
        <v>46149.86881944445</v>
      </c>
      <c r="K354" s="8">
        <v>20.0</v>
      </c>
      <c r="L354" s="8">
        <v>5900.0</v>
      </c>
      <c r="M354" s="8">
        <v>6000.0</v>
      </c>
      <c r="N354" s="7">
        <v>44040.0</v>
      </c>
      <c r="O354" s="8" t="s">
        <v>1371</v>
      </c>
      <c r="P354" s="8" t="s">
        <v>28</v>
      </c>
      <c r="S354" s="8" t="s">
        <v>748</v>
      </c>
    </row>
    <row r="355">
      <c r="A355" s="8">
        <v>354.0</v>
      </c>
      <c r="B355" s="8" t="s">
        <v>730</v>
      </c>
      <c r="C355" s="8" t="s">
        <v>21</v>
      </c>
      <c r="D355" s="8">
        <v>75.0</v>
      </c>
      <c r="E355" s="8">
        <v>20.0</v>
      </c>
      <c r="H355" s="8" t="s">
        <v>398</v>
      </c>
      <c r="I355" s="9">
        <v>46125.768217592595</v>
      </c>
      <c r="J355" s="8" t="s">
        <v>90</v>
      </c>
      <c r="K355" s="8">
        <v>150.0</v>
      </c>
      <c r="L355" s="8">
        <v>600.0</v>
      </c>
      <c r="M355" s="8">
        <v>356000.0</v>
      </c>
      <c r="N355" s="7">
        <v>44037.0</v>
      </c>
      <c r="O355" s="8" t="s">
        <v>107</v>
      </c>
      <c r="P355" s="8" t="s">
        <v>28</v>
      </c>
      <c r="S355" s="8" t="s">
        <v>32</v>
      </c>
    </row>
    <row r="356">
      <c r="A356" s="8">
        <v>355.0</v>
      </c>
      <c r="B356" s="8" t="s">
        <v>731</v>
      </c>
      <c r="C356" s="8" t="s">
        <v>21</v>
      </c>
      <c r="D356" s="8">
        <v>39.0</v>
      </c>
      <c r="E356" s="8">
        <v>20.0</v>
      </c>
      <c r="H356" s="8" t="s">
        <v>732</v>
      </c>
      <c r="I356" s="9">
        <v>46122.06354166667</v>
      </c>
      <c r="J356" s="8" t="s">
        <v>476</v>
      </c>
      <c r="K356" s="8">
        <v>70.0</v>
      </c>
      <c r="L356" s="8">
        <v>0.0</v>
      </c>
      <c r="M356" s="8">
        <v>10.0</v>
      </c>
      <c r="N356" s="7">
        <v>42531.0</v>
      </c>
      <c r="O356" s="8" t="s">
        <v>26</v>
      </c>
      <c r="P356" s="8" t="s">
        <v>28</v>
      </c>
      <c r="S356" s="8" t="s">
        <v>32</v>
      </c>
    </row>
    <row r="357">
      <c r="A357" s="8">
        <v>356.0</v>
      </c>
      <c r="B357" s="8" t="s">
        <v>2184</v>
      </c>
      <c r="C357" s="8" t="s">
        <v>21</v>
      </c>
      <c r="D357" s="8">
        <v>72.0</v>
      </c>
      <c r="E357" s="8">
        <v>10.0</v>
      </c>
      <c r="H357" s="8" t="s">
        <v>701</v>
      </c>
      <c r="I357" s="9">
        <v>46098.42891203704</v>
      </c>
      <c r="J357" s="8" t="s">
        <v>1255</v>
      </c>
      <c r="K357" s="8">
        <v>12000.0</v>
      </c>
      <c r="L357" s="8">
        <v>100.0</v>
      </c>
      <c r="M357" s="8">
        <v>176000.0</v>
      </c>
      <c r="N357" s="7">
        <v>43005.0</v>
      </c>
      <c r="O357" s="8" t="s">
        <v>147</v>
      </c>
      <c r="P357" s="8" t="s">
        <v>28</v>
      </c>
      <c r="S357" s="8" t="s">
        <v>32</v>
      </c>
    </row>
    <row r="358">
      <c r="A358" s="8">
        <v>357.0</v>
      </c>
      <c r="B358" s="8" t="s">
        <v>2189</v>
      </c>
      <c r="C358" s="8" t="s">
        <v>21</v>
      </c>
      <c r="D358" s="8">
        <v>76.0</v>
      </c>
      <c r="E358" s="8">
        <v>10.0</v>
      </c>
      <c r="H358" s="8" t="s">
        <v>398</v>
      </c>
      <c r="I358" s="9">
        <v>46143.535787037035</v>
      </c>
      <c r="J358" s="8" t="s">
        <v>62</v>
      </c>
      <c r="K358" s="8">
        <v>1900.0</v>
      </c>
      <c r="L358" s="8">
        <v>700.0</v>
      </c>
      <c r="M358" s="8">
        <v>355000.0</v>
      </c>
      <c r="N358" s="7">
        <v>43883.0</v>
      </c>
      <c r="O358" s="8" t="s">
        <v>107</v>
      </c>
      <c r="P358" s="8" t="s">
        <v>1174</v>
      </c>
      <c r="S358" s="8" t="s">
        <v>32</v>
      </c>
    </row>
    <row r="359">
      <c r="A359" s="8">
        <v>358.0</v>
      </c>
      <c r="B359" s="8" t="s">
        <v>740</v>
      </c>
      <c r="C359" s="8" t="s">
        <v>21</v>
      </c>
      <c r="D359" s="8">
        <v>75.0</v>
      </c>
      <c r="E359" s="8">
        <v>10.0</v>
      </c>
      <c r="H359" s="8" t="s">
        <v>123</v>
      </c>
      <c r="I359" s="9">
        <v>46125.04585648148</v>
      </c>
      <c r="J359" s="8" t="s">
        <v>96</v>
      </c>
      <c r="K359" s="8">
        <v>60.0</v>
      </c>
      <c r="L359" s="8">
        <v>5100.0</v>
      </c>
      <c r="M359" s="8">
        <v>574000.0</v>
      </c>
      <c r="N359" s="7">
        <v>43870.0</v>
      </c>
      <c r="O359" s="8" t="s">
        <v>107</v>
      </c>
      <c r="P359" s="8" t="s">
        <v>28</v>
      </c>
      <c r="S359" s="8" t="s">
        <v>32</v>
      </c>
    </row>
    <row r="360">
      <c r="A360" s="8">
        <v>359.0</v>
      </c>
      <c r="B360" s="8" t="s">
        <v>745</v>
      </c>
      <c r="C360" s="8" t="s">
        <v>21</v>
      </c>
      <c r="D360" s="8">
        <v>27.0</v>
      </c>
      <c r="E360" s="8">
        <v>10.0</v>
      </c>
      <c r="H360" s="8" t="s">
        <v>19</v>
      </c>
      <c r="I360" s="9">
        <v>46089.66003472222</v>
      </c>
      <c r="J360" s="8" t="s">
        <v>450</v>
      </c>
      <c r="K360" s="8">
        <v>10.0</v>
      </c>
      <c r="L360" s="8">
        <v>33000.0</v>
      </c>
      <c r="M360" s="8">
        <v>34000.0</v>
      </c>
      <c r="N360" s="7">
        <v>45066.0</v>
      </c>
      <c r="O360" s="8" t="s">
        <v>26</v>
      </c>
      <c r="P360" s="8" t="s">
        <v>28</v>
      </c>
      <c r="S360" s="8" t="s">
        <v>32</v>
      </c>
    </row>
    <row r="361">
      <c r="A361" s="8">
        <v>360.0</v>
      </c>
      <c r="B361" s="8" t="s">
        <v>751</v>
      </c>
      <c r="C361" s="8" t="s">
        <v>21</v>
      </c>
      <c r="D361" s="8">
        <v>55.0</v>
      </c>
      <c r="E361" s="8">
        <v>10.0</v>
      </c>
      <c r="H361" s="8" t="s">
        <v>35</v>
      </c>
      <c r="I361" s="9">
        <v>46104.145370370374</v>
      </c>
      <c r="J361" s="8" t="s">
        <v>82</v>
      </c>
      <c r="K361" s="8">
        <v>30.0</v>
      </c>
      <c r="L361" s="8">
        <v>11000.0</v>
      </c>
      <c r="M361" s="8">
        <v>11000.0</v>
      </c>
      <c r="N361" s="7">
        <v>42696.0</v>
      </c>
      <c r="O361" s="8" t="s">
        <v>31</v>
      </c>
      <c r="P361" s="8" t="s">
        <v>28</v>
      </c>
      <c r="S361" s="8" t="s">
        <v>32</v>
      </c>
    </row>
    <row r="362">
      <c r="A362" s="8">
        <v>361.0</v>
      </c>
      <c r="B362" s="8" t="s">
        <v>2206</v>
      </c>
      <c r="C362" s="8" t="s">
        <v>21</v>
      </c>
      <c r="D362" s="8">
        <v>68.0</v>
      </c>
      <c r="E362" s="8">
        <v>10.0</v>
      </c>
      <c r="H362" s="8" t="s">
        <v>744</v>
      </c>
      <c r="I362" s="9">
        <v>46155.962534722225</v>
      </c>
      <c r="J362" s="8" t="s">
        <v>90</v>
      </c>
      <c r="K362" s="8">
        <v>80.0</v>
      </c>
      <c r="L362" s="8">
        <v>131000.0</v>
      </c>
      <c r="M362" s="8">
        <v>135000.0</v>
      </c>
      <c r="N362" s="7">
        <v>42497.0</v>
      </c>
      <c r="O362" s="8" t="s">
        <v>1754</v>
      </c>
      <c r="S362" s="8" t="s">
        <v>748</v>
      </c>
    </row>
    <row r="363">
      <c r="A363" s="8">
        <v>362.0</v>
      </c>
      <c r="B363" s="8" t="s">
        <v>2210</v>
      </c>
      <c r="C363" s="8" t="s">
        <v>21</v>
      </c>
      <c r="D363" s="8">
        <v>72.0</v>
      </c>
      <c r="E363" s="8">
        <v>10.0</v>
      </c>
      <c r="H363" s="8" t="s">
        <v>123</v>
      </c>
      <c r="I363" s="9">
        <v>46142.602106481485</v>
      </c>
      <c r="J363" s="8" t="s">
        <v>90</v>
      </c>
      <c r="K363" s="8">
        <v>10.0</v>
      </c>
      <c r="L363" s="8">
        <v>800.0</v>
      </c>
      <c r="M363" s="8">
        <v>201000.0</v>
      </c>
      <c r="N363" s="7">
        <v>42988.0</v>
      </c>
      <c r="O363" s="8" t="s">
        <v>147</v>
      </c>
      <c r="P363" s="8" t="s">
        <v>28</v>
      </c>
      <c r="S363" s="8" t="s">
        <v>32</v>
      </c>
    </row>
    <row r="364">
      <c r="A364" s="8">
        <v>363.0</v>
      </c>
      <c r="B364" s="8" t="s">
        <v>2212</v>
      </c>
      <c r="C364" s="8" t="s">
        <v>21</v>
      </c>
      <c r="D364" s="8">
        <v>76.0</v>
      </c>
      <c r="E364" s="8">
        <v>10.0</v>
      </c>
      <c r="H364" s="8" t="s">
        <v>2019</v>
      </c>
      <c r="I364" s="9">
        <v>46066.33671296296</v>
      </c>
      <c r="K364" s="8">
        <v>6600.0</v>
      </c>
      <c r="L364" s="8">
        <v>400.0</v>
      </c>
      <c r="M364" s="8">
        <v>269000.0</v>
      </c>
      <c r="N364" s="7">
        <v>42248.0</v>
      </c>
      <c r="O364" s="8" t="s">
        <v>147</v>
      </c>
      <c r="P364" s="8" t="s">
        <v>28</v>
      </c>
      <c r="S364" s="8" t="s">
        <v>32</v>
      </c>
    </row>
    <row r="365">
      <c r="A365" s="8">
        <v>364.0</v>
      </c>
      <c r="B365" s="8" t="s">
        <v>763</v>
      </c>
      <c r="C365" s="8" t="s">
        <v>21</v>
      </c>
      <c r="D365" s="8">
        <v>79.0</v>
      </c>
      <c r="E365" s="8">
        <v>10.0</v>
      </c>
      <c r="H365" s="8" t="s">
        <v>123</v>
      </c>
      <c r="I365" s="9">
        <v>46085.46601851852</v>
      </c>
      <c r="J365" s="8" t="s">
        <v>90</v>
      </c>
      <c r="K365" s="8">
        <v>3200.0</v>
      </c>
      <c r="L365" s="8">
        <v>5100.0</v>
      </c>
      <c r="M365" s="8">
        <v>596000.0</v>
      </c>
      <c r="N365" s="7">
        <v>43871.0</v>
      </c>
      <c r="O365" s="8" t="s">
        <v>147</v>
      </c>
      <c r="P365" s="8" t="s">
        <v>28</v>
      </c>
      <c r="S365" s="8" t="s">
        <v>32</v>
      </c>
    </row>
    <row r="366">
      <c r="A366" s="8">
        <v>365.0</v>
      </c>
      <c r="B366" s="8" t="s">
        <v>2219</v>
      </c>
      <c r="C366" s="8" t="s">
        <v>21</v>
      </c>
      <c r="D366" s="8">
        <v>2.0</v>
      </c>
      <c r="E366" s="8">
        <v>10.0</v>
      </c>
      <c r="H366" s="8" t="s">
        <v>744</v>
      </c>
      <c r="I366" s="9">
        <v>46155.52400462963</v>
      </c>
      <c r="J366" s="8" t="s">
        <v>23</v>
      </c>
      <c r="K366" s="8">
        <v>10.0</v>
      </c>
      <c r="L366" s="8">
        <v>131000.0</v>
      </c>
      <c r="M366" s="8">
        <v>135000.0</v>
      </c>
      <c r="N366" s="7">
        <v>42408.0</v>
      </c>
      <c r="O366" s="8" t="s">
        <v>26</v>
      </c>
      <c r="P366" s="8" t="s">
        <v>28</v>
      </c>
      <c r="S366" s="8" t="s">
        <v>32</v>
      </c>
    </row>
    <row r="367">
      <c r="A367" s="8">
        <v>366.0</v>
      </c>
      <c r="B367" s="8" t="s">
        <v>2223</v>
      </c>
      <c r="C367" s="8" t="s">
        <v>21</v>
      </c>
      <c r="D367" s="8">
        <v>76.0</v>
      </c>
      <c r="E367" s="8">
        <v>10.0</v>
      </c>
      <c r="H367" s="8" t="s">
        <v>1605</v>
      </c>
      <c r="I367" s="9">
        <v>46098.989282407405</v>
      </c>
      <c r="J367" s="8" t="s">
        <v>96</v>
      </c>
      <c r="K367" s="8">
        <v>4400.0</v>
      </c>
      <c r="L367" s="8">
        <v>30.0</v>
      </c>
      <c r="M367" s="8">
        <v>142000.0</v>
      </c>
      <c r="N367" s="7">
        <v>44043.0</v>
      </c>
      <c r="O367" s="8" t="s">
        <v>147</v>
      </c>
      <c r="P367" s="8" t="s">
        <v>28</v>
      </c>
      <c r="S367" s="8" t="s">
        <v>32</v>
      </c>
    </row>
    <row r="368">
      <c r="A368" s="8">
        <v>367.0</v>
      </c>
      <c r="B368" s="8" t="s">
        <v>2227</v>
      </c>
      <c r="C368" s="8" t="s">
        <v>21</v>
      </c>
      <c r="D368" s="8">
        <v>75.0</v>
      </c>
      <c r="E368" s="8">
        <v>10.0</v>
      </c>
      <c r="H368" s="8" t="s">
        <v>1428</v>
      </c>
      <c r="I368" s="9">
        <v>46125.29545138889</v>
      </c>
      <c r="K368" s="8">
        <v>600.0</v>
      </c>
      <c r="L368" s="8">
        <v>10.0</v>
      </c>
      <c r="M368" s="8">
        <v>4400.0</v>
      </c>
      <c r="N368" s="7">
        <v>43868.0</v>
      </c>
      <c r="O368" s="8" t="s">
        <v>107</v>
      </c>
      <c r="P368" s="8" t="s">
        <v>28</v>
      </c>
      <c r="S368" s="8" t="s">
        <v>32</v>
      </c>
    </row>
    <row r="369">
      <c r="A369" s="8">
        <v>368.0</v>
      </c>
      <c r="B369" s="8" t="s">
        <v>2230</v>
      </c>
      <c r="C369" s="8" t="s">
        <v>21</v>
      </c>
      <c r="D369" s="8">
        <v>74.0</v>
      </c>
      <c r="E369" s="8">
        <v>10.0</v>
      </c>
      <c r="H369" s="8" t="s">
        <v>398</v>
      </c>
      <c r="I369" s="9">
        <v>46123.29481481481</v>
      </c>
      <c r="J369" s="8" t="s">
        <v>90</v>
      </c>
      <c r="K369" s="8">
        <v>2600.0</v>
      </c>
      <c r="L369" s="8">
        <v>600.0</v>
      </c>
      <c r="M369" s="8">
        <v>356000.0</v>
      </c>
      <c r="N369" s="7">
        <v>43868.0</v>
      </c>
      <c r="O369" s="8" t="s">
        <v>107</v>
      </c>
      <c r="P369" s="8" t="s">
        <v>1174</v>
      </c>
      <c r="S369" s="8" t="s">
        <v>32</v>
      </c>
    </row>
    <row r="370">
      <c r="A370" s="8">
        <v>369.0</v>
      </c>
      <c r="B370" s="8" t="s">
        <v>2236</v>
      </c>
      <c r="C370" s="8" t="s">
        <v>21</v>
      </c>
      <c r="D370" s="8">
        <v>42.0</v>
      </c>
      <c r="E370" s="8">
        <v>10.0</v>
      </c>
      <c r="H370" s="8" t="s">
        <v>2236</v>
      </c>
      <c r="I370" s="9">
        <v>46066.80939814815</v>
      </c>
      <c r="K370" s="8">
        <v>1800.0</v>
      </c>
      <c r="L370" s="8">
        <v>0.0</v>
      </c>
      <c r="M370" s="8">
        <v>39000.0</v>
      </c>
      <c r="N370" s="7">
        <v>43974.0</v>
      </c>
      <c r="O370" s="8" t="s">
        <v>147</v>
      </c>
      <c r="P370" s="8" t="s">
        <v>28</v>
      </c>
      <c r="S370" s="8" t="s">
        <v>32</v>
      </c>
    </row>
    <row r="371">
      <c r="A371" s="8">
        <v>370.0</v>
      </c>
      <c r="B371" s="8" t="s">
        <v>784</v>
      </c>
      <c r="C371" s="8" t="s">
        <v>21</v>
      </c>
      <c r="D371" s="8">
        <v>49.0</v>
      </c>
      <c r="E371" s="8">
        <v>10.0</v>
      </c>
      <c r="H371" s="8" t="s">
        <v>755</v>
      </c>
      <c r="I371" s="9">
        <v>46107.386828703704</v>
      </c>
      <c r="J371" s="8" t="s">
        <v>450</v>
      </c>
      <c r="K371" s="8">
        <v>20.0</v>
      </c>
      <c r="L371" s="8">
        <v>17000.0</v>
      </c>
      <c r="M371" s="8">
        <v>18000.0</v>
      </c>
      <c r="N371" s="7">
        <v>43873.0</v>
      </c>
      <c r="O371" s="8" t="s">
        <v>127</v>
      </c>
      <c r="P371" s="8" t="s">
        <v>28</v>
      </c>
      <c r="S371" s="8" t="s">
        <v>32</v>
      </c>
    </row>
    <row r="372">
      <c r="A372" s="8">
        <v>371.0</v>
      </c>
      <c r="B372" s="8" t="s">
        <v>2245</v>
      </c>
      <c r="C372" s="8" t="s">
        <v>21</v>
      </c>
      <c r="D372" s="8">
        <v>5.0</v>
      </c>
      <c r="E372" s="8">
        <v>10.0</v>
      </c>
      <c r="H372" s="8" t="s">
        <v>744</v>
      </c>
      <c r="I372" s="9">
        <v>46144.252118055556</v>
      </c>
      <c r="J372" s="8" t="s">
        <v>62</v>
      </c>
      <c r="K372" s="8">
        <v>10.0</v>
      </c>
      <c r="L372" s="8">
        <v>137000.0</v>
      </c>
      <c r="M372" s="8">
        <v>140000.0</v>
      </c>
      <c r="N372" s="7">
        <v>42881.0</v>
      </c>
      <c r="O372" s="8" t="s">
        <v>147</v>
      </c>
      <c r="P372" s="8" t="s">
        <v>28</v>
      </c>
      <c r="S372" s="8" t="s">
        <v>748</v>
      </c>
    </row>
    <row r="373">
      <c r="A373" s="8">
        <v>372.0</v>
      </c>
      <c r="B373" s="8" t="s">
        <v>2250</v>
      </c>
      <c r="C373" s="8" t="s">
        <v>21</v>
      </c>
      <c r="D373" s="8">
        <v>0.0</v>
      </c>
      <c r="E373" s="8">
        <v>10.0</v>
      </c>
      <c r="H373" s="8" t="s">
        <v>1697</v>
      </c>
      <c r="I373" s="9">
        <v>46084.49159722222</v>
      </c>
      <c r="J373" s="8" t="s">
        <v>96</v>
      </c>
      <c r="K373" s="8">
        <v>10.0</v>
      </c>
      <c r="L373" s="8">
        <v>50.0</v>
      </c>
      <c r="M373" s="8">
        <v>50.0</v>
      </c>
      <c r="N373" s="7">
        <v>42853.0</v>
      </c>
      <c r="O373" s="8" t="s">
        <v>26</v>
      </c>
      <c r="P373" s="8" t="s">
        <v>28</v>
      </c>
      <c r="S373" s="8" t="s">
        <v>782</v>
      </c>
    </row>
    <row r="374">
      <c r="A374" s="8">
        <v>373.0</v>
      </c>
      <c r="B374" s="8" t="s">
        <v>2254</v>
      </c>
      <c r="C374" s="8" t="s">
        <v>21</v>
      </c>
      <c r="D374" s="8">
        <v>36.0</v>
      </c>
      <c r="E374" s="8">
        <v>10.0</v>
      </c>
      <c r="H374" s="8" t="s">
        <v>2256</v>
      </c>
      <c r="I374" s="9">
        <v>46097.71496527778</v>
      </c>
      <c r="J374" s="8" t="s">
        <v>2258</v>
      </c>
      <c r="K374" s="8">
        <v>40.0</v>
      </c>
      <c r="L374" s="8">
        <v>30.0</v>
      </c>
      <c r="M374" s="8">
        <v>2900.0</v>
      </c>
      <c r="N374" s="7">
        <v>44262.0</v>
      </c>
      <c r="O374" s="8" t="s">
        <v>147</v>
      </c>
      <c r="P374" s="8" t="s">
        <v>28</v>
      </c>
      <c r="S374" s="8" t="s">
        <v>32</v>
      </c>
    </row>
    <row r="375">
      <c r="A375" s="8">
        <v>374.0</v>
      </c>
      <c r="B375" s="8" t="s">
        <v>790</v>
      </c>
      <c r="C375" s="8" t="s">
        <v>21</v>
      </c>
      <c r="D375" s="8">
        <v>62.0</v>
      </c>
      <c r="E375" s="8">
        <v>10.0</v>
      </c>
      <c r="H375" s="8" t="s">
        <v>19</v>
      </c>
      <c r="I375" s="9">
        <v>46161.25476851852</v>
      </c>
      <c r="J375" s="8" t="s">
        <v>25</v>
      </c>
      <c r="K375" s="8">
        <v>10.0</v>
      </c>
      <c r="L375" s="8">
        <v>26000.0</v>
      </c>
      <c r="M375" s="8">
        <v>27000.0</v>
      </c>
      <c r="N375" s="7">
        <v>44629.0</v>
      </c>
      <c r="O375" s="8" t="s">
        <v>31</v>
      </c>
      <c r="P375" s="8" t="s">
        <v>28</v>
      </c>
      <c r="S375" s="8" t="s">
        <v>32</v>
      </c>
    </row>
    <row r="376">
      <c r="A376" s="8">
        <v>375.0</v>
      </c>
      <c r="B376" s="8" t="s">
        <v>2265</v>
      </c>
      <c r="C376" s="8" t="s">
        <v>21</v>
      </c>
      <c r="D376" s="8">
        <v>62.0</v>
      </c>
      <c r="E376" s="8">
        <v>10.0</v>
      </c>
      <c r="H376" s="8" t="s">
        <v>499</v>
      </c>
      <c r="I376" s="9">
        <v>46088.0075462963</v>
      </c>
      <c r="J376" s="8" t="s">
        <v>90</v>
      </c>
      <c r="K376" s="8">
        <v>30.0</v>
      </c>
      <c r="L376" s="8">
        <v>90.0</v>
      </c>
      <c r="M376" s="8">
        <v>43000.0</v>
      </c>
      <c r="N376" s="7">
        <v>43098.0</v>
      </c>
      <c r="O376" s="8" t="s">
        <v>107</v>
      </c>
      <c r="P376" s="8" t="s">
        <v>28</v>
      </c>
      <c r="S376" s="8" t="s">
        <v>32</v>
      </c>
    </row>
    <row r="377">
      <c r="A377" s="8">
        <v>376.0</v>
      </c>
      <c r="B377" s="8" t="s">
        <v>2270</v>
      </c>
      <c r="C377" s="8" t="s">
        <v>21</v>
      </c>
      <c r="D377" s="8">
        <v>72.0</v>
      </c>
      <c r="E377" s="8">
        <v>10.0</v>
      </c>
      <c r="H377" s="8" t="s">
        <v>279</v>
      </c>
      <c r="I377" s="9">
        <v>46146.61467592593</v>
      </c>
      <c r="J377" s="8" t="s">
        <v>90</v>
      </c>
      <c r="K377" s="8">
        <v>250.0</v>
      </c>
      <c r="L377" s="8">
        <v>3200.0</v>
      </c>
      <c r="M377" s="8">
        <v>59000.0</v>
      </c>
      <c r="N377" s="7">
        <v>44041.0</v>
      </c>
      <c r="O377" s="8" t="s">
        <v>107</v>
      </c>
      <c r="P377" s="8" t="s">
        <v>1174</v>
      </c>
      <c r="S377" s="8" t="s">
        <v>32</v>
      </c>
    </row>
    <row r="378">
      <c r="A378" s="8">
        <v>377.0</v>
      </c>
      <c r="B378" s="8" t="s">
        <v>2275</v>
      </c>
      <c r="C378" s="8" t="s">
        <v>21</v>
      </c>
      <c r="D378" s="8">
        <v>76.0</v>
      </c>
      <c r="E378" s="8">
        <v>10.0</v>
      </c>
      <c r="H378" s="8" t="s">
        <v>1605</v>
      </c>
      <c r="I378" s="9">
        <v>46125.458402777775</v>
      </c>
      <c r="J378" s="8" t="s">
        <v>62</v>
      </c>
      <c r="K378" s="8">
        <v>2600.0</v>
      </c>
      <c r="L378" s="8">
        <v>30.0</v>
      </c>
      <c r="M378" s="8">
        <v>138000.0</v>
      </c>
      <c r="N378" s="7">
        <v>42884.0</v>
      </c>
      <c r="O378" s="8" t="s">
        <v>147</v>
      </c>
      <c r="P378" s="8" t="s">
        <v>28</v>
      </c>
      <c r="S378" s="8" t="s">
        <v>32</v>
      </c>
    </row>
    <row r="379">
      <c r="A379" s="8">
        <v>378.0</v>
      </c>
      <c r="B379" s="8" t="s">
        <v>2282</v>
      </c>
      <c r="C379" s="8" t="s">
        <v>21</v>
      </c>
      <c r="D379" s="8">
        <v>76.0</v>
      </c>
      <c r="E379" s="8">
        <v>10.0</v>
      </c>
      <c r="H379" s="8" t="s">
        <v>1605</v>
      </c>
      <c r="I379" s="9">
        <v>46143.99377314815</v>
      </c>
      <c r="K379" s="8">
        <v>12000.0</v>
      </c>
      <c r="L379" s="8">
        <v>40.0</v>
      </c>
      <c r="M379" s="8">
        <v>121000.0</v>
      </c>
      <c r="N379" s="7">
        <v>44097.0</v>
      </c>
      <c r="O379" s="8" t="s">
        <v>147</v>
      </c>
      <c r="P379" s="8" t="s">
        <v>28</v>
      </c>
      <c r="S379" s="8" t="s">
        <v>32</v>
      </c>
    </row>
    <row r="380">
      <c r="A380" s="8">
        <v>379.0</v>
      </c>
      <c r="B380" s="8" t="s">
        <v>2286</v>
      </c>
      <c r="C380" s="8" t="s">
        <v>21</v>
      </c>
      <c r="D380" s="8">
        <v>75.0</v>
      </c>
      <c r="E380" s="8">
        <v>10.0</v>
      </c>
      <c r="H380" s="8" t="s">
        <v>398</v>
      </c>
      <c r="I380" s="9">
        <v>46100.4187962963</v>
      </c>
      <c r="K380" s="8">
        <v>150.0</v>
      </c>
      <c r="L380" s="8">
        <v>500.0</v>
      </c>
      <c r="M380" s="8">
        <v>320000.0</v>
      </c>
      <c r="N380" s="7">
        <v>42355.0</v>
      </c>
      <c r="O380" s="8" t="s">
        <v>147</v>
      </c>
      <c r="P380" s="8" t="s">
        <v>28</v>
      </c>
      <c r="S380" s="8" t="s">
        <v>32</v>
      </c>
    </row>
    <row r="381">
      <c r="A381" s="8">
        <v>380.0</v>
      </c>
      <c r="B381" s="8" t="s">
        <v>2290</v>
      </c>
      <c r="C381" s="8" t="s">
        <v>21</v>
      </c>
      <c r="D381" s="8">
        <v>78.0</v>
      </c>
      <c r="E381" s="8">
        <v>10.0</v>
      </c>
      <c r="H381" s="8" t="s">
        <v>1353</v>
      </c>
      <c r="I381" s="9">
        <v>46088.755844907406</v>
      </c>
      <c r="J381" s="8" t="s">
        <v>96</v>
      </c>
      <c r="K381" s="8">
        <v>4400.0</v>
      </c>
      <c r="L381" s="8">
        <v>250.0</v>
      </c>
      <c r="M381" s="8">
        <v>170000.0</v>
      </c>
      <c r="N381" s="7">
        <v>42577.0</v>
      </c>
      <c r="O381" s="8" t="s">
        <v>31</v>
      </c>
      <c r="P381" s="8" t="s">
        <v>28</v>
      </c>
      <c r="S381" s="8" t="s">
        <v>32</v>
      </c>
    </row>
    <row r="382">
      <c r="A382" s="8">
        <v>381.0</v>
      </c>
      <c r="B382" s="8" t="s">
        <v>2294</v>
      </c>
      <c r="C382" s="8" t="s">
        <v>21</v>
      </c>
      <c r="D382" s="8">
        <v>76.0</v>
      </c>
      <c r="E382" s="8">
        <v>10.0</v>
      </c>
      <c r="H382" s="8" t="s">
        <v>123</v>
      </c>
      <c r="I382" s="9">
        <v>46106.43480324074</v>
      </c>
      <c r="J382" s="8" t="s">
        <v>90</v>
      </c>
      <c r="K382" s="8">
        <v>2000.0</v>
      </c>
      <c r="L382" s="8">
        <v>700.0</v>
      </c>
      <c r="M382" s="8">
        <v>189000.0</v>
      </c>
      <c r="N382" s="7">
        <v>43966.0</v>
      </c>
      <c r="O382" s="8" t="s">
        <v>107</v>
      </c>
      <c r="P382" s="8" t="s">
        <v>1174</v>
      </c>
      <c r="S382" s="8" t="s">
        <v>32</v>
      </c>
    </row>
    <row r="383">
      <c r="A383" s="8">
        <v>382.0</v>
      </c>
      <c r="B383" s="8" t="s">
        <v>2298</v>
      </c>
      <c r="C383" s="8" t="s">
        <v>21</v>
      </c>
      <c r="D383" s="8">
        <v>48.0</v>
      </c>
      <c r="E383" s="8">
        <v>10.0</v>
      </c>
      <c r="H383" s="8" t="s">
        <v>744</v>
      </c>
      <c r="I383" s="9">
        <v>46150.0790162037</v>
      </c>
      <c r="J383" s="8" t="s">
        <v>90</v>
      </c>
      <c r="K383" s="8">
        <v>10.0</v>
      </c>
      <c r="L383" s="8">
        <v>137000.0</v>
      </c>
      <c r="M383" s="8">
        <v>141000.0</v>
      </c>
      <c r="N383" s="7">
        <v>44267.0</v>
      </c>
      <c r="O383" s="8" t="s">
        <v>803</v>
      </c>
      <c r="P383" s="8" t="s">
        <v>28</v>
      </c>
      <c r="S383" s="8" t="s">
        <v>32</v>
      </c>
    </row>
    <row r="384">
      <c r="A384" s="8">
        <v>383.0</v>
      </c>
      <c r="B384" s="8" t="s">
        <v>834</v>
      </c>
      <c r="C384" s="8" t="s">
        <v>21</v>
      </c>
      <c r="D384" s="8">
        <v>77.0</v>
      </c>
      <c r="E384" s="8">
        <v>10.0</v>
      </c>
      <c r="H384" s="8" t="s">
        <v>123</v>
      </c>
      <c r="I384" s="9">
        <v>46083.361712962964</v>
      </c>
      <c r="K384" s="8">
        <v>900.0</v>
      </c>
      <c r="L384" s="8">
        <v>600.0</v>
      </c>
      <c r="M384" s="8">
        <v>212000.0</v>
      </c>
      <c r="N384" s="7">
        <v>44021.0</v>
      </c>
      <c r="O384" s="8" t="s">
        <v>107</v>
      </c>
      <c r="P384" s="8" t="s">
        <v>28</v>
      </c>
      <c r="S384" s="8" t="s">
        <v>32</v>
      </c>
    </row>
    <row r="385">
      <c r="A385" s="8">
        <v>384.0</v>
      </c>
      <c r="B385" s="8" t="s">
        <v>2305</v>
      </c>
      <c r="C385" s="8" t="s">
        <v>21</v>
      </c>
      <c r="D385" s="8">
        <v>58.0</v>
      </c>
      <c r="E385" s="8">
        <v>10.0</v>
      </c>
      <c r="G385" s="8">
        <v>1.02</v>
      </c>
      <c r="H385" s="8" t="s">
        <v>35</v>
      </c>
      <c r="I385" s="9">
        <v>46083.777974537035</v>
      </c>
      <c r="J385" s="8" t="s">
        <v>2308</v>
      </c>
      <c r="K385" s="8">
        <v>20.0</v>
      </c>
      <c r="L385" s="8">
        <v>11000.0</v>
      </c>
      <c r="M385" s="8">
        <v>11000.0</v>
      </c>
      <c r="N385" s="7">
        <v>42398.0</v>
      </c>
      <c r="O385" s="8" t="s">
        <v>31</v>
      </c>
      <c r="P385" s="8" t="s">
        <v>28</v>
      </c>
      <c r="Q385" s="8" t="s">
        <v>2310</v>
      </c>
      <c r="R385" s="8" t="s">
        <v>2312</v>
      </c>
      <c r="S385" s="8" t="s">
        <v>32</v>
      </c>
    </row>
    <row r="386">
      <c r="A386" s="8">
        <v>385.0</v>
      </c>
      <c r="B386" s="8" t="s">
        <v>2314</v>
      </c>
      <c r="C386" s="8" t="s">
        <v>21</v>
      </c>
      <c r="D386" s="8">
        <v>0.0</v>
      </c>
      <c r="E386" s="8">
        <v>10.0</v>
      </c>
      <c r="H386" s="8" t="s">
        <v>1678</v>
      </c>
      <c r="I386" s="9">
        <v>46125.94458333333</v>
      </c>
      <c r="J386" s="8" t="s">
        <v>2316</v>
      </c>
      <c r="K386" s="8">
        <v>10.0</v>
      </c>
      <c r="L386" s="8">
        <v>30.0</v>
      </c>
      <c r="M386" s="8">
        <v>30.0</v>
      </c>
      <c r="N386" s="7">
        <v>42858.0</v>
      </c>
      <c r="O386" s="8" t="s">
        <v>147</v>
      </c>
      <c r="P386" s="8" t="s">
        <v>28</v>
      </c>
      <c r="S386" s="8" t="s">
        <v>782</v>
      </c>
    </row>
    <row r="387">
      <c r="A387" s="8">
        <v>386.0</v>
      </c>
      <c r="B387" s="8" t="s">
        <v>850</v>
      </c>
      <c r="C387" s="8" t="s">
        <v>21</v>
      </c>
      <c r="D387" s="8">
        <v>70.0</v>
      </c>
      <c r="E387" s="8">
        <v>10.0</v>
      </c>
      <c r="H387" s="8" t="s">
        <v>91</v>
      </c>
      <c r="I387" s="9">
        <v>46098.920335648145</v>
      </c>
      <c r="J387" s="8" t="s">
        <v>90</v>
      </c>
      <c r="K387" s="8">
        <v>26000.0</v>
      </c>
      <c r="L387" s="8">
        <v>40.0</v>
      </c>
      <c r="M387" s="8">
        <v>37000.0</v>
      </c>
      <c r="N387" s="7">
        <v>43870.0</v>
      </c>
      <c r="O387" s="8" t="s">
        <v>147</v>
      </c>
      <c r="P387" s="8" t="s">
        <v>28</v>
      </c>
      <c r="S387" s="8" t="s">
        <v>32</v>
      </c>
    </row>
    <row r="388">
      <c r="A388" s="8">
        <v>387.0</v>
      </c>
      <c r="B388" s="8" t="s">
        <v>856</v>
      </c>
      <c r="C388" s="8" t="s">
        <v>21</v>
      </c>
      <c r="D388" s="8">
        <v>55.0</v>
      </c>
      <c r="E388" s="8">
        <v>10.0</v>
      </c>
      <c r="H388" s="8" t="s">
        <v>35</v>
      </c>
      <c r="I388" s="9">
        <v>46144.26351851852</v>
      </c>
      <c r="J388" s="8" t="s">
        <v>476</v>
      </c>
      <c r="K388" s="8">
        <v>10.0</v>
      </c>
      <c r="L388" s="8">
        <v>11000.0</v>
      </c>
      <c r="M388" s="8">
        <v>11000.0</v>
      </c>
      <c r="N388" s="7">
        <v>44312.0</v>
      </c>
      <c r="O388" s="8" t="s">
        <v>26</v>
      </c>
      <c r="P388" s="8" t="s">
        <v>28</v>
      </c>
      <c r="S388" s="8" t="s">
        <v>32</v>
      </c>
    </row>
    <row r="389">
      <c r="A389" s="8">
        <v>388.0</v>
      </c>
      <c r="B389" s="8" t="s">
        <v>2327</v>
      </c>
      <c r="C389" s="8" t="s">
        <v>21</v>
      </c>
      <c r="D389" s="8">
        <v>65.0</v>
      </c>
      <c r="E389" s="8">
        <v>10.0</v>
      </c>
      <c r="H389" s="8" t="s">
        <v>279</v>
      </c>
      <c r="I389" s="9">
        <v>46124.06282407408</v>
      </c>
      <c r="J389" s="8" t="s">
        <v>90</v>
      </c>
      <c r="K389" s="8">
        <v>17000.0</v>
      </c>
      <c r="L389" s="8">
        <v>3100.0</v>
      </c>
      <c r="M389" s="8">
        <v>62000.0</v>
      </c>
      <c r="N389" s="7">
        <v>42906.0</v>
      </c>
      <c r="O389" s="8" t="s">
        <v>107</v>
      </c>
      <c r="P389" s="8" t="s">
        <v>28</v>
      </c>
      <c r="S389" s="8" t="s">
        <v>32</v>
      </c>
    </row>
    <row r="390">
      <c r="A390" s="8">
        <v>389.0</v>
      </c>
      <c r="B390" s="8" t="s">
        <v>2330</v>
      </c>
      <c r="C390" s="8" t="s">
        <v>21</v>
      </c>
      <c r="D390" s="8">
        <v>3.0</v>
      </c>
      <c r="E390" s="8">
        <v>10.0</v>
      </c>
      <c r="F390" s="8">
        <v>0.8</v>
      </c>
      <c r="H390" s="8" t="s">
        <v>2330</v>
      </c>
      <c r="I390" s="9">
        <v>46072.81434027778</v>
      </c>
      <c r="J390" s="8" t="s">
        <v>2333</v>
      </c>
      <c r="K390" s="8">
        <v>5300.0</v>
      </c>
      <c r="L390" s="8">
        <v>0.0</v>
      </c>
      <c r="M390" s="8">
        <v>500.0</v>
      </c>
      <c r="N390" s="7">
        <v>42569.0</v>
      </c>
      <c r="O390" s="8" t="s">
        <v>1028</v>
      </c>
      <c r="P390" s="8" t="s">
        <v>28</v>
      </c>
      <c r="S390" s="8" t="s">
        <v>2335</v>
      </c>
    </row>
    <row r="391">
      <c r="A391" s="8">
        <v>390.0</v>
      </c>
      <c r="B391" s="8" t="s">
        <v>2337</v>
      </c>
      <c r="C391" s="8" t="s">
        <v>21</v>
      </c>
      <c r="D391" s="8">
        <v>75.0</v>
      </c>
      <c r="E391" s="8">
        <v>10.0</v>
      </c>
      <c r="H391" s="8" t="s">
        <v>398</v>
      </c>
      <c r="I391" s="9">
        <v>46146.32931712963</v>
      </c>
      <c r="J391" s="8" t="s">
        <v>90</v>
      </c>
      <c r="K391" s="8">
        <v>800.0</v>
      </c>
      <c r="L391" s="8">
        <v>700.0</v>
      </c>
      <c r="M391" s="8">
        <v>329000.0</v>
      </c>
      <c r="N391" s="7">
        <v>43869.0</v>
      </c>
      <c r="O391" s="8" t="s">
        <v>147</v>
      </c>
      <c r="P391" s="8" t="s">
        <v>28</v>
      </c>
      <c r="S391" s="8" t="s">
        <v>32</v>
      </c>
    </row>
    <row r="392">
      <c r="A392" s="8">
        <v>391.0</v>
      </c>
      <c r="B392" s="8" t="s">
        <v>2340</v>
      </c>
      <c r="C392" s="8" t="s">
        <v>21</v>
      </c>
      <c r="D392" s="8">
        <v>67.0</v>
      </c>
      <c r="E392" s="8">
        <v>10.0</v>
      </c>
      <c r="H392" s="8" t="s">
        <v>2236</v>
      </c>
      <c r="I392" s="9">
        <v>46127.00922453704</v>
      </c>
      <c r="J392" s="8" t="s">
        <v>96</v>
      </c>
      <c r="K392" s="8">
        <v>1700.0</v>
      </c>
      <c r="L392" s="8">
        <v>0.0</v>
      </c>
      <c r="M392" s="8">
        <v>45000.0</v>
      </c>
      <c r="N392" s="7">
        <v>44188.0</v>
      </c>
      <c r="O392" s="8" t="s">
        <v>147</v>
      </c>
      <c r="P392" s="8" t="s">
        <v>28</v>
      </c>
      <c r="S392" s="8" t="s">
        <v>32</v>
      </c>
    </row>
    <row r="393">
      <c r="A393" s="8">
        <v>392.0</v>
      </c>
      <c r="B393" s="8" t="s">
        <v>2343</v>
      </c>
      <c r="C393" s="8" t="s">
        <v>21</v>
      </c>
      <c r="D393" s="8">
        <v>64.0</v>
      </c>
      <c r="E393" s="8">
        <v>10.0</v>
      </c>
      <c r="H393" s="8" t="s">
        <v>1333</v>
      </c>
      <c r="I393" s="9">
        <v>46124.20810185185</v>
      </c>
      <c r="J393" s="8" t="s">
        <v>450</v>
      </c>
      <c r="K393" s="8">
        <v>2800.0</v>
      </c>
      <c r="L393" s="8">
        <v>90.0</v>
      </c>
      <c r="M393" s="8">
        <v>100.0</v>
      </c>
      <c r="N393" s="7">
        <v>44833.0</v>
      </c>
      <c r="O393" s="8" t="s">
        <v>925</v>
      </c>
      <c r="P393" s="8" t="s">
        <v>28</v>
      </c>
      <c r="S393" s="8" t="s">
        <v>748</v>
      </c>
    </row>
    <row r="394">
      <c r="A394" s="8">
        <v>393.0</v>
      </c>
      <c r="B394" s="8" t="s">
        <v>869</v>
      </c>
      <c r="C394" s="8" t="s">
        <v>21</v>
      </c>
      <c r="D394" s="8">
        <v>1.0</v>
      </c>
      <c r="E394" s="8">
        <v>10.0</v>
      </c>
      <c r="H394" s="8" t="s">
        <v>60</v>
      </c>
      <c r="I394" s="9">
        <v>46071.37432870371</v>
      </c>
      <c r="K394" s="8">
        <v>10.0</v>
      </c>
      <c r="L394" s="8">
        <v>200.0</v>
      </c>
      <c r="M394" s="8">
        <v>600.0</v>
      </c>
      <c r="N394" s="7">
        <v>42446.0</v>
      </c>
      <c r="O394" s="8" t="s">
        <v>26</v>
      </c>
      <c r="P394" s="8" t="s">
        <v>28</v>
      </c>
      <c r="S394" s="8" t="s">
        <v>32</v>
      </c>
    </row>
    <row r="395">
      <c r="A395" s="8">
        <v>394.0</v>
      </c>
      <c r="B395" s="8" t="s">
        <v>2352</v>
      </c>
      <c r="C395" s="8" t="s">
        <v>21</v>
      </c>
      <c r="D395" s="8">
        <v>59.0</v>
      </c>
      <c r="E395" s="8">
        <v>10.0</v>
      </c>
      <c r="F395" s="8">
        <v>0.45</v>
      </c>
      <c r="H395" s="8" t="s">
        <v>2352</v>
      </c>
      <c r="I395" s="9">
        <v>46029.51976851852</v>
      </c>
      <c r="J395" s="8" t="s">
        <v>96</v>
      </c>
      <c r="K395" s="8">
        <v>20.0</v>
      </c>
      <c r="L395" s="8">
        <v>0.0</v>
      </c>
      <c r="M395" s="8">
        <v>0.0</v>
      </c>
      <c r="N395" s="7">
        <v>42297.0</v>
      </c>
      <c r="O395" s="8" t="s">
        <v>107</v>
      </c>
      <c r="P395" s="8" t="s">
        <v>28</v>
      </c>
      <c r="S395" s="8" t="s">
        <v>2356</v>
      </c>
    </row>
    <row r="396">
      <c r="A396" s="8">
        <v>395.0</v>
      </c>
      <c r="B396" s="8" t="s">
        <v>2358</v>
      </c>
      <c r="C396" s="8" t="s">
        <v>21</v>
      </c>
      <c r="D396" s="8">
        <v>68.0</v>
      </c>
      <c r="E396" s="8">
        <v>10.0</v>
      </c>
      <c r="H396" s="8" t="s">
        <v>1232</v>
      </c>
      <c r="I396" s="9">
        <v>46088.001122685186</v>
      </c>
      <c r="J396" s="8" t="s">
        <v>90</v>
      </c>
      <c r="K396" s="8">
        <v>400.0</v>
      </c>
      <c r="L396" s="8">
        <v>200.0</v>
      </c>
      <c r="M396" s="8">
        <v>76000.0</v>
      </c>
      <c r="N396" s="7">
        <v>44078.0</v>
      </c>
      <c r="O396" s="8" t="s">
        <v>107</v>
      </c>
      <c r="P396" s="8" t="s">
        <v>1954</v>
      </c>
      <c r="S396" s="8" t="s">
        <v>32</v>
      </c>
    </row>
    <row r="397">
      <c r="A397" s="8">
        <v>396.0</v>
      </c>
      <c r="B397" s="8" t="s">
        <v>883</v>
      </c>
      <c r="C397" s="8" t="s">
        <v>21</v>
      </c>
      <c r="D397" s="8">
        <v>72.0</v>
      </c>
      <c r="E397" s="8">
        <v>10.0</v>
      </c>
      <c r="H397" s="8" t="s">
        <v>35</v>
      </c>
      <c r="I397" s="9">
        <v>46156.73423611111</v>
      </c>
      <c r="J397" s="8" t="s">
        <v>96</v>
      </c>
      <c r="K397" s="8">
        <v>10.0</v>
      </c>
      <c r="L397" s="8">
        <v>11000.0</v>
      </c>
      <c r="M397" s="8">
        <v>12000.0</v>
      </c>
      <c r="N397" s="7">
        <v>43144.0</v>
      </c>
      <c r="O397" s="8" t="s">
        <v>26</v>
      </c>
      <c r="P397" s="8" t="s">
        <v>28</v>
      </c>
      <c r="S397" s="8" t="s">
        <v>32</v>
      </c>
    </row>
    <row r="398">
      <c r="A398" s="8">
        <v>397.0</v>
      </c>
      <c r="B398" s="8" t="s">
        <v>2367</v>
      </c>
      <c r="C398" s="8" t="s">
        <v>21</v>
      </c>
      <c r="D398" s="8">
        <v>48.0</v>
      </c>
      <c r="E398" s="8">
        <v>10.0</v>
      </c>
      <c r="H398" s="8" t="s">
        <v>349</v>
      </c>
      <c r="I398" s="9">
        <v>46076.08335648148</v>
      </c>
      <c r="J398" s="8" t="s">
        <v>90</v>
      </c>
      <c r="K398" s="8">
        <v>1500.0</v>
      </c>
      <c r="L398" s="8">
        <v>90.0</v>
      </c>
      <c r="M398" s="8">
        <v>40000.0</v>
      </c>
      <c r="N398" s="7">
        <v>44225.0</v>
      </c>
      <c r="O398" s="8" t="s">
        <v>107</v>
      </c>
      <c r="P398" s="8" t="s">
        <v>28</v>
      </c>
      <c r="S398" s="8" t="s">
        <v>32</v>
      </c>
    </row>
    <row r="399">
      <c r="A399" s="8">
        <v>398.0</v>
      </c>
      <c r="B399" s="8" t="s">
        <v>2371</v>
      </c>
      <c r="C399" s="8" t="s">
        <v>21</v>
      </c>
      <c r="D399" s="8">
        <v>64.0</v>
      </c>
      <c r="E399" s="8">
        <v>10.0</v>
      </c>
      <c r="H399" s="8" t="s">
        <v>289</v>
      </c>
      <c r="I399" s="9">
        <v>46125.77185185185</v>
      </c>
      <c r="J399" s="8" t="s">
        <v>90</v>
      </c>
      <c r="K399" s="8">
        <v>10.0</v>
      </c>
      <c r="L399" s="8">
        <v>70.0</v>
      </c>
      <c r="M399" s="8">
        <v>600.0</v>
      </c>
      <c r="N399" s="7">
        <v>42955.0</v>
      </c>
      <c r="O399" s="8" t="s">
        <v>107</v>
      </c>
      <c r="P399" s="8" t="s">
        <v>28</v>
      </c>
      <c r="S399" s="8" t="s">
        <v>32</v>
      </c>
    </row>
    <row r="400">
      <c r="A400" s="8">
        <v>399.0</v>
      </c>
      <c r="B400" s="8" t="s">
        <v>2375</v>
      </c>
      <c r="C400" s="8" t="s">
        <v>21</v>
      </c>
      <c r="D400" s="8">
        <v>71.0</v>
      </c>
      <c r="E400" s="8">
        <v>10.0</v>
      </c>
      <c r="H400" s="8" t="s">
        <v>2375</v>
      </c>
      <c r="I400" s="9">
        <v>46149.78771990741</v>
      </c>
      <c r="K400" s="8">
        <v>9600.0</v>
      </c>
      <c r="L400" s="8">
        <v>0.0</v>
      </c>
      <c r="M400" s="8">
        <v>57000.0</v>
      </c>
      <c r="N400" s="7">
        <v>43013.0</v>
      </c>
      <c r="O400" s="8" t="s">
        <v>147</v>
      </c>
      <c r="P400" s="8" t="s">
        <v>28</v>
      </c>
      <c r="S400" s="8" t="s">
        <v>32</v>
      </c>
    </row>
    <row r="401">
      <c r="A401" s="8">
        <v>400.0</v>
      </c>
      <c r="B401" s="8" t="s">
        <v>2379</v>
      </c>
      <c r="C401" s="8" t="s">
        <v>21</v>
      </c>
      <c r="D401" s="8">
        <v>21.0</v>
      </c>
      <c r="E401" s="8">
        <v>10.0</v>
      </c>
      <c r="H401" s="8" t="s">
        <v>744</v>
      </c>
      <c r="I401" s="9">
        <v>46125.05217592593</v>
      </c>
      <c r="J401" s="8" t="s">
        <v>1982</v>
      </c>
      <c r="K401" s="8">
        <v>10.0</v>
      </c>
      <c r="L401" s="8">
        <v>136000.0</v>
      </c>
      <c r="M401" s="8">
        <v>140000.0</v>
      </c>
      <c r="N401" s="7">
        <v>43979.0</v>
      </c>
      <c r="O401" s="8" t="s">
        <v>147</v>
      </c>
      <c r="P401" s="8" t="s">
        <v>28</v>
      </c>
      <c r="S401" s="8" t="s">
        <v>32</v>
      </c>
    </row>
    <row r="402">
      <c r="A402" s="8">
        <v>401.0</v>
      </c>
      <c r="B402" s="8" t="s">
        <v>2383</v>
      </c>
      <c r="C402" s="8" t="s">
        <v>21</v>
      </c>
      <c r="D402" s="8">
        <v>75.0</v>
      </c>
      <c r="E402" s="8">
        <v>10.0</v>
      </c>
      <c r="H402" s="8" t="s">
        <v>701</v>
      </c>
      <c r="I402" s="9">
        <v>46145.85466435185</v>
      </c>
      <c r="J402" s="8" t="s">
        <v>90</v>
      </c>
      <c r="K402" s="8">
        <v>11000.0</v>
      </c>
      <c r="L402" s="8">
        <v>100.0</v>
      </c>
      <c r="M402" s="8">
        <v>174000.0</v>
      </c>
      <c r="N402" s="7">
        <v>44512.0</v>
      </c>
      <c r="O402" s="8" t="s">
        <v>147</v>
      </c>
      <c r="P402" s="8" t="s">
        <v>2387</v>
      </c>
      <c r="S402" s="8" t="s">
        <v>32</v>
      </c>
    </row>
    <row r="403">
      <c r="A403" s="8">
        <v>402.0</v>
      </c>
      <c r="B403" s="8" t="s">
        <v>899</v>
      </c>
      <c r="C403" s="8" t="s">
        <v>21</v>
      </c>
      <c r="D403" s="8">
        <v>77.0</v>
      </c>
      <c r="E403" s="8">
        <v>10.0</v>
      </c>
      <c r="H403" s="8" t="s">
        <v>123</v>
      </c>
      <c r="I403" s="9">
        <v>46125.95888888889</v>
      </c>
      <c r="J403" s="8" t="s">
        <v>96</v>
      </c>
      <c r="K403" s="8">
        <v>4600.0</v>
      </c>
      <c r="L403" s="8">
        <v>5100.0</v>
      </c>
      <c r="M403" s="8">
        <v>574000.0</v>
      </c>
      <c r="N403" s="7">
        <v>44241.0</v>
      </c>
      <c r="O403" s="8" t="s">
        <v>147</v>
      </c>
      <c r="P403" s="8" t="s">
        <v>28</v>
      </c>
      <c r="S403" s="8" t="s">
        <v>32</v>
      </c>
    </row>
    <row r="404">
      <c r="A404" s="8">
        <v>403.0</v>
      </c>
      <c r="B404" s="8" t="s">
        <v>2392</v>
      </c>
      <c r="C404" s="8" t="s">
        <v>21</v>
      </c>
      <c r="D404" s="8">
        <v>0.0</v>
      </c>
      <c r="E404" s="8">
        <v>10.0</v>
      </c>
      <c r="H404" s="8" t="s">
        <v>783</v>
      </c>
      <c r="I404" s="9">
        <v>46083.97623842592</v>
      </c>
      <c r="J404" s="8" t="s">
        <v>2395</v>
      </c>
      <c r="K404" s="8">
        <v>10.0</v>
      </c>
      <c r="L404" s="8">
        <v>13000.0</v>
      </c>
      <c r="M404" s="8">
        <v>18000.0</v>
      </c>
      <c r="N404" s="7">
        <v>44060.0</v>
      </c>
      <c r="O404" s="8" t="s">
        <v>26</v>
      </c>
      <c r="P404" s="8" t="s">
        <v>28</v>
      </c>
      <c r="S404" s="8" t="s">
        <v>32</v>
      </c>
    </row>
    <row r="405">
      <c r="A405" s="8">
        <v>404.0</v>
      </c>
      <c r="B405" s="8" t="s">
        <v>2397</v>
      </c>
      <c r="C405" s="8" t="s">
        <v>21</v>
      </c>
      <c r="D405" s="8">
        <v>0.0</v>
      </c>
      <c r="E405" s="8">
        <v>10.0</v>
      </c>
      <c r="H405" s="8" t="s">
        <v>744</v>
      </c>
      <c r="I405" s="9">
        <v>46141.73811342593</v>
      </c>
      <c r="J405" s="8" t="s">
        <v>1838</v>
      </c>
      <c r="K405" s="8">
        <v>10.0</v>
      </c>
      <c r="L405" s="8">
        <v>136000.0</v>
      </c>
      <c r="M405" s="8">
        <v>140000.0</v>
      </c>
      <c r="N405" s="7">
        <v>42627.0</v>
      </c>
      <c r="O405" s="8" t="s">
        <v>147</v>
      </c>
      <c r="P405" s="8" t="s">
        <v>28</v>
      </c>
      <c r="S405" s="8" t="s">
        <v>782</v>
      </c>
    </row>
    <row r="406">
      <c r="A406" s="8">
        <v>405.0</v>
      </c>
      <c r="B406" s="8" t="s">
        <v>2401</v>
      </c>
      <c r="C406" s="8" t="s">
        <v>21</v>
      </c>
      <c r="D406" s="8">
        <v>68.0</v>
      </c>
      <c r="E406" s="8">
        <v>10.0</v>
      </c>
      <c r="H406" s="8" t="s">
        <v>398</v>
      </c>
      <c r="I406" s="9">
        <v>46125.39135416667</v>
      </c>
      <c r="J406" s="8" t="s">
        <v>90</v>
      </c>
      <c r="K406" s="8">
        <v>21000.0</v>
      </c>
      <c r="L406" s="8">
        <v>600.0</v>
      </c>
      <c r="M406" s="8">
        <v>356000.0</v>
      </c>
      <c r="N406" s="7">
        <v>42327.0</v>
      </c>
      <c r="O406" s="8" t="s">
        <v>147</v>
      </c>
      <c r="P406" s="8" t="s">
        <v>28</v>
      </c>
      <c r="S406" s="8" t="s">
        <v>32</v>
      </c>
    </row>
    <row r="407">
      <c r="A407" s="8">
        <v>406.0</v>
      </c>
      <c r="B407" s="8" t="s">
        <v>2405</v>
      </c>
      <c r="C407" s="8" t="s">
        <v>21</v>
      </c>
      <c r="D407" s="8">
        <v>19.0</v>
      </c>
      <c r="E407" s="8">
        <v>10.0</v>
      </c>
      <c r="H407" s="8" t="s">
        <v>755</v>
      </c>
      <c r="I407" s="9">
        <v>46088.132268518515</v>
      </c>
      <c r="J407" s="8" t="s">
        <v>62</v>
      </c>
      <c r="K407" s="8">
        <v>20.0</v>
      </c>
      <c r="L407" s="8">
        <v>17000.0</v>
      </c>
      <c r="M407" s="8">
        <v>17000.0</v>
      </c>
      <c r="N407" s="7">
        <v>43080.0</v>
      </c>
      <c r="O407" s="8" t="s">
        <v>26</v>
      </c>
      <c r="P407" s="8" t="s">
        <v>28</v>
      </c>
      <c r="S407" s="8" t="s">
        <v>2408</v>
      </c>
    </row>
    <row r="408">
      <c r="A408" s="8">
        <v>407.0</v>
      </c>
      <c r="B408" s="8" t="s">
        <v>919</v>
      </c>
      <c r="C408" s="8" t="s">
        <v>21</v>
      </c>
      <c r="D408" s="8">
        <v>53.0</v>
      </c>
      <c r="E408" s="8">
        <v>10.0</v>
      </c>
      <c r="H408" s="8" t="s">
        <v>19</v>
      </c>
      <c r="I408" s="9">
        <v>46148.04377314815</v>
      </c>
      <c r="J408" s="8" t="s">
        <v>90</v>
      </c>
      <c r="K408" s="8">
        <v>10.0</v>
      </c>
      <c r="L408" s="8">
        <v>26000.0</v>
      </c>
      <c r="M408" s="8">
        <v>27000.0</v>
      </c>
      <c r="N408" s="7">
        <v>44034.0</v>
      </c>
      <c r="O408" s="8" t="s">
        <v>26</v>
      </c>
      <c r="P408" s="8" t="s">
        <v>28</v>
      </c>
      <c r="S408" s="8" t="s">
        <v>32</v>
      </c>
    </row>
    <row r="409">
      <c r="A409" s="8">
        <v>408.0</v>
      </c>
      <c r="B409" s="8" t="s">
        <v>2413</v>
      </c>
      <c r="C409" s="8" t="s">
        <v>21</v>
      </c>
      <c r="D409" s="8">
        <v>75.0</v>
      </c>
      <c r="E409" s="8">
        <v>10.0</v>
      </c>
      <c r="H409" s="8" t="s">
        <v>398</v>
      </c>
      <c r="I409" s="9">
        <v>46122.110127314816</v>
      </c>
      <c r="K409" s="8">
        <v>2100.0</v>
      </c>
      <c r="L409" s="8">
        <v>2900.0</v>
      </c>
      <c r="M409" s="8">
        <v>1730000.0</v>
      </c>
      <c r="N409" s="7">
        <v>42542.0</v>
      </c>
      <c r="O409" s="8" t="s">
        <v>147</v>
      </c>
      <c r="P409" s="8" t="s">
        <v>28</v>
      </c>
      <c r="S409" s="8" t="s">
        <v>32</v>
      </c>
    </row>
    <row r="410">
      <c r="A410" s="8">
        <v>409.0</v>
      </c>
      <c r="B410" s="8" t="s">
        <v>2416</v>
      </c>
      <c r="C410" s="8" t="s">
        <v>21</v>
      </c>
      <c r="D410" s="8">
        <v>72.0</v>
      </c>
      <c r="E410" s="8">
        <v>10.0</v>
      </c>
      <c r="H410" s="8" t="s">
        <v>1353</v>
      </c>
      <c r="I410" s="9">
        <v>46162.124930555554</v>
      </c>
      <c r="K410" s="8">
        <v>50.0</v>
      </c>
      <c r="L410" s="8">
        <v>250.0</v>
      </c>
      <c r="M410" s="8">
        <v>121000.0</v>
      </c>
      <c r="N410" s="7">
        <v>42539.0</v>
      </c>
      <c r="O410" s="8" t="s">
        <v>147</v>
      </c>
      <c r="P410" s="8" t="s">
        <v>28</v>
      </c>
      <c r="S410" s="8" t="s">
        <v>32</v>
      </c>
    </row>
    <row r="411">
      <c r="A411" s="8">
        <v>410.0</v>
      </c>
      <c r="B411" s="8" t="s">
        <v>2419</v>
      </c>
      <c r="C411" s="8" t="s">
        <v>21</v>
      </c>
      <c r="D411" s="8">
        <v>65.0</v>
      </c>
      <c r="E411" s="8">
        <v>10.0</v>
      </c>
      <c r="H411" s="8" t="s">
        <v>1353</v>
      </c>
      <c r="I411" s="9">
        <v>46144.42722222222</v>
      </c>
      <c r="K411" s="8">
        <v>3700.0</v>
      </c>
      <c r="L411" s="8">
        <v>250.0</v>
      </c>
      <c r="M411" s="8">
        <v>133000.0</v>
      </c>
      <c r="N411" s="7">
        <v>44208.0</v>
      </c>
      <c r="O411" s="8" t="s">
        <v>147</v>
      </c>
      <c r="P411" s="8" t="s">
        <v>28</v>
      </c>
      <c r="S411" s="8" t="s">
        <v>32</v>
      </c>
    </row>
    <row r="412">
      <c r="A412" s="8">
        <v>411.0</v>
      </c>
      <c r="B412" s="8" t="s">
        <v>2423</v>
      </c>
      <c r="C412" s="8" t="s">
        <v>21</v>
      </c>
      <c r="D412" s="8">
        <v>75.0</v>
      </c>
      <c r="E412" s="8">
        <v>10.0</v>
      </c>
      <c r="H412" s="8" t="s">
        <v>398</v>
      </c>
      <c r="I412" s="9">
        <v>46126.88962962963</v>
      </c>
      <c r="J412" s="8" t="s">
        <v>90</v>
      </c>
      <c r="K412" s="8">
        <v>2000.0</v>
      </c>
      <c r="L412" s="8">
        <v>600.0</v>
      </c>
      <c r="M412" s="8">
        <v>358000.0</v>
      </c>
      <c r="N412" s="7">
        <v>43868.0</v>
      </c>
      <c r="O412" s="8" t="s">
        <v>147</v>
      </c>
      <c r="P412" s="8" t="s">
        <v>28</v>
      </c>
      <c r="S412" s="8" t="s">
        <v>32</v>
      </c>
    </row>
    <row r="413">
      <c r="A413" s="8">
        <v>412.0</v>
      </c>
      <c r="B413" s="8" t="s">
        <v>2424</v>
      </c>
      <c r="C413" s="8" t="s">
        <v>21</v>
      </c>
      <c r="D413" s="8">
        <v>54.0</v>
      </c>
      <c r="E413" s="8">
        <v>10.0</v>
      </c>
      <c r="H413" s="8" t="s">
        <v>2425</v>
      </c>
      <c r="I413" s="9">
        <v>46143.75628472222</v>
      </c>
      <c r="J413" s="8" t="s">
        <v>96</v>
      </c>
      <c r="K413" s="8">
        <v>20.0</v>
      </c>
      <c r="L413" s="8">
        <v>40.0</v>
      </c>
      <c r="M413" s="8">
        <v>250.0</v>
      </c>
      <c r="N413" s="7">
        <v>42710.0</v>
      </c>
      <c r="O413" s="8" t="s">
        <v>925</v>
      </c>
      <c r="P413" s="8" t="s">
        <v>28</v>
      </c>
      <c r="S413" s="8" t="s">
        <v>32</v>
      </c>
    </row>
    <row r="414">
      <c r="A414" s="8">
        <v>413.0</v>
      </c>
      <c r="B414" s="8" t="s">
        <v>2428</v>
      </c>
      <c r="C414" s="8" t="s">
        <v>21</v>
      </c>
      <c r="D414" s="8">
        <v>77.0</v>
      </c>
      <c r="E414" s="8">
        <v>10.0</v>
      </c>
      <c r="H414" s="8" t="s">
        <v>1605</v>
      </c>
      <c r="I414" s="9">
        <v>46098.30616898148</v>
      </c>
      <c r="J414" s="8" t="s">
        <v>96</v>
      </c>
      <c r="K414" s="8">
        <v>7100.0</v>
      </c>
      <c r="L414" s="8">
        <v>30.0</v>
      </c>
      <c r="M414" s="8">
        <v>145000.0</v>
      </c>
      <c r="N414" s="7">
        <v>44819.0</v>
      </c>
      <c r="O414" s="8" t="s">
        <v>147</v>
      </c>
      <c r="P414" s="8" t="s">
        <v>28</v>
      </c>
      <c r="S414" s="8" t="s">
        <v>32</v>
      </c>
    </row>
    <row r="415">
      <c r="A415" s="8">
        <v>414.0</v>
      </c>
      <c r="B415" s="8" t="s">
        <v>948</v>
      </c>
      <c r="C415" s="8" t="s">
        <v>21</v>
      </c>
      <c r="D415" s="8">
        <v>74.0</v>
      </c>
      <c r="E415" s="8">
        <v>10.0</v>
      </c>
      <c r="H415" s="8" t="s">
        <v>60</v>
      </c>
      <c r="I415" s="9">
        <v>46122.60019675926</v>
      </c>
      <c r="J415" s="8" t="s">
        <v>90</v>
      </c>
      <c r="K415" s="8">
        <v>30.0</v>
      </c>
      <c r="L415" s="8">
        <v>150.0</v>
      </c>
      <c r="M415" s="8">
        <v>500.0</v>
      </c>
      <c r="N415" s="7">
        <v>44086.0</v>
      </c>
      <c r="O415" s="8" t="s">
        <v>31</v>
      </c>
      <c r="P415" s="8" t="s">
        <v>28</v>
      </c>
      <c r="S415" s="8" t="s">
        <v>32</v>
      </c>
    </row>
    <row r="416">
      <c r="A416" s="8">
        <v>415.0</v>
      </c>
      <c r="B416" s="8" t="s">
        <v>2434</v>
      </c>
      <c r="C416" s="8" t="s">
        <v>21</v>
      </c>
      <c r="D416" s="8">
        <v>79.0</v>
      </c>
      <c r="E416" s="8">
        <v>10.0</v>
      </c>
      <c r="H416" s="8" t="s">
        <v>1353</v>
      </c>
      <c r="I416" s="9">
        <v>46122.79576388889</v>
      </c>
      <c r="K416" s="8">
        <v>700.0</v>
      </c>
      <c r="L416" s="8">
        <v>200.0</v>
      </c>
      <c r="M416" s="8">
        <v>240000.0</v>
      </c>
      <c r="N416" s="7">
        <v>42293.0</v>
      </c>
      <c r="O416" s="8" t="s">
        <v>147</v>
      </c>
      <c r="P416" s="8" t="s">
        <v>28</v>
      </c>
      <c r="S416" s="8" t="s">
        <v>32</v>
      </c>
    </row>
    <row r="417">
      <c r="A417" s="8">
        <v>416.0</v>
      </c>
      <c r="B417" s="8" t="s">
        <v>955</v>
      </c>
      <c r="C417" s="8" t="s">
        <v>21</v>
      </c>
      <c r="D417" s="8">
        <v>56.0</v>
      </c>
      <c r="E417" s="8">
        <v>10.0</v>
      </c>
      <c r="H417" s="8" t="s">
        <v>60</v>
      </c>
      <c r="I417" s="9">
        <v>46142.385347222225</v>
      </c>
      <c r="K417" s="8">
        <v>30.0</v>
      </c>
      <c r="L417" s="8">
        <v>150.0</v>
      </c>
      <c r="M417" s="8">
        <v>450.0</v>
      </c>
      <c r="N417" s="7">
        <v>42742.0</v>
      </c>
      <c r="O417" s="8" t="s">
        <v>26</v>
      </c>
      <c r="P417" s="8" t="s">
        <v>28</v>
      </c>
      <c r="S417" s="8" t="s">
        <v>32</v>
      </c>
    </row>
    <row r="418">
      <c r="A418" s="8">
        <v>417.0</v>
      </c>
      <c r="B418" s="8" t="s">
        <v>2440</v>
      </c>
      <c r="C418" s="8" t="s">
        <v>21</v>
      </c>
      <c r="D418" s="8">
        <v>0.0</v>
      </c>
      <c r="E418" s="8">
        <v>10.0</v>
      </c>
      <c r="H418" s="8" t="s">
        <v>1678</v>
      </c>
      <c r="I418" s="9">
        <v>46098.18783564815</v>
      </c>
      <c r="J418" s="8" t="s">
        <v>1243</v>
      </c>
      <c r="K418" s="8">
        <v>10.0</v>
      </c>
      <c r="L418" s="8">
        <v>30.0</v>
      </c>
      <c r="M418" s="8">
        <v>30.0</v>
      </c>
      <c r="N418" s="7">
        <v>45003.0</v>
      </c>
      <c r="O418" s="8" t="s">
        <v>26</v>
      </c>
      <c r="P418" s="8" t="s">
        <v>28</v>
      </c>
      <c r="S418" s="8" t="s">
        <v>782</v>
      </c>
    </row>
    <row r="419">
      <c r="A419" s="8">
        <v>418.0</v>
      </c>
      <c r="B419" s="8" t="s">
        <v>2444</v>
      </c>
      <c r="C419" s="8" t="s">
        <v>21</v>
      </c>
      <c r="D419" s="8">
        <v>73.0</v>
      </c>
      <c r="E419" s="8">
        <v>10.0</v>
      </c>
      <c r="H419" s="8" t="s">
        <v>1288</v>
      </c>
      <c r="I419" s="9">
        <v>46089.668287037035</v>
      </c>
      <c r="J419" s="8" t="s">
        <v>90</v>
      </c>
      <c r="K419" s="8">
        <v>19000.0</v>
      </c>
      <c r="L419" s="8">
        <v>30.0</v>
      </c>
      <c r="M419" s="8">
        <v>55000.0</v>
      </c>
      <c r="N419" s="7">
        <v>43846.0</v>
      </c>
      <c r="O419" s="8" t="s">
        <v>26</v>
      </c>
      <c r="P419" s="8" t="s">
        <v>28</v>
      </c>
      <c r="S419" s="8" t="s">
        <v>32</v>
      </c>
    </row>
    <row r="420">
      <c r="A420" s="8">
        <v>419.0</v>
      </c>
      <c r="B420" s="8" t="s">
        <v>2447</v>
      </c>
      <c r="C420" s="8" t="s">
        <v>21</v>
      </c>
      <c r="D420" s="8">
        <v>54.0</v>
      </c>
      <c r="E420" s="8">
        <v>10.0</v>
      </c>
      <c r="H420" s="8" t="s">
        <v>744</v>
      </c>
      <c r="I420" s="9">
        <v>46126.991585648146</v>
      </c>
      <c r="J420" s="8" t="s">
        <v>2449</v>
      </c>
      <c r="K420" s="8">
        <v>700.0</v>
      </c>
      <c r="L420" s="8">
        <v>136000.0</v>
      </c>
      <c r="M420" s="8">
        <v>140000.0</v>
      </c>
      <c r="N420" s="7">
        <v>42581.0</v>
      </c>
      <c r="O420" s="8" t="s">
        <v>31</v>
      </c>
      <c r="P420" s="8" t="s">
        <v>28</v>
      </c>
      <c r="S420" s="8" t="s">
        <v>2128</v>
      </c>
    </row>
    <row r="421">
      <c r="A421" s="8">
        <v>420.0</v>
      </c>
      <c r="B421" s="8" t="s">
        <v>2452</v>
      </c>
      <c r="C421" s="8" t="s">
        <v>21</v>
      </c>
      <c r="D421" s="8">
        <v>74.0</v>
      </c>
      <c r="E421" s="8">
        <v>10.0</v>
      </c>
      <c r="H421" s="8" t="s">
        <v>701</v>
      </c>
      <c r="I421" s="9">
        <v>46083.35755787037</v>
      </c>
      <c r="J421" s="8" t="s">
        <v>90</v>
      </c>
      <c r="K421" s="8">
        <v>2000.0</v>
      </c>
      <c r="L421" s="8">
        <v>100.0</v>
      </c>
      <c r="M421" s="8">
        <v>187000.0</v>
      </c>
      <c r="N421" s="7">
        <v>44614.0</v>
      </c>
      <c r="O421" s="8" t="s">
        <v>107</v>
      </c>
      <c r="P421" s="8" t="s">
        <v>1174</v>
      </c>
      <c r="S421" s="8" t="s">
        <v>32</v>
      </c>
    </row>
    <row r="422">
      <c r="A422" s="8">
        <v>421.0</v>
      </c>
      <c r="B422" s="8" t="s">
        <v>2048</v>
      </c>
      <c r="C422" s="8" t="s">
        <v>21</v>
      </c>
      <c r="D422" s="8">
        <v>68.0</v>
      </c>
      <c r="E422" s="8">
        <v>10.0</v>
      </c>
      <c r="H422" s="8" t="s">
        <v>1739</v>
      </c>
      <c r="I422" s="9">
        <v>46141.88190972222</v>
      </c>
      <c r="K422" s="8">
        <v>5200.0</v>
      </c>
      <c r="L422" s="8">
        <v>10.0</v>
      </c>
      <c r="M422" s="8">
        <v>110000.0</v>
      </c>
      <c r="N422" s="7">
        <v>42926.0</v>
      </c>
      <c r="O422" s="8" t="s">
        <v>147</v>
      </c>
      <c r="P422" s="8" t="s">
        <v>28</v>
      </c>
      <c r="S422" s="8" t="s">
        <v>32</v>
      </c>
    </row>
    <row r="423">
      <c r="A423" s="8">
        <v>422.0</v>
      </c>
      <c r="B423" s="8" t="s">
        <v>2458</v>
      </c>
      <c r="C423" s="8" t="s">
        <v>21</v>
      </c>
      <c r="D423" s="8">
        <v>0.0</v>
      </c>
      <c r="E423" s="8">
        <v>10.0</v>
      </c>
      <c r="H423" s="8" t="s">
        <v>1678</v>
      </c>
      <c r="I423" s="9">
        <v>46161.794120370374</v>
      </c>
      <c r="J423" s="8" t="s">
        <v>96</v>
      </c>
      <c r="K423" s="8">
        <v>10.0</v>
      </c>
      <c r="L423" s="8">
        <v>40.0</v>
      </c>
      <c r="M423" s="8">
        <v>40.0</v>
      </c>
      <c r="N423" s="7">
        <v>42262.0</v>
      </c>
      <c r="O423" s="8" t="s">
        <v>26</v>
      </c>
      <c r="P423" s="8" t="s">
        <v>28</v>
      </c>
      <c r="S423" s="8" t="s">
        <v>2461</v>
      </c>
    </row>
    <row r="424">
      <c r="A424" s="8">
        <v>423.0</v>
      </c>
      <c r="B424" s="8" t="s">
        <v>977</v>
      </c>
      <c r="C424" s="8" t="s">
        <v>21</v>
      </c>
      <c r="D424" s="8">
        <v>50.0</v>
      </c>
      <c r="E424" s="8">
        <v>10.0</v>
      </c>
      <c r="H424" s="8" t="s">
        <v>60</v>
      </c>
      <c r="I424" s="9">
        <v>46084.94326388889</v>
      </c>
      <c r="K424" s="8">
        <v>10.0</v>
      </c>
      <c r="L424" s="8">
        <v>250.0</v>
      </c>
      <c r="M424" s="8">
        <v>600.0</v>
      </c>
      <c r="N424" s="7">
        <v>43693.0</v>
      </c>
      <c r="O424" s="8" t="s">
        <v>26</v>
      </c>
      <c r="P424" s="8" t="s">
        <v>28</v>
      </c>
      <c r="S424" s="8" t="s">
        <v>32</v>
      </c>
    </row>
    <row r="425">
      <c r="A425" s="8">
        <v>424.0</v>
      </c>
      <c r="B425" s="8" t="s">
        <v>2465</v>
      </c>
      <c r="C425" s="8" t="s">
        <v>21</v>
      </c>
      <c r="D425" s="8">
        <v>61.0</v>
      </c>
      <c r="E425" s="8">
        <v>10.0</v>
      </c>
      <c r="H425" s="8" t="s">
        <v>1733</v>
      </c>
      <c r="I425" s="9">
        <v>46157.107152777775</v>
      </c>
      <c r="K425" s="8">
        <v>6700.0</v>
      </c>
      <c r="L425" s="8">
        <v>70.0</v>
      </c>
      <c r="M425" s="8">
        <v>71000.0</v>
      </c>
      <c r="N425" s="7">
        <v>44263.0</v>
      </c>
      <c r="O425" s="8" t="s">
        <v>147</v>
      </c>
      <c r="P425" s="8" t="s">
        <v>28</v>
      </c>
      <c r="S425" s="8" t="s">
        <v>32</v>
      </c>
    </row>
    <row r="426">
      <c r="A426" s="8">
        <v>425.0</v>
      </c>
      <c r="B426" s="8" t="s">
        <v>992</v>
      </c>
      <c r="C426" s="8" t="s">
        <v>21</v>
      </c>
      <c r="D426" s="8">
        <v>42.0</v>
      </c>
      <c r="E426" s="8">
        <v>10.0</v>
      </c>
      <c r="H426" s="8" t="s">
        <v>19</v>
      </c>
      <c r="I426" s="9">
        <v>46156.274930555555</v>
      </c>
      <c r="J426" s="8" t="s">
        <v>450</v>
      </c>
      <c r="K426" s="8">
        <v>10.0</v>
      </c>
      <c r="L426" s="8">
        <v>26000.0</v>
      </c>
      <c r="M426" s="8">
        <v>27000.0</v>
      </c>
      <c r="N426" s="7">
        <v>44059.0</v>
      </c>
      <c r="O426" s="8" t="s">
        <v>26</v>
      </c>
      <c r="P426" s="8" t="s">
        <v>28</v>
      </c>
      <c r="S426" s="8" t="s">
        <v>32</v>
      </c>
    </row>
    <row r="427">
      <c r="A427" s="8">
        <v>426.0</v>
      </c>
      <c r="B427" s="8" t="s">
        <v>994</v>
      </c>
      <c r="C427" s="8" t="s">
        <v>21</v>
      </c>
      <c r="D427" s="8">
        <v>59.0</v>
      </c>
      <c r="E427" s="8">
        <v>10.0</v>
      </c>
      <c r="H427" s="8" t="s">
        <v>35</v>
      </c>
      <c r="I427" s="9">
        <v>46126.97677083333</v>
      </c>
      <c r="J427" s="8" t="s">
        <v>450</v>
      </c>
      <c r="K427" s="8">
        <v>20.0</v>
      </c>
      <c r="L427" s="8">
        <v>11000.0</v>
      </c>
      <c r="M427" s="8">
        <v>11000.0</v>
      </c>
      <c r="N427" s="7">
        <v>43352.0</v>
      </c>
      <c r="O427" s="8" t="s">
        <v>127</v>
      </c>
      <c r="P427" s="8" t="s">
        <v>28</v>
      </c>
      <c r="S427" s="8" t="s">
        <v>32</v>
      </c>
    </row>
    <row r="428">
      <c r="A428" s="8">
        <v>427.0</v>
      </c>
      <c r="B428" s="8" t="s">
        <v>2472</v>
      </c>
      <c r="C428" s="8" t="s">
        <v>21</v>
      </c>
      <c r="D428" s="8">
        <v>74.0</v>
      </c>
      <c r="E428" s="8">
        <v>10.0</v>
      </c>
      <c r="H428" s="8" t="s">
        <v>123</v>
      </c>
      <c r="I428" s="9">
        <v>46148.482465277775</v>
      </c>
      <c r="J428" s="8" t="s">
        <v>90</v>
      </c>
      <c r="K428" s="8">
        <v>800.0</v>
      </c>
      <c r="L428" s="8">
        <v>800.0</v>
      </c>
      <c r="M428" s="8">
        <v>194000.0</v>
      </c>
      <c r="N428" s="7">
        <v>42394.0</v>
      </c>
      <c r="O428" s="8" t="s">
        <v>147</v>
      </c>
      <c r="P428" s="8" t="s">
        <v>28</v>
      </c>
      <c r="S428" s="8" t="s">
        <v>32</v>
      </c>
    </row>
    <row r="429">
      <c r="A429" s="8">
        <v>428.0</v>
      </c>
      <c r="B429" s="8" t="s">
        <v>144</v>
      </c>
      <c r="C429" s="8" t="s">
        <v>21</v>
      </c>
      <c r="D429" s="8">
        <v>85.0</v>
      </c>
      <c r="E429" s="8">
        <v>10.0</v>
      </c>
      <c r="H429" s="8" t="s">
        <v>20</v>
      </c>
      <c r="I429" s="9">
        <v>46156.73380787037</v>
      </c>
      <c r="J429" s="8" t="s">
        <v>148</v>
      </c>
      <c r="K429" s="8">
        <v>96000.0</v>
      </c>
      <c r="L429" s="8">
        <v>1600.0</v>
      </c>
      <c r="M429" s="8">
        <v>58000.0</v>
      </c>
      <c r="N429" s="7">
        <v>42423.0</v>
      </c>
      <c r="O429" s="8" t="s">
        <v>31</v>
      </c>
      <c r="P429" s="8" t="s">
        <v>28</v>
      </c>
      <c r="S429" s="8" t="s">
        <v>32</v>
      </c>
    </row>
    <row r="430">
      <c r="A430" s="8">
        <v>429.0</v>
      </c>
      <c r="B430" s="8" t="s">
        <v>1003</v>
      </c>
      <c r="C430" s="8" t="s">
        <v>21</v>
      </c>
      <c r="D430" s="8">
        <v>82.0</v>
      </c>
      <c r="E430" s="8">
        <v>10.0</v>
      </c>
      <c r="H430" s="8" t="s">
        <v>55</v>
      </c>
      <c r="I430" s="9">
        <v>46123.7937962963</v>
      </c>
      <c r="K430" s="8">
        <v>100.0</v>
      </c>
      <c r="L430" s="8">
        <v>15000.0</v>
      </c>
      <c r="M430" s="8">
        <v>70000.0</v>
      </c>
      <c r="N430" s="7">
        <v>43848.0</v>
      </c>
      <c r="O430" s="8" t="s">
        <v>31</v>
      </c>
      <c r="P430" s="8" t="s">
        <v>28</v>
      </c>
      <c r="S430" s="8" t="s">
        <v>32</v>
      </c>
    </row>
    <row r="431">
      <c r="A431" s="8">
        <v>430.0</v>
      </c>
      <c r="B431" s="8" t="s">
        <v>1012</v>
      </c>
      <c r="C431" s="8" t="s">
        <v>21</v>
      </c>
      <c r="D431" s="8">
        <v>72.0</v>
      </c>
      <c r="E431" s="8">
        <v>10.0</v>
      </c>
      <c r="H431" s="8" t="s">
        <v>701</v>
      </c>
      <c r="I431" s="9">
        <v>46099.35679398148</v>
      </c>
      <c r="J431" s="8" t="s">
        <v>90</v>
      </c>
      <c r="K431" s="8">
        <v>4000.0</v>
      </c>
      <c r="L431" s="8">
        <v>90.0</v>
      </c>
      <c r="M431" s="8">
        <v>198000.0</v>
      </c>
      <c r="N431" s="7">
        <v>44125.0</v>
      </c>
      <c r="O431" s="8" t="s">
        <v>107</v>
      </c>
      <c r="P431" s="8" t="s">
        <v>28</v>
      </c>
      <c r="S431" s="8" t="s">
        <v>32</v>
      </c>
    </row>
    <row r="432">
      <c r="A432" s="8">
        <v>431.0</v>
      </c>
      <c r="B432" s="8" t="s">
        <v>2480</v>
      </c>
      <c r="C432" s="8" t="s">
        <v>21</v>
      </c>
      <c r="D432" s="8">
        <v>73.0</v>
      </c>
      <c r="E432" s="8">
        <v>10.0</v>
      </c>
      <c r="H432" s="8" t="s">
        <v>930</v>
      </c>
      <c r="I432" s="9">
        <v>46126.542037037034</v>
      </c>
      <c r="J432" s="8" t="s">
        <v>62</v>
      </c>
      <c r="K432" s="8">
        <v>20.0</v>
      </c>
      <c r="L432" s="8">
        <v>1900.0</v>
      </c>
      <c r="M432" s="8">
        <v>17000.0</v>
      </c>
      <c r="N432" s="7">
        <v>44351.0</v>
      </c>
      <c r="O432" s="8" t="s">
        <v>31</v>
      </c>
      <c r="P432" s="8" t="s">
        <v>28</v>
      </c>
      <c r="S432" s="8" t="s">
        <v>782</v>
      </c>
    </row>
    <row r="433">
      <c r="A433" s="8">
        <v>432.0</v>
      </c>
      <c r="B433" s="8" t="s">
        <v>2485</v>
      </c>
      <c r="C433" s="8" t="s">
        <v>21</v>
      </c>
      <c r="D433" s="8">
        <v>72.0</v>
      </c>
      <c r="E433" s="8">
        <v>10.0</v>
      </c>
      <c r="H433" s="8" t="s">
        <v>123</v>
      </c>
      <c r="I433" s="9">
        <v>46085.619467592594</v>
      </c>
      <c r="J433" s="8" t="s">
        <v>90</v>
      </c>
      <c r="K433" s="8">
        <v>30.0</v>
      </c>
      <c r="L433" s="8">
        <v>600.0</v>
      </c>
      <c r="M433" s="8">
        <v>212000.0</v>
      </c>
      <c r="N433" s="7">
        <v>43074.0</v>
      </c>
      <c r="O433" s="8" t="s">
        <v>107</v>
      </c>
      <c r="P433" s="8" t="s">
        <v>28</v>
      </c>
      <c r="S433" s="8" t="s">
        <v>32</v>
      </c>
    </row>
    <row r="434">
      <c r="A434" s="8">
        <v>433.0</v>
      </c>
      <c r="B434" s="8" t="s">
        <v>1014</v>
      </c>
      <c r="C434" s="8" t="s">
        <v>21</v>
      </c>
      <c r="D434" s="8">
        <v>24.0</v>
      </c>
      <c r="E434" s="8">
        <v>10.0</v>
      </c>
      <c r="H434" s="8" t="s">
        <v>19</v>
      </c>
      <c r="I434" s="9">
        <v>46122.712696759256</v>
      </c>
      <c r="J434" s="8" t="s">
        <v>90</v>
      </c>
      <c r="K434" s="8">
        <v>10.0</v>
      </c>
      <c r="L434" s="8">
        <v>26000.0</v>
      </c>
      <c r="M434" s="8">
        <v>27000.0</v>
      </c>
      <c r="N434" s="7">
        <v>44053.0</v>
      </c>
      <c r="O434" s="8" t="s">
        <v>147</v>
      </c>
      <c r="P434" s="8" t="s">
        <v>28</v>
      </c>
      <c r="S434" s="8" t="s">
        <v>32</v>
      </c>
    </row>
    <row r="435">
      <c r="A435" s="8">
        <v>434.0</v>
      </c>
      <c r="B435" s="8" t="s">
        <v>2491</v>
      </c>
      <c r="C435" s="8" t="s">
        <v>21</v>
      </c>
      <c r="D435" s="8">
        <v>0.0</v>
      </c>
      <c r="E435" s="8">
        <v>10.0</v>
      </c>
      <c r="H435" s="8" t="s">
        <v>744</v>
      </c>
      <c r="I435" s="9">
        <v>46124.389699074076</v>
      </c>
      <c r="J435" s="8" t="s">
        <v>90</v>
      </c>
      <c r="K435" s="8">
        <v>10.0</v>
      </c>
      <c r="L435" s="8">
        <v>136000.0</v>
      </c>
      <c r="M435" s="8">
        <v>140000.0</v>
      </c>
      <c r="N435" s="7">
        <v>44780.0</v>
      </c>
      <c r="O435" s="8" t="s">
        <v>127</v>
      </c>
      <c r="P435" s="8" t="s">
        <v>28</v>
      </c>
      <c r="S435" s="8" t="s">
        <v>782</v>
      </c>
    </row>
    <row r="436">
      <c r="A436" s="8">
        <v>435.0</v>
      </c>
      <c r="B436" s="8" t="s">
        <v>1027</v>
      </c>
      <c r="C436" s="8" t="s">
        <v>21</v>
      </c>
      <c r="D436" s="8">
        <v>75.0</v>
      </c>
      <c r="E436" s="8">
        <v>10.0</v>
      </c>
      <c r="H436" s="8" t="s">
        <v>398</v>
      </c>
      <c r="I436" s="9">
        <v>46125.31385416666</v>
      </c>
      <c r="K436" s="8">
        <v>22000.0</v>
      </c>
      <c r="L436" s="8">
        <v>600.0</v>
      </c>
      <c r="M436" s="8">
        <v>356000.0</v>
      </c>
      <c r="N436" s="7">
        <v>43868.0</v>
      </c>
      <c r="O436" s="8" t="s">
        <v>147</v>
      </c>
      <c r="P436" s="8" t="s">
        <v>28</v>
      </c>
      <c r="S436" s="8" t="s">
        <v>32</v>
      </c>
    </row>
    <row r="437">
      <c r="A437" s="8">
        <v>436.0</v>
      </c>
      <c r="B437" s="8" t="s">
        <v>2496</v>
      </c>
      <c r="C437" s="8" t="s">
        <v>21</v>
      </c>
      <c r="D437" s="8">
        <v>68.0</v>
      </c>
      <c r="E437" s="8">
        <v>10.0</v>
      </c>
      <c r="H437" s="8" t="s">
        <v>338</v>
      </c>
      <c r="I437" s="9">
        <v>46104.05383101852</v>
      </c>
      <c r="J437" s="8" t="s">
        <v>90</v>
      </c>
      <c r="K437" s="8">
        <v>900.0</v>
      </c>
      <c r="L437" s="8">
        <v>50.0</v>
      </c>
      <c r="M437" s="8">
        <v>2700.0</v>
      </c>
      <c r="N437" s="7">
        <v>43308.0</v>
      </c>
      <c r="O437" s="8" t="s">
        <v>147</v>
      </c>
      <c r="P437" s="8" t="s">
        <v>28</v>
      </c>
      <c r="S437" s="8" t="s">
        <v>32</v>
      </c>
    </row>
    <row r="438">
      <c r="A438" s="8">
        <v>437.0</v>
      </c>
      <c r="B438" s="8" t="s">
        <v>1033</v>
      </c>
      <c r="C438" s="8" t="s">
        <v>21</v>
      </c>
      <c r="D438" s="8">
        <v>68.0</v>
      </c>
      <c r="E438" s="8">
        <v>10.0</v>
      </c>
      <c r="H438" s="8" t="s">
        <v>35</v>
      </c>
      <c r="I438" s="9">
        <v>46088.11755787037</v>
      </c>
      <c r="J438" s="8" t="s">
        <v>82</v>
      </c>
      <c r="K438" s="8">
        <v>20.0</v>
      </c>
      <c r="L438" s="8">
        <v>11000.0</v>
      </c>
      <c r="M438" s="8">
        <v>11000.0</v>
      </c>
      <c r="N438" s="7">
        <v>42784.0</v>
      </c>
      <c r="O438" s="8" t="s">
        <v>127</v>
      </c>
      <c r="P438" s="8" t="s">
        <v>28</v>
      </c>
      <c r="S438" s="8" t="s">
        <v>32</v>
      </c>
    </row>
    <row r="439">
      <c r="A439" s="8">
        <v>438.0</v>
      </c>
      <c r="B439" s="8" t="s">
        <v>1038</v>
      </c>
      <c r="C439" s="8" t="s">
        <v>21</v>
      </c>
      <c r="D439" s="8">
        <v>75.0</v>
      </c>
      <c r="E439" s="8">
        <v>10.0</v>
      </c>
      <c r="H439" s="8" t="s">
        <v>398</v>
      </c>
      <c r="I439" s="9">
        <v>46124.29493055555</v>
      </c>
      <c r="K439" s="8">
        <v>23000.0</v>
      </c>
      <c r="L439" s="8">
        <v>600.0</v>
      </c>
      <c r="M439" s="8">
        <v>356000.0</v>
      </c>
      <c r="N439" s="7">
        <v>42593.0</v>
      </c>
      <c r="O439" s="8" t="s">
        <v>107</v>
      </c>
      <c r="P439" s="8" t="s">
        <v>28</v>
      </c>
      <c r="S439" s="8" t="s">
        <v>32</v>
      </c>
    </row>
    <row r="440">
      <c r="A440" s="8">
        <v>439.0</v>
      </c>
      <c r="B440" s="8" t="s">
        <v>2505</v>
      </c>
      <c r="C440" s="8" t="s">
        <v>21</v>
      </c>
      <c r="D440" s="8">
        <v>70.0</v>
      </c>
      <c r="E440" s="8">
        <v>10.0</v>
      </c>
      <c r="H440" s="8" t="s">
        <v>2507</v>
      </c>
      <c r="I440" s="9">
        <v>46127.34987268518</v>
      </c>
      <c r="K440" s="8">
        <v>1800.0</v>
      </c>
      <c r="L440" s="8">
        <v>10.0</v>
      </c>
      <c r="M440" s="8">
        <v>16000.0</v>
      </c>
      <c r="N440" s="7">
        <v>43769.0</v>
      </c>
      <c r="O440" s="8" t="s">
        <v>147</v>
      </c>
      <c r="P440" s="8" t="s">
        <v>28</v>
      </c>
      <c r="S440" s="8" t="s">
        <v>32</v>
      </c>
    </row>
    <row r="441">
      <c r="A441" s="8">
        <v>440.0</v>
      </c>
      <c r="B441" s="8" t="s">
        <v>2509</v>
      </c>
      <c r="C441" s="8" t="s">
        <v>21</v>
      </c>
      <c r="D441" s="8">
        <v>36.0</v>
      </c>
      <c r="E441" s="8">
        <v>10.0</v>
      </c>
      <c r="H441" s="8" t="s">
        <v>755</v>
      </c>
      <c r="I441" s="9">
        <v>46149.41065972222</v>
      </c>
      <c r="J441" s="8" t="s">
        <v>789</v>
      </c>
      <c r="K441" s="8">
        <v>60.0</v>
      </c>
      <c r="L441" s="8">
        <v>15000.0</v>
      </c>
      <c r="M441" s="8">
        <v>16000.0</v>
      </c>
      <c r="N441" s="7">
        <v>43407.0</v>
      </c>
      <c r="O441" s="8" t="s">
        <v>127</v>
      </c>
      <c r="P441" s="8" t="s">
        <v>28</v>
      </c>
      <c r="S441" s="8" t="s">
        <v>748</v>
      </c>
    </row>
    <row r="442">
      <c r="A442" s="8">
        <v>441.0</v>
      </c>
      <c r="B442" s="8" t="s">
        <v>2513</v>
      </c>
      <c r="C442" s="8" t="s">
        <v>21</v>
      </c>
      <c r="D442" s="8">
        <v>64.0</v>
      </c>
      <c r="E442" s="8">
        <v>10.0</v>
      </c>
      <c r="H442" s="8" t="s">
        <v>2513</v>
      </c>
      <c r="I442" s="9">
        <v>46118.28273148148</v>
      </c>
      <c r="J442" s="8" t="s">
        <v>90</v>
      </c>
      <c r="K442" s="8">
        <v>70.0</v>
      </c>
      <c r="L442" s="8">
        <v>0.0</v>
      </c>
      <c r="M442" s="8">
        <v>9900.0</v>
      </c>
      <c r="N442" s="7">
        <v>44195.0</v>
      </c>
      <c r="O442" s="8" t="s">
        <v>147</v>
      </c>
      <c r="P442" s="8" t="s">
        <v>28</v>
      </c>
      <c r="S442" s="8" t="s">
        <v>32</v>
      </c>
    </row>
    <row r="443">
      <c r="A443" s="8">
        <v>442.0</v>
      </c>
      <c r="B443" s="8" t="s">
        <v>2517</v>
      </c>
      <c r="C443" s="8" t="s">
        <v>21</v>
      </c>
      <c r="D443" s="8">
        <v>73.0</v>
      </c>
      <c r="E443" s="8">
        <v>10.0</v>
      </c>
      <c r="H443" s="8" t="s">
        <v>720</v>
      </c>
      <c r="I443" s="9">
        <v>46107.23704861111</v>
      </c>
      <c r="J443" s="8" t="s">
        <v>96</v>
      </c>
      <c r="K443" s="8">
        <v>3700.0</v>
      </c>
      <c r="L443" s="8">
        <v>80.0</v>
      </c>
      <c r="M443" s="8">
        <v>78000.0</v>
      </c>
      <c r="N443" s="7">
        <v>44280.0</v>
      </c>
      <c r="O443" s="8" t="s">
        <v>26</v>
      </c>
      <c r="P443" s="8" t="s">
        <v>28</v>
      </c>
      <c r="S443" s="8" t="s">
        <v>32</v>
      </c>
    </row>
    <row r="444">
      <c r="A444" s="8">
        <v>443.0</v>
      </c>
      <c r="B444" s="8" t="s">
        <v>2521</v>
      </c>
      <c r="C444" s="8" t="s">
        <v>21</v>
      </c>
      <c r="D444" s="8">
        <v>73.0</v>
      </c>
      <c r="E444" s="8">
        <v>10.0</v>
      </c>
      <c r="H444" s="8" t="s">
        <v>1353</v>
      </c>
      <c r="I444" s="9">
        <v>46123.03325231482</v>
      </c>
      <c r="J444" s="8" t="s">
        <v>96</v>
      </c>
      <c r="K444" s="8">
        <v>500.0</v>
      </c>
      <c r="L444" s="8">
        <v>200.0</v>
      </c>
      <c r="M444" s="8">
        <v>246000.0</v>
      </c>
      <c r="N444" s="7">
        <v>43759.0</v>
      </c>
      <c r="O444" s="8" t="s">
        <v>26</v>
      </c>
      <c r="P444" s="8" t="s">
        <v>28</v>
      </c>
      <c r="S444" s="8" t="s">
        <v>32</v>
      </c>
    </row>
    <row r="445">
      <c r="A445" s="8">
        <v>444.0</v>
      </c>
      <c r="B445" s="8" t="s">
        <v>2524</v>
      </c>
      <c r="C445" s="8" t="s">
        <v>21</v>
      </c>
      <c r="D445" s="8">
        <v>67.0</v>
      </c>
      <c r="E445" s="8">
        <v>10.0</v>
      </c>
      <c r="H445" s="8" t="s">
        <v>2525</v>
      </c>
      <c r="I445" s="9">
        <v>46125.07009259259</v>
      </c>
      <c r="J445" s="8" t="s">
        <v>90</v>
      </c>
      <c r="K445" s="8">
        <v>42000.0</v>
      </c>
      <c r="L445" s="8">
        <v>250.0</v>
      </c>
      <c r="M445" s="8">
        <v>757000.0</v>
      </c>
      <c r="N445" s="7">
        <v>43858.0</v>
      </c>
      <c r="O445" s="8" t="s">
        <v>147</v>
      </c>
      <c r="P445" s="8" t="s">
        <v>938</v>
      </c>
      <c r="S445" s="8" t="s">
        <v>32</v>
      </c>
    </row>
    <row r="446">
      <c r="A446" s="8">
        <v>445.0</v>
      </c>
      <c r="B446" s="8" t="s">
        <v>1050</v>
      </c>
      <c r="C446" s="8" t="s">
        <v>21</v>
      </c>
      <c r="D446" s="8">
        <v>46.0</v>
      </c>
      <c r="E446" s="8">
        <v>10.0</v>
      </c>
      <c r="H446" s="8" t="s">
        <v>35</v>
      </c>
      <c r="I446" s="9">
        <v>46098.58577546296</v>
      </c>
      <c r="J446" s="8" t="s">
        <v>96</v>
      </c>
      <c r="K446" s="8">
        <v>10.0</v>
      </c>
      <c r="L446" s="8">
        <v>11000.0</v>
      </c>
      <c r="M446" s="8">
        <v>11000.0</v>
      </c>
      <c r="N446" s="7">
        <v>44554.0</v>
      </c>
      <c r="O446" s="8" t="s">
        <v>26</v>
      </c>
      <c r="P446" s="8" t="s">
        <v>28</v>
      </c>
      <c r="S446" s="8" t="s">
        <v>32</v>
      </c>
    </row>
    <row r="447">
      <c r="A447" s="8">
        <v>446.0</v>
      </c>
      <c r="B447" s="8" t="s">
        <v>2529</v>
      </c>
      <c r="C447" s="8" t="s">
        <v>21</v>
      </c>
      <c r="D447" s="8">
        <v>77.0</v>
      </c>
      <c r="E447" s="8">
        <v>10.0</v>
      </c>
      <c r="H447" s="8" t="s">
        <v>2529</v>
      </c>
      <c r="I447" s="9">
        <v>46077.41738425926</v>
      </c>
      <c r="K447" s="8">
        <v>200.0</v>
      </c>
      <c r="L447" s="8">
        <v>10.0</v>
      </c>
      <c r="M447" s="8">
        <v>1700.0</v>
      </c>
      <c r="N447" s="7">
        <v>43871.0</v>
      </c>
      <c r="O447" s="8" t="s">
        <v>147</v>
      </c>
      <c r="P447" s="8" t="s">
        <v>28</v>
      </c>
      <c r="S447" s="8" t="s">
        <v>32</v>
      </c>
    </row>
    <row r="448">
      <c r="A448" s="8">
        <v>447.0</v>
      </c>
      <c r="B448" s="8" t="s">
        <v>2533</v>
      </c>
      <c r="C448" s="8" t="s">
        <v>21</v>
      </c>
      <c r="D448" s="8">
        <v>49.0</v>
      </c>
      <c r="E448" s="8">
        <v>10.0</v>
      </c>
      <c r="H448" s="8" t="s">
        <v>398</v>
      </c>
      <c r="I448" s="9">
        <v>46156.09800925926</v>
      </c>
      <c r="J448" s="8" t="s">
        <v>2535</v>
      </c>
      <c r="K448" s="8">
        <v>3200.0</v>
      </c>
      <c r="L448" s="8">
        <v>600.0</v>
      </c>
      <c r="M448" s="8">
        <v>314000.0</v>
      </c>
      <c r="N448" s="7">
        <v>44573.0</v>
      </c>
      <c r="O448" s="8" t="s">
        <v>1519</v>
      </c>
      <c r="P448" s="8" t="s">
        <v>28</v>
      </c>
      <c r="S448" s="8" t="s">
        <v>2537</v>
      </c>
    </row>
    <row r="449">
      <c r="A449" s="8">
        <v>448.0</v>
      </c>
      <c r="B449" s="8" t="s">
        <v>2538</v>
      </c>
      <c r="C449" s="8" t="s">
        <v>21</v>
      </c>
      <c r="D449" s="8">
        <v>60.0</v>
      </c>
      <c r="E449" s="8">
        <v>10.0</v>
      </c>
      <c r="H449" s="8" t="s">
        <v>720</v>
      </c>
      <c r="I449" s="9">
        <v>46152.42967592592</v>
      </c>
      <c r="K449" s="8">
        <v>8200.0</v>
      </c>
      <c r="L449" s="8">
        <v>80.0</v>
      </c>
      <c r="M449" s="8">
        <v>70000.0</v>
      </c>
      <c r="N449" s="7">
        <v>42787.0</v>
      </c>
      <c r="O449" s="8" t="s">
        <v>147</v>
      </c>
      <c r="P449" s="8" t="s">
        <v>28</v>
      </c>
      <c r="S449" s="8" t="s">
        <v>32</v>
      </c>
    </row>
    <row r="450">
      <c r="A450" s="8">
        <v>449.0</v>
      </c>
      <c r="B450" s="8" t="s">
        <v>2542</v>
      </c>
      <c r="C450" s="8" t="s">
        <v>21</v>
      </c>
      <c r="D450" s="8">
        <v>75.0</v>
      </c>
      <c r="E450" s="8">
        <v>10.0</v>
      </c>
      <c r="H450" s="8" t="s">
        <v>720</v>
      </c>
      <c r="I450" s="9">
        <v>46084.00767361111</v>
      </c>
      <c r="J450" s="8" t="s">
        <v>96</v>
      </c>
      <c r="K450" s="8">
        <v>8300.0</v>
      </c>
      <c r="L450" s="8">
        <v>80.0</v>
      </c>
      <c r="M450" s="8">
        <v>78000.0</v>
      </c>
      <c r="N450" s="7">
        <v>44275.0</v>
      </c>
      <c r="O450" s="8" t="s">
        <v>26</v>
      </c>
      <c r="P450" s="8" t="s">
        <v>28</v>
      </c>
      <c r="S450" s="8" t="s">
        <v>32</v>
      </c>
    </row>
    <row r="451">
      <c r="A451" s="8">
        <v>450.0</v>
      </c>
      <c r="B451" s="8" t="s">
        <v>2544</v>
      </c>
      <c r="C451" s="8" t="s">
        <v>21</v>
      </c>
      <c r="D451" s="8">
        <v>80.0</v>
      </c>
      <c r="E451" s="8">
        <v>10.0</v>
      </c>
      <c r="H451" s="8" t="s">
        <v>494</v>
      </c>
      <c r="I451" s="9">
        <v>46076.94394675926</v>
      </c>
      <c r="J451" s="8" t="s">
        <v>58</v>
      </c>
      <c r="K451" s="8">
        <v>48000.0</v>
      </c>
      <c r="L451" s="8">
        <v>10.0</v>
      </c>
      <c r="M451" s="8">
        <v>258000.0</v>
      </c>
      <c r="N451" s="7">
        <v>42733.0</v>
      </c>
      <c r="O451" s="8" t="s">
        <v>26</v>
      </c>
      <c r="P451" s="8" t="s">
        <v>28</v>
      </c>
      <c r="S451" s="8" t="s">
        <v>32</v>
      </c>
    </row>
    <row r="452">
      <c r="A452" s="8">
        <v>451.0</v>
      </c>
      <c r="B452" s="8" t="s">
        <v>2547</v>
      </c>
      <c r="C452" s="8" t="s">
        <v>21</v>
      </c>
      <c r="D452" s="8">
        <v>55.0</v>
      </c>
      <c r="E452" s="8">
        <v>10.0</v>
      </c>
      <c r="H452" s="8" t="s">
        <v>755</v>
      </c>
      <c r="I452" s="9">
        <v>46125.032326388886</v>
      </c>
      <c r="K452" s="8">
        <v>20.0</v>
      </c>
      <c r="L452" s="8">
        <v>16000.0</v>
      </c>
      <c r="M452" s="8">
        <v>16000.0</v>
      </c>
      <c r="N452" s="7">
        <v>42912.0</v>
      </c>
      <c r="O452" s="8" t="s">
        <v>803</v>
      </c>
      <c r="P452" s="8" t="s">
        <v>28</v>
      </c>
      <c r="S452" s="8" t="s">
        <v>782</v>
      </c>
    </row>
    <row r="453">
      <c r="A453" s="8">
        <v>452.0</v>
      </c>
      <c r="B453" s="8" t="s">
        <v>2550</v>
      </c>
      <c r="C453" s="8" t="s">
        <v>21</v>
      </c>
      <c r="D453" s="8">
        <v>36.0</v>
      </c>
      <c r="E453" s="8">
        <v>10.0</v>
      </c>
      <c r="H453" s="8" t="s">
        <v>2550</v>
      </c>
      <c r="I453" s="9">
        <v>46143.20061342593</v>
      </c>
      <c r="J453" s="8" t="s">
        <v>96</v>
      </c>
      <c r="K453" s="8">
        <v>40.0</v>
      </c>
      <c r="L453" s="8">
        <v>0.0</v>
      </c>
      <c r="M453" s="8">
        <v>0.0</v>
      </c>
      <c r="N453" s="7">
        <v>42785.0</v>
      </c>
      <c r="O453" s="8" t="s">
        <v>31</v>
      </c>
      <c r="P453" s="8" t="s">
        <v>28</v>
      </c>
      <c r="S453" s="8" t="s">
        <v>2553</v>
      </c>
    </row>
    <row r="454">
      <c r="A454" s="8">
        <v>453.0</v>
      </c>
      <c r="B454" s="8" t="s">
        <v>2556</v>
      </c>
      <c r="C454" s="8" t="s">
        <v>21</v>
      </c>
      <c r="D454" s="8">
        <v>79.0</v>
      </c>
      <c r="E454" s="8">
        <v>10.0</v>
      </c>
      <c r="H454" s="8" t="s">
        <v>1353</v>
      </c>
      <c r="I454" s="9">
        <v>46089.50240740741</v>
      </c>
      <c r="K454" s="8">
        <v>150.0</v>
      </c>
      <c r="L454" s="8">
        <v>250.0</v>
      </c>
      <c r="M454" s="8">
        <v>170000.0</v>
      </c>
      <c r="N454" s="7">
        <v>43862.0</v>
      </c>
      <c r="O454" s="8" t="s">
        <v>147</v>
      </c>
      <c r="P454" s="8" t="s">
        <v>28</v>
      </c>
      <c r="S454" s="8" t="s">
        <v>32</v>
      </c>
    </row>
    <row r="455">
      <c r="A455" s="8">
        <v>454.0</v>
      </c>
      <c r="B455" s="8" t="s">
        <v>2560</v>
      </c>
      <c r="C455" s="8" t="s">
        <v>21</v>
      </c>
      <c r="D455" s="8">
        <v>29.0</v>
      </c>
      <c r="E455" s="8">
        <v>10.0</v>
      </c>
      <c r="G455" s="8">
        <v>0.83</v>
      </c>
      <c r="H455" s="8" t="s">
        <v>2562</v>
      </c>
      <c r="I455" s="9">
        <v>46142.58335648148</v>
      </c>
      <c r="J455" s="8" t="s">
        <v>96</v>
      </c>
      <c r="K455" s="8">
        <v>2300.0</v>
      </c>
      <c r="L455" s="8">
        <v>0.0</v>
      </c>
      <c r="M455" s="8">
        <v>0.0</v>
      </c>
      <c r="N455" s="7">
        <v>42270.0</v>
      </c>
      <c r="O455" s="8" t="s">
        <v>2564</v>
      </c>
      <c r="S455" s="8" t="s">
        <v>2565</v>
      </c>
    </row>
    <row r="456">
      <c r="A456" s="8">
        <v>455.0</v>
      </c>
      <c r="B456" s="8" t="s">
        <v>2567</v>
      </c>
      <c r="C456" s="8" t="s">
        <v>21</v>
      </c>
      <c r="D456" s="8">
        <v>75.0</v>
      </c>
      <c r="E456" s="8">
        <v>10.0</v>
      </c>
      <c r="H456" s="8" t="s">
        <v>398</v>
      </c>
      <c r="I456" s="9">
        <v>46147.25418981481</v>
      </c>
      <c r="K456" s="8">
        <v>6000.0</v>
      </c>
      <c r="L456" s="8">
        <v>700.0</v>
      </c>
      <c r="M456" s="8">
        <v>333000.0</v>
      </c>
      <c r="N456" s="7">
        <v>43868.0</v>
      </c>
      <c r="O456" s="8" t="s">
        <v>107</v>
      </c>
      <c r="P456" s="8" t="s">
        <v>1174</v>
      </c>
      <c r="S456" s="8" t="s">
        <v>32</v>
      </c>
    </row>
    <row r="457">
      <c r="A457" s="8">
        <v>456.0</v>
      </c>
      <c r="B457" s="8" t="s">
        <v>2573</v>
      </c>
      <c r="C457" s="8" t="s">
        <v>21</v>
      </c>
      <c r="D457" s="8">
        <v>43.0</v>
      </c>
      <c r="E457" s="8">
        <v>10.0</v>
      </c>
      <c r="H457" s="8" t="s">
        <v>783</v>
      </c>
      <c r="I457" s="9">
        <v>46084.18921296296</v>
      </c>
      <c r="J457" s="8" t="s">
        <v>90</v>
      </c>
      <c r="K457" s="8">
        <v>10.0</v>
      </c>
      <c r="L457" s="8">
        <v>13000.0</v>
      </c>
      <c r="M457" s="8">
        <v>18000.0</v>
      </c>
      <c r="N457" s="7">
        <v>43903.0</v>
      </c>
      <c r="O457" s="8" t="s">
        <v>803</v>
      </c>
      <c r="P457" s="8" t="s">
        <v>28</v>
      </c>
      <c r="S457" s="8" t="s">
        <v>748</v>
      </c>
    </row>
    <row r="458">
      <c r="A458" s="8">
        <v>457.0</v>
      </c>
      <c r="B458" s="8" t="s">
        <v>2578</v>
      </c>
      <c r="C458" s="8" t="s">
        <v>21</v>
      </c>
      <c r="D458" s="8">
        <v>73.0</v>
      </c>
      <c r="E458" s="8">
        <v>10.0</v>
      </c>
      <c r="H458" s="8" t="s">
        <v>398</v>
      </c>
      <c r="I458" s="9">
        <v>46154.89599537037</v>
      </c>
      <c r="K458" s="8">
        <v>2400.0</v>
      </c>
      <c r="L458" s="8">
        <v>700.0</v>
      </c>
      <c r="M458" s="8">
        <v>348000.0</v>
      </c>
      <c r="N458" s="7">
        <v>42649.0</v>
      </c>
      <c r="O458" s="8" t="s">
        <v>147</v>
      </c>
      <c r="P458" s="8" t="s">
        <v>28</v>
      </c>
      <c r="S458" s="8" t="s">
        <v>32</v>
      </c>
    </row>
    <row r="459">
      <c r="A459" s="8">
        <v>458.0</v>
      </c>
      <c r="B459" s="8" t="s">
        <v>2580</v>
      </c>
      <c r="C459" s="8" t="s">
        <v>21</v>
      </c>
      <c r="D459" s="8">
        <v>76.0</v>
      </c>
      <c r="E459" s="8">
        <v>10.0</v>
      </c>
      <c r="H459" s="8" t="s">
        <v>2019</v>
      </c>
      <c r="I459" s="9">
        <v>46073.116585648146</v>
      </c>
      <c r="K459" s="8">
        <v>600.0</v>
      </c>
      <c r="L459" s="8">
        <v>350.0</v>
      </c>
      <c r="M459" s="8">
        <v>237000.0</v>
      </c>
      <c r="N459" s="7">
        <v>42485.0</v>
      </c>
      <c r="O459" s="8" t="s">
        <v>26</v>
      </c>
      <c r="P459" s="8" t="s">
        <v>28</v>
      </c>
      <c r="S459" s="8" t="s">
        <v>32</v>
      </c>
    </row>
    <row r="460">
      <c r="A460" s="8">
        <v>459.0</v>
      </c>
      <c r="B460" s="8" t="s">
        <v>2584</v>
      </c>
      <c r="C460" s="8" t="s">
        <v>21</v>
      </c>
      <c r="D460" s="8">
        <v>54.0</v>
      </c>
      <c r="E460" s="8">
        <v>10.0</v>
      </c>
      <c r="H460" s="8" t="s">
        <v>937</v>
      </c>
      <c r="I460" s="9">
        <v>46148.7221875</v>
      </c>
      <c r="J460" s="8" t="s">
        <v>90</v>
      </c>
      <c r="K460" s="8">
        <v>3300.0</v>
      </c>
      <c r="L460" s="8">
        <v>30.0</v>
      </c>
      <c r="M460" s="8">
        <v>21000.0</v>
      </c>
      <c r="N460" s="7">
        <v>43952.0</v>
      </c>
      <c r="O460" s="8" t="s">
        <v>107</v>
      </c>
      <c r="P460" s="8" t="s">
        <v>28</v>
      </c>
      <c r="S460" s="8" t="s">
        <v>32</v>
      </c>
    </row>
    <row r="461">
      <c r="A461" s="8">
        <v>460.0</v>
      </c>
      <c r="B461" s="8" t="s">
        <v>1088</v>
      </c>
      <c r="C461" s="8" t="s">
        <v>21</v>
      </c>
      <c r="D461" s="8">
        <v>36.0</v>
      </c>
      <c r="E461" s="8">
        <v>10.0</v>
      </c>
      <c r="H461" s="8" t="s">
        <v>19</v>
      </c>
      <c r="I461" s="9">
        <v>46101.23947916667</v>
      </c>
      <c r="J461" s="8" t="s">
        <v>25</v>
      </c>
      <c r="K461" s="8">
        <v>10.0</v>
      </c>
      <c r="L461" s="8">
        <v>28000.0</v>
      </c>
      <c r="M461" s="8">
        <v>29000.0</v>
      </c>
      <c r="N461" s="7">
        <v>43994.0</v>
      </c>
      <c r="O461" s="8" t="s">
        <v>26</v>
      </c>
      <c r="P461" s="8" t="s">
        <v>28</v>
      </c>
      <c r="S461" s="8" t="s">
        <v>32</v>
      </c>
    </row>
    <row r="462">
      <c r="A462" s="8">
        <v>461.0</v>
      </c>
      <c r="B462" s="8" t="s">
        <v>2589</v>
      </c>
      <c r="C462" s="8" t="s">
        <v>21</v>
      </c>
      <c r="D462" s="8">
        <v>33.0</v>
      </c>
      <c r="E462" s="8">
        <v>10.0</v>
      </c>
      <c r="H462" s="8" t="s">
        <v>755</v>
      </c>
      <c r="I462" s="9">
        <v>46099.673113425924</v>
      </c>
      <c r="J462" s="8" t="s">
        <v>62</v>
      </c>
      <c r="K462" s="8">
        <v>10.0</v>
      </c>
      <c r="L462" s="8">
        <v>17000.0</v>
      </c>
      <c r="M462" s="8">
        <v>18000.0</v>
      </c>
      <c r="N462" s="7">
        <v>42704.0</v>
      </c>
      <c r="O462" s="8" t="s">
        <v>1028</v>
      </c>
      <c r="P462" s="8" t="s">
        <v>28</v>
      </c>
      <c r="S462" s="8" t="s">
        <v>32</v>
      </c>
    </row>
    <row r="463">
      <c r="A463" s="8">
        <v>462.0</v>
      </c>
      <c r="B463" s="8" t="s">
        <v>2594</v>
      </c>
      <c r="C463" s="8" t="s">
        <v>21</v>
      </c>
      <c r="D463" s="8">
        <v>68.0</v>
      </c>
      <c r="E463" s="8">
        <v>10.0</v>
      </c>
      <c r="H463" s="8" t="s">
        <v>123</v>
      </c>
      <c r="I463" s="9">
        <v>46089.23189814815</v>
      </c>
      <c r="J463" s="8" t="s">
        <v>90</v>
      </c>
      <c r="K463" s="8">
        <v>400.0</v>
      </c>
      <c r="L463" s="8">
        <v>800.0</v>
      </c>
      <c r="M463" s="8">
        <v>774000.0</v>
      </c>
      <c r="N463" s="7">
        <v>43118.0</v>
      </c>
      <c r="O463" s="8" t="s">
        <v>147</v>
      </c>
      <c r="P463" s="8" t="s">
        <v>28</v>
      </c>
      <c r="S463" s="8" t="s">
        <v>32</v>
      </c>
    </row>
    <row r="464">
      <c r="A464" s="8">
        <v>463.0</v>
      </c>
      <c r="B464" s="8" t="s">
        <v>2597</v>
      </c>
      <c r="C464" s="8" t="s">
        <v>21</v>
      </c>
      <c r="D464" s="8">
        <v>78.0</v>
      </c>
      <c r="E464" s="8">
        <v>10.0</v>
      </c>
      <c r="H464" s="8" t="s">
        <v>123</v>
      </c>
      <c r="I464" s="9">
        <v>46131.105474537035</v>
      </c>
      <c r="J464" s="8" t="s">
        <v>90</v>
      </c>
      <c r="K464" s="8">
        <v>70.0</v>
      </c>
      <c r="L464" s="8">
        <v>5300.0</v>
      </c>
      <c r="M464" s="8">
        <v>556000.0</v>
      </c>
      <c r="N464" s="7">
        <v>45238.0</v>
      </c>
      <c r="O464" s="8" t="s">
        <v>31</v>
      </c>
      <c r="P464" s="8" t="s">
        <v>28</v>
      </c>
      <c r="S464" s="8" t="s">
        <v>32</v>
      </c>
    </row>
    <row r="465">
      <c r="A465" s="8">
        <v>464.0</v>
      </c>
      <c r="B465" s="8" t="s">
        <v>2601</v>
      </c>
      <c r="C465" s="8" t="s">
        <v>21</v>
      </c>
      <c r="D465" s="8">
        <v>62.0</v>
      </c>
      <c r="H465" s="8" t="s">
        <v>1704</v>
      </c>
      <c r="I465" s="9">
        <v>46149.07765046296</v>
      </c>
      <c r="J465" s="8" t="s">
        <v>1255</v>
      </c>
      <c r="K465" s="8">
        <v>10000.0</v>
      </c>
      <c r="L465" s="8">
        <v>10.0</v>
      </c>
      <c r="M465" s="8">
        <v>57000.0</v>
      </c>
      <c r="N465" s="7">
        <v>42603.0</v>
      </c>
      <c r="O465" s="8" t="s">
        <v>147</v>
      </c>
      <c r="P465" s="8" t="s">
        <v>28</v>
      </c>
      <c r="S465" s="8" t="s">
        <v>32</v>
      </c>
    </row>
    <row r="466">
      <c r="A466" s="8">
        <v>465.0</v>
      </c>
      <c r="B466" s="8" t="s">
        <v>2605</v>
      </c>
      <c r="C466" s="8" t="s">
        <v>21</v>
      </c>
      <c r="D466" s="8">
        <v>68.0</v>
      </c>
      <c r="H466" s="8" t="s">
        <v>1353</v>
      </c>
      <c r="I466" s="9">
        <v>46163.15640046296</v>
      </c>
      <c r="J466" s="8" t="s">
        <v>2607</v>
      </c>
      <c r="K466" s="8">
        <v>2000.0</v>
      </c>
      <c r="L466" s="8">
        <v>250.0</v>
      </c>
      <c r="M466" s="8">
        <v>118000.0</v>
      </c>
      <c r="N466" s="7">
        <v>43868.0</v>
      </c>
      <c r="O466" s="8" t="s">
        <v>147</v>
      </c>
      <c r="P466" s="8" t="s">
        <v>28</v>
      </c>
      <c r="S466" s="8" t="s">
        <v>32</v>
      </c>
    </row>
    <row r="467">
      <c r="A467" s="8">
        <v>466.0</v>
      </c>
      <c r="B467" s="8" t="s">
        <v>1203</v>
      </c>
      <c r="C467" s="8" t="s">
        <v>21</v>
      </c>
      <c r="D467" s="8">
        <v>75.0</v>
      </c>
      <c r="H467" s="8" t="s">
        <v>123</v>
      </c>
      <c r="I467" s="9">
        <v>46125.2446412037</v>
      </c>
      <c r="J467" s="8" t="s">
        <v>90</v>
      </c>
      <c r="K467" s="8">
        <v>1800.0</v>
      </c>
      <c r="L467" s="8">
        <v>700.0</v>
      </c>
      <c r="M467" s="8">
        <v>205000.0</v>
      </c>
      <c r="N467" s="7">
        <v>43005.0</v>
      </c>
      <c r="O467" s="8" t="s">
        <v>107</v>
      </c>
      <c r="P467" s="8" t="s">
        <v>28</v>
      </c>
      <c r="S467" s="8" t="s">
        <v>32</v>
      </c>
    </row>
    <row r="468">
      <c r="A468" s="8">
        <v>467.0</v>
      </c>
      <c r="B468" s="8" t="s">
        <v>2613</v>
      </c>
      <c r="C468" s="8" t="s">
        <v>21</v>
      </c>
      <c r="D468" s="8">
        <v>2.0</v>
      </c>
      <c r="H468" s="8" t="s">
        <v>744</v>
      </c>
      <c r="I468" s="9">
        <v>46099.91033564815</v>
      </c>
      <c r="J468" s="8" t="s">
        <v>870</v>
      </c>
      <c r="L468" s="8">
        <v>141000.0</v>
      </c>
      <c r="M468" s="8">
        <v>145000.0</v>
      </c>
      <c r="N468" s="7">
        <v>42318.0</v>
      </c>
      <c r="O468" s="8" t="s">
        <v>26</v>
      </c>
      <c r="S468" s="8" t="s">
        <v>748</v>
      </c>
    </row>
    <row r="469">
      <c r="A469" s="8">
        <v>468.0</v>
      </c>
      <c r="B469" s="8" t="s">
        <v>1248</v>
      </c>
      <c r="C469" s="8" t="s">
        <v>21</v>
      </c>
      <c r="D469" s="8">
        <v>77.0</v>
      </c>
      <c r="H469" s="8" t="s">
        <v>123</v>
      </c>
      <c r="I469" s="9">
        <v>46155.8227662037</v>
      </c>
      <c r="K469" s="8">
        <v>7600.0</v>
      </c>
      <c r="L469" s="8">
        <v>1300.0</v>
      </c>
      <c r="M469" s="8">
        <v>162000.0</v>
      </c>
      <c r="N469" s="7">
        <v>43868.0</v>
      </c>
      <c r="O469" s="8" t="s">
        <v>107</v>
      </c>
      <c r="P469" s="8" t="s">
        <v>28</v>
      </c>
      <c r="S469" s="8" t="s">
        <v>32</v>
      </c>
    </row>
    <row r="470">
      <c r="A470" s="8">
        <v>469.0</v>
      </c>
      <c r="B470" s="8" t="s">
        <v>1332</v>
      </c>
      <c r="C470" s="8" t="s">
        <v>21</v>
      </c>
      <c r="D470" s="8">
        <v>79.0</v>
      </c>
      <c r="H470" s="8" t="s">
        <v>123</v>
      </c>
      <c r="I470" s="9">
        <v>46101.228113425925</v>
      </c>
      <c r="J470" s="8" t="s">
        <v>90</v>
      </c>
      <c r="L470" s="8">
        <v>600.0</v>
      </c>
      <c r="M470" s="8">
        <v>187000.0</v>
      </c>
      <c r="N470" s="7">
        <v>42300.0</v>
      </c>
      <c r="O470" s="8" t="s">
        <v>107</v>
      </c>
      <c r="P470" s="8" t="s">
        <v>28</v>
      </c>
      <c r="S470" s="8" t="s">
        <v>32</v>
      </c>
    </row>
    <row r="471">
      <c r="A471" s="8">
        <v>470.0</v>
      </c>
      <c r="B471" s="10" t="s">
        <v>2620</v>
      </c>
      <c r="C471" s="8" t="s">
        <v>21</v>
      </c>
      <c r="D471" s="8">
        <v>0.0</v>
      </c>
      <c r="G471" s="8">
        <v>0.98</v>
      </c>
      <c r="H471" s="8" t="s">
        <v>838</v>
      </c>
      <c r="I471" s="9">
        <v>46125.91673611111</v>
      </c>
      <c r="J471" s="8" t="s">
        <v>25</v>
      </c>
      <c r="L471" s="8">
        <v>2100.0</v>
      </c>
      <c r="M471" s="8">
        <v>2200.0</v>
      </c>
      <c r="N471" s="7">
        <v>42249.0</v>
      </c>
      <c r="O471" s="8" t="s">
        <v>127</v>
      </c>
      <c r="S471" s="8" t="s">
        <v>782</v>
      </c>
    </row>
    <row r="472">
      <c r="A472" s="8">
        <v>471.0</v>
      </c>
      <c r="B472" s="8" t="s">
        <v>2633</v>
      </c>
      <c r="C472" s="8" t="s">
        <v>21</v>
      </c>
      <c r="D472" s="8">
        <v>61.0</v>
      </c>
      <c r="H472" s="8" t="s">
        <v>2634</v>
      </c>
      <c r="I472" s="9">
        <v>46161.47378472222</v>
      </c>
      <c r="J472" s="8" t="s">
        <v>90</v>
      </c>
      <c r="K472" s="8">
        <v>50.0</v>
      </c>
      <c r="L472" s="8">
        <v>20.0</v>
      </c>
      <c r="M472" s="8">
        <v>900.0</v>
      </c>
      <c r="N472" s="7">
        <v>44202.0</v>
      </c>
      <c r="O472" s="8" t="s">
        <v>107</v>
      </c>
      <c r="P472" s="8" t="s">
        <v>28</v>
      </c>
      <c r="S472" s="8" t="s">
        <v>32</v>
      </c>
    </row>
    <row r="473">
      <c r="A473" s="8">
        <v>472.0</v>
      </c>
      <c r="B473" s="8" t="s">
        <v>2637</v>
      </c>
      <c r="C473" s="8" t="s">
        <v>21</v>
      </c>
      <c r="D473" s="8">
        <v>65.0</v>
      </c>
      <c r="H473" s="8" t="s">
        <v>1604</v>
      </c>
      <c r="I473" s="9">
        <v>46082.88574074074</v>
      </c>
      <c r="J473" s="8" t="s">
        <v>90</v>
      </c>
      <c r="K473" s="8">
        <v>4200.0</v>
      </c>
      <c r="L473" s="8">
        <v>10.0</v>
      </c>
      <c r="M473" s="8">
        <v>27000.0</v>
      </c>
      <c r="N473" s="7">
        <v>44231.0</v>
      </c>
      <c r="O473" s="8" t="s">
        <v>147</v>
      </c>
      <c r="P473" s="8" t="s">
        <v>28</v>
      </c>
      <c r="S473" s="8" t="s">
        <v>32</v>
      </c>
    </row>
    <row r="474">
      <c r="A474" s="8">
        <v>473.0</v>
      </c>
      <c r="B474" s="8" t="s">
        <v>1429</v>
      </c>
      <c r="C474" s="8" t="s">
        <v>21</v>
      </c>
      <c r="D474" s="8">
        <v>75.0</v>
      </c>
      <c r="H474" s="8" t="s">
        <v>123</v>
      </c>
      <c r="I474" s="9">
        <v>46100.74162037037</v>
      </c>
      <c r="J474" s="8" t="s">
        <v>90</v>
      </c>
      <c r="K474" s="8">
        <v>2800.0</v>
      </c>
      <c r="L474" s="8">
        <v>600.0</v>
      </c>
      <c r="M474" s="8">
        <v>187000.0</v>
      </c>
      <c r="N474" s="7">
        <v>44610.0</v>
      </c>
      <c r="O474" s="8" t="s">
        <v>147</v>
      </c>
      <c r="P474" s="8" t="s">
        <v>28</v>
      </c>
      <c r="S474" s="8" t="s">
        <v>32</v>
      </c>
    </row>
    <row r="475">
      <c r="A475" s="8">
        <v>474.0</v>
      </c>
      <c r="B475" s="8" t="s">
        <v>2645</v>
      </c>
      <c r="C475" s="8" t="s">
        <v>21</v>
      </c>
      <c r="D475" s="8">
        <v>5.0</v>
      </c>
      <c r="F475" s="8">
        <v>1.5</v>
      </c>
      <c r="H475" s="8" t="s">
        <v>744</v>
      </c>
      <c r="I475" s="9">
        <v>46072.977013888885</v>
      </c>
      <c r="J475" s="8" t="s">
        <v>25</v>
      </c>
      <c r="L475" s="8">
        <v>145000.0</v>
      </c>
      <c r="M475" s="8">
        <v>149000.0</v>
      </c>
      <c r="N475" s="7">
        <v>42499.0</v>
      </c>
      <c r="O475" s="8" t="s">
        <v>26</v>
      </c>
      <c r="P475" s="8" t="s">
        <v>28</v>
      </c>
      <c r="S475" s="8" t="s">
        <v>748</v>
      </c>
    </row>
    <row r="476">
      <c r="A476" s="8">
        <v>475.0</v>
      </c>
      <c r="B476" s="8" t="s">
        <v>2649</v>
      </c>
      <c r="C476" s="8" t="s">
        <v>21</v>
      </c>
      <c r="D476" s="8">
        <v>67.0</v>
      </c>
      <c r="H476" s="8" t="s">
        <v>319</v>
      </c>
      <c r="I476" s="9">
        <v>46126.4383912037</v>
      </c>
      <c r="J476" s="8" t="s">
        <v>90</v>
      </c>
      <c r="K476" s="8">
        <v>19000.0</v>
      </c>
      <c r="L476" s="8">
        <v>50.0</v>
      </c>
      <c r="M476" s="8">
        <v>156000.0</v>
      </c>
      <c r="N476" s="7">
        <v>43347.0</v>
      </c>
      <c r="O476" s="8" t="s">
        <v>107</v>
      </c>
      <c r="P476" s="8" t="s">
        <v>28</v>
      </c>
      <c r="S476" s="8" t="s">
        <v>32</v>
      </c>
    </row>
    <row r="477">
      <c r="A477" s="8">
        <v>476.0</v>
      </c>
      <c r="B477" s="8" t="s">
        <v>2652</v>
      </c>
      <c r="C477" s="8" t="s">
        <v>21</v>
      </c>
      <c r="D477" s="8">
        <v>76.0</v>
      </c>
      <c r="H477" s="8" t="s">
        <v>1430</v>
      </c>
      <c r="I477" s="9">
        <v>46100.308344907404</v>
      </c>
      <c r="J477" s="8" t="s">
        <v>96</v>
      </c>
      <c r="K477" s="8">
        <v>4600.0</v>
      </c>
      <c r="L477" s="8">
        <v>200.0</v>
      </c>
      <c r="M477" s="8">
        <v>83000.0</v>
      </c>
      <c r="N477" s="7">
        <v>44244.0</v>
      </c>
      <c r="O477" s="8" t="s">
        <v>147</v>
      </c>
      <c r="P477" s="8" t="s">
        <v>28</v>
      </c>
      <c r="S477" s="8" t="s">
        <v>32</v>
      </c>
    </row>
    <row r="478">
      <c r="A478" s="8">
        <v>477.0</v>
      </c>
      <c r="B478" s="8" t="s">
        <v>2656</v>
      </c>
      <c r="C478" s="8" t="s">
        <v>21</v>
      </c>
      <c r="D478" s="8">
        <v>72.0</v>
      </c>
      <c r="H478" s="8" t="s">
        <v>2658</v>
      </c>
      <c r="I478" s="9">
        <v>46155.1283912037</v>
      </c>
      <c r="K478" s="8">
        <v>30.0</v>
      </c>
      <c r="L478" s="8">
        <v>90.0</v>
      </c>
      <c r="M478" s="8">
        <v>56000.0</v>
      </c>
      <c r="N478" s="7">
        <v>42661.0</v>
      </c>
      <c r="O478" s="8" t="s">
        <v>26</v>
      </c>
      <c r="P478" s="8" t="s">
        <v>28</v>
      </c>
      <c r="S478" s="8" t="s">
        <v>32</v>
      </c>
    </row>
    <row r="479">
      <c r="A479" s="8">
        <v>478.0</v>
      </c>
      <c r="B479" s="8" t="s">
        <v>2661</v>
      </c>
      <c r="C479" s="8" t="s">
        <v>21</v>
      </c>
      <c r="D479" s="8">
        <v>72.0</v>
      </c>
      <c r="H479" s="8" t="s">
        <v>1261</v>
      </c>
      <c r="I479" s="9">
        <v>46149.86111111111</v>
      </c>
      <c r="K479" s="8">
        <v>3600.0</v>
      </c>
      <c r="L479" s="8">
        <v>150.0</v>
      </c>
      <c r="M479" s="8">
        <v>674000.0</v>
      </c>
      <c r="N479" s="7">
        <v>44034.0</v>
      </c>
      <c r="O479" s="8" t="s">
        <v>147</v>
      </c>
      <c r="P479" s="8" t="s">
        <v>938</v>
      </c>
      <c r="S479" s="8" t="s">
        <v>32</v>
      </c>
    </row>
    <row r="480">
      <c r="A480" s="8">
        <v>479.0</v>
      </c>
      <c r="B480" s="8" t="s">
        <v>2665</v>
      </c>
      <c r="C480" s="8" t="s">
        <v>21</v>
      </c>
      <c r="D480" s="8">
        <v>45.0</v>
      </c>
      <c r="H480" s="8" t="s">
        <v>60</v>
      </c>
      <c r="I480" s="9">
        <v>46148.96171296296</v>
      </c>
      <c r="J480" s="8" t="s">
        <v>96</v>
      </c>
      <c r="L480" s="8">
        <v>150.0</v>
      </c>
      <c r="M480" s="8">
        <v>450.0</v>
      </c>
      <c r="N480" s="7">
        <v>44027.0</v>
      </c>
      <c r="O480" s="8" t="s">
        <v>925</v>
      </c>
      <c r="P480" s="8" t="s">
        <v>28</v>
      </c>
      <c r="S480" s="8" t="s">
        <v>32</v>
      </c>
    </row>
    <row r="481">
      <c r="A481" s="8">
        <v>480.0</v>
      </c>
      <c r="B481" s="8" t="s">
        <v>2671</v>
      </c>
      <c r="C481" s="8" t="s">
        <v>21</v>
      </c>
      <c r="D481" s="8">
        <v>58.0</v>
      </c>
      <c r="H481" s="8" t="s">
        <v>552</v>
      </c>
      <c r="I481" s="9">
        <v>46161.914502314816</v>
      </c>
      <c r="J481" s="8" t="s">
        <v>62</v>
      </c>
      <c r="K481" s="8">
        <v>700.0</v>
      </c>
      <c r="L481" s="8">
        <v>10.0</v>
      </c>
      <c r="M481" s="8">
        <v>15000.0</v>
      </c>
      <c r="N481" s="7">
        <v>43843.0</v>
      </c>
      <c r="O481" s="8" t="s">
        <v>107</v>
      </c>
      <c r="P481" s="8" t="s">
        <v>28</v>
      </c>
      <c r="S481" s="8" t="s">
        <v>32</v>
      </c>
    </row>
    <row r="482">
      <c r="A482" s="8">
        <v>481.0</v>
      </c>
      <c r="B482" s="8" t="s">
        <v>2674</v>
      </c>
      <c r="C482" s="8" t="s">
        <v>21</v>
      </c>
      <c r="D482" s="8">
        <v>76.0</v>
      </c>
      <c r="H482" s="8" t="s">
        <v>1504</v>
      </c>
      <c r="I482" s="9">
        <v>46144.21146990741</v>
      </c>
      <c r="K482" s="8">
        <v>600.0</v>
      </c>
      <c r="L482" s="8">
        <v>90.0</v>
      </c>
      <c r="M482" s="8">
        <v>192000.0</v>
      </c>
      <c r="N482" s="7">
        <v>44132.0</v>
      </c>
      <c r="O482" s="8" t="s">
        <v>1314</v>
      </c>
      <c r="P482" s="8" t="s">
        <v>28</v>
      </c>
      <c r="S482" s="8" t="s">
        <v>32</v>
      </c>
    </row>
    <row r="483">
      <c r="A483" s="8">
        <v>482.0</v>
      </c>
      <c r="B483" s="8" t="s">
        <v>2678</v>
      </c>
      <c r="C483" s="8" t="s">
        <v>21</v>
      </c>
      <c r="D483" s="8">
        <v>79.0</v>
      </c>
      <c r="H483" s="8" t="s">
        <v>55</v>
      </c>
      <c r="I483" s="9">
        <v>46122.45239583333</v>
      </c>
      <c r="K483" s="8">
        <v>300.0</v>
      </c>
      <c r="L483" s="8">
        <v>15000.0</v>
      </c>
      <c r="M483" s="8">
        <v>69000.0</v>
      </c>
      <c r="N483" s="7">
        <v>42249.0</v>
      </c>
      <c r="O483" s="8" t="s">
        <v>31</v>
      </c>
      <c r="P483" s="8" t="s">
        <v>28</v>
      </c>
      <c r="S483" s="8" t="s">
        <v>32</v>
      </c>
    </row>
    <row r="484">
      <c r="A484" s="8">
        <v>483.0</v>
      </c>
      <c r="B484" s="8" t="s">
        <v>2681</v>
      </c>
      <c r="C484" s="8" t="s">
        <v>21</v>
      </c>
      <c r="D484" s="8">
        <v>75.0</v>
      </c>
      <c r="H484" s="8" t="s">
        <v>123</v>
      </c>
      <c r="I484" s="9">
        <v>46155.658472222225</v>
      </c>
      <c r="J484" s="8" t="s">
        <v>58</v>
      </c>
      <c r="K484" s="8">
        <v>250.0</v>
      </c>
      <c r="L484" s="8">
        <v>4000.0</v>
      </c>
      <c r="M484" s="8">
        <v>694000.0</v>
      </c>
      <c r="N484" s="7">
        <v>43905.0</v>
      </c>
      <c r="O484" s="8" t="s">
        <v>147</v>
      </c>
      <c r="P484" s="8" t="s">
        <v>1174</v>
      </c>
      <c r="S484" s="8" t="s">
        <v>32</v>
      </c>
    </row>
    <row r="485">
      <c r="A485" s="8">
        <v>484.0</v>
      </c>
      <c r="B485" s="8" t="s">
        <v>2685</v>
      </c>
      <c r="C485" s="8" t="s">
        <v>21</v>
      </c>
      <c r="D485" s="8">
        <v>74.0</v>
      </c>
      <c r="H485" s="8" t="s">
        <v>398</v>
      </c>
      <c r="I485" s="9">
        <v>46125.57476851852</v>
      </c>
      <c r="J485" s="8" t="s">
        <v>90</v>
      </c>
      <c r="K485" s="8">
        <v>1000.0</v>
      </c>
      <c r="L485" s="8">
        <v>600.0</v>
      </c>
      <c r="M485" s="8">
        <v>356000.0</v>
      </c>
      <c r="N485" s="7">
        <v>43884.0</v>
      </c>
      <c r="O485" s="8" t="s">
        <v>107</v>
      </c>
      <c r="P485" s="8" t="s">
        <v>1174</v>
      </c>
      <c r="S485" s="8" t="s">
        <v>32</v>
      </c>
    </row>
    <row r="486">
      <c r="A486" s="8">
        <v>485.0</v>
      </c>
      <c r="B486" s="8" t="s">
        <v>2688</v>
      </c>
      <c r="C486" s="8" t="s">
        <v>21</v>
      </c>
      <c r="D486" s="8">
        <v>36.0</v>
      </c>
      <c r="H486" s="8" t="s">
        <v>755</v>
      </c>
      <c r="I486" s="9">
        <v>46145.94351851852</v>
      </c>
      <c r="J486" s="8" t="s">
        <v>62</v>
      </c>
      <c r="K486" s="8">
        <v>10.0</v>
      </c>
      <c r="L486" s="8">
        <v>15000.0</v>
      </c>
      <c r="M486" s="8">
        <v>16000.0</v>
      </c>
      <c r="N486" s="7">
        <v>42344.0</v>
      </c>
      <c r="O486" s="8" t="s">
        <v>127</v>
      </c>
      <c r="P486" s="8" t="s">
        <v>28</v>
      </c>
      <c r="S486" s="8" t="s">
        <v>748</v>
      </c>
    </row>
    <row r="487">
      <c r="A487" s="8">
        <v>486.0</v>
      </c>
      <c r="B487" s="8" t="s">
        <v>2692</v>
      </c>
      <c r="C487" s="8" t="s">
        <v>21</v>
      </c>
      <c r="D487" s="8">
        <v>54.0</v>
      </c>
      <c r="H487" s="8" t="s">
        <v>428</v>
      </c>
      <c r="I487" s="9">
        <v>46161.74254629629</v>
      </c>
      <c r="J487" s="8" t="s">
        <v>90</v>
      </c>
      <c r="K487" s="8">
        <v>4300.0</v>
      </c>
      <c r="L487" s="8">
        <v>30.0</v>
      </c>
      <c r="M487" s="8">
        <v>16000.0</v>
      </c>
      <c r="N487" s="7">
        <v>42483.0</v>
      </c>
      <c r="O487" s="8" t="s">
        <v>107</v>
      </c>
      <c r="P487" s="8" t="s">
        <v>28</v>
      </c>
      <c r="Q487" s="8" t="s">
        <v>2695</v>
      </c>
      <c r="R487" s="8">
        <v>2.0</v>
      </c>
      <c r="S487" s="8" t="s">
        <v>32</v>
      </c>
    </row>
    <row r="488">
      <c r="A488" s="8">
        <v>487.0</v>
      </c>
      <c r="B488" s="8" t="s">
        <v>2697</v>
      </c>
      <c r="C488" s="8" t="s">
        <v>21</v>
      </c>
      <c r="D488" s="8">
        <v>74.0</v>
      </c>
      <c r="H488" s="8" t="s">
        <v>1409</v>
      </c>
      <c r="I488" s="9">
        <v>46085.368310185186</v>
      </c>
      <c r="J488" s="8" t="s">
        <v>1255</v>
      </c>
      <c r="K488" s="8">
        <v>500.0</v>
      </c>
      <c r="L488" s="8">
        <v>50.0</v>
      </c>
      <c r="M488" s="8">
        <v>380000.0</v>
      </c>
      <c r="N488" s="7">
        <v>42258.0</v>
      </c>
      <c r="O488" s="8" t="s">
        <v>147</v>
      </c>
      <c r="P488" s="8" t="s">
        <v>28</v>
      </c>
      <c r="S488" s="8" t="s">
        <v>32</v>
      </c>
    </row>
    <row r="489">
      <c r="A489" s="8">
        <v>488.0</v>
      </c>
      <c r="B489" s="8" t="s">
        <v>2700</v>
      </c>
      <c r="C489" s="8" t="s">
        <v>21</v>
      </c>
      <c r="D489" s="8">
        <v>0.0</v>
      </c>
      <c r="H489" s="8" t="s">
        <v>744</v>
      </c>
      <c r="I489" s="9">
        <v>46127.35685185185</v>
      </c>
      <c r="J489" s="8" t="s">
        <v>62</v>
      </c>
      <c r="L489" s="8">
        <v>136000.0</v>
      </c>
      <c r="M489" s="8">
        <v>140000.0</v>
      </c>
      <c r="N489" s="7">
        <v>42631.0</v>
      </c>
      <c r="O489" s="8" t="s">
        <v>26</v>
      </c>
      <c r="P489" s="8" t="s">
        <v>28</v>
      </c>
      <c r="S489" s="8" t="s">
        <v>782</v>
      </c>
    </row>
    <row r="490">
      <c r="A490" s="8">
        <v>489.0</v>
      </c>
      <c r="B490" s="8" t="s">
        <v>2702</v>
      </c>
      <c r="C490" s="8" t="s">
        <v>21</v>
      </c>
      <c r="D490" s="8">
        <v>0.0</v>
      </c>
      <c r="H490" s="8" t="s">
        <v>2703</v>
      </c>
      <c r="I490" s="9">
        <v>46098.746296296296</v>
      </c>
      <c r="J490" s="8" t="s">
        <v>545</v>
      </c>
      <c r="L490" s="8">
        <v>0.0</v>
      </c>
      <c r="M490" s="8">
        <v>0.0</v>
      </c>
      <c r="N490" s="7">
        <v>44415.0</v>
      </c>
      <c r="O490" s="8" t="s">
        <v>26</v>
      </c>
      <c r="P490" s="8" t="s">
        <v>28</v>
      </c>
      <c r="S490" s="8" t="s">
        <v>2705</v>
      </c>
    </row>
    <row r="491">
      <c r="A491" s="8">
        <v>490.0</v>
      </c>
      <c r="B491" s="8" t="s">
        <v>2707</v>
      </c>
      <c r="C491" s="8" t="s">
        <v>21</v>
      </c>
      <c r="D491" s="8">
        <v>16.0</v>
      </c>
      <c r="H491" s="8" t="s">
        <v>744</v>
      </c>
      <c r="I491" s="9">
        <v>46126.528715277775</v>
      </c>
      <c r="J491" s="8" t="s">
        <v>25</v>
      </c>
      <c r="L491" s="8">
        <v>136000.0</v>
      </c>
      <c r="M491" s="8">
        <v>140000.0</v>
      </c>
      <c r="N491" s="7">
        <v>42279.0</v>
      </c>
      <c r="O491" s="8" t="s">
        <v>127</v>
      </c>
      <c r="P491" s="8" t="s">
        <v>28</v>
      </c>
      <c r="S491" s="8" t="s">
        <v>748</v>
      </c>
    </row>
    <row r="492">
      <c r="A492" s="8">
        <v>491.0</v>
      </c>
      <c r="B492" s="8" t="s">
        <v>2709</v>
      </c>
      <c r="C492" s="8" t="s">
        <v>21</v>
      </c>
      <c r="D492" s="8">
        <v>72.0</v>
      </c>
      <c r="H492" s="8" t="s">
        <v>2710</v>
      </c>
      <c r="I492" s="9">
        <v>46144.87880787037</v>
      </c>
      <c r="J492" s="8" t="s">
        <v>90</v>
      </c>
      <c r="K492" s="8">
        <v>10000.0</v>
      </c>
      <c r="L492" s="8">
        <v>10.0</v>
      </c>
      <c r="M492" s="8">
        <v>43000.0</v>
      </c>
      <c r="N492" s="7">
        <v>43952.0</v>
      </c>
      <c r="O492" s="8" t="s">
        <v>147</v>
      </c>
      <c r="P492" s="8" t="s">
        <v>28</v>
      </c>
      <c r="S492" s="8" t="s">
        <v>2712</v>
      </c>
    </row>
    <row r="493">
      <c r="A493" s="8">
        <v>492.0</v>
      </c>
      <c r="B493" s="8" t="s">
        <v>2127</v>
      </c>
      <c r="C493" s="8" t="s">
        <v>21</v>
      </c>
      <c r="D493" s="8">
        <v>43.0</v>
      </c>
      <c r="H493" s="8" t="s">
        <v>19</v>
      </c>
      <c r="I493" s="9">
        <v>46148.99408564815</v>
      </c>
      <c r="J493" s="8" t="s">
        <v>25</v>
      </c>
      <c r="L493" s="8">
        <v>26000.0</v>
      </c>
      <c r="M493" s="8">
        <v>27000.0</v>
      </c>
      <c r="N493" s="7">
        <v>44302.0</v>
      </c>
      <c r="O493" s="8" t="s">
        <v>127</v>
      </c>
      <c r="P493" s="8" t="s">
        <v>28</v>
      </c>
      <c r="S493" s="8" t="s">
        <v>32</v>
      </c>
    </row>
    <row r="494">
      <c r="A494" s="8">
        <v>493.0</v>
      </c>
      <c r="B494" s="8" t="s">
        <v>2715</v>
      </c>
      <c r="C494" s="8" t="s">
        <v>21</v>
      </c>
      <c r="D494" s="8">
        <v>0.0</v>
      </c>
      <c r="H494" s="8" t="s">
        <v>744</v>
      </c>
      <c r="I494" s="9">
        <v>46122.07436342593</v>
      </c>
      <c r="J494" s="8" t="s">
        <v>1838</v>
      </c>
      <c r="L494" s="8">
        <v>136000.0</v>
      </c>
      <c r="M494" s="8">
        <v>140000.0</v>
      </c>
      <c r="N494" s="7">
        <v>43125.0</v>
      </c>
      <c r="O494" s="8" t="s">
        <v>147</v>
      </c>
      <c r="P494" s="8" t="s">
        <v>28</v>
      </c>
      <c r="S494" s="8" t="s">
        <v>748</v>
      </c>
    </row>
    <row r="495">
      <c r="A495" s="8">
        <v>494.0</v>
      </c>
      <c r="B495" s="8" t="s">
        <v>2719</v>
      </c>
      <c r="C495" s="8" t="s">
        <v>21</v>
      </c>
      <c r="D495" s="8">
        <v>42.0</v>
      </c>
      <c r="H495" s="8" t="s">
        <v>744</v>
      </c>
      <c r="I495" s="9">
        <v>46149.71333333333</v>
      </c>
      <c r="J495" s="8" t="s">
        <v>90</v>
      </c>
      <c r="L495" s="8">
        <v>137000.0</v>
      </c>
      <c r="M495" s="8">
        <v>140000.0</v>
      </c>
      <c r="N495" s="7">
        <v>42424.0</v>
      </c>
      <c r="O495" s="8" t="s">
        <v>803</v>
      </c>
      <c r="P495" s="8" t="s">
        <v>28</v>
      </c>
      <c r="S495" s="8" t="s">
        <v>32</v>
      </c>
    </row>
    <row r="496">
      <c r="A496" s="8">
        <v>495.0</v>
      </c>
      <c r="B496" s="8" t="s">
        <v>2723</v>
      </c>
      <c r="C496" s="8" t="s">
        <v>21</v>
      </c>
      <c r="D496" s="8">
        <v>30.0</v>
      </c>
      <c r="H496" s="8" t="s">
        <v>755</v>
      </c>
      <c r="I496" s="9">
        <v>46127.3325</v>
      </c>
      <c r="J496" s="8" t="s">
        <v>25</v>
      </c>
      <c r="L496" s="8">
        <v>16000.0</v>
      </c>
      <c r="M496" s="8">
        <v>17000.0</v>
      </c>
      <c r="N496" s="7">
        <v>43648.0</v>
      </c>
      <c r="O496" s="8" t="s">
        <v>803</v>
      </c>
      <c r="P496" s="8" t="s">
        <v>28</v>
      </c>
      <c r="S496" s="8" t="s">
        <v>748</v>
      </c>
    </row>
    <row r="497">
      <c r="A497" s="8">
        <v>496.0</v>
      </c>
      <c r="B497" s="8" t="s">
        <v>2726</v>
      </c>
      <c r="C497" s="8" t="s">
        <v>21</v>
      </c>
      <c r="D497" s="8">
        <v>0.0</v>
      </c>
      <c r="H497" s="8" t="s">
        <v>1678</v>
      </c>
      <c r="I497" s="9">
        <v>46145.403969907406</v>
      </c>
      <c r="J497" s="8" t="s">
        <v>62</v>
      </c>
      <c r="L497" s="8">
        <v>40.0</v>
      </c>
      <c r="M497" s="8">
        <v>40.0</v>
      </c>
      <c r="N497" s="7">
        <v>45009.0</v>
      </c>
      <c r="O497" s="8" t="s">
        <v>26</v>
      </c>
      <c r="P497" s="8" t="s">
        <v>28</v>
      </c>
      <c r="S497" s="8" t="s">
        <v>782</v>
      </c>
    </row>
    <row r="498">
      <c r="A498" s="8">
        <v>497.0</v>
      </c>
      <c r="B498" s="8" t="s">
        <v>2727</v>
      </c>
      <c r="C498" s="8" t="s">
        <v>21</v>
      </c>
      <c r="D498" s="8">
        <v>0.0</v>
      </c>
      <c r="G498" s="8">
        <v>1.04</v>
      </c>
      <c r="H498" s="8" t="s">
        <v>783</v>
      </c>
      <c r="I498" s="9">
        <v>46084.04023148148</v>
      </c>
      <c r="J498" s="8" t="s">
        <v>1446</v>
      </c>
      <c r="L498" s="8">
        <v>13000.0</v>
      </c>
      <c r="M498" s="8">
        <v>18000.0</v>
      </c>
      <c r="N498" s="7">
        <v>42360.0</v>
      </c>
      <c r="O498" s="8" t="s">
        <v>26</v>
      </c>
      <c r="P498" s="8" t="s">
        <v>28</v>
      </c>
      <c r="S498" s="8" t="s">
        <v>2730</v>
      </c>
    </row>
    <row r="499">
      <c r="A499" s="8">
        <v>498.0</v>
      </c>
      <c r="B499" s="8" t="s">
        <v>2732</v>
      </c>
      <c r="C499" s="8" t="s">
        <v>21</v>
      </c>
      <c r="D499" s="8">
        <v>76.0</v>
      </c>
      <c r="H499" s="8" t="s">
        <v>398</v>
      </c>
      <c r="I499" s="9">
        <v>46132.06282407408</v>
      </c>
      <c r="J499" s="8" t="s">
        <v>90</v>
      </c>
      <c r="K499" s="8">
        <v>4500.0</v>
      </c>
      <c r="L499" s="8">
        <v>600.0</v>
      </c>
      <c r="M499" s="8">
        <v>373000.0</v>
      </c>
      <c r="N499" s="7">
        <v>43885.0</v>
      </c>
      <c r="O499" s="8" t="s">
        <v>147</v>
      </c>
      <c r="P499" s="8" t="s">
        <v>28</v>
      </c>
      <c r="S499" s="8" t="s">
        <v>32</v>
      </c>
    </row>
    <row r="500">
      <c r="A500" s="8">
        <v>499.0</v>
      </c>
      <c r="B500" s="8" t="s">
        <v>2735</v>
      </c>
      <c r="C500" s="8" t="s">
        <v>21</v>
      </c>
      <c r="D500" s="8">
        <v>73.0</v>
      </c>
      <c r="H500" s="8" t="s">
        <v>398</v>
      </c>
      <c r="I500" s="9">
        <v>46159.9075</v>
      </c>
      <c r="K500" s="8">
        <v>2300.0</v>
      </c>
      <c r="L500" s="8">
        <v>700.0</v>
      </c>
      <c r="M500" s="8">
        <v>347000.0</v>
      </c>
      <c r="N500" s="7">
        <v>42691.0</v>
      </c>
      <c r="O500" s="8" t="s">
        <v>147</v>
      </c>
      <c r="P500" s="8" t="s">
        <v>28</v>
      </c>
      <c r="S500" s="8" t="s">
        <v>32</v>
      </c>
    </row>
    <row r="501">
      <c r="A501" s="8">
        <v>500.0</v>
      </c>
      <c r="B501" s="8" t="s">
        <v>2737</v>
      </c>
      <c r="C501" s="8" t="s">
        <v>21</v>
      </c>
      <c r="D501" s="8">
        <v>67.0</v>
      </c>
      <c r="H501" s="8" t="s">
        <v>549</v>
      </c>
      <c r="I501" s="9">
        <v>46127.31517361111</v>
      </c>
      <c r="J501" s="8" t="s">
        <v>90</v>
      </c>
      <c r="K501" s="8">
        <v>6000.0</v>
      </c>
      <c r="L501" s="8">
        <v>30.0</v>
      </c>
      <c r="M501" s="8">
        <v>56000.0</v>
      </c>
      <c r="N501" s="7">
        <v>43074.0</v>
      </c>
      <c r="O501" s="8" t="s">
        <v>107</v>
      </c>
      <c r="P501" s="8" t="s">
        <v>28</v>
      </c>
      <c r="S501" s="8" t="s">
        <v>32</v>
      </c>
    </row>
    <row r="502">
      <c r="A502" s="8">
        <v>501.0</v>
      </c>
      <c r="B502" s="10" t="s">
        <v>2741</v>
      </c>
      <c r="C502" s="8" t="s">
        <v>21</v>
      </c>
      <c r="D502" s="8">
        <v>76.0</v>
      </c>
      <c r="H502" s="10" t="s">
        <v>2741</v>
      </c>
      <c r="I502" s="9">
        <v>46156.419803240744</v>
      </c>
      <c r="J502" s="8" t="s">
        <v>96</v>
      </c>
      <c r="L502" s="8">
        <v>0.0</v>
      </c>
      <c r="M502" s="8">
        <v>0.0</v>
      </c>
      <c r="N502" s="7">
        <v>43898.0</v>
      </c>
      <c r="O502" s="8" t="s">
        <v>1754</v>
      </c>
      <c r="S502" s="8" t="s">
        <v>2128</v>
      </c>
    </row>
    <row r="503">
      <c r="A503" s="8">
        <v>502.0</v>
      </c>
      <c r="B503" s="8" t="s">
        <v>2747</v>
      </c>
      <c r="C503" s="8" t="s">
        <v>21</v>
      </c>
      <c r="D503" s="8">
        <v>1.0</v>
      </c>
      <c r="H503" s="8" t="s">
        <v>744</v>
      </c>
      <c r="I503" s="9">
        <v>46071.11987268519</v>
      </c>
      <c r="J503" s="8" t="s">
        <v>62</v>
      </c>
      <c r="L503" s="8">
        <v>145000.0</v>
      </c>
      <c r="M503" s="8">
        <v>149000.0</v>
      </c>
      <c r="N503" s="7">
        <v>45078.0</v>
      </c>
      <c r="O503" s="8" t="s">
        <v>925</v>
      </c>
      <c r="P503" s="8" t="s">
        <v>28</v>
      </c>
      <c r="S503" s="8" t="s">
        <v>748</v>
      </c>
    </row>
    <row r="504">
      <c r="A504" s="8">
        <v>503.0</v>
      </c>
      <c r="B504" s="8" t="s">
        <v>732</v>
      </c>
      <c r="C504" s="8" t="s">
        <v>21</v>
      </c>
      <c r="D504" s="8">
        <v>54.0</v>
      </c>
      <c r="H504" s="8" t="s">
        <v>473</v>
      </c>
      <c r="I504" s="9">
        <v>46160.66863425926</v>
      </c>
      <c r="J504" s="8" t="s">
        <v>96</v>
      </c>
      <c r="L504" s="8">
        <v>60.0</v>
      </c>
      <c r="M504" s="8">
        <v>200.0</v>
      </c>
      <c r="N504" s="7">
        <v>42521.0</v>
      </c>
      <c r="O504" s="8" t="s">
        <v>26</v>
      </c>
      <c r="P504" s="8" t="s">
        <v>28</v>
      </c>
      <c r="S504" s="8" t="s">
        <v>32</v>
      </c>
    </row>
    <row r="505">
      <c r="A505" s="8">
        <v>504.0</v>
      </c>
      <c r="B505" s="8" t="s">
        <v>2754</v>
      </c>
      <c r="C505" s="8" t="s">
        <v>21</v>
      </c>
      <c r="D505" s="8">
        <v>68.0</v>
      </c>
      <c r="H505" s="8" t="s">
        <v>279</v>
      </c>
      <c r="I505" s="9">
        <v>46142.86859953704</v>
      </c>
      <c r="J505" s="8" t="s">
        <v>90</v>
      </c>
      <c r="K505" s="8">
        <v>20.0</v>
      </c>
      <c r="L505" s="8">
        <v>3200.0</v>
      </c>
      <c r="M505" s="8">
        <v>59000.0</v>
      </c>
      <c r="N505" s="7">
        <v>44803.0</v>
      </c>
      <c r="O505" s="8" t="s">
        <v>147</v>
      </c>
      <c r="P505" s="8" t="s">
        <v>1174</v>
      </c>
      <c r="S505" s="8" t="s">
        <v>32</v>
      </c>
    </row>
    <row r="506">
      <c r="A506" s="8">
        <v>505.0</v>
      </c>
      <c r="B506" s="8" t="s">
        <v>2478</v>
      </c>
      <c r="C506" s="8" t="s">
        <v>21</v>
      </c>
      <c r="D506" s="8">
        <v>72.0</v>
      </c>
      <c r="H506" s="8" t="s">
        <v>51</v>
      </c>
      <c r="I506" s="9">
        <v>46046.363217592596</v>
      </c>
      <c r="J506" s="8" t="s">
        <v>96</v>
      </c>
      <c r="K506" s="8">
        <v>20.0</v>
      </c>
      <c r="L506" s="8">
        <v>5200.0</v>
      </c>
      <c r="M506" s="8">
        <v>6000.0</v>
      </c>
      <c r="N506" s="7">
        <v>44642.0</v>
      </c>
      <c r="O506" s="8" t="s">
        <v>31</v>
      </c>
      <c r="P506" s="8" t="s">
        <v>28</v>
      </c>
      <c r="S506" s="8" t="s">
        <v>32</v>
      </c>
    </row>
    <row r="507">
      <c r="A507" s="8">
        <v>506.0</v>
      </c>
      <c r="B507" s="8" t="s">
        <v>2495</v>
      </c>
      <c r="C507" s="8" t="s">
        <v>21</v>
      </c>
      <c r="D507" s="8">
        <v>72.0</v>
      </c>
      <c r="H507" s="8" t="s">
        <v>279</v>
      </c>
      <c r="I507" s="9">
        <v>46148.545277777775</v>
      </c>
      <c r="J507" s="8" t="s">
        <v>90</v>
      </c>
      <c r="K507" s="8">
        <v>40.0</v>
      </c>
      <c r="L507" s="8">
        <v>3200.0</v>
      </c>
      <c r="M507" s="8">
        <v>60000.0</v>
      </c>
      <c r="N507" s="7">
        <v>44079.0</v>
      </c>
      <c r="O507" s="8" t="s">
        <v>107</v>
      </c>
      <c r="P507" s="8" t="s">
        <v>28</v>
      </c>
      <c r="S507" s="8" t="s">
        <v>32</v>
      </c>
    </row>
    <row r="508">
      <c r="A508" s="8">
        <v>507.0</v>
      </c>
      <c r="B508" s="8" t="s">
        <v>2761</v>
      </c>
      <c r="C508" s="8" t="s">
        <v>21</v>
      </c>
      <c r="D508" s="8">
        <v>76.0</v>
      </c>
      <c r="H508" s="8" t="s">
        <v>398</v>
      </c>
      <c r="I508" s="9">
        <v>46098.721030092594</v>
      </c>
      <c r="K508" s="8">
        <v>350.0</v>
      </c>
      <c r="L508" s="8">
        <v>500.0</v>
      </c>
      <c r="M508" s="8">
        <v>344000.0</v>
      </c>
      <c r="N508" s="7">
        <v>44037.0</v>
      </c>
      <c r="O508" s="8" t="s">
        <v>147</v>
      </c>
      <c r="P508" s="8" t="s">
        <v>28</v>
      </c>
      <c r="S508" s="8" t="s">
        <v>32</v>
      </c>
    </row>
    <row r="509">
      <c r="A509" s="8">
        <v>508.0</v>
      </c>
      <c r="B509" s="8" t="s">
        <v>2764</v>
      </c>
      <c r="C509" s="8" t="s">
        <v>21</v>
      </c>
      <c r="D509" s="8">
        <v>67.0</v>
      </c>
      <c r="H509" s="8" t="s">
        <v>123</v>
      </c>
      <c r="I509" s="9">
        <v>46160.842199074075</v>
      </c>
      <c r="J509" s="8" t="s">
        <v>90</v>
      </c>
      <c r="K509" s="8">
        <v>10.0</v>
      </c>
      <c r="L509" s="8">
        <v>1300.0</v>
      </c>
      <c r="M509" s="8">
        <v>168000.0</v>
      </c>
      <c r="N509" s="7">
        <v>44812.0</v>
      </c>
      <c r="O509" s="8" t="s">
        <v>147</v>
      </c>
      <c r="P509" s="8" t="s">
        <v>28</v>
      </c>
      <c r="S509" s="8" t="s">
        <v>32</v>
      </c>
    </row>
    <row r="510">
      <c r="A510" s="8">
        <v>509.0</v>
      </c>
      <c r="B510" s="8" t="s">
        <v>2543</v>
      </c>
      <c r="C510" s="8" t="s">
        <v>21</v>
      </c>
      <c r="D510" s="8">
        <v>0.0</v>
      </c>
      <c r="H510" s="8" t="s">
        <v>475</v>
      </c>
      <c r="I510" s="9">
        <v>46082.69795138889</v>
      </c>
      <c r="J510" s="8" t="s">
        <v>789</v>
      </c>
      <c r="L510" s="8">
        <v>200.0</v>
      </c>
      <c r="M510" s="8">
        <v>200.0</v>
      </c>
      <c r="N510" s="7">
        <v>45212.0</v>
      </c>
      <c r="O510" s="8" t="s">
        <v>26</v>
      </c>
      <c r="P510" s="8" t="s">
        <v>28</v>
      </c>
      <c r="S510" s="8" t="s">
        <v>32</v>
      </c>
    </row>
    <row r="511">
      <c r="A511" s="8">
        <v>510.0</v>
      </c>
      <c r="B511" s="8" t="s">
        <v>2769</v>
      </c>
      <c r="C511" s="8" t="s">
        <v>21</v>
      </c>
      <c r="D511" s="8">
        <v>75.0</v>
      </c>
      <c r="H511" s="8" t="s">
        <v>1605</v>
      </c>
      <c r="I511" s="9">
        <v>46162.00811342592</v>
      </c>
      <c r="J511" s="8" t="s">
        <v>96</v>
      </c>
      <c r="K511" s="8">
        <v>1600.0</v>
      </c>
      <c r="L511" s="8">
        <v>80.0</v>
      </c>
      <c r="M511" s="8">
        <v>108000.0</v>
      </c>
      <c r="N511" s="7">
        <v>44209.0</v>
      </c>
      <c r="O511" s="8" t="s">
        <v>26</v>
      </c>
      <c r="P511" s="8" t="s">
        <v>28</v>
      </c>
      <c r="S511" s="8" t="s">
        <v>32</v>
      </c>
    </row>
    <row r="512">
      <c r="A512" s="8">
        <v>511.0</v>
      </c>
      <c r="B512" s="8" t="s">
        <v>2773</v>
      </c>
      <c r="C512" s="8" t="s">
        <v>21</v>
      </c>
      <c r="D512" s="8">
        <v>70.0</v>
      </c>
      <c r="H512" s="8" t="s">
        <v>1601</v>
      </c>
      <c r="I512" s="9">
        <v>46131.150717592594</v>
      </c>
      <c r="K512" s="8">
        <v>7600.0</v>
      </c>
      <c r="L512" s="8">
        <v>10.0</v>
      </c>
      <c r="M512" s="8">
        <v>12000.0</v>
      </c>
      <c r="N512" s="7">
        <v>43888.0</v>
      </c>
      <c r="O512" s="8" t="s">
        <v>147</v>
      </c>
      <c r="P512" s="8" t="s">
        <v>28</v>
      </c>
      <c r="S512" s="8" t="s">
        <v>32</v>
      </c>
    </row>
    <row r="513">
      <c r="A513" s="8">
        <v>512.0</v>
      </c>
      <c r="B513" s="8" t="s">
        <v>2778</v>
      </c>
      <c r="C513" s="8" t="s">
        <v>21</v>
      </c>
      <c r="D513" s="8">
        <v>55.0</v>
      </c>
      <c r="H513" s="8" t="s">
        <v>55</v>
      </c>
      <c r="I513" s="9">
        <v>46106.99366898148</v>
      </c>
      <c r="J513" s="8" t="s">
        <v>90</v>
      </c>
      <c r="K513" s="8">
        <v>400.0</v>
      </c>
      <c r="L513" s="8">
        <v>15000.0</v>
      </c>
      <c r="M513" s="8">
        <v>69000.0</v>
      </c>
      <c r="N513" s="7">
        <v>42277.0</v>
      </c>
      <c r="O513" s="8" t="s">
        <v>1754</v>
      </c>
      <c r="P513" s="8" t="s">
        <v>28</v>
      </c>
      <c r="S513" s="8" t="s">
        <v>32</v>
      </c>
    </row>
    <row r="514">
      <c r="A514" s="8">
        <v>513.0</v>
      </c>
      <c r="B514" s="8" t="s">
        <v>2781</v>
      </c>
      <c r="C514" s="8" t="s">
        <v>21</v>
      </c>
      <c r="D514" s="8">
        <v>71.0</v>
      </c>
      <c r="H514" s="8" t="s">
        <v>1974</v>
      </c>
      <c r="I514" s="9">
        <v>46125.76420138889</v>
      </c>
      <c r="J514" s="8" t="s">
        <v>96</v>
      </c>
      <c r="K514" s="8">
        <v>150.0</v>
      </c>
      <c r="L514" s="8">
        <v>10.0</v>
      </c>
      <c r="M514" s="8">
        <v>86000.0</v>
      </c>
      <c r="N514" s="7">
        <v>43413.0</v>
      </c>
      <c r="O514" s="8" t="s">
        <v>26</v>
      </c>
      <c r="P514" s="8" t="s">
        <v>28</v>
      </c>
      <c r="S514" s="8" t="s">
        <v>32</v>
      </c>
    </row>
    <row r="515">
      <c r="A515" s="8">
        <v>514.0</v>
      </c>
      <c r="B515" s="8" t="s">
        <v>2784</v>
      </c>
      <c r="C515" s="8" t="s">
        <v>21</v>
      </c>
      <c r="D515" s="8">
        <v>10.0</v>
      </c>
      <c r="H515" s="8" t="s">
        <v>1678</v>
      </c>
      <c r="I515" s="9">
        <v>46123.14511574074</v>
      </c>
      <c r="J515" s="8" t="s">
        <v>2785</v>
      </c>
      <c r="L515" s="8">
        <v>30.0</v>
      </c>
      <c r="M515" s="8">
        <v>30.0</v>
      </c>
      <c r="N515" s="7">
        <v>44080.0</v>
      </c>
      <c r="O515" s="8" t="s">
        <v>26</v>
      </c>
      <c r="P515" s="8" t="s">
        <v>28</v>
      </c>
      <c r="S515" s="8" t="s">
        <v>782</v>
      </c>
    </row>
    <row r="516">
      <c r="A516" s="8">
        <v>515.0</v>
      </c>
      <c r="B516" s="8" t="s">
        <v>2787</v>
      </c>
      <c r="C516" s="8" t="s">
        <v>21</v>
      </c>
      <c r="D516" s="8">
        <v>78.0</v>
      </c>
      <c r="H516" s="8" t="s">
        <v>1353</v>
      </c>
      <c r="I516" s="9">
        <v>46127.304606481484</v>
      </c>
      <c r="J516" s="8" t="s">
        <v>90</v>
      </c>
      <c r="L516" s="8">
        <v>200.0</v>
      </c>
      <c r="M516" s="8">
        <v>248000.0</v>
      </c>
      <c r="N516" s="7">
        <v>43070.0</v>
      </c>
      <c r="O516" s="8" t="s">
        <v>127</v>
      </c>
      <c r="P516" s="8" t="s">
        <v>28</v>
      </c>
      <c r="S516" s="8" t="s">
        <v>32</v>
      </c>
    </row>
    <row r="517">
      <c r="A517" s="8">
        <v>516.0</v>
      </c>
      <c r="B517" s="8" t="s">
        <v>2789</v>
      </c>
      <c r="C517" s="8" t="s">
        <v>21</v>
      </c>
      <c r="D517" s="8">
        <v>63.0</v>
      </c>
      <c r="H517" s="8" t="s">
        <v>289</v>
      </c>
      <c r="I517" s="9">
        <v>46144.021157407406</v>
      </c>
      <c r="J517" s="8" t="s">
        <v>90</v>
      </c>
      <c r="K517" s="8">
        <v>20.0</v>
      </c>
      <c r="L517" s="8">
        <v>80.0</v>
      </c>
      <c r="M517" s="8">
        <v>1500.0</v>
      </c>
      <c r="N517" s="7">
        <v>42587.0</v>
      </c>
      <c r="O517" s="8" t="s">
        <v>107</v>
      </c>
      <c r="P517" s="8" t="s">
        <v>28</v>
      </c>
      <c r="S517" s="8" t="s">
        <v>32</v>
      </c>
    </row>
    <row r="518">
      <c r="A518" s="8">
        <v>517.0</v>
      </c>
      <c r="B518" s="8" t="s">
        <v>2792</v>
      </c>
      <c r="C518" s="8" t="s">
        <v>21</v>
      </c>
      <c r="D518" s="8">
        <v>73.0</v>
      </c>
      <c r="H518" s="8" t="s">
        <v>398</v>
      </c>
      <c r="I518" s="9">
        <v>46148.99791666667</v>
      </c>
      <c r="J518" s="8" t="s">
        <v>62</v>
      </c>
      <c r="L518" s="8">
        <v>700.0</v>
      </c>
      <c r="M518" s="8">
        <v>332000.0</v>
      </c>
      <c r="N518" s="7">
        <v>44688.0</v>
      </c>
      <c r="O518" s="8" t="s">
        <v>147</v>
      </c>
      <c r="P518" s="8" t="s">
        <v>28</v>
      </c>
      <c r="S518" s="8" t="s">
        <v>32</v>
      </c>
    </row>
    <row r="519">
      <c r="A519" s="8">
        <v>518.0</v>
      </c>
      <c r="B519" s="8" t="s">
        <v>2786</v>
      </c>
      <c r="C519" s="8" t="s">
        <v>21</v>
      </c>
      <c r="D519" s="8">
        <v>11.0</v>
      </c>
      <c r="H519" s="8" t="s">
        <v>720</v>
      </c>
      <c r="I519" s="9">
        <v>46088.57601851852</v>
      </c>
      <c r="J519" s="8" t="s">
        <v>96</v>
      </c>
      <c r="K519" s="8">
        <v>20.0</v>
      </c>
      <c r="L519" s="8">
        <v>50.0</v>
      </c>
      <c r="M519" s="8">
        <v>69000.0</v>
      </c>
      <c r="N519" s="7">
        <v>44284.0</v>
      </c>
      <c r="O519" s="8" t="s">
        <v>147</v>
      </c>
      <c r="P519" s="8" t="s">
        <v>28</v>
      </c>
      <c r="S519" s="8" t="s">
        <v>32</v>
      </c>
    </row>
    <row r="520">
      <c r="A520" s="8">
        <v>519.0</v>
      </c>
      <c r="B520" s="8" t="s">
        <v>2799</v>
      </c>
      <c r="C520" s="8" t="s">
        <v>21</v>
      </c>
      <c r="D520" s="8">
        <v>40.0</v>
      </c>
      <c r="H520" s="8" t="s">
        <v>473</v>
      </c>
      <c r="I520" s="9">
        <v>46161.59648148148</v>
      </c>
      <c r="J520" s="8" t="s">
        <v>789</v>
      </c>
      <c r="K520" s="8">
        <v>10.0</v>
      </c>
      <c r="L520" s="8">
        <v>60.0</v>
      </c>
      <c r="M520" s="8">
        <v>200.0</v>
      </c>
      <c r="N520" s="7">
        <v>44630.0</v>
      </c>
      <c r="O520" s="8" t="s">
        <v>26</v>
      </c>
      <c r="P520" s="8" t="s">
        <v>28</v>
      </c>
      <c r="S520" s="8" t="s">
        <v>32</v>
      </c>
    </row>
    <row r="521">
      <c r="A521" s="8">
        <v>520.0</v>
      </c>
      <c r="B521" s="8" t="s">
        <v>2802</v>
      </c>
      <c r="C521" s="8" t="s">
        <v>21</v>
      </c>
      <c r="D521" s="8">
        <v>78.0</v>
      </c>
      <c r="H521" s="8" t="s">
        <v>20</v>
      </c>
      <c r="I521" s="9">
        <v>46162.243993055556</v>
      </c>
      <c r="J521" s="8" t="s">
        <v>90</v>
      </c>
      <c r="K521" s="8">
        <v>1600.0</v>
      </c>
      <c r="L521" s="8">
        <v>1400.0</v>
      </c>
      <c r="M521" s="8">
        <v>470000.0</v>
      </c>
      <c r="N521" s="7">
        <v>44167.0</v>
      </c>
      <c r="O521" s="8" t="s">
        <v>2805</v>
      </c>
      <c r="P521" s="8" t="s">
        <v>28</v>
      </c>
      <c r="S521" s="8" t="s">
        <v>32</v>
      </c>
    </row>
    <row r="522">
      <c r="A522" s="8">
        <v>521.0</v>
      </c>
      <c r="B522" s="8" t="s">
        <v>2807</v>
      </c>
      <c r="C522" s="8" t="s">
        <v>21</v>
      </c>
      <c r="D522" s="8">
        <v>31.0</v>
      </c>
      <c r="H522" s="8" t="s">
        <v>1326</v>
      </c>
      <c r="I522" s="9">
        <v>46088.62311342593</v>
      </c>
      <c r="J522" s="8" t="s">
        <v>2785</v>
      </c>
      <c r="K522" s="8">
        <v>30.0</v>
      </c>
      <c r="L522" s="8">
        <v>20.0</v>
      </c>
      <c r="M522" s="8">
        <v>20.0</v>
      </c>
      <c r="N522" s="7">
        <v>42850.0</v>
      </c>
      <c r="O522" s="8" t="s">
        <v>26</v>
      </c>
      <c r="P522" s="8" t="s">
        <v>28</v>
      </c>
      <c r="S522" s="8" t="s">
        <v>782</v>
      </c>
    </row>
    <row r="523">
      <c r="A523" s="8">
        <v>522.0</v>
      </c>
      <c r="B523" s="8" t="s">
        <v>2811</v>
      </c>
      <c r="C523" s="8" t="s">
        <v>21</v>
      </c>
      <c r="D523" s="8">
        <v>18.0</v>
      </c>
      <c r="H523" s="8" t="s">
        <v>1240</v>
      </c>
      <c r="I523" s="9">
        <v>46147.633310185185</v>
      </c>
      <c r="J523" s="8" t="s">
        <v>2812</v>
      </c>
      <c r="K523" s="8">
        <v>10.0</v>
      </c>
      <c r="L523" s="8">
        <v>30.0</v>
      </c>
      <c r="M523" s="8">
        <v>30.0</v>
      </c>
      <c r="N523" s="7">
        <v>42520.0</v>
      </c>
      <c r="O523" s="8" t="s">
        <v>26</v>
      </c>
      <c r="P523" s="8" t="s">
        <v>28</v>
      </c>
      <c r="S523" s="8" t="s">
        <v>2815</v>
      </c>
    </row>
    <row r="524">
      <c r="A524" s="8">
        <v>523.0</v>
      </c>
      <c r="B524" s="8" t="s">
        <v>2816</v>
      </c>
      <c r="C524" s="8" t="s">
        <v>21</v>
      </c>
      <c r="D524" s="8">
        <v>69.0</v>
      </c>
      <c r="H524" s="8" t="s">
        <v>701</v>
      </c>
      <c r="I524" s="9">
        <v>46160.361967592595</v>
      </c>
      <c r="K524" s="8">
        <v>9300.0</v>
      </c>
      <c r="L524" s="8">
        <v>90.0</v>
      </c>
      <c r="M524" s="8">
        <v>148000.0</v>
      </c>
      <c r="N524" s="7">
        <v>42718.0</v>
      </c>
      <c r="O524" s="8" t="s">
        <v>147</v>
      </c>
      <c r="P524" s="8" t="s">
        <v>28</v>
      </c>
      <c r="S524" s="8" t="s">
        <v>32</v>
      </c>
    </row>
    <row r="525">
      <c r="A525" s="8">
        <v>524.0</v>
      </c>
      <c r="B525" s="8" t="s">
        <v>2821</v>
      </c>
      <c r="C525" s="8" t="s">
        <v>21</v>
      </c>
      <c r="D525" s="8">
        <v>79.0</v>
      </c>
      <c r="H525" s="8" t="s">
        <v>398</v>
      </c>
      <c r="I525" s="9">
        <v>46098.3028125</v>
      </c>
      <c r="J525" s="8" t="s">
        <v>96</v>
      </c>
      <c r="K525" s="8">
        <v>600.0</v>
      </c>
      <c r="L525" s="8">
        <v>500.0</v>
      </c>
      <c r="M525" s="8">
        <v>344000.0</v>
      </c>
      <c r="N525" s="7">
        <v>44776.0</v>
      </c>
      <c r="O525" s="8" t="s">
        <v>107</v>
      </c>
      <c r="P525" s="8" t="s">
        <v>28</v>
      </c>
      <c r="S525" s="8" t="s">
        <v>32</v>
      </c>
    </row>
    <row r="526">
      <c r="A526" s="8">
        <v>525.0</v>
      </c>
      <c r="B526" s="8" t="s">
        <v>2824</v>
      </c>
      <c r="C526" s="8" t="s">
        <v>21</v>
      </c>
      <c r="D526" s="8">
        <v>76.0</v>
      </c>
      <c r="H526" s="8" t="s">
        <v>123</v>
      </c>
      <c r="I526" s="9">
        <v>46123.887824074074</v>
      </c>
      <c r="K526" s="8">
        <v>700.0</v>
      </c>
      <c r="L526" s="8">
        <v>700.0</v>
      </c>
      <c r="M526" s="8">
        <v>205000.0</v>
      </c>
      <c r="N526" s="7">
        <v>44651.0</v>
      </c>
      <c r="O526" s="8" t="s">
        <v>107</v>
      </c>
      <c r="P526" s="8" t="s">
        <v>1174</v>
      </c>
      <c r="S526" s="8" t="s">
        <v>32</v>
      </c>
    </row>
    <row r="527">
      <c r="A527" s="8">
        <v>526.0</v>
      </c>
      <c r="B527" s="8" t="s">
        <v>2828</v>
      </c>
      <c r="C527" s="8" t="s">
        <v>21</v>
      </c>
      <c r="D527" s="8">
        <v>31.0</v>
      </c>
      <c r="H527" s="8" t="s">
        <v>783</v>
      </c>
      <c r="I527" s="9">
        <v>46077.42224537037</v>
      </c>
      <c r="J527" s="8" t="s">
        <v>476</v>
      </c>
      <c r="L527" s="8">
        <v>13000.0</v>
      </c>
      <c r="M527" s="8">
        <v>18000.0</v>
      </c>
      <c r="N527" s="7">
        <v>44005.0</v>
      </c>
      <c r="O527" s="8" t="s">
        <v>26</v>
      </c>
      <c r="P527" s="8" t="s">
        <v>28</v>
      </c>
      <c r="S527" s="8" t="s">
        <v>782</v>
      </c>
    </row>
    <row r="528">
      <c r="A528" s="8">
        <v>527.0</v>
      </c>
      <c r="B528" s="8" t="s">
        <v>2830</v>
      </c>
      <c r="C528" s="8" t="s">
        <v>21</v>
      </c>
      <c r="D528" s="8">
        <v>33.0</v>
      </c>
      <c r="H528" s="8" t="s">
        <v>19</v>
      </c>
      <c r="I528" s="9">
        <v>46082.39158564815</v>
      </c>
      <c r="J528" s="8" t="s">
        <v>82</v>
      </c>
      <c r="L528" s="8">
        <v>33000.0</v>
      </c>
      <c r="M528" s="8">
        <v>34000.0</v>
      </c>
      <c r="N528" s="7">
        <v>44844.0</v>
      </c>
      <c r="O528" s="8" t="s">
        <v>26</v>
      </c>
      <c r="P528" s="8" t="s">
        <v>28</v>
      </c>
      <c r="S528" s="8" t="s">
        <v>32</v>
      </c>
    </row>
    <row r="529">
      <c r="A529" s="8">
        <v>528.0</v>
      </c>
      <c r="B529" s="8" t="s">
        <v>2834</v>
      </c>
      <c r="C529" s="8" t="s">
        <v>21</v>
      </c>
      <c r="D529" s="8">
        <v>79.0</v>
      </c>
      <c r="H529" s="8" t="s">
        <v>123</v>
      </c>
      <c r="I529" s="9">
        <v>46089.24309027778</v>
      </c>
      <c r="K529" s="8">
        <v>3100.0</v>
      </c>
      <c r="L529" s="8">
        <v>5100.0</v>
      </c>
      <c r="M529" s="8">
        <v>584000.0</v>
      </c>
      <c r="N529" s="7">
        <v>42777.0</v>
      </c>
      <c r="O529" s="8" t="s">
        <v>147</v>
      </c>
      <c r="P529" s="8" t="s">
        <v>28</v>
      </c>
      <c r="S529" s="8" t="s">
        <v>32</v>
      </c>
    </row>
    <row r="530">
      <c r="A530" s="8">
        <v>529.0</v>
      </c>
      <c r="B530" s="8" t="s">
        <v>2837</v>
      </c>
      <c r="C530" s="8" t="s">
        <v>21</v>
      </c>
      <c r="D530" s="8">
        <v>74.0</v>
      </c>
      <c r="H530" s="8" t="s">
        <v>2839</v>
      </c>
      <c r="I530" s="9">
        <v>46163.15954861111</v>
      </c>
      <c r="K530" s="8">
        <v>9000.0</v>
      </c>
      <c r="L530" s="8">
        <v>0.0</v>
      </c>
      <c r="M530" s="8">
        <v>163000.0</v>
      </c>
      <c r="N530" s="7">
        <v>43904.0</v>
      </c>
      <c r="O530" s="8" t="s">
        <v>26</v>
      </c>
      <c r="P530" s="8" t="s">
        <v>28</v>
      </c>
      <c r="S530" s="8" t="s">
        <v>32</v>
      </c>
    </row>
    <row r="531">
      <c r="A531" s="8">
        <v>530.0</v>
      </c>
      <c r="B531" s="8" t="s">
        <v>2841</v>
      </c>
      <c r="C531" s="8" t="s">
        <v>21</v>
      </c>
      <c r="D531" s="8">
        <v>75.0</v>
      </c>
      <c r="H531" s="8" t="s">
        <v>123</v>
      </c>
      <c r="I531" s="9">
        <v>46123.62101851852</v>
      </c>
      <c r="J531" s="8" t="s">
        <v>62</v>
      </c>
      <c r="L531" s="8">
        <v>700.0</v>
      </c>
      <c r="M531" s="8">
        <v>205000.0</v>
      </c>
      <c r="N531" s="7">
        <v>44503.0</v>
      </c>
      <c r="O531" s="8" t="s">
        <v>147</v>
      </c>
      <c r="P531" s="8" t="s">
        <v>28</v>
      </c>
      <c r="S531" s="8" t="s">
        <v>32</v>
      </c>
    </row>
    <row r="532">
      <c r="A532" s="8">
        <v>531.0</v>
      </c>
      <c r="B532" s="8" t="s">
        <v>2844</v>
      </c>
      <c r="C532" s="8" t="s">
        <v>21</v>
      </c>
      <c r="D532" s="8">
        <v>57.0</v>
      </c>
      <c r="H532" s="8" t="s">
        <v>1733</v>
      </c>
      <c r="I532" s="9">
        <v>46160.509351851855</v>
      </c>
      <c r="K532" s="8">
        <v>50.0</v>
      </c>
      <c r="L532" s="8">
        <v>20.0</v>
      </c>
      <c r="M532" s="8">
        <v>1000.0</v>
      </c>
      <c r="N532" s="7">
        <v>44262.0</v>
      </c>
      <c r="O532" s="8" t="s">
        <v>147</v>
      </c>
      <c r="P532" s="8" t="s">
        <v>28</v>
      </c>
      <c r="S532" s="8" t="s">
        <v>32</v>
      </c>
    </row>
    <row r="533">
      <c r="A533" s="8">
        <v>532.0</v>
      </c>
      <c r="B533" s="8" t="s">
        <v>2846</v>
      </c>
      <c r="C533" s="8" t="s">
        <v>21</v>
      </c>
      <c r="D533" s="8">
        <v>20.0</v>
      </c>
      <c r="H533" s="8" t="s">
        <v>473</v>
      </c>
      <c r="I533" s="9">
        <v>46142.22949074074</v>
      </c>
      <c r="J533" s="8" t="s">
        <v>476</v>
      </c>
      <c r="L533" s="8">
        <v>60.0</v>
      </c>
      <c r="M533" s="8">
        <v>100.0</v>
      </c>
      <c r="N533" s="7">
        <v>42631.0</v>
      </c>
      <c r="O533" s="8" t="s">
        <v>147</v>
      </c>
      <c r="P533" s="8" t="s">
        <v>28</v>
      </c>
      <c r="S533" s="8" t="s">
        <v>32</v>
      </c>
    </row>
    <row r="534">
      <c r="A534" s="8">
        <v>533.0</v>
      </c>
      <c r="B534" s="8" t="s">
        <v>2847</v>
      </c>
      <c r="C534" s="8" t="s">
        <v>21</v>
      </c>
      <c r="D534" s="8">
        <v>1.0</v>
      </c>
      <c r="F534" s="8">
        <v>0.7</v>
      </c>
      <c r="H534" s="8" t="s">
        <v>744</v>
      </c>
      <c r="I534" s="9">
        <v>46123.895636574074</v>
      </c>
      <c r="J534" s="8" t="s">
        <v>789</v>
      </c>
      <c r="L534" s="8">
        <v>136000.0</v>
      </c>
      <c r="M534" s="8">
        <v>140000.0</v>
      </c>
      <c r="N534" s="7">
        <v>43226.0</v>
      </c>
      <c r="O534" s="8" t="s">
        <v>925</v>
      </c>
      <c r="P534" s="8" t="s">
        <v>28</v>
      </c>
      <c r="S534" s="8" t="s">
        <v>748</v>
      </c>
    </row>
    <row r="535">
      <c r="A535" s="8">
        <v>534.0</v>
      </c>
      <c r="B535" s="8" t="s">
        <v>2849</v>
      </c>
      <c r="C535" s="8" t="s">
        <v>21</v>
      </c>
      <c r="D535" s="8">
        <v>63.0</v>
      </c>
      <c r="H535" s="8" t="s">
        <v>744</v>
      </c>
      <c r="I535" s="9">
        <v>46143.552465277775</v>
      </c>
      <c r="J535" s="8" t="s">
        <v>90</v>
      </c>
      <c r="L535" s="8">
        <v>136000.0</v>
      </c>
      <c r="M535" s="8">
        <v>140000.0</v>
      </c>
      <c r="N535" s="7">
        <v>43523.0</v>
      </c>
      <c r="O535" s="8" t="s">
        <v>127</v>
      </c>
      <c r="P535" s="8" t="s">
        <v>28</v>
      </c>
      <c r="S535" s="8" t="s">
        <v>32</v>
      </c>
    </row>
    <row r="536">
      <c r="A536" s="8">
        <v>535.0</v>
      </c>
      <c r="B536" s="8" t="s">
        <v>2851</v>
      </c>
      <c r="C536" s="8" t="s">
        <v>21</v>
      </c>
      <c r="D536" s="8">
        <v>2.0</v>
      </c>
      <c r="H536" s="8" t="s">
        <v>744</v>
      </c>
      <c r="I536" s="9">
        <v>46145.397824074076</v>
      </c>
      <c r="J536" s="8" t="s">
        <v>25</v>
      </c>
      <c r="K536" s="8">
        <v>10.0</v>
      </c>
      <c r="L536" s="8">
        <v>137000.0</v>
      </c>
      <c r="M536" s="8">
        <v>140000.0</v>
      </c>
      <c r="N536" s="7">
        <v>42687.0</v>
      </c>
      <c r="O536" s="8" t="s">
        <v>925</v>
      </c>
      <c r="P536" s="8" t="s">
        <v>1174</v>
      </c>
      <c r="S536" s="8" t="s">
        <v>32</v>
      </c>
    </row>
    <row r="537">
      <c r="A537" s="8">
        <v>536.0</v>
      </c>
      <c r="B537" s="8" t="s">
        <v>2852</v>
      </c>
      <c r="C537" s="8" t="s">
        <v>21</v>
      </c>
      <c r="D537" s="8">
        <v>61.0</v>
      </c>
      <c r="H537" s="8" t="s">
        <v>2141</v>
      </c>
      <c r="I537" s="9">
        <v>46162.08244212963</v>
      </c>
      <c r="J537" s="8" t="s">
        <v>96</v>
      </c>
      <c r="K537" s="8">
        <v>60.0</v>
      </c>
      <c r="L537" s="8">
        <v>150.0</v>
      </c>
      <c r="M537" s="8">
        <v>300.0</v>
      </c>
      <c r="N537" s="7">
        <v>44117.0</v>
      </c>
      <c r="O537" s="8" t="s">
        <v>31</v>
      </c>
      <c r="P537" s="8" t="s">
        <v>28</v>
      </c>
      <c r="S537" s="8" t="s">
        <v>32</v>
      </c>
    </row>
    <row r="538">
      <c r="A538" s="8">
        <v>537.0</v>
      </c>
      <c r="B538" s="8" t="s">
        <v>2855</v>
      </c>
      <c r="C538" s="8" t="s">
        <v>21</v>
      </c>
      <c r="D538" s="8">
        <v>62.0</v>
      </c>
      <c r="H538" s="8" t="s">
        <v>499</v>
      </c>
      <c r="I538" s="9">
        <v>46090.180914351855</v>
      </c>
      <c r="J538" s="8" t="s">
        <v>90</v>
      </c>
      <c r="K538" s="8">
        <v>600.0</v>
      </c>
      <c r="L538" s="8">
        <v>90.0</v>
      </c>
      <c r="M538" s="8">
        <v>43000.0</v>
      </c>
      <c r="N538" s="7">
        <v>43197.0</v>
      </c>
      <c r="O538" s="8" t="s">
        <v>147</v>
      </c>
      <c r="P538" s="8" t="s">
        <v>28</v>
      </c>
      <c r="S538" s="8" t="s">
        <v>32</v>
      </c>
    </row>
    <row r="539">
      <c r="A539" s="8">
        <v>538.0</v>
      </c>
      <c r="B539" s="8" t="s">
        <v>2859</v>
      </c>
      <c r="C539" s="8" t="s">
        <v>21</v>
      </c>
      <c r="D539" s="8">
        <v>63.0</v>
      </c>
      <c r="H539" s="8" t="s">
        <v>2860</v>
      </c>
      <c r="I539" s="9">
        <v>46145.90060185185</v>
      </c>
      <c r="K539" s="8">
        <v>14000.0</v>
      </c>
      <c r="L539" s="8">
        <v>70.0</v>
      </c>
      <c r="M539" s="8">
        <v>1270000.0</v>
      </c>
      <c r="N539" s="7">
        <v>45022.0</v>
      </c>
      <c r="O539" s="8" t="s">
        <v>127</v>
      </c>
      <c r="P539" s="8" t="s">
        <v>938</v>
      </c>
      <c r="S539" s="8" t="s">
        <v>32</v>
      </c>
    </row>
    <row r="540">
      <c r="A540" s="8">
        <v>539.0</v>
      </c>
      <c r="B540" s="10" t="s">
        <v>2863</v>
      </c>
      <c r="C540" s="8" t="s">
        <v>21</v>
      </c>
      <c r="D540" s="8">
        <v>0.0</v>
      </c>
      <c r="G540" s="8">
        <v>1.08</v>
      </c>
      <c r="H540" s="8" t="s">
        <v>838</v>
      </c>
      <c r="I540" s="9">
        <v>46090.060740740744</v>
      </c>
      <c r="J540" s="8" t="s">
        <v>789</v>
      </c>
      <c r="L540" s="8">
        <v>2100.0</v>
      </c>
      <c r="M540" s="8">
        <v>2200.0</v>
      </c>
      <c r="N540" s="7">
        <v>42330.0</v>
      </c>
      <c r="O540" s="8" t="s">
        <v>127</v>
      </c>
      <c r="S540" s="8" t="s">
        <v>782</v>
      </c>
    </row>
    <row r="541">
      <c r="A541" s="8">
        <v>540.0</v>
      </c>
      <c r="B541" s="8" t="s">
        <v>2872</v>
      </c>
      <c r="C541" s="8" t="s">
        <v>21</v>
      </c>
      <c r="D541" s="8">
        <v>0.0</v>
      </c>
      <c r="H541" s="8" t="s">
        <v>744</v>
      </c>
      <c r="I541" s="9">
        <v>46154.81804398148</v>
      </c>
      <c r="J541" s="8" t="s">
        <v>90</v>
      </c>
      <c r="L541" s="8">
        <v>131000.0</v>
      </c>
      <c r="M541" s="8">
        <v>135000.0</v>
      </c>
      <c r="N541" s="7">
        <v>42970.0</v>
      </c>
      <c r="O541" s="8" t="s">
        <v>147</v>
      </c>
      <c r="P541" s="8" t="s">
        <v>28</v>
      </c>
      <c r="S541" s="8" t="s">
        <v>748</v>
      </c>
    </row>
    <row r="542">
      <c r="A542" s="8">
        <v>541.0</v>
      </c>
      <c r="B542" s="8" t="s">
        <v>2876</v>
      </c>
      <c r="C542" s="8" t="s">
        <v>21</v>
      </c>
      <c r="D542" s="8">
        <v>73.0</v>
      </c>
      <c r="H542" s="8" t="s">
        <v>2525</v>
      </c>
      <c r="I542" s="9">
        <v>46123.14550925926</v>
      </c>
      <c r="J542" s="8" t="s">
        <v>90</v>
      </c>
      <c r="K542" s="8">
        <v>8200.0</v>
      </c>
      <c r="L542" s="8">
        <v>250.0</v>
      </c>
      <c r="M542" s="8">
        <v>732000.0</v>
      </c>
      <c r="N542" s="7">
        <v>44212.0</v>
      </c>
      <c r="O542" s="8" t="s">
        <v>107</v>
      </c>
      <c r="P542" s="8" t="s">
        <v>938</v>
      </c>
      <c r="S542" s="8" t="s">
        <v>32</v>
      </c>
    </row>
    <row r="543">
      <c r="A543" s="8">
        <v>542.0</v>
      </c>
      <c r="B543" s="10" t="s">
        <v>2879</v>
      </c>
      <c r="C543" s="8" t="s">
        <v>21</v>
      </c>
      <c r="D543" s="8">
        <v>0.0</v>
      </c>
      <c r="H543" s="8" t="s">
        <v>2886</v>
      </c>
      <c r="I543" s="9">
        <v>46125.67340277778</v>
      </c>
      <c r="J543" s="8" t="s">
        <v>25</v>
      </c>
      <c r="L543" s="8">
        <v>150.0</v>
      </c>
      <c r="M543" s="8">
        <v>150.0</v>
      </c>
      <c r="N543" s="7">
        <v>42357.0</v>
      </c>
      <c r="O543" s="8" t="s">
        <v>127</v>
      </c>
      <c r="S543" s="8" t="s">
        <v>32</v>
      </c>
    </row>
    <row r="544">
      <c r="A544" s="8">
        <v>543.0</v>
      </c>
      <c r="B544" s="8" t="s">
        <v>2888</v>
      </c>
      <c r="C544" s="8" t="s">
        <v>21</v>
      </c>
      <c r="D544" s="8">
        <v>64.0</v>
      </c>
      <c r="H544" s="8" t="s">
        <v>2890</v>
      </c>
      <c r="I544" s="9">
        <v>46142.05269675926</v>
      </c>
      <c r="J544" s="8" t="s">
        <v>90</v>
      </c>
      <c r="K544" s="8">
        <v>5200.0</v>
      </c>
      <c r="L544" s="8">
        <v>0.0</v>
      </c>
      <c r="M544" s="8">
        <v>9500.0</v>
      </c>
      <c r="N544" s="7">
        <v>44050.0</v>
      </c>
      <c r="O544" s="8" t="s">
        <v>107</v>
      </c>
      <c r="P544" s="8" t="s">
        <v>28</v>
      </c>
      <c r="S544" s="8" t="s">
        <v>32</v>
      </c>
    </row>
    <row r="545">
      <c r="A545" s="8">
        <v>544.0</v>
      </c>
      <c r="B545" s="8" t="s">
        <v>2892</v>
      </c>
      <c r="C545" s="8" t="s">
        <v>21</v>
      </c>
      <c r="D545" s="8">
        <v>73.0</v>
      </c>
      <c r="H545" s="8" t="s">
        <v>123</v>
      </c>
      <c r="I545" s="9">
        <v>46146.93172453704</v>
      </c>
      <c r="J545" s="8" t="s">
        <v>90</v>
      </c>
      <c r="K545" s="8">
        <v>500.0</v>
      </c>
      <c r="L545" s="8">
        <v>800.0</v>
      </c>
      <c r="M545" s="8">
        <v>197000.0</v>
      </c>
      <c r="N545" s="7">
        <v>43879.0</v>
      </c>
      <c r="O545" s="8" t="s">
        <v>147</v>
      </c>
      <c r="P545" s="8" t="s">
        <v>28</v>
      </c>
      <c r="S545" s="8" t="s">
        <v>32</v>
      </c>
    </row>
    <row r="546">
      <c r="A546" s="8">
        <v>545.0</v>
      </c>
      <c r="B546" s="8" t="s">
        <v>2895</v>
      </c>
      <c r="C546" s="8" t="s">
        <v>21</v>
      </c>
      <c r="D546" s="8">
        <v>76.0</v>
      </c>
      <c r="H546" s="8" t="s">
        <v>123</v>
      </c>
      <c r="I546" s="9">
        <v>46160.231875</v>
      </c>
      <c r="J546" s="8" t="s">
        <v>96</v>
      </c>
      <c r="K546" s="8">
        <v>1400.0</v>
      </c>
      <c r="L546" s="8">
        <v>1300.0</v>
      </c>
      <c r="M546" s="8">
        <v>168000.0</v>
      </c>
      <c r="N546" s="7">
        <v>44757.0</v>
      </c>
      <c r="O546" s="8" t="s">
        <v>107</v>
      </c>
      <c r="P546" s="8" t="s">
        <v>1174</v>
      </c>
      <c r="S546" s="8" t="s">
        <v>32</v>
      </c>
    </row>
    <row r="547">
      <c r="A547" s="8">
        <v>546.0</v>
      </c>
      <c r="B547" s="8" t="s">
        <v>2899</v>
      </c>
      <c r="C547" s="8" t="s">
        <v>21</v>
      </c>
      <c r="D547" s="8">
        <v>67.0</v>
      </c>
      <c r="H547" s="8" t="s">
        <v>398</v>
      </c>
      <c r="I547" s="9">
        <v>46089.42511574074</v>
      </c>
      <c r="J547" s="8" t="s">
        <v>90</v>
      </c>
      <c r="K547" s="8">
        <v>6500.0</v>
      </c>
      <c r="L547" s="8">
        <v>3200.0</v>
      </c>
      <c r="M547" s="8">
        <v>1710000.0</v>
      </c>
      <c r="N547" s="7">
        <v>43915.0</v>
      </c>
      <c r="O547" s="8" t="s">
        <v>147</v>
      </c>
      <c r="P547" s="8" t="s">
        <v>28</v>
      </c>
      <c r="S547" s="8" t="s">
        <v>32</v>
      </c>
    </row>
    <row r="548">
      <c r="A548" s="8">
        <v>547.0</v>
      </c>
      <c r="B548" s="8" t="s">
        <v>2904</v>
      </c>
      <c r="C548" s="8" t="s">
        <v>21</v>
      </c>
      <c r="D548" s="8">
        <v>81.0</v>
      </c>
      <c r="H548" s="8" t="s">
        <v>123</v>
      </c>
      <c r="I548" s="9">
        <v>46126.720509259256</v>
      </c>
      <c r="J548" s="8" t="s">
        <v>90</v>
      </c>
      <c r="K548" s="8">
        <v>1800.0</v>
      </c>
      <c r="L548" s="8">
        <v>5300.0</v>
      </c>
      <c r="M548" s="8">
        <v>569000.0</v>
      </c>
      <c r="N548" s="7">
        <v>42769.0</v>
      </c>
      <c r="O548" s="8" t="s">
        <v>147</v>
      </c>
      <c r="P548" s="8" t="s">
        <v>28</v>
      </c>
      <c r="S548" s="8" t="s">
        <v>32</v>
      </c>
    </row>
    <row r="549">
      <c r="A549" s="8">
        <v>548.0</v>
      </c>
      <c r="B549" s="8" t="s">
        <v>2909</v>
      </c>
      <c r="C549" s="8" t="s">
        <v>21</v>
      </c>
      <c r="D549" s="8">
        <v>65.0</v>
      </c>
      <c r="H549" s="8" t="s">
        <v>499</v>
      </c>
      <c r="I549" s="9">
        <v>46088.000613425924</v>
      </c>
      <c r="J549" s="8" t="s">
        <v>90</v>
      </c>
      <c r="K549" s="8">
        <v>90.0</v>
      </c>
      <c r="L549" s="8">
        <v>90.0</v>
      </c>
      <c r="M549" s="8">
        <v>43000.0</v>
      </c>
      <c r="N549" s="7">
        <v>43868.0</v>
      </c>
      <c r="O549" s="8" t="s">
        <v>107</v>
      </c>
      <c r="P549" s="8" t="s">
        <v>28</v>
      </c>
      <c r="S549" s="8" t="s">
        <v>32</v>
      </c>
    </row>
    <row r="550">
      <c r="A550" s="8">
        <v>549.0</v>
      </c>
      <c r="B550" s="8" t="s">
        <v>2915</v>
      </c>
      <c r="C550" s="8" t="s">
        <v>21</v>
      </c>
      <c r="D550" s="8">
        <v>77.0</v>
      </c>
      <c r="H550" s="8" t="s">
        <v>123</v>
      </c>
      <c r="I550" s="9">
        <v>46147.880057870374</v>
      </c>
      <c r="L550" s="8">
        <v>5400.0</v>
      </c>
      <c r="M550" s="8">
        <v>493000.0</v>
      </c>
      <c r="N550" s="7">
        <v>45094.0</v>
      </c>
      <c r="O550" s="8" t="s">
        <v>107</v>
      </c>
      <c r="P550" s="8" t="s">
        <v>28</v>
      </c>
      <c r="S550" s="8" t="s">
        <v>32</v>
      </c>
    </row>
    <row r="551">
      <c r="A551" s="8">
        <v>550.0</v>
      </c>
      <c r="B551" s="8" t="s">
        <v>2919</v>
      </c>
      <c r="C551" s="8" t="s">
        <v>21</v>
      </c>
      <c r="D551" s="8">
        <v>74.0</v>
      </c>
      <c r="H551" s="8" t="s">
        <v>2921</v>
      </c>
      <c r="I551" s="9">
        <v>46125.581921296296</v>
      </c>
      <c r="J551" s="8" t="s">
        <v>90</v>
      </c>
      <c r="K551" s="8">
        <v>50.0</v>
      </c>
      <c r="L551" s="8">
        <v>0.0</v>
      </c>
      <c r="M551" s="8">
        <v>5400.0</v>
      </c>
      <c r="N551" s="7">
        <v>43867.0</v>
      </c>
      <c r="O551" s="8" t="s">
        <v>147</v>
      </c>
      <c r="P551" s="8" t="s">
        <v>28</v>
      </c>
      <c r="S551" s="8" t="s">
        <v>32</v>
      </c>
    </row>
    <row r="552">
      <c r="A552" s="8">
        <v>551.0</v>
      </c>
      <c r="B552" s="8" t="s">
        <v>2925</v>
      </c>
      <c r="C552" s="8" t="s">
        <v>21</v>
      </c>
      <c r="D552" s="8">
        <v>64.0</v>
      </c>
      <c r="H552" s="8" t="s">
        <v>398</v>
      </c>
      <c r="I552" s="9">
        <v>46161.10824074074</v>
      </c>
      <c r="J552" s="8" t="s">
        <v>23</v>
      </c>
      <c r="K552" s="8">
        <v>400.0</v>
      </c>
      <c r="L552" s="8">
        <v>700.0</v>
      </c>
      <c r="M552" s="8">
        <v>349000.0</v>
      </c>
      <c r="N552" s="7">
        <v>44048.0</v>
      </c>
      <c r="O552" s="8" t="s">
        <v>107</v>
      </c>
      <c r="P552" s="8" t="s">
        <v>28</v>
      </c>
      <c r="S552" s="8" t="s">
        <v>32</v>
      </c>
    </row>
    <row r="553">
      <c r="A553" s="8">
        <v>552.0</v>
      </c>
      <c r="B553" s="8" t="s">
        <v>2930</v>
      </c>
      <c r="C553" s="8" t="s">
        <v>21</v>
      </c>
      <c r="D553" s="8">
        <v>72.0</v>
      </c>
      <c r="H553" s="8" t="s">
        <v>1353</v>
      </c>
      <c r="I553" s="9">
        <v>46124.20091435185</v>
      </c>
      <c r="J553" s="8" t="s">
        <v>96</v>
      </c>
      <c r="K553" s="8">
        <v>4500.0</v>
      </c>
      <c r="L553" s="8">
        <v>200.0</v>
      </c>
      <c r="M553" s="8">
        <v>246000.0</v>
      </c>
      <c r="N553" s="7">
        <v>44354.0</v>
      </c>
      <c r="O553" s="8" t="s">
        <v>147</v>
      </c>
      <c r="P553" s="8" t="s">
        <v>28</v>
      </c>
      <c r="S553" s="8" t="s">
        <v>32</v>
      </c>
    </row>
    <row r="554">
      <c r="A554" s="8">
        <v>553.0</v>
      </c>
      <c r="B554" s="8" t="s">
        <v>2935</v>
      </c>
      <c r="C554" s="8" t="s">
        <v>21</v>
      </c>
      <c r="D554" s="8">
        <v>77.0</v>
      </c>
      <c r="H554" s="8" t="s">
        <v>123</v>
      </c>
      <c r="I554" s="9">
        <v>46144.90069444444</v>
      </c>
      <c r="J554" s="8" t="s">
        <v>96</v>
      </c>
      <c r="K554" s="8">
        <v>70.0</v>
      </c>
      <c r="L554" s="8">
        <v>5400.0</v>
      </c>
      <c r="M554" s="8">
        <v>479000.0</v>
      </c>
      <c r="N554" s="7">
        <v>42698.0</v>
      </c>
      <c r="O554" s="8" t="s">
        <v>107</v>
      </c>
      <c r="P554" s="8" t="s">
        <v>28</v>
      </c>
      <c r="S554" s="8" t="s">
        <v>32</v>
      </c>
    </row>
    <row r="555">
      <c r="A555" s="8">
        <v>554.0</v>
      </c>
      <c r="B555" s="8" t="s">
        <v>2941</v>
      </c>
      <c r="C555" s="8" t="s">
        <v>21</v>
      </c>
      <c r="D555" s="8">
        <v>76.0</v>
      </c>
      <c r="H555" s="8" t="s">
        <v>123</v>
      </c>
      <c r="I555" s="9">
        <v>46124.79238425926</v>
      </c>
      <c r="J555" s="8" t="s">
        <v>90</v>
      </c>
      <c r="K555" s="8">
        <v>800.0</v>
      </c>
      <c r="L555" s="8">
        <v>700.0</v>
      </c>
      <c r="M555" s="8">
        <v>205000.0</v>
      </c>
      <c r="N555" s="7">
        <v>44724.0</v>
      </c>
      <c r="O555" s="8" t="s">
        <v>107</v>
      </c>
      <c r="P555" s="8" t="s">
        <v>1174</v>
      </c>
      <c r="S555" s="8" t="s">
        <v>32</v>
      </c>
    </row>
    <row r="556">
      <c r="A556" s="8">
        <v>555.0</v>
      </c>
      <c r="B556" s="8" t="s">
        <v>2946</v>
      </c>
      <c r="C556" s="8" t="s">
        <v>21</v>
      </c>
      <c r="D556" s="8">
        <v>77.0</v>
      </c>
      <c r="H556" s="8" t="s">
        <v>20</v>
      </c>
      <c r="I556" s="9">
        <v>46149.09587962963</v>
      </c>
      <c r="K556" s="8">
        <v>300.0</v>
      </c>
      <c r="L556" s="8">
        <v>1500.0</v>
      </c>
      <c r="M556" s="8">
        <v>41000.0</v>
      </c>
      <c r="N556" s="7">
        <v>44266.0</v>
      </c>
      <c r="O556" s="8" t="s">
        <v>31</v>
      </c>
      <c r="P556" s="8" t="s">
        <v>28</v>
      </c>
      <c r="S556" s="8" t="s">
        <v>32</v>
      </c>
    </row>
    <row r="557">
      <c r="A557" s="8">
        <v>556.0</v>
      </c>
      <c r="B557" s="8" t="s">
        <v>2948</v>
      </c>
      <c r="C557" s="8" t="s">
        <v>21</v>
      </c>
      <c r="D557" s="8">
        <v>30.0</v>
      </c>
      <c r="H557" s="8" t="s">
        <v>83</v>
      </c>
      <c r="I557" s="9">
        <v>46100.0753587963</v>
      </c>
      <c r="J557" s="8" t="s">
        <v>2785</v>
      </c>
      <c r="L557" s="8">
        <v>150.0</v>
      </c>
      <c r="M557" s="8">
        <v>200.0</v>
      </c>
      <c r="N557" s="7">
        <v>42577.0</v>
      </c>
      <c r="O557" s="8" t="s">
        <v>26</v>
      </c>
      <c r="P557" s="8" t="s">
        <v>28</v>
      </c>
      <c r="S557" s="8" t="s">
        <v>32</v>
      </c>
    </row>
    <row r="558">
      <c r="A558" s="8">
        <v>557.0</v>
      </c>
      <c r="B558" s="8" t="s">
        <v>2950</v>
      </c>
      <c r="C558" s="8" t="s">
        <v>21</v>
      </c>
      <c r="D558" s="8">
        <v>72.0</v>
      </c>
      <c r="H558" s="8" t="s">
        <v>35</v>
      </c>
      <c r="I558" s="9">
        <v>46149.419907407406</v>
      </c>
      <c r="L558" s="8">
        <v>11000.0</v>
      </c>
      <c r="M558" s="8">
        <v>11000.0</v>
      </c>
      <c r="N558" s="7">
        <v>45207.0</v>
      </c>
      <c r="O558" s="8" t="s">
        <v>26</v>
      </c>
      <c r="P558" s="8" t="s">
        <v>28</v>
      </c>
      <c r="S558" s="8" t="s">
        <v>32</v>
      </c>
    </row>
    <row r="559">
      <c r="A559" s="8">
        <v>558.0</v>
      </c>
      <c r="B559" s="8" t="s">
        <v>2954</v>
      </c>
      <c r="C559" s="8" t="s">
        <v>21</v>
      </c>
      <c r="D559" s="8">
        <v>64.0</v>
      </c>
      <c r="H559" s="8" t="s">
        <v>2256</v>
      </c>
      <c r="I559" s="9">
        <v>46143.34753472222</v>
      </c>
      <c r="K559" s="8">
        <v>10.0</v>
      </c>
      <c r="L559" s="8">
        <v>30.0</v>
      </c>
      <c r="M559" s="8">
        <v>6300.0</v>
      </c>
      <c r="N559" s="7">
        <v>44262.0</v>
      </c>
      <c r="O559" s="8" t="s">
        <v>147</v>
      </c>
      <c r="P559" s="8" t="s">
        <v>28</v>
      </c>
      <c r="S559" s="8" t="s">
        <v>32</v>
      </c>
    </row>
    <row r="560">
      <c r="A560" s="8">
        <v>559.0</v>
      </c>
      <c r="B560" s="8" t="s">
        <v>2960</v>
      </c>
      <c r="C560" s="8" t="s">
        <v>21</v>
      </c>
      <c r="D560" s="8">
        <v>82.0</v>
      </c>
      <c r="H560" s="8" t="s">
        <v>123</v>
      </c>
      <c r="I560" s="9">
        <v>46088.398935185185</v>
      </c>
      <c r="K560" s="8">
        <v>2600.0</v>
      </c>
      <c r="L560" s="8">
        <v>5100.0</v>
      </c>
      <c r="M560" s="8">
        <v>584000.0</v>
      </c>
      <c r="N560" s="7">
        <v>42249.0</v>
      </c>
      <c r="O560" s="8" t="s">
        <v>1314</v>
      </c>
      <c r="P560" s="8" t="s">
        <v>28</v>
      </c>
      <c r="S560" s="8" t="s">
        <v>32</v>
      </c>
    </row>
    <row r="561">
      <c r="A561" s="8">
        <v>560.0</v>
      </c>
      <c r="B561" s="8" t="s">
        <v>2963</v>
      </c>
      <c r="C561" s="8" t="s">
        <v>21</v>
      </c>
      <c r="D561" s="8">
        <v>74.0</v>
      </c>
      <c r="H561" s="8" t="s">
        <v>2964</v>
      </c>
      <c r="I561" s="9">
        <v>46123.308958333335</v>
      </c>
      <c r="J561" s="8" t="s">
        <v>96</v>
      </c>
      <c r="K561" s="8">
        <v>24000.0</v>
      </c>
      <c r="L561" s="8">
        <v>0.0</v>
      </c>
      <c r="M561" s="8">
        <v>139000.0</v>
      </c>
      <c r="N561" s="7">
        <v>44488.0</v>
      </c>
      <c r="O561" s="8" t="s">
        <v>31</v>
      </c>
      <c r="P561" s="8" t="s">
        <v>28</v>
      </c>
      <c r="S561" s="8" t="s">
        <v>32</v>
      </c>
    </row>
    <row r="562">
      <c r="A562" s="8">
        <v>561.0</v>
      </c>
      <c r="B562" s="8" t="s">
        <v>2967</v>
      </c>
      <c r="C562" s="8" t="s">
        <v>21</v>
      </c>
      <c r="D562" s="8">
        <v>0.0</v>
      </c>
      <c r="H562" s="8" t="s">
        <v>1678</v>
      </c>
      <c r="I562" s="9">
        <v>46161.9496875</v>
      </c>
      <c r="J562" s="8" t="s">
        <v>2316</v>
      </c>
      <c r="L562" s="8">
        <v>40.0</v>
      </c>
      <c r="M562" s="8">
        <v>40.0</v>
      </c>
      <c r="N562" s="7">
        <v>42606.0</v>
      </c>
      <c r="O562" s="8" t="s">
        <v>26</v>
      </c>
      <c r="P562" s="8" t="s">
        <v>28</v>
      </c>
      <c r="S562" s="8" t="s">
        <v>782</v>
      </c>
    </row>
    <row r="563">
      <c r="A563" s="8">
        <v>562.0</v>
      </c>
      <c r="B563" s="8" t="s">
        <v>2970</v>
      </c>
      <c r="C563" s="8" t="s">
        <v>21</v>
      </c>
      <c r="D563" s="8">
        <v>58.0</v>
      </c>
      <c r="F563" s="8">
        <v>0.2</v>
      </c>
      <c r="H563" s="8" t="s">
        <v>1193</v>
      </c>
      <c r="I563" s="9">
        <v>46161.83988425926</v>
      </c>
      <c r="J563" s="8" t="s">
        <v>96</v>
      </c>
      <c r="L563" s="8">
        <v>40.0</v>
      </c>
      <c r="M563" s="8">
        <v>40.0</v>
      </c>
      <c r="N563" s="7">
        <v>42713.0</v>
      </c>
      <c r="O563" s="8" t="s">
        <v>796</v>
      </c>
      <c r="P563" s="8" t="s">
        <v>28</v>
      </c>
      <c r="S563" s="8" t="s">
        <v>782</v>
      </c>
    </row>
    <row r="564">
      <c r="A564" s="8">
        <v>563.0</v>
      </c>
      <c r="B564" s="8" t="s">
        <v>2974</v>
      </c>
      <c r="C564" s="8" t="s">
        <v>21</v>
      </c>
      <c r="D564" s="8">
        <v>51.0</v>
      </c>
      <c r="H564" s="8" t="s">
        <v>755</v>
      </c>
      <c r="I564" s="9">
        <v>46141.98087962963</v>
      </c>
      <c r="J564" s="8" t="s">
        <v>90</v>
      </c>
      <c r="K564" s="8">
        <v>300.0</v>
      </c>
      <c r="L564" s="8">
        <v>15000.0</v>
      </c>
      <c r="M564" s="8">
        <v>16000.0</v>
      </c>
      <c r="N564" s="7">
        <v>42586.0</v>
      </c>
      <c r="O564" s="8" t="s">
        <v>1022</v>
      </c>
      <c r="P564" s="8" t="s">
        <v>28</v>
      </c>
      <c r="S564" s="8" t="s">
        <v>748</v>
      </c>
    </row>
    <row r="565">
      <c r="A565" s="8">
        <v>564.0</v>
      </c>
      <c r="B565" s="8" t="s">
        <v>2979</v>
      </c>
      <c r="C565" s="8" t="s">
        <v>21</v>
      </c>
      <c r="D565" s="8">
        <v>67.0</v>
      </c>
      <c r="H565" s="8" t="s">
        <v>55</v>
      </c>
      <c r="I565" s="9">
        <v>46156.5378587963</v>
      </c>
      <c r="J565" s="8" t="s">
        <v>545</v>
      </c>
      <c r="K565" s="8">
        <v>40.0</v>
      </c>
      <c r="L565" s="8">
        <v>14000.0</v>
      </c>
      <c r="M565" s="8">
        <v>77000.0</v>
      </c>
      <c r="N565" s="7">
        <v>43060.0</v>
      </c>
      <c r="O565" s="8" t="s">
        <v>2982</v>
      </c>
      <c r="P565" s="8" t="s">
        <v>28</v>
      </c>
      <c r="S565" s="8" t="s">
        <v>32</v>
      </c>
    </row>
    <row r="566">
      <c r="A566" s="8">
        <v>565.0</v>
      </c>
      <c r="B566" s="8" t="s">
        <v>2984</v>
      </c>
      <c r="C566" s="8" t="s">
        <v>21</v>
      </c>
      <c r="D566" s="8">
        <v>0.0</v>
      </c>
      <c r="H566" s="8" t="s">
        <v>744</v>
      </c>
      <c r="I566" s="9">
        <v>46155.780648148146</v>
      </c>
      <c r="J566" s="8" t="s">
        <v>62</v>
      </c>
      <c r="L566" s="8">
        <v>131000.0</v>
      </c>
      <c r="M566" s="8">
        <v>135000.0</v>
      </c>
      <c r="N566" s="7">
        <v>44840.0</v>
      </c>
      <c r="O566" s="8" t="s">
        <v>127</v>
      </c>
      <c r="P566" s="8" t="s">
        <v>28</v>
      </c>
      <c r="S566" s="8" t="s">
        <v>748</v>
      </c>
    </row>
    <row r="567">
      <c r="A567" s="8">
        <v>566.0</v>
      </c>
      <c r="B567" s="8" t="s">
        <v>2986</v>
      </c>
      <c r="C567" s="8" t="s">
        <v>21</v>
      </c>
      <c r="D567" s="8">
        <v>11.0</v>
      </c>
      <c r="H567" s="8" t="s">
        <v>19</v>
      </c>
      <c r="I567" s="9">
        <v>46147.64603009259</v>
      </c>
      <c r="J567" s="8" t="s">
        <v>23</v>
      </c>
      <c r="L567" s="8">
        <v>26000.0</v>
      </c>
      <c r="M567" s="8">
        <v>27000.0</v>
      </c>
      <c r="N567" s="7">
        <v>43972.0</v>
      </c>
      <c r="O567" s="8" t="s">
        <v>26</v>
      </c>
      <c r="P567" s="8" t="s">
        <v>28</v>
      </c>
      <c r="S567" s="8" t="s">
        <v>32</v>
      </c>
    </row>
    <row r="568">
      <c r="A568" s="8">
        <v>567.0</v>
      </c>
      <c r="B568" s="8" t="s">
        <v>2988</v>
      </c>
      <c r="C568" s="8" t="s">
        <v>21</v>
      </c>
      <c r="D568" s="8">
        <v>11.0</v>
      </c>
      <c r="F568" s="8">
        <v>8.0</v>
      </c>
      <c r="H568" s="8" t="s">
        <v>744</v>
      </c>
      <c r="I568" s="9">
        <v>46141.85212962963</v>
      </c>
      <c r="J568" s="8" t="s">
        <v>25</v>
      </c>
      <c r="L568" s="8">
        <v>136000.0</v>
      </c>
      <c r="M568" s="8">
        <v>140000.0</v>
      </c>
      <c r="N568" s="7">
        <v>42429.0</v>
      </c>
      <c r="O568" s="8" t="s">
        <v>26</v>
      </c>
      <c r="P568" s="8" t="s">
        <v>28</v>
      </c>
      <c r="S568" s="8" t="s">
        <v>32</v>
      </c>
    </row>
    <row r="569">
      <c r="A569" s="8">
        <v>568.0</v>
      </c>
      <c r="B569" s="8" t="s">
        <v>2991</v>
      </c>
      <c r="C569" s="8" t="s">
        <v>21</v>
      </c>
      <c r="D569" s="8">
        <v>43.0</v>
      </c>
      <c r="H569" s="8" t="s">
        <v>744</v>
      </c>
      <c r="I569" s="9">
        <v>46088.12076388889</v>
      </c>
      <c r="J569" s="8" t="s">
        <v>2993</v>
      </c>
      <c r="L569" s="8">
        <v>145000.0</v>
      </c>
      <c r="M569" s="8">
        <v>149000.0</v>
      </c>
      <c r="N569" s="7">
        <v>45246.0</v>
      </c>
      <c r="O569" s="8" t="s">
        <v>26</v>
      </c>
      <c r="P569" s="8" t="s">
        <v>28</v>
      </c>
      <c r="S569" s="8" t="s">
        <v>748</v>
      </c>
    </row>
    <row r="570">
      <c r="A570" s="8">
        <v>569.0</v>
      </c>
      <c r="B570" s="8" t="s">
        <v>2995</v>
      </c>
      <c r="C570" s="8" t="s">
        <v>21</v>
      </c>
      <c r="D570" s="8">
        <v>68.0</v>
      </c>
      <c r="H570" s="8" t="s">
        <v>2996</v>
      </c>
      <c r="I570" s="9">
        <v>46137.22604166667</v>
      </c>
      <c r="J570" s="8" t="s">
        <v>96</v>
      </c>
      <c r="K570" s="8">
        <v>1200.0</v>
      </c>
      <c r="L570" s="8">
        <v>20.0</v>
      </c>
      <c r="M570" s="8">
        <v>272000.0</v>
      </c>
      <c r="N570" s="7">
        <v>42414.0</v>
      </c>
      <c r="O570" s="8" t="s">
        <v>147</v>
      </c>
      <c r="P570" s="8" t="s">
        <v>28</v>
      </c>
      <c r="S570" s="8" t="s">
        <v>32</v>
      </c>
    </row>
    <row r="571">
      <c r="A571" s="8">
        <v>570.0</v>
      </c>
      <c r="B571" s="8" t="s">
        <v>2999</v>
      </c>
      <c r="C571" s="8" t="s">
        <v>21</v>
      </c>
      <c r="D571" s="8">
        <v>61.0</v>
      </c>
      <c r="H571" s="8" t="s">
        <v>279</v>
      </c>
      <c r="I571" s="9">
        <v>46148.25488425926</v>
      </c>
      <c r="J571" s="8" t="s">
        <v>90</v>
      </c>
      <c r="K571" s="8">
        <v>10.0</v>
      </c>
      <c r="L571" s="8">
        <v>3200.0</v>
      </c>
      <c r="M571" s="8">
        <v>60000.0</v>
      </c>
      <c r="N571" s="7">
        <v>44336.0</v>
      </c>
      <c r="O571" s="8" t="s">
        <v>147</v>
      </c>
      <c r="P571" s="8" t="s">
        <v>28</v>
      </c>
      <c r="S571" s="8" t="s">
        <v>32</v>
      </c>
    </row>
    <row r="572">
      <c r="A572" s="8">
        <v>571.0</v>
      </c>
      <c r="B572" s="8" t="s">
        <v>3002</v>
      </c>
      <c r="C572" s="8" t="s">
        <v>21</v>
      </c>
      <c r="D572" s="8">
        <v>1.0</v>
      </c>
      <c r="H572" s="8" t="s">
        <v>19</v>
      </c>
      <c r="I572" s="9">
        <v>46162.45983796296</v>
      </c>
      <c r="J572" s="8" t="s">
        <v>25</v>
      </c>
      <c r="L572" s="8">
        <v>26000.0</v>
      </c>
      <c r="M572" s="8">
        <v>27000.0</v>
      </c>
      <c r="N572" s="7">
        <v>44287.0</v>
      </c>
      <c r="O572" s="8" t="s">
        <v>26</v>
      </c>
      <c r="P572" s="8" t="s">
        <v>28</v>
      </c>
      <c r="S572" s="8" t="s">
        <v>32</v>
      </c>
    </row>
    <row r="573">
      <c r="A573" s="8">
        <v>572.0</v>
      </c>
      <c r="B573" s="8" t="s">
        <v>3004</v>
      </c>
      <c r="C573" s="8" t="s">
        <v>21</v>
      </c>
      <c r="D573" s="8">
        <v>54.0</v>
      </c>
      <c r="H573" s="8" t="s">
        <v>744</v>
      </c>
      <c r="I573" s="9">
        <v>46155.95806712963</v>
      </c>
      <c r="J573" s="8" t="s">
        <v>62</v>
      </c>
      <c r="L573" s="8">
        <v>131000.0</v>
      </c>
      <c r="M573" s="8">
        <v>135000.0</v>
      </c>
      <c r="N573" s="7">
        <v>44184.0</v>
      </c>
      <c r="O573" s="8" t="s">
        <v>3007</v>
      </c>
      <c r="S573" s="8" t="s">
        <v>748</v>
      </c>
    </row>
    <row r="574">
      <c r="A574" s="8">
        <v>573.0</v>
      </c>
      <c r="B574" s="8" t="s">
        <v>3008</v>
      </c>
      <c r="C574" s="8" t="s">
        <v>21</v>
      </c>
      <c r="D574" s="8">
        <v>67.0</v>
      </c>
      <c r="H574" s="8" t="s">
        <v>1452</v>
      </c>
      <c r="I574" s="9">
        <v>46084.19569444445</v>
      </c>
      <c r="J574" s="8" t="s">
        <v>90</v>
      </c>
      <c r="K574" s="8">
        <v>8700.0</v>
      </c>
      <c r="L574" s="8">
        <v>20.0</v>
      </c>
      <c r="M574" s="8">
        <v>47000.0</v>
      </c>
      <c r="N574" s="7">
        <v>43845.0</v>
      </c>
      <c r="O574" s="8" t="s">
        <v>107</v>
      </c>
      <c r="P574" s="8" t="s">
        <v>28</v>
      </c>
      <c r="S574" s="8" t="s">
        <v>32</v>
      </c>
    </row>
    <row r="575">
      <c r="A575" s="8">
        <v>574.0</v>
      </c>
      <c r="B575" s="8" t="s">
        <v>3012</v>
      </c>
      <c r="C575" s="8" t="s">
        <v>21</v>
      </c>
      <c r="D575" s="8">
        <v>76.0</v>
      </c>
      <c r="H575" s="8" t="s">
        <v>701</v>
      </c>
      <c r="I575" s="9">
        <v>46141.865752314814</v>
      </c>
      <c r="J575" s="8" t="s">
        <v>96</v>
      </c>
      <c r="K575" s="8">
        <v>2400.0</v>
      </c>
      <c r="L575" s="8">
        <v>10.0</v>
      </c>
      <c r="M575" s="8">
        <v>16000.0</v>
      </c>
      <c r="N575" s="7">
        <v>43872.0</v>
      </c>
      <c r="O575" s="8" t="s">
        <v>147</v>
      </c>
      <c r="P575" s="8" t="s">
        <v>28</v>
      </c>
      <c r="S575" s="8" t="s">
        <v>32</v>
      </c>
    </row>
    <row r="576">
      <c r="A576" s="8">
        <v>575.0</v>
      </c>
      <c r="B576" s="8" t="s">
        <v>3015</v>
      </c>
      <c r="C576" s="8" t="s">
        <v>21</v>
      </c>
      <c r="D576" s="8">
        <v>80.0</v>
      </c>
      <c r="H576" s="8" t="s">
        <v>20</v>
      </c>
      <c r="I576" s="9">
        <v>46085.46328703704</v>
      </c>
      <c r="J576" s="8" t="s">
        <v>58</v>
      </c>
      <c r="K576" s="8">
        <v>2400.0</v>
      </c>
      <c r="L576" s="8">
        <v>1500.0</v>
      </c>
      <c r="M576" s="8">
        <v>46000.0</v>
      </c>
      <c r="N576" s="7">
        <v>43863.0</v>
      </c>
      <c r="O576" s="8" t="s">
        <v>31</v>
      </c>
      <c r="P576" s="8" t="s">
        <v>28</v>
      </c>
      <c r="S576" s="8" t="s">
        <v>32</v>
      </c>
    </row>
    <row r="577">
      <c r="A577" s="8">
        <v>576.0</v>
      </c>
      <c r="B577" s="8" t="s">
        <v>3019</v>
      </c>
      <c r="C577" s="8" t="s">
        <v>21</v>
      </c>
      <c r="D577" s="8">
        <v>77.0</v>
      </c>
      <c r="H577" s="8" t="s">
        <v>123</v>
      </c>
      <c r="I577" s="9">
        <v>46125.045219907406</v>
      </c>
      <c r="L577" s="8">
        <v>700.0</v>
      </c>
      <c r="M577" s="8">
        <v>205000.0</v>
      </c>
      <c r="N577" s="7">
        <v>42419.0</v>
      </c>
      <c r="O577" s="8" t="s">
        <v>147</v>
      </c>
      <c r="P577" s="8" t="s">
        <v>28</v>
      </c>
      <c r="S577" s="8" t="s">
        <v>32</v>
      </c>
    </row>
    <row r="578">
      <c r="A578" s="8">
        <v>577.0</v>
      </c>
      <c r="B578" s="8" t="s">
        <v>3022</v>
      </c>
      <c r="C578" s="8" t="s">
        <v>21</v>
      </c>
      <c r="D578" s="8">
        <v>0.0</v>
      </c>
      <c r="H578" s="8" t="s">
        <v>744</v>
      </c>
      <c r="I578" s="9">
        <v>46147.622199074074</v>
      </c>
      <c r="J578" s="8" t="s">
        <v>25</v>
      </c>
      <c r="L578" s="8">
        <v>137000.0</v>
      </c>
      <c r="M578" s="8">
        <v>140000.0</v>
      </c>
      <c r="N578" s="7">
        <v>42318.0</v>
      </c>
      <c r="O578" s="8" t="s">
        <v>1022</v>
      </c>
      <c r="P578" s="8" t="s">
        <v>28</v>
      </c>
      <c r="S578" s="8" t="s">
        <v>748</v>
      </c>
    </row>
    <row r="579">
      <c r="A579" s="8">
        <v>578.0</v>
      </c>
      <c r="B579" s="8" t="s">
        <v>3026</v>
      </c>
      <c r="C579" s="8" t="s">
        <v>21</v>
      </c>
      <c r="D579" s="8">
        <v>81.0</v>
      </c>
      <c r="H579" s="8" t="s">
        <v>123</v>
      </c>
      <c r="I579" s="9">
        <v>46123.453206018516</v>
      </c>
      <c r="J579" s="8" t="s">
        <v>96</v>
      </c>
      <c r="K579" s="8">
        <v>1100.0</v>
      </c>
      <c r="L579" s="8">
        <v>5100.0</v>
      </c>
      <c r="M579" s="8">
        <v>629000.0</v>
      </c>
      <c r="N579" s="7">
        <v>42846.0</v>
      </c>
      <c r="O579" s="8" t="s">
        <v>1314</v>
      </c>
      <c r="P579" s="8" t="s">
        <v>28</v>
      </c>
      <c r="S579" s="8" t="s">
        <v>32</v>
      </c>
    </row>
    <row r="580">
      <c r="A580" s="8">
        <v>579.0</v>
      </c>
      <c r="B580" s="8" t="s">
        <v>3029</v>
      </c>
      <c r="C580" s="8" t="s">
        <v>21</v>
      </c>
      <c r="D580" s="8">
        <v>75.0</v>
      </c>
      <c r="H580" s="8" t="s">
        <v>123</v>
      </c>
      <c r="I580" s="9">
        <v>46072.97603009259</v>
      </c>
      <c r="K580" s="8">
        <v>6000.0</v>
      </c>
      <c r="L580" s="8">
        <v>800.0</v>
      </c>
      <c r="M580" s="8">
        <v>775000.0</v>
      </c>
      <c r="N580" s="7">
        <v>44007.0</v>
      </c>
      <c r="O580" s="8" t="s">
        <v>147</v>
      </c>
      <c r="P580" s="8" t="s">
        <v>1174</v>
      </c>
      <c r="S580" s="8" t="s">
        <v>32</v>
      </c>
    </row>
    <row r="581">
      <c r="A581" s="8">
        <v>580.0</v>
      </c>
      <c r="B581" s="8" t="s">
        <v>3033</v>
      </c>
      <c r="C581" s="8" t="s">
        <v>21</v>
      </c>
      <c r="D581" s="8">
        <v>69.0</v>
      </c>
      <c r="H581" s="8" t="s">
        <v>398</v>
      </c>
      <c r="I581" s="9">
        <v>46148.625451388885</v>
      </c>
      <c r="J581" s="8" t="s">
        <v>96</v>
      </c>
      <c r="K581" s="8">
        <v>10.0</v>
      </c>
      <c r="L581" s="8">
        <v>700.0</v>
      </c>
      <c r="M581" s="8">
        <v>332000.0</v>
      </c>
      <c r="N581" s="7">
        <v>44227.0</v>
      </c>
      <c r="O581" s="8" t="s">
        <v>107</v>
      </c>
      <c r="P581" s="8" t="s">
        <v>1954</v>
      </c>
      <c r="S581" s="8" t="s">
        <v>32</v>
      </c>
    </row>
    <row r="582">
      <c r="A582" s="8">
        <v>581.0</v>
      </c>
      <c r="B582" s="8" t="s">
        <v>3036</v>
      </c>
      <c r="C582" s="8" t="s">
        <v>21</v>
      </c>
      <c r="D582" s="8">
        <v>73.0</v>
      </c>
      <c r="H582" s="8" t="s">
        <v>832</v>
      </c>
      <c r="I582" s="9">
        <v>46097.88649305556</v>
      </c>
      <c r="J582" s="8" t="s">
        <v>62</v>
      </c>
      <c r="K582" s="8">
        <v>100.0</v>
      </c>
      <c r="L582" s="8">
        <v>3200.0</v>
      </c>
      <c r="M582" s="8">
        <v>3200.0</v>
      </c>
      <c r="N582" s="7">
        <v>42805.0</v>
      </c>
      <c r="O582" s="8" t="s">
        <v>1754</v>
      </c>
      <c r="S582" s="8" t="s">
        <v>1095</v>
      </c>
    </row>
    <row r="583">
      <c r="A583" s="8">
        <v>582.0</v>
      </c>
      <c r="B583" s="8" t="s">
        <v>3039</v>
      </c>
      <c r="C583" s="8" t="s">
        <v>21</v>
      </c>
      <c r="D583" s="8">
        <v>3.0</v>
      </c>
      <c r="H583" s="8" t="s">
        <v>473</v>
      </c>
      <c r="I583" s="9">
        <v>46131.550625</v>
      </c>
      <c r="J583" s="8" t="s">
        <v>476</v>
      </c>
      <c r="K583" s="8">
        <v>20.0</v>
      </c>
      <c r="L583" s="8">
        <v>50.0</v>
      </c>
      <c r="M583" s="8">
        <v>90.0</v>
      </c>
      <c r="N583" s="7">
        <v>42591.0</v>
      </c>
      <c r="O583" s="8" t="s">
        <v>26</v>
      </c>
      <c r="P583" s="8" t="s">
        <v>28</v>
      </c>
      <c r="S583" s="8" t="s">
        <v>32</v>
      </c>
    </row>
    <row r="584">
      <c r="A584" s="8">
        <v>583.0</v>
      </c>
      <c r="B584" s="8" t="s">
        <v>3044</v>
      </c>
      <c r="C584" s="8" t="s">
        <v>21</v>
      </c>
      <c r="D584" s="8">
        <v>0.0</v>
      </c>
      <c r="H584" s="8" t="s">
        <v>744</v>
      </c>
      <c r="I584" s="9">
        <v>46160.841782407406</v>
      </c>
      <c r="J584" s="8" t="s">
        <v>105</v>
      </c>
      <c r="L584" s="8">
        <v>131000.0</v>
      </c>
      <c r="M584" s="8">
        <v>135000.0</v>
      </c>
      <c r="N584" s="7">
        <v>44252.0</v>
      </c>
      <c r="O584" s="8" t="s">
        <v>147</v>
      </c>
      <c r="P584" s="8" t="s">
        <v>28</v>
      </c>
      <c r="S584" s="8" t="s">
        <v>782</v>
      </c>
    </row>
    <row r="585">
      <c r="A585" s="8">
        <v>584.0</v>
      </c>
      <c r="B585" s="8" t="s">
        <v>3048</v>
      </c>
      <c r="C585" s="8" t="s">
        <v>21</v>
      </c>
      <c r="D585" s="8">
        <v>0.0</v>
      </c>
      <c r="H585" s="8" t="s">
        <v>2886</v>
      </c>
      <c r="I585" s="9">
        <v>46156.79541666667</v>
      </c>
      <c r="J585" s="8" t="s">
        <v>25</v>
      </c>
      <c r="L585" s="8">
        <v>150.0</v>
      </c>
      <c r="M585" s="8">
        <v>150.0</v>
      </c>
      <c r="N585" s="7">
        <v>42410.0</v>
      </c>
      <c r="O585" s="8" t="s">
        <v>885</v>
      </c>
      <c r="S585" s="8" t="s">
        <v>32</v>
      </c>
    </row>
    <row r="586">
      <c r="A586" s="8">
        <v>585.0</v>
      </c>
      <c r="B586" s="8" t="s">
        <v>3051</v>
      </c>
      <c r="C586" s="8" t="s">
        <v>21</v>
      </c>
      <c r="D586" s="8">
        <v>76.0</v>
      </c>
      <c r="H586" s="8" t="s">
        <v>398</v>
      </c>
      <c r="I586" s="9">
        <v>46156.73425925926</v>
      </c>
      <c r="J586" s="8" t="s">
        <v>96</v>
      </c>
      <c r="K586" s="8">
        <v>150.0</v>
      </c>
      <c r="L586" s="8">
        <v>2700.0</v>
      </c>
      <c r="M586" s="8">
        <v>1550000.0</v>
      </c>
      <c r="N586" s="7">
        <v>42591.0</v>
      </c>
      <c r="O586" s="8" t="s">
        <v>1314</v>
      </c>
      <c r="P586" s="8" t="s">
        <v>28</v>
      </c>
      <c r="S586" s="8" t="s">
        <v>32</v>
      </c>
    </row>
    <row r="587">
      <c r="A587" s="8">
        <v>586.0</v>
      </c>
      <c r="B587" s="8" t="s">
        <v>3055</v>
      </c>
      <c r="C587" s="8" t="s">
        <v>21</v>
      </c>
      <c r="D587" s="8">
        <v>72.0</v>
      </c>
      <c r="H587" s="8" t="s">
        <v>279</v>
      </c>
      <c r="I587" s="9">
        <v>46143.99753472222</v>
      </c>
      <c r="J587" s="8" t="s">
        <v>90</v>
      </c>
      <c r="K587" s="8">
        <v>2500.0</v>
      </c>
      <c r="L587" s="8">
        <v>3200.0</v>
      </c>
      <c r="M587" s="8">
        <v>59000.0</v>
      </c>
      <c r="N587" s="7">
        <v>43880.0</v>
      </c>
      <c r="O587" s="8" t="s">
        <v>147</v>
      </c>
      <c r="P587" s="8" t="s">
        <v>28</v>
      </c>
      <c r="S587" s="8" t="s">
        <v>32</v>
      </c>
    </row>
    <row r="588">
      <c r="A588" s="8">
        <v>587.0</v>
      </c>
      <c r="B588" s="8" t="s">
        <v>3059</v>
      </c>
      <c r="C588" s="8" t="s">
        <v>21</v>
      </c>
      <c r="D588" s="8">
        <v>72.0</v>
      </c>
      <c r="H588" s="8" t="s">
        <v>123</v>
      </c>
      <c r="I588" s="9">
        <v>46085.27780092593</v>
      </c>
      <c r="J588" s="8" t="s">
        <v>62</v>
      </c>
      <c r="K588" s="8">
        <v>10.0</v>
      </c>
      <c r="L588" s="8">
        <v>600.0</v>
      </c>
      <c r="M588" s="8">
        <v>212000.0</v>
      </c>
      <c r="N588" s="7">
        <v>44353.0</v>
      </c>
      <c r="O588" s="8" t="s">
        <v>147</v>
      </c>
      <c r="P588" s="8" t="s">
        <v>28</v>
      </c>
      <c r="S588" s="8" t="s">
        <v>32</v>
      </c>
    </row>
    <row r="589">
      <c r="A589" s="8">
        <v>588.0</v>
      </c>
      <c r="B589" s="8" t="s">
        <v>3062</v>
      </c>
      <c r="C589" s="8" t="s">
        <v>21</v>
      </c>
      <c r="D589" s="8">
        <v>69.0</v>
      </c>
      <c r="H589" s="8" t="s">
        <v>398</v>
      </c>
      <c r="I589" s="9">
        <v>46089.855578703704</v>
      </c>
      <c r="J589" s="8" t="s">
        <v>90</v>
      </c>
      <c r="K589" s="8">
        <v>8400.0</v>
      </c>
      <c r="L589" s="8">
        <v>600.0</v>
      </c>
      <c r="M589" s="8">
        <v>305000.0</v>
      </c>
      <c r="N589" s="7">
        <v>43906.0</v>
      </c>
      <c r="O589" s="8" t="s">
        <v>147</v>
      </c>
      <c r="P589" s="8" t="s">
        <v>28</v>
      </c>
      <c r="S589" s="8" t="s">
        <v>32</v>
      </c>
    </row>
    <row r="590">
      <c r="A590" s="8">
        <v>589.0</v>
      </c>
      <c r="B590" s="8" t="s">
        <v>3063</v>
      </c>
      <c r="C590" s="8" t="s">
        <v>21</v>
      </c>
      <c r="D590" s="8">
        <v>76.0</v>
      </c>
      <c r="H590" s="8" t="s">
        <v>398</v>
      </c>
      <c r="I590" s="9">
        <v>46100.60349537037</v>
      </c>
      <c r="K590" s="8">
        <v>1300.0</v>
      </c>
      <c r="L590" s="8">
        <v>150.0</v>
      </c>
      <c r="M590" s="8">
        <v>301000.0</v>
      </c>
      <c r="N590" s="7">
        <v>44714.0</v>
      </c>
      <c r="O590" s="8" t="s">
        <v>147</v>
      </c>
      <c r="P590" s="8" t="s">
        <v>28</v>
      </c>
      <c r="S590" s="8" t="s">
        <v>32</v>
      </c>
    </row>
    <row r="591">
      <c r="A591" s="8">
        <v>590.0</v>
      </c>
      <c r="B591" s="8" t="s">
        <v>3066</v>
      </c>
      <c r="C591" s="8" t="s">
        <v>21</v>
      </c>
      <c r="D591" s="8">
        <v>75.0</v>
      </c>
      <c r="H591" s="8" t="s">
        <v>701</v>
      </c>
      <c r="I591" s="9">
        <v>46123.456875</v>
      </c>
      <c r="J591" s="8" t="s">
        <v>90</v>
      </c>
      <c r="K591" s="8">
        <v>1500.0</v>
      </c>
      <c r="L591" s="8">
        <v>100.0</v>
      </c>
      <c r="M591" s="8">
        <v>208000.0</v>
      </c>
      <c r="N591" s="7">
        <v>44714.0</v>
      </c>
      <c r="O591" s="8" t="s">
        <v>107</v>
      </c>
      <c r="P591" s="8" t="s">
        <v>28</v>
      </c>
      <c r="S591" s="8" t="s">
        <v>32</v>
      </c>
    </row>
    <row r="592">
      <c r="A592" s="8">
        <v>591.0</v>
      </c>
      <c r="B592" s="8" t="s">
        <v>3068</v>
      </c>
      <c r="C592" s="8" t="s">
        <v>21</v>
      </c>
      <c r="D592" s="8">
        <v>41.0</v>
      </c>
      <c r="H592" s="8" t="s">
        <v>1326</v>
      </c>
      <c r="I592" s="9">
        <v>46090.18850694445</v>
      </c>
      <c r="J592" s="8" t="s">
        <v>2785</v>
      </c>
      <c r="L592" s="8">
        <v>20.0</v>
      </c>
      <c r="M592" s="8">
        <v>20.0</v>
      </c>
      <c r="N592" s="7">
        <v>44001.0</v>
      </c>
      <c r="O592" s="8" t="s">
        <v>26</v>
      </c>
      <c r="P592" s="8" t="s">
        <v>28</v>
      </c>
      <c r="S592" s="8" t="s">
        <v>782</v>
      </c>
    </row>
    <row r="593">
      <c r="A593" s="8">
        <v>592.0</v>
      </c>
      <c r="B593" s="8" t="s">
        <v>3071</v>
      </c>
      <c r="C593" s="8" t="s">
        <v>21</v>
      </c>
      <c r="D593" s="8">
        <v>66.0</v>
      </c>
      <c r="H593" s="8" t="s">
        <v>701</v>
      </c>
      <c r="I593" s="9">
        <v>46144.660833333335</v>
      </c>
      <c r="J593" s="8" t="s">
        <v>90</v>
      </c>
      <c r="L593" s="8">
        <v>100.0</v>
      </c>
      <c r="M593" s="8">
        <v>156000.0</v>
      </c>
      <c r="N593" s="7">
        <v>42576.0</v>
      </c>
      <c r="O593" s="8" t="s">
        <v>147</v>
      </c>
      <c r="P593" s="8" t="s">
        <v>28</v>
      </c>
      <c r="S593" s="8" t="s">
        <v>32</v>
      </c>
    </row>
    <row r="594">
      <c r="A594" s="8">
        <v>593.0</v>
      </c>
      <c r="B594" s="8" t="s">
        <v>3075</v>
      </c>
      <c r="C594" s="8" t="s">
        <v>21</v>
      </c>
      <c r="D594" s="8">
        <v>82.0</v>
      </c>
      <c r="H594" s="8" t="s">
        <v>123</v>
      </c>
      <c r="I594" s="9">
        <v>46127.162824074076</v>
      </c>
      <c r="J594" s="8" t="s">
        <v>90</v>
      </c>
      <c r="K594" s="8">
        <v>2200.0</v>
      </c>
      <c r="L594" s="8">
        <v>5300.0</v>
      </c>
      <c r="M594" s="8">
        <v>570000.0</v>
      </c>
      <c r="N594" s="7">
        <v>42581.0</v>
      </c>
      <c r="O594" s="8" t="s">
        <v>1314</v>
      </c>
      <c r="P594" s="8" t="s">
        <v>28</v>
      </c>
      <c r="S594" s="8" t="s">
        <v>32</v>
      </c>
    </row>
    <row r="595">
      <c r="A595" s="8">
        <v>594.0</v>
      </c>
      <c r="B595" s="8" t="s">
        <v>3080</v>
      </c>
      <c r="C595" s="8" t="s">
        <v>21</v>
      </c>
      <c r="D595" s="8">
        <v>75.0</v>
      </c>
      <c r="H595" s="8" t="s">
        <v>123</v>
      </c>
      <c r="I595" s="9">
        <v>46163.01877314815</v>
      </c>
      <c r="J595" s="8" t="s">
        <v>90</v>
      </c>
      <c r="K595" s="8">
        <v>80.0</v>
      </c>
      <c r="L595" s="8">
        <v>1200.0</v>
      </c>
      <c r="M595" s="8">
        <v>176000.0</v>
      </c>
      <c r="N595" s="7">
        <v>44666.0</v>
      </c>
      <c r="O595" s="8" t="s">
        <v>107</v>
      </c>
      <c r="P595" s="8" t="s">
        <v>1174</v>
      </c>
      <c r="S595" s="8" t="s">
        <v>32</v>
      </c>
    </row>
    <row r="596">
      <c r="A596" s="8">
        <v>595.0</v>
      </c>
      <c r="B596" s="8" t="s">
        <v>3082</v>
      </c>
      <c r="C596" s="8" t="s">
        <v>21</v>
      </c>
      <c r="D596" s="8">
        <v>62.0</v>
      </c>
      <c r="H596" s="8" t="s">
        <v>2513</v>
      </c>
      <c r="I596" s="9">
        <v>46127.31894675926</v>
      </c>
      <c r="J596" s="8" t="s">
        <v>90</v>
      </c>
      <c r="K596" s="8">
        <v>800.0</v>
      </c>
      <c r="L596" s="8">
        <v>0.0</v>
      </c>
      <c r="M596" s="8">
        <v>8900.0</v>
      </c>
      <c r="N596" s="7">
        <v>43906.0</v>
      </c>
      <c r="O596" s="8" t="s">
        <v>107</v>
      </c>
      <c r="P596" s="8" t="s">
        <v>28</v>
      </c>
      <c r="S596" s="8" t="s">
        <v>32</v>
      </c>
    </row>
    <row r="597">
      <c r="A597" s="8">
        <v>596.0</v>
      </c>
      <c r="B597" s="8" t="s">
        <v>3086</v>
      </c>
      <c r="C597" s="8" t="s">
        <v>21</v>
      </c>
      <c r="D597" s="8">
        <v>77.0</v>
      </c>
      <c r="H597" s="8" t="s">
        <v>123</v>
      </c>
      <c r="I597" s="9">
        <v>46157.1922337963</v>
      </c>
      <c r="J597" s="8" t="s">
        <v>62</v>
      </c>
      <c r="K597" s="8">
        <v>150.0</v>
      </c>
      <c r="L597" s="8">
        <v>1300.0</v>
      </c>
      <c r="M597" s="8">
        <v>164000.0</v>
      </c>
      <c r="N597" s="7">
        <v>45059.0</v>
      </c>
      <c r="O597" s="8" t="s">
        <v>107</v>
      </c>
      <c r="P597" s="8" t="s">
        <v>1954</v>
      </c>
      <c r="S597" s="8" t="s">
        <v>32</v>
      </c>
    </row>
    <row r="598">
      <c r="A598" s="8">
        <v>597.0</v>
      </c>
      <c r="B598" s="8" t="s">
        <v>3091</v>
      </c>
      <c r="C598" s="8" t="s">
        <v>21</v>
      </c>
      <c r="D598" s="8">
        <v>54.0</v>
      </c>
      <c r="H598" s="8" t="s">
        <v>398</v>
      </c>
      <c r="I598" s="9">
        <v>46141.39634259259</v>
      </c>
      <c r="J598" s="8" t="s">
        <v>96</v>
      </c>
      <c r="K598" s="8">
        <v>4100.0</v>
      </c>
      <c r="L598" s="8">
        <v>3000.0</v>
      </c>
      <c r="M598" s="8">
        <v>1560000.0</v>
      </c>
      <c r="N598" s="7">
        <v>44588.0</v>
      </c>
      <c r="O598" s="8" t="s">
        <v>26</v>
      </c>
      <c r="P598" s="8" t="s">
        <v>28</v>
      </c>
      <c r="S598" s="8" t="s">
        <v>3096</v>
      </c>
    </row>
    <row r="599">
      <c r="A599" s="8">
        <v>598.0</v>
      </c>
      <c r="B599" s="8" t="s">
        <v>3097</v>
      </c>
      <c r="C599" s="8" t="s">
        <v>21</v>
      </c>
      <c r="D599" s="8">
        <v>67.0</v>
      </c>
      <c r="H599" s="8" t="s">
        <v>1326</v>
      </c>
      <c r="I599" s="9">
        <v>46152.294756944444</v>
      </c>
      <c r="K599" s="8">
        <v>30.0</v>
      </c>
      <c r="L599" s="8">
        <v>150.0</v>
      </c>
      <c r="M599" s="8">
        <v>350.0</v>
      </c>
      <c r="N599" s="7">
        <v>44075.0</v>
      </c>
      <c r="O599" s="8" t="s">
        <v>925</v>
      </c>
      <c r="P599" s="8" t="s">
        <v>28</v>
      </c>
      <c r="S599" s="8" t="s">
        <v>837</v>
      </c>
    </row>
    <row r="600">
      <c r="A600" s="8">
        <v>599.0</v>
      </c>
      <c r="B600" s="8" t="s">
        <v>3102</v>
      </c>
      <c r="C600" s="8" t="s">
        <v>21</v>
      </c>
      <c r="D600" s="8">
        <v>77.0</v>
      </c>
      <c r="H600" s="8" t="s">
        <v>3104</v>
      </c>
      <c r="I600" s="9">
        <v>46097.652025462965</v>
      </c>
      <c r="K600" s="8">
        <v>20000.0</v>
      </c>
      <c r="L600" s="8">
        <v>0.0</v>
      </c>
      <c r="M600" s="8">
        <v>13000.0</v>
      </c>
      <c r="N600" s="7">
        <v>44104.0</v>
      </c>
      <c r="O600" s="8" t="s">
        <v>26</v>
      </c>
      <c r="P600" s="8" t="s">
        <v>28</v>
      </c>
      <c r="S600" s="8" t="s">
        <v>32</v>
      </c>
    </row>
    <row r="601">
      <c r="A601" s="8">
        <v>600.0</v>
      </c>
      <c r="B601" s="8" t="s">
        <v>3107</v>
      </c>
      <c r="C601" s="8" t="s">
        <v>21</v>
      </c>
      <c r="D601" s="8">
        <v>74.0</v>
      </c>
      <c r="H601" s="8" t="s">
        <v>398</v>
      </c>
      <c r="I601" s="9">
        <v>46160.72373842593</v>
      </c>
      <c r="J601" s="8" t="s">
        <v>90</v>
      </c>
      <c r="K601" s="8">
        <v>2500.0</v>
      </c>
      <c r="L601" s="8">
        <v>700.0</v>
      </c>
      <c r="M601" s="8">
        <v>349000.0</v>
      </c>
      <c r="N601" s="7">
        <v>43955.0</v>
      </c>
      <c r="O601" s="8" t="s">
        <v>107</v>
      </c>
      <c r="P601" s="8" t="s">
        <v>28</v>
      </c>
      <c r="S601" s="8" t="s">
        <v>32</v>
      </c>
    </row>
    <row r="602">
      <c r="A602" s="8">
        <v>601.0</v>
      </c>
      <c r="B602" s="8" t="s">
        <v>3112</v>
      </c>
      <c r="C602" s="8" t="s">
        <v>21</v>
      </c>
      <c r="D602" s="8">
        <v>71.0</v>
      </c>
      <c r="H602" s="8" t="s">
        <v>91</v>
      </c>
      <c r="I602" s="9">
        <v>46161.793969907405</v>
      </c>
      <c r="K602" s="8">
        <v>2900.0</v>
      </c>
      <c r="L602" s="8">
        <v>20.0</v>
      </c>
      <c r="M602" s="8">
        <v>55000.0</v>
      </c>
      <c r="N602" s="7">
        <v>44008.0</v>
      </c>
      <c r="O602" s="8" t="s">
        <v>107</v>
      </c>
      <c r="P602" s="8" t="s">
        <v>28</v>
      </c>
      <c r="S602" s="8" t="s">
        <v>32</v>
      </c>
    </row>
    <row r="603">
      <c r="A603" s="8">
        <v>602.0</v>
      </c>
      <c r="B603" s="8" t="s">
        <v>3116</v>
      </c>
      <c r="C603" s="8" t="s">
        <v>21</v>
      </c>
      <c r="D603" s="8">
        <v>6.0</v>
      </c>
      <c r="F603" s="8">
        <v>1.0</v>
      </c>
      <c r="H603" s="8" t="s">
        <v>755</v>
      </c>
      <c r="I603" s="9">
        <v>46162.60873842592</v>
      </c>
      <c r="J603" s="8" t="s">
        <v>62</v>
      </c>
      <c r="L603" s="8">
        <v>16000.0</v>
      </c>
      <c r="M603" s="8">
        <v>16000.0</v>
      </c>
      <c r="N603" s="7">
        <v>42290.0</v>
      </c>
      <c r="O603" s="8" t="s">
        <v>26</v>
      </c>
      <c r="P603" s="8" t="s">
        <v>28</v>
      </c>
      <c r="S603" s="8" t="s">
        <v>748</v>
      </c>
    </row>
    <row r="604">
      <c r="A604" s="8">
        <v>603.0</v>
      </c>
      <c r="B604" s="8" t="s">
        <v>3121</v>
      </c>
      <c r="C604" s="8" t="s">
        <v>21</v>
      </c>
      <c r="D604" s="8">
        <v>66.0</v>
      </c>
      <c r="H604" s="8" t="s">
        <v>1976</v>
      </c>
      <c r="I604" s="9">
        <v>46123.39181712963</v>
      </c>
      <c r="J604" s="8" t="s">
        <v>2258</v>
      </c>
      <c r="K604" s="8">
        <v>800.0</v>
      </c>
      <c r="L604" s="8">
        <v>0.0</v>
      </c>
      <c r="M604" s="8">
        <v>1200.0</v>
      </c>
      <c r="N604" s="7">
        <v>43918.0</v>
      </c>
      <c r="O604" s="8" t="s">
        <v>147</v>
      </c>
      <c r="P604" s="8" t="s">
        <v>28</v>
      </c>
      <c r="S604" s="8" t="s">
        <v>32</v>
      </c>
    </row>
    <row r="605">
      <c r="A605" s="8">
        <v>604.0</v>
      </c>
      <c r="B605" s="8" t="s">
        <v>3125</v>
      </c>
      <c r="C605" s="8" t="s">
        <v>21</v>
      </c>
      <c r="D605" s="8">
        <v>14.0</v>
      </c>
      <c r="H605" s="8" t="s">
        <v>3039</v>
      </c>
      <c r="I605" s="9">
        <v>46085.643425925926</v>
      </c>
      <c r="J605" s="8" t="s">
        <v>476</v>
      </c>
      <c r="L605" s="8">
        <v>60.0</v>
      </c>
      <c r="M605" s="8">
        <v>60.0</v>
      </c>
      <c r="N605" s="7">
        <v>45219.0</v>
      </c>
      <c r="O605" s="8" t="s">
        <v>26</v>
      </c>
      <c r="P605" s="8" t="s">
        <v>28</v>
      </c>
      <c r="S605" s="8" t="s">
        <v>32</v>
      </c>
    </row>
    <row r="606">
      <c r="A606" s="8">
        <v>605.0</v>
      </c>
      <c r="B606" s="8" t="s">
        <v>3130</v>
      </c>
      <c r="C606" s="8" t="s">
        <v>21</v>
      </c>
      <c r="D606" s="8">
        <v>37.0</v>
      </c>
      <c r="H606" s="8" t="s">
        <v>19</v>
      </c>
      <c r="I606" s="9">
        <v>46099.918032407404</v>
      </c>
      <c r="J606" s="8" t="s">
        <v>450</v>
      </c>
      <c r="L606" s="8">
        <v>28000.0</v>
      </c>
      <c r="M606" s="8">
        <v>29000.0</v>
      </c>
      <c r="N606" s="7">
        <v>42607.0</v>
      </c>
      <c r="O606" s="8" t="s">
        <v>26</v>
      </c>
      <c r="P606" s="8" t="s">
        <v>28</v>
      </c>
      <c r="S606" s="8" t="s">
        <v>32</v>
      </c>
    </row>
    <row r="607">
      <c r="A607" s="8">
        <v>606.0</v>
      </c>
      <c r="B607" s="8" t="s">
        <v>3134</v>
      </c>
      <c r="C607" s="8" t="s">
        <v>21</v>
      </c>
      <c r="D607" s="8">
        <v>69.0</v>
      </c>
      <c r="H607" s="8" t="s">
        <v>3136</v>
      </c>
      <c r="I607" s="9">
        <v>46042.81375</v>
      </c>
      <c r="J607" s="8" t="s">
        <v>96</v>
      </c>
      <c r="L607" s="8">
        <v>100.0</v>
      </c>
      <c r="M607" s="8">
        <v>77000.0</v>
      </c>
      <c r="N607" s="7">
        <v>44058.0</v>
      </c>
      <c r="O607" s="8" t="s">
        <v>107</v>
      </c>
      <c r="P607" s="8" t="s">
        <v>28</v>
      </c>
      <c r="S607" s="8" t="s">
        <v>32</v>
      </c>
    </row>
    <row r="608">
      <c r="A608" s="8">
        <v>607.0</v>
      </c>
      <c r="B608" s="8" t="s">
        <v>3140</v>
      </c>
      <c r="C608" s="8" t="s">
        <v>21</v>
      </c>
      <c r="D608" s="8">
        <v>48.0</v>
      </c>
      <c r="H608" s="8" t="s">
        <v>228</v>
      </c>
      <c r="I608" s="9">
        <v>46149.05506944445</v>
      </c>
      <c r="J608" s="8" t="s">
        <v>90</v>
      </c>
      <c r="L608" s="8">
        <v>30.0</v>
      </c>
      <c r="M608" s="8">
        <v>60.0</v>
      </c>
      <c r="N608" s="7">
        <v>44562.0</v>
      </c>
      <c r="O608" s="8" t="s">
        <v>925</v>
      </c>
      <c r="P608" s="8" t="s">
        <v>28</v>
      </c>
      <c r="S608" s="8" t="s">
        <v>800</v>
      </c>
    </row>
    <row r="609">
      <c r="A609" s="8">
        <v>608.0</v>
      </c>
      <c r="B609" s="8" t="s">
        <v>3145</v>
      </c>
      <c r="C609" s="8" t="s">
        <v>21</v>
      </c>
      <c r="D609" s="8">
        <v>69.0</v>
      </c>
      <c r="H609" s="8" t="s">
        <v>123</v>
      </c>
      <c r="I609" s="9">
        <v>46088.25898148148</v>
      </c>
      <c r="J609" s="8" t="s">
        <v>90</v>
      </c>
      <c r="K609" s="8">
        <v>2700.0</v>
      </c>
      <c r="L609" s="8">
        <v>800.0</v>
      </c>
      <c r="M609" s="8">
        <v>774000.0</v>
      </c>
      <c r="N609" s="7">
        <v>42271.0</v>
      </c>
      <c r="O609" s="8" t="s">
        <v>1314</v>
      </c>
      <c r="P609" s="8" t="s">
        <v>28</v>
      </c>
      <c r="S609" s="8" t="s">
        <v>32</v>
      </c>
    </row>
    <row r="610">
      <c r="A610" s="8">
        <v>609.0</v>
      </c>
      <c r="B610" s="8" t="s">
        <v>3151</v>
      </c>
      <c r="C610" s="8" t="s">
        <v>21</v>
      </c>
      <c r="D610" s="8">
        <v>2.0</v>
      </c>
      <c r="H610" s="8" t="s">
        <v>20</v>
      </c>
      <c r="I610" s="9">
        <v>46156.56270833333</v>
      </c>
      <c r="J610" s="8" t="s">
        <v>90</v>
      </c>
      <c r="K610" s="8">
        <v>20.0</v>
      </c>
      <c r="L610" s="8">
        <v>300.0</v>
      </c>
      <c r="M610" s="8">
        <v>450.0</v>
      </c>
      <c r="N610" s="7">
        <v>43289.0</v>
      </c>
      <c r="O610" s="8" t="s">
        <v>26</v>
      </c>
      <c r="P610" s="8" t="s">
        <v>28</v>
      </c>
      <c r="Q610" s="8" t="s">
        <v>3154</v>
      </c>
      <c r="R610" s="8">
        <v>1.0</v>
      </c>
      <c r="S610" s="8" t="s">
        <v>32</v>
      </c>
    </row>
    <row r="611">
      <c r="A611" s="8">
        <v>610.0</v>
      </c>
      <c r="B611" s="8" t="s">
        <v>3156</v>
      </c>
      <c r="C611" s="8" t="s">
        <v>21</v>
      </c>
      <c r="D611" s="8">
        <v>79.0</v>
      </c>
      <c r="H611" s="8" t="s">
        <v>19</v>
      </c>
      <c r="I611" s="9">
        <v>46146.99271990741</v>
      </c>
      <c r="L611" s="8">
        <v>26000.0</v>
      </c>
      <c r="M611" s="8">
        <v>27000.0</v>
      </c>
      <c r="N611" s="7">
        <v>45132.0</v>
      </c>
      <c r="O611" s="8" t="s">
        <v>31</v>
      </c>
      <c r="P611" s="8" t="s">
        <v>28</v>
      </c>
      <c r="S611" s="8" t="s">
        <v>32</v>
      </c>
    </row>
    <row r="612">
      <c r="A612" s="8">
        <v>611.0</v>
      </c>
      <c r="B612" s="8" t="s">
        <v>3159</v>
      </c>
      <c r="C612" s="8" t="s">
        <v>21</v>
      </c>
      <c r="D612" s="8">
        <v>70.0</v>
      </c>
      <c r="H612" s="8" t="s">
        <v>701</v>
      </c>
      <c r="I612" s="9">
        <v>46100.08619212963</v>
      </c>
      <c r="J612" s="8" t="s">
        <v>90</v>
      </c>
      <c r="K612" s="8">
        <v>7400.0</v>
      </c>
      <c r="L612" s="8">
        <v>90.0</v>
      </c>
      <c r="M612" s="8">
        <v>198000.0</v>
      </c>
      <c r="N612" s="7">
        <v>44682.0</v>
      </c>
      <c r="O612" s="8" t="s">
        <v>107</v>
      </c>
      <c r="P612" s="8" t="s">
        <v>1174</v>
      </c>
      <c r="S612" s="8" t="s">
        <v>32</v>
      </c>
    </row>
    <row r="613">
      <c r="A613" s="8">
        <v>612.0</v>
      </c>
      <c r="B613" s="8" t="s">
        <v>3162</v>
      </c>
      <c r="C613" s="8" t="s">
        <v>21</v>
      </c>
      <c r="D613" s="8">
        <v>76.0</v>
      </c>
      <c r="H613" s="8" t="s">
        <v>398</v>
      </c>
      <c r="I613" s="9">
        <v>46155.81337962963</v>
      </c>
      <c r="J613" s="8" t="s">
        <v>62</v>
      </c>
      <c r="K613" s="8">
        <v>4700.0</v>
      </c>
      <c r="L613" s="8">
        <v>700.0</v>
      </c>
      <c r="M613" s="8">
        <v>349000.0</v>
      </c>
      <c r="N613" s="7">
        <v>43871.0</v>
      </c>
      <c r="O613" s="8" t="s">
        <v>107</v>
      </c>
      <c r="P613" s="8" t="s">
        <v>1174</v>
      </c>
      <c r="S613" s="8" t="s">
        <v>32</v>
      </c>
    </row>
    <row r="614">
      <c r="A614" s="8">
        <v>613.0</v>
      </c>
      <c r="B614" s="8" t="s">
        <v>3165</v>
      </c>
      <c r="C614" s="8" t="s">
        <v>21</v>
      </c>
      <c r="D614" s="8">
        <v>76.0</v>
      </c>
      <c r="H614" s="8" t="s">
        <v>1353</v>
      </c>
      <c r="I614" s="9">
        <v>46082.88532407407</v>
      </c>
      <c r="J614" s="8" t="s">
        <v>62</v>
      </c>
      <c r="K614" s="8">
        <v>6100.0</v>
      </c>
      <c r="L614" s="8">
        <v>250.0</v>
      </c>
      <c r="M614" s="8">
        <v>241000.0</v>
      </c>
      <c r="N614" s="7">
        <v>44007.0</v>
      </c>
      <c r="O614" s="8" t="s">
        <v>147</v>
      </c>
      <c r="P614" s="8" t="s">
        <v>28</v>
      </c>
      <c r="S614" s="8" t="s">
        <v>32</v>
      </c>
    </row>
    <row r="615">
      <c r="A615" s="8">
        <v>614.0</v>
      </c>
      <c r="B615" s="8" t="s">
        <v>3168</v>
      </c>
      <c r="C615" s="8" t="s">
        <v>21</v>
      </c>
      <c r="D615" s="8">
        <v>71.0</v>
      </c>
      <c r="H615" s="8" t="s">
        <v>194</v>
      </c>
      <c r="I615" s="9">
        <v>46089.42491898148</v>
      </c>
      <c r="K615" s="8">
        <v>60.0</v>
      </c>
      <c r="L615" s="8">
        <v>10.0</v>
      </c>
      <c r="M615" s="8">
        <v>83000.0</v>
      </c>
      <c r="N615" s="7">
        <v>42965.0</v>
      </c>
      <c r="O615" s="8" t="s">
        <v>147</v>
      </c>
      <c r="P615" s="8" t="s">
        <v>28</v>
      </c>
      <c r="S615" s="8" t="s">
        <v>32</v>
      </c>
    </row>
    <row r="616">
      <c r="A616" s="8">
        <v>615.0</v>
      </c>
      <c r="B616" s="8" t="s">
        <v>3172</v>
      </c>
      <c r="C616" s="8" t="s">
        <v>21</v>
      </c>
      <c r="D616" s="8">
        <v>46.0</v>
      </c>
      <c r="H616" s="8" t="s">
        <v>755</v>
      </c>
      <c r="I616" s="9">
        <v>46083.3575462963</v>
      </c>
      <c r="J616" s="8" t="s">
        <v>3174</v>
      </c>
      <c r="L616" s="8">
        <v>17000.0</v>
      </c>
      <c r="M616" s="8">
        <v>17000.0</v>
      </c>
      <c r="N616" s="7">
        <v>42406.0</v>
      </c>
      <c r="O616" s="8" t="s">
        <v>26</v>
      </c>
      <c r="P616" s="8" t="s">
        <v>28</v>
      </c>
      <c r="S616" s="8" t="s">
        <v>782</v>
      </c>
    </row>
    <row r="617">
      <c r="A617" s="8">
        <v>616.0</v>
      </c>
      <c r="B617" s="8" t="s">
        <v>3176</v>
      </c>
      <c r="C617" s="8" t="s">
        <v>21</v>
      </c>
      <c r="D617" s="8">
        <v>70.0</v>
      </c>
      <c r="H617" s="8" t="s">
        <v>1704</v>
      </c>
      <c r="I617" s="9">
        <v>46152.176620370374</v>
      </c>
      <c r="J617" s="8" t="s">
        <v>450</v>
      </c>
      <c r="K617" s="8">
        <v>91000.0</v>
      </c>
      <c r="L617" s="8">
        <v>20.0</v>
      </c>
      <c r="M617" s="8">
        <v>161000.0</v>
      </c>
      <c r="N617" s="7">
        <v>42486.0</v>
      </c>
      <c r="O617" s="8" t="s">
        <v>147</v>
      </c>
      <c r="P617" s="8" t="s">
        <v>28</v>
      </c>
      <c r="S617" s="8" t="s">
        <v>32</v>
      </c>
    </row>
    <row r="618">
      <c r="A618" s="8">
        <v>617.0</v>
      </c>
      <c r="B618" s="8" t="s">
        <v>3179</v>
      </c>
      <c r="C618" s="8" t="s">
        <v>21</v>
      </c>
      <c r="D618" s="8">
        <v>63.0</v>
      </c>
      <c r="H618" s="8" t="s">
        <v>1733</v>
      </c>
      <c r="I618" s="9">
        <v>46142.227002314816</v>
      </c>
      <c r="K618" s="8">
        <v>1200.0</v>
      </c>
      <c r="L618" s="8">
        <v>70.0</v>
      </c>
      <c r="M618" s="8">
        <v>74000.0</v>
      </c>
      <c r="N618" s="7">
        <v>44130.0</v>
      </c>
      <c r="O618" s="8" t="s">
        <v>147</v>
      </c>
      <c r="P618" s="8" t="s">
        <v>28</v>
      </c>
      <c r="S618" s="8" t="s">
        <v>32</v>
      </c>
    </row>
    <row r="619">
      <c r="A619" s="8">
        <v>618.0</v>
      </c>
      <c r="B619" s="8" t="s">
        <v>3183</v>
      </c>
      <c r="C619" s="8" t="s">
        <v>21</v>
      </c>
      <c r="D619" s="8">
        <v>73.0</v>
      </c>
      <c r="H619" s="8" t="s">
        <v>398</v>
      </c>
      <c r="I619" s="9">
        <v>46161.10569444444</v>
      </c>
      <c r="J619" s="8" t="s">
        <v>90</v>
      </c>
      <c r="K619" s="8">
        <v>80.0</v>
      </c>
      <c r="L619" s="8">
        <v>700.0</v>
      </c>
      <c r="M619" s="8">
        <v>349000.0</v>
      </c>
      <c r="N619" s="7">
        <v>42643.0</v>
      </c>
      <c r="O619" s="8" t="s">
        <v>147</v>
      </c>
      <c r="P619" s="8" t="s">
        <v>28</v>
      </c>
      <c r="S619" s="8" t="s">
        <v>32</v>
      </c>
    </row>
    <row r="620">
      <c r="A620" s="8">
        <v>619.0</v>
      </c>
      <c r="B620" s="8" t="s">
        <v>3187</v>
      </c>
      <c r="C620" s="8" t="s">
        <v>21</v>
      </c>
      <c r="D620" s="8">
        <v>76.0</v>
      </c>
      <c r="H620" s="8" t="s">
        <v>697</v>
      </c>
      <c r="I620" s="9">
        <v>46155.64912037037</v>
      </c>
      <c r="J620" s="8" t="s">
        <v>96</v>
      </c>
      <c r="K620" s="8">
        <v>2300.0</v>
      </c>
      <c r="L620" s="8">
        <v>250.0</v>
      </c>
      <c r="M620" s="8">
        <v>246000.0</v>
      </c>
      <c r="N620" s="7">
        <v>44245.0</v>
      </c>
      <c r="O620" s="8" t="s">
        <v>147</v>
      </c>
      <c r="P620" s="8" t="s">
        <v>28</v>
      </c>
      <c r="S620" s="8" t="s">
        <v>32</v>
      </c>
    </row>
    <row r="621">
      <c r="A621" s="8">
        <v>620.0</v>
      </c>
      <c r="B621" s="8" t="s">
        <v>3191</v>
      </c>
      <c r="C621" s="8" t="s">
        <v>21</v>
      </c>
      <c r="D621" s="8">
        <v>73.0</v>
      </c>
      <c r="F621" s="8">
        <v>0.1</v>
      </c>
      <c r="H621" s="8" t="s">
        <v>930</v>
      </c>
      <c r="I621" s="9">
        <v>46142.259351851855</v>
      </c>
      <c r="L621" s="8">
        <v>1600.0</v>
      </c>
      <c r="M621" s="8">
        <v>2900.0</v>
      </c>
      <c r="N621" s="7">
        <v>42327.0</v>
      </c>
      <c r="O621" s="8" t="s">
        <v>26</v>
      </c>
      <c r="S621" s="8" t="s">
        <v>32</v>
      </c>
    </row>
    <row r="622">
      <c r="A622" s="8">
        <v>621.0</v>
      </c>
      <c r="B622" s="8" t="s">
        <v>3195</v>
      </c>
      <c r="C622" s="8" t="s">
        <v>21</v>
      </c>
      <c r="D622" s="8">
        <v>75.0</v>
      </c>
      <c r="H622" s="8" t="s">
        <v>123</v>
      </c>
      <c r="I622" s="9">
        <v>46147.559641203705</v>
      </c>
      <c r="J622" s="8" t="s">
        <v>90</v>
      </c>
      <c r="K622" s="8">
        <v>450.0</v>
      </c>
      <c r="L622" s="8">
        <v>800.0</v>
      </c>
      <c r="M622" s="8">
        <v>198000.0</v>
      </c>
      <c r="N622" s="7">
        <v>44553.0</v>
      </c>
      <c r="O622" s="8" t="s">
        <v>107</v>
      </c>
      <c r="P622" s="8" t="s">
        <v>938</v>
      </c>
      <c r="S622" s="8" t="s">
        <v>32</v>
      </c>
    </row>
    <row r="623">
      <c r="A623" s="8">
        <v>622.0</v>
      </c>
      <c r="B623" s="8" t="s">
        <v>3198</v>
      </c>
      <c r="C623" s="8" t="s">
        <v>21</v>
      </c>
      <c r="D623" s="8">
        <v>9.0</v>
      </c>
      <c r="H623" s="8" t="s">
        <v>744</v>
      </c>
      <c r="I623" s="9">
        <v>46126.578310185185</v>
      </c>
      <c r="J623" s="8" t="s">
        <v>90</v>
      </c>
      <c r="L623" s="8">
        <v>136000.0</v>
      </c>
      <c r="M623" s="8">
        <v>140000.0</v>
      </c>
      <c r="N623" s="7">
        <v>42393.0</v>
      </c>
      <c r="O623" s="8" t="s">
        <v>803</v>
      </c>
      <c r="P623" s="8" t="s">
        <v>28</v>
      </c>
      <c r="S623" s="8" t="s">
        <v>748</v>
      </c>
    </row>
    <row r="624">
      <c r="A624" s="8">
        <v>623.0</v>
      </c>
      <c r="B624" s="8" t="s">
        <v>3202</v>
      </c>
      <c r="C624" s="8" t="s">
        <v>21</v>
      </c>
      <c r="D624" s="8">
        <v>0.0</v>
      </c>
      <c r="H624" s="8" t="s">
        <v>744</v>
      </c>
      <c r="I624" s="9">
        <v>46144.622245370374</v>
      </c>
      <c r="J624" s="8" t="s">
        <v>90</v>
      </c>
      <c r="L624" s="8">
        <v>137000.0</v>
      </c>
      <c r="M624" s="8">
        <v>140000.0</v>
      </c>
      <c r="N624" s="7">
        <v>42744.0</v>
      </c>
      <c r="O624" s="8" t="s">
        <v>803</v>
      </c>
      <c r="P624" s="8" t="s">
        <v>28</v>
      </c>
      <c r="S624" s="8" t="s">
        <v>748</v>
      </c>
    </row>
    <row r="625">
      <c r="A625" s="8">
        <v>624.0</v>
      </c>
      <c r="B625" s="8" t="s">
        <v>3206</v>
      </c>
      <c r="C625" s="8" t="s">
        <v>21</v>
      </c>
      <c r="D625" s="8">
        <v>77.0</v>
      </c>
      <c r="H625" s="8" t="s">
        <v>123</v>
      </c>
      <c r="I625" s="9">
        <v>46083.35837962963</v>
      </c>
      <c r="J625" s="8" t="s">
        <v>58</v>
      </c>
      <c r="K625" s="8">
        <v>800.0</v>
      </c>
      <c r="L625" s="8">
        <v>600.0</v>
      </c>
      <c r="M625" s="8">
        <v>212000.0</v>
      </c>
      <c r="N625" s="7">
        <v>44242.0</v>
      </c>
      <c r="O625" s="8" t="s">
        <v>107</v>
      </c>
      <c r="P625" s="8" t="s">
        <v>28</v>
      </c>
      <c r="S625" s="8" t="s">
        <v>32</v>
      </c>
    </row>
    <row r="626">
      <c r="A626" s="8">
        <v>625.0</v>
      </c>
      <c r="B626" s="8" t="s">
        <v>3209</v>
      </c>
      <c r="C626" s="8" t="s">
        <v>21</v>
      </c>
      <c r="D626" s="8">
        <v>79.0</v>
      </c>
      <c r="H626" s="8" t="s">
        <v>123</v>
      </c>
      <c r="I626" s="9">
        <v>46126.917129629626</v>
      </c>
      <c r="K626" s="8">
        <v>70.0</v>
      </c>
      <c r="L626" s="8">
        <v>700.0</v>
      </c>
      <c r="M626" s="8">
        <v>209000.0</v>
      </c>
      <c r="N626" s="7">
        <v>44453.0</v>
      </c>
      <c r="O626" s="8" t="s">
        <v>147</v>
      </c>
      <c r="P626" s="8" t="s">
        <v>28</v>
      </c>
      <c r="S626" s="8" t="s">
        <v>32</v>
      </c>
    </row>
    <row r="627">
      <c r="A627" s="8">
        <v>626.0</v>
      </c>
      <c r="B627" s="8" t="s">
        <v>3210</v>
      </c>
      <c r="C627" s="8" t="s">
        <v>21</v>
      </c>
      <c r="D627" s="8">
        <v>47.0</v>
      </c>
      <c r="H627" s="8" t="s">
        <v>744</v>
      </c>
      <c r="I627" s="9">
        <v>46098.18724537037</v>
      </c>
      <c r="J627" s="8" t="s">
        <v>62</v>
      </c>
      <c r="L627" s="8">
        <v>141000.0</v>
      </c>
      <c r="M627" s="8">
        <v>145000.0</v>
      </c>
      <c r="N627" s="7">
        <v>42508.0</v>
      </c>
      <c r="O627" s="8" t="s">
        <v>26</v>
      </c>
      <c r="P627" s="8" t="s">
        <v>28</v>
      </c>
      <c r="S627" s="8" t="s">
        <v>32</v>
      </c>
    </row>
    <row r="628">
      <c r="A628" s="8">
        <v>627.0</v>
      </c>
      <c r="B628" s="8" t="s">
        <v>3216</v>
      </c>
      <c r="C628" s="8" t="s">
        <v>21</v>
      </c>
      <c r="D628" s="8">
        <v>0.0</v>
      </c>
      <c r="H628" s="8" t="s">
        <v>832</v>
      </c>
      <c r="I628" s="9">
        <v>46143.00611111111</v>
      </c>
      <c r="J628" s="8" t="s">
        <v>105</v>
      </c>
      <c r="L628" s="8">
        <v>3600.0</v>
      </c>
      <c r="M628" s="8">
        <v>3700.0</v>
      </c>
      <c r="N628" s="7">
        <v>44702.0</v>
      </c>
      <c r="O628" s="8" t="s">
        <v>1519</v>
      </c>
      <c r="P628" s="8" t="s">
        <v>28</v>
      </c>
      <c r="S628" s="8" t="s">
        <v>3218</v>
      </c>
    </row>
    <row r="629">
      <c r="A629" s="8">
        <v>628.0</v>
      </c>
      <c r="B629" s="8" t="s">
        <v>3219</v>
      </c>
      <c r="C629" s="8" t="s">
        <v>21</v>
      </c>
      <c r="D629" s="8">
        <v>76.0</v>
      </c>
      <c r="H629" s="8" t="s">
        <v>279</v>
      </c>
      <c r="I629" s="9">
        <v>46145.163564814815</v>
      </c>
      <c r="J629" s="8" t="s">
        <v>90</v>
      </c>
      <c r="L629" s="8">
        <v>3200.0</v>
      </c>
      <c r="M629" s="8">
        <v>59000.0</v>
      </c>
      <c r="N629" s="7">
        <v>45004.0</v>
      </c>
      <c r="O629" s="8" t="s">
        <v>147</v>
      </c>
      <c r="P629" s="8" t="s">
        <v>28</v>
      </c>
      <c r="S629" s="8" t="s">
        <v>32</v>
      </c>
    </row>
    <row r="630">
      <c r="A630" s="8">
        <v>629.0</v>
      </c>
      <c r="B630" s="8" t="s">
        <v>3222</v>
      </c>
      <c r="C630" s="8" t="s">
        <v>21</v>
      </c>
      <c r="D630" s="8">
        <v>76.0</v>
      </c>
      <c r="H630" s="8" t="s">
        <v>123</v>
      </c>
      <c r="I630" s="9">
        <v>46148.147939814815</v>
      </c>
      <c r="K630" s="8">
        <v>30.0</v>
      </c>
      <c r="L630" s="8">
        <v>800.0</v>
      </c>
      <c r="M630" s="8">
        <v>194000.0</v>
      </c>
      <c r="N630" s="7">
        <v>42842.0</v>
      </c>
      <c r="O630" s="8" t="s">
        <v>107</v>
      </c>
      <c r="P630" s="8" t="s">
        <v>28</v>
      </c>
      <c r="S630" s="8" t="s">
        <v>32</v>
      </c>
    </row>
    <row r="631">
      <c r="A631" s="8">
        <v>630.0</v>
      </c>
      <c r="B631" s="8" t="s">
        <v>3226</v>
      </c>
      <c r="C631" s="8" t="s">
        <v>21</v>
      </c>
      <c r="D631" s="8">
        <v>75.0</v>
      </c>
      <c r="H631" s="8" t="s">
        <v>398</v>
      </c>
      <c r="I631" s="9">
        <v>46148.041296296295</v>
      </c>
      <c r="J631" s="8" t="s">
        <v>62</v>
      </c>
      <c r="K631" s="8">
        <v>100.0</v>
      </c>
      <c r="L631" s="8">
        <v>700.0</v>
      </c>
      <c r="M631" s="8">
        <v>332000.0</v>
      </c>
      <c r="N631" s="7">
        <v>44279.0</v>
      </c>
      <c r="O631" s="8" t="s">
        <v>107</v>
      </c>
      <c r="P631" s="8" t="s">
        <v>28</v>
      </c>
      <c r="S631" s="8" t="s">
        <v>32</v>
      </c>
    </row>
    <row r="632">
      <c r="A632" s="8">
        <v>631.0</v>
      </c>
      <c r="B632" s="8" t="s">
        <v>3229</v>
      </c>
      <c r="C632" s="8" t="s">
        <v>21</v>
      </c>
      <c r="D632" s="8">
        <v>73.0</v>
      </c>
      <c r="H632" s="8" t="s">
        <v>701</v>
      </c>
      <c r="I632" s="9">
        <v>46098.306284722225</v>
      </c>
      <c r="J632" s="8" t="s">
        <v>90</v>
      </c>
      <c r="K632" s="8">
        <v>1300.0</v>
      </c>
      <c r="L632" s="8">
        <v>100.0</v>
      </c>
      <c r="M632" s="8">
        <v>176000.0</v>
      </c>
      <c r="N632" s="7">
        <v>44762.0</v>
      </c>
      <c r="O632" s="8" t="s">
        <v>107</v>
      </c>
      <c r="P632" s="8" t="s">
        <v>28</v>
      </c>
      <c r="S632" s="8" t="s">
        <v>32</v>
      </c>
    </row>
    <row r="633">
      <c r="A633" s="8">
        <v>632.0</v>
      </c>
      <c r="B633" s="8" t="s">
        <v>3233</v>
      </c>
      <c r="C633" s="8" t="s">
        <v>21</v>
      </c>
      <c r="D633" s="8">
        <v>68.0</v>
      </c>
      <c r="H633" s="8" t="s">
        <v>1353</v>
      </c>
      <c r="I633" s="9">
        <v>46142.33337962963</v>
      </c>
      <c r="K633" s="8">
        <v>1100.0</v>
      </c>
      <c r="L633" s="8">
        <v>30.0</v>
      </c>
      <c r="M633" s="8">
        <v>4600.0</v>
      </c>
      <c r="N633" s="7">
        <v>44081.0</v>
      </c>
      <c r="O633" s="8" t="s">
        <v>147</v>
      </c>
      <c r="P633" s="8" t="s">
        <v>28</v>
      </c>
      <c r="S633" s="8" t="s">
        <v>32</v>
      </c>
    </row>
    <row r="634">
      <c r="A634" s="8">
        <v>633.0</v>
      </c>
      <c r="B634" s="8" t="s">
        <v>3237</v>
      </c>
      <c r="C634" s="8" t="s">
        <v>21</v>
      </c>
      <c r="D634" s="8">
        <v>68.0</v>
      </c>
      <c r="H634" s="8" t="s">
        <v>19</v>
      </c>
      <c r="I634" s="9">
        <v>46141.85229166667</v>
      </c>
      <c r="K634" s="8">
        <v>10.0</v>
      </c>
      <c r="L634" s="8">
        <v>26000.0</v>
      </c>
      <c r="M634" s="8">
        <v>27000.0</v>
      </c>
      <c r="N634" s="7">
        <v>42633.0</v>
      </c>
      <c r="O634" s="8" t="s">
        <v>31</v>
      </c>
      <c r="P634" s="8" t="s">
        <v>28</v>
      </c>
      <c r="S634" s="8" t="s">
        <v>32</v>
      </c>
    </row>
    <row r="635">
      <c r="A635" s="8">
        <v>634.0</v>
      </c>
      <c r="B635" s="8" t="s">
        <v>3240</v>
      </c>
      <c r="C635" s="8" t="s">
        <v>21</v>
      </c>
      <c r="D635" s="8">
        <v>74.0</v>
      </c>
      <c r="H635" s="8" t="s">
        <v>398</v>
      </c>
      <c r="I635" s="9">
        <v>46149.48138888889</v>
      </c>
      <c r="J635" s="8" t="s">
        <v>90</v>
      </c>
      <c r="K635" s="8">
        <v>8700.0</v>
      </c>
      <c r="L635" s="8">
        <v>700.0</v>
      </c>
      <c r="M635" s="8">
        <v>338000.0</v>
      </c>
      <c r="N635" s="7">
        <v>42397.0</v>
      </c>
      <c r="O635" s="8" t="s">
        <v>147</v>
      </c>
      <c r="P635" s="8" t="s">
        <v>28</v>
      </c>
      <c r="S635" s="8" t="s">
        <v>32</v>
      </c>
    </row>
    <row r="636">
      <c r="A636" s="8">
        <v>635.0</v>
      </c>
      <c r="B636" s="8" t="s">
        <v>3241</v>
      </c>
      <c r="C636" s="8" t="s">
        <v>21</v>
      </c>
      <c r="D636" s="8">
        <v>49.0</v>
      </c>
      <c r="H636" s="8" t="s">
        <v>19</v>
      </c>
      <c r="I636" s="9">
        <v>46085.463217592594</v>
      </c>
      <c r="J636" s="8" t="s">
        <v>476</v>
      </c>
      <c r="K636" s="8">
        <v>50.0</v>
      </c>
      <c r="L636" s="8">
        <v>33000.0</v>
      </c>
      <c r="M636" s="8">
        <v>34000.0</v>
      </c>
      <c r="N636" s="7">
        <v>43964.0</v>
      </c>
      <c r="O636" s="8" t="s">
        <v>31</v>
      </c>
      <c r="P636" s="8" t="s">
        <v>28</v>
      </c>
      <c r="S636" s="8" t="s">
        <v>32</v>
      </c>
    </row>
    <row r="637">
      <c r="A637" s="8">
        <v>636.0</v>
      </c>
      <c r="B637" s="8" t="s">
        <v>3244</v>
      </c>
      <c r="C637" s="8" t="s">
        <v>21</v>
      </c>
      <c r="D637" s="8">
        <v>74.0</v>
      </c>
      <c r="H637" s="8" t="s">
        <v>19</v>
      </c>
      <c r="I637" s="9">
        <v>46101.21471064815</v>
      </c>
      <c r="J637" s="8" t="s">
        <v>476</v>
      </c>
      <c r="K637" s="8">
        <v>10.0</v>
      </c>
      <c r="L637" s="8">
        <v>28000.0</v>
      </c>
      <c r="M637" s="8">
        <v>29000.0</v>
      </c>
      <c r="N637" s="7">
        <v>42535.0</v>
      </c>
      <c r="O637" s="8" t="s">
        <v>107</v>
      </c>
      <c r="P637" s="8" t="s">
        <v>28</v>
      </c>
      <c r="S637" s="8" t="s">
        <v>32</v>
      </c>
    </row>
    <row r="638">
      <c r="A638" s="8">
        <v>637.0</v>
      </c>
      <c r="B638" s="8" t="s">
        <v>3246</v>
      </c>
      <c r="C638" s="8" t="s">
        <v>21</v>
      </c>
      <c r="D638" s="8">
        <v>76.0</v>
      </c>
      <c r="H638" s="8" t="s">
        <v>701</v>
      </c>
      <c r="I638" s="9">
        <v>46143.86143518519</v>
      </c>
      <c r="J638" s="8" t="s">
        <v>62</v>
      </c>
      <c r="K638" s="8">
        <v>10.0</v>
      </c>
      <c r="L638" s="8">
        <v>100.0</v>
      </c>
      <c r="M638" s="8">
        <v>156000.0</v>
      </c>
      <c r="N638" s="7">
        <v>44879.0</v>
      </c>
      <c r="O638" s="8" t="s">
        <v>147</v>
      </c>
      <c r="P638" s="8" t="s">
        <v>28</v>
      </c>
      <c r="S638" s="8" t="s">
        <v>32</v>
      </c>
    </row>
    <row r="639">
      <c r="A639" s="8">
        <v>638.0</v>
      </c>
      <c r="B639" s="8" t="s">
        <v>3250</v>
      </c>
      <c r="C639" s="8" t="s">
        <v>21</v>
      </c>
      <c r="D639" s="8">
        <v>2.0</v>
      </c>
      <c r="H639" s="8" t="s">
        <v>744</v>
      </c>
      <c r="I639" s="9">
        <v>46157.2309375</v>
      </c>
      <c r="J639" s="8" t="s">
        <v>25</v>
      </c>
      <c r="L639" s="8">
        <v>131000.0</v>
      </c>
      <c r="M639" s="8">
        <v>135000.0</v>
      </c>
      <c r="N639" s="7">
        <v>42271.0</v>
      </c>
      <c r="O639" s="8" t="s">
        <v>26</v>
      </c>
      <c r="P639" s="8" t="s">
        <v>28</v>
      </c>
      <c r="S639" s="8" t="s">
        <v>748</v>
      </c>
    </row>
    <row r="640">
      <c r="A640" s="8">
        <v>639.0</v>
      </c>
      <c r="B640" s="8" t="s">
        <v>3254</v>
      </c>
      <c r="C640" s="8" t="s">
        <v>21</v>
      </c>
      <c r="D640" s="8">
        <v>66.0</v>
      </c>
      <c r="H640" s="8" t="s">
        <v>123</v>
      </c>
      <c r="I640" s="9">
        <v>46142.48783564815</v>
      </c>
      <c r="J640" s="8" t="s">
        <v>90</v>
      </c>
      <c r="K640" s="8">
        <v>200.0</v>
      </c>
      <c r="L640" s="8">
        <v>800.0</v>
      </c>
      <c r="M640" s="8">
        <v>201000.0</v>
      </c>
      <c r="N640" s="7">
        <v>43310.0</v>
      </c>
      <c r="O640" s="8" t="s">
        <v>147</v>
      </c>
      <c r="P640" s="8" t="s">
        <v>28</v>
      </c>
      <c r="S640" s="8" t="s">
        <v>32</v>
      </c>
    </row>
    <row r="641">
      <c r="A641" s="8">
        <v>640.0</v>
      </c>
      <c r="B641" s="8" t="s">
        <v>3258</v>
      </c>
      <c r="C641" s="8" t="s">
        <v>21</v>
      </c>
      <c r="D641" s="8">
        <v>0.0</v>
      </c>
      <c r="H641" s="8" t="s">
        <v>60</v>
      </c>
      <c r="I641" s="9">
        <v>46155.19625</v>
      </c>
      <c r="L641" s="8">
        <v>40.0</v>
      </c>
      <c r="M641" s="8">
        <v>40.0</v>
      </c>
      <c r="N641" s="7">
        <v>44208.0</v>
      </c>
      <c r="O641" s="8" t="s">
        <v>26</v>
      </c>
      <c r="P641" s="8" t="s">
        <v>28</v>
      </c>
      <c r="S641" s="8" t="s">
        <v>32</v>
      </c>
    </row>
    <row r="642">
      <c r="A642" s="8">
        <v>641.0</v>
      </c>
      <c r="B642" s="8" t="s">
        <v>3261</v>
      </c>
      <c r="C642" s="8" t="s">
        <v>21</v>
      </c>
      <c r="D642" s="8">
        <v>76.0</v>
      </c>
      <c r="H642" s="8" t="s">
        <v>398</v>
      </c>
      <c r="I642" s="9">
        <v>46085.47045138889</v>
      </c>
      <c r="J642" s="8" t="s">
        <v>62</v>
      </c>
      <c r="L642" s="8">
        <v>600.0</v>
      </c>
      <c r="M642" s="8">
        <v>296000.0</v>
      </c>
      <c r="N642" s="7">
        <v>44103.0</v>
      </c>
      <c r="O642" s="8" t="s">
        <v>147</v>
      </c>
      <c r="P642" s="8" t="s">
        <v>28</v>
      </c>
      <c r="S642" s="8" t="s">
        <v>32</v>
      </c>
    </row>
    <row r="643">
      <c r="A643" s="8">
        <v>642.0</v>
      </c>
      <c r="B643" s="8" t="s">
        <v>3263</v>
      </c>
      <c r="C643" s="8" t="s">
        <v>21</v>
      </c>
      <c r="D643" s="8">
        <v>76.0</v>
      </c>
      <c r="H643" s="8" t="s">
        <v>398</v>
      </c>
      <c r="I643" s="9">
        <v>46160.96707175926</v>
      </c>
      <c r="J643" s="8" t="s">
        <v>90</v>
      </c>
      <c r="K643" s="8">
        <v>13000.0</v>
      </c>
      <c r="L643" s="8">
        <v>700.0</v>
      </c>
      <c r="M643" s="8">
        <v>349000.0</v>
      </c>
      <c r="N643" s="7">
        <v>44316.0</v>
      </c>
      <c r="O643" s="8" t="s">
        <v>107</v>
      </c>
      <c r="P643" s="8" t="s">
        <v>28</v>
      </c>
      <c r="S643" s="8" t="s">
        <v>32</v>
      </c>
    </row>
    <row r="644">
      <c r="A644" s="8">
        <v>643.0</v>
      </c>
      <c r="B644" s="8" t="s">
        <v>3267</v>
      </c>
      <c r="C644" s="8" t="s">
        <v>21</v>
      </c>
      <c r="D644" s="8">
        <v>60.0</v>
      </c>
      <c r="H644" s="8" t="s">
        <v>1952</v>
      </c>
      <c r="I644" s="9">
        <v>46148.557025462964</v>
      </c>
      <c r="J644" s="8" t="s">
        <v>450</v>
      </c>
      <c r="K644" s="8">
        <v>500.0</v>
      </c>
      <c r="L644" s="8">
        <v>30.0</v>
      </c>
      <c r="M644" s="8">
        <v>15000.0</v>
      </c>
      <c r="N644" s="7">
        <v>44534.0</v>
      </c>
      <c r="O644" s="8" t="s">
        <v>147</v>
      </c>
      <c r="P644" s="8" t="s">
        <v>1174</v>
      </c>
      <c r="S644" s="8" t="s">
        <v>32</v>
      </c>
    </row>
    <row r="645">
      <c r="A645" s="8">
        <v>644.0</v>
      </c>
      <c r="B645" s="8" t="s">
        <v>3270</v>
      </c>
      <c r="C645" s="8" t="s">
        <v>21</v>
      </c>
      <c r="D645" s="8">
        <v>74.0</v>
      </c>
      <c r="H645" s="8" t="s">
        <v>398</v>
      </c>
      <c r="I645" s="9">
        <v>46159.21900462963</v>
      </c>
      <c r="J645" s="8" t="s">
        <v>2607</v>
      </c>
      <c r="K645" s="8">
        <v>9800.0</v>
      </c>
      <c r="L645" s="8">
        <v>700.0</v>
      </c>
      <c r="M645" s="8">
        <v>344000.0</v>
      </c>
      <c r="N645" s="7">
        <v>43869.0</v>
      </c>
      <c r="O645" s="8" t="s">
        <v>107</v>
      </c>
      <c r="P645" s="8" t="s">
        <v>28</v>
      </c>
      <c r="S645" s="8" t="s">
        <v>32</v>
      </c>
    </row>
    <row r="646">
      <c r="A646" s="8">
        <v>645.0</v>
      </c>
      <c r="B646" s="8" t="s">
        <v>3273</v>
      </c>
      <c r="C646" s="8" t="s">
        <v>21</v>
      </c>
      <c r="D646" s="8">
        <v>45.0</v>
      </c>
      <c r="H646" s="8" t="s">
        <v>755</v>
      </c>
      <c r="I646" s="9">
        <v>46088.56255787037</v>
      </c>
      <c r="J646" s="8" t="s">
        <v>62</v>
      </c>
      <c r="K646" s="8">
        <v>10.0</v>
      </c>
      <c r="L646" s="8">
        <v>17000.0</v>
      </c>
      <c r="M646" s="8">
        <v>17000.0</v>
      </c>
      <c r="N646" s="7">
        <v>44248.0</v>
      </c>
      <c r="O646" s="8" t="s">
        <v>26</v>
      </c>
      <c r="P646" s="8" t="s">
        <v>28</v>
      </c>
      <c r="S646" s="8" t="s">
        <v>748</v>
      </c>
    </row>
    <row r="647">
      <c r="A647" s="8">
        <v>646.0</v>
      </c>
      <c r="B647" s="8" t="s">
        <v>3276</v>
      </c>
      <c r="C647" s="8" t="s">
        <v>21</v>
      </c>
      <c r="D647" s="8">
        <v>26.0</v>
      </c>
      <c r="H647" s="8" t="s">
        <v>720</v>
      </c>
      <c r="I647" s="9">
        <v>46089.19505787037</v>
      </c>
      <c r="K647" s="8">
        <v>2000.0</v>
      </c>
      <c r="L647" s="8">
        <v>50.0</v>
      </c>
      <c r="M647" s="8">
        <v>69000.0</v>
      </c>
      <c r="N647" s="7">
        <v>44263.0</v>
      </c>
      <c r="O647" s="8" t="s">
        <v>147</v>
      </c>
      <c r="P647" s="8" t="s">
        <v>28</v>
      </c>
      <c r="S647" s="8" t="s">
        <v>32</v>
      </c>
    </row>
    <row r="648">
      <c r="A648" s="8">
        <v>647.0</v>
      </c>
      <c r="B648" s="8" t="s">
        <v>3279</v>
      </c>
      <c r="C648" s="8" t="s">
        <v>21</v>
      </c>
      <c r="D648" s="8">
        <v>22.0</v>
      </c>
      <c r="H648" s="8" t="s">
        <v>744</v>
      </c>
      <c r="I648" s="9">
        <v>46150.13019675926</v>
      </c>
      <c r="J648" s="8" t="s">
        <v>450</v>
      </c>
      <c r="L648" s="8">
        <v>137000.0</v>
      </c>
      <c r="M648" s="8">
        <v>141000.0</v>
      </c>
      <c r="N648" s="7">
        <v>44144.0</v>
      </c>
      <c r="O648" s="8" t="s">
        <v>127</v>
      </c>
      <c r="P648" s="8" t="s">
        <v>28</v>
      </c>
      <c r="S648" s="8" t="s">
        <v>748</v>
      </c>
    </row>
    <row r="649">
      <c r="A649" s="8">
        <v>648.0</v>
      </c>
      <c r="B649" s="8" t="s">
        <v>3284</v>
      </c>
      <c r="C649" s="8" t="s">
        <v>21</v>
      </c>
      <c r="D649" s="8">
        <v>60.0</v>
      </c>
      <c r="H649" s="8" t="s">
        <v>469</v>
      </c>
      <c r="I649" s="9">
        <v>46124.71074074074</v>
      </c>
      <c r="J649" s="8" t="s">
        <v>90</v>
      </c>
      <c r="K649" s="8">
        <v>250.0</v>
      </c>
      <c r="L649" s="8">
        <v>40.0</v>
      </c>
      <c r="M649" s="8">
        <v>1400.0</v>
      </c>
      <c r="N649" s="7">
        <v>43295.0</v>
      </c>
      <c r="O649" s="8" t="s">
        <v>107</v>
      </c>
      <c r="P649" s="8" t="s">
        <v>28</v>
      </c>
      <c r="S649" s="8" t="s">
        <v>32</v>
      </c>
    </row>
    <row r="650">
      <c r="A650" s="8">
        <v>649.0</v>
      </c>
      <c r="B650" s="8" t="s">
        <v>3288</v>
      </c>
      <c r="C650" s="8" t="s">
        <v>21</v>
      </c>
      <c r="D650" s="8">
        <v>67.0</v>
      </c>
      <c r="H650" s="8" t="s">
        <v>279</v>
      </c>
      <c r="I650" s="9">
        <v>46144.01451388889</v>
      </c>
      <c r="J650" s="8" t="s">
        <v>90</v>
      </c>
      <c r="K650" s="8">
        <v>60.0</v>
      </c>
      <c r="L650" s="8">
        <v>3200.0</v>
      </c>
      <c r="M650" s="8">
        <v>59000.0</v>
      </c>
      <c r="N650" s="7">
        <v>43967.0</v>
      </c>
      <c r="O650" s="8" t="s">
        <v>107</v>
      </c>
      <c r="P650" s="8" t="s">
        <v>28</v>
      </c>
      <c r="S650" s="8" t="s">
        <v>32</v>
      </c>
    </row>
    <row r="651">
      <c r="A651" s="8">
        <v>650.0</v>
      </c>
      <c r="B651" s="8" t="s">
        <v>3292</v>
      </c>
      <c r="C651" s="8" t="s">
        <v>21</v>
      </c>
      <c r="D651" s="8">
        <v>73.0</v>
      </c>
      <c r="H651" s="8" t="s">
        <v>701</v>
      </c>
      <c r="I651" s="9">
        <v>46122.95333333333</v>
      </c>
      <c r="J651" s="8" t="s">
        <v>90</v>
      </c>
      <c r="K651" s="8">
        <v>3000.0</v>
      </c>
      <c r="L651" s="8">
        <v>100.0</v>
      </c>
      <c r="M651" s="8">
        <v>210000.0</v>
      </c>
      <c r="N651" s="7">
        <v>44514.0</v>
      </c>
      <c r="O651" s="8" t="s">
        <v>107</v>
      </c>
      <c r="P651" s="8" t="s">
        <v>1174</v>
      </c>
      <c r="S651" s="8" t="s">
        <v>32</v>
      </c>
    </row>
    <row r="652">
      <c r="A652" s="8">
        <v>651.0</v>
      </c>
      <c r="B652" s="8" t="s">
        <v>3296</v>
      </c>
      <c r="C652" s="8" t="s">
        <v>21</v>
      </c>
      <c r="D652" s="8">
        <v>75.0</v>
      </c>
      <c r="H652" s="8" t="s">
        <v>398</v>
      </c>
      <c r="I652" s="9">
        <v>46124.58121527778</v>
      </c>
      <c r="K652" s="8">
        <v>500.0</v>
      </c>
      <c r="L652" s="8">
        <v>600.0</v>
      </c>
      <c r="M652" s="8">
        <v>356000.0</v>
      </c>
      <c r="N652" s="7">
        <v>43906.0</v>
      </c>
      <c r="O652" s="8" t="s">
        <v>107</v>
      </c>
      <c r="P652" s="8" t="s">
        <v>28</v>
      </c>
      <c r="S652" s="8" t="s">
        <v>32</v>
      </c>
    </row>
    <row r="653">
      <c r="A653" s="8">
        <v>652.0</v>
      </c>
      <c r="B653" s="8" t="s">
        <v>3299</v>
      </c>
      <c r="C653" s="8" t="s">
        <v>21</v>
      </c>
      <c r="D653" s="8">
        <v>71.0</v>
      </c>
      <c r="H653" s="8" t="s">
        <v>701</v>
      </c>
      <c r="I653" s="9">
        <v>46141.77013888889</v>
      </c>
      <c r="K653" s="8">
        <v>700.0</v>
      </c>
      <c r="L653" s="8">
        <v>100.0</v>
      </c>
      <c r="M653" s="8">
        <v>159000.0</v>
      </c>
      <c r="N653" s="7">
        <v>44655.0</v>
      </c>
      <c r="O653" s="8" t="s">
        <v>107</v>
      </c>
      <c r="P653" s="8" t="s">
        <v>28</v>
      </c>
      <c r="S653" s="8" t="s">
        <v>32</v>
      </c>
    </row>
    <row r="654">
      <c r="A654" s="8">
        <v>653.0</v>
      </c>
      <c r="B654" s="8" t="s">
        <v>3302</v>
      </c>
      <c r="C654" s="8" t="s">
        <v>21</v>
      </c>
      <c r="D654" s="8">
        <v>53.0</v>
      </c>
      <c r="H654" s="8" t="s">
        <v>1733</v>
      </c>
      <c r="I654" s="9">
        <v>46098.30630787037</v>
      </c>
      <c r="J654" s="8" t="s">
        <v>3304</v>
      </c>
      <c r="L654" s="8">
        <v>70.0</v>
      </c>
      <c r="M654" s="8">
        <v>73000.0</v>
      </c>
      <c r="N654" s="7">
        <v>44291.0</v>
      </c>
      <c r="O654" s="8" t="s">
        <v>147</v>
      </c>
      <c r="P654" s="8" t="s">
        <v>28</v>
      </c>
      <c r="S654" s="8" t="s">
        <v>32</v>
      </c>
    </row>
    <row r="655">
      <c r="A655" s="8">
        <v>654.0</v>
      </c>
      <c r="B655" s="8" t="s">
        <v>2921</v>
      </c>
      <c r="C655" s="8" t="s">
        <v>21</v>
      </c>
      <c r="D655" s="8">
        <v>75.0</v>
      </c>
      <c r="H655" s="8" t="s">
        <v>1756</v>
      </c>
      <c r="I655" s="9">
        <v>46152.05936342593</v>
      </c>
      <c r="J655" s="8" t="s">
        <v>90</v>
      </c>
      <c r="K655" s="8">
        <v>100.0</v>
      </c>
      <c r="L655" s="8">
        <v>0.0</v>
      </c>
      <c r="M655" s="8">
        <v>4000.0</v>
      </c>
      <c r="N655" s="7">
        <v>43982.0</v>
      </c>
      <c r="O655" s="8" t="s">
        <v>147</v>
      </c>
      <c r="P655" s="8" t="s">
        <v>28</v>
      </c>
      <c r="S655" s="8" t="s">
        <v>32</v>
      </c>
    </row>
    <row r="656">
      <c r="A656" s="8">
        <v>655.0</v>
      </c>
      <c r="B656" s="8" t="s">
        <v>3310</v>
      </c>
      <c r="C656" s="8" t="s">
        <v>21</v>
      </c>
      <c r="D656" s="8">
        <v>65.0</v>
      </c>
      <c r="H656" s="8" t="s">
        <v>1452</v>
      </c>
      <c r="I656" s="9">
        <v>46126.87144675926</v>
      </c>
      <c r="J656" s="8" t="s">
        <v>90</v>
      </c>
      <c r="K656" s="8">
        <v>10.0</v>
      </c>
      <c r="L656" s="8">
        <v>20.0</v>
      </c>
      <c r="M656" s="8">
        <v>44000.0</v>
      </c>
      <c r="N656" s="7">
        <v>44146.0</v>
      </c>
      <c r="O656" s="8" t="s">
        <v>147</v>
      </c>
      <c r="P656" s="8" t="s">
        <v>28</v>
      </c>
      <c r="S656" s="8" t="s">
        <v>32</v>
      </c>
    </row>
    <row r="657">
      <c r="A657" s="8">
        <v>656.0</v>
      </c>
      <c r="B657" s="8" t="s">
        <v>3313</v>
      </c>
      <c r="C657" s="8" t="s">
        <v>21</v>
      </c>
      <c r="D657" s="8">
        <v>75.0</v>
      </c>
      <c r="H657" s="8" t="s">
        <v>398</v>
      </c>
      <c r="I657" s="9">
        <v>46150.195914351854</v>
      </c>
      <c r="K657" s="8">
        <v>10000.0</v>
      </c>
      <c r="L657" s="8">
        <v>700.0</v>
      </c>
      <c r="M657" s="8">
        <v>349000.0</v>
      </c>
      <c r="N657" s="7">
        <v>44198.0</v>
      </c>
      <c r="O657" s="8" t="s">
        <v>147</v>
      </c>
      <c r="P657" s="8" t="s">
        <v>28</v>
      </c>
      <c r="S657" s="8" t="s">
        <v>32</v>
      </c>
    </row>
    <row r="658">
      <c r="A658" s="8">
        <v>657.0</v>
      </c>
      <c r="B658" s="8" t="s">
        <v>3317</v>
      </c>
      <c r="C658" s="8" t="s">
        <v>21</v>
      </c>
      <c r="D658" s="8">
        <v>76.0</v>
      </c>
      <c r="H658" s="8" t="s">
        <v>398</v>
      </c>
      <c r="I658" s="9">
        <v>46157.107037037036</v>
      </c>
      <c r="K658" s="8">
        <v>3700.0</v>
      </c>
      <c r="L658" s="8">
        <v>700.0</v>
      </c>
      <c r="M658" s="8">
        <v>345000.0</v>
      </c>
      <c r="N658" s="7">
        <v>43868.0</v>
      </c>
      <c r="O658" s="8" t="s">
        <v>147</v>
      </c>
      <c r="P658" s="8" t="s">
        <v>28</v>
      </c>
      <c r="S658" s="8" t="s">
        <v>32</v>
      </c>
    </row>
    <row r="659">
      <c r="A659" s="8">
        <v>658.0</v>
      </c>
      <c r="B659" s="8" t="s">
        <v>3319</v>
      </c>
      <c r="C659" s="8" t="s">
        <v>21</v>
      </c>
      <c r="D659" s="8">
        <v>2.0</v>
      </c>
      <c r="H659" s="8" t="s">
        <v>744</v>
      </c>
      <c r="I659" s="9">
        <v>46141.47987268519</v>
      </c>
      <c r="J659" s="8" t="s">
        <v>25</v>
      </c>
      <c r="L659" s="8">
        <v>136000.0</v>
      </c>
      <c r="M659" s="8">
        <v>140000.0</v>
      </c>
      <c r="N659" s="7">
        <v>42290.0</v>
      </c>
      <c r="O659" s="8" t="s">
        <v>26</v>
      </c>
      <c r="P659" s="8" t="s">
        <v>28</v>
      </c>
      <c r="S659" s="8" t="s">
        <v>32</v>
      </c>
    </row>
    <row r="660">
      <c r="A660" s="8">
        <v>659.0</v>
      </c>
      <c r="B660" s="8" t="s">
        <v>3321</v>
      </c>
      <c r="C660" s="8" t="s">
        <v>21</v>
      </c>
      <c r="D660" s="8">
        <v>70.0</v>
      </c>
      <c r="H660" s="8" t="s">
        <v>370</v>
      </c>
      <c r="I660" s="9">
        <v>46163.05030092593</v>
      </c>
      <c r="J660" s="8" t="s">
        <v>90</v>
      </c>
      <c r="K660" s="8">
        <v>80.0</v>
      </c>
      <c r="L660" s="8">
        <v>100.0</v>
      </c>
      <c r="M660" s="8">
        <v>3100.0</v>
      </c>
      <c r="N660" s="7">
        <v>43228.0</v>
      </c>
      <c r="O660" s="8" t="s">
        <v>147</v>
      </c>
      <c r="P660" s="8" t="s">
        <v>28</v>
      </c>
      <c r="S660" s="8" t="s">
        <v>32</v>
      </c>
    </row>
    <row r="661">
      <c r="A661" s="8">
        <v>660.0</v>
      </c>
      <c r="B661" s="8" t="s">
        <v>3323</v>
      </c>
      <c r="C661" s="8" t="s">
        <v>21</v>
      </c>
      <c r="D661" s="8">
        <v>40.0</v>
      </c>
      <c r="F661" s="8">
        <v>4.5</v>
      </c>
      <c r="H661" s="8" t="s">
        <v>755</v>
      </c>
      <c r="I661" s="9">
        <v>46131.60037037037</v>
      </c>
      <c r="J661" s="8" t="s">
        <v>25</v>
      </c>
      <c r="L661" s="8">
        <v>16000.0</v>
      </c>
      <c r="M661" s="8">
        <v>17000.0</v>
      </c>
      <c r="N661" s="7">
        <v>42475.0</v>
      </c>
      <c r="O661" s="8" t="s">
        <v>127</v>
      </c>
      <c r="P661" s="8" t="s">
        <v>28</v>
      </c>
      <c r="S661" s="8" t="s">
        <v>748</v>
      </c>
    </row>
    <row r="662">
      <c r="A662" s="8">
        <v>661.0</v>
      </c>
      <c r="B662" s="8" t="s">
        <v>3325</v>
      </c>
      <c r="C662" s="8" t="s">
        <v>21</v>
      </c>
      <c r="D662" s="8">
        <v>0.0</v>
      </c>
      <c r="H662" s="8" t="s">
        <v>744</v>
      </c>
      <c r="I662" s="9">
        <v>46162.60854166667</v>
      </c>
      <c r="J662" s="8" t="s">
        <v>90</v>
      </c>
      <c r="L662" s="8">
        <v>131000.0</v>
      </c>
      <c r="M662" s="8">
        <v>135000.0</v>
      </c>
      <c r="N662" s="7">
        <v>42626.0</v>
      </c>
      <c r="O662" s="8" t="s">
        <v>26</v>
      </c>
      <c r="P662" s="8" t="s">
        <v>28</v>
      </c>
      <c r="S662" s="8" t="s">
        <v>748</v>
      </c>
    </row>
    <row r="663">
      <c r="A663" s="8">
        <v>662.0</v>
      </c>
      <c r="B663" s="8" t="s">
        <v>3327</v>
      </c>
      <c r="C663" s="8" t="s">
        <v>21</v>
      </c>
      <c r="D663" s="8">
        <v>66.0</v>
      </c>
      <c r="H663" s="8" t="s">
        <v>279</v>
      </c>
      <c r="I663" s="9">
        <v>46125.39165509259</v>
      </c>
      <c r="J663" s="8" t="s">
        <v>90</v>
      </c>
      <c r="K663" s="8">
        <v>10.0</v>
      </c>
      <c r="L663" s="8">
        <v>3100.0</v>
      </c>
      <c r="M663" s="8">
        <v>62000.0</v>
      </c>
      <c r="N663" s="7">
        <v>43250.0</v>
      </c>
      <c r="O663" s="8" t="s">
        <v>147</v>
      </c>
      <c r="P663" s="8" t="s">
        <v>28</v>
      </c>
      <c r="S663" s="8" t="s">
        <v>32</v>
      </c>
    </row>
    <row r="664">
      <c r="A664" s="8">
        <v>663.0</v>
      </c>
      <c r="B664" s="8" t="s">
        <v>3330</v>
      </c>
      <c r="C664" s="8" t="s">
        <v>21</v>
      </c>
      <c r="D664" s="8">
        <v>72.0</v>
      </c>
      <c r="H664" s="8" t="s">
        <v>185</v>
      </c>
      <c r="I664" s="9">
        <v>46082.523935185185</v>
      </c>
      <c r="L664" s="8">
        <v>450.0</v>
      </c>
      <c r="M664" s="8">
        <v>2900.0</v>
      </c>
      <c r="N664" s="7">
        <v>45052.0</v>
      </c>
      <c r="O664" s="8" t="s">
        <v>107</v>
      </c>
      <c r="P664" s="8" t="s">
        <v>28</v>
      </c>
      <c r="S664" s="8" t="s">
        <v>32</v>
      </c>
    </row>
    <row r="665">
      <c r="A665" s="8">
        <v>664.0</v>
      </c>
      <c r="B665" s="8" t="s">
        <v>3332</v>
      </c>
      <c r="C665" s="8" t="s">
        <v>21</v>
      </c>
      <c r="D665" s="8">
        <v>67.0</v>
      </c>
      <c r="H665" s="8" t="s">
        <v>701</v>
      </c>
      <c r="I665" s="9">
        <v>46127.16616898148</v>
      </c>
      <c r="J665" s="8" t="s">
        <v>90</v>
      </c>
      <c r="K665" s="8">
        <v>13000.0</v>
      </c>
      <c r="L665" s="8">
        <v>100.0</v>
      </c>
      <c r="M665" s="8">
        <v>187000.0</v>
      </c>
      <c r="N665" s="7">
        <v>43875.0</v>
      </c>
      <c r="O665" s="8" t="s">
        <v>147</v>
      </c>
      <c r="P665" s="8" t="s">
        <v>28</v>
      </c>
      <c r="S665" s="8" t="s">
        <v>32</v>
      </c>
    </row>
    <row r="666">
      <c r="A666" s="8">
        <v>665.0</v>
      </c>
      <c r="B666" s="8" t="s">
        <v>3335</v>
      </c>
      <c r="C666" s="8" t="s">
        <v>21</v>
      </c>
      <c r="D666" s="8">
        <v>26.0</v>
      </c>
      <c r="G666" s="8">
        <v>0.96</v>
      </c>
      <c r="H666" s="8" t="s">
        <v>838</v>
      </c>
      <c r="I666" s="9">
        <v>46131.76032407407</v>
      </c>
      <c r="J666" s="8" t="s">
        <v>1395</v>
      </c>
      <c r="K666" s="8">
        <v>40.0</v>
      </c>
      <c r="L666" s="8">
        <v>2100.0</v>
      </c>
      <c r="M666" s="8">
        <v>2200.0</v>
      </c>
      <c r="N666" s="7">
        <v>42248.0</v>
      </c>
      <c r="O666" s="8" t="s">
        <v>31</v>
      </c>
      <c r="P666" s="8" t="s">
        <v>28</v>
      </c>
      <c r="S666" s="8" t="s">
        <v>3338</v>
      </c>
    </row>
    <row r="667">
      <c r="A667" s="8">
        <v>666.0</v>
      </c>
      <c r="B667" s="8" t="s">
        <v>3340</v>
      </c>
      <c r="C667" s="8" t="s">
        <v>21</v>
      </c>
      <c r="D667" s="8">
        <v>13.0</v>
      </c>
      <c r="H667" s="8" t="s">
        <v>228</v>
      </c>
      <c r="I667" s="9">
        <v>46123.63990740741</v>
      </c>
      <c r="J667" s="8" t="s">
        <v>96</v>
      </c>
      <c r="L667" s="8">
        <v>30.0</v>
      </c>
      <c r="M667" s="8">
        <v>60.0</v>
      </c>
      <c r="N667" s="7">
        <v>44487.0</v>
      </c>
      <c r="O667" s="8" t="s">
        <v>925</v>
      </c>
      <c r="P667" s="8" t="s">
        <v>28</v>
      </c>
      <c r="S667" s="8" t="s">
        <v>800</v>
      </c>
    </row>
    <row r="668">
      <c r="A668" s="8">
        <v>667.0</v>
      </c>
      <c r="B668" s="8" t="s">
        <v>3343</v>
      </c>
      <c r="C668" s="8" t="s">
        <v>21</v>
      </c>
      <c r="D668" s="8">
        <v>0.0</v>
      </c>
      <c r="H668" s="8" t="s">
        <v>744</v>
      </c>
      <c r="I668" s="9">
        <v>46122.52116898148</v>
      </c>
      <c r="J668" s="8" t="s">
        <v>3174</v>
      </c>
      <c r="L668" s="8">
        <v>136000.0</v>
      </c>
      <c r="M668" s="8">
        <v>140000.0</v>
      </c>
      <c r="N668" s="7">
        <v>42979.0</v>
      </c>
      <c r="O668" s="8" t="s">
        <v>147</v>
      </c>
      <c r="P668" s="8" t="s">
        <v>28</v>
      </c>
      <c r="S668" s="8" t="s">
        <v>782</v>
      </c>
    </row>
    <row r="669">
      <c r="A669" s="8">
        <v>668.0</v>
      </c>
      <c r="B669" s="8" t="s">
        <v>3346</v>
      </c>
      <c r="C669" s="8" t="s">
        <v>21</v>
      </c>
      <c r="D669" s="8">
        <v>17.0</v>
      </c>
      <c r="G669" s="8">
        <v>1.11</v>
      </c>
      <c r="H669" s="8" t="s">
        <v>783</v>
      </c>
      <c r="I669" s="9">
        <v>46085.61929398148</v>
      </c>
      <c r="J669" s="8" t="s">
        <v>62</v>
      </c>
      <c r="K669" s="8">
        <v>10.0</v>
      </c>
      <c r="L669" s="8">
        <v>13000.0</v>
      </c>
      <c r="M669" s="8">
        <v>18000.0</v>
      </c>
      <c r="N669" s="7">
        <v>42256.0</v>
      </c>
      <c r="O669" s="8" t="s">
        <v>107</v>
      </c>
      <c r="P669" s="8" t="s">
        <v>28</v>
      </c>
      <c r="S669" s="8" t="s">
        <v>748</v>
      </c>
    </row>
    <row r="670">
      <c r="A670" s="8">
        <v>669.0</v>
      </c>
      <c r="B670" s="8" t="s">
        <v>3350</v>
      </c>
      <c r="C670" s="8" t="s">
        <v>21</v>
      </c>
      <c r="D670" s="8">
        <v>78.0</v>
      </c>
      <c r="H670" s="8" t="s">
        <v>123</v>
      </c>
      <c r="I670" s="9">
        <v>46085.651030092595</v>
      </c>
      <c r="K670" s="8">
        <v>100.0</v>
      </c>
      <c r="L670" s="8">
        <v>600.0</v>
      </c>
      <c r="M670" s="8">
        <v>212000.0</v>
      </c>
      <c r="N670" s="7">
        <v>43842.0</v>
      </c>
      <c r="O670" s="8" t="s">
        <v>147</v>
      </c>
      <c r="P670" s="8" t="s">
        <v>28</v>
      </c>
      <c r="S670" s="8" t="s">
        <v>32</v>
      </c>
    </row>
    <row r="671">
      <c r="A671" s="8">
        <v>670.0</v>
      </c>
      <c r="B671" s="8" t="s">
        <v>3354</v>
      </c>
      <c r="C671" s="8" t="s">
        <v>21</v>
      </c>
      <c r="D671" s="8">
        <v>65.0</v>
      </c>
      <c r="H671" s="8" t="s">
        <v>1353</v>
      </c>
      <c r="I671" s="9">
        <v>46145.18491898148</v>
      </c>
      <c r="K671" s="8">
        <v>3000.0</v>
      </c>
      <c r="L671" s="8">
        <v>250.0</v>
      </c>
      <c r="M671" s="8">
        <v>132000.0</v>
      </c>
      <c r="N671" s="7">
        <v>44106.0</v>
      </c>
      <c r="O671" s="8" t="s">
        <v>147</v>
      </c>
      <c r="P671" s="8" t="s">
        <v>28</v>
      </c>
      <c r="S671" s="8" t="s">
        <v>32</v>
      </c>
    </row>
    <row r="672">
      <c r="A672" s="8">
        <v>671.0</v>
      </c>
      <c r="B672" s="8" t="s">
        <v>3357</v>
      </c>
      <c r="C672" s="8" t="s">
        <v>21</v>
      </c>
      <c r="D672" s="8">
        <v>11.0</v>
      </c>
      <c r="H672" s="8" t="s">
        <v>744</v>
      </c>
      <c r="I672" s="9">
        <v>46111.902708333335</v>
      </c>
      <c r="J672" s="8" t="s">
        <v>62</v>
      </c>
      <c r="L672" s="8">
        <v>137000.0</v>
      </c>
      <c r="M672" s="8">
        <v>141000.0</v>
      </c>
      <c r="N672" s="7">
        <v>43920.0</v>
      </c>
      <c r="O672" s="8" t="s">
        <v>803</v>
      </c>
      <c r="P672" s="8" t="s">
        <v>28</v>
      </c>
      <c r="S672" s="8" t="s">
        <v>32</v>
      </c>
    </row>
    <row r="673">
      <c r="A673" s="8">
        <v>672.0</v>
      </c>
      <c r="B673" s="8" t="s">
        <v>3361</v>
      </c>
      <c r="C673" s="8" t="s">
        <v>21</v>
      </c>
      <c r="D673" s="8">
        <v>69.0</v>
      </c>
      <c r="H673" s="8" t="s">
        <v>717</v>
      </c>
      <c r="I673" s="9">
        <v>46100.67393518519</v>
      </c>
      <c r="J673" s="8" t="s">
        <v>90</v>
      </c>
      <c r="K673" s="8">
        <v>1300.0</v>
      </c>
      <c r="L673" s="8">
        <v>10.0</v>
      </c>
      <c r="M673" s="8">
        <v>56000.0</v>
      </c>
      <c r="N673" s="7">
        <v>43492.0</v>
      </c>
      <c r="O673" s="8" t="s">
        <v>107</v>
      </c>
      <c r="P673" s="8" t="s">
        <v>28</v>
      </c>
      <c r="S673" s="8" t="s">
        <v>32</v>
      </c>
    </row>
    <row r="674">
      <c r="A674" s="8">
        <v>673.0</v>
      </c>
      <c r="B674" s="8" t="s">
        <v>3364</v>
      </c>
      <c r="C674" s="8" t="s">
        <v>21</v>
      </c>
      <c r="D674" s="8">
        <v>71.0</v>
      </c>
      <c r="H674" s="8" t="s">
        <v>279</v>
      </c>
      <c r="I674" s="9">
        <v>46143.34991898148</v>
      </c>
      <c r="K674" s="8">
        <v>20.0</v>
      </c>
      <c r="L674" s="8">
        <v>3200.0</v>
      </c>
      <c r="M674" s="8">
        <v>59000.0</v>
      </c>
      <c r="N674" s="7">
        <v>42665.0</v>
      </c>
      <c r="O674" s="8" t="s">
        <v>107</v>
      </c>
      <c r="P674" s="8" t="s">
        <v>28</v>
      </c>
      <c r="S674" s="8" t="s">
        <v>32</v>
      </c>
    </row>
    <row r="675">
      <c r="A675" s="8">
        <v>674.0</v>
      </c>
      <c r="B675" s="8" t="s">
        <v>3367</v>
      </c>
      <c r="C675" s="8" t="s">
        <v>21</v>
      </c>
      <c r="D675" s="8">
        <v>68.0</v>
      </c>
      <c r="H675" s="8" t="s">
        <v>398</v>
      </c>
      <c r="I675" s="9">
        <v>46124.78755787037</v>
      </c>
      <c r="J675" s="8" t="s">
        <v>90</v>
      </c>
      <c r="K675" s="8">
        <v>31000.0</v>
      </c>
      <c r="L675" s="8">
        <v>600.0</v>
      </c>
      <c r="M675" s="8">
        <v>356000.0</v>
      </c>
      <c r="N675" s="7">
        <v>42420.0</v>
      </c>
      <c r="O675" s="8" t="s">
        <v>147</v>
      </c>
      <c r="P675" s="8" t="s">
        <v>28</v>
      </c>
      <c r="S675" s="8" t="s">
        <v>32</v>
      </c>
    </row>
    <row r="676">
      <c r="A676" s="8">
        <v>675.0</v>
      </c>
      <c r="B676" s="8" t="s">
        <v>3370</v>
      </c>
      <c r="C676" s="8" t="s">
        <v>21</v>
      </c>
      <c r="D676" s="8">
        <v>64.0</v>
      </c>
      <c r="H676" s="8" t="s">
        <v>1604</v>
      </c>
      <c r="I676" s="9">
        <v>46123.757314814815</v>
      </c>
      <c r="J676" s="8" t="s">
        <v>90</v>
      </c>
      <c r="K676" s="8">
        <v>60.0</v>
      </c>
      <c r="L676" s="8">
        <v>10.0</v>
      </c>
      <c r="M676" s="8">
        <v>27000.0</v>
      </c>
      <c r="N676" s="7">
        <v>44371.0</v>
      </c>
      <c r="O676" s="8" t="s">
        <v>107</v>
      </c>
      <c r="P676" s="8" t="s">
        <v>28</v>
      </c>
      <c r="S676" s="8" t="s">
        <v>32</v>
      </c>
    </row>
    <row r="677">
      <c r="A677" s="8">
        <v>676.0</v>
      </c>
      <c r="B677" s="8" t="s">
        <v>3374</v>
      </c>
      <c r="C677" s="8" t="s">
        <v>21</v>
      </c>
      <c r="D677" s="8">
        <v>81.0</v>
      </c>
      <c r="H677" s="8" t="s">
        <v>1430</v>
      </c>
      <c r="I677" s="9">
        <v>46126.216527777775</v>
      </c>
      <c r="K677" s="8">
        <v>450.0</v>
      </c>
      <c r="L677" s="8">
        <v>250.0</v>
      </c>
      <c r="M677" s="8">
        <v>109000.0</v>
      </c>
      <c r="N677" s="7">
        <v>42596.0</v>
      </c>
      <c r="O677" s="8" t="s">
        <v>1314</v>
      </c>
      <c r="P677" s="8" t="s">
        <v>28</v>
      </c>
      <c r="S677" s="8" t="s">
        <v>32</v>
      </c>
    </row>
    <row r="678">
      <c r="A678" s="8">
        <v>677.0</v>
      </c>
      <c r="B678" s="8" t="s">
        <v>3377</v>
      </c>
      <c r="C678" s="8" t="s">
        <v>21</v>
      </c>
      <c r="D678" s="8">
        <v>64.0</v>
      </c>
      <c r="H678" s="8" t="s">
        <v>3136</v>
      </c>
      <c r="I678" s="9">
        <v>46147.63239583333</v>
      </c>
      <c r="J678" s="8" t="s">
        <v>96</v>
      </c>
      <c r="K678" s="8">
        <v>30.0</v>
      </c>
      <c r="L678" s="8">
        <v>70.0</v>
      </c>
      <c r="M678" s="8">
        <v>46000.0</v>
      </c>
      <c r="N678" s="7">
        <v>43895.0</v>
      </c>
      <c r="O678" s="8" t="s">
        <v>147</v>
      </c>
      <c r="P678" s="8" t="s">
        <v>28</v>
      </c>
      <c r="S678" s="8" t="s">
        <v>32</v>
      </c>
    </row>
    <row r="679">
      <c r="A679" s="8">
        <v>678.0</v>
      </c>
      <c r="B679" s="8" t="s">
        <v>3380</v>
      </c>
      <c r="C679" s="8" t="s">
        <v>21</v>
      </c>
      <c r="D679" s="8">
        <v>68.0</v>
      </c>
      <c r="H679" s="8" t="s">
        <v>701</v>
      </c>
      <c r="I679" s="9">
        <v>46111.90351851852</v>
      </c>
      <c r="J679" s="8" t="s">
        <v>90</v>
      </c>
      <c r="K679" s="8">
        <v>100.0</v>
      </c>
      <c r="L679" s="8">
        <v>20.0</v>
      </c>
      <c r="M679" s="8">
        <v>319000.0</v>
      </c>
      <c r="N679" s="7">
        <v>44015.0</v>
      </c>
      <c r="O679" s="8" t="s">
        <v>26</v>
      </c>
      <c r="P679" s="8" t="s">
        <v>28</v>
      </c>
      <c r="S679" s="8" t="s">
        <v>32</v>
      </c>
    </row>
    <row r="680">
      <c r="N680" s="7"/>
    </row>
    <row r="681">
      <c r="N681" s="7"/>
    </row>
    <row r="682">
      <c r="N682" s="7"/>
    </row>
    <row r="683">
      <c r="N683" s="7"/>
    </row>
    <row r="684">
      <c r="N684" s="7"/>
    </row>
    <row r="685">
      <c r="N685" s="7"/>
    </row>
    <row r="686">
      <c r="N686" s="7"/>
    </row>
    <row r="687">
      <c r="N687" s="7"/>
    </row>
    <row r="688">
      <c r="N688" s="7"/>
    </row>
    <row r="689">
      <c r="N689" s="7"/>
    </row>
    <row r="690">
      <c r="N690" s="7"/>
    </row>
    <row r="691">
      <c r="N691" s="7"/>
    </row>
    <row r="692">
      <c r="N692" s="7"/>
    </row>
    <row r="693">
      <c r="N693" s="7"/>
    </row>
    <row r="694">
      <c r="N694" s="7"/>
    </row>
    <row r="695">
      <c r="N695" s="7"/>
    </row>
    <row r="696">
      <c r="N696" s="7"/>
    </row>
    <row r="697">
      <c r="N697" s="7"/>
    </row>
    <row r="698">
      <c r="N698" s="7"/>
    </row>
    <row r="699">
      <c r="N699" s="7"/>
    </row>
    <row r="700">
      <c r="N700" s="7"/>
    </row>
    <row r="701">
      <c r="N701" s="7"/>
    </row>
    <row r="702">
      <c r="N702" s="7"/>
    </row>
    <row r="703">
      <c r="N703" s="7"/>
    </row>
    <row r="704">
      <c r="N704" s="7"/>
    </row>
    <row r="705">
      <c r="N705" s="7"/>
    </row>
    <row r="706">
      <c r="N706" s="7"/>
    </row>
    <row r="707">
      <c r="N707" s="7"/>
    </row>
    <row r="708">
      <c r="N708" s="7"/>
    </row>
    <row r="709">
      <c r="N709" s="7"/>
    </row>
    <row r="710">
      <c r="N710" s="7"/>
    </row>
    <row r="711">
      <c r="N711" s="7"/>
    </row>
    <row r="712">
      <c r="N712" s="7"/>
    </row>
    <row r="713">
      <c r="N713" s="7"/>
    </row>
    <row r="714">
      <c r="N714" s="7"/>
    </row>
    <row r="715">
      <c r="N715" s="7"/>
    </row>
    <row r="716">
      <c r="N716" s="7"/>
    </row>
    <row r="717">
      <c r="N717" s="7"/>
    </row>
    <row r="718">
      <c r="N718" s="7"/>
    </row>
    <row r="719">
      <c r="N719" s="7"/>
    </row>
    <row r="720">
      <c r="N720" s="7"/>
    </row>
    <row r="721">
      <c r="N721" s="7"/>
    </row>
    <row r="722">
      <c r="N722" s="7"/>
    </row>
    <row r="723">
      <c r="N723" s="7"/>
    </row>
    <row r="724">
      <c r="N724" s="7"/>
    </row>
    <row r="725">
      <c r="N725" s="7"/>
    </row>
    <row r="726">
      <c r="N726" s="7"/>
    </row>
    <row r="727">
      <c r="N727" s="7"/>
    </row>
    <row r="728">
      <c r="N728" s="7"/>
    </row>
    <row r="729">
      <c r="N729" s="7"/>
    </row>
    <row r="730">
      <c r="N730" s="7"/>
    </row>
    <row r="731">
      <c r="N731" s="7"/>
    </row>
    <row r="732">
      <c r="N732" s="7"/>
    </row>
    <row r="733">
      <c r="N733" s="7"/>
    </row>
    <row r="734">
      <c r="N734" s="7"/>
    </row>
    <row r="735">
      <c r="N735" s="7"/>
    </row>
    <row r="736">
      <c r="N736" s="7"/>
    </row>
    <row r="737">
      <c r="N737" s="7"/>
    </row>
    <row r="738">
      <c r="N738" s="7"/>
    </row>
    <row r="739">
      <c r="N739" s="7"/>
    </row>
    <row r="740">
      <c r="N740" s="7"/>
    </row>
    <row r="741">
      <c r="N741" s="7"/>
    </row>
    <row r="742">
      <c r="N742" s="7"/>
    </row>
    <row r="743">
      <c r="N743" s="7"/>
    </row>
    <row r="744">
      <c r="N744" s="7"/>
    </row>
    <row r="745">
      <c r="N745" s="7"/>
    </row>
    <row r="746">
      <c r="N746" s="7"/>
    </row>
    <row r="747">
      <c r="N747" s="7"/>
    </row>
    <row r="748">
      <c r="N748" s="7"/>
    </row>
    <row r="749">
      <c r="N749" s="7"/>
    </row>
    <row r="750">
      <c r="N750" s="7"/>
    </row>
    <row r="751">
      <c r="N751" s="7"/>
    </row>
    <row r="752">
      <c r="N752" s="7"/>
    </row>
    <row r="753">
      <c r="N753" s="7"/>
    </row>
    <row r="754">
      <c r="N754" s="7"/>
    </row>
    <row r="755">
      <c r="N755" s="7"/>
    </row>
    <row r="756">
      <c r="N756" s="7"/>
    </row>
    <row r="757">
      <c r="N757" s="7"/>
    </row>
    <row r="758">
      <c r="N758" s="7"/>
    </row>
    <row r="759">
      <c r="N759" s="7"/>
    </row>
    <row r="760">
      <c r="N760" s="7"/>
    </row>
    <row r="761">
      <c r="N761" s="7"/>
    </row>
    <row r="762">
      <c r="N762" s="7"/>
    </row>
    <row r="763">
      <c r="N763" s="7"/>
    </row>
    <row r="764">
      <c r="N764" s="7"/>
    </row>
    <row r="765">
      <c r="N765" s="7"/>
    </row>
    <row r="766">
      <c r="N766" s="7"/>
    </row>
    <row r="767">
      <c r="N767" s="7"/>
    </row>
    <row r="768">
      <c r="N768" s="7"/>
    </row>
    <row r="769">
      <c r="N769" s="7"/>
    </row>
    <row r="770">
      <c r="N770" s="7"/>
    </row>
    <row r="771">
      <c r="N771" s="7"/>
    </row>
    <row r="772">
      <c r="N772" s="7"/>
    </row>
    <row r="773">
      <c r="N773" s="7"/>
    </row>
    <row r="774">
      <c r="N774" s="7"/>
    </row>
    <row r="775">
      <c r="N775" s="7"/>
    </row>
    <row r="776">
      <c r="N776" s="7"/>
    </row>
    <row r="777">
      <c r="N777" s="7"/>
    </row>
    <row r="778">
      <c r="N778" s="7"/>
    </row>
    <row r="779">
      <c r="N779" s="7"/>
    </row>
    <row r="780">
      <c r="N780" s="7"/>
    </row>
    <row r="781">
      <c r="N781" s="7"/>
    </row>
    <row r="782">
      <c r="N782" s="7"/>
    </row>
    <row r="783">
      <c r="N783" s="7"/>
    </row>
    <row r="784">
      <c r="N784" s="7"/>
    </row>
    <row r="785">
      <c r="N785" s="7"/>
    </row>
    <row r="786">
      <c r="N786" s="7"/>
    </row>
    <row r="787">
      <c r="N787" s="7"/>
    </row>
    <row r="788">
      <c r="N788" s="7"/>
    </row>
    <row r="789">
      <c r="N789" s="7"/>
    </row>
    <row r="790">
      <c r="N790" s="7"/>
    </row>
    <row r="791">
      <c r="N791" s="7"/>
    </row>
    <row r="792">
      <c r="N792" s="7"/>
    </row>
    <row r="793">
      <c r="N793" s="7"/>
    </row>
    <row r="794">
      <c r="N794" s="7"/>
    </row>
    <row r="795">
      <c r="N795" s="7"/>
    </row>
    <row r="796">
      <c r="N796" s="7"/>
    </row>
    <row r="797">
      <c r="N797" s="7"/>
    </row>
    <row r="798">
      <c r="N798" s="7"/>
    </row>
    <row r="799">
      <c r="N799" s="7"/>
    </row>
    <row r="800">
      <c r="N800" s="7"/>
    </row>
    <row r="801">
      <c r="N801" s="7"/>
    </row>
    <row r="802">
      <c r="N802" s="7"/>
    </row>
    <row r="803">
      <c r="N803" s="7"/>
    </row>
    <row r="804">
      <c r="N804" s="7"/>
    </row>
    <row r="805">
      <c r="N805" s="7"/>
    </row>
    <row r="806">
      <c r="N806" s="7"/>
    </row>
    <row r="807">
      <c r="N807" s="7"/>
    </row>
    <row r="808">
      <c r="N808" s="7"/>
    </row>
    <row r="809">
      <c r="N809" s="7"/>
    </row>
    <row r="810">
      <c r="N810" s="7"/>
    </row>
    <row r="811">
      <c r="N811" s="7"/>
    </row>
    <row r="812">
      <c r="N812" s="7"/>
    </row>
    <row r="813">
      <c r="N813" s="7"/>
    </row>
    <row r="814">
      <c r="N814" s="7"/>
    </row>
    <row r="815">
      <c r="N815" s="7"/>
    </row>
    <row r="816">
      <c r="N816" s="7"/>
    </row>
    <row r="817">
      <c r="N817" s="7"/>
    </row>
    <row r="818">
      <c r="N818" s="7"/>
    </row>
    <row r="819">
      <c r="N819" s="7"/>
    </row>
    <row r="820">
      <c r="N820" s="7"/>
    </row>
    <row r="821">
      <c r="N821" s="7"/>
    </row>
    <row r="822">
      <c r="N822" s="7"/>
    </row>
    <row r="823">
      <c r="N823" s="7"/>
    </row>
    <row r="824">
      <c r="N824" s="7"/>
    </row>
    <row r="825">
      <c r="N825" s="7"/>
    </row>
    <row r="826">
      <c r="N826" s="7"/>
    </row>
    <row r="827">
      <c r="N827" s="7"/>
    </row>
    <row r="828">
      <c r="N828" s="7"/>
    </row>
    <row r="829">
      <c r="N829" s="7"/>
    </row>
    <row r="830">
      <c r="N830" s="7"/>
    </row>
    <row r="831">
      <c r="N831" s="7"/>
    </row>
    <row r="832">
      <c r="N832" s="7"/>
    </row>
    <row r="833">
      <c r="N833" s="7"/>
    </row>
    <row r="834">
      <c r="N834" s="7"/>
    </row>
    <row r="835">
      <c r="N835" s="7"/>
    </row>
    <row r="836">
      <c r="N836" s="7"/>
    </row>
    <row r="837">
      <c r="N837" s="7"/>
    </row>
    <row r="838">
      <c r="N838" s="7"/>
    </row>
    <row r="839">
      <c r="N839" s="7"/>
    </row>
    <row r="840">
      <c r="N840" s="7"/>
    </row>
    <row r="841">
      <c r="N841" s="7"/>
    </row>
    <row r="842">
      <c r="N842" s="7"/>
    </row>
    <row r="843">
      <c r="N843" s="7"/>
    </row>
    <row r="844">
      <c r="N844" s="7"/>
    </row>
    <row r="845">
      <c r="N845" s="7"/>
    </row>
    <row r="846">
      <c r="N846" s="7"/>
    </row>
    <row r="847">
      <c r="N847" s="7"/>
    </row>
    <row r="848">
      <c r="N848" s="7"/>
    </row>
    <row r="849">
      <c r="N849" s="7"/>
    </row>
    <row r="850">
      <c r="N850" s="7"/>
    </row>
    <row r="851">
      <c r="N851" s="7"/>
    </row>
    <row r="852">
      <c r="N852" s="7"/>
    </row>
    <row r="853">
      <c r="N853" s="7"/>
    </row>
    <row r="854">
      <c r="N854" s="7"/>
    </row>
    <row r="855">
      <c r="N855" s="7"/>
    </row>
    <row r="856">
      <c r="N856" s="7"/>
    </row>
    <row r="857">
      <c r="N857" s="7"/>
    </row>
    <row r="858">
      <c r="N858" s="7"/>
    </row>
    <row r="859">
      <c r="N859" s="7"/>
    </row>
    <row r="860">
      <c r="N860" s="7"/>
    </row>
    <row r="861">
      <c r="N861" s="7"/>
    </row>
    <row r="862">
      <c r="N862" s="7"/>
    </row>
    <row r="863">
      <c r="N863" s="7"/>
    </row>
    <row r="864">
      <c r="N864" s="7"/>
    </row>
    <row r="865">
      <c r="N865" s="7"/>
    </row>
    <row r="866">
      <c r="N866" s="7"/>
    </row>
    <row r="867">
      <c r="N867" s="7"/>
    </row>
    <row r="868">
      <c r="N868" s="7"/>
    </row>
    <row r="869">
      <c r="N869" s="7"/>
    </row>
    <row r="870">
      <c r="N870" s="7"/>
    </row>
    <row r="871">
      <c r="N871" s="7"/>
    </row>
    <row r="872">
      <c r="N872" s="7"/>
    </row>
    <row r="873">
      <c r="N873" s="7"/>
    </row>
    <row r="874">
      <c r="N874" s="7"/>
    </row>
    <row r="875">
      <c r="N875" s="7"/>
    </row>
    <row r="876">
      <c r="N876" s="7"/>
    </row>
    <row r="877">
      <c r="N877" s="7"/>
    </row>
    <row r="878">
      <c r="N878" s="7"/>
    </row>
    <row r="879">
      <c r="N879" s="7"/>
    </row>
    <row r="880">
      <c r="N880" s="7"/>
    </row>
    <row r="881">
      <c r="N881" s="7"/>
    </row>
    <row r="882">
      <c r="N882" s="7"/>
    </row>
    <row r="883">
      <c r="N883" s="7"/>
    </row>
    <row r="884">
      <c r="N884" s="7"/>
    </row>
    <row r="885">
      <c r="N885" s="7"/>
    </row>
    <row r="886">
      <c r="N886" s="7"/>
    </row>
    <row r="887">
      <c r="N887" s="7"/>
    </row>
    <row r="888">
      <c r="N888" s="7"/>
    </row>
    <row r="889">
      <c r="N889" s="7"/>
    </row>
    <row r="890">
      <c r="N890" s="7"/>
    </row>
    <row r="891">
      <c r="N891" s="7"/>
    </row>
    <row r="892">
      <c r="N892" s="7"/>
    </row>
    <row r="893">
      <c r="N893" s="7"/>
    </row>
    <row r="894">
      <c r="N894" s="7"/>
    </row>
    <row r="895">
      <c r="N895" s="7"/>
    </row>
    <row r="896">
      <c r="N896" s="7"/>
    </row>
    <row r="897">
      <c r="N897" s="7"/>
    </row>
    <row r="898">
      <c r="N898" s="7"/>
    </row>
    <row r="899">
      <c r="N899" s="7"/>
    </row>
    <row r="900">
      <c r="N900" s="7"/>
    </row>
    <row r="901">
      <c r="N901" s="7"/>
    </row>
    <row r="902">
      <c r="N902" s="7"/>
    </row>
    <row r="903">
      <c r="N903" s="7"/>
    </row>
    <row r="904">
      <c r="N904" s="7"/>
    </row>
    <row r="905">
      <c r="N905" s="7"/>
    </row>
    <row r="906">
      <c r="N906" s="7"/>
    </row>
    <row r="907">
      <c r="N907" s="7"/>
    </row>
    <row r="908">
      <c r="N908" s="7"/>
    </row>
    <row r="909">
      <c r="N909" s="7"/>
    </row>
    <row r="910">
      <c r="N910" s="7"/>
    </row>
    <row r="911">
      <c r="N911" s="7"/>
    </row>
    <row r="912">
      <c r="N912" s="7"/>
    </row>
    <row r="913">
      <c r="N913" s="7"/>
    </row>
    <row r="914">
      <c r="N914" s="7"/>
    </row>
    <row r="915">
      <c r="N915" s="7"/>
    </row>
    <row r="916">
      <c r="N916" s="7"/>
    </row>
    <row r="917">
      <c r="N917" s="7"/>
    </row>
    <row r="918">
      <c r="N918" s="7"/>
    </row>
    <row r="919">
      <c r="N919" s="7"/>
    </row>
    <row r="920">
      <c r="N920" s="7"/>
    </row>
    <row r="921">
      <c r="N921" s="7"/>
    </row>
    <row r="922">
      <c r="N922" s="7"/>
    </row>
    <row r="923">
      <c r="N923" s="7"/>
    </row>
    <row r="924">
      <c r="N924" s="7"/>
    </row>
    <row r="925">
      <c r="N925" s="7"/>
    </row>
    <row r="926">
      <c r="N926" s="7"/>
    </row>
    <row r="927">
      <c r="N927" s="7"/>
    </row>
    <row r="928">
      <c r="N928" s="7"/>
    </row>
    <row r="929">
      <c r="N929" s="7"/>
    </row>
    <row r="930">
      <c r="N930" s="7"/>
    </row>
    <row r="931">
      <c r="N931" s="7"/>
    </row>
    <row r="932">
      <c r="N932" s="7"/>
    </row>
    <row r="933">
      <c r="N933" s="7"/>
    </row>
    <row r="934">
      <c r="N934" s="7"/>
    </row>
    <row r="935">
      <c r="N935" s="7"/>
    </row>
    <row r="936">
      <c r="N936" s="7"/>
    </row>
    <row r="937">
      <c r="N937" s="7"/>
    </row>
    <row r="938">
      <c r="N938" s="7"/>
    </row>
    <row r="939">
      <c r="N939" s="7"/>
    </row>
    <row r="940">
      <c r="N940" s="7"/>
    </row>
    <row r="941">
      <c r="N941" s="7"/>
    </row>
    <row r="942">
      <c r="N942" s="7"/>
    </row>
    <row r="943">
      <c r="N943" s="7"/>
    </row>
    <row r="944">
      <c r="N944" s="7"/>
    </row>
    <row r="945">
      <c r="N945" s="7"/>
    </row>
    <row r="946">
      <c r="N946" s="7"/>
    </row>
    <row r="947">
      <c r="N947" s="7"/>
    </row>
    <row r="948">
      <c r="N948" s="7"/>
    </row>
    <row r="949">
      <c r="N949" s="7"/>
    </row>
    <row r="950">
      <c r="N950" s="7"/>
    </row>
    <row r="951">
      <c r="N951" s="7"/>
    </row>
    <row r="952">
      <c r="N952" s="7"/>
    </row>
    <row r="953">
      <c r="N953" s="7"/>
    </row>
    <row r="954">
      <c r="N954" s="7"/>
    </row>
    <row r="955">
      <c r="N955" s="7"/>
    </row>
    <row r="956">
      <c r="I956" s="9"/>
      <c r="N956" s="7"/>
    </row>
    <row r="957">
      <c r="N957" s="7"/>
    </row>
    <row r="958">
      <c r="N958" s="7"/>
    </row>
    <row r="959">
      <c r="N959" s="7"/>
    </row>
    <row r="960">
      <c r="N960" s="7"/>
    </row>
    <row r="961">
      <c r="N961" s="7"/>
    </row>
    <row r="962">
      <c r="N962" s="7"/>
    </row>
    <row r="963">
      <c r="N963" s="7"/>
    </row>
    <row r="964">
      <c r="N964" s="7"/>
    </row>
    <row r="965">
      <c r="N965" s="7"/>
    </row>
    <row r="966">
      <c r="N966" s="7"/>
    </row>
    <row r="967">
      <c r="N967" s="7"/>
    </row>
    <row r="968">
      <c r="N968" s="7"/>
    </row>
    <row r="969">
      <c r="N969" s="7"/>
    </row>
    <row r="970">
      <c r="N970" s="7"/>
    </row>
    <row r="971">
      <c r="N971" s="7"/>
    </row>
    <row r="972">
      <c r="N972" s="7"/>
    </row>
    <row r="973">
      <c r="N973" s="7"/>
    </row>
    <row r="974">
      <c r="N974" s="7"/>
    </row>
    <row r="975">
      <c r="N975" s="7"/>
    </row>
    <row r="976">
      <c r="N976" s="7"/>
    </row>
    <row r="977">
      <c r="N977" s="7"/>
    </row>
    <row r="978">
      <c r="N978" s="7"/>
    </row>
    <row r="979">
      <c r="N979" s="7"/>
    </row>
    <row r="980">
      <c r="N980" s="7"/>
    </row>
    <row r="981">
      <c r="N981" s="7"/>
    </row>
    <row r="982">
      <c r="N982" s="7"/>
    </row>
    <row r="983">
      <c r="N983" s="7"/>
    </row>
    <row r="984">
      <c r="N984" s="7"/>
    </row>
    <row r="985">
      <c r="N985" s="7"/>
    </row>
    <row r="986">
      <c r="N986" s="7"/>
    </row>
    <row r="987">
      <c r="N987" s="7"/>
    </row>
    <row r="988">
      <c r="N988" s="7"/>
    </row>
    <row r="989">
      <c r="N989" s="7"/>
    </row>
    <row r="990">
      <c r="N990" s="7"/>
    </row>
    <row r="991">
      <c r="N991" s="7"/>
    </row>
    <row r="992">
      <c r="N992" s="7"/>
    </row>
    <row r="993">
      <c r="N993" s="7"/>
    </row>
    <row r="994">
      <c r="N994" s="7"/>
    </row>
    <row r="995">
      <c r="N995" s="7"/>
    </row>
    <row r="996">
      <c r="N996" s="7"/>
    </row>
    <row r="997">
      <c r="N997" s="7"/>
    </row>
    <row r="998">
      <c r="N998" s="7"/>
    </row>
    <row r="999">
      <c r="N999" s="7"/>
    </row>
    <row r="1000">
      <c r="N1000" s="7"/>
    </row>
    <row r="1001">
      <c r="N1001" s="7"/>
    </row>
    <row r="1002">
      <c r="N1002" s="7"/>
    </row>
    <row r="1003">
      <c r="N1003" s="7"/>
    </row>
    <row r="1004">
      <c r="N1004" s="7"/>
    </row>
    <row r="1005">
      <c r="N1005" s="7"/>
    </row>
    <row r="1006">
      <c r="N1006" s="7"/>
    </row>
    <row r="1007">
      <c r="N1007" s="7"/>
    </row>
    <row r="1008">
      <c r="N1008" s="7"/>
    </row>
    <row r="1009">
      <c r="N1009" s="7"/>
    </row>
    <row r="1010">
      <c r="N1010" s="7"/>
    </row>
    <row r="1011">
      <c r="N1011" s="7"/>
    </row>
    <row r="1012">
      <c r="N1012" s="7"/>
    </row>
    <row r="1013">
      <c r="N1013" s="7"/>
    </row>
    <row r="1014">
      <c r="N1014" s="7"/>
    </row>
    <row r="1015">
      <c r="N1015" s="7"/>
    </row>
    <row r="1016">
      <c r="N1016" s="7"/>
    </row>
    <row r="1017">
      <c r="N1017" s="7"/>
    </row>
    <row r="1018">
      <c r="N1018" s="7"/>
    </row>
    <row r="1019">
      <c r="N1019" s="7"/>
    </row>
    <row r="1020">
      <c r="N1020" s="7"/>
    </row>
    <row r="1021">
      <c r="N1021" s="7"/>
    </row>
    <row r="1022">
      <c r="N1022" s="7"/>
    </row>
    <row r="1023">
      <c r="N1023" s="7"/>
    </row>
    <row r="1024">
      <c r="N1024" s="7"/>
    </row>
    <row r="1025">
      <c r="N1025" s="7"/>
    </row>
    <row r="1026">
      <c r="N1026" s="7"/>
    </row>
    <row r="1027">
      <c r="N1027" s="7"/>
    </row>
    <row r="1028">
      <c r="N1028" s="7"/>
    </row>
    <row r="1029">
      <c r="N1029" s="7"/>
    </row>
    <row r="1030">
      <c r="N1030" s="7"/>
    </row>
    <row r="1031">
      <c r="N1031" s="7"/>
    </row>
    <row r="1032">
      <c r="N1032" s="7"/>
    </row>
    <row r="1033">
      <c r="N1033" s="7"/>
    </row>
    <row r="1034">
      <c r="N1034" s="7"/>
    </row>
    <row r="1035">
      <c r="N1035" s="7"/>
    </row>
    <row r="1036">
      <c r="N1036" s="7"/>
    </row>
    <row r="1037">
      <c r="N1037" s="7"/>
    </row>
    <row r="1038">
      <c r="N1038" s="7"/>
    </row>
    <row r="1039">
      <c r="N1039" s="7"/>
    </row>
    <row r="1040">
      <c r="N1040" s="7"/>
    </row>
    <row r="1041">
      <c r="N1041" s="7"/>
    </row>
    <row r="1042">
      <c r="N1042" s="7"/>
    </row>
    <row r="1043">
      <c r="N1043" s="7"/>
    </row>
    <row r="1044">
      <c r="N1044" s="7"/>
    </row>
    <row r="1045">
      <c r="N1045" s="7"/>
    </row>
    <row r="1046">
      <c r="N1046" s="7"/>
    </row>
    <row r="1047">
      <c r="N1047" s="7"/>
    </row>
    <row r="1048">
      <c r="N1048" s="7"/>
    </row>
    <row r="1049">
      <c r="I1049" s="9"/>
      <c r="N1049" s="7"/>
    </row>
    <row r="1050">
      <c r="N1050" s="7"/>
    </row>
    <row r="1051">
      <c r="N1051" s="7"/>
    </row>
    <row r="1052">
      <c r="N1052" s="7"/>
    </row>
    <row r="1053">
      <c r="N1053" s="7"/>
    </row>
    <row r="1054">
      <c r="N1054" s="7"/>
    </row>
    <row r="1055">
      <c r="N1055" s="7"/>
    </row>
    <row r="1056">
      <c r="N1056" s="7"/>
    </row>
    <row r="1057">
      <c r="N1057" s="7"/>
    </row>
    <row r="1058">
      <c r="N1058" s="7"/>
    </row>
    <row r="1059">
      <c r="N1059" s="7"/>
    </row>
    <row r="1060">
      <c r="N1060" s="7"/>
    </row>
    <row r="1061">
      <c r="N1061" s="7"/>
    </row>
    <row r="1062">
      <c r="N1062" s="7"/>
    </row>
    <row r="1063">
      <c r="N1063" s="7"/>
    </row>
    <row r="1064">
      <c r="N1064" s="7"/>
    </row>
    <row r="1065">
      <c r="N1065" s="7"/>
    </row>
    <row r="1066">
      <c r="N1066" s="7"/>
    </row>
    <row r="1067">
      <c r="N1067" s="7"/>
    </row>
    <row r="1068">
      <c r="N1068" s="7"/>
    </row>
    <row r="1069">
      <c r="N1069" s="7"/>
    </row>
    <row r="1070">
      <c r="N1070" s="7"/>
    </row>
    <row r="1071">
      <c r="N1071" s="7"/>
    </row>
    <row r="1072">
      <c r="N1072" s="7"/>
    </row>
    <row r="1073">
      <c r="N1073" s="7"/>
    </row>
    <row r="1074">
      <c r="N1074" s="7"/>
    </row>
    <row r="1075">
      <c r="N1075" s="7"/>
    </row>
    <row r="1076">
      <c r="N1076" s="7"/>
    </row>
    <row r="1077">
      <c r="N1077" s="7"/>
    </row>
    <row r="1078">
      <c r="N1078" s="7"/>
    </row>
    <row r="1079">
      <c r="N1079" s="7"/>
    </row>
    <row r="1080">
      <c r="N1080" s="7"/>
    </row>
    <row r="1081">
      <c r="N1081" s="7"/>
    </row>
    <row r="1082">
      <c r="N1082" s="7"/>
    </row>
    <row r="1083">
      <c r="N1083" s="7"/>
    </row>
    <row r="1084">
      <c r="N1084" s="7"/>
    </row>
    <row r="1085">
      <c r="N1085" s="7"/>
    </row>
    <row r="1086">
      <c r="N1086" s="7"/>
    </row>
    <row r="1087">
      <c r="N1087" s="7"/>
    </row>
    <row r="1088">
      <c r="N1088" s="7"/>
    </row>
    <row r="1089">
      <c r="N1089" s="7"/>
    </row>
    <row r="1090">
      <c r="N1090" s="7"/>
    </row>
    <row r="1091">
      <c r="N1091" s="7"/>
    </row>
    <row r="1092">
      <c r="N1092" s="7"/>
    </row>
    <row r="1093">
      <c r="N1093" s="7"/>
    </row>
    <row r="1094">
      <c r="N1094" s="7"/>
    </row>
    <row r="1095">
      <c r="N1095" s="7"/>
    </row>
    <row r="1096">
      <c r="N1096" s="7"/>
    </row>
    <row r="1097">
      <c r="N1097" s="7"/>
    </row>
    <row r="1098">
      <c r="N1098" s="7"/>
    </row>
    <row r="1099">
      <c r="N1099" s="7"/>
    </row>
    <row r="1100">
      <c r="N1100" s="7"/>
    </row>
    <row r="1101">
      <c r="N1101" s="7"/>
    </row>
    <row r="1102">
      <c r="N1102" s="7"/>
    </row>
    <row r="1103">
      <c r="N1103" s="7"/>
    </row>
    <row r="1104">
      <c r="N1104" s="7"/>
    </row>
    <row r="1105">
      <c r="N1105" s="7"/>
    </row>
    <row r="1106">
      <c r="N1106" s="7"/>
    </row>
    <row r="1107">
      <c r="N1107" s="7"/>
    </row>
    <row r="1108">
      <c r="N1108" s="7"/>
    </row>
    <row r="1109">
      <c r="N1109" s="7"/>
    </row>
    <row r="1110">
      <c r="N1110" s="7"/>
    </row>
    <row r="1111">
      <c r="N1111" s="7"/>
    </row>
    <row r="1112">
      <c r="N1112" s="7"/>
    </row>
    <row r="1113">
      <c r="N1113" s="7"/>
    </row>
    <row r="1114">
      <c r="N1114" s="7"/>
    </row>
    <row r="1115">
      <c r="N1115" s="7"/>
    </row>
    <row r="1116">
      <c r="I1116" s="9"/>
      <c r="N1116" s="7"/>
    </row>
    <row r="1117">
      <c r="N1117" s="7"/>
    </row>
    <row r="1118">
      <c r="N1118" s="7"/>
    </row>
    <row r="1119">
      <c r="N1119" s="7"/>
    </row>
    <row r="1120">
      <c r="N1120" s="7"/>
    </row>
    <row r="1121">
      <c r="N1121" s="7"/>
    </row>
    <row r="1122">
      <c r="N1122" s="7"/>
    </row>
    <row r="1123">
      <c r="N1123" s="7"/>
    </row>
    <row r="1124">
      <c r="N1124" s="7"/>
    </row>
    <row r="1125">
      <c r="N1125" s="7"/>
    </row>
    <row r="1126">
      <c r="N1126" s="7"/>
    </row>
    <row r="1127">
      <c r="N1127" s="7"/>
    </row>
    <row r="1128">
      <c r="N1128" s="7"/>
    </row>
    <row r="1129">
      <c r="N1129" s="7"/>
    </row>
    <row r="1130">
      <c r="N1130" s="7"/>
    </row>
    <row r="1131">
      <c r="N1131" s="7"/>
    </row>
    <row r="1132">
      <c r="N1132" s="7"/>
    </row>
    <row r="1133">
      <c r="N1133" s="7"/>
    </row>
    <row r="1134">
      <c r="N1134" s="7"/>
    </row>
    <row r="1135">
      <c r="N1135" s="7"/>
    </row>
    <row r="1136">
      <c r="N1136" s="7"/>
    </row>
    <row r="1137">
      <c r="N1137" s="7"/>
    </row>
    <row r="1138">
      <c r="N1138" s="7"/>
    </row>
    <row r="1139">
      <c r="N1139" s="7"/>
    </row>
    <row r="1140">
      <c r="N1140" s="7"/>
    </row>
    <row r="1141">
      <c r="N1141" s="7"/>
    </row>
    <row r="1142">
      <c r="N1142" s="7"/>
    </row>
    <row r="1143">
      <c r="N1143" s="7"/>
    </row>
    <row r="1144">
      <c r="N1144" s="7"/>
    </row>
    <row r="1145">
      <c r="N1145" s="7"/>
    </row>
    <row r="1146">
      <c r="N1146" s="7"/>
    </row>
    <row r="1147">
      <c r="N1147" s="7"/>
    </row>
    <row r="1148">
      <c r="N1148" s="7"/>
    </row>
    <row r="1149">
      <c r="N1149" s="7"/>
    </row>
    <row r="1150">
      <c r="N1150" s="7"/>
    </row>
    <row r="1151">
      <c r="N1151" s="7"/>
    </row>
    <row r="1152">
      <c r="N1152" s="7"/>
    </row>
    <row r="1153">
      <c r="N1153" s="7"/>
    </row>
    <row r="1154">
      <c r="N1154" s="7"/>
    </row>
    <row r="1155">
      <c r="N1155" s="7"/>
    </row>
    <row r="1156">
      <c r="N1156" s="7"/>
    </row>
    <row r="1157">
      <c r="N1157" s="7"/>
    </row>
    <row r="1158">
      <c r="N1158" s="7"/>
    </row>
    <row r="1159">
      <c r="N1159" s="7"/>
    </row>
    <row r="1160">
      <c r="N1160" s="7"/>
    </row>
    <row r="1161">
      <c r="N1161" s="7"/>
    </row>
    <row r="1162">
      <c r="N1162" s="7"/>
    </row>
    <row r="1163">
      <c r="N1163" s="7"/>
    </row>
    <row r="1164">
      <c r="N1164" s="7"/>
    </row>
    <row r="1165">
      <c r="N1165" s="7"/>
    </row>
    <row r="1166">
      <c r="N1166" s="7"/>
    </row>
    <row r="1167">
      <c r="N1167" s="7"/>
    </row>
    <row r="1168">
      <c r="N1168" s="7"/>
    </row>
    <row r="1169">
      <c r="N1169" s="7"/>
    </row>
    <row r="1170">
      <c r="N1170" s="7"/>
    </row>
    <row r="1171">
      <c r="N1171" s="7"/>
    </row>
    <row r="1172">
      <c r="N1172" s="7"/>
    </row>
    <row r="1173">
      <c r="N1173" s="7"/>
    </row>
    <row r="1174">
      <c r="N1174" s="7"/>
    </row>
    <row r="1175">
      <c r="N1175" s="7"/>
    </row>
    <row r="1176">
      <c r="N1176" s="7"/>
    </row>
    <row r="1177">
      <c r="N1177" s="7"/>
    </row>
    <row r="1178">
      <c r="N1178" s="7"/>
    </row>
    <row r="1179">
      <c r="N1179" s="7"/>
    </row>
    <row r="1180">
      <c r="N1180" s="7"/>
    </row>
    <row r="1181">
      <c r="N1181" s="7"/>
    </row>
    <row r="1182">
      <c r="N1182" s="7"/>
    </row>
    <row r="1183">
      <c r="N1183" s="7"/>
    </row>
    <row r="1184">
      <c r="N1184" s="7"/>
    </row>
    <row r="1185">
      <c r="N1185" s="7"/>
    </row>
    <row r="1186">
      <c r="N1186" s="7"/>
    </row>
    <row r="1187">
      <c r="N1187" s="7"/>
    </row>
    <row r="1188">
      <c r="N1188" s="7"/>
    </row>
    <row r="1189">
      <c r="N1189" s="7"/>
    </row>
    <row r="1190">
      <c r="N1190" s="7"/>
    </row>
    <row r="1191">
      <c r="N1191" s="7"/>
    </row>
    <row r="1192">
      <c r="N1192" s="7"/>
    </row>
    <row r="1193">
      <c r="N1193" s="7"/>
    </row>
    <row r="1194">
      <c r="N1194" s="7"/>
    </row>
    <row r="1195">
      <c r="N1195" s="7"/>
    </row>
    <row r="1196">
      <c r="N1196" s="7"/>
    </row>
    <row r="1197">
      <c r="N1197" s="7"/>
    </row>
    <row r="1198">
      <c r="N1198" s="7"/>
    </row>
    <row r="1199">
      <c r="N1199" s="7"/>
    </row>
    <row r="1200">
      <c r="N1200" s="7"/>
    </row>
    <row r="1201">
      <c r="N1201" s="7"/>
    </row>
    <row r="1202">
      <c r="N1202" s="7"/>
    </row>
    <row r="1203">
      <c r="N1203" s="7"/>
    </row>
    <row r="1204">
      <c r="N1204" s="7"/>
    </row>
    <row r="1205">
      <c r="N1205" s="7"/>
    </row>
    <row r="1206">
      <c r="N1206" s="7"/>
    </row>
    <row r="1207">
      <c r="N1207" s="7"/>
    </row>
    <row r="1208">
      <c r="N1208" s="7"/>
    </row>
    <row r="1209">
      <c r="N1209" s="7"/>
    </row>
    <row r="1210">
      <c r="N1210" s="7"/>
    </row>
    <row r="1211">
      <c r="N1211" s="7"/>
    </row>
    <row r="1212">
      <c r="N1212" s="7"/>
    </row>
    <row r="1213">
      <c r="N1213" s="7"/>
    </row>
    <row r="1214">
      <c r="N1214" s="7"/>
    </row>
    <row r="1215">
      <c r="N1215" s="7"/>
    </row>
    <row r="1216">
      <c r="N1216" s="7"/>
    </row>
    <row r="1217">
      <c r="N1217" s="7"/>
    </row>
    <row r="1218">
      <c r="N1218" s="7"/>
    </row>
    <row r="1219">
      <c r="N1219" s="7"/>
    </row>
    <row r="1220">
      <c r="N1220" s="7"/>
    </row>
    <row r="1221">
      <c r="N1221" s="7"/>
    </row>
    <row r="1222">
      <c r="N1222" s="7"/>
    </row>
    <row r="1223">
      <c r="N1223" s="7"/>
    </row>
    <row r="1224">
      <c r="N1224" s="7"/>
    </row>
    <row r="1225">
      <c r="N1225" s="7"/>
    </row>
    <row r="1226">
      <c r="N1226" s="7"/>
    </row>
    <row r="1227">
      <c r="N1227" s="7"/>
    </row>
    <row r="1228">
      <c r="N1228" s="7"/>
    </row>
    <row r="1229">
      <c r="N1229" s="7"/>
    </row>
    <row r="1230">
      <c r="N1230" s="7"/>
    </row>
    <row r="1231">
      <c r="N1231" s="7"/>
    </row>
    <row r="1232">
      <c r="N1232" s="7"/>
    </row>
    <row r="1233">
      <c r="N1233" s="7"/>
    </row>
    <row r="1234">
      <c r="N1234" s="7"/>
    </row>
    <row r="1235">
      <c r="N1235" s="7"/>
    </row>
    <row r="1236">
      <c r="N1236" s="7"/>
    </row>
    <row r="1237">
      <c r="N1237" s="7"/>
    </row>
    <row r="1238">
      <c r="N1238" s="7"/>
    </row>
    <row r="1239">
      <c r="N1239" s="7"/>
    </row>
    <row r="1240">
      <c r="N1240" s="7"/>
    </row>
    <row r="1241">
      <c r="N1241" s="7"/>
    </row>
    <row r="1242">
      <c r="N1242" s="7"/>
    </row>
    <row r="1243">
      <c r="N1243" s="7"/>
    </row>
    <row r="1244">
      <c r="N1244" s="7"/>
    </row>
    <row r="1245">
      <c r="N1245" s="7"/>
    </row>
    <row r="1246">
      <c r="N1246" s="7"/>
    </row>
    <row r="1247">
      <c r="N1247" s="7"/>
    </row>
    <row r="1248">
      <c r="N1248" s="7"/>
    </row>
    <row r="1249">
      <c r="N1249" s="7"/>
    </row>
    <row r="1250">
      <c r="N1250" s="7"/>
    </row>
    <row r="1251">
      <c r="N1251" s="7"/>
    </row>
    <row r="1252">
      <c r="N1252" s="7"/>
    </row>
    <row r="1253">
      <c r="N1253" s="7"/>
    </row>
    <row r="1254">
      <c r="N1254" s="7"/>
    </row>
    <row r="1255">
      <c r="N1255" s="7"/>
    </row>
    <row r="1256">
      <c r="N1256" s="7"/>
    </row>
    <row r="1257">
      <c r="N1257" s="7"/>
    </row>
    <row r="1258">
      <c r="N1258" s="7"/>
    </row>
    <row r="1259">
      <c r="N1259" s="7"/>
    </row>
    <row r="1260">
      <c r="N1260" s="7"/>
    </row>
    <row r="1261">
      <c r="N1261" s="7"/>
    </row>
    <row r="1262">
      <c r="N1262" s="7"/>
    </row>
    <row r="1263">
      <c r="N1263" s="7"/>
    </row>
    <row r="1264">
      <c r="N1264" s="7"/>
    </row>
    <row r="1265">
      <c r="N1265" s="7"/>
    </row>
    <row r="1266">
      <c r="N1266" s="7"/>
    </row>
    <row r="1267">
      <c r="N1267" s="7"/>
    </row>
    <row r="1268">
      <c r="N1268" s="7"/>
    </row>
    <row r="1269">
      <c r="N1269" s="7"/>
    </row>
    <row r="1270">
      <c r="N1270" s="7"/>
    </row>
    <row r="1271">
      <c r="N1271" s="7"/>
    </row>
    <row r="1272">
      <c r="N1272" s="7"/>
    </row>
    <row r="1273">
      <c r="N1273" s="7"/>
    </row>
    <row r="1274">
      <c r="N1274" s="7"/>
    </row>
    <row r="1275">
      <c r="N1275" s="7"/>
    </row>
    <row r="1276">
      <c r="N1276" s="7"/>
    </row>
    <row r="1277">
      <c r="N1277" s="7"/>
    </row>
    <row r="1278">
      <c r="N1278" s="7"/>
    </row>
    <row r="1279">
      <c r="N1279" s="7"/>
    </row>
    <row r="1280">
      <c r="N1280" s="7"/>
    </row>
    <row r="1281">
      <c r="N1281" s="7"/>
    </row>
    <row r="1282">
      <c r="N1282" s="7"/>
    </row>
    <row r="1283">
      <c r="I1283" s="9"/>
      <c r="N1283" s="7"/>
    </row>
    <row r="1284">
      <c r="N1284" s="7"/>
    </row>
    <row r="1285">
      <c r="N1285" s="7"/>
    </row>
    <row r="1286">
      <c r="N1286" s="7"/>
    </row>
    <row r="1287">
      <c r="N1287" s="7"/>
    </row>
    <row r="1288">
      <c r="N1288" s="7"/>
    </row>
    <row r="1289">
      <c r="N1289" s="7"/>
    </row>
    <row r="1290">
      <c r="N1290" s="7"/>
    </row>
    <row r="1291">
      <c r="N1291" s="7"/>
    </row>
    <row r="1292">
      <c r="N1292" s="7"/>
    </row>
    <row r="1293">
      <c r="N1293" s="7"/>
    </row>
    <row r="1294">
      <c r="N1294" s="7"/>
    </row>
    <row r="1295">
      <c r="N1295" s="7"/>
    </row>
    <row r="1296">
      <c r="N1296" s="7"/>
    </row>
    <row r="1297">
      <c r="N1297" s="7"/>
    </row>
    <row r="1298">
      <c r="N1298" s="7"/>
    </row>
    <row r="1299">
      <c r="N1299" s="7"/>
    </row>
    <row r="1300">
      <c r="N1300" s="7"/>
    </row>
    <row r="1301">
      <c r="N1301" s="7"/>
    </row>
    <row r="1302">
      <c r="N1302" s="7"/>
    </row>
    <row r="1303">
      <c r="N1303" s="7"/>
    </row>
    <row r="1304">
      <c r="N1304" s="7"/>
    </row>
    <row r="1305">
      <c r="N1305" s="7"/>
    </row>
    <row r="1306">
      <c r="N1306" s="7"/>
    </row>
    <row r="1307">
      <c r="N1307" s="7"/>
    </row>
    <row r="1308">
      <c r="N1308" s="7"/>
    </row>
    <row r="1309">
      <c r="N1309" s="7"/>
    </row>
    <row r="1310">
      <c r="N1310" s="7"/>
    </row>
    <row r="1311">
      <c r="N1311" s="7"/>
    </row>
    <row r="1312">
      <c r="N1312" s="7"/>
    </row>
    <row r="1313">
      <c r="N1313" s="7"/>
    </row>
    <row r="1314">
      <c r="N1314" s="7"/>
    </row>
    <row r="1315">
      <c r="N1315" s="7"/>
    </row>
    <row r="1316">
      <c r="N1316" s="7"/>
    </row>
    <row r="1317">
      <c r="N1317" s="7"/>
    </row>
    <row r="1318">
      <c r="N1318" s="7"/>
    </row>
    <row r="1319">
      <c r="N1319" s="7"/>
    </row>
    <row r="1320">
      <c r="N1320" s="7"/>
    </row>
    <row r="1321">
      <c r="N1321" s="7"/>
    </row>
    <row r="1322">
      <c r="N1322" s="7"/>
    </row>
    <row r="1323">
      <c r="N1323" s="7"/>
    </row>
    <row r="1324">
      <c r="N1324" s="7"/>
    </row>
    <row r="1325">
      <c r="N1325" s="7"/>
    </row>
    <row r="1326">
      <c r="N1326" s="7"/>
    </row>
    <row r="1327">
      <c r="N1327" s="7"/>
    </row>
    <row r="1328">
      <c r="I1328" s="9"/>
      <c r="N1328" s="7"/>
    </row>
    <row r="1329">
      <c r="N1329" s="7"/>
    </row>
    <row r="1330">
      <c r="N1330" s="7"/>
    </row>
    <row r="1331">
      <c r="N1331" s="7"/>
    </row>
    <row r="1332">
      <c r="N1332" s="7"/>
    </row>
    <row r="1333">
      <c r="N1333" s="7"/>
    </row>
    <row r="1334">
      <c r="N1334" s="7"/>
    </row>
    <row r="1335">
      <c r="N1335" s="7"/>
    </row>
    <row r="1336">
      <c r="N1336" s="7"/>
    </row>
    <row r="1337">
      <c r="N1337" s="7"/>
    </row>
    <row r="1338">
      <c r="N1338" s="7"/>
    </row>
    <row r="1339">
      <c r="N1339" s="7"/>
    </row>
    <row r="1340">
      <c r="N1340" s="7"/>
    </row>
    <row r="1341">
      <c r="N1341" s="7"/>
    </row>
    <row r="1342">
      <c r="N1342" s="7"/>
    </row>
    <row r="1343">
      <c r="I1343" s="9"/>
      <c r="N1343" s="7"/>
    </row>
    <row r="1344">
      <c r="N1344" s="7"/>
    </row>
    <row r="1345">
      <c r="N1345" s="7"/>
    </row>
    <row r="1346">
      <c r="N1346" s="7"/>
    </row>
    <row r="1347">
      <c r="N1347" s="7"/>
    </row>
    <row r="1348">
      <c r="N1348" s="7"/>
    </row>
    <row r="1349">
      <c r="N1349" s="7"/>
    </row>
    <row r="1350">
      <c r="N1350" s="7"/>
    </row>
    <row r="1351">
      <c r="N1351" s="7"/>
    </row>
    <row r="1352">
      <c r="N1352" s="7"/>
    </row>
    <row r="1353">
      <c r="N1353" s="7"/>
    </row>
    <row r="1354">
      <c r="N1354" s="7"/>
    </row>
    <row r="1355">
      <c r="N1355" s="7"/>
    </row>
    <row r="1356">
      <c r="N1356" s="7"/>
    </row>
    <row r="1357">
      <c r="N1357" s="7"/>
    </row>
    <row r="1358">
      <c r="N1358" s="7"/>
    </row>
    <row r="1359">
      <c r="N1359" s="7"/>
    </row>
    <row r="1360">
      <c r="N1360" s="7"/>
    </row>
    <row r="1361">
      <c r="N1361" s="7"/>
    </row>
    <row r="1362">
      <c r="N1362" s="7"/>
    </row>
    <row r="1363">
      <c r="N1363" s="7"/>
    </row>
    <row r="1364">
      <c r="N1364" s="7"/>
    </row>
    <row r="1365">
      <c r="N1365" s="7"/>
    </row>
    <row r="1366">
      <c r="N1366" s="7"/>
    </row>
    <row r="1367">
      <c r="N1367" s="7"/>
    </row>
    <row r="1368">
      <c r="N1368" s="7"/>
    </row>
    <row r="1369">
      <c r="N1369" s="7"/>
    </row>
    <row r="1370">
      <c r="N1370" s="7"/>
    </row>
    <row r="1371">
      <c r="N1371" s="7"/>
    </row>
    <row r="1372">
      <c r="N1372" s="7"/>
    </row>
    <row r="1373">
      <c r="N1373" s="7"/>
    </row>
    <row r="1374">
      <c r="N1374" s="7"/>
    </row>
    <row r="1375">
      <c r="N1375" s="7"/>
    </row>
    <row r="1376">
      <c r="I1376" s="9"/>
      <c r="N1376" s="7"/>
    </row>
    <row r="1377">
      <c r="N1377" s="7"/>
    </row>
    <row r="1378">
      <c r="N1378" s="7"/>
    </row>
    <row r="1379">
      <c r="N1379" s="7"/>
    </row>
    <row r="1380">
      <c r="N1380" s="7"/>
    </row>
    <row r="1381">
      <c r="N1381" s="7"/>
    </row>
    <row r="1382">
      <c r="N1382" s="7"/>
    </row>
    <row r="1383">
      <c r="N1383" s="7"/>
    </row>
    <row r="1384">
      <c r="N1384" s="7"/>
    </row>
    <row r="1385">
      <c r="N1385" s="7"/>
    </row>
    <row r="1386">
      <c r="N1386" s="7"/>
    </row>
    <row r="1387">
      <c r="N1387" s="7"/>
    </row>
    <row r="1388">
      <c r="N1388" s="7"/>
    </row>
    <row r="1389">
      <c r="N1389" s="7"/>
    </row>
    <row r="1390">
      <c r="N1390" s="7"/>
    </row>
    <row r="1391">
      <c r="N1391" s="7"/>
    </row>
    <row r="1392">
      <c r="N1392" s="7"/>
    </row>
    <row r="1393">
      <c r="N1393" s="7"/>
    </row>
    <row r="1394">
      <c r="N1394" s="7"/>
    </row>
    <row r="1395">
      <c r="N1395" s="7"/>
    </row>
    <row r="1396">
      <c r="N1396" s="7"/>
    </row>
    <row r="1397">
      <c r="N1397" s="7"/>
    </row>
    <row r="1398">
      <c r="N1398" s="7"/>
    </row>
    <row r="1399">
      <c r="N1399" s="7"/>
    </row>
    <row r="1400">
      <c r="N1400" s="7"/>
    </row>
    <row r="1401">
      <c r="N1401" s="7"/>
    </row>
    <row r="1402">
      <c r="N1402" s="7"/>
    </row>
    <row r="1403">
      <c r="N1403" s="7"/>
    </row>
    <row r="1404">
      <c r="N1404" s="7"/>
    </row>
    <row r="1405">
      <c r="N1405" s="7"/>
    </row>
    <row r="1406">
      <c r="N1406" s="7"/>
    </row>
    <row r="1407">
      <c r="N1407" s="7"/>
    </row>
    <row r="1408">
      <c r="N1408" s="7"/>
    </row>
    <row r="1409">
      <c r="N1409" s="7"/>
    </row>
    <row r="1410">
      <c r="N1410" s="7"/>
    </row>
    <row r="1411">
      <c r="N1411" s="7"/>
    </row>
    <row r="1412">
      <c r="N1412" s="7"/>
    </row>
    <row r="1413">
      <c r="N1413" s="7"/>
    </row>
    <row r="1414">
      <c r="N1414" s="7"/>
    </row>
    <row r="1415">
      <c r="N1415" s="7"/>
    </row>
    <row r="1416">
      <c r="N1416" s="7"/>
    </row>
    <row r="1417">
      <c r="N1417" s="7"/>
    </row>
    <row r="1418">
      <c r="N1418" s="7"/>
    </row>
    <row r="1419">
      <c r="N1419" s="7"/>
    </row>
    <row r="1420">
      <c r="N1420" s="7"/>
    </row>
    <row r="1421">
      <c r="N1421" s="7"/>
    </row>
    <row r="1422">
      <c r="N1422" s="7"/>
    </row>
    <row r="1423">
      <c r="N1423" s="7"/>
    </row>
    <row r="1424">
      <c r="N1424" s="7"/>
    </row>
    <row r="1425">
      <c r="N1425" s="7"/>
    </row>
    <row r="1426">
      <c r="N1426" s="7"/>
    </row>
    <row r="1427">
      <c r="N1427" s="7"/>
    </row>
    <row r="1428">
      <c r="N1428" s="7"/>
    </row>
    <row r="1429">
      <c r="N1429" s="7"/>
    </row>
    <row r="1430">
      <c r="N1430" s="7"/>
    </row>
    <row r="1431">
      <c r="N1431" s="7"/>
    </row>
    <row r="1432">
      <c r="N1432" s="7"/>
    </row>
    <row r="1433">
      <c r="N1433" s="7"/>
    </row>
    <row r="1434">
      <c r="N1434" s="7"/>
    </row>
    <row r="1435">
      <c r="N1435" s="7"/>
    </row>
    <row r="1436">
      <c r="N1436" s="7"/>
    </row>
    <row r="1437">
      <c r="N1437" s="7"/>
    </row>
    <row r="1438">
      <c r="N1438" s="7"/>
    </row>
    <row r="1439">
      <c r="N1439" s="7"/>
    </row>
    <row r="1440">
      <c r="N1440" s="7"/>
    </row>
    <row r="1441">
      <c r="N1441" s="7"/>
    </row>
    <row r="1442">
      <c r="N1442" s="7"/>
    </row>
    <row r="1443">
      <c r="N1443" s="7"/>
    </row>
    <row r="1444">
      <c r="N1444" s="7"/>
    </row>
    <row r="1445">
      <c r="N1445" s="7"/>
    </row>
    <row r="1446">
      <c r="N1446" s="7"/>
    </row>
    <row r="1447">
      <c r="N1447" s="7"/>
    </row>
    <row r="1448">
      <c r="N1448" s="7"/>
    </row>
    <row r="1449">
      <c r="N1449" s="7"/>
    </row>
    <row r="1450">
      <c r="N1450" s="7"/>
    </row>
    <row r="1451">
      <c r="N1451" s="7"/>
    </row>
    <row r="1452">
      <c r="N1452" s="7"/>
    </row>
    <row r="1453">
      <c r="N1453" s="7"/>
    </row>
    <row r="1454">
      <c r="N1454" s="7"/>
    </row>
    <row r="1455">
      <c r="N1455" s="7"/>
    </row>
    <row r="1456">
      <c r="N1456" s="7"/>
    </row>
    <row r="1457">
      <c r="N1457" s="7"/>
    </row>
    <row r="1458">
      <c r="N1458" s="7"/>
    </row>
    <row r="1459">
      <c r="N1459" s="7"/>
    </row>
    <row r="1460">
      <c r="N1460" s="7"/>
    </row>
    <row r="1461">
      <c r="N1461" s="7"/>
    </row>
    <row r="1462">
      <c r="N1462" s="7"/>
    </row>
    <row r="1463">
      <c r="N1463" s="7"/>
    </row>
    <row r="1464">
      <c r="N1464" s="7"/>
    </row>
    <row r="1465">
      <c r="N1465" s="7"/>
    </row>
    <row r="1466">
      <c r="N1466" s="7"/>
    </row>
    <row r="1467">
      <c r="N1467" s="7"/>
    </row>
    <row r="1468">
      <c r="N1468" s="7"/>
    </row>
    <row r="1469">
      <c r="N1469" s="7"/>
    </row>
    <row r="1470">
      <c r="N1470" s="7"/>
    </row>
    <row r="1471">
      <c r="N1471" s="7"/>
    </row>
    <row r="1472">
      <c r="N1472" s="7"/>
    </row>
    <row r="1473">
      <c r="N1473" s="7"/>
    </row>
    <row r="1474">
      <c r="N1474" s="7"/>
    </row>
    <row r="1475">
      <c r="N1475" s="7"/>
    </row>
    <row r="1476">
      <c r="N1476" s="7"/>
    </row>
    <row r="1477">
      <c r="N1477" s="7"/>
    </row>
    <row r="1478">
      <c r="N1478" s="7"/>
    </row>
    <row r="1479">
      <c r="N1479" s="7"/>
    </row>
    <row r="1480">
      <c r="N1480" s="7"/>
    </row>
    <row r="1481">
      <c r="N1481" s="7"/>
    </row>
    <row r="1482">
      <c r="N1482" s="7"/>
    </row>
    <row r="1483">
      <c r="N1483" s="7"/>
    </row>
    <row r="1484">
      <c r="N1484" s="7"/>
    </row>
    <row r="1485">
      <c r="N1485" s="7"/>
    </row>
    <row r="1486">
      <c r="N1486" s="7"/>
    </row>
    <row r="1487">
      <c r="N1487" s="7"/>
    </row>
    <row r="1488">
      <c r="N1488" s="7"/>
    </row>
    <row r="1489">
      <c r="N1489" s="7"/>
    </row>
    <row r="1490">
      <c r="N1490" s="7"/>
    </row>
    <row r="1491">
      <c r="N1491" s="7"/>
    </row>
    <row r="1492">
      <c r="N1492" s="7"/>
    </row>
    <row r="1493">
      <c r="N1493" s="7"/>
    </row>
    <row r="1494">
      <c r="N1494" s="7"/>
    </row>
    <row r="1495">
      <c r="N1495" s="7"/>
    </row>
    <row r="1496">
      <c r="N1496" s="7"/>
    </row>
    <row r="1497">
      <c r="N1497" s="7"/>
    </row>
    <row r="1498">
      <c r="N1498" s="7"/>
    </row>
    <row r="1499">
      <c r="N1499" s="7"/>
    </row>
    <row r="1500">
      <c r="N1500" s="7"/>
    </row>
    <row r="1501">
      <c r="N1501" s="7"/>
    </row>
    <row r="1502">
      <c r="N1502" s="7"/>
    </row>
    <row r="1503">
      <c r="N1503" s="7"/>
    </row>
    <row r="1504">
      <c r="N1504" s="7"/>
    </row>
    <row r="1505">
      <c r="N1505" s="7"/>
    </row>
    <row r="1506">
      <c r="N1506" s="7"/>
    </row>
    <row r="1507">
      <c r="N1507" s="7"/>
    </row>
    <row r="1508">
      <c r="N1508" s="7"/>
    </row>
    <row r="1509">
      <c r="N1509" s="7"/>
    </row>
    <row r="1510">
      <c r="N1510" s="7"/>
    </row>
    <row r="1511">
      <c r="N1511" s="7"/>
    </row>
    <row r="1512">
      <c r="N1512" s="7"/>
    </row>
    <row r="1513">
      <c r="N1513" s="7"/>
    </row>
    <row r="1514">
      <c r="N1514" s="7"/>
    </row>
    <row r="1515">
      <c r="N1515" s="7"/>
    </row>
    <row r="1516">
      <c r="N1516" s="7"/>
    </row>
    <row r="1517">
      <c r="N1517" s="7"/>
    </row>
    <row r="1518">
      <c r="N1518" s="7"/>
    </row>
    <row r="1519">
      <c r="N1519" s="7"/>
    </row>
    <row r="1520">
      <c r="N1520" s="7"/>
    </row>
    <row r="1521">
      <c r="N1521" s="7"/>
    </row>
    <row r="1522">
      <c r="N1522" s="7"/>
    </row>
    <row r="1523">
      <c r="N1523" s="7"/>
    </row>
    <row r="1524">
      <c r="N1524" s="7"/>
    </row>
    <row r="1525">
      <c r="N1525" s="7"/>
    </row>
    <row r="1526">
      <c r="N1526" s="7"/>
    </row>
    <row r="1527">
      <c r="N1527" s="7"/>
    </row>
    <row r="1528">
      <c r="N1528" s="7"/>
    </row>
    <row r="1529">
      <c r="N1529" s="7"/>
    </row>
    <row r="1530">
      <c r="N1530" s="7"/>
    </row>
    <row r="1531">
      <c r="N1531" s="7"/>
    </row>
    <row r="1532">
      <c r="N1532" s="7"/>
    </row>
    <row r="1533">
      <c r="N1533" s="7"/>
    </row>
    <row r="1534">
      <c r="N1534" s="7"/>
    </row>
    <row r="1535">
      <c r="N1535" s="7"/>
    </row>
    <row r="1536">
      <c r="N1536" s="7"/>
    </row>
    <row r="1537">
      <c r="N1537" s="7"/>
    </row>
    <row r="1538">
      <c r="N1538" s="7"/>
    </row>
    <row r="1539">
      <c r="N1539" s="7"/>
    </row>
    <row r="1540">
      <c r="N1540" s="7"/>
    </row>
    <row r="1541">
      <c r="N1541" s="7"/>
    </row>
    <row r="1542">
      <c r="N1542" s="7"/>
    </row>
    <row r="1543">
      <c r="N1543" s="7"/>
    </row>
    <row r="1544">
      <c r="N1544" s="7"/>
    </row>
    <row r="1545">
      <c r="N1545" s="7"/>
    </row>
    <row r="1546">
      <c r="N1546" s="7"/>
    </row>
    <row r="1547">
      <c r="N1547" s="7"/>
    </row>
    <row r="1548">
      <c r="N1548" s="7"/>
    </row>
    <row r="1549">
      <c r="N1549" s="7"/>
    </row>
    <row r="1550">
      <c r="N1550" s="7"/>
    </row>
    <row r="1551">
      <c r="N1551" s="7"/>
    </row>
    <row r="1552">
      <c r="N1552" s="7"/>
    </row>
    <row r="1553">
      <c r="N1553" s="7"/>
    </row>
    <row r="1554">
      <c r="N1554" s="7"/>
    </row>
    <row r="1555">
      <c r="N1555" s="7"/>
    </row>
    <row r="1556">
      <c r="I1556" s="9"/>
      <c r="N1556" s="7"/>
    </row>
    <row r="1557">
      <c r="N1557" s="7"/>
    </row>
    <row r="1558">
      <c r="N1558" s="7"/>
    </row>
    <row r="1559">
      <c r="N1559" s="7"/>
    </row>
    <row r="1560">
      <c r="N1560" s="7"/>
    </row>
    <row r="1561">
      <c r="N1561" s="7"/>
    </row>
    <row r="1562">
      <c r="N1562" s="7"/>
    </row>
    <row r="1563">
      <c r="N1563" s="7"/>
    </row>
    <row r="1564">
      <c r="N1564" s="7"/>
    </row>
    <row r="1565">
      <c r="N1565" s="7"/>
    </row>
    <row r="1566">
      <c r="N1566" s="7"/>
    </row>
    <row r="1567">
      <c r="N1567" s="7"/>
    </row>
    <row r="1568">
      <c r="N1568" s="7"/>
    </row>
    <row r="1569">
      <c r="N1569" s="7"/>
    </row>
    <row r="1570">
      <c r="N1570" s="7"/>
    </row>
    <row r="1571">
      <c r="N1571" s="7"/>
    </row>
    <row r="1572">
      <c r="N1572" s="7"/>
    </row>
    <row r="1573">
      <c r="N1573" s="7"/>
    </row>
    <row r="1574">
      <c r="N1574" s="7"/>
    </row>
    <row r="1575">
      <c r="N1575" s="7"/>
    </row>
    <row r="1576">
      <c r="N1576" s="7"/>
    </row>
    <row r="1577">
      <c r="N1577" s="7"/>
    </row>
    <row r="1578">
      <c r="N1578" s="7"/>
    </row>
    <row r="1579">
      <c r="N1579" s="7"/>
    </row>
    <row r="1580">
      <c r="N1580" s="7"/>
    </row>
    <row r="1581">
      <c r="N1581" s="7"/>
    </row>
    <row r="1582">
      <c r="N1582" s="7"/>
    </row>
    <row r="1583">
      <c r="N1583" s="7"/>
    </row>
    <row r="1584">
      <c r="N1584" s="7"/>
    </row>
    <row r="1585">
      <c r="N1585" s="7"/>
    </row>
    <row r="1586">
      <c r="N1586" s="7"/>
    </row>
    <row r="1587">
      <c r="N1587" s="7"/>
    </row>
    <row r="1588">
      <c r="N1588" s="7"/>
    </row>
    <row r="1589">
      <c r="N1589" s="7"/>
    </row>
    <row r="1590">
      <c r="N1590" s="7"/>
    </row>
    <row r="1591">
      <c r="N1591" s="7"/>
    </row>
    <row r="1592">
      <c r="N1592" s="7"/>
    </row>
    <row r="1593">
      <c r="N1593" s="7"/>
    </row>
    <row r="1594">
      <c r="N1594" s="7"/>
    </row>
    <row r="1595">
      <c r="N1595" s="7"/>
    </row>
    <row r="1596">
      <c r="N1596" s="7"/>
    </row>
    <row r="1597">
      <c r="N1597" s="7"/>
    </row>
    <row r="1598">
      <c r="N1598" s="7"/>
    </row>
    <row r="1599">
      <c r="N1599" s="7"/>
    </row>
    <row r="1600">
      <c r="N1600" s="7"/>
    </row>
    <row r="1601">
      <c r="N1601" s="7"/>
    </row>
    <row r="1602">
      <c r="N1602" s="7"/>
    </row>
    <row r="1603">
      <c r="I1603" s="9"/>
      <c r="N1603" s="7"/>
    </row>
    <row r="1604">
      <c r="N1604" s="7"/>
    </row>
    <row r="1605">
      <c r="N1605" s="7"/>
    </row>
    <row r="1606">
      <c r="N1606" s="7"/>
    </row>
    <row r="1607">
      <c r="N1607" s="7"/>
    </row>
    <row r="1608">
      <c r="N1608" s="7"/>
    </row>
    <row r="1609">
      <c r="N1609" s="7"/>
    </row>
    <row r="1610">
      <c r="N1610" s="7"/>
    </row>
    <row r="1611">
      <c r="N1611" s="7"/>
    </row>
    <row r="1612">
      <c r="N1612" s="7"/>
    </row>
    <row r="1613">
      <c r="N1613" s="7"/>
    </row>
    <row r="1614">
      <c r="N1614" s="7"/>
    </row>
    <row r="1615">
      <c r="N1615" s="7"/>
    </row>
    <row r="1616">
      <c r="N1616" s="7"/>
    </row>
    <row r="1617">
      <c r="N1617" s="7"/>
    </row>
    <row r="1618">
      <c r="N1618" s="7"/>
    </row>
    <row r="1619">
      <c r="N1619" s="7"/>
    </row>
    <row r="1620">
      <c r="N1620" s="7"/>
    </row>
    <row r="1621">
      <c r="N1621" s="7"/>
    </row>
    <row r="1622">
      <c r="N1622" s="7"/>
    </row>
    <row r="1623">
      <c r="N1623" s="7"/>
    </row>
    <row r="1624">
      <c r="N1624" s="7"/>
    </row>
    <row r="1625">
      <c r="N1625" s="7"/>
    </row>
    <row r="1626">
      <c r="N1626" s="7"/>
    </row>
    <row r="1627">
      <c r="N1627" s="7"/>
    </row>
    <row r="1628">
      <c r="N1628" s="7"/>
    </row>
    <row r="1629">
      <c r="N1629" s="7"/>
    </row>
    <row r="1630">
      <c r="N1630" s="7"/>
    </row>
    <row r="1631">
      <c r="N1631" s="7"/>
    </row>
    <row r="1632">
      <c r="N1632" s="7"/>
    </row>
    <row r="1633">
      <c r="N1633" s="7"/>
    </row>
    <row r="1634">
      <c r="N1634" s="7"/>
    </row>
    <row r="1635">
      <c r="N1635" s="7"/>
    </row>
    <row r="1636">
      <c r="N1636" s="7"/>
    </row>
    <row r="1637">
      <c r="N1637" s="7"/>
    </row>
    <row r="1638">
      <c r="N1638" s="7"/>
    </row>
    <row r="1639">
      <c r="N1639" s="7"/>
    </row>
    <row r="1640">
      <c r="N1640" s="7"/>
    </row>
    <row r="1641">
      <c r="N1641" s="7"/>
    </row>
    <row r="1642">
      <c r="N1642" s="7"/>
    </row>
    <row r="1643">
      <c r="N1643" s="7"/>
    </row>
    <row r="1644">
      <c r="N1644" s="7"/>
    </row>
    <row r="1645">
      <c r="N1645" s="7"/>
    </row>
    <row r="1646">
      <c r="N1646" s="7"/>
    </row>
    <row r="1647">
      <c r="N1647" s="7"/>
    </row>
    <row r="1648">
      <c r="N1648" s="7"/>
    </row>
    <row r="1649">
      <c r="N1649" s="7"/>
    </row>
    <row r="1650">
      <c r="N1650" s="7"/>
    </row>
    <row r="1651">
      <c r="N1651" s="7"/>
    </row>
    <row r="1652">
      <c r="N1652" s="7"/>
    </row>
    <row r="1653">
      <c r="N1653" s="7"/>
    </row>
    <row r="1654">
      <c r="N1654" s="7"/>
    </row>
    <row r="1655">
      <c r="N1655" s="7"/>
    </row>
    <row r="1656">
      <c r="N1656" s="7"/>
    </row>
    <row r="1657">
      <c r="N1657" s="7"/>
    </row>
    <row r="1658">
      <c r="N1658" s="7"/>
    </row>
    <row r="1659">
      <c r="N1659" s="7"/>
    </row>
    <row r="1660">
      <c r="N1660" s="7"/>
    </row>
    <row r="1661">
      <c r="N1661" s="7"/>
    </row>
    <row r="1662">
      <c r="N1662" s="7"/>
    </row>
    <row r="1663">
      <c r="N1663" s="7"/>
    </row>
    <row r="1664">
      <c r="N1664" s="7"/>
    </row>
    <row r="1665">
      <c r="N1665" s="7"/>
    </row>
    <row r="1666">
      <c r="N1666" s="7"/>
    </row>
    <row r="1667">
      <c r="N1667" s="7"/>
    </row>
    <row r="1668">
      <c r="N1668" s="7"/>
    </row>
    <row r="1669">
      <c r="N1669" s="7"/>
    </row>
    <row r="1670">
      <c r="N1670" s="7"/>
    </row>
    <row r="1671">
      <c r="N1671" s="7"/>
    </row>
    <row r="1672">
      <c r="N1672" s="7"/>
    </row>
    <row r="1673">
      <c r="N1673" s="7"/>
    </row>
    <row r="1674">
      <c r="N1674" s="7"/>
    </row>
    <row r="1675">
      <c r="N1675" s="7"/>
    </row>
    <row r="1676">
      <c r="N1676" s="7"/>
    </row>
    <row r="1677">
      <c r="N1677" s="7"/>
    </row>
    <row r="1678">
      <c r="N1678" s="7"/>
    </row>
    <row r="1679">
      <c r="N1679" s="7"/>
    </row>
    <row r="1680">
      <c r="N1680" s="7"/>
    </row>
    <row r="1681">
      <c r="N1681" s="7"/>
    </row>
    <row r="1682">
      <c r="N1682" s="7"/>
    </row>
    <row r="1683">
      <c r="N1683" s="7"/>
    </row>
    <row r="1684">
      <c r="N1684" s="7"/>
    </row>
    <row r="1685">
      <c r="N1685" s="7"/>
    </row>
    <row r="1686">
      <c r="N1686" s="7"/>
    </row>
    <row r="1687">
      <c r="N1687" s="7"/>
    </row>
    <row r="1688">
      <c r="N1688" s="7"/>
    </row>
    <row r="1689">
      <c r="N1689" s="7"/>
    </row>
    <row r="1690">
      <c r="N1690" s="7"/>
    </row>
    <row r="1691">
      <c r="N1691" s="7"/>
    </row>
    <row r="1692">
      <c r="N1692" s="7"/>
    </row>
    <row r="1693">
      <c r="N1693" s="7"/>
    </row>
    <row r="1694">
      <c r="N1694" s="7"/>
    </row>
    <row r="1695">
      <c r="N1695" s="7"/>
    </row>
    <row r="1696">
      <c r="N1696" s="7"/>
    </row>
    <row r="1697">
      <c r="N1697" s="7"/>
    </row>
    <row r="1698">
      <c r="N1698" s="7"/>
    </row>
    <row r="1699">
      <c r="N1699" s="7"/>
    </row>
    <row r="1700">
      <c r="N1700" s="7"/>
    </row>
    <row r="1701">
      <c r="N1701" s="7"/>
    </row>
    <row r="1702">
      <c r="N1702" s="7"/>
    </row>
    <row r="1703">
      <c r="N1703" s="7"/>
    </row>
    <row r="1704">
      <c r="N1704" s="7"/>
    </row>
    <row r="1705">
      <c r="N1705" s="7"/>
    </row>
    <row r="1706">
      <c r="N1706" s="7"/>
    </row>
    <row r="1707">
      <c r="N1707" s="7"/>
    </row>
    <row r="1708">
      <c r="N1708" s="7"/>
    </row>
    <row r="1709">
      <c r="N1709" s="7"/>
    </row>
    <row r="1710">
      <c r="N1710" s="7"/>
    </row>
    <row r="1711">
      <c r="N1711" s="7"/>
    </row>
    <row r="1712">
      <c r="N1712" s="7"/>
    </row>
    <row r="1713">
      <c r="N1713" s="7"/>
    </row>
    <row r="1714">
      <c r="N1714" s="7"/>
    </row>
    <row r="1715">
      <c r="N1715" s="7"/>
    </row>
    <row r="1716">
      <c r="N1716" s="7"/>
    </row>
    <row r="1717">
      <c r="N1717" s="7"/>
    </row>
    <row r="1718">
      <c r="N1718" s="7"/>
    </row>
    <row r="1719">
      <c r="N1719" s="7"/>
    </row>
    <row r="1720">
      <c r="N1720" s="7"/>
    </row>
    <row r="1721">
      <c r="N1721" s="7"/>
    </row>
    <row r="1722">
      <c r="N1722" s="7"/>
    </row>
    <row r="1723">
      <c r="N1723" s="7"/>
    </row>
    <row r="1724">
      <c r="N1724" s="7"/>
    </row>
    <row r="1725">
      <c r="N1725" s="7"/>
    </row>
    <row r="1726">
      <c r="N1726" s="7"/>
    </row>
    <row r="1727">
      <c r="N1727" s="7"/>
    </row>
    <row r="1728">
      <c r="N1728" s="7"/>
    </row>
    <row r="1729">
      <c r="N1729" s="7"/>
    </row>
    <row r="1730">
      <c r="N1730" s="7"/>
    </row>
    <row r="1731">
      <c r="N1731" s="7"/>
    </row>
    <row r="1732">
      <c r="N1732" s="7"/>
    </row>
    <row r="1733">
      <c r="N1733" s="7"/>
    </row>
    <row r="1734">
      <c r="N1734" s="7"/>
    </row>
    <row r="1735">
      <c r="N1735" s="7"/>
    </row>
    <row r="1736">
      <c r="N1736" s="7"/>
    </row>
    <row r="1737">
      <c r="N1737" s="7"/>
    </row>
    <row r="1738">
      <c r="N1738" s="7"/>
    </row>
    <row r="1739">
      <c r="N1739" s="7"/>
    </row>
    <row r="1740">
      <c r="N1740" s="7"/>
    </row>
    <row r="1741">
      <c r="N1741" s="7"/>
    </row>
    <row r="1742">
      <c r="N1742" s="7"/>
    </row>
    <row r="1743">
      <c r="N1743" s="7"/>
    </row>
    <row r="1744">
      <c r="N1744" s="7"/>
    </row>
    <row r="1745">
      <c r="N1745" s="7"/>
    </row>
    <row r="1746">
      <c r="N1746" s="7"/>
    </row>
    <row r="1747">
      <c r="N1747" s="7"/>
    </row>
    <row r="1748">
      <c r="N1748" s="7"/>
    </row>
    <row r="1749">
      <c r="N1749" s="7"/>
    </row>
    <row r="1750">
      <c r="N1750" s="7"/>
    </row>
    <row r="1751">
      <c r="N1751" s="7"/>
    </row>
    <row r="1752">
      <c r="N1752" s="7"/>
    </row>
    <row r="1753">
      <c r="N1753" s="7"/>
    </row>
    <row r="1754">
      <c r="N1754" s="7"/>
    </row>
    <row r="1755">
      <c r="N1755" s="7"/>
    </row>
    <row r="1756">
      <c r="N1756" s="7"/>
    </row>
    <row r="1757">
      <c r="N1757" s="7"/>
    </row>
    <row r="1758">
      <c r="N1758" s="7"/>
    </row>
    <row r="1759">
      <c r="N1759" s="7"/>
    </row>
    <row r="1760">
      <c r="N1760" s="7"/>
    </row>
    <row r="1761">
      <c r="N1761" s="7"/>
    </row>
    <row r="1762">
      <c r="N1762" s="7"/>
    </row>
    <row r="1763">
      <c r="N1763" s="7"/>
    </row>
    <row r="1764">
      <c r="N1764" s="7"/>
    </row>
    <row r="1765">
      <c r="N1765" s="7"/>
    </row>
    <row r="1766">
      <c r="N1766" s="7"/>
    </row>
    <row r="1767">
      <c r="N1767" s="7"/>
    </row>
    <row r="1768">
      <c r="N1768" s="7"/>
    </row>
    <row r="1769">
      <c r="N1769" s="7"/>
    </row>
    <row r="1770">
      <c r="N1770" s="7"/>
    </row>
    <row r="1771">
      <c r="N1771" s="7"/>
    </row>
    <row r="1772">
      <c r="N1772" s="7"/>
    </row>
    <row r="1773">
      <c r="N1773" s="7"/>
    </row>
    <row r="1774">
      <c r="N1774" s="7"/>
    </row>
    <row r="1775">
      <c r="N1775" s="7"/>
    </row>
    <row r="1776">
      <c r="N1776" s="7"/>
    </row>
    <row r="1777">
      <c r="N1777" s="7"/>
    </row>
    <row r="1778">
      <c r="N1778" s="7"/>
    </row>
    <row r="1779">
      <c r="N1779" s="7"/>
    </row>
    <row r="1780">
      <c r="N1780" s="7"/>
    </row>
    <row r="1781">
      <c r="N1781" s="7"/>
    </row>
    <row r="1782">
      <c r="N1782" s="7"/>
    </row>
    <row r="1783">
      <c r="N1783" s="7"/>
    </row>
    <row r="1784">
      <c r="N1784" s="7"/>
    </row>
    <row r="1785">
      <c r="N1785" s="7"/>
    </row>
    <row r="1786">
      <c r="N1786" s="7"/>
    </row>
    <row r="1787">
      <c r="N1787" s="7"/>
    </row>
    <row r="1788">
      <c r="N1788" s="7"/>
    </row>
    <row r="1789">
      <c r="N1789" s="7"/>
    </row>
    <row r="1790">
      <c r="N1790" s="7"/>
    </row>
    <row r="1791">
      <c r="N1791" s="7"/>
    </row>
    <row r="1792">
      <c r="N1792" s="7"/>
    </row>
    <row r="1793">
      <c r="N1793" s="7"/>
    </row>
    <row r="1794">
      <c r="N1794" s="7"/>
    </row>
    <row r="1795">
      <c r="N1795" s="7"/>
    </row>
    <row r="1796">
      <c r="N1796" s="7"/>
    </row>
    <row r="1797">
      <c r="N1797" s="7"/>
    </row>
    <row r="1798">
      <c r="N1798" s="7"/>
    </row>
    <row r="1799">
      <c r="N1799" s="7"/>
    </row>
    <row r="1800">
      <c r="N1800" s="7"/>
    </row>
    <row r="1801">
      <c r="N1801" s="7"/>
    </row>
    <row r="1802">
      <c r="N1802" s="7"/>
    </row>
    <row r="1803">
      <c r="N1803" s="7"/>
    </row>
    <row r="1804">
      <c r="N1804" s="7"/>
    </row>
    <row r="1805">
      <c r="N1805" s="7"/>
    </row>
    <row r="1806">
      <c r="N1806" s="7"/>
    </row>
    <row r="1807">
      <c r="N1807" s="7"/>
    </row>
    <row r="1808">
      <c r="N1808" s="7"/>
    </row>
    <row r="1809">
      <c r="N1809" s="7"/>
    </row>
    <row r="1810">
      <c r="N1810" s="7"/>
    </row>
    <row r="1811">
      <c r="N1811" s="7"/>
    </row>
    <row r="1812">
      <c r="N1812" s="7"/>
    </row>
    <row r="1813">
      <c r="N1813" s="7"/>
    </row>
    <row r="1814">
      <c r="N1814" s="7"/>
    </row>
    <row r="1815">
      <c r="N1815" s="7"/>
    </row>
    <row r="1816">
      <c r="N1816" s="7"/>
    </row>
    <row r="1817">
      <c r="N1817" s="7"/>
    </row>
    <row r="1818">
      <c r="N1818" s="7"/>
    </row>
    <row r="1819">
      <c r="N1819" s="7"/>
    </row>
    <row r="1820">
      <c r="N1820" s="7"/>
    </row>
    <row r="1821">
      <c r="N1821" s="7"/>
    </row>
    <row r="1822">
      <c r="N1822" s="7"/>
    </row>
    <row r="1823">
      <c r="N1823" s="7"/>
    </row>
    <row r="1824">
      <c r="N1824" s="7"/>
    </row>
    <row r="1825">
      <c r="N1825" s="7"/>
    </row>
    <row r="1826">
      <c r="N1826" s="7"/>
    </row>
    <row r="1827">
      <c r="N1827" s="7"/>
    </row>
    <row r="1828">
      <c r="N1828" s="7"/>
    </row>
    <row r="1829">
      <c r="N1829" s="7"/>
    </row>
    <row r="1830">
      <c r="N1830" s="7"/>
    </row>
    <row r="1831">
      <c r="N1831" s="7"/>
    </row>
    <row r="1832">
      <c r="N1832" s="7"/>
    </row>
    <row r="1833">
      <c r="N1833" s="7"/>
    </row>
    <row r="1834">
      <c r="N1834" s="7"/>
    </row>
    <row r="1835">
      <c r="N1835" s="7"/>
    </row>
    <row r="1836">
      <c r="N1836" s="7"/>
    </row>
    <row r="1837">
      <c r="N1837" s="7"/>
    </row>
    <row r="1838">
      <c r="N1838" s="7"/>
    </row>
    <row r="1839">
      <c r="N1839" s="7"/>
    </row>
    <row r="1840">
      <c r="N1840" s="7"/>
    </row>
    <row r="1841">
      <c r="N1841" s="7"/>
    </row>
    <row r="1842">
      <c r="N1842" s="7"/>
    </row>
    <row r="1843">
      <c r="N1843" s="7"/>
    </row>
    <row r="1844">
      <c r="N1844" s="7"/>
    </row>
    <row r="1845">
      <c r="N1845" s="7"/>
    </row>
    <row r="1846">
      <c r="N1846" s="7"/>
    </row>
    <row r="1847">
      <c r="N1847" s="7"/>
    </row>
    <row r="1848">
      <c r="N1848" s="7"/>
    </row>
    <row r="1849">
      <c r="N1849" s="7"/>
    </row>
    <row r="1850">
      <c r="N1850" s="7"/>
    </row>
    <row r="1851">
      <c r="N1851" s="7"/>
    </row>
    <row r="1852">
      <c r="N1852" s="7"/>
    </row>
    <row r="1853">
      <c r="N1853" s="7"/>
    </row>
    <row r="1854">
      <c r="N1854" s="7"/>
    </row>
    <row r="1855">
      <c r="N1855" s="7"/>
    </row>
    <row r="1856">
      <c r="N1856" s="7"/>
    </row>
    <row r="1857">
      <c r="N1857" s="7"/>
    </row>
    <row r="1858">
      <c r="N1858" s="7"/>
    </row>
    <row r="1859">
      <c r="N1859" s="7"/>
    </row>
    <row r="1860">
      <c r="N1860" s="7"/>
    </row>
    <row r="1861">
      <c r="I1861" s="9"/>
      <c r="N1861" s="7"/>
    </row>
    <row r="1862">
      <c r="N1862" s="7"/>
    </row>
    <row r="1863">
      <c r="N1863" s="7"/>
    </row>
    <row r="1864">
      <c r="N1864" s="7"/>
    </row>
    <row r="1865">
      <c r="N1865" s="7"/>
    </row>
    <row r="1866">
      <c r="N1866" s="7"/>
    </row>
    <row r="1867">
      <c r="N1867" s="7"/>
    </row>
    <row r="1868">
      <c r="N1868" s="7"/>
    </row>
    <row r="1869">
      <c r="N1869" s="7"/>
    </row>
    <row r="1870">
      <c r="N1870" s="7"/>
    </row>
    <row r="1871">
      <c r="N1871" s="7"/>
    </row>
    <row r="1872">
      <c r="N1872" s="7"/>
    </row>
    <row r="1873">
      <c r="N1873" s="7"/>
    </row>
    <row r="1874">
      <c r="N1874" s="7"/>
    </row>
    <row r="1875">
      <c r="N1875" s="7"/>
    </row>
    <row r="1876">
      <c r="N1876" s="7"/>
    </row>
    <row r="1877">
      <c r="N1877" s="7"/>
    </row>
    <row r="1878">
      <c r="N1878" s="7"/>
    </row>
    <row r="1879">
      <c r="N1879" s="7"/>
    </row>
    <row r="1880">
      <c r="N1880" s="7"/>
    </row>
    <row r="1881">
      <c r="N1881" s="7"/>
    </row>
    <row r="1882">
      <c r="N1882" s="7"/>
    </row>
    <row r="1883">
      <c r="N1883" s="7"/>
    </row>
    <row r="1884">
      <c r="I1884" s="9"/>
      <c r="N1884" s="7"/>
    </row>
    <row r="1885">
      <c r="N1885" s="7"/>
    </row>
    <row r="1886">
      <c r="N1886" s="7"/>
    </row>
    <row r="1887">
      <c r="N1887" s="7"/>
    </row>
    <row r="1888">
      <c r="N1888" s="7"/>
    </row>
    <row r="1889">
      <c r="N1889" s="7"/>
    </row>
    <row r="1890">
      <c r="N1890" s="7"/>
    </row>
    <row r="1891">
      <c r="N1891" s="7"/>
    </row>
    <row r="1892">
      <c r="N1892" s="7"/>
    </row>
    <row r="1893">
      <c r="N1893" s="7"/>
    </row>
    <row r="1894">
      <c r="N1894" s="7"/>
    </row>
    <row r="1895">
      <c r="N1895" s="7"/>
    </row>
    <row r="1896">
      <c r="N1896" s="7"/>
    </row>
    <row r="1897">
      <c r="N1897" s="7"/>
    </row>
    <row r="1898">
      <c r="N1898" s="7"/>
    </row>
    <row r="1899">
      <c r="N1899" s="7"/>
    </row>
    <row r="1900">
      <c r="N1900" s="7"/>
    </row>
    <row r="1901">
      <c r="N1901" s="7"/>
    </row>
    <row r="1902">
      <c r="N1902" s="7"/>
    </row>
    <row r="1903">
      <c r="N1903" s="7"/>
    </row>
    <row r="1904">
      <c r="N1904" s="7"/>
    </row>
    <row r="1905">
      <c r="N1905" s="7"/>
    </row>
    <row r="1906">
      <c r="N1906" s="7"/>
    </row>
    <row r="1907">
      <c r="N1907" s="7"/>
    </row>
    <row r="1908">
      <c r="N1908" s="7"/>
    </row>
    <row r="1909">
      <c r="N1909" s="7"/>
    </row>
    <row r="1910">
      <c r="N1910" s="7"/>
    </row>
    <row r="1911">
      <c r="N1911" s="7"/>
    </row>
    <row r="1912">
      <c r="N1912" s="7"/>
    </row>
    <row r="1913">
      <c r="N1913" s="7"/>
    </row>
    <row r="1914">
      <c r="N1914" s="7"/>
    </row>
    <row r="1915">
      <c r="N1915" s="7"/>
    </row>
    <row r="1916">
      <c r="N1916" s="7"/>
    </row>
    <row r="1917">
      <c r="N1917" s="7"/>
    </row>
    <row r="1918">
      <c r="N1918" s="7"/>
    </row>
    <row r="1919">
      <c r="N1919" s="7"/>
    </row>
    <row r="1920">
      <c r="N1920" s="7"/>
    </row>
    <row r="1921">
      <c r="N1921" s="7"/>
    </row>
    <row r="1922">
      <c r="N1922" s="7"/>
    </row>
    <row r="1923">
      <c r="N1923" s="7"/>
    </row>
    <row r="1924">
      <c r="N1924" s="7"/>
    </row>
    <row r="1925">
      <c r="N1925" s="7"/>
    </row>
    <row r="1926">
      <c r="N1926" s="7"/>
    </row>
    <row r="1927">
      <c r="N1927" s="7"/>
    </row>
    <row r="1928">
      <c r="N1928" s="7"/>
    </row>
    <row r="1929">
      <c r="N1929" s="7"/>
    </row>
    <row r="1930">
      <c r="N1930" s="7"/>
    </row>
    <row r="1931">
      <c r="N1931" s="7"/>
    </row>
    <row r="1932">
      <c r="N1932" s="7"/>
    </row>
    <row r="1933">
      <c r="N1933" s="7"/>
    </row>
    <row r="1934">
      <c r="N1934" s="7"/>
    </row>
    <row r="1935">
      <c r="N1935" s="7"/>
    </row>
    <row r="1936">
      <c r="N1936" s="7"/>
    </row>
    <row r="1937">
      <c r="N1937" s="7"/>
    </row>
    <row r="1938">
      <c r="N1938" s="7"/>
    </row>
    <row r="1939">
      <c r="N1939" s="7"/>
    </row>
    <row r="1940">
      <c r="N1940" s="7"/>
    </row>
    <row r="1941">
      <c r="N1941" s="7"/>
    </row>
    <row r="1942">
      <c r="N1942" s="7"/>
    </row>
    <row r="1943">
      <c r="N1943" s="7"/>
    </row>
    <row r="1944">
      <c r="N1944" s="7"/>
    </row>
    <row r="1945">
      <c r="N1945" s="7"/>
    </row>
    <row r="1946">
      <c r="N1946" s="7"/>
    </row>
    <row r="1947">
      <c r="N1947" s="7"/>
    </row>
    <row r="1948">
      <c r="N1948" s="7"/>
    </row>
    <row r="1949">
      <c r="N1949" s="7"/>
    </row>
    <row r="1950">
      <c r="N1950" s="7"/>
    </row>
    <row r="1951">
      <c r="N1951" s="7"/>
    </row>
    <row r="1952">
      <c r="N1952" s="7"/>
    </row>
    <row r="1953">
      <c r="N1953" s="7"/>
    </row>
    <row r="1954">
      <c r="N1954" s="7"/>
    </row>
    <row r="1955">
      <c r="N1955" s="7"/>
    </row>
    <row r="1956">
      <c r="N1956" s="7"/>
    </row>
    <row r="1957">
      <c r="N1957" s="7"/>
    </row>
    <row r="1958">
      <c r="N1958" s="7"/>
    </row>
    <row r="1959">
      <c r="N1959" s="7"/>
    </row>
    <row r="1960">
      <c r="N1960" s="7"/>
    </row>
    <row r="1961">
      <c r="N1961" s="7"/>
    </row>
    <row r="1962">
      <c r="N1962" s="7"/>
    </row>
    <row r="1963">
      <c r="N1963" s="7"/>
    </row>
    <row r="1964">
      <c r="N1964" s="7"/>
    </row>
    <row r="1965">
      <c r="N1965" s="7"/>
    </row>
    <row r="1966">
      <c r="N1966" s="7"/>
    </row>
    <row r="1967">
      <c r="N1967" s="7"/>
    </row>
    <row r="1968">
      <c r="N1968" s="7"/>
    </row>
    <row r="1969">
      <c r="N1969" s="7"/>
    </row>
    <row r="1970">
      <c r="N1970" s="7"/>
    </row>
    <row r="1971">
      <c r="N1971" s="7"/>
    </row>
    <row r="1972">
      <c r="N1972" s="7"/>
    </row>
    <row r="1973">
      <c r="N1973" s="7"/>
    </row>
    <row r="1974">
      <c r="N1974" s="7"/>
    </row>
    <row r="1975">
      <c r="N1975" s="7"/>
    </row>
    <row r="1976">
      <c r="N1976" s="7"/>
    </row>
    <row r="1977">
      <c r="N1977" s="7"/>
    </row>
    <row r="1978">
      <c r="N1978" s="7"/>
    </row>
    <row r="1979">
      <c r="N1979" s="7"/>
    </row>
    <row r="1980">
      <c r="N1980" s="7"/>
    </row>
    <row r="1981">
      <c r="N1981" s="7"/>
    </row>
    <row r="1982">
      <c r="N1982" s="7"/>
    </row>
    <row r="1983">
      <c r="N1983" s="7"/>
    </row>
    <row r="1984">
      <c r="N1984" s="7"/>
    </row>
    <row r="1985">
      <c r="N1985" s="7"/>
    </row>
    <row r="1986">
      <c r="N1986" s="7"/>
    </row>
    <row r="1987">
      <c r="N1987" s="7"/>
    </row>
    <row r="1988">
      <c r="N1988" s="7"/>
    </row>
    <row r="1989">
      <c r="N1989" s="7"/>
    </row>
    <row r="1990">
      <c r="N1990" s="7"/>
    </row>
    <row r="1991">
      <c r="N1991" s="7"/>
    </row>
    <row r="1992">
      <c r="N1992" s="7"/>
    </row>
    <row r="1993">
      <c r="N1993" s="7"/>
    </row>
    <row r="1994">
      <c r="I1994" s="9"/>
      <c r="N1994" s="7"/>
    </row>
    <row r="1995">
      <c r="N1995" s="7"/>
    </row>
    <row r="1996">
      <c r="N1996" s="7"/>
    </row>
    <row r="1997">
      <c r="N1997" s="7"/>
    </row>
    <row r="1998">
      <c r="N1998" s="7"/>
    </row>
    <row r="1999">
      <c r="N1999" s="7"/>
    </row>
    <row r="2000">
      <c r="N2000" s="7"/>
    </row>
    <row r="2001">
      <c r="N2001" s="7"/>
    </row>
    <row r="2002">
      <c r="N2002" s="7"/>
    </row>
    <row r="2003">
      <c r="N2003" s="7"/>
    </row>
    <row r="2004">
      <c r="N2004" s="7"/>
    </row>
    <row r="2005">
      <c r="N2005" s="7"/>
    </row>
    <row r="2006">
      <c r="N2006" s="7"/>
    </row>
    <row r="2007">
      <c r="N2007" s="7"/>
    </row>
    <row r="2008">
      <c r="N2008" s="7"/>
    </row>
    <row r="2009">
      <c r="N2009" s="7"/>
    </row>
    <row r="2010">
      <c r="N2010" s="7"/>
    </row>
    <row r="2011">
      <c r="N2011" s="7"/>
    </row>
    <row r="2012">
      <c r="N2012" s="7"/>
    </row>
    <row r="2013">
      <c r="N2013" s="7"/>
    </row>
    <row r="2014">
      <c r="N2014" s="7"/>
    </row>
    <row r="2015">
      <c r="N2015" s="7"/>
    </row>
    <row r="2016">
      <c r="N2016" s="7"/>
    </row>
    <row r="2017">
      <c r="N2017" s="7"/>
    </row>
    <row r="2018">
      <c r="N2018" s="7"/>
    </row>
    <row r="2019">
      <c r="N2019" s="7"/>
    </row>
    <row r="2020">
      <c r="N2020" s="7"/>
    </row>
    <row r="2021">
      <c r="N2021" s="7"/>
    </row>
    <row r="2022">
      <c r="N2022" s="7"/>
    </row>
    <row r="2023">
      <c r="N2023" s="7"/>
    </row>
    <row r="2024">
      <c r="N2024" s="7"/>
    </row>
    <row r="2025">
      <c r="N2025" s="7"/>
    </row>
    <row r="2026">
      <c r="N2026" s="7"/>
    </row>
    <row r="2027">
      <c r="N2027" s="7"/>
    </row>
    <row r="2028">
      <c r="N2028" s="7"/>
    </row>
    <row r="2029">
      <c r="N2029" s="7"/>
    </row>
    <row r="2030">
      <c r="N2030" s="7"/>
    </row>
    <row r="2031">
      <c r="N2031" s="7"/>
    </row>
    <row r="2032">
      <c r="N2032" s="7"/>
    </row>
    <row r="2033">
      <c r="N2033" s="7"/>
    </row>
    <row r="2034">
      <c r="N2034" s="7"/>
    </row>
    <row r="2035">
      <c r="N2035" s="7"/>
    </row>
    <row r="2036">
      <c r="N2036" s="7"/>
    </row>
    <row r="2037">
      <c r="N2037" s="7"/>
    </row>
    <row r="2038">
      <c r="N2038" s="7"/>
    </row>
    <row r="2039">
      <c r="N2039" s="7"/>
    </row>
    <row r="2040">
      <c r="N2040" s="7"/>
    </row>
    <row r="2041">
      <c r="N2041" s="7"/>
    </row>
    <row r="2042">
      <c r="N2042" s="7"/>
    </row>
    <row r="2043">
      <c r="N2043" s="7"/>
    </row>
    <row r="2044">
      <c r="N2044" s="7"/>
    </row>
    <row r="2045">
      <c r="N2045" s="7"/>
    </row>
    <row r="2046">
      <c r="N2046" s="7"/>
    </row>
    <row r="2047">
      <c r="N2047" s="7"/>
    </row>
    <row r="2048">
      <c r="N2048" s="7"/>
    </row>
    <row r="2049">
      <c r="N2049" s="7"/>
    </row>
    <row r="2050">
      <c r="N2050" s="7"/>
    </row>
    <row r="2051">
      <c r="N2051" s="7"/>
    </row>
    <row r="2052">
      <c r="N2052" s="7"/>
    </row>
    <row r="2053">
      <c r="N2053" s="7"/>
    </row>
    <row r="2054">
      <c r="N2054" s="7"/>
    </row>
    <row r="2055">
      <c r="N2055" s="7"/>
    </row>
    <row r="2056">
      <c r="N2056" s="7"/>
    </row>
    <row r="2057">
      <c r="N2057" s="7"/>
    </row>
    <row r="2058">
      <c r="N2058" s="7"/>
    </row>
    <row r="2059">
      <c r="N2059" s="7"/>
    </row>
    <row r="2060">
      <c r="N2060" s="7"/>
    </row>
    <row r="2061">
      <c r="N2061" s="7"/>
    </row>
    <row r="2062">
      <c r="N2062" s="7"/>
    </row>
    <row r="2063">
      <c r="N2063" s="7"/>
    </row>
    <row r="2064">
      <c r="N2064" s="7"/>
    </row>
    <row r="2065">
      <c r="N2065" s="7"/>
    </row>
    <row r="2066">
      <c r="N2066" s="7"/>
    </row>
    <row r="2067">
      <c r="N2067" s="7"/>
    </row>
    <row r="2068">
      <c r="N2068" s="7"/>
    </row>
    <row r="2069">
      <c r="N2069" s="7"/>
    </row>
    <row r="2070">
      <c r="N2070" s="7"/>
    </row>
    <row r="2071">
      <c r="N2071" s="7"/>
    </row>
    <row r="2072">
      <c r="N2072" s="7"/>
    </row>
    <row r="2073">
      <c r="N2073" s="7"/>
    </row>
    <row r="2074">
      <c r="N2074" s="7"/>
    </row>
    <row r="2075">
      <c r="N2075" s="7"/>
    </row>
    <row r="2076">
      <c r="N2076" s="7"/>
    </row>
    <row r="2077">
      <c r="N2077" s="7"/>
    </row>
    <row r="2078">
      <c r="N2078" s="7"/>
    </row>
    <row r="2079">
      <c r="N2079" s="7"/>
    </row>
    <row r="2080">
      <c r="N2080" s="7"/>
    </row>
    <row r="2081">
      <c r="N2081" s="7"/>
    </row>
    <row r="2082">
      <c r="N2082" s="7"/>
    </row>
    <row r="2083">
      <c r="N2083" s="7"/>
    </row>
    <row r="2084">
      <c r="N2084" s="7"/>
    </row>
    <row r="2085">
      <c r="N2085" s="7"/>
    </row>
    <row r="2086">
      <c r="N2086" s="7"/>
    </row>
    <row r="2087">
      <c r="N2087" s="7"/>
    </row>
    <row r="2088">
      <c r="N2088" s="7"/>
    </row>
    <row r="2089">
      <c r="N2089" s="7"/>
    </row>
    <row r="2090">
      <c r="N2090" s="7"/>
    </row>
    <row r="2091">
      <c r="N2091" s="7"/>
    </row>
    <row r="2092">
      <c r="N2092" s="7"/>
    </row>
    <row r="2093">
      <c r="N2093" s="7"/>
    </row>
    <row r="2094">
      <c r="N2094" s="7"/>
    </row>
    <row r="2095">
      <c r="N2095" s="7"/>
    </row>
    <row r="2096">
      <c r="N2096" s="7"/>
    </row>
    <row r="2097">
      <c r="N2097" s="7"/>
    </row>
    <row r="2098">
      <c r="N2098" s="7"/>
    </row>
    <row r="2099">
      <c r="N2099" s="7"/>
    </row>
    <row r="2100">
      <c r="N2100" s="7"/>
    </row>
    <row r="2101">
      <c r="N2101" s="7"/>
    </row>
    <row r="2102">
      <c r="N2102" s="7"/>
    </row>
    <row r="2103">
      <c r="N2103" s="7"/>
    </row>
    <row r="2104">
      <c r="N2104" s="7"/>
    </row>
    <row r="2105">
      <c r="N2105" s="7"/>
    </row>
    <row r="2106">
      <c r="N2106" s="7"/>
    </row>
    <row r="2107">
      <c r="N2107" s="7"/>
    </row>
    <row r="2108">
      <c r="N2108" s="7"/>
    </row>
    <row r="2109">
      <c r="N2109" s="7"/>
    </row>
    <row r="2110">
      <c r="N2110" s="7"/>
    </row>
    <row r="2111">
      <c r="N2111" s="7"/>
    </row>
    <row r="2112">
      <c r="N2112" s="7"/>
    </row>
    <row r="2113">
      <c r="N2113" s="7"/>
    </row>
    <row r="2114">
      <c r="N2114" s="7"/>
    </row>
    <row r="2115">
      <c r="N2115" s="7"/>
    </row>
    <row r="2116">
      <c r="N2116" s="7"/>
    </row>
    <row r="2117">
      <c r="N2117" s="7"/>
    </row>
    <row r="2118">
      <c r="N2118" s="7"/>
    </row>
    <row r="2119">
      <c r="N2119" s="7"/>
    </row>
    <row r="2120">
      <c r="N2120" s="7"/>
    </row>
    <row r="2121">
      <c r="N2121" s="7"/>
    </row>
    <row r="2122">
      <c r="N2122" s="7"/>
    </row>
    <row r="2123">
      <c r="N2123" s="7"/>
    </row>
    <row r="2124">
      <c r="N2124" s="7"/>
    </row>
    <row r="2125">
      <c r="N2125" s="7"/>
    </row>
    <row r="2126">
      <c r="N2126" s="7"/>
    </row>
    <row r="2127">
      <c r="N2127" s="7"/>
    </row>
    <row r="2128">
      <c r="N2128" s="7"/>
    </row>
    <row r="2129">
      <c r="N2129" s="7"/>
    </row>
    <row r="2130">
      <c r="N2130" s="7"/>
    </row>
    <row r="2131">
      <c r="N2131" s="7"/>
    </row>
    <row r="2132">
      <c r="N2132" s="7"/>
    </row>
    <row r="2133">
      <c r="N2133" s="7"/>
    </row>
    <row r="2134">
      <c r="N2134" s="7"/>
    </row>
    <row r="2135">
      <c r="N2135" s="7"/>
    </row>
    <row r="2136">
      <c r="N2136" s="7"/>
    </row>
    <row r="2137">
      <c r="N2137" s="7"/>
    </row>
    <row r="2138">
      <c r="N2138" s="7"/>
    </row>
    <row r="2139">
      <c r="N2139" s="7"/>
    </row>
    <row r="2140">
      <c r="N2140" s="7"/>
    </row>
    <row r="2141">
      <c r="N2141" s="7"/>
    </row>
    <row r="2142">
      <c r="N2142" s="7"/>
    </row>
    <row r="2143">
      <c r="N2143" s="7"/>
    </row>
    <row r="2144">
      <c r="N2144" s="7"/>
    </row>
    <row r="2145">
      <c r="N2145" s="7"/>
    </row>
    <row r="2146">
      <c r="N2146" s="7"/>
    </row>
    <row r="2147">
      <c r="N2147" s="7"/>
    </row>
    <row r="2148">
      <c r="N2148" s="7"/>
    </row>
    <row r="2149">
      <c r="N2149" s="7"/>
    </row>
    <row r="2150">
      <c r="N2150" s="7"/>
    </row>
    <row r="2151">
      <c r="N2151" s="7"/>
    </row>
    <row r="2152">
      <c r="N2152" s="7"/>
    </row>
    <row r="2153">
      <c r="N2153" s="7"/>
    </row>
    <row r="2154">
      <c r="N2154" s="7"/>
    </row>
    <row r="2155">
      <c r="N2155" s="7"/>
    </row>
    <row r="2156">
      <c r="N2156" s="7"/>
    </row>
    <row r="2157">
      <c r="N2157" s="7"/>
    </row>
    <row r="2158">
      <c r="N2158" s="7"/>
    </row>
    <row r="2159">
      <c r="N2159" s="7"/>
    </row>
    <row r="2160">
      <c r="N2160" s="7"/>
    </row>
    <row r="2161">
      <c r="N2161" s="7"/>
    </row>
    <row r="2162">
      <c r="N2162" s="7"/>
    </row>
    <row r="2163">
      <c r="N2163" s="7"/>
    </row>
    <row r="2164">
      <c r="N2164" s="7"/>
    </row>
    <row r="2165">
      <c r="N2165" s="7"/>
    </row>
    <row r="2166">
      <c r="N2166" s="7"/>
    </row>
    <row r="2167">
      <c r="N2167" s="7"/>
    </row>
    <row r="2168">
      <c r="N2168" s="7"/>
    </row>
    <row r="2169">
      <c r="N2169" s="7"/>
    </row>
    <row r="2170">
      <c r="N2170" s="7"/>
    </row>
    <row r="2171">
      <c r="N2171" s="7"/>
    </row>
    <row r="2172">
      <c r="N2172" s="7"/>
    </row>
    <row r="2173">
      <c r="N2173" s="7"/>
    </row>
    <row r="2174">
      <c r="N2174" s="7"/>
    </row>
    <row r="2175">
      <c r="N2175" s="7"/>
    </row>
    <row r="2176">
      <c r="N2176" s="7"/>
    </row>
    <row r="2177">
      <c r="N2177" s="7"/>
    </row>
    <row r="2178">
      <c r="N2178" s="7"/>
    </row>
    <row r="2179">
      <c r="N2179" s="7"/>
    </row>
    <row r="2180">
      <c r="N2180" s="7"/>
    </row>
    <row r="2181">
      <c r="N2181" s="7"/>
    </row>
    <row r="2182">
      <c r="N2182" s="7"/>
    </row>
    <row r="2183">
      <c r="N2183" s="7"/>
    </row>
    <row r="2184">
      <c r="I2184" s="9"/>
      <c r="N2184" s="7"/>
    </row>
    <row r="2185">
      <c r="N2185" s="7"/>
    </row>
    <row r="2186">
      <c r="N2186" s="7"/>
    </row>
    <row r="2187">
      <c r="N2187" s="7"/>
    </row>
    <row r="2188">
      <c r="N2188" s="7"/>
    </row>
    <row r="2189">
      <c r="N2189" s="7"/>
    </row>
    <row r="2190">
      <c r="N2190" s="7"/>
    </row>
    <row r="2191">
      <c r="N2191" s="7"/>
    </row>
    <row r="2192">
      <c r="N2192" s="7"/>
    </row>
    <row r="2193">
      <c r="N2193" s="7"/>
    </row>
    <row r="2194">
      <c r="N2194" s="7"/>
    </row>
    <row r="2195">
      <c r="N2195" s="7"/>
    </row>
    <row r="2196">
      <c r="N2196" s="7"/>
    </row>
    <row r="2197">
      <c r="N2197" s="7"/>
    </row>
    <row r="2198">
      <c r="N2198" s="7"/>
    </row>
    <row r="2199">
      <c r="N2199" s="7"/>
    </row>
    <row r="2200">
      <c r="N2200" s="7"/>
    </row>
    <row r="2201">
      <c r="N2201" s="7"/>
    </row>
    <row r="2202">
      <c r="N2202" s="7"/>
    </row>
    <row r="2203">
      <c r="N2203" s="7"/>
    </row>
    <row r="2204">
      <c r="N2204" s="7"/>
    </row>
    <row r="2205">
      <c r="N2205" s="7"/>
    </row>
    <row r="2206">
      <c r="N2206" s="7"/>
    </row>
    <row r="2207">
      <c r="N2207" s="7"/>
    </row>
    <row r="2208">
      <c r="N2208" s="7"/>
    </row>
    <row r="2209">
      <c r="N2209" s="7"/>
    </row>
    <row r="2210">
      <c r="N2210" s="7"/>
    </row>
    <row r="2211">
      <c r="N2211" s="7"/>
    </row>
    <row r="2212">
      <c r="N2212" s="7"/>
    </row>
    <row r="2213">
      <c r="N2213" s="7"/>
    </row>
    <row r="2214">
      <c r="N2214" s="7"/>
    </row>
    <row r="2215">
      <c r="N2215" s="7"/>
    </row>
    <row r="2216">
      <c r="N2216" s="7"/>
    </row>
    <row r="2217">
      <c r="N2217" s="7"/>
    </row>
    <row r="2218">
      <c r="N2218" s="7"/>
    </row>
    <row r="2219">
      <c r="N2219" s="7"/>
    </row>
    <row r="2220">
      <c r="N2220" s="7"/>
    </row>
    <row r="2221">
      <c r="N2221" s="7"/>
    </row>
    <row r="2222">
      <c r="N2222" s="7"/>
    </row>
    <row r="2223">
      <c r="N2223" s="7"/>
    </row>
    <row r="2224">
      <c r="N2224" s="7"/>
    </row>
    <row r="2225">
      <c r="N2225" s="7"/>
    </row>
    <row r="2226">
      <c r="N2226" s="7"/>
    </row>
    <row r="2227">
      <c r="N2227" s="7"/>
    </row>
    <row r="2228">
      <c r="N2228" s="7"/>
    </row>
    <row r="2229">
      <c r="N2229" s="7"/>
    </row>
    <row r="2230">
      <c r="N2230" s="7"/>
    </row>
    <row r="2231">
      <c r="N2231" s="7"/>
    </row>
    <row r="2232">
      <c r="N2232" s="7"/>
    </row>
    <row r="2233">
      <c r="N2233" s="7"/>
    </row>
    <row r="2234">
      <c r="N2234" s="7"/>
    </row>
    <row r="2235">
      <c r="N2235" s="7"/>
    </row>
    <row r="2236">
      <c r="N2236" s="7"/>
    </row>
    <row r="2237">
      <c r="N2237" s="7"/>
    </row>
    <row r="2238">
      <c r="N2238" s="7"/>
    </row>
    <row r="2239">
      <c r="N2239" s="7"/>
    </row>
    <row r="2240">
      <c r="N2240" s="7"/>
    </row>
    <row r="2241">
      <c r="N2241" s="7"/>
    </row>
    <row r="2242">
      <c r="N2242" s="7"/>
    </row>
    <row r="2243">
      <c r="N2243" s="7"/>
    </row>
    <row r="2244">
      <c r="N2244" s="7"/>
    </row>
    <row r="2245">
      <c r="N2245" s="7"/>
    </row>
    <row r="2246">
      <c r="N2246" s="7"/>
    </row>
    <row r="2247">
      <c r="N2247" s="7"/>
    </row>
    <row r="2248">
      <c r="N2248" s="7"/>
    </row>
    <row r="2249">
      <c r="N2249" s="7"/>
    </row>
    <row r="2250">
      <c r="N2250" s="7"/>
    </row>
    <row r="2251">
      <c r="N2251" s="7"/>
    </row>
    <row r="2252">
      <c r="N2252" s="7"/>
    </row>
    <row r="2253">
      <c r="N2253" s="7"/>
    </row>
    <row r="2254">
      <c r="N2254" s="7"/>
    </row>
    <row r="2255">
      <c r="N2255" s="7"/>
    </row>
    <row r="2256">
      <c r="N2256" s="7"/>
    </row>
    <row r="2257">
      <c r="N2257" s="7"/>
    </row>
    <row r="2258">
      <c r="N2258" s="7"/>
    </row>
    <row r="2259">
      <c r="N2259" s="7"/>
    </row>
    <row r="2260">
      <c r="N2260" s="7"/>
    </row>
    <row r="2261">
      <c r="N2261" s="7"/>
    </row>
    <row r="2262">
      <c r="N2262" s="7"/>
    </row>
    <row r="2263">
      <c r="N2263" s="7"/>
    </row>
    <row r="2264">
      <c r="N2264" s="7"/>
    </row>
    <row r="2265">
      <c r="N2265" s="7"/>
    </row>
    <row r="2266">
      <c r="N2266" s="7"/>
    </row>
    <row r="2267">
      <c r="N2267" s="7"/>
    </row>
    <row r="2268">
      <c r="N2268" s="7"/>
    </row>
    <row r="2269">
      <c r="N2269" s="7"/>
    </row>
    <row r="2270">
      <c r="N2270" s="7"/>
    </row>
    <row r="2271">
      <c r="N2271" s="7"/>
    </row>
    <row r="2272">
      <c r="N2272" s="7"/>
    </row>
    <row r="2273">
      <c r="N2273" s="7"/>
    </row>
    <row r="2274">
      <c r="N2274" s="7"/>
    </row>
    <row r="2275">
      <c r="N2275" s="7"/>
    </row>
    <row r="2276">
      <c r="N2276" s="7"/>
    </row>
    <row r="2277">
      <c r="N2277" s="7"/>
    </row>
    <row r="2278">
      <c r="N2278" s="7"/>
    </row>
    <row r="2279">
      <c r="N2279" s="7"/>
    </row>
    <row r="2280">
      <c r="N2280" s="7"/>
    </row>
    <row r="2281">
      <c r="N2281" s="7"/>
    </row>
    <row r="2282">
      <c r="N2282" s="7"/>
    </row>
    <row r="2283">
      <c r="N2283" s="7"/>
    </row>
    <row r="2284">
      <c r="N2284" s="7"/>
    </row>
    <row r="2285">
      <c r="N2285" s="7"/>
    </row>
    <row r="2286">
      <c r="N2286" s="7"/>
    </row>
    <row r="2287">
      <c r="N2287" s="7"/>
    </row>
    <row r="2288">
      <c r="N2288" s="7"/>
    </row>
    <row r="2289">
      <c r="N2289" s="7"/>
    </row>
    <row r="2290">
      <c r="N2290" s="7"/>
    </row>
    <row r="2291">
      <c r="N2291" s="7"/>
    </row>
    <row r="2292">
      <c r="N2292" s="7"/>
    </row>
    <row r="2293">
      <c r="N2293" s="7"/>
    </row>
    <row r="2294">
      <c r="N2294" s="7"/>
    </row>
    <row r="2295">
      <c r="N2295" s="7"/>
    </row>
    <row r="2296">
      <c r="I2296" s="9"/>
      <c r="N2296" s="7"/>
    </row>
    <row r="2297">
      <c r="N2297" s="7"/>
    </row>
    <row r="2298">
      <c r="N2298" s="7"/>
    </row>
    <row r="2299">
      <c r="N2299" s="7"/>
    </row>
    <row r="2300">
      <c r="N2300" s="7"/>
    </row>
    <row r="2301">
      <c r="N2301" s="7"/>
    </row>
    <row r="2302">
      <c r="N2302" s="7"/>
    </row>
    <row r="2303">
      <c r="N2303" s="7"/>
    </row>
    <row r="2304">
      <c r="N2304" s="7"/>
    </row>
    <row r="2305">
      <c r="N2305" s="7"/>
    </row>
    <row r="2306">
      <c r="N2306" s="7"/>
    </row>
    <row r="2307">
      <c r="N2307" s="7"/>
    </row>
    <row r="2308">
      <c r="N2308" s="7"/>
    </row>
    <row r="2309">
      <c r="N2309" s="7"/>
    </row>
    <row r="2310">
      <c r="N2310" s="7"/>
    </row>
    <row r="2311">
      <c r="N2311" s="7"/>
    </row>
    <row r="2312">
      <c r="N2312" s="7"/>
    </row>
    <row r="2313">
      <c r="N2313" s="7"/>
    </row>
    <row r="2314">
      <c r="N2314" s="7"/>
    </row>
    <row r="2315">
      <c r="N2315" s="7"/>
    </row>
    <row r="2316">
      <c r="N2316" s="7"/>
    </row>
    <row r="2317">
      <c r="N2317" s="7"/>
    </row>
    <row r="2318">
      <c r="N2318" s="7"/>
    </row>
    <row r="2319">
      <c r="N2319" s="7"/>
    </row>
    <row r="2320">
      <c r="N2320" s="7"/>
    </row>
    <row r="2321">
      <c r="N2321" s="7"/>
    </row>
    <row r="2322">
      <c r="N2322" s="7"/>
    </row>
    <row r="2323">
      <c r="N2323" s="7"/>
    </row>
    <row r="2324">
      <c r="N2324" s="7"/>
    </row>
    <row r="2325">
      <c r="N2325" s="7"/>
    </row>
    <row r="2326">
      <c r="N2326" s="7"/>
    </row>
    <row r="2327">
      <c r="N2327" s="7"/>
    </row>
    <row r="2328">
      <c r="N2328" s="7"/>
    </row>
    <row r="2329">
      <c r="N2329" s="7"/>
    </row>
    <row r="2330">
      <c r="N2330" s="7"/>
    </row>
    <row r="2331">
      <c r="N2331" s="7"/>
    </row>
    <row r="2332">
      <c r="N2332" s="7"/>
    </row>
    <row r="2333">
      <c r="N2333" s="7"/>
    </row>
    <row r="2334">
      <c r="N2334" s="7"/>
    </row>
    <row r="2335">
      <c r="N2335" s="7"/>
    </row>
    <row r="2336">
      <c r="N2336" s="7"/>
    </row>
    <row r="2337">
      <c r="N2337" s="7"/>
    </row>
    <row r="2338">
      <c r="N2338" s="7"/>
    </row>
    <row r="2339">
      <c r="N2339" s="7"/>
    </row>
    <row r="2340">
      <c r="N2340" s="7"/>
    </row>
    <row r="2341">
      <c r="N2341" s="7"/>
    </row>
    <row r="2342">
      <c r="N2342" s="7"/>
    </row>
    <row r="2343">
      <c r="N2343" s="7"/>
    </row>
    <row r="2344">
      <c r="N2344" s="7"/>
    </row>
    <row r="2345">
      <c r="N2345" s="7"/>
    </row>
    <row r="2346">
      <c r="N2346" s="7"/>
    </row>
    <row r="2347">
      <c r="N2347" s="7"/>
    </row>
    <row r="2348">
      <c r="N2348" s="7"/>
    </row>
    <row r="2349">
      <c r="N2349" s="7"/>
    </row>
    <row r="2350">
      <c r="N2350" s="7"/>
    </row>
    <row r="2351">
      <c r="N2351" s="7"/>
    </row>
    <row r="2352">
      <c r="N2352" s="7"/>
    </row>
    <row r="2353">
      <c r="N2353" s="7"/>
    </row>
    <row r="2354">
      <c r="N2354" s="7"/>
    </row>
    <row r="2355">
      <c r="N2355" s="7"/>
    </row>
    <row r="2356">
      <c r="N2356" s="7"/>
    </row>
    <row r="2357">
      <c r="N2357" s="7"/>
    </row>
    <row r="2358">
      <c r="N2358" s="7"/>
    </row>
    <row r="2359">
      <c r="N2359" s="7"/>
    </row>
    <row r="2360">
      <c r="N2360" s="7"/>
    </row>
    <row r="2361">
      <c r="N2361" s="7"/>
    </row>
    <row r="2362">
      <c r="N2362" s="7"/>
    </row>
    <row r="2363">
      <c r="N2363" s="7"/>
    </row>
    <row r="2364">
      <c r="N2364" s="7"/>
    </row>
    <row r="2365">
      <c r="N2365" s="7"/>
    </row>
    <row r="2366">
      <c r="N2366" s="7"/>
    </row>
    <row r="2367">
      <c r="N2367" s="7"/>
    </row>
    <row r="2368">
      <c r="N2368" s="7"/>
    </row>
    <row r="2369">
      <c r="N2369" s="7"/>
    </row>
    <row r="2370">
      <c r="N2370" s="7"/>
    </row>
    <row r="2371">
      <c r="N2371" s="7"/>
    </row>
    <row r="2372">
      <c r="N2372" s="7"/>
    </row>
    <row r="2373">
      <c r="N2373" s="7"/>
    </row>
    <row r="2374">
      <c r="N2374" s="7"/>
    </row>
    <row r="2375">
      <c r="N2375" s="7"/>
    </row>
    <row r="2376">
      <c r="N2376" s="7"/>
    </row>
    <row r="2377">
      <c r="N2377" s="7"/>
    </row>
    <row r="2378">
      <c r="N2378" s="7"/>
    </row>
    <row r="2379">
      <c r="N2379" s="7"/>
    </row>
    <row r="2380">
      <c r="N2380" s="7"/>
    </row>
    <row r="2381">
      <c r="N2381" s="7"/>
    </row>
    <row r="2382">
      <c r="I2382" s="9"/>
      <c r="N2382" s="7"/>
    </row>
    <row r="2383">
      <c r="N2383" s="7"/>
    </row>
    <row r="2384">
      <c r="N2384" s="7"/>
    </row>
    <row r="2385">
      <c r="N2385" s="7"/>
    </row>
    <row r="2386">
      <c r="N2386" s="7"/>
    </row>
    <row r="2387">
      <c r="N2387" s="7"/>
    </row>
    <row r="2388">
      <c r="N2388" s="7"/>
    </row>
    <row r="2389">
      <c r="N2389" s="7"/>
    </row>
    <row r="2390">
      <c r="N2390" s="7"/>
    </row>
    <row r="2391">
      <c r="N2391" s="7"/>
    </row>
    <row r="2392">
      <c r="N2392" s="7"/>
    </row>
    <row r="2393">
      <c r="N2393" s="7"/>
    </row>
    <row r="2394">
      <c r="I2394" s="9"/>
      <c r="N2394" s="7"/>
    </row>
    <row r="2395">
      <c r="N2395" s="7"/>
    </row>
    <row r="2396">
      <c r="N2396" s="7"/>
    </row>
    <row r="2397">
      <c r="N2397" s="7"/>
    </row>
    <row r="2398">
      <c r="N2398" s="7"/>
    </row>
    <row r="2399">
      <c r="N2399" s="7"/>
    </row>
    <row r="2400">
      <c r="N2400" s="7"/>
    </row>
    <row r="2401">
      <c r="N2401" s="7"/>
    </row>
    <row r="2402">
      <c r="N2402" s="7"/>
    </row>
    <row r="2403">
      <c r="N2403" s="7"/>
    </row>
    <row r="2404">
      <c r="N2404" s="7"/>
    </row>
    <row r="2405">
      <c r="N2405" s="7"/>
    </row>
    <row r="2406">
      <c r="N2406" s="7"/>
    </row>
    <row r="2407">
      <c r="N2407" s="7"/>
    </row>
    <row r="2408">
      <c r="N2408" s="7"/>
    </row>
    <row r="2409">
      <c r="N2409" s="7"/>
    </row>
    <row r="2410">
      <c r="N2410" s="7"/>
    </row>
    <row r="2411">
      <c r="N2411" s="7"/>
    </row>
    <row r="2412">
      <c r="N2412" s="7"/>
    </row>
    <row r="2413">
      <c r="N2413" s="7"/>
    </row>
    <row r="2414">
      <c r="N2414" s="7"/>
    </row>
    <row r="2415">
      <c r="N2415" s="7"/>
    </row>
    <row r="2416">
      <c r="N2416" s="7"/>
    </row>
    <row r="2417">
      <c r="N2417" s="7"/>
    </row>
    <row r="2418">
      <c r="N2418" s="7"/>
    </row>
    <row r="2419">
      <c r="N2419" s="7"/>
    </row>
    <row r="2420">
      <c r="N2420" s="7"/>
    </row>
    <row r="2421">
      <c r="N2421" s="7"/>
    </row>
    <row r="2422">
      <c r="N2422" s="7"/>
    </row>
    <row r="2423">
      <c r="N2423" s="7"/>
    </row>
    <row r="2424">
      <c r="N2424" s="7"/>
    </row>
    <row r="2425">
      <c r="N2425" s="7"/>
    </row>
    <row r="2426">
      <c r="N2426" s="7"/>
    </row>
    <row r="2427">
      <c r="N2427" s="7"/>
    </row>
    <row r="2428">
      <c r="N2428" s="7"/>
    </row>
    <row r="2429">
      <c r="N2429" s="7"/>
    </row>
    <row r="2430">
      <c r="N2430" s="7"/>
    </row>
    <row r="2431">
      <c r="N2431" s="7"/>
    </row>
    <row r="2432">
      <c r="N2432" s="7"/>
    </row>
    <row r="2433">
      <c r="N2433" s="7"/>
    </row>
    <row r="2434">
      <c r="N2434" s="7"/>
    </row>
    <row r="2435">
      <c r="N2435" s="7"/>
    </row>
    <row r="2436">
      <c r="N2436" s="7"/>
    </row>
    <row r="2437">
      <c r="N2437" s="7"/>
    </row>
    <row r="2438">
      <c r="N2438" s="7"/>
    </row>
    <row r="2439">
      <c r="N2439" s="7"/>
    </row>
    <row r="2440">
      <c r="N2440" s="7"/>
    </row>
    <row r="2441">
      <c r="N2441" s="7"/>
    </row>
    <row r="2442">
      <c r="N2442" s="7"/>
    </row>
    <row r="2443">
      <c r="N2443" s="7"/>
    </row>
    <row r="2444">
      <c r="N2444" s="7"/>
    </row>
    <row r="2445">
      <c r="N2445" s="7"/>
    </row>
    <row r="2446">
      <c r="N2446" s="7"/>
    </row>
    <row r="2447">
      <c r="N2447" s="7"/>
    </row>
    <row r="2448">
      <c r="N2448" s="7"/>
    </row>
    <row r="2449">
      <c r="N2449" s="7"/>
    </row>
    <row r="2450">
      <c r="N2450" s="7"/>
    </row>
    <row r="2451">
      <c r="N2451" s="7"/>
    </row>
    <row r="2452">
      <c r="N2452" s="7"/>
    </row>
    <row r="2453">
      <c r="N2453" s="7"/>
    </row>
    <row r="2454">
      <c r="N2454" s="7"/>
    </row>
    <row r="2455">
      <c r="N2455" s="7"/>
    </row>
    <row r="2456">
      <c r="N2456" s="7"/>
    </row>
    <row r="2457">
      <c r="N2457" s="7"/>
    </row>
    <row r="2458">
      <c r="N2458" s="7"/>
    </row>
    <row r="2459">
      <c r="N2459" s="7"/>
    </row>
    <row r="2460">
      <c r="N2460" s="7"/>
    </row>
    <row r="2461">
      <c r="N2461" s="7"/>
    </row>
    <row r="2462">
      <c r="N2462" s="7"/>
    </row>
    <row r="2463">
      <c r="N2463" s="7"/>
    </row>
    <row r="2464">
      <c r="N2464" s="7"/>
    </row>
    <row r="2465">
      <c r="N2465" s="7"/>
    </row>
    <row r="2466">
      <c r="N2466" s="7"/>
    </row>
    <row r="2467">
      <c r="N2467" s="7"/>
    </row>
    <row r="2468">
      <c r="N2468" s="7"/>
    </row>
    <row r="2469">
      <c r="N2469" s="7"/>
    </row>
    <row r="2470">
      <c r="N2470" s="7"/>
    </row>
    <row r="2471">
      <c r="N2471" s="7"/>
    </row>
    <row r="2472">
      <c r="N2472" s="7"/>
    </row>
    <row r="2473">
      <c r="N2473" s="7"/>
    </row>
    <row r="2474">
      <c r="N2474" s="7"/>
    </row>
    <row r="2475">
      <c r="I2475" s="9"/>
      <c r="N2475" s="7"/>
    </row>
    <row r="2476">
      <c r="N2476" s="7"/>
    </row>
    <row r="2477">
      <c r="N2477" s="7"/>
    </row>
    <row r="2478">
      <c r="N2478" s="7"/>
    </row>
    <row r="2479">
      <c r="N2479" s="7"/>
    </row>
    <row r="2480">
      <c r="N2480" s="7"/>
    </row>
    <row r="2481">
      <c r="N2481" s="7"/>
    </row>
    <row r="2482">
      <c r="N2482" s="7"/>
    </row>
    <row r="2483">
      <c r="N2483" s="7"/>
    </row>
    <row r="2484">
      <c r="N2484" s="7"/>
    </row>
    <row r="2485">
      <c r="N2485" s="7"/>
    </row>
    <row r="2486">
      <c r="N2486" s="7"/>
    </row>
    <row r="2487">
      <c r="N2487" s="7"/>
    </row>
    <row r="2488">
      <c r="N2488" s="7"/>
    </row>
    <row r="2489">
      <c r="N2489" s="7"/>
    </row>
    <row r="2490">
      <c r="N2490" s="7"/>
    </row>
    <row r="2491">
      <c r="N2491" s="7"/>
    </row>
    <row r="2492">
      <c r="N2492" s="7"/>
    </row>
    <row r="2493">
      <c r="N2493" s="7"/>
    </row>
    <row r="2494">
      <c r="N2494" s="7"/>
    </row>
    <row r="2495">
      <c r="N2495" s="7"/>
    </row>
    <row r="2496">
      <c r="N2496" s="7"/>
    </row>
    <row r="2497">
      <c r="N2497" s="7"/>
    </row>
    <row r="2498">
      <c r="N2498" s="7"/>
    </row>
    <row r="2499">
      <c r="N2499" s="7"/>
    </row>
    <row r="2500">
      <c r="N2500" s="7"/>
    </row>
    <row r="2501">
      <c r="N2501" s="7"/>
    </row>
    <row r="2502">
      <c r="N2502" s="7"/>
    </row>
    <row r="2503">
      <c r="I2503" s="9"/>
      <c r="N2503" s="7"/>
    </row>
    <row r="2504">
      <c r="N2504" s="7"/>
    </row>
    <row r="2505">
      <c r="N2505" s="7"/>
    </row>
    <row r="2506">
      <c r="N2506" s="7"/>
    </row>
    <row r="2507">
      <c r="N2507" s="7"/>
    </row>
    <row r="2508">
      <c r="N2508" s="7"/>
    </row>
    <row r="2509">
      <c r="N2509" s="7"/>
    </row>
    <row r="2510">
      <c r="N2510" s="7"/>
    </row>
    <row r="2511">
      <c r="N2511" s="7"/>
    </row>
    <row r="2512">
      <c r="N2512" s="7"/>
    </row>
    <row r="2513">
      <c r="N2513" s="7"/>
    </row>
    <row r="2514">
      <c r="N2514" s="7"/>
    </row>
    <row r="2515">
      <c r="N2515" s="7"/>
    </row>
    <row r="2516">
      <c r="N2516" s="7"/>
    </row>
    <row r="2517">
      <c r="N2517" s="7"/>
    </row>
    <row r="2518">
      <c r="N2518" s="7"/>
    </row>
    <row r="2519">
      <c r="N2519" s="7"/>
    </row>
    <row r="2520">
      <c r="N2520" s="7"/>
    </row>
    <row r="2521">
      <c r="N2521" s="7"/>
    </row>
    <row r="2522">
      <c r="N2522" s="7"/>
    </row>
    <row r="2523">
      <c r="N2523" s="7"/>
    </row>
    <row r="2524">
      <c r="N2524" s="7"/>
    </row>
    <row r="2525">
      <c r="N2525" s="7"/>
    </row>
    <row r="2526">
      <c r="N2526" s="7"/>
    </row>
    <row r="2527">
      <c r="N2527" s="7"/>
    </row>
    <row r="2528">
      <c r="N2528" s="7"/>
    </row>
    <row r="2529">
      <c r="N2529" s="7"/>
    </row>
    <row r="2530">
      <c r="N2530" s="7"/>
    </row>
    <row r="2531">
      <c r="N2531" s="7"/>
    </row>
    <row r="2532">
      <c r="N2532" s="7"/>
    </row>
    <row r="2533">
      <c r="N2533" s="7"/>
    </row>
    <row r="2534">
      <c r="N2534" s="7"/>
    </row>
    <row r="2535">
      <c r="N2535" s="7"/>
    </row>
    <row r="2536">
      <c r="N2536" s="7"/>
    </row>
    <row r="2537">
      <c r="N2537" s="7"/>
    </row>
    <row r="2538">
      <c r="N2538" s="7"/>
    </row>
    <row r="2539">
      <c r="N2539" s="7"/>
    </row>
    <row r="2540">
      <c r="N2540" s="7"/>
    </row>
    <row r="2541">
      <c r="N2541" s="7"/>
    </row>
    <row r="2542">
      <c r="N2542" s="7"/>
    </row>
    <row r="2543">
      <c r="N2543" s="7"/>
    </row>
    <row r="2544">
      <c r="N2544" s="7"/>
    </row>
    <row r="2545">
      <c r="N2545" s="7"/>
    </row>
    <row r="2546">
      <c r="N2546" s="7"/>
    </row>
    <row r="2547">
      <c r="N2547" s="7"/>
    </row>
    <row r="2548">
      <c r="N2548" s="7"/>
    </row>
    <row r="2549">
      <c r="N2549" s="7"/>
    </row>
    <row r="2550">
      <c r="N2550" s="7"/>
    </row>
    <row r="2551">
      <c r="N2551" s="7"/>
    </row>
    <row r="2552">
      <c r="N2552" s="7"/>
    </row>
    <row r="2553">
      <c r="N2553" s="7"/>
    </row>
    <row r="2554">
      <c r="N2554" s="7"/>
    </row>
    <row r="2555">
      <c r="N2555" s="7"/>
    </row>
    <row r="2556">
      <c r="N2556" s="7"/>
    </row>
    <row r="2557">
      <c r="N2557" s="7"/>
    </row>
    <row r="2558">
      <c r="N2558" s="7"/>
    </row>
    <row r="2559">
      <c r="N2559" s="7"/>
    </row>
    <row r="2560">
      <c r="N2560" s="7"/>
    </row>
    <row r="2561">
      <c r="N2561" s="7"/>
    </row>
    <row r="2562">
      <c r="N2562" s="7"/>
    </row>
    <row r="2563">
      <c r="N2563" s="7"/>
    </row>
    <row r="2564">
      <c r="N2564" s="7"/>
    </row>
    <row r="2565">
      <c r="N2565" s="7"/>
    </row>
    <row r="2566">
      <c r="N2566" s="7"/>
    </row>
    <row r="2567">
      <c r="N2567" s="7"/>
    </row>
    <row r="2568">
      <c r="N2568" s="7"/>
    </row>
    <row r="2569">
      <c r="N2569" s="7"/>
    </row>
    <row r="2570">
      <c r="N2570" s="7"/>
    </row>
    <row r="2571">
      <c r="N2571" s="7"/>
    </row>
    <row r="2572">
      <c r="N2572" s="7"/>
    </row>
    <row r="2573">
      <c r="N2573" s="7"/>
    </row>
    <row r="2574">
      <c r="N2574" s="7"/>
    </row>
    <row r="2575">
      <c r="N2575" s="7"/>
    </row>
    <row r="2576">
      <c r="N2576" s="7"/>
    </row>
    <row r="2577">
      <c r="N2577" s="7"/>
    </row>
    <row r="2578">
      <c r="N2578" s="7"/>
    </row>
    <row r="2579">
      <c r="N2579" s="7"/>
    </row>
    <row r="2580">
      <c r="N2580" s="7"/>
    </row>
    <row r="2581">
      <c r="N2581" s="7"/>
    </row>
    <row r="2582">
      <c r="N2582" s="7"/>
    </row>
    <row r="2583">
      <c r="N2583" s="7"/>
    </row>
    <row r="2584">
      <c r="N2584" s="7"/>
    </row>
    <row r="2585">
      <c r="N2585" s="7"/>
    </row>
    <row r="2586">
      <c r="N2586" s="7"/>
    </row>
    <row r="2587">
      <c r="N2587" s="7"/>
    </row>
    <row r="2588">
      <c r="N2588" s="7"/>
    </row>
    <row r="2589">
      <c r="N2589" s="7"/>
    </row>
    <row r="2590">
      <c r="N2590" s="7"/>
    </row>
    <row r="2591">
      <c r="N2591" s="7"/>
    </row>
    <row r="2592">
      <c r="N2592" s="7"/>
    </row>
    <row r="2593">
      <c r="N2593" s="7"/>
    </row>
    <row r="2594">
      <c r="N2594" s="7"/>
    </row>
    <row r="2595">
      <c r="N2595" s="7"/>
    </row>
    <row r="2596">
      <c r="N2596" s="7"/>
    </row>
    <row r="2597">
      <c r="N2597" s="7"/>
    </row>
    <row r="2598">
      <c r="N2598" s="7"/>
    </row>
    <row r="2599">
      <c r="N2599" s="7"/>
    </row>
    <row r="2600">
      <c r="N2600" s="7"/>
    </row>
    <row r="2601">
      <c r="N2601" s="7"/>
    </row>
    <row r="2602">
      <c r="N2602" s="7"/>
    </row>
    <row r="2603">
      <c r="N2603" s="7"/>
    </row>
    <row r="2604">
      <c r="N2604" s="7"/>
    </row>
    <row r="2605">
      <c r="N2605" s="7"/>
    </row>
    <row r="2606">
      <c r="N2606" s="7"/>
    </row>
    <row r="2607">
      <c r="N2607" s="7"/>
    </row>
    <row r="2608">
      <c r="N2608" s="7"/>
    </row>
    <row r="2609">
      <c r="N2609" s="7"/>
    </row>
    <row r="2610">
      <c r="N2610" s="7"/>
    </row>
    <row r="2611">
      <c r="N2611" s="7"/>
    </row>
    <row r="2612">
      <c r="N2612" s="7"/>
    </row>
    <row r="2613">
      <c r="N2613" s="7"/>
    </row>
    <row r="2614">
      <c r="N2614" s="7"/>
    </row>
    <row r="2615">
      <c r="N2615" s="7"/>
    </row>
    <row r="2616">
      <c r="N2616" s="7"/>
    </row>
    <row r="2617">
      <c r="N2617" s="7"/>
    </row>
    <row r="2618">
      <c r="N2618" s="7"/>
    </row>
    <row r="2619">
      <c r="N2619" s="7"/>
    </row>
    <row r="2620">
      <c r="N2620" s="7"/>
    </row>
    <row r="2621">
      <c r="N2621" s="7"/>
    </row>
    <row r="2622">
      <c r="N2622" s="7"/>
    </row>
    <row r="2623">
      <c r="N2623" s="7"/>
    </row>
    <row r="2624">
      <c r="N2624" s="7"/>
    </row>
    <row r="2625">
      <c r="N2625" s="7"/>
    </row>
    <row r="2626">
      <c r="N2626" s="7"/>
    </row>
    <row r="2627">
      <c r="N2627" s="7"/>
    </row>
    <row r="2628">
      <c r="N2628" s="7"/>
    </row>
    <row r="2629">
      <c r="N2629" s="7"/>
    </row>
    <row r="2630">
      <c r="N2630" s="7"/>
    </row>
    <row r="2631">
      <c r="N2631" s="7"/>
    </row>
    <row r="2632">
      <c r="N2632" s="7"/>
    </row>
    <row r="2633">
      <c r="N2633" s="7"/>
    </row>
    <row r="2634">
      <c r="N2634" s="7"/>
    </row>
    <row r="2635">
      <c r="N2635" s="7"/>
    </row>
    <row r="2636">
      <c r="N2636" s="7"/>
    </row>
    <row r="2637">
      <c r="N2637" s="7"/>
    </row>
    <row r="2638">
      <c r="N2638" s="7"/>
    </row>
    <row r="2639">
      <c r="N2639" s="7"/>
    </row>
    <row r="2640">
      <c r="N2640" s="7"/>
    </row>
    <row r="2641">
      <c r="N2641" s="7"/>
    </row>
    <row r="2642">
      <c r="N2642" s="7"/>
    </row>
    <row r="2643">
      <c r="N2643" s="7"/>
    </row>
    <row r="2644">
      <c r="N2644" s="7"/>
    </row>
    <row r="2645">
      <c r="N2645" s="7"/>
    </row>
    <row r="2646">
      <c r="N2646" s="7"/>
    </row>
    <row r="2647">
      <c r="N2647" s="7"/>
    </row>
    <row r="2648">
      <c r="N2648" s="7"/>
    </row>
    <row r="2649">
      <c r="N2649" s="7"/>
    </row>
    <row r="2650">
      <c r="N2650" s="7"/>
    </row>
    <row r="2651">
      <c r="N2651" s="7"/>
    </row>
    <row r="2652">
      <c r="I2652" s="9"/>
      <c r="N2652" s="7"/>
    </row>
    <row r="2653">
      <c r="N2653" s="7"/>
    </row>
    <row r="2654">
      <c r="N2654" s="7"/>
    </row>
    <row r="2655">
      <c r="N2655" s="7"/>
    </row>
    <row r="2656">
      <c r="N2656" s="7"/>
    </row>
    <row r="2657">
      <c r="N2657" s="7"/>
    </row>
    <row r="2658">
      <c r="N2658" s="7"/>
    </row>
    <row r="2659">
      <c r="N2659" s="7"/>
    </row>
    <row r="2660">
      <c r="N2660" s="7"/>
    </row>
    <row r="2661">
      <c r="N2661" s="7"/>
    </row>
    <row r="2662">
      <c r="N2662" s="7"/>
    </row>
    <row r="2663">
      <c r="N2663" s="7"/>
    </row>
    <row r="2664">
      <c r="N2664" s="7"/>
    </row>
    <row r="2665">
      <c r="N2665" s="7"/>
    </row>
    <row r="2666">
      <c r="N2666" s="7"/>
    </row>
    <row r="2667">
      <c r="N2667" s="7"/>
    </row>
    <row r="2668">
      <c r="N2668" s="7"/>
    </row>
    <row r="2669">
      <c r="N2669" s="7"/>
    </row>
    <row r="2670">
      <c r="N2670" s="7"/>
    </row>
    <row r="2671">
      <c r="N2671" s="7"/>
    </row>
    <row r="2672">
      <c r="N2672" s="7"/>
    </row>
    <row r="2673">
      <c r="N2673" s="7"/>
    </row>
    <row r="2674">
      <c r="N2674" s="7"/>
    </row>
    <row r="2675">
      <c r="N2675" s="7"/>
    </row>
    <row r="2676">
      <c r="N2676" s="7"/>
    </row>
    <row r="2677">
      <c r="N2677" s="7"/>
    </row>
    <row r="2678">
      <c r="N2678" s="7"/>
    </row>
    <row r="2679">
      <c r="N2679" s="7"/>
    </row>
    <row r="2680">
      <c r="N2680" s="7"/>
    </row>
    <row r="2681">
      <c r="N2681" s="7"/>
    </row>
    <row r="2682">
      <c r="N2682" s="7"/>
    </row>
    <row r="2683">
      <c r="N2683" s="7"/>
    </row>
    <row r="2684">
      <c r="N2684" s="7"/>
    </row>
    <row r="2685">
      <c r="N2685" s="7"/>
    </row>
    <row r="2686">
      <c r="N2686" s="7"/>
    </row>
    <row r="2687">
      <c r="N2687" s="7"/>
    </row>
    <row r="2688">
      <c r="N2688" s="7"/>
    </row>
    <row r="2689">
      <c r="N2689" s="7"/>
    </row>
    <row r="2690">
      <c r="N2690" s="7"/>
    </row>
    <row r="2691">
      <c r="N2691" s="7"/>
    </row>
    <row r="2692">
      <c r="N2692" s="7"/>
    </row>
    <row r="2693">
      <c r="N2693" s="7"/>
    </row>
    <row r="2694">
      <c r="N2694" s="7"/>
    </row>
    <row r="2695">
      <c r="N2695" s="7"/>
    </row>
    <row r="2696">
      <c r="N2696" s="7"/>
    </row>
    <row r="2697">
      <c r="N2697" s="7"/>
    </row>
    <row r="2698">
      <c r="N2698" s="7"/>
    </row>
    <row r="2699">
      <c r="N2699" s="7"/>
    </row>
    <row r="2700">
      <c r="N2700" s="7"/>
    </row>
    <row r="2701">
      <c r="N2701" s="7"/>
    </row>
    <row r="2702">
      <c r="N2702" s="7"/>
    </row>
    <row r="2703">
      <c r="N2703" s="7"/>
    </row>
    <row r="2704">
      <c r="N2704" s="7"/>
    </row>
    <row r="2705">
      <c r="N2705" s="7"/>
    </row>
    <row r="2706">
      <c r="N2706" s="7"/>
    </row>
    <row r="2707">
      <c r="N2707" s="7"/>
    </row>
    <row r="2708">
      <c r="N2708" s="7"/>
    </row>
    <row r="2709">
      <c r="N2709" s="7"/>
    </row>
    <row r="2710">
      <c r="N2710" s="7"/>
    </row>
    <row r="2711">
      <c r="N2711" s="7"/>
    </row>
    <row r="2712">
      <c r="N2712" s="7"/>
    </row>
    <row r="2713">
      <c r="N2713" s="7"/>
    </row>
    <row r="2714">
      <c r="N2714" s="7"/>
    </row>
    <row r="2715">
      <c r="N2715" s="7"/>
    </row>
    <row r="2716">
      <c r="N2716" s="7"/>
    </row>
    <row r="2717">
      <c r="N2717" s="7"/>
    </row>
    <row r="2718">
      <c r="N2718" s="7"/>
    </row>
    <row r="2719">
      <c r="N2719" s="7"/>
    </row>
    <row r="2720">
      <c r="N2720" s="7"/>
    </row>
    <row r="2721">
      <c r="N2721" s="7"/>
    </row>
    <row r="2722">
      <c r="N2722" s="7"/>
    </row>
    <row r="2723">
      <c r="N2723" s="7"/>
    </row>
    <row r="2724">
      <c r="N2724" s="7"/>
    </row>
    <row r="2725">
      <c r="N2725" s="7"/>
    </row>
    <row r="2726">
      <c r="N2726" s="7"/>
    </row>
    <row r="2727">
      <c r="N2727" s="7"/>
    </row>
    <row r="2728">
      <c r="N2728" s="7"/>
    </row>
    <row r="2729">
      <c r="N2729" s="7"/>
    </row>
    <row r="2730">
      <c r="N2730" s="7"/>
    </row>
    <row r="2731">
      <c r="N2731" s="7"/>
    </row>
    <row r="2732">
      <c r="N2732" s="7"/>
    </row>
    <row r="2733">
      <c r="N2733" s="7"/>
    </row>
    <row r="2734">
      <c r="N2734" s="7"/>
    </row>
    <row r="2735">
      <c r="N2735" s="7"/>
    </row>
    <row r="2736">
      <c r="N2736" s="7"/>
    </row>
    <row r="2737">
      <c r="N2737" s="7"/>
    </row>
    <row r="2738">
      <c r="N2738" s="7"/>
    </row>
    <row r="2739">
      <c r="N2739" s="7"/>
    </row>
    <row r="2740">
      <c r="N2740" s="7"/>
    </row>
    <row r="2741">
      <c r="N2741" s="7"/>
    </row>
    <row r="2742">
      <c r="N2742" s="7"/>
    </row>
    <row r="2743">
      <c r="N2743" s="7"/>
    </row>
    <row r="2744">
      <c r="N2744" s="7"/>
    </row>
    <row r="2745">
      <c r="N2745" s="7"/>
    </row>
    <row r="2746">
      <c r="N2746" s="7"/>
    </row>
    <row r="2747">
      <c r="N2747" s="7"/>
    </row>
    <row r="2748">
      <c r="N2748" s="7"/>
    </row>
    <row r="2749">
      <c r="N2749" s="7"/>
    </row>
    <row r="2750">
      <c r="N2750" s="7"/>
    </row>
    <row r="2751">
      <c r="N2751" s="7"/>
    </row>
    <row r="2752">
      <c r="N2752" s="7"/>
    </row>
    <row r="2753">
      <c r="N2753" s="7"/>
    </row>
    <row r="2754">
      <c r="N2754" s="7"/>
    </row>
    <row r="2755">
      <c r="N2755" s="7"/>
    </row>
    <row r="2756">
      <c r="N2756" s="7"/>
    </row>
    <row r="2757">
      <c r="N2757" s="7"/>
    </row>
    <row r="2758">
      <c r="N2758" s="7"/>
    </row>
    <row r="2759">
      <c r="N2759" s="7"/>
    </row>
    <row r="2760">
      <c r="N2760" s="7"/>
    </row>
    <row r="2761">
      <c r="N2761" s="7"/>
    </row>
    <row r="2762">
      <c r="N2762" s="7"/>
    </row>
    <row r="2763">
      <c r="N2763" s="7"/>
    </row>
    <row r="2764">
      <c r="N2764" s="7"/>
    </row>
    <row r="2765">
      <c r="N2765" s="7"/>
    </row>
    <row r="2766">
      <c r="N2766" s="7"/>
    </row>
    <row r="2767">
      <c r="N2767" s="7"/>
    </row>
    <row r="2768">
      <c r="N2768" s="7"/>
    </row>
    <row r="2769">
      <c r="N2769" s="7"/>
    </row>
    <row r="2770">
      <c r="N2770" s="7"/>
    </row>
    <row r="2771">
      <c r="N2771" s="7"/>
    </row>
    <row r="2772">
      <c r="N2772" s="7"/>
    </row>
    <row r="2773">
      <c r="N2773" s="7"/>
    </row>
    <row r="2774">
      <c r="N2774" s="7"/>
    </row>
    <row r="2775">
      <c r="N2775" s="7"/>
    </row>
    <row r="2776">
      <c r="N2776" s="7"/>
    </row>
    <row r="2777">
      <c r="N2777" s="7"/>
    </row>
    <row r="2778">
      <c r="N2778" s="7"/>
    </row>
    <row r="2779">
      <c r="N2779" s="7"/>
    </row>
    <row r="2780">
      <c r="N2780" s="7"/>
    </row>
    <row r="2781">
      <c r="N2781" s="7"/>
    </row>
    <row r="2782">
      <c r="N2782" s="7"/>
    </row>
    <row r="2783">
      <c r="N2783" s="7"/>
    </row>
    <row r="2784">
      <c r="N2784" s="7"/>
    </row>
    <row r="2785">
      <c r="N2785" s="7"/>
    </row>
    <row r="2786">
      <c r="N2786" s="7"/>
    </row>
    <row r="2787">
      <c r="N2787" s="7"/>
    </row>
    <row r="2788">
      <c r="N2788" s="7"/>
    </row>
    <row r="2789">
      <c r="N2789" s="7"/>
    </row>
    <row r="2790">
      <c r="N2790" s="7"/>
    </row>
    <row r="2791">
      <c r="N2791" s="7"/>
    </row>
    <row r="2792">
      <c r="N2792" s="7"/>
    </row>
    <row r="2793">
      <c r="N2793" s="7"/>
    </row>
    <row r="2794">
      <c r="N2794" s="7"/>
    </row>
    <row r="2795">
      <c r="N2795" s="7"/>
    </row>
    <row r="2796">
      <c r="N2796" s="7"/>
    </row>
    <row r="2797">
      <c r="N2797" s="7"/>
    </row>
    <row r="2798">
      <c r="N2798" s="7"/>
    </row>
    <row r="2799">
      <c r="N2799" s="7"/>
    </row>
    <row r="2800">
      <c r="N2800" s="7"/>
    </row>
    <row r="2801">
      <c r="N2801" s="7"/>
    </row>
    <row r="2802">
      <c r="N2802" s="7"/>
    </row>
    <row r="2803">
      <c r="N2803" s="7"/>
    </row>
    <row r="2804">
      <c r="N2804" s="7"/>
    </row>
    <row r="2805">
      <c r="N2805" s="7"/>
    </row>
    <row r="2806">
      <c r="N2806" s="7"/>
    </row>
    <row r="2807">
      <c r="N2807" s="7"/>
    </row>
    <row r="2808">
      <c r="N2808" s="7"/>
    </row>
    <row r="2809">
      <c r="N2809" s="7"/>
    </row>
    <row r="2810">
      <c r="N2810" s="7"/>
    </row>
    <row r="2811">
      <c r="N2811" s="7"/>
    </row>
    <row r="2812">
      <c r="N2812" s="7"/>
    </row>
    <row r="2813">
      <c r="N2813" s="7"/>
    </row>
    <row r="2814">
      <c r="N2814" s="7"/>
    </row>
    <row r="2815">
      <c r="N2815" s="7"/>
    </row>
    <row r="2816">
      <c r="N2816" s="7"/>
    </row>
    <row r="2817">
      <c r="N2817" s="7"/>
    </row>
    <row r="2818">
      <c r="N2818" s="7"/>
    </row>
    <row r="2819">
      <c r="N2819" s="7"/>
    </row>
    <row r="2820">
      <c r="N2820" s="7"/>
    </row>
    <row r="2821">
      <c r="N2821" s="7"/>
    </row>
    <row r="2822">
      <c r="N2822" s="7"/>
    </row>
    <row r="2823">
      <c r="N2823" s="7"/>
    </row>
    <row r="2824">
      <c r="N2824" s="7"/>
    </row>
    <row r="2825">
      <c r="N2825" s="7"/>
    </row>
    <row r="2826">
      <c r="N2826" s="7"/>
    </row>
    <row r="2827">
      <c r="N2827" s="7"/>
    </row>
    <row r="2828">
      <c r="N2828" s="7"/>
    </row>
    <row r="2829">
      <c r="N2829" s="7"/>
    </row>
    <row r="2830">
      <c r="N2830" s="7"/>
    </row>
    <row r="2831">
      <c r="N2831" s="7"/>
    </row>
    <row r="2832">
      <c r="N2832" s="7"/>
    </row>
    <row r="2833">
      <c r="N2833" s="7"/>
    </row>
    <row r="2834">
      <c r="N2834" s="7"/>
    </row>
    <row r="2835">
      <c r="N2835" s="7"/>
    </row>
    <row r="2836">
      <c r="N2836" s="7"/>
    </row>
    <row r="2837">
      <c r="N2837" s="7"/>
    </row>
    <row r="2838">
      <c r="N2838" s="7"/>
    </row>
    <row r="2839">
      <c r="N2839" s="7"/>
    </row>
    <row r="2840">
      <c r="N2840" s="7"/>
    </row>
    <row r="2841">
      <c r="N2841" s="7"/>
    </row>
    <row r="2842">
      <c r="N2842" s="7"/>
    </row>
    <row r="2843">
      <c r="N2843" s="7"/>
    </row>
    <row r="2844">
      <c r="N2844" s="7"/>
    </row>
    <row r="2845">
      <c r="N2845" s="7"/>
    </row>
    <row r="2846">
      <c r="N2846" s="7"/>
    </row>
    <row r="2847">
      <c r="N2847" s="7"/>
    </row>
    <row r="2848">
      <c r="N2848" s="7"/>
    </row>
    <row r="2849">
      <c r="N2849" s="7"/>
    </row>
    <row r="2850">
      <c r="N2850" s="7"/>
    </row>
    <row r="2851">
      <c r="N2851" s="7"/>
    </row>
    <row r="2852">
      <c r="N2852" s="7"/>
    </row>
    <row r="2853">
      <c r="N2853" s="7"/>
    </row>
    <row r="2854">
      <c r="N2854" s="7"/>
    </row>
    <row r="2855">
      <c r="N2855" s="7"/>
    </row>
    <row r="2856">
      <c r="N2856" s="7"/>
    </row>
    <row r="2857">
      <c r="N2857" s="7"/>
    </row>
    <row r="2858">
      <c r="N2858" s="7"/>
    </row>
    <row r="2859">
      <c r="N2859" s="7"/>
    </row>
    <row r="2860">
      <c r="N2860" s="7"/>
    </row>
    <row r="2861">
      <c r="N2861" s="7"/>
    </row>
    <row r="2862">
      <c r="N2862" s="7"/>
    </row>
    <row r="2863">
      <c r="N2863" s="7"/>
    </row>
    <row r="2864">
      <c r="N2864" s="7"/>
    </row>
    <row r="2865">
      <c r="N2865" s="7"/>
    </row>
    <row r="2866">
      <c r="N2866" s="7"/>
    </row>
    <row r="2867">
      <c r="N2867" s="7"/>
    </row>
    <row r="2868">
      <c r="N2868" s="7"/>
    </row>
    <row r="2869">
      <c r="N2869" s="7"/>
    </row>
    <row r="2870">
      <c r="N2870" s="7"/>
    </row>
    <row r="2871">
      <c r="N2871" s="7"/>
    </row>
    <row r="2872">
      <c r="N2872" s="7"/>
    </row>
    <row r="2873">
      <c r="N2873" s="7"/>
    </row>
    <row r="2874">
      <c r="N2874" s="7"/>
    </row>
    <row r="2875">
      <c r="N2875" s="7"/>
    </row>
    <row r="2876">
      <c r="N2876" s="7"/>
    </row>
    <row r="2877">
      <c r="N2877" s="7"/>
    </row>
    <row r="2878">
      <c r="N2878" s="7"/>
    </row>
    <row r="2879">
      <c r="N2879" s="7"/>
    </row>
    <row r="2880">
      <c r="N2880" s="7"/>
    </row>
    <row r="2881">
      <c r="N2881" s="7"/>
    </row>
    <row r="2882">
      <c r="N2882" s="7"/>
    </row>
    <row r="2883">
      <c r="N2883" s="7"/>
    </row>
    <row r="2884">
      <c r="N2884" s="7"/>
    </row>
    <row r="2885">
      <c r="N2885" s="7"/>
    </row>
    <row r="2886">
      <c r="N2886" s="7"/>
    </row>
    <row r="2887">
      <c r="N2887" s="7"/>
    </row>
    <row r="2888">
      <c r="N2888" s="7"/>
    </row>
    <row r="2889">
      <c r="N2889" s="7"/>
    </row>
    <row r="2890">
      <c r="N2890" s="7"/>
    </row>
    <row r="2891">
      <c r="N2891" s="7"/>
    </row>
    <row r="2892">
      <c r="N2892" s="7"/>
    </row>
    <row r="2893">
      <c r="N2893" s="7"/>
    </row>
    <row r="2894">
      <c r="N2894" s="7"/>
    </row>
    <row r="2895">
      <c r="N2895" s="7"/>
    </row>
    <row r="2896">
      <c r="N2896" s="7"/>
    </row>
    <row r="2897">
      <c r="N2897" s="7"/>
    </row>
    <row r="2898">
      <c r="I2898" s="9"/>
      <c r="N2898" s="7"/>
    </row>
    <row r="2899">
      <c r="I2899" s="9"/>
      <c r="N2899" s="7"/>
    </row>
    <row r="2900">
      <c r="N2900" s="7"/>
    </row>
    <row r="2901">
      <c r="N2901" s="7"/>
    </row>
    <row r="2902">
      <c r="N2902" s="7"/>
    </row>
    <row r="2903">
      <c r="N2903" s="7"/>
    </row>
    <row r="2904">
      <c r="N2904" s="7"/>
    </row>
    <row r="2905">
      <c r="N2905" s="7"/>
    </row>
    <row r="2906">
      <c r="N2906" s="7"/>
    </row>
    <row r="2907">
      <c r="N2907" s="7"/>
    </row>
    <row r="2908">
      <c r="N2908" s="7"/>
    </row>
    <row r="2909">
      <c r="N2909" s="7"/>
    </row>
    <row r="2910">
      <c r="N2910" s="7"/>
    </row>
    <row r="2911">
      <c r="N2911" s="7"/>
    </row>
    <row r="2912">
      <c r="N2912" s="7"/>
    </row>
    <row r="2913">
      <c r="N2913" s="7"/>
    </row>
    <row r="2914">
      <c r="N2914" s="7"/>
    </row>
    <row r="2915">
      <c r="N2915" s="7"/>
    </row>
    <row r="2916">
      <c r="N2916" s="7"/>
    </row>
    <row r="2917">
      <c r="N2917" s="7"/>
    </row>
    <row r="2918">
      <c r="N2918" s="7"/>
    </row>
    <row r="2919">
      <c r="N2919" s="7"/>
    </row>
    <row r="2920">
      <c r="N2920" s="7"/>
    </row>
    <row r="2921">
      <c r="N2921" s="7"/>
    </row>
    <row r="2922">
      <c r="N2922" s="7"/>
    </row>
    <row r="2923">
      <c r="N2923" s="7"/>
    </row>
    <row r="2924">
      <c r="N2924" s="7"/>
    </row>
    <row r="2925">
      <c r="N2925" s="7"/>
    </row>
    <row r="2926">
      <c r="N2926" s="7"/>
    </row>
    <row r="2927">
      <c r="N2927" s="7"/>
    </row>
    <row r="2928">
      <c r="N2928" s="7"/>
    </row>
    <row r="2929">
      <c r="N2929" s="7"/>
    </row>
    <row r="2930">
      <c r="N2930" s="7"/>
    </row>
    <row r="2931">
      <c r="N2931" s="7"/>
    </row>
    <row r="2932">
      <c r="N2932" s="7"/>
    </row>
    <row r="2933">
      <c r="N2933" s="7"/>
    </row>
    <row r="2934">
      <c r="N2934" s="7"/>
    </row>
    <row r="2935">
      <c r="N2935" s="7"/>
    </row>
    <row r="2936">
      <c r="N2936" s="7"/>
    </row>
    <row r="2937">
      <c r="N2937" s="7"/>
    </row>
    <row r="2938">
      <c r="N2938" s="7"/>
    </row>
    <row r="2939">
      <c r="N2939" s="7"/>
    </row>
    <row r="2940">
      <c r="N2940" s="7"/>
    </row>
    <row r="2941">
      <c r="N2941" s="7"/>
    </row>
    <row r="2942">
      <c r="N2942" s="7"/>
    </row>
    <row r="2943">
      <c r="N2943" s="7"/>
    </row>
    <row r="2944">
      <c r="N2944" s="7"/>
    </row>
    <row r="2945">
      <c r="N2945" s="7"/>
    </row>
    <row r="2946">
      <c r="N2946" s="7"/>
    </row>
    <row r="2947">
      <c r="N2947" s="7"/>
    </row>
    <row r="2948">
      <c r="N2948" s="7"/>
    </row>
    <row r="2949">
      <c r="N2949" s="7"/>
    </row>
    <row r="2950">
      <c r="N2950" s="7"/>
    </row>
    <row r="2951">
      <c r="N2951" s="7"/>
    </row>
    <row r="2952">
      <c r="N2952" s="7"/>
    </row>
    <row r="2953">
      <c r="N2953" s="7"/>
    </row>
    <row r="2954">
      <c r="N2954" s="7"/>
    </row>
    <row r="2955">
      <c r="N2955" s="7"/>
    </row>
    <row r="2956">
      <c r="N2956" s="7"/>
    </row>
    <row r="2957">
      <c r="N2957" s="7"/>
    </row>
    <row r="2958">
      <c r="N2958" s="7"/>
    </row>
    <row r="2959">
      <c r="N2959" s="7"/>
    </row>
    <row r="2960">
      <c r="N2960" s="7"/>
    </row>
    <row r="2961">
      <c r="N2961" s="7"/>
    </row>
    <row r="2962">
      <c r="N2962" s="7"/>
    </row>
    <row r="2963">
      <c r="N2963" s="7"/>
    </row>
    <row r="2964">
      <c r="N2964" s="7"/>
    </row>
    <row r="2965">
      <c r="N2965" s="7"/>
    </row>
    <row r="2966">
      <c r="N2966" s="7"/>
    </row>
    <row r="2967">
      <c r="N2967" s="7"/>
    </row>
    <row r="2968">
      <c r="N2968" s="7"/>
    </row>
    <row r="2969">
      <c r="N2969" s="7"/>
    </row>
    <row r="2970">
      <c r="N2970" s="7"/>
    </row>
    <row r="2971">
      <c r="N2971" s="7"/>
    </row>
    <row r="2972">
      <c r="N2972" s="7"/>
    </row>
    <row r="2973">
      <c r="N2973" s="7"/>
    </row>
    <row r="2974">
      <c r="N2974" s="7"/>
    </row>
    <row r="2975">
      <c r="N2975" s="7"/>
    </row>
    <row r="2976">
      <c r="N2976" s="7"/>
    </row>
    <row r="2977">
      <c r="N2977" s="7"/>
    </row>
    <row r="2978">
      <c r="N2978" s="7"/>
    </row>
    <row r="2979">
      <c r="N2979" s="7"/>
    </row>
    <row r="2980">
      <c r="N2980" s="7"/>
    </row>
    <row r="2981">
      <c r="I2981" s="9"/>
      <c r="N2981" s="7"/>
    </row>
    <row r="2982">
      <c r="N2982" s="7"/>
    </row>
    <row r="2983">
      <c r="N2983" s="7"/>
    </row>
    <row r="2984">
      <c r="N2984" s="7"/>
    </row>
    <row r="2985">
      <c r="N2985" s="7"/>
    </row>
    <row r="2986">
      <c r="N2986" s="7"/>
    </row>
    <row r="2987">
      <c r="N2987" s="7"/>
    </row>
    <row r="2988">
      <c r="N2988" s="7"/>
    </row>
    <row r="2989">
      <c r="N2989" s="7"/>
    </row>
    <row r="2990">
      <c r="N2990" s="7"/>
    </row>
    <row r="2991">
      <c r="N2991" s="7"/>
    </row>
    <row r="2992">
      <c r="N2992" s="7"/>
    </row>
    <row r="2993">
      <c r="N2993" s="7"/>
    </row>
    <row r="2994">
      <c r="N2994" s="7"/>
    </row>
    <row r="2995">
      <c r="N2995" s="7"/>
    </row>
    <row r="2996">
      <c r="N2996" s="7"/>
    </row>
    <row r="2997">
      <c r="N2997" s="7"/>
    </row>
    <row r="2998">
      <c r="N2998" s="7"/>
    </row>
    <row r="2999">
      <c r="N2999" s="7"/>
    </row>
    <row r="3000">
      <c r="N3000" s="7"/>
    </row>
    <row r="3001">
      <c r="N3001" s="7"/>
    </row>
    <row r="3002">
      <c r="N3002" s="7"/>
    </row>
    <row r="3003">
      <c r="N3003" s="7"/>
    </row>
    <row r="3004">
      <c r="N3004" s="7"/>
    </row>
    <row r="3005">
      <c r="N3005" s="7"/>
    </row>
    <row r="3006">
      <c r="N3006" s="7"/>
    </row>
    <row r="3007">
      <c r="N3007" s="7"/>
    </row>
    <row r="3008">
      <c r="N3008" s="7"/>
    </row>
    <row r="3009">
      <c r="N3009" s="7"/>
    </row>
    <row r="3010">
      <c r="N3010" s="7"/>
    </row>
    <row r="3011">
      <c r="N3011" s="7"/>
    </row>
    <row r="3012">
      <c r="N3012" s="7"/>
    </row>
    <row r="3013">
      <c r="N3013" s="7"/>
    </row>
    <row r="3014">
      <c r="N3014" s="7"/>
    </row>
    <row r="3015">
      <c r="N3015" s="7"/>
    </row>
    <row r="3016">
      <c r="N3016" s="7"/>
    </row>
    <row r="3017">
      <c r="N3017" s="7"/>
    </row>
    <row r="3018">
      <c r="N3018" s="7"/>
    </row>
    <row r="3019">
      <c r="N3019" s="7"/>
    </row>
    <row r="3020">
      <c r="N3020" s="7"/>
    </row>
    <row r="3021">
      <c r="N3021" s="7"/>
    </row>
    <row r="3022">
      <c r="N3022" s="7"/>
    </row>
    <row r="3023">
      <c r="N3023" s="7"/>
    </row>
    <row r="3024">
      <c r="N3024" s="7"/>
    </row>
    <row r="3025">
      <c r="N3025" s="7"/>
    </row>
    <row r="3026">
      <c r="N3026" s="7"/>
    </row>
    <row r="3027">
      <c r="N3027" s="7"/>
    </row>
    <row r="3028">
      <c r="N3028" s="7"/>
    </row>
    <row r="3029">
      <c r="N3029" s="7"/>
    </row>
    <row r="3030">
      <c r="N3030" s="7"/>
    </row>
    <row r="3031">
      <c r="N3031" s="7"/>
    </row>
    <row r="3032">
      <c r="N3032" s="7"/>
    </row>
    <row r="3033">
      <c r="N3033" s="7"/>
    </row>
    <row r="3034">
      <c r="N3034" s="7"/>
    </row>
    <row r="3035">
      <c r="N3035" s="7"/>
    </row>
    <row r="3036">
      <c r="N3036" s="7"/>
    </row>
    <row r="3037">
      <c r="N3037" s="7"/>
    </row>
    <row r="3038">
      <c r="N3038" s="7"/>
    </row>
    <row r="3039">
      <c r="N3039" s="7"/>
    </row>
    <row r="3040">
      <c r="N3040" s="7"/>
    </row>
    <row r="3041">
      <c r="N3041" s="7"/>
    </row>
    <row r="3042">
      <c r="N3042" s="7"/>
    </row>
    <row r="3043">
      <c r="I3043" s="9"/>
      <c r="N3043" s="7"/>
    </row>
    <row r="3044">
      <c r="N3044" s="7"/>
    </row>
    <row r="3045">
      <c r="N3045" s="7"/>
    </row>
    <row r="3046">
      <c r="N3046" s="7"/>
    </row>
    <row r="3047">
      <c r="N3047" s="7"/>
    </row>
    <row r="3048">
      <c r="N3048" s="7"/>
    </row>
    <row r="3049">
      <c r="N3049" s="7"/>
    </row>
    <row r="3050">
      <c r="N3050" s="7"/>
    </row>
    <row r="3051">
      <c r="N3051" s="7"/>
    </row>
    <row r="3052">
      <c r="N3052" s="7"/>
    </row>
    <row r="3053">
      <c r="N3053" s="7"/>
    </row>
    <row r="3054">
      <c r="N3054" s="7"/>
    </row>
    <row r="3055">
      <c r="N3055" s="7"/>
    </row>
    <row r="3056">
      <c r="N3056" s="7"/>
    </row>
    <row r="3057">
      <c r="N3057" s="7"/>
    </row>
    <row r="3058">
      <c r="N3058" s="7"/>
    </row>
    <row r="3059">
      <c r="N3059" s="7"/>
    </row>
    <row r="3060">
      <c r="N3060" s="7"/>
    </row>
    <row r="3061">
      <c r="N3061" s="7"/>
    </row>
    <row r="3062">
      <c r="I3062" s="9"/>
      <c r="N3062" s="7"/>
    </row>
    <row r="3063">
      <c r="N3063" s="7"/>
    </row>
    <row r="3064">
      <c r="N3064" s="7"/>
    </row>
    <row r="3065">
      <c r="N3065" s="7"/>
    </row>
    <row r="3066">
      <c r="N3066" s="7"/>
    </row>
    <row r="3067">
      <c r="N3067" s="7"/>
    </row>
    <row r="3068">
      <c r="N3068" s="7"/>
    </row>
    <row r="3069">
      <c r="N3069" s="7"/>
    </row>
    <row r="3070">
      <c r="N3070" s="7"/>
    </row>
    <row r="3071">
      <c r="N3071" s="7"/>
    </row>
    <row r="3072">
      <c r="N3072" s="7"/>
    </row>
    <row r="3073">
      <c r="N3073" s="7"/>
    </row>
    <row r="3074">
      <c r="N3074" s="7"/>
    </row>
    <row r="3075">
      <c r="N3075" s="7"/>
    </row>
    <row r="3076">
      <c r="N3076" s="7"/>
    </row>
    <row r="3077">
      <c r="N3077" s="7"/>
    </row>
    <row r="3078">
      <c r="N3078" s="7"/>
    </row>
    <row r="3079">
      <c r="N3079" s="7"/>
    </row>
    <row r="3080">
      <c r="N3080" s="7"/>
    </row>
    <row r="3081">
      <c r="N3081" s="7"/>
    </row>
    <row r="3082">
      <c r="N3082" s="7"/>
    </row>
    <row r="3083">
      <c r="N3083" s="7"/>
    </row>
    <row r="3084">
      <c r="N3084" s="7"/>
    </row>
    <row r="3085">
      <c r="N3085" s="7"/>
    </row>
    <row r="3086">
      <c r="N3086" s="7"/>
    </row>
    <row r="3087">
      <c r="N3087" s="7"/>
    </row>
    <row r="3088">
      <c r="N3088" s="7"/>
    </row>
    <row r="3089">
      <c r="N3089" s="7"/>
    </row>
    <row r="3090">
      <c r="N3090" s="7"/>
    </row>
    <row r="3091">
      <c r="N3091" s="7"/>
    </row>
    <row r="3092">
      <c r="N3092" s="7"/>
    </row>
    <row r="3093">
      <c r="N3093" s="7"/>
    </row>
    <row r="3094">
      <c r="N3094" s="7"/>
    </row>
    <row r="3095">
      <c r="N3095" s="7"/>
    </row>
    <row r="3096">
      <c r="N3096" s="7"/>
    </row>
    <row r="3097">
      <c r="N3097" s="7"/>
    </row>
    <row r="3098">
      <c r="N3098" s="7"/>
    </row>
    <row r="3099">
      <c r="N3099" s="7"/>
    </row>
    <row r="3100">
      <c r="N3100" s="7"/>
    </row>
    <row r="3101">
      <c r="N3101" s="7"/>
    </row>
    <row r="3102">
      <c r="N3102" s="7"/>
    </row>
    <row r="3103">
      <c r="N3103" s="7"/>
    </row>
    <row r="3104">
      <c r="N3104" s="7"/>
    </row>
    <row r="3105">
      <c r="N3105" s="7"/>
    </row>
    <row r="3106">
      <c r="N3106" s="7"/>
    </row>
    <row r="3107">
      <c r="N3107" s="7"/>
    </row>
    <row r="3108">
      <c r="N3108" s="7"/>
    </row>
    <row r="3109">
      <c r="N3109" s="7"/>
    </row>
    <row r="3110">
      <c r="N3110" s="7"/>
    </row>
    <row r="3111">
      <c r="N3111" s="7"/>
    </row>
    <row r="3112">
      <c r="N3112" s="7"/>
    </row>
    <row r="3113">
      <c r="N3113" s="7"/>
    </row>
    <row r="3114">
      <c r="N3114" s="7"/>
    </row>
    <row r="3115">
      <c r="N3115" s="7"/>
    </row>
    <row r="3116">
      <c r="N3116" s="7"/>
    </row>
    <row r="3117">
      <c r="N3117" s="7"/>
    </row>
    <row r="3118">
      <c r="N3118" s="7"/>
    </row>
    <row r="3119">
      <c r="N3119" s="7"/>
    </row>
    <row r="3120">
      <c r="N3120" s="7"/>
    </row>
    <row r="3121">
      <c r="N3121" s="7"/>
    </row>
    <row r="3122">
      <c r="N3122" s="7"/>
    </row>
    <row r="3123">
      <c r="N3123" s="7"/>
    </row>
    <row r="3124">
      <c r="N3124" s="7"/>
    </row>
    <row r="3125">
      <c r="N3125" s="7"/>
    </row>
    <row r="3126">
      <c r="N3126" s="7"/>
    </row>
    <row r="3127">
      <c r="N3127" s="7"/>
    </row>
    <row r="3128">
      <c r="N3128" s="7"/>
    </row>
    <row r="3129">
      <c r="N3129" s="7"/>
    </row>
    <row r="3130">
      <c r="N3130" s="7"/>
    </row>
    <row r="3131">
      <c r="N3131" s="7"/>
    </row>
    <row r="3132">
      <c r="N3132" s="7"/>
    </row>
    <row r="3133">
      <c r="N3133" s="7"/>
    </row>
    <row r="3134">
      <c r="N3134" s="7"/>
    </row>
    <row r="3135">
      <c r="N3135" s="7"/>
    </row>
    <row r="3136">
      <c r="N3136" s="7"/>
    </row>
    <row r="3137">
      <c r="N3137" s="7"/>
    </row>
    <row r="3138">
      <c r="N3138" s="7"/>
    </row>
    <row r="3139">
      <c r="I3139" s="9"/>
      <c r="N3139" s="7"/>
    </row>
    <row r="3140">
      <c r="N3140" s="7"/>
    </row>
    <row r="3141">
      <c r="N3141" s="7"/>
    </row>
    <row r="3142">
      <c r="N3142" s="7"/>
    </row>
    <row r="3143">
      <c r="N3143" s="7"/>
    </row>
    <row r="3144">
      <c r="N3144" s="7"/>
    </row>
    <row r="3145">
      <c r="N3145" s="7"/>
    </row>
    <row r="3146">
      <c r="N3146" s="7"/>
    </row>
    <row r="3147">
      <c r="N3147" s="7"/>
    </row>
    <row r="3148">
      <c r="N3148" s="7"/>
    </row>
    <row r="3149">
      <c r="N3149" s="7"/>
    </row>
    <row r="3150">
      <c r="N3150" s="7"/>
    </row>
    <row r="3151">
      <c r="N3151" s="7"/>
    </row>
    <row r="3152">
      <c r="N3152" s="7"/>
    </row>
    <row r="3153">
      <c r="N3153" s="7"/>
    </row>
    <row r="3154">
      <c r="N3154" s="7"/>
    </row>
    <row r="3155">
      <c r="N3155" s="7"/>
    </row>
    <row r="3156">
      <c r="N3156" s="7"/>
    </row>
    <row r="3157">
      <c r="N3157" s="7"/>
    </row>
    <row r="3158">
      <c r="N3158" s="7"/>
    </row>
    <row r="3159">
      <c r="N3159" s="7"/>
    </row>
    <row r="3160">
      <c r="N3160" s="7"/>
    </row>
    <row r="3161">
      <c r="N3161" s="7"/>
    </row>
    <row r="3162">
      <c r="N3162" s="7"/>
    </row>
    <row r="3163">
      <c r="N3163" s="7"/>
    </row>
    <row r="3164">
      <c r="N3164" s="7"/>
    </row>
    <row r="3165">
      <c r="N3165" s="7"/>
    </row>
    <row r="3166">
      <c r="N3166" s="7"/>
    </row>
    <row r="3167">
      <c r="N3167" s="7"/>
    </row>
    <row r="3168">
      <c r="N3168" s="7"/>
    </row>
    <row r="3169">
      <c r="N3169" s="7"/>
    </row>
    <row r="3170">
      <c r="N3170" s="7"/>
    </row>
    <row r="3171">
      <c r="N3171" s="7"/>
    </row>
    <row r="3172">
      <c r="N3172" s="7"/>
    </row>
    <row r="3173">
      <c r="N3173" s="7"/>
    </row>
    <row r="3174">
      <c r="N3174" s="7"/>
    </row>
    <row r="3175">
      <c r="N3175" s="7"/>
    </row>
    <row r="3176">
      <c r="N3176" s="7"/>
    </row>
    <row r="3177">
      <c r="N3177" s="7"/>
    </row>
    <row r="3178">
      <c r="N3178" s="7"/>
    </row>
    <row r="3179">
      <c r="N3179" s="7"/>
    </row>
    <row r="3180">
      <c r="N3180" s="7"/>
    </row>
    <row r="3181">
      <c r="N3181" s="7"/>
    </row>
    <row r="3182">
      <c r="N3182" s="7"/>
    </row>
    <row r="3183">
      <c r="N3183" s="7"/>
    </row>
    <row r="3184">
      <c r="N3184" s="7"/>
    </row>
    <row r="3185">
      <c r="N3185" s="7"/>
    </row>
    <row r="3186">
      <c r="N3186" s="7"/>
    </row>
    <row r="3187">
      <c r="N3187" s="7"/>
    </row>
    <row r="3188">
      <c r="N3188" s="7"/>
    </row>
    <row r="3189">
      <c r="N3189" s="7"/>
    </row>
    <row r="3190">
      <c r="N3190" s="7"/>
    </row>
    <row r="3191">
      <c r="N3191" s="7"/>
    </row>
    <row r="3192">
      <c r="N3192" s="7"/>
    </row>
    <row r="3193">
      <c r="N3193" s="7"/>
    </row>
    <row r="3194">
      <c r="N3194" s="7"/>
    </row>
    <row r="3195">
      <c r="N3195" s="7"/>
    </row>
    <row r="3196">
      <c r="N3196" s="7"/>
    </row>
    <row r="3197">
      <c r="N3197" s="7"/>
    </row>
    <row r="3198">
      <c r="N3198" s="7"/>
    </row>
    <row r="3199">
      <c r="N3199" s="7"/>
    </row>
    <row r="3200">
      <c r="N3200" s="7"/>
    </row>
    <row r="3201">
      <c r="N3201" s="7"/>
    </row>
    <row r="3202">
      <c r="N3202" s="7"/>
    </row>
    <row r="3203">
      <c r="N3203" s="7"/>
    </row>
    <row r="3204">
      <c r="N3204" s="7"/>
    </row>
    <row r="3205">
      <c r="N3205" s="7"/>
    </row>
    <row r="3206">
      <c r="N3206" s="7"/>
    </row>
    <row r="3207">
      <c r="N3207" s="7"/>
    </row>
    <row r="3208">
      <c r="N3208" s="7"/>
    </row>
    <row r="3209">
      <c r="N3209" s="7"/>
    </row>
    <row r="3210">
      <c r="N3210" s="7"/>
    </row>
    <row r="3211">
      <c r="I3211" s="9"/>
      <c r="N3211" s="7"/>
    </row>
    <row r="3212">
      <c r="N3212" s="7"/>
    </row>
    <row r="3213">
      <c r="N3213" s="7"/>
    </row>
    <row r="3214">
      <c r="N3214" s="7"/>
    </row>
    <row r="3215">
      <c r="N3215" s="7"/>
    </row>
    <row r="3216">
      <c r="N3216" s="7"/>
    </row>
    <row r="3217">
      <c r="N3217" s="7"/>
    </row>
    <row r="3218">
      <c r="N3218" s="7"/>
    </row>
    <row r="3219">
      <c r="N3219" s="7"/>
    </row>
    <row r="3220">
      <c r="N3220" s="7"/>
    </row>
    <row r="3221">
      <c r="N3221" s="7"/>
    </row>
    <row r="3222">
      <c r="N3222" s="7"/>
    </row>
    <row r="3223">
      <c r="N3223" s="7"/>
    </row>
    <row r="3224">
      <c r="N3224" s="7"/>
    </row>
    <row r="3225">
      <c r="N3225" s="7"/>
    </row>
    <row r="3226">
      <c r="N3226" s="7"/>
    </row>
    <row r="3227">
      <c r="N3227" s="7"/>
    </row>
    <row r="3228">
      <c r="N3228" s="7"/>
    </row>
    <row r="3229">
      <c r="N3229" s="7"/>
    </row>
    <row r="3230">
      <c r="N3230" s="7"/>
    </row>
    <row r="3231">
      <c r="N3231" s="7"/>
    </row>
    <row r="3232">
      <c r="N3232" s="7"/>
    </row>
    <row r="3233">
      <c r="N3233" s="7"/>
    </row>
    <row r="3234">
      <c r="N3234" s="7"/>
    </row>
    <row r="3235">
      <c r="N3235" s="7"/>
    </row>
    <row r="3236">
      <c r="N3236" s="7"/>
    </row>
    <row r="3237">
      <c r="N3237" s="7"/>
    </row>
    <row r="3238">
      <c r="N3238" s="7"/>
    </row>
    <row r="3239">
      <c r="N3239" s="7"/>
    </row>
    <row r="3240">
      <c r="N3240" s="7"/>
    </row>
    <row r="3241">
      <c r="N3241" s="7"/>
    </row>
    <row r="3242">
      <c r="N3242" s="7"/>
    </row>
    <row r="3243">
      <c r="N3243" s="7"/>
    </row>
    <row r="3244">
      <c r="N3244" s="7"/>
    </row>
    <row r="3245">
      <c r="N3245" s="7"/>
    </row>
    <row r="3246">
      <c r="N3246" s="7"/>
    </row>
    <row r="3247">
      <c r="N3247" s="7"/>
    </row>
    <row r="3248">
      <c r="N3248" s="7"/>
    </row>
    <row r="3249">
      <c r="N3249" s="7"/>
    </row>
    <row r="3250">
      <c r="N3250" s="7"/>
    </row>
    <row r="3251">
      <c r="N3251" s="7"/>
    </row>
    <row r="3252">
      <c r="N3252" s="7"/>
    </row>
    <row r="3253">
      <c r="N3253" s="7"/>
    </row>
    <row r="3254">
      <c r="N3254" s="7"/>
    </row>
    <row r="3255">
      <c r="N3255" s="7"/>
    </row>
    <row r="3256">
      <c r="N3256" s="7"/>
    </row>
    <row r="3257">
      <c r="N3257" s="7"/>
    </row>
    <row r="3258">
      <c r="N3258" s="7"/>
    </row>
    <row r="3259">
      <c r="N3259" s="7"/>
    </row>
    <row r="3260">
      <c r="N3260" s="7"/>
    </row>
    <row r="3261">
      <c r="N3261" s="7"/>
    </row>
    <row r="3262">
      <c r="N3262" s="7"/>
    </row>
    <row r="3263">
      <c r="N3263" s="7"/>
    </row>
    <row r="3264">
      <c r="N3264" s="7"/>
    </row>
    <row r="3265">
      <c r="N3265" s="7"/>
    </row>
    <row r="3266">
      <c r="N3266" s="7"/>
    </row>
    <row r="3267">
      <c r="N3267" s="7"/>
    </row>
    <row r="3268">
      <c r="N3268" s="7"/>
    </row>
    <row r="3269">
      <c r="N3269" s="7"/>
    </row>
    <row r="3270">
      <c r="N3270" s="7"/>
    </row>
    <row r="3271">
      <c r="N3271" s="7"/>
    </row>
    <row r="3272">
      <c r="N3272" s="7"/>
    </row>
    <row r="3273">
      <c r="N3273" s="7"/>
    </row>
    <row r="3274">
      <c r="N3274" s="7"/>
    </row>
    <row r="3275">
      <c r="N3275" s="7"/>
    </row>
    <row r="3276">
      <c r="N3276" s="7"/>
    </row>
    <row r="3277">
      <c r="N3277" s="7"/>
    </row>
    <row r="3278">
      <c r="N3278" s="7"/>
    </row>
    <row r="3279">
      <c r="N3279" s="7"/>
    </row>
    <row r="3280">
      <c r="N3280" s="7"/>
    </row>
    <row r="3281">
      <c r="N3281" s="7"/>
    </row>
    <row r="3282">
      <c r="N3282" s="7"/>
    </row>
    <row r="3283">
      <c r="N3283" s="7"/>
    </row>
    <row r="3284">
      <c r="N3284" s="7"/>
    </row>
    <row r="3285">
      <c r="N3285" s="7"/>
    </row>
    <row r="3286">
      <c r="N3286" s="7"/>
    </row>
    <row r="3287">
      <c r="N3287" s="7"/>
    </row>
    <row r="3288">
      <c r="N3288" s="7"/>
    </row>
    <row r="3289">
      <c r="N3289" s="7"/>
    </row>
    <row r="3290">
      <c r="N3290" s="7"/>
    </row>
    <row r="3291">
      <c r="N3291" s="7"/>
    </row>
    <row r="3292">
      <c r="N3292" s="7"/>
    </row>
    <row r="3293">
      <c r="N3293" s="7"/>
    </row>
    <row r="3294">
      <c r="N3294" s="7"/>
    </row>
    <row r="3295">
      <c r="N3295" s="7"/>
    </row>
    <row r="3296">
      <c r="N3296" s="7"/>
    </row>
    <row r="3297">
      <c r="N3297" s="7"/>
    </row>
    <row r="3298">
      <c r="N3298" s="7"/>
    </row>
    <row r="3299">
      <c r="N3299" s="7"/>
    </row>
    <row r="3300">
      <c r="N3300" s="7"/>
    </row>
    <row r="3301">
      <c r="N3301" s="7"/>
    </row>
    <row r="3302">
      <c r="N3302" s="7"/>
    </row>
    <row r="3303">
      <c r="N3303" s="7"/>
    </row>
    <row r="3304">
      <c r="N3304" s="7"/>
    </row>
    <row r="3305">
      <c r="N3305" s="7"/>
    </row>
    <row r="3306">
      <c r="N3306" s="7"/>
    </row>
    <row r="3307">
      <c r="N3307" s="7"/>
    </row>
    <row r="3308">
      <c r="N3308" s="7"/>
    </row>
    <row r="3309">
      <c r="N3309" s="7"/>
    </row>
    <row r="3310">
      <c r="N3310" s="7"/>
    </row>
    <row r="3311">
      <c r="N3311" s="7"/>
    </row>
    <row r="3312">
      <c r="N3312" s="7"/>
    </row>
    <row r="3313">
      <c r="N3313" s="7"/>
    </row>
    <row r="3314">
      <c r="N3314" s="7"/>
    </row>
    <row r="3315">
      <c r="N3315" s="7"/>
    </row>
    <row r="3316">
      <c r="N3316" s="7"/>
    </row>
    <row r="3317">
      <c r="N3317" s="7"/>
    </row>
    <row r="3318">
      <c r="N3318" s="7"/>
    </row>
    <row r="3319">
      <c r="N3319" s="7"/>
    </row>
    <row r="3320">
      <c r="N3320" s="7"/>
    </row>
    <row r="3321">
      <c r="I3321" s="9"/>
      <c r="N3321" s="7"/>
    </row>
    <row r="3322">
      <c r="N3322" s="7"/>
    </row>
    <row r="3323">
      <c r="N3323" s="7"/>
    </row>
    <row r="3324">
      <c r="N3324" s="7"/>
    </row>
    <row r="3325">
      <c r="N3325" s="7"/>
    </row>
    <row r="3326">
      <c r="N3326" s="7"/>
    </row>
    <row r="3327">
      <c r="N3327" s="7"/>
    </row>
    <row r="3328">
      <c r="N3328" s="7"/>
    </row>
    <row r="3329">
      <c r="N3329" s="7"/>
    </row>
    <row r="3330">
      <c r="N3330" s="7"/>
    </row>
    <row r="3331">
      <c r="N3331" s="7"/>
    </row>
    <row r="3332">
      <c r="N3332" s="7"/>
    </row>
    <row r="3333">
      <c r="N3333" s="7"/>
    </row>
    <row r="3334">
      <c r="N3334" s="7"/>
    </row>
    <row r="3335">
      <c r="N3335" s="7"/>
    </row>
    <row r="3336">
      <c r="N3336" s="7"/>
    </row>
    <row r="3337">
      <c r="N3337" s="7"/>
    </row>
    <row r="3338">
      <c r="N3338" s="7"/>
    </row>
    <row r="3339">
      <c r="N3339" s="7"/>
    </row>
    <row r="3340">
      <c r="N3340" s="7"/>
    </row>
    <row r="3341">
      <c r="N3341" s="7"/>
    </row>
    <row r="3342">
      <c r="N3342" s="7"/>
    </row>
    <row r="3343">
      <c r="N3343" s="7"/>
    </row>
    <row r="3344">
      <c r="N3344" s="7"/>
    </row>
    <row r="3345">
      <c r="N3345" s="7"/>
    </row>
    <row r="3346">
      <c r="N3346" s="7"/>
    </row>
    <row r="3347">
      <c r="N3347" s="7"/>
    </row>
    <row r="3348">
      <c r="N3348" s="7"/>
    </row>
    <row r="3349">
      <c r="N3349" s="7"/>
    </row>
    <row r="3350">
      <c r="N3350" s="7"/>
    </row>
    <row r="3351">
      <c r="N3351" s="7"/>
    </row>
    <row r="3352">
      <c r="N3352" s="7"/>
    </row>
    <row r="3353">
      <c r="N3353" s="7"/>
    </row>
    <row r="3354">
      <c r="N3354" s="7"/>
    </row>
    <row r="3355">
      <c r="N3355" s="7"/>
    </row>
    <row r="3356">
      <c r="N3356" s="7"/>
    </row>
    <row r="3357">
      <c r="N3357" s="7"/>
    </row>
    <row r="3358">
      <c r="N3358" s="7"/>
    </row>
    <row r="3359">
      <c r="N3359" s="7"/>
    </row>
    <row r="3360">
      <c r="N3360" s="7"/>
    </row>
    <row r="3361">
      <c r="N3361" s="7"/>
    </row>
    <row r="3362">
      <c r="N3362" s="7"/>
    </row>
    <row r="3363">
      <c r="N3363" s="7"/>
    </row>
    <row r="3364">
      <c r="N3364" s="7"/>
    </row>
    <row r="3365">
      <c r="N3365" s="7"/>
    </row>
    <row r="3366">
      <c r="N3366" s="7"/>
    </row>
    <row r="3367">
      <c r="N3367" s="7"/>
    </row>
    <row r="3368">
      <c r="N3368" s="7"/>
    </row>
    <row r="3369">
      <c r="N3369" s="7"/>
    </row>
    <row r="3370">
      <c r="N3370" s="7"/>
    </row>
    <row r="3371">
      <c r="N3371" s="7"/>
    </row>
    <row r="3372">
      <c r="N3372" s="7"/>
    </row>
    <row r="3373">
      <c r="N3373" s="7"/>
    </row>
    <row r="3374">
      <c r="N3374" s="7"/>
    </row>
    <row r="3375">
      <c r="N3375" s="7"/>
    </row>
    <row r="3376">
      <c r="N3376" s="7"/>
    </row>
    <row r="3377">
      <c r="N3377" s="7"/>
    </row>
    <row r="3378">
      <c r="N3378" s="7"/>
    </row>
    <row r="3379">
      <c r="N3379" s="7"/>
    </row>
    <row r="3380">
      <c r="N3380" s="7"/>
    </row>
    <row r="3381">
      <c r="N3381" s="7"/>
    </row>
    <row r="3382">
      <c r="N3382" s="7"/>
    </row>
    <row r="3383">
      <c r="N3383" s="7"/>
    </row>
    <row r="3384">
      <c r="N3384" s="7"/>
    </row>
    <row r="3385">
      <c r="N3385" s="7"/>
    </row>
    <row r="3386">
      <c r="N3386" s="7"/>
    </row>
    <row r="3387">
      <c r="N3387" s="7"/>
    </row>
    <row r="3388">
      <c r="N3388" s="7"/>
    </row>
    <row r="3389">
      <c r="N3389" s="7"/>
    </row>
    <row r="3390">
      <c r="I3390" s="9"/>
      <c r="N3390" s="7"/>
    </row>
    <row r="3391">
      <c r="N3391" s="7"/>
    </row>
    <row r="3392">
      <c r="N3392" s="7"/>
    </row>
    <row r="3393">
      <c r="N3393" s="7"/>
    </row>
    <row r="3394">
      <c r="N3394" s="7"/>
    </row>
    <row r="3395">
      <c r="N3395" s="7"/>
    </row>
    <row r="3396">
      <c r="N3396" s="7"/>
    </row>
    <row r="3397">
      <c r="N3397" s="7"/>
    </row>
    <row r="3398">
      <c r="N3398" s="7"/>
    </row>
    <row r="3399">
      <c r="N3399" s="7"/>
    </row>
    <row r="3400">
      <c r="N3400" s="7"/>
    </row>
    <row r="3401">
      <c r="N3401" s="7"/>
    </row>
    <row r="3402">
      <c r="N3402" s="7"/>
    </row>
    <row r="3403">
      <c r="N3403" s="7"/>
    </row>
    <row r="3404">
      <c r="N3404" s="7"/>
    </row>
    <row r="3405">
      <c r="N3405" s="7"/>
    </row>
    <row r="3406">
      <c r="N3406" s="7"/>
    </row>
    <row r="3407">
      <c r="N3407" s="7"/>
    </row>
    <row r="3408">
      <c r="N3408" s="7"/>
    </row>
    <row r="3409">
      <c r="N3409" s="7"/>
    </row>
    <row r="3410">
      <c r="N3410" s="7"/>
    </row>
    <row r="3411">
      <c r="N3411" s="7"/>
    </row>
    <row r="3412">
      <c r="N3412" s="7"/>
    </row>
    <row r="3413">
      <c r="N3413" s="7"/>
    </row>
    <row r="3414">
      <c r="N3414" s="7"/>
    </row>
    <row r="3415">
      <c r="N3415" s="7"/>
    </row>
    <row r="3416">
      <c r="N3416" s="7"/>
    </row>
    <row r="3417">
      <c r="N3417" s="7"/>
    </row>
    <row r="3418">
      <c r="N3418" s="7"/>
    </row>
    <row r="3419">
      <c r="N3419" s="7"/>
    </row>
    <row r="3420">
      <c r="N3420" s="7"/>
    </row>
    <row r="3421">
      <c r="N3421" s="7"/>
    </row>
    <row r="3422">
      <c r="N3422" s="7"/>
    </row>
    <row r="3423">
      <c r="N3423" s="7"/>
    </row>
    <row r="3424">
      <c r="N3424" s="7"/>
    </row>
    <row r="3425">
      <c r="N3425" s="7"/>
    </row>
    <row r="3426">
      <c r="N3426" s="7"/>
    </row>
    <row r="3427">
      <c r="N3427" s="7"/>
    </row>
    <row r="3428">
      <c r="N3428" s="7"/>
    </row>
    <row r="3429">
      <c r="N3429" s="7"/>
    </row>
    <row r="3430">
      <c r="N3430" s="7"/>
    </row>
    <row r="3431">
      <c r="N3431" s="7"/>
    </row>
    <row r="3432">
      <c r="N3432" s="7"/>
    </row>
    <row r="3433">
      <c r="N3433" s="7"/>
    </row>
    <row r="3434">
      <c r="N3434" s="7"/>
    </row>
    <row r="3435">
      <c r="N3435" s="7"/>
    </row>
    <row r="3436">
      <c r="N3436" s="7"/>
    </row>
    <row r="3437">
      <c r="N3437" s="7"/>
    </row>
    <row r="3438">
      <c r="N3438" s="7"/>
    </row>
    <row r="3439">
      <c r="N3439" s="7"/>
    </row>
    <row r="3440">
      <c r="N3440" s="7"/>
    </row>
    <row r="3441">
      <c r="N3441" s="7"/>
    </row>
    <row r="3442">
      <c r="N3442" s="7"/>
    </row>
    <row r="3443">
      <c r="N3443" s="7"/>
    </row>
    <row r="3444">
      <c r="N3444" s="7"/>
    </row>
    <row r="3445">
      <c r="N3445" s="7"/>
    </row>
    <row r="3446">
      <c r="N3446" s="7"/>
    </row>
    <row r="3447">
      <c r="N3447" s="7"/>
    </row>
    <row r="3448">
      <c r="N3448" s="7"/>
    </row>
    <row r="3449">
      <c r="N3449" s="7"/>
    </row>
    <row r="3450">
      <c r="N3450" s="7"/>
    </row>
    <row r="3451">
      <c r="N3451" s="7"/>
    </row>
    <row r="3452">
      <c r="N3452" s="7"/>
    </row>
    <row r="3453">
      <c r="N3453" s="7"/>
    </row>
    <row r="3454">
      <c r="N3454" s="7"/>
    </row>
    <row r="3455">
      <c r="N3455" s="7"/>
    </row>
    <row r="3456">
      <c r="N3456" s="7"/>
    </row>
    <row r="3457">
      <c r="N3457" s="7"/>
    </row>
    <row r="3458">
      <c r="N3458" s="7"/>
    </row>
    <row r="3459">
      <c r="N3459" s="7"/>
    </row>
    <row r="3460">
      <c r="N3460" s="7"/>
    </row>
    <row r="3461">
      <c r="N3461" s="7"/>
    </row>
    <row r="3462">
      <c r="N3462" s="7"/>
    </row>
    <row r="3463">
      <c r="N3463" s="7"/>
    </row>
    <row r="3464">
      <c r="N3464" s="7"/>
    </row>
    <row r="3465">
      <c r="N3465" s="7"/>
    </row>
    <row r="3466">
      <c r="N3466" s="7"/>
    </row>
    <row r="3467">
      <c r="N3467" s="7"/>
    </row>
    <row r="3468">
      <c r="N3468" s="7"/>
    </row>
    <row r="3469">
      <c r="N3469" s="7"/>
    </row>
    <row r="3470">
      <c r="N3470" s="7"/>
    </row>
    <row r="3471">
      <c r="N3471" s="7"/>
    </row>
    <row r="3472">
      <c r="N3472" s="7"/>
    </row>
    <row r="3473">
      <c r="N3473" s="7"/>
    </row>
    <row r="3474">
      <c r="N3474" s="7"/>
    </row>
    <row r="3475">
      <c r="N3475" s="7"/>
    </row>
    <row r="3476">
      <c r="N3476" s="7"/>
    </row>
    <row r="3477">
      <c r="N3477" s="7"/>
    </row>
    <row r="3478">
      <c r="N3478" s="7"/>
    </row>
    <row r="3479">
      <c r="N3479" s="7"/>
    </row>
    <row r="3480">
      <c r="N3480" s="7"/>
    </row>
    <row r="3481">
      <c r="N3481" s="7"/>
    </row>
    <row r="3482">
      <c r="N3482" s="7"/>
    </row>
    <row r="3483">
      <c r="N3483" s="7"/>
    </row>
    <row r="3484">
      <c r="N3484" s="7"/>
    </row>
    <row r="3485">
      <c r="N3485" s="7"/>
    </row>
    <row r="3486">
      <c r="N3486" s="7"/>
    </row>
    <row r="3487">
      <c r="N3487" s="7"/>
    </row>
    <row r="3488">
      <c r="N3488" s="7"/>
    </row>
    <row r="3489">
      <c r="N3489" s="7"/>
    </row>
    <row r="3490">
      <c r="N3490" s="7"/>
    </row>
    <row r="3491">
      <c r="N3491" s="7"/>
    </row>
    <row r="3492">
      <c r="N3492" s="7"/>
    </row>
    <row r="3493">
      <c r="N3493" s="7"/>
    </row>
    <row r="3494">
      <c r="N3494" s="7"/>
    </row>
    <row r="3495">
      <c r="N3495" s="7"/>
    </row>
    <row r="3496">
      <c r="N3496" s="7"/>
    </row>
    <row r="3497">
      <c r="N3497" s="7"/>
    </row>
    <row r="3498">
      <c r="N3498" s="7"/>
    </row>
    <row r="3499">
      <c r="N3499" s="7"/>
    </row>
    <row r="3500">
      <c r="N3500" s="7"/>
    </row>
    <row r="3501">
      <c r="N3501" s="7"/>
    </row>
    <row r="3502">
      <c r="N3502" s="7"/>
    </row>
    <row r="3503">
      <c r="N3503" s="7"/>
    </row>
    <row r="3504">
      <c r="N3504" s="7"/>
    </row>
    <row r="3505">
      <c r="N3505" s="7"/>
    </row>
    <row r="3506">
      <c r="N3506" s="7"/>
    </row>
    <row r="3507">
      <c r="N3507" s="7"/>
    </row>
    <row r="3508">
      <c r="N3508" s="7"/>
    </row>
    <row r="3509">
      <c r="N3509" s="7"/>
    </row>
    <row r="3510">
      <c r="N3510" s="7"/>
    </row>
    <row r="3511">
      <c r="N3511" s="7"/>
    </row>
    <row r="3512">
      <c r="N3512" s="7"/>
    </row>
    <row r="3513">
      <c r="N3513" s="7"/>
    </row>
    <row r="3514">
      <c r="N3514" s="7"/>
    </row>
    <row r="3515">
      <c r="N3515" s="7"/>
    </row>
    <row r="3516">
      <c r="N3516" s="7"/>
    </row>
    <row r="3517">
      <c r="N3517" s="7"/>
    </row>
    <row r="3518">
      <c r="N3518" s="7"/>
    </row>
    <row r="3519">
      <c r="N3519" s="7"/>
    </row>
    <row r="3520">
      <c r="N3520" s="7"/>
    </row>
    <row r="3521">
      <c r="N3521" s="7"/>
    </row>
    <row r="3522">
      <c r="N3522" s="7"/>
    </row>
    <row r="3523">
      <c r="N3523" s="7"/>
    </row>
    <row r="3524">
      <c r="N3524" s="7"/>
    </row>
    <row r="3525">
      <c r="N3525" s="7"/>
    </row>
    <row r="3526">
      <c r="N3526" s="7"/>
    </row>
    <row r="3527">
      <c r="N3527" s="7"/>
    </row>
    <row r="3528">
      <c r="N3528" s="7"/>
    </row>
    <row r="3529">
      <c r="N3529" s="7"/>
    </row>
    <row r="3530">
      <c r="N3530" s="7"/>
    </row>
    <row r="3531">
      <c r="N3531" s="7"/>
    </row>
    <row r="3532">
      <c r="N3532" s="7"/>
    </row>
    <row r="3533">
      <c r="N3533" s="7"/>
    </row>
    <row r="3534">
      <c r="N3534" s="7"/>
    </row>
    <row r="3535">
      <c r="N3535" s="7"/>
    </row>
    <row r="3536">
      <c r="N3536" s="7"/>
    </row>
    <row r="3537">
      <c r="N3537" s="7"/>
    </row>
    <row r="3538">
      <c r="N3538" s="7"/>
    </row>
    <row r="3539">
      <c r="N3539" s="7"/>
    </row>
    <row r="3540">
      <c r="N3540" s="7"/>
    </row>
    <row r="3541">
      <c r="N3541" s="7"/>
    </row>
    <row r="3542">
      <c r="N3542" s="7"/>
    </row>
    <row r="3543">
      <c r="N3543" s="7"/>
    </row>
    <row r="3544">
      <c r="N3544" s="7"/>
    </row>
    <row r="3545">
      <c r="N3545" s="7"/>
    </row>
    <row r="3546">
      <c r="N3546" s="7"/>
    </row>
    <row r="3547">
      <c r="N3547" s="7"/>
    </row>
    <row r="3548">
      <c r="N3548" s="7"/>
    </row>
    <row r="3549">
      <c r="N3549" s="7"/>
    </row>
    <row r="3550">
      <c r="N3550" s="7"/>
    </row>
    <row r="3551">
      <c r="N3551" s="7"/>
    </row>
    <row r="3552">
      <c r="N3552" s="7"/>
    </row>
    <row r="3553">
      <c r="N3553" s="7"/>
    </row>
    <row r="3554">
      <c r="N3554" s="7"/>
    </row>
    <row r="3555">
      <c r="N3555" s="7"/>
    </row>
    <row r="3556">
      <c r="N3556" s="7"/>
    </row>
    <row r="3557">
      <c r="N3557" s="7"/>
    </row>
    <row r="3558">
      <c r="N3558" s="7"/>
    </row>
    <row r="3559">
      <c r="N3559" s="7"/>
    </row>
    <row r="3560">
      <c r="N3560" s="7"/>
    </row>
    <row r="3561">
      <c r="N3561" s="7"/>
    </row>
    <row r="3562">
      <c r="N3562" s="7"/>
    </row>
    <row r="3563">
      <c r="N3563" s="7"/>
    </row>
    <row r="3564">
      <c r="N3564" s="7"/>
    </row>
    <row r="3565">
      <c r="N3565" s="7"/>
    </row>
    <row r="3566">
      <c r="N3566" s="7"/>
    </row>
    <row r="3567">
      <c r="N3567" s="7"/>
    </row>
    <row r="3568">
      <c r="N3568" s="7"/>
    </row>
    <row r="3569">
      <c r="N3569" s="7"/>
    </row>
    <row r="3570">
      <c r="N3570" s="7"/>
    </row>
    <row r="3571">
      <c r="N3571" s="7"/>
    </row>
    <row r="3572">
      <c r="N3572" s="7"/>
    </row>
    <row r="3573">
      <c r="N3573" s="7"/>
    </row>
    <row r="3574">
      <c r="N3574" s="7"/>
    </row>
    <row r="3575">
      <c r="N3575" s="7"/>
    </row>
    <row r="3576">
      <c r="N3576" s="7"/>
    </row>
    <row r="3577">
      <c r="N3577" s="7"/>
    </row>
    <row r="3578">
      <c r="N3578" s="7"/>
    </row>
    <row r="3579">
      <c r="N3579" s="7"/>
    </row>
    <row r="3580">
      <c r="N3580" s="7"/>
    </row>
    <row r="3581">
      <c r="N3581" s="7"/>
    </row>
    <row r="3582">
      <c r="N3582" s="7"/>
    </row>
    <row r="3583">
      <c r="N3583" s="7"/>
    </row>
    <row r="3584">
      <c r="N3584" s="7"/>
    </row>
    <row r="3585">
      <c r="N3585" s="7"/>
    </row>
    <row r="3586">
      <c r="I3586" s="9"/>
      <c r="N3586" s="7"/>
    </row>
    <row r="3587">
      <c r="N3587" s="7"/>
    </row>
    <row r="3588">
      <c r="N3588" s="7"/>
    </row>
    <row r="3589">
      <c r="N3589" s="7"/>
    </row>
    <row r="3590">
      <c r="N3590" s="7"/>
    </row>
    <row r="3591">
      <c r="N3591" s="7"/>
    </row>
    <row r="3592">
      <c r="N3592" s="7"/>
    </row>
    <row r="3593">
      <c r="I3593" s="9"/>
      <c r="N3593" s="7"/>
    </row>
    <row r="3594">
      <c r="N3594" s="7"/>
    </row>
    <row r="3595">
      <c r="N3595" s="7"/>
    </row>
    <row r="3596">
      <c r="N3596" s="7"/>
    </row>
    <row r="3597">
      <c r="N3597" s="7"/>
    </row>
    <row r="3598">
      <c r="N3598" s="7"/>
    </row>
    <row r="3599">
      <c r="N3599" s="7"/>
    </row>
    <row r="3600">
      <c r="N3600" s="7"/>
    </row>
    <row r="3601">
      <c r="N3601" s="7"/>
    </row>
    <row r="3602">
      <c r="N3602" s="7"/>
    </row>
    <row r="3603">
      <c r="N3603" s="7"/>
    </row>
    <row r="3604">
      <c r="N3604" s="7"/>
    </row>
    <row r="3605">
      <c r="N3605" s="7"/>
    </row>
    <row r="3606">
      <c r="N3606" s="7"/>
    </row>
    <row r="3607">
      <c r="N3607" s="7"/>
    </row>
    <row r="3608">
      <c r="N3608" s="7"/>
    </row>
    <row r="3609">
      <c r="N3609" s="7"/>
    </row>
    <row r="3610">
      <c r="N3610" s="7"/>
    </row>
    <row r="3611">
      <c r="N3611" s="7"/>
    </row>
    <row r="3612">
      <c r="N3612" s="7"/>
    </row>
    <row r="3613">
      <c r="N3613" s="7"/>
    </row>
    <row r="3614">
      <c r="N3614" s="7"/>
    </row>
    <row r="3615">
      <c r="N3615" s="7"/>
    </row>
    <row r="3616">
      <c r="N3616" s="7"/>
    </row>
    <row r="3617">
      <c r="N3617" s="7"/>
    </row>
    <row r="3618">
      <c r="N3618" s="7"/>
    </row>
    <row r="3619">
      <c r="N3619" s="7"/>
    </row>
    <row r="3620">
      <c r="N3620" s="7"/>
    </row>
    <row r="3621">
      <c r="N3621" s="7"/>
    </row>
    <row r="3622">
      <c r="N3622" s="7"/>
    </row>
    <row r="3623">
      <c r="N3623" s="7"/>
    </row>
    <row r="3624">
      <c r="N3624" s="7"/>
    </row>
    <row r="3625">
      <c r="N3625" s="7"/>
    </row>
    <row r="3626">
      <c r="N3626" s="7"/>
    </row>
    <row r="3627">
      <c r="N3627" s="7"/>
    </row>
    <row r="3628">
      <c r="N3628" s="7"/>
    </row>
    <row r="3629">
      <c r="N3629" s="7"/>
    </row>
    <row r="3630">
      <c r="N3630" s="7"/>
    </row>
    <row r="3631">
      <c r="N3631" s="7"/>
    </row>
    <row r="3632">
      <c r="N3632" s="7"/>
    </row>
    <row r="3633">
      <c r="N3633" s="7"/>
    </row>
    <row r="3634">
      <c r="N3634" s="7"/>
    </row>
    <row r="3635">
      <c r="N3635" s="7"/>
    </row>
    <row r="3636">
      <c r="N3636" s="7"/>
    </row>
    <row r="3637">
      <c r="N3637" s="7"/>
    </row>
    <row r="3638">
      <c r="N3638" s="7"/>
    </row>
    <row r="3639">
      <c r="N3639" s="7"/>
    </row>
    <row r="3640">
      <c r="N3640" s="7"/>
    </row>
    <row r="3641">
      <c r="N3641" s="7"/>
    </row>
    <row r="3642">
      <c r="N3642" s="7"/>
    </row>
    <row r="3643">
      <c r="N3643" s="7"/>
    </row>
    <row r="3644">
      <c r="N3644" s="7"/>
    </row>
    <row r="3645">
      <c r="N3645" s="7"/>
    </row>
    <row r="3646">
      <c r="N3646" s="7"/>
    </row>
    <row r="3647">
      <c r="N3647" s="7"/>
    </row>
    <row r="3648">
      <c r="N3648" s="7"/>
    </row>
    <row r="3649">
      <c r="N3649" s="7"/>
    </row>
    <row r="3650">
      <c r="N3650" s="7"/>
    </row>
    <row r="3651">
      <c r="N3651" s="7"/>
    </row>
    <row r="3652">
      <c r="N3652" s="7"/>
    </row>
    <row r="3653">
      <c r="N3653" s="7"/>
    </row>
    <row r="3654">
      <c r="N3654" s="7"/>
    </row>
    <row r="3655">
      <c r="N3655" s="7"/>
    </row>
    <row r="3656">
      <c r="N3656" s="7"/>
    </row>
    <row r="3657">
      <c r="N3657" s="7"/>
    </row>
    <row r="3658">
      <c r="N3658" s="7"/>
    </row>
    <row r="3659">
      <c r="N3659" s="7"/>
    </row>
    <row r="3660">
      <c r="N3660" s="7"/>
    </row>
    <row r="3661">
      <c r="N3661" s="7"/>
    </row>
    <row r="3662">
      <c r="N3662" s="7"/>
    </row>
    <row r="3663">
      <c r="N3663" s="7"/>
    </row>
    <row r="3664">
      <c r="N3664" s="7"/>
    </row>
    <row r="3665">
      <c r="N3665" s="7"/>
    </row>
    <row r="3666">
      <c r="N3666" s="7"/>
    </row>
    <row r="3667">
      <c r="I3667" s="9"/>
      <c r="N3667" s="7"/>
    </row>
    <row r="3668">
      <c r="N3668" s="7"/>
    </row>
    <row r="3669">
      <c r="N3669" s="7"/>
    </row>
    <row r="3670">
      <c r="N3670" s="7"/>
    </row>
    <row r="3671">
      <c r="N3671" s="7"/>
    </row>
    <row r="3672">
      <c r="N3672" s="7"/>
    </row>
    <row r="3673">
      <c r="N3673" s="7"/>
    </row>
    <row r="3674">
      <c r="N3674" s="7"/>
    </row>
    <row r="3675">
      <c r="N3675" s="7"/>
    </row>
    <row r="3676">
      <c r="N3676" s="7"/>
    </row>
    <row r="3677">
      <c r="N3677" s="7"/>
    </row>
    <row r="3678">
      <c r="N3678" s="7"/>
    </row>
    <row r="3679">
      <c r="N3679" s="7"/>
    </row>
    <row r="3680">
      <c r="N3680" s="7"/>
    </row>
    <row r="3681">
      <c r="N3681" s="7"/>
    </row>
    <row r="3682">
      <c r="N3682" s="7"/>
    </row>
    <row r="3683">
      <c r="N3683" s="7"/>
    </row>
    <row r="3684">
      <c r="N3684" s="7"/>
    </row>
    <row r="3685">
      <c r="N3685" s="7"/>
    </row>
    <row r="3686">
      <c r="N3686" s="7"/>
    </row>
    <row r="3687">
      <c r="N3687" s="7"/>
    </row>
    <row r="3688">
      <c r="N3688" s="7"/>
    </row>
    <row r="3689">
      <c r="N3689" s="7"/>
    </row>
    <row r="3690">
      <c r="N3690" s="7"/>
    </row>
    <row r="3691">
      <c r="N3691" s="7"/>
    </row>
    <row r="3692">
      <c r="N3692" s="7"/>
    </row>
    <row r="3693">
      <c r="N3693" s="7"/>
    </row>
    <row r="3694">
      <c r="N3694" s="7"/>
    </row>
    <row r="3695">
      <c r="I3695" s="9"/>
      <c r="N3695" s="7"/>
    </row>
    <row r="3696">
      <c r="N3696" s="7"/>
    </row>
    <row r="3697">
      <c r="N3697" s="7"/>
    </row>
    <row r="3698">
      <c r="N3698" s="7"/>
    </row>
    <row r="3699">
      <c r="N3699" s="7"/>
    </row>
    <row r="3700">
      <c r="N3700" s="7"/>
    </row>
    <row r="3701">
      <c r="N3701" s="7"/>
    </row>
    <row r="3702">
      <c r="N3702" s="7"/>
    </row>
    <row r="3703">
      <c r="N3703" s="7"/>
    </row>
    <row r="3704">
      <c r="N3704" s="7"/>
    </row>
    <row r="3705">
      <c r="I3705" s="9"/>
      <c r="N3705" s="7"/>
    </row>
    <row r="3706">
      <c r="N3706" s="7"/>
    </row>
    <row r="3707">
      <c r="N3707" s="7"/>
    </row>
    <row r="3708">
      <c r="N3708" s="7"/>
    </row>
    <row r="3709">
      <c r="N3709" s="7"/>
    </row>
    <row r="3710">
      <c r="N3710" s="7"/>
    </row>
    <row r="3711">
      <c r="N3711" s="7"/>
    </row>
    <row r="3712">
      <c r="N3712" s="7"/>
    </row>
    <row r="3713">
      <c r="N3713" s="7"/>
    </row>
    <row r="3714">
      <c r="N3714" s="7"/>
    </row>
    <row r="3715">
      <c r="N3715" s="7"/>
    </row>
    <row r="3716">
      <c r="N3716" s="7"/>
    </row>
    <row r="3717">
      <c r="N3717" s="7"/>
    </row>
    <row r="3718">
      <c r="N3718" s="7"/>
    </row>
    <row r="3719">
      <c r="N3719" s="7"/>
    </row>
    <row r="3720">
      <c r="N3720" s="7"/>
    </row>
    <row r="3721">
      <c r="N3721" s="7"/>
    </row>
    <row r="3722">
      <c r="N3722" s="7"/>
    </row>
    <row r="3723">
      <c r="N3723" s="7"/>
    </row>
    <row r="3724">
      <c r="N3724" s="7"/>
    </row>
    <row r="3725">
      <c r="N3725" s="7"/>
    </row>
    <row r="3726">
      <c r="N3726" s="7"/>
    </row>
    <row r="3727">
      <c r="N3727" s="7"/>
    </row>
    <row r="3728">
      <c r="N3728" s="7"/>
    </row>
    <row r="3729">
      <c r="N3729" s="7"/>
    </row>
    <row r="3730">
      <c r="N3730" s="7"/>
    </row>
    <row r="3731">
      <c r="N3731" s="7"/>
    </row>
    <row r="3732">
      <c r="N3732" s="7"/>
    </row>
    <row r="3733">
      <c r="I3733" s="9"/>
      <c r="N3733" s="7"/>
    </row>
    <row r="3734">
      <c r="N3734" s="7"/>
    </row>
    <row r="3735">
      <c r="N3735" s="7"/>
    </row>
    <row r="3736">
      <c r="N3736" s="7"/>
    </row>
    <row r="3737">
      <c r="N3737" s="7"/>
    </row>
    <row r="3738">
      <c r="N3738" s="7"/>
    </row>
    <row r="3739">
      <c r="N3739" s="7"/>
    </row>
    <row r="3740">
      <c r="N3740" s="7"/>
    </row>
    <row r="3741">
      <c r="N3741" s="7"/>
    </row>
    <row r="3742">
      <c r="N3742" s="7"/>
    </row>
    <row r="3743">
      <c r="N3743" s="7"/>
    </row>
    <row r="3744">
      <c r="N3744" s="7"/>
    </row>
    <row r="3745">
      <c r="N3745" s="7"/>
    </row>
    <row r="3746">
      <c r="N3746" s="7"/>
    </row>
    <row r="3747">
      <c r="N3747" s="7"/>
    </row>
    <row r="3748">
      <c r="N3748" s="7"/>
    </row>
    <row r="3749">
      <c r="N3749" s="7"/>
    </row>
    <row r="3750">
      <c r="N3750" s="7"/>
    </row>
    <row r="3751">
      <c r="N3751" s="7"/>
    </row>
    <row r="3752">
      <c r="N3752" s="7"/>
    </row>
    <row r="3753">
      <c r="N3753" s="7"/>
    </row>
    <row r="3754">
      <c r="N3754" s="7"/>
    </row>
    <row r="3755">
      <c r="N3755" s="7"/>
    </row>
    <row r="3756">
      <c r="N3756" s="7"/>
    </row>
    <row r="3757">
      <c r="N3757" s="7"/>
    </row>
    <row r="3758">
      <c r="N3758" s="7"/>
    </row>
    <row r="3759">
      <c r="N3759" s="7"/>
    </row>
    <row r="3760">
      <c r="N3760" s="7"/>
    </row>
    <row r="3761">
      <c r="N3761" s="7"/>
    </row>
    <row r="3762">
      <c r="N3762" s="7"/>
    </row>
    <row r="3763">
      <c r="N3763" s="7"/>
    </row>
    <row r="3764">
      <c r="N3764" s="7"/>
    </row>
    <row r="3765">
      <c r="N3765" s="7"/>
    </row>
    <row r="3766">
      <c r="N3766" s="7"/>
    </row>
    <row r="3767">
      <c r="N3767" s="7"/>
    </row>
    <row r="3768">
      <c r="N3768" s="7"/>
    </row>
    <row r="3769">
      <c r="N3769" s="7"/>
    </row>
    <row r="3770">
      <c r="N3770" s="7"/>
    </row>
    <row r="3771">
      <c r="N3771" s="7"/>
    </row>
    <row r="3772">
      <c r="N3772" s="7"/>
    </row>
    <row r="3773">
      <c r="N3773" s="7"/>
    </row>
    <row r="3774">
      <c r="N3774" s="7"/>
    </row>
    <row r="3775">
      <c r="N3775" s="7"/>
    </row>
    <row r="3776">
      <c r="N3776" s="7"/>
    </row>
    <row r="3777">
      <c r="N3777" s="7"/>
    </row>
    <row r="3778">
      <c r="N3778" s="7"/>
    </row>
    <row r="3779">
      <c r="N3779" s="7"/>
    </row>
    <row r="3780">
      <c r="N3780" s="7"/>
    </row>
    <row r="3781">
      <c r="N3781" s="7"/>
    </row>
    <row r="3782">
      <c r="N3782" s="7"/>
    </row>
    <row r="3783">
      <c r="N3783" s="7"/>
    </row>
    <row r="3784">
      <c r="N3784" s="7"/>
    </row>
    <row r="3785">
      <c r="N3785" s="7"/>
    </row>
    <row r="3786">
      <c r="N3786" s="7"/>
    </row>
    <row r="3787">
      <c r="N3787" s="7"/>
    </row>
    <row r="3788">
      <c r="N3788" s="7"/>
    </row>
    <row r="3789">
      <c r="N3789" s="7"/>
    </row>
    <row r="3790">
      <c r="N3790" s="7"/>
    </row>
    <row r="3791">
      <c r="N3791" s="7"/>
    </row>
    <row r="3792">
      <c r="N3792" s="7"/>
    </row>
    <row r="3793">
      <c r="N3793" s="7"/>
    </row>
    <row r="3794">
      <c r="N3794" s="7"/>
    </row>
    <row r="3795">
      <c r="N3795" s="7"/>
    </row>
    <row r="3796">
      <c r="N3796" s="7"/>
    </row>
    <row r="3797">
      <c r="N3797" s="7"/>
    </row>
    <row r="3798">
      <c r="N3798" s="7"/>
    </row>
    <row r="3799">
      <c r="N3799" s="7"/>
    </row>
    <row r="3800">
      <c r="N3800" s="7"/>
    </row>
    <row r="3801">
      <c r="N3801" s="7"/>
    </row>
    <row r="3802">
      <c r="N3802" s="7"/>
    </row>
    <row r="3803">
      <c r="N3803" s="7"/>
    </row>
    <row r="3804">
      <c r="N3804" s="7"/>
    </row>
    <row r="3805">
      <c r="N3805" s="7"/>
    </row>
    <row r="3806">
      <c r="N3806" s="7"/>
    </row>
    <row r="3807">
      <c r="N3807" s="7"/>
    </row>
    <row r="3808">
      <c r="N3808" s="7"/>
    </row>
    <row r="3809">
      <c r="N3809" s="7"/>
    </row>
    <row r="3810">
      <c r="N3810" s="7"/>
    </row>
    <row r="3811">
      <c r="N3811" s="7"/>
    </row>
    <row r="3812">
      <c r="N3812" s="7"/>
    </row>
    <row r="3813">
      <c r="N3813" s="7"/>
    </row>
    <row r="3814">
      <c r="N3814" s="7"/>
    </row>
    <row r="3815">
      <c r="N3815" s="7"/>
    </row>
    <row r="3816">
      <c r="N3816" s="7"/>
    </row>
    <row r="3817">
      <c r="N3817" s="7"/>
    </row>
    <row r="3818">
      <c r="N3818" s="7"/>
    </row>
    <row r="3819">
      <c r="N3819" s="7"/>
    </row>
    <row r="3820">
      <c r="N3820" s="7"/>
    </row>
    <row r="3821">
      <c r="N3821" s="7"/>
    </row>
    <row r="3822">
      <c r="N3822" s="7"/>
    </row>
    <row r="3823">
      <c r="N3823" s="7"/>
    </row>
    <row r="3824">
      <c r="N3824" s="7"/>
    </row>
    <row r="3825">
      <c r="N3825" s="7"/>
    </row>
    <row r="3826">
      <c r="N3826" s="7"/>
    </row>
    <row r="3827">
      <c r="N3827" s="7"/>
    </row>
    <row r="3828">
      <c r="N3828" s="7"/>
    </row>
    <row r="3829">
      <c r="N3829" s="7"/>
    </row>
    <row r="3830">
      <c r="N3830" s="7"/>
    </row>
    <row r="3831">
      <c r="N3831" s="7"/>
    </row>
    <row r="3832">
      <c r="N3832" s="7"/>
    </row>
    <row r="3833">
      <c r="N3833" s="7"/>
    </row>
    <row r="3834">
      <c r="N3834" s="7"/>
    </row>
    <row r="3835">
      <c r="N3835" s="7"/>
    </row>
    <row r="3836">
      <c r="N3836" s="7"/>
    </row>
    <row r="3837">
      <c r="N3837" s="7"/>
    </row>
    <row r="3838">
      <c r="N3838" s="7"/>
    </row>
    <row r="3839">
      <c r="N3839" s="7"/>
    </row>
    <row r="3840">
      <c r="N3840" s="7"/>
    </row>
    <row r="3841">
      <c r="N3841" s="7"/>
    </row>
    <row r="3842">
      <c r="N3842" s="7"/>
    </row>
    <row r="3843">
      <c r="N3843" s="7"/>
    </row>
    <row r="3844">
      <c r="N3844" s="7"/>
    </row>
    <row r="3845">
      <c r="N3845" s="7"/>
    </row>
    <row r="3846">
      <c r="N3846" s="7"/>
    </row>
    <row r="3847">
      <c r="N3847" s="7"/>
    </row>
    <row r="3848">
      <c r="N3848" s="7"/>
    </row>
    <row r="3849">
      <c r="N3849" s="7"/>
    </row>
    <row r="3850">
      <c r="N3850" s="7"/>
    </row>
    <row r="3851">
      <c r="N3851" s="7"/>
    </row>
    <row r="3852">
      <c r="N3852" s="7"/>
    </row>
    <row r="3853">
      <c r="N3853" s="7"/>
    </row>
    <row r="3854">
      <c r="N3854" s="7"/>
    </row>
    <row r="3855">
      <c r="N3855" s="7"/>
    </row>
    <row r="3856">
      <c r="N3856" s="7"/>
    </row>
    <row r="3857">
      <c r="N3857" s="7"/>
    </row>
    <row r="3858">
      <c r="N3858" s="7"/>
    </row>
    <row r="3859">
      <c r="N3859" s="7"/>
    </row>
    <row r="3860">
      <c r="N3860" s="7"/>
    </row>
    <row r="3861">
      <c r="N3861" s="7"/>
    </row>
    <row r="3862">
      <c r="N3862" s="7"/>
    </row>
    <row r="3863">
      <c r="N3863" s="7"/>
    </row>
    <row r="3864">
      <c r="N3864" s="7"/>
    </row>
    <row r="3865">
      <c r="N3865" s="7"/>
    </row>
    <row r="3866">
      <c r="N3866" s="7"/>
    </row>
    <row r="3867">
      <c r="N3867" s="7"/>
    </row>
    <row r="3868">
      <c r="N3868" s="7"/>
    </row>
    <row r="3869">
      <c r="N3869" s="7"/>
    </row>
    <row r="3870">
      <c r="N3870" s="7"/>
    </row>
    <row r="3871">
      <c r="N3871" s="7"/>
    </row>
    <row r="3872">
      <c r="N3872" s="7"/>
    </row>
    <row r="3873">
      <c r="N3873" s="7"/>
    </row>
    <row r="3874">
      <c r="N3874" s="7"/>
    </row>
    <row r="3875">
      <c r="N3875" s="7"/>
    </row>
    <row r="3876">
      <c r="N3876" s="7"/>
    </row>
    <row r="3877">
      <c r="N3877" s="7"/>
    </row>
    <row r="3878">
      <c r="N3878" s="7"/>
    </row>
    <row r="3879">
      <c r="N3879" s="7"/>
    </row>
    <row r="3880">
      <c r="N3880" s="7"/>
    </row>
    <row r="3881">
      <c r="N3881" s="7"/>
    </row>
    <row r="3882">
      <c r="I3882" s="9"/>
      <c r="N3882" s="7"/>
    </row>
    <row r="3883">
      <c r="N3883" s="7"/>
    </row>
    <row r="3884">
      <c r="N3884" s="7"/>
    </row>
    <row r="3885">
      <c r="N3885" s="7"/>
    </row>
    <row r="3886">
      <c r="N3886" s="7"/>
    </row>
    <row r="3887">
      <c r="N3887" s="7"/>
    </row>
    <row r="3888">
      <c r="N3888" s="7"/>
    </row>
    <row r="3889">
      <c r="N3889" s="7"/>
    </row>
    <row r="3890">
      <c r="N3890" s="7"/>
    </row>
    <row r="3891">
      <c r="N3891" s="7"/>
    </row>
    <row r="3892">
      <c r="N3892" s="7"/>
    </row>
    <row r="3893">
      <c r="N3893" s="7"/>
    </row>
    <row r="3894">
      <c r="N3894" s="7"/>
    </row>
    <row r="3895">
      <c r="N3895" s="7"/>
    </row>
    <row r="3896">
      <c r="N3896" s="7"/>
    </row>
    <row r="3897">
      <c r="I3897" s="9"/>
      <c r="N3897" s="7"/>
    </row>
    <row r="3898">
      <c r="N3898" s="7"/>
    </row>
    <row r="3899">
      <c r="N3899" s="7"/>
    </row>
    <row r="3900">
      <c r="N3900" s="7"/>
    </row>
    <row r="3901">
      <c r="N3901" s="7"/>
    </row>
    <row r="3902">
      <c r="N3902" s="7"/>
    </row>
    <row r="3903">
      <c r="N3903" s="7"/>
    </row>
    <row r="3904">
      <c r="N3904" s="7"/>
    </row>
    <row r="3905">
      <c r="N3905" s="7"/>
    </row>
    <row r="3906">
      <c r="N3906" s="7"/>
    </row>
    <row r="3907">
      <c r="N3907" s="7"/>
    </row>
    <row r="3908">
      <c r="N3908" s="7"/>
    </row>
    <row r="3909">
      <c r="N3909" s="7"/>
    </row>
    <row r="3910">
      <c r="N3910" s="7"/>
    </row>
    <row r="3911">
      <c r="N3911" s="7"/>
    </row>
    <row r="3912">
      <c r="N3912" s="7"/>
    </row>
    <row r="3913">
      <c r="N3913" s="7"/>
    </row>
    <row r="3914">
      <c r="N3914" s="7"/>
    </row>
    <row r="3915">
      <c r="N3915" s="7"/>
    </row>
    <row r="3916">
      <c r="N3916" s="7"/>
    </row>
    <row r="3917">
      <c r="N3917" s="7"/>
    </row>
    <row r="3918">
      <c r="N3918" s="7"/>
    </row>
    <row r="3919">
      <c r="N3919" s="7"/>
    </row>
    <row r="3920">
      <c r="N3920" s="7"/>
    </row>
    <row r="3921">
      <c r="N3921" s="7"/>
    </row>
    <row r="3922">
      <c r="N3922" s="7"/>
    </row>
    <row r="3923">
      <c r="N3923" s="7"/>
    </row>
    <row r="3924">
      <c r="N3924" s="7"/>
    </row>
    <row r="3925">
      <c r="N3925" s="7"/>
    </row>
    <row r="3926">
      <c r="N3926" s="7"/>
    </row>
    <row r="3927">
      <c r="N3927" s="7"/>
    </row>
    <row r="3928">
      <c r="N3928" s="7"/>
    </row>
    <row r="3929">
      <c r="N3929" s="7"/>
    </row>
    <row r="3930">
      <c r="N3930" s="7"/>
    </row>
    <row r="3931">
      <c r="N3931" s="7"/>
    </row>
    <row r="3932">
      <c r="N3932" s="7"/>
    </row>
    <row r="3933">
      <c r="N3933" s="7"/>
    </row>
    <row r="3934">
      <c r="N3934" s="7"/>
    </row>
    <row r="3935">
      <c r="N3935" s="7"/>
    </row>
    <row r="3936">
      <c r="N3936" s="7"/>
    </row>
    <row r="3937">
      <c r="N3937" s="7"/>
    </row>
    <row r="3938">
      <c r="N3938" s="7"/>
    </row>
    <row r="3939">
      <c r="N3939" s="7"/>
    </row>
    <row r="3940">
      <c r="N3940" s="7"/>
    </row>
    <row r="3941">
      <c r="N3941" s="7"/>
    </row>
    <row r="3942">
      <c r="N3942" s="7"/>
    </row>
    <row r="3943">
      <c r="N3943" s="7"/>
    </row>
    <row r="3944">
      <c r="N3944" s="7"/>
    </row>
    <row r="3945">
      <c r="N3945" s="7"/>
    </row>
    <row r="3946">
      <c r="N3946" s="7"/>
    </row>
    <row r="3947">
      <c r="N3947" s="7"/>
    </row>
    <row r="3948">
      <c r="N3948" s="7"/>
    </row>
    <row r="3949">
      <c r="N3949" s="7"/>
    </row>
    <row r="3950">
      <c r="N3950" s="7"/>
    </row>
    <row r="3951">
      <c r="N3951" s="7"/>
    </row>
    <row r="3952">
      <c r="N3952" s="7"/>
    </row>
    <row r="3953">
      <c r="N3953" s="7"/>
    </row>
    <row r="3954">
      <c r="N3954" s="7"/>
    </row>
    <row r="3955">
      <c r="N3955" s="7"/>
    </row>
    <row r="3956">
      <c r="N3956" s="7"/>
    </row>
    <row r="3957">
      <c r="N3957" s="7"/>
    </row>
    <row r="3958">
      <c r="N3958" s="7"/>
    </row>
    <row r="3959">
      <c r="N3959" s="7"/>
    </row>
    <row r="3960">
      <c r="N3960" s="7"/>
    </row>
    <row r="3961">
      <c r="N3961" s="7"/>
    </row>
    <row r="3962">
      <c r="N3962" s="7"/>
    </row>
    <row r="3963">
      <c r="N3963" s="7"/>
    </row>
    <row r="3964">
      <c r="N3964" s="7"/>
    </row>
    <row r="3965">
      <c r="N3965" s="7"/>
    </row>
    <row r="3966">
      <c r="N3966" s="7"/>
    </row>
    <row r="3967">
      <c r="N3967" s="7"/>
    </row>
    <row r="3968">
      <c r="N3968" s="7"/>
    </row>
    <row r="3969">
      <c r="N3969" s="7"/>
    </row>
    <row r="3970">
      <c r="N3970" s="7"/>
    </row>
    <row r="3971">
      <c r="N3971" s="7"/>
    </row>
    <row r="3972">
      <c r="N3972" s="7"/>
    </row>
    <row r="3973">
      <c r="N3973" s="7"/>
    </row>
    <row r="3974">
      <c r="N3974" s="7"/>
    </row>
    <row r="3975">
      <c r="N3975" s="7"/>
    </row>
    <row r="3976">
      <c r="N3976" s="7"/>
    </row>
    <row r="3977">
      <c r="N3977" s="7"/>
    </row>
    <row r="3978">
      <c r="N3978" s="7"/>
    </row>
    <row r="3979">
      <c r="N3979" s="7"/>
    </row>
    <row r="3980">
      <c r="N3980" s="7"/>
    </row>
    <row r="3981">
      <c r="N3981" s="7"/>
    </row>
    <row r="3982">
      <c r="N3982" s="7"/>
    </row>
    <row r="3983">
      <c r="N3983" s="7"/>
    </row>
    <row r="3984">
      <c r="N3984" s="7"/>
    </row>
    <row r="3985">
      <c r="N3985" s="7"/>
    </row>
    <row r="3986">
      <c r="N3986" s="7"/>
    </row>
    <row r="3987">
      <c r="N3987" s="7"/>
    </row>
    <row r="3988">
      <c r="N3988" s="7"/>
    </row>
    <row r="3989">
      <c r="N3989" s="7"/>
    </row>
    <row r="3990">
      <c r="N3990" s="7"/>
    </row>
    <row r="3991">
      <c r="N3991" s="7"/>
    </row>
    <row r="3992">
      <c r="N3992" s="7"/>
    </row>
    <row r="3993">
      <c r="N3993" s="7"/>
    </row>
    <row r="3994">
      <c r="N3994" s="7"/>
    </row>
    <row r="3995">
      <c r="N3995" s="7"/>
    </row>
    <row r="3996">
      <c r="N3996" s="7"/>
    </row>
    <row r="3997">
      <c r="N3997" s="7"/>
    </row>
    <row r="3998">
      <c r="N3998" s="7"/>
    </row>
    <row r="3999">
      <c r="N3999" s="7"/>
    </row>
    <row r="4000">
      <c r="N4000" s="7"/>
    </row>
    <row r="4001">
      <c r="I4001" s="9"/>
      <c r="N4001" s="7"/>
    </row>
    <row r="4002">
      <c r="N4002" s="7"/>
    </row>
    <row r="4003">
      <c r="N4003" s="7"/>
    </row>
    <row r="4004">
      <c r="N4004" s="7"/>
    </row>
    <row r="4005">
      <c r="N4005" s="7"/>
    </row>
    <row r="4006">
      <c r="N4006" s="7"/>
    </row>
    <row r="4007">
      <c r="N4007" s="7"/>
    </row>
    <row r="4008">
      <c r="N4008" s="7"/>
    </row>
    <row r="4009">
      <c r="N4009" s="7"/>
    </row>
    <row r="4010">
      <c r="N4010" s="7"/>
    </row>
    <row r="4011">
      <c r="N4011" s="7"/>
    </row>
    <row r="4012">
      <c r="N4012" s="7"/>
    </row>
    <row r="4013">
      <c r="N4013" s="7"/>
    </row>
    <row r="4014">
      <c r="N4014" s="7"/>
    </row>
    <row r="4015">
      <c r="N4015" s="7"/>
    </row>
    <row r="4016">
      <c r="N4016" s="7"/>
    </row>
    <row r="4017">
      <c r="N4017" s="7"/>
    </row>
    <row r="4018">
      <c r="N4018" s="7"/>
    </row>
    <row r="4019">
      <c r="N4019" s="7"/>
    </row>
    <row r="4020">
      <c r="N4020" s="7"/>
    </row>
    <row r="4021">
      <c r="N4021" s="7"/>
    </row>
    <row r="4022">
      <c r="N4022" s="7"/>
    </row>
    <row r="4023">
      <c r="N4023" s="7"/>
    </row>
    <row r="4024">
      <c r="N4024" s="7"/>
    </row>
    <row r="4025">
      <c r="N4025" s="7"/>
    </row>
    <row r="4026">
      <c r="N4026" s="7"/>
    </row>
    <row r="4027">
      <c r="N4027" s="7"/>
    </row>
    <row r="4028">
      <c r="N4028" s="7"/>
    </row>
    <row r="4029">
      <c r="N4029" s="7"/>
    </row>
    <row r="4030">
      <c r="N4030" s="7"/>
    </row>
    <row r="4031">
      <c r="N4031" s="7"/>
    </row>
    <row r="4032">
      <c r="N4032" s="7"/>
    </row>
    <row r="4033">
      <c r="N4033" s="7"/>
    </row>
    <row r="4034">
      <c r="N4034" s="7"/>
    </row>
    <row r="4035">
      <c r="N4035" s="7"/>
    </row>
    <row r="4036">
      <c r="N4036" s="7"/>
    </row>
    <row r="4037">
      <c r="N4037" s="7"/>
    </row>
    <row r="4038">
      <c r="N4038" s="7"/>
    </row>
    <row r="4039">
      <c r="N4039" s="7"/>
    </row>
    <row r="4040">
      <c r="N4040" s="7"/>
    </row>
    <row r="4041">
      <c r="N4041" s="7"/>
    </row>
    <row r="4042">
      <c r="N4042" s="7"/>
    </row>
    <row r="4043">
      <c r="N4043" s="7"/>
    </row>
    <row r="4044">
      <c r="N4044" s="7"/>
    </row>
    <row r="4045">
      <c r="N4045" s="7"/>
    </row>
    <row r="4046">
      <c r="N4046" s="7"/>
    </row>
    <row r="4047">
      <c r="N4047" s="7"/>
    </row>
    <row r="4048">
      <c r="N4048" s="7"/>
    </row>
    <row r="4049">
      <c r="N4049" s="7"/>
    </row>
    <row r="4050">
      <c r="N4050" s="7"/>
    </row>
    <row r="4051">
      <c r="N4051" s="7"/>
    </row>
    <row r="4052">
      <c r="N4052" s="7"/>
    </row>
    <row r="4053">
      <c r="N4053" s="7"/>
    </row>
    <row r="4054">
      <c r="N4054" s="7"/>
    </row>
    <row r="4055">
      <c r="N4055" s="7"/>
    </row>
    <row r="4056">
      <c r="N4056" s="7"/>
    </row>
    <row r="4057">
      <c r="N4057" s="7"/>
    </row>
    <row r="4058">
      <c r="N4058" s="7"/>
    </row>
    <row r="4059">
      <c r="N4059" s="7"/>
    </row>
    <row r="4060">
      <c r="N4060" s="7"/>
    </row>
    <row r="4061">
      <c r="N4061" s="7"/>
    </row>
    <row r="4062">
      <c r="N4062" s="7"/>
    </row>
    <row r="4063">
      <c r="N4063" s="7"/>
    </row>
    <row r="4064">
      <c r="N4064" s="7"/>
    </row>
    <row r="4065">
      <c r="N4065" s="7"/>
    </row>
    <row r="4066">
      <c r="N4066" s="7"/>
    </row>
    <row r="4067">
      <c r="N4067" s="7"/>
    </row>
    <row r="4068">
      <c r="N4068" s="7"/>
    </row>
    <row r="4069">
      <c r="N4069" s="7"/>
    </row>
    <row r="4070">
      <c r="N4070" s="7"/>
    </row>
    <row r="4071">
      <c r="N4071" s="7"/>
    </row>
    <row r="4072">
      <c r="N4072" s="7"/>
    </row>
    <row r="4073">
      <c r="N4073" s="7"/>
    </row>
    <row r="4074">
      <c r="N4074" s="7"/>
    </row>
    <row r="4075">
      <c r="N4075" s="7"/>
    </row>
    <row r="4076">
      <c r="N4076" s="7"/>
    </row>
    <row r="4077">
      <c r="N4077" s="7"/>
    </row>
    <row r="4078">
      <c r="N4078" s="7"/>
    </row>
    <row r="4079">
      <c r="N4079" s="7"/>
    </row>
    <row r="4080">
      <c r="N4080" s="7"/>
    </row>
    <row r="4081">
      <c r="N4081" s="7"/>
    </row>
    <row r="4082">
      <c r="N4082" s="7"/>
    </row>
    <row r="4083">
      <c r="N4083" s="7"/>
    </row>
    <row r="4084">
      <c r="N4084" s="7"/>
    </row>
    <row r="4085">
      <c r="N4085" s="7"/>
    </row>
    <row r="4086">
      <c r="N4086" s="7"/>
    </row>
    <row r="4087">
      <c r="N4087" s="7"/>
    </row>
    <row r="4088">
      <c r="N4088" s="7"/>
    </row>
    <row r="4089">
      <c r="N4089" s="7"/>
    </row>
    <row r="4090">
      <c r="N4090" s="7"/>
    </row>
    <row r="4091">
      <c r="N4091" s="7"/>
    </row>
    <row r="4092">
      <c r="N4092" s="7"/>
    </row>
    <row r="4093">
      <c r="N4093" s="7"/>
    </row>
    <row r="4094">
      <c r="N4094" s="7"/>
    </row>
    <row r="4095">
      <c r="N4095" s="7"/>
    </row>
    <row r="4096">
      <c r="N4096" s="7"/>
    </row>
    <row r="4097">
      <c r="N4097" s="7"/>
    </row>
    <row r="4098">
      <c r="N4098" s="7"/>
    </row>
    <row r="4099">
      <c r="N4099" s="7"/>
    </row>
    <row r="4100">
      <c r="N4100" s="7"/>
    </row>
    <row r="4101">
      <c r="N4101" s="7"/>
    </row>
    <row r="4102">
      <c r="N4102" s="7"/>
    </row>
    <row r="4103">
      <c r="N4103" s="7"/>
    </row>
    <row r="4104">
      <c r="N4104" s="7"/>
    </row>
    <row r="4105">
      <c r="N4105" s="7"/>
    </row>
    <row r="4106">
      <c r="N4106" s="7"/>
    </row>
    <row r="4107">
      <c r="N4107" s="7"/>
    </row>
    <row r="4108">
      <c r="N4108" s="7"/>
    </row>
    <row r="4109">
      <c r="N4109" s="7"/>
    </row>
    <row r="4110">
      <c r="I4110" s="9"/>
      <c r="N4110" s="7"/>
    </row>
    <row r="4111">
      <c r="N4111" s="7"/>
    </row>
    <row r="4112">
      <c r="N4112" s="7"/>
    </row>
    <row r="4113">
      <c r="N4113" s="7"/>
    </row>
    <row r="4114">
      <c r="N4114" s="7"/>
    </row>
    <row r="4115">
      <c r="N4115" s="7"/>
    </row>
    <row r="4116">
      <c r="N4116" s="7"/>
    </row>
    <row r="4117">
      <c r="N4117" s="7"/>
    </row>
    <row r="4118">
      <c r="N4118" s="7"/>
    </row>
    <row r="4119">
      <c r="N4119" s="7"/>
    </row>
    <row r="4120">
      <c r="N4120" s="7"/>
    </row>
    <row r="4121">
      <c r="N4121" s="7"/>
    </row>
    <row r="4122">
      <c r="N4122" s="7"/>
    </row>
    <row r="4123">
      <c r="N4123" s="7"/>
    </row>
    <row r="4124">
      <c r="I4124" s="9"/>
      <c r="N4124" s="7"/>
    </row>
    <row r="4125">
      <c r="N4125" s="7"/>
    </row>
    <row r="4126">
      <c r="N4126" s="7"/>
    </row>
    <row r="4127">
      <c r="N4127" s="7"/>
    </row>
    <row r="4128">
      <c r="N4128" s="7"/>
    </row>
    <row r="4129">
      <c r="N4129" s="7"/>
    </row>
    <row r="4130">
      <c r="N4130" s="7"/>
    </row>
    <row r="4131">
      <c r="N4131" s="7"/>
    </row>
    <row r="4132">
      <c r="I4132" s="9"/>
      <c r="N4132" s="7"/>
    </row>
    <row r="4133">
      <c r="N4133" s="7"/>
    </row>
    <row r="4134">
      <c r="N4134" s="7"/>
    </row>
    <row r="4135">
      <c r="N4135" s="7"/>
    </row>
    <row r="4136">
      <c r="N4136" s="7"/>
    </row>
    <row r="4137">
      <c r="N4137" s="7"/>
    </row>
    <row r="4138">
      <c r="N4138" s="7"/>
    </row>
    <row r="4139">
      <c r="N4139" s="7"/>
    </row>
    <row r="4140">
      <c r="N4140" s="7"/>
    </row>
    <row r="4141">
      <c r="N4141" s="7"/>
    </row>
    <row r="4142">
      <c r="N4142" s="7"/>
    </row>
    <row r="4143">
      <c r="N4143" s="7"/>
    </row>
    <row r="4144">
      <c r="N4144" s="7"/>
    </row>
    <row r="4145">
      <c r="N4145" s="7"/>
    </row>
    <row r="4146">
      <c r="N4146" s="7"/>
    </row>
    <row r="4147">
      <c r="N4147" s="7"/>
    </row>
    <row r="4148">
      <c r="N4148" s="7"/>
    </row>
    <row r="4149">
      <c r="N4149" s="7"/>
    </row>
    <row r="4150">
      <c r="N4150" s="7"/>
    </row>
    <row r="4151">
      <c r="N4151" s="7"/>
    </row>
    <row r="4152">
      <c r="N4152" s="7"/>
    </row>
    <row r="4153">
      <c r="N4153" s="7"/>
    </row>
    <row r="4154">
      <c r="N4154" s="7"/>
    </row>
    <row r="4155">
      <c r="N4155" s="7"/>
    </row>
    <row r="4156">
      <c r="N4156" s="7"/>
    </row>
    <row r="4157">
      <c r="N4157" s="7"/>
    </row>
    <row r="4158">
      <c r="N4158" s="7"/>
    </row>
    <row r="4159">
      <c r="N4159" s="7"/>
    </row>
    <row r="4160">
      <c r="N4160" s="7"/>
    </row>
    <row r="4161">
      <c r="N4161" s="7"/>
    </row>
    <row r="4162">
      <c r="N4162" s="7"/>
    </row>
    <row r="4163">
      <c r="N4163" s="7"/>
    </row>
    <row r="4164">
      <c r="N4164" s="7"/>
    </row>
    <row r="4165">
      <c r="N4165" s="7"/>
    </row>
    <row r="4166">
      <c r="N4166" s="7"/>
    </row>
    <row r="4167">
      <c r="N4167" s="7"/>
    </row>
    <row r="4168">
      <c r="N4168" s="7"/>
    </row>
    <row r="4169">
      <c r="N4169" s="7"/>
    </row>
    <row r="4170">
      <c r="N4170" s="7"/>
    </row>
    <row r="4171">
      <c r="N4171" s="7"/>
    </row>
    <row r="4172">
      <c r="N4172" s="7"/>
    </row>
    <row r="4173">
      <c r="N4173" s="7"/>
    </row>
    <row r="4174">
      <c r="N4174" s="7"/>
    </row>
    <row r="4175">
      <c r="N4175" s="7"/>
    </row>
    <row r="4176">
      <c r="N4176" s="7"/>
    </row>
    <row r="4177">
      <c r="N4177" s="7"/>
    </row>
    <row r="4178">
      <c r="N4178" s="7"/>
    </row>
    <row r="4179">
      <c r="N4179" s="7"/>
    </row>
    <row r="4180">
      <c r="N4180" s="7"/>
    </row>
    <row r="4181">
      <c r="N4181" s="7"/>
    </row>
    <row r="4182">
      <c r="N4182" s="7"/>
    </row>
    <row r="4183">
      <c r="N4183" s="7"/>
    </row>
    <row r="4184">
      <c r="N4184" s="7"/>
    </row>
    <row r="4185">
      <c r="N4185" s="7"/>
    </row>
    <row r="4186">
      <c r="N4186" s="7"/>
    </row>
    <row r="4187">
      <c r="N4187" s="7"/>
    </row>
    <row r="4188">
      <c r="N4188" s="7"/>
    </row>
    <row r="4189">
      <c r="N4189" s="7"/>
    </row>
    <row r="4190">
      <c r="N4190" s="7"/>
    </row>
    <row r="4191">
      <c r="N4191" s="7"/>
    </row>
    <row r="4192">
      <c r="N4192" s="7"/>
    </row>
    <row r="4193">
      <c r="N4193" s="7"/>
    </row>
    <row r="4194">
      <c r="I4194" s="9"/>
      <c r="N4194" s="7"/>
    </row>
    <row r="4195">
      <c r="N4195" s="7"/>
    </row>
    <row r="4196">
      <c r="N4196" s="7"/>
    </row>
    <row r="4197">
      <c r="N4197" s="7"/>
    </row>
    <row r="4198">
      <c r="N4198" s="7"/>
    </row>
    <row r="4199">
      <c r="N4199" s="7"/>
    </row>
    <row r="4200">
      <c r="N4200" s="7"/>
    </row>
    <row r="4201">
      <c r="N4201" s="7"/>
    </row>
    <row r="4202">
      <c r="N4202" s="7"/>
    </row>
    <row r="4203">
      <c r="N4203" s="7"/>
    </row>
    <row r="4204">
      <c r="N4204" s="7"/>
    </row>
    <row r="4205">
      <c r="N4205" s="7"/>
    </row>
    <row r="4206">
      <c r="N4206" s="7"/>
    </row>
    <row r="4207">
      <c r="N4207" s="7"/>
    </row>
    <row r="4208">
      <c r="N4208" s="7"/>
    </row>
    <row r="4209">
      <c r="N4209" s="7"/>
    </row>
    <row r="4210">
      <c r="N4210" s="7"/>
    </row>
    <row r="4211">
      <c r="N4211" s="7"/>
    </row>
    <row r="4212">
      <c r="N4212" s="7"/>
    </row>
    <row r="4213">
      <c r="N4213" s="7"/>
    </row>
    <row r="4214">
      <c r="N4214" s="7"/>
    </row>
    <row r="4215">
      <c r="N4215" s="7"/>
    </row>
    <row r="4216">
      <c r="N4216" s="7"/>
    </row>
    <row r="4217">
      <c r="N4217" s="7"/>
    </row>
    <row r="4218">
      <c r="N4218" s="7"/>
    </row>
    <row r="4219">
      <c r="N4219" s="7"/>
    </row>
    <row r="4220">
      <c r="N4220" s="7"/>
    </row>
    <row r="4221">
      <c r="N4221" s="7"/>
    </row>
    <row r="4222">
      <c r="N4222" s="7"/>
    </row>
    <row r="4223">
      <c r="N4223" s="7"/>
    </row>
    <row r="4224">
      <c r="N4224" s="7"/>
    </row>
    <row r="4225">
      <c r="N4225" s="7"/>
    </row>
    <row r="4226">
      <c r="N4226" s="7"/>
    </row>
    <row r="4227">
      <c r="N4227" s="7"/>
    </row>
    <row r="4228">
      <c r="N4228" s="7"/>
    </row>
    <row r="4229">
      <c r="N4229" s="7"/>
    </row>
    <row r="4230">
      <c r="N4230" s="7"/>
    </row>
    <row r="4231">
      <c r="N4231" s="7"/>
    </row>
    <row r="4232">
      <c r="N4232" s="7"/>
    </row>
    <row r="4233">
      <c r="N4233" s="7"/>
    </row>
    <row r="4234">
      <c r="N4234" s="7"/>
    </row>
    <row r="4235">
      <c r="N4235" s="7"/>
    </row>
    <row r="4236">
      <c r="N4236" s="7"/>
    </row>
    <row r="4237">
      <c r="N4237" s="7"/>
    </row>
    <row r="4238">
      <c r="N4238" s="7"/>
    </row>
    <row r="4239">
      <c r="N4239" s="7"/>
    </row>
    <row r="4240">
      <c r="N4240" s="7"/>
    </row>
    <row r="4241">
      <c r="N4241" s="7"/>
    </row>
    <row r="4242">
      <c r="N4242" s="7"/>
    </row>
    <row r="4243">
      <c r="N4243" s="7"/>
    </row>
    <row r="4244">
      <c r="N4244" s="7"/>
    </row>
    <row r="4245">
      <c r="N4245" s="7"/>
    </row>
    <row r="4246">
      <c r="N4246" s="7"/>
    </row>
    <row r="4247">
      <c r="N4247" s="7"/>
    </row>
    <row r="4248">
      <c r="N4248" s="7"/>
    </row>
    <row r="4249">
      <c r="N4249" s="7"/>
    </row>
    <row r="4250">
      <c r="N4250" s="7"/>
    </row>
    <row r="4251">
      <c r="I4251" s="9"/>
      <c r="N4251" s="7"/>
    </row>
    <row r="4252">
      <c r="N4252" s="7"/>
    </row>
    <row r="4253">
      <c r="N4253" s="7"/>
    </row>
    <row r="4254">
      <c r="N4254" s="7"/>
    </row>
    <row r="4255">
      <c r="N4255" s="7"/>
    </row>
    <row r="4256">
      <c r="N4256" s="7"/>
    </row>
    <row r="4257">
      <c r="I4257" s="9"/>
      <c r="N4257" s="7"/>
    </row>
    <row r="4258">
      <c r="N4258" s="7"/>
    </row>
    <row r="4259">
      <c r="N4259" s="7"/>
    </row>
    <row r="4260">
      <c r="N4260" s="7"/>
    </row>
    <row r="4261">
      <c r="N4261" s="7"/>
    </row>
    <row r="4262">
      <c r="N4262" s="7"/>
    </row>
    <row r="4263">
      <c r="N4263" s="7"/>
    </row>
    <row r="4264">
      <c r="N4264" s="7"/>
    </row>
    <row r="4265">
      <c r="I4265" s="9"/>
      <c r="N4265" s="7"/>
    </row>
    <row r="4266">
      <c r="N4266" s="7"/>
    </row>
    <row r="4267">
      <c r="N4267" s="7"/>
    </row>
    <row r="4268">
      <c r="N4268" s="7"/>
    </row>
    <row r="4269">
      <c r="N4269" s="7"/>
    </row>
    <row r="4270">
      <c r="N4270" s="7"/>
    </row>
    <row r="4271">
      <c r="N4271" s="7"/>
    </row>
    <row r="4272">
      <c r="N4272" s="7"/>
    </row>
    <row r="4273">
      <c r="I4273" s="9"/>
      <c r="N4273" s="7"/>
    </row>
    <row r="4274">
      <c r="N4274" s="7"/>
    </row>
    <row r="4275">
      <c r="N4275" s="7"/>
    </row>
    <row r="4276">
      <c r="N4276" s="7"/>
    </row>
    <row r="4277">
      <c r="N4277" s="7"/>
    </row>
    <row r="4278">
      <c r="N4278" s="7"/>
    </row>
    <row r="4279">
      <c r="N4279" s="7"/>
    </row>
    <row r="4280">
      <c r="N4280" s="7"/>
    </row>
    <row r="4281">
      <c r="N4281" s="7"/>
    </row>
    <row r="4282">
      <c r="N4282" s="7"/>
    </row>
    <row r="4283">
      <c r="N4283" s="7"/>
    </row>
    <row r="4284">
      <c r="N4284" s="7"/>
    </row>
    <row r="4285">
      <c r="N4285" s="7"/>
    </row>
    <row r="4286">
      <c r="N4286" s="7"/>
    </row>
    <row r="4287">
      <c r="N4287" s="7"/>
    </row>
    <row r="4288">
      <c r="N4288" s="7"/>
    </row>
    <row r="4289">
      <c r="N4289" s="7"/>
    </row>
    <row r="4290">
      <c r="N4290" s="7"/>
    </row>
    <row r="4291">
      <c r="N4291" s="7"/>
    </row>
    <row r="4292">
      <c r="N4292" s="7"/>
    </row>
    <row r="4293">
      <c r="N4293" s="7"/>
    </row>
    <row r="4294">
      <c r="N4294" s="7"/>
    </row>
    <row r="4295">
      <c r="N4295" s="7"/>
    </row>
    <row r="4296">
      <c r="N4296" s="7"/>
    </row>
    <row r="4297">
      <c r="N4297" s="7"/>
    </row>
    <row r="4298">
      <c r="N4298" s="7"/>
    </row>
    <row r="4299">
      <c r="N4299" s="7"/>
    </row>
    <row r="4300">
      <c r="N4300" s="7"/>
    </row>
    <row r="4301">
      <c r="N4301" s="7"/>
    </row>
    <row r="4302">
      <c r="N4302" s="7"/>
    </row>
    <row r="4303">
      <c r="N4303" s="7"/>
    </row>
    <row r="4304">
      <c r="N4304" s="7"/>
    </row>
    <row r="4305">
      <c r="N4305" s="7"/>
    </row>
    <row r="4306">
      <c r="N4306" s="7"/>
    </row>
    <row r="4307">
      <c r="N4307" s="7"/>
    </row>
    <row r="4308">
      <c r="N4308" s="7"/>
    </row>
    <row r="4309">
      <c r="N4309" s="7"/>
    </row>
    <row r="4310">
      <c r="N4310" s="7"/>
    </row>
    <row r="4311">
      <c r="N4311" s="7"/>
    </row>
    <row r="4312">
      <c r="N4312" s="7"/>
    </row>
    <row r="4313">
      <c r="N4313" s="7"/>
    </row>
    <row r="4314">
      <c r="N4314" s="7"/>
    </row>
    <row r="4315">
      <c r="N4315" s="7"/>
    </row>
    <row r="4316">
      <c r="N4316" s="7"/>
    </row>
    <row r="4317">
      <c r="N4317" s="7"/>
    </row>
    <row r="4318">
      <c r="N4318" s="7"/>
    </row>
    <row r="4319">
      <c r="N4319" s="7"/>
    </row>
    <row r="4320">
      <c r="N4320" s="7"/>
    </row>
    <row r="4321">
      <c r="N4321" s="7"/>
    </row>
    <row r="4322">
      <c r="N4322" s="7"/>
    </row>
    <row r="4323">
      <c r="N4323" s="7"/>
    </row>
    <row r="4324">
      <c r="N4324" s="7"/>
    </row>
    <row r="4325">
      <c r="N4325" s="7"/>
    </row>
    <row r="4326">
      <c r="I4326" s="9"/>
      <c r="N4326" s="7"/>
    </row>
    <row r="4327">
      <c r="N4327" s="7"/>
    </row>
    <row r="4328">
      <c r="N4328" s="7"/>
    </row>
    <row r="4329">
      <c r="N4329" s="7"/>
    </row>
    <row r="4330">
      <c r="N4330" s="7"/>
    </row>
    <row r="4331">
      <c r="N4331" s="7"/>
    </row>
    <row r="4332">
      <c r="N4332" s="7"/>
    </row>
    <row r="4333">
      <c r="N4333" s="7"/>
    </row>
    <row r="4334">
      <c r="N4334" s="7"/>
    </row>
    <row r="4335">
      <c r="N4335" s="7"/>
    </row>
    <row r="4336">
      <c r="N4336" s="7"/>
    </row>
    <row r="4337">
      <c r="N4337" s="7"/>
    </row>
    <row r="4338">
      <c r="N4338" s="7"/>
    </row>
    <row r="4339">
      <c r="N4339" s="7"/>
    </row>
    <row r="4340">
      <c r="N4340" s="7"/>
    </row>
    <row r="4341">
      <c r="N4341" s="7"/>
    </row>
    <row r="4342">
      <c r="N4342" s="7"/>
    </row>
    <row r="4343">
      <c r="N4343" s="7"/>
    </row>
    <row r="4344">
      <c r="N4344" s="7"/>
    </row>
    <row r="4345">
      <c r="N4345" s="7"/>
    </row>
    <row r="4346">
      <c r="N4346" s="7"/>
    </row>
    <row r="4347">
      <c r="N4347" s="7"/>
    </row>
    <row r="4348">
      <c r="N4348" s="7"/>
    </row>
    <row r="4349">
      <c r="N4349" s="7"/>
    </row>
    <row r="4350">
      <c r="N4350" s="7"/>
    </row>
    <row r="4351">
      <c r="N4351" s="7"/>
    </row>
    <row r="4352">
      <c r="N4352" s="7"/>
    </row>
    <row r="4353">
      <c r="N4353" s="7"/>
    </row>
    <row r="4354">
      <c r="N4354" s="7"/>
    </row>
    <row r="4355">
      <c r="N4355" s="7"/>
    </row>
    <row r="4356">
      <c r="N4356" s="7"/>
    </row>
    <row r="4357">
      <c r="N4357" s="7"/>
    </row>
    <row r="4358">
      <c r="N4358" s="7"/>
    </row>
    <row r="4359">
      <c r="N4359" s="7"/>
    </row>
    <row r="4360">
      <c r="N4360" s="7"/>
    </row>
    <row r="4361">
      <c r="N4361" s="7"/>
    </row>
    <row r="4362">
      <c r="N4362" s="7"/>
    </row>
    <row r="4363">
      <c r="N4363" s="7"/>
    </row>
    <row r="4364">
      <c r="N4364" s="7"/>
    </row>
    <row r="4365">
      <c r="N4365" s="7"/>
    </row>
    <row r="4366">
      <c r="N4366" s="7"/>
    </row>
    <row r="4367">
      <c r="N4367" s="7"/>
    </row>
    <row r="4368">
      <c r="N4368" s="7"/>
    </row>
    <row r="4369">
      <c r="N4369" s="7"/>
    </row>
    <row r="4370">
      <c r="N4370" s="7"/>
    </row>
    <row r="4371">
      <c r="N4371" s="7"/>
    </row>
    <row r="4372">
      <c r="N4372" s="7"/>
    </row>
    <row r="4373">
      <c r="N4373" s="7"/>
    </row>
    <row r="4374">
      <c r="N4374" s="7"/>
    </row>
    <row r="4375">
      <c r="N4375" s="7"/>
    </row>
    <row r="4376">
      <c r="N4376" s="7"/>
    </row>
    <row r="4377">
      <c r="N4377" s="7"/>
    </row>
    <row r="4378">
      <c r="N4378" s="7"/>
    </row>
    <row r="4379">
      <c r="N4379" s="7"/>
    </row>
    <row r="4380">
      <c r="N4380" s="7"/>
    </row>
    <row r="4381">
      <c r="N4381" s="7"/>
    </row>
    <row r="4382">
      <c r="N4382" s="7"/>
    </row>
    <row r="4383">
      <c r="N4383" s="7"/>
    </row>
    <row r="4384">
      <c r="N4384" s="7"/>
    </row>
    <row r="4385">
      <c r="N4385" s="7"/>
    </row>
    <row r="4386">
      <c r="N4386" s="7"/>
    </row>
    <row r="4387">
      <c r="N4387" s="7"/>
    </row>
    <row r="4388">
      <c r="N4388" s="7"/>
    </row>
    <row r="4389">
      <c r="N4389" s="7"/>
    </row>
    <row r="4390">
      <c r="N4390" s="7"/>
    </row>
    <row r="4391">
      <c r="N4391" s="7"/>
    </row>
    <row r="4392">
      <c r="N4392" s="7"/>
    </row>
    <row r="4393">
      <c r="N4393" s="7"/>
    </row>
    <row r="4394">
      <c r="N4394" s="7"/>
    </row>
    <row r="4395">
      <c r="N4395" s="7"/>
    </row>
    <row r="4396">
      <c r="N4396" s="7"/>
    </row>
    <row r="4397">
      <c r="N4397" s="7"/>
    </row>
    <row r="4398">
      <c r="N4398" s="7"/>
    </row>
    <row r="4399">
      <c r="N4399" s="7"/>
    </row>
    <row r="4400">
      <c r="N4400" s="7"/>
    </row>
    <row r="4401">
      <c r="N4401" s="7"/>
    </row>
    <row r="4402">
      <c r="N4402" s="7"/>
    </row>
    <row r="4403">
      <c r="N4403" s="7"/>
    </row>
    <row r="4404">
      <c r="N4404" s="7"/>
    </row>
    <row r="4405">
      <c r="N4405" s="7"/>
    </row>
    <row r="4406">
      <c r="N4406" s="7"/>
    </row>
    <row r="4407">
      <c r="N4407" s="7"/>
    </row>
    <row r="4408">
      <c r="N4408" s="7"/>
    </row>
    <row r="4409">
      <c r="N4409" s="7"/>
    </row>
    <row r="4410">
      <c r="N4410" s="7"/>
    </row>
    <row r="4411">
      <c r="N4411" s="7"/>
    </row>
    <row r="4412">
      <c r="N4412" s="7"/>
    </row>
    <row r="4413">
      <c r="N4413" s="7"/>
    </row>
    <row r="4414">
      <c r="N4414" s="7"/>
    </row>
    <row r="4415">
      <c r="N4415" s="7"/>
    </row>
    <row r="4416">
      <c r="N4416" s="7"/>
    </row>
    <row r="4417">
      <c r="N4417" s="7"/>
    </row>
    <row r="4418">
      <c r="N4418" s="7"/>
    </row>
    <row r="4419">
      <c r="N4419" s="7"/>
    </row>
    <row r="4420">
      <c r="N4420" s="7"/>
    </row>
    <row r="4421">
      <c r="N4421" s="7"/>
    </row>
    <row r="4422">
      <c r="N4422" s="7"/>
    </row>
    <row r="4423">
      <c r="N4423" s="7"/>
    </row>
    <row r="4424">
      <c r="N4424" s="7"/>
    </row>
    <row r="4425">
      <c r="N4425" s="7"/>
    </row>
    <row r="4426">
      <c r="N4426" s="7"/>
    </row>
    <row r="4427">
      <c r="N4427" s="7"/>
    </row>
    <row r="4428">
      <c r="N4428" s="7"/>
    </row>
    <row r="4429">
      <c r="N4429" s="7"/>
    </row>
    <row r="4430">
      <c r="N4430" s="7"/>
    </row>
    <row r="4431">
      <c r="N4431" s="7"/>
    </row>
    <row r="4432">
      <c r="N4432" s="7"/>
    </row>
    <row r="4433">
      <c r="N4433" s="7"/>
    </row>
    <row r="4434">
      <c r="N4434" s="7"/>
    </row>
    <row r="4435">
      <c r="N4435" s="7"/>
    </row>
    <row r="4436">
      <c r="N4436" s="7"/>
    </row>
    <row r="4437">
      <c r="N4437" s="7"/>
    </row>
    <row r="4438">
      <c r="N4438" s="7"/>
    </row>
    <row r="4439">
      <c r="N4439" s="7"/>
    </row>
    <row r="4440">
      <c r="N4440" s="7"/>
    </row>
    <row r="4441">
      <c r="N4441" s="7"/>
    </row>
    <row r="4442">
      <c r="N4442" s="7"/>
    </row>
    <row r="4443">
      <c r="N4443" s="7"/>
    </row>
    <row r="4444">
      <c r="N4444" s="7"/>
    </row>
    <row r="4445">
      <c r="N4445" s="7"/>
    </row>
    <row r="4446">
      <c r="N4446" s="7"/>
    </row>
    <row r="4447">
      <c r="N4447" s="7"/>
    </row>
    <row r="4448">
      <c r="N4448" s="7"/>
    </row>
    <row r="4449">
      <c r="N4449" s="7"/>
    </row>
    <row r="4450">
      <c r="N4450" s="7"/>
    </row>
    <row r="4451">
      <c r="N4451" s="7"/>
    </row>
    <row r="4452">
      <c r="N4452" s="7"/>
    </row>
    <row r="4453">
      <c r="N4453" s="7"/>
    </row>
    <row r="4454">
      <c r="N4454" s="7"/>
    </row>
    <row r="4455">
      <c r="N4455" s="7"/>
    </row>
    <row r="4456">
      <c r="N4456" s="7"/>
    </row>
    <row r="4457">
      <c r="N4457" s="7"/>
    </row>
    <row r="4458">
      <c r="N4458" s="7"/>
    </row>
    <row r="4459">
      <c r="N4459" s="7"/>
    </row>
    <row r="4460">
      <c r="N4460" s="7"/>
    </row>
    <row r="4461">
      <c r="N4461" s="7"/>
    </row>
    <row r="4462">
      <c r="N4462" s="7"/>
    </row>
    <row r="4463">
      <c r="N4463" s="7"/>
    </row>
    <row r="4464">
      <c r="N4464" s="7"/>
    </row>
    <row r="4465">
      <c r="N4465" s="7"/>
    </row>
    <row r="4466">
      <c r="N4466" s="7"/>
    </row>
    <row r="4467">
      <c r="N4467" s="7"/>
    </row>
    <row r="4468">
      <c r="N4468" s="7"/>
    </row>
    <row r="4469">
      <c r="N4469" s="7"/>
    </row>
    <row r="4470">
      <c r="N4470" s="7"/>
    </row>
    <row r="4471">
      <c r="N4471" s="7"/>
    </row>
    <row r="4472">
      <c r="N4472" s="7"/>
    </row>
    <row r="4473">
      <c r="N4473" s="7"/>
    </row>
    <row r="4474">
      <c r="N4474" s="7"/>
    </row>
    <row r="4475">
      <c r="N4475" s="7"/>
    </row>
    <row r="4476">
      <c r="N4476" s="7"/>
    </row>
    <row r="4477">
      <c r="N4477" s="7"/>
    </row>
    <row r="4478">
      <c r="N4478" s="7"/>
    </row>
    <row r="4479">
      <c r="N4479" s="7"/>
    </row>
    <row r="4480">
      <c r="N4480" s="7"/>
    </row>
    <row r="4481">
      <c r="N4481" s="7"/>
    </row>
    <row r="4482">
      <c r="N4482" s="7"/>
    </row>
    <row r="4483">
      <c r="N4483" s="7"/>
    </row>
    <row r="4484">
      <c r="N4484" s="7"/>
    </row>
    <row r="4485">
      <c r="N4485" s="7"/>
    </row>
    <row r="4486">
      <c r="N4486" s="7"/>
    </row>
    <row r="4487">
      <c r="N4487" s="7"/>
    </row>
    <row r="4488">
      <c r="N4488" s="7"/>
    </row>
    <row r="4489">
      <c r="N4489" s="7"/>
    </row>
    <row r="4490">
      <c r="N4490" s="7"/>
    </row>
    <row r="4491">
      <c r="N4491" s="7"/>
    </row>
    <row r="4492">
      <c r="N4492" s="7"/>
    </row>
    <row r="4493">
      <c r="N4493" s="7"/>
    </row>
    <row r="4494">
      <c r="N4494" s="7"/>
    </row>
    <row r="4495">
      <c r="N4495" s="7"/>
    </row>
    <row r="4496">
      <c r="N4496" s="7"/>
    </row>
    <row r="4497">
      <c r="N4497" s="7"/>
    </row>
    <row r="4498">
      <c r="N4498" s="7"/>
    </row>
    <row r="4499">
      <c r="N4499" s="7"/>
    </row>
    <row r="4500">
      <c r="N4500" s="7"/>
    </row>
    <row r="4501">
      <c r="N4501" s="7"/>
    </row>
    <row r="4502">
      <c r="N4502" s="7"/>
    </row>
    <row r="4503">
      <c r="N4503" s="7"/>
    </row>
    <row r="4504">
      <c r="N4504" s="7"/>
    </row>
    <row r="4505">
      <c r="N4505" s="7"/>
    </row>
    <row r="4506">
      <c r="N4506" s="7"/>
    </row>
    <row r="4507">
      <c r="N4507" s="7"/>
    </row>
    <row r="4508">
      <c r="I4508" s="9"/>
      <c r="N4508" s="7"/>
    </row>
    <row r="4509">
      <c r="N4509" s="7"/>
    </row>
    <row r="4510">
      <c r="N4510" s="7"/>
    </row>
    <row r="4511">
      <c r="N4511" s="7"/>
    </row>
    <row r="4512">
      <c r="N4512" s="7"/>
    </row>
    <row r="4513">
      <c r="N4513" s="7"/>
    </row>
    <row r="4514">
      <c r="N4514" s="7"/>
    </row>
    <row r="4515">
      <c r="N4515" s="7"/>
    </row>
    <row r="4516">
      <c r="N4516" s="7"/>
    </row>
    <row r="4517">
      <c r="N4517" s="7"/>
    </row>
    <row r="4518">
      <c r="N4518" s="7"/>
    </row>
    <row r="4519">
      <c r="N4519" s="7"/>
    </row>
    <row r="4520">
      <c r="N4520" s="7"/>
    </row>
    <row r="4521">
      <c r="N4521" s="7"/>
    </row>
    <row r="4522">
      <c r="N4522" s="7"/>
    </row>
    <row r="4523">
      <c r="N4523" s="7"/>
    </row>
    <row r="4524">
      <c r="N4524" s="7"/>
    </row>
    <row r="4525">
      <c r="N4525" s="7"/>
    </row>
    <row r="4526">
      <c r="N4526" s="7"/>
    </row>
    <row r="4527">
      <c r="N4527" s="7"/>
    </row>
    <row r="4528">
      <c r="N4528" s="7"/>
    </row>
    <row r="4529">
      <c r="N4529" s="7"/>
    </row>
    <row r="4530">
      <c r="N4530" s="7"/>
    </row>
    <row r="4531">
      <c r="N4531" s="7"/>
    </row>
    <row r="4532">
      <c r="N4532" s="7"/>
    </row>
    <row r="4533">
      <c r="N4533" s="7"/>
    </row>
    <row r="4534">
      <c r="N4534" s="7"/>
    </row>
    <row r="4535">
      <c r="N4535" s="7"/>
    </row>
    <row r="4536">
      <c r="N4536" s="7"/>
    </row>
    <row r="4537">
      <c r="N4537" s="7"/>
    </row>
    <row r="4538">
      <c r="N4538" s="7"/>
    </row>
    <row r="4539">
      <c r="N4539" s="7"/>
    </row>
    <row r="4540">
      <c r="N4540" s="7"/>
    </row>
    <row r="4541">
      <c r="N4541" s="7"/>
    </row>
    <row r="4542">
      <c r="N4542" s="7"/>
    </row>
    <row r="4543">
      <c r="N4543" s="7"/>
    </row>
    <row r="4544">
      <c r="N4544" s="7"/>
    </row>
    <row r="4545">
      <c r="N4545" s="7"/>
    </row>
    <row r="4546">
      <c r="N4546" s="7"/>
    </row>
    <row r="4547">
      <c r="N4547" s="7"/>
    </row>
    <row r="4548">
      <c r="N4548" s="7"/>
    </row>
    <row r="4549">
      <c r="N4549" s="7"/>
    </row>
    <row r="4550">
      <c r="N4550" s="7"/>
    </row>
    <row r="4551">
      <c r="N4551" s="7"/>
    </row>
    <row r="4552">
      <c r="N4552" s="7"/>
    </row>
    <row r="4553">
      <c r="N4553" s="7"/>
    </row>
    <row r="4554">
      <c r="N4554" s="7"/>
    </row>
    <row r="4555">
      <c r="N4555" s="7"/>
    </row>
    <row r="4556">
      <c r="N4556" s="7"/>
    </row>
    <row r="4557">
      <c r="N4557" s="7"/>
    </row>
    <row r="4558">
      <c r="N4558" s="7"/>
    </row>
    <row r="4559">
      <c r="N4559" s="7"/>
    </row>
    <row r="4560">
      <c r="N4560" s="7"/>
    </row>
    <row r="4561">
      <c r="N4561" s="7"/>
    </row>
    <row r="4562">
      <c r="N4562" s="7"/>
    </row>
    <row r="4563">
      <c r="N4563" s="7"/>
    </row>
    <row r="4564">
      <c r="N4564" s="7"/>
    </row>
    <row r="4565">
      <c r="N4565" s="7"/>
    </row>
    <row r="4566">
      <c r="N4566" s="7"/>
    </row>
    <row r="4567">
      <c r="N4567" s="7"/>
    </row>
    <row r="4568">
      <c r="N4568" s="7"/>
    </row>
    <row r="4569">
      <c r="N4569" s="7"/>
    </row>
    <row r="4570">
      <c r="N4570" s="7"/>
    </row>
    <row r="4571">
      <c r="N4571" s="7"/>
    </row>
    <row r="4572">
      <c r="N4572" s="7"/>
    </row>
    <row r="4573">
      <c r="N4573" s="7"/>
    </row>
    <row r="4574">
      <c r="N4574" s="7"/>
    </row>
    <row r="4575">
      <c r="N4575" s="7"/>
    </row>
    <row r="4576">
      <c r="N4576" s="7"/>
    </row>
    <row r="4577">
      <c r="N4577" s="7"/>
    </row>
    <row r="4578">
      <c r="N4578" s="7"/>
    </row>
    <row r="4579">
      <c r="N4579" s="7"/>
    </row>
    <row r="4580">
      <c r="N4580" s="7"/>
    </row>
    <row r="4581">
      <c r="N4581" s="7"/>
    </row>
    <row r="4582">
      <c r="N4582" s="7"/>
    </row>
    <row r="4583">
      <c r="N4583" s="7"/>
    </row>
    <row r="4584">
      <c r="N4584" s="7"/>
    </row>
    <row r="4585">
      <c r="N4585" s="7"/>
    </row>
    <row r="4586">
      <c r="N4586" s="7"/>
    </row>
    <row r="4587">
      <c r="N4587" s="7"/>
    </row>
    <row r="4588">
      <c r="N4588" s="7"/>
    </row>
    <row r="4589">
      <c r="N4589" s="7"/>
    </row>
    <row r="4590">
      <c r="N4590" s="7"/>
    </row>
    <row r="4591">
      <c r="N4591" s="7"/>
    </row>
    <row r="4592">
      <c r="N4592" s="7"/>
    </row>
    <row r="4593">
      <c r="N4593" s="7"/>
    </row>
    <row r="4594">
      <c r="N4594" s="7"/>
    </row>
    <row r="4595">
      <c r="N4595" s="7"/>
    </row>
    <row r="4596">
      <c r="N4596" s="7"/>
    </row>
    <row r="4597">
      <c r="N4597" s="7"/>
    </row>
    <row r="4598">
      <c r="N4598" s="7"/>
    </row>
    <row r="4599">
      <c r="N4599" s="7"/>
    </row>
    <row r="4600">
      <c r="N4600" s="7"/>
    </row>
    <row r="4601">
      <c r="N4601" s="7"/>
    </row>
    <row r="4602">
      <c r="N4602" s="7"/>
    </row>
    <row r="4603">
      <c r="N4603" s="7"/>
    </row>
    <row r="4604">
      <c r="N4604" s="7"/>
    </row>
    <row r="4605">
      <c r="N4605" s="7"/>
    </row>
    <row r="4606">
      <c r="N4606" s="7"/>
    </row>
    <row r="4607">
      <c r="N4607" s="7"/>
    </row>
    <row r="4608">
      <c r="N4608" s="7"/>
    </row>
    <row r="4609">
      <c r="N4609" s="7"/>
    </row>
    <row r="4610">
      <c r="N4610" s="7"/>
    </row>
    <row r="4611">
      <c r="N4611" s="7"/>
    </row>
    <row r="4612">
      <c r="N4612" s="7"/>
    </row>
    <row r="4613">
      <c r="N4613" s="7"/>
    </row>
    <row r="4614">
      <c r="N4614" s="7"/>
    </row>
    <row r="4615">
      <c r="N4615" s="7"/>
    </row>
    <row r="4616">
      <c r="N4616" s="7"/>
    </row>
    <row r="4617">
      <c r="N4617" s="7"/>
    </row>
    <row r="4618">
      <c r="N4618" s="7"/>
    </row>
    <row r="4619">
      <c r="I4619" s="9"/>
      <c r="N4619" s="7"/>
    </row>
    <row r="4620">
      <c r="N4620" s="7"/>
    </row>
    <row r="4621">
      <c r="N4621" s="7"/>
    </row>
    <row r="4622">
      <c r="N4622" s="7"/>
    </row>
    <row r="4623">
      <c r="N4623" s="7"/>
    </row>
    <row r="4624">
      <c r="N4624" s="7"/>
    </row>
    <row r="4625">
      <c r="N4625" s="7"/>
    </row>
    <row r="4626">
      <c r="N4626" s="7"/>
    </row>
    <row r="4627">
      <c r="N4627" s="7"/>
    </row>
    <row r="4628">
      <c r="N4628" s="7"/>
    </row>
    <row r="4629">
      <c r="N4629" s="7"/>
    </row>
    <row r="4630">
      <c r="N4630" s="7"/>
    </row>
    <row r="4631">
      <c r="N4631" s="7"/>
    </row>
    <row r="4632">
      <c r="N4632" s="7"/>
    </row>
    <row r="4633">
      <c r="N4633" s="7"/>
    </row>
    <row r="4634">
      <c r="N4634" s="7"/>
    </row>
    <row r="4635">
      <c r="N4635" s="7"/>
    </row>
    <row r="4636">
      <c r="N4636" s="7"/>
    </row>
    <row r="4637">
      <c r="N4637" s="7"/>
    </row>
    <row r="4638">
      <c r="N4638" s="7"/>
    </row>
    <row r="4639">
      <c r="N4639" s="7"/>
    </row>
    <row r="4640">
      <c r="N4640" s="7"/>
    </row>
    <row r="4641">
      <c r="N4641" s="7"/>
    </row>
    <row r="4642">
      <c r="N4642" s="7"/>
    </row>
    <row r="4643">
      <c r="N4643" s="7"/>
    </row>
    <row r="4644">
      <c r="N4644" s="7"/>
    </row>
    <row r="4645">
      <c r="N4645" s="7"/>
    </row>
    <row r="4646">
      <c r="N4646" s="7"/>
    </row>
    <row r="4647">
      <c r="N4647" s="7"/>
    </row>
    <row r="4648">
      <c r="N4648" s="7"/>
    </row>
    <row r="4649">
      <c r="N4649" s="7"/>
    </row>
    <row r="4650">
      <c r="N4650" s="7"/>
    </row>
    <row r="4651">
      <c r="N4651" s="7"/>
    </row>
    <row r="4652">
      <c r="N4652" s="7"/>
    </row>
    <row r="4653">
      <c r="N4653" s="7"/>
    </row>
    <row r="4654">
      <c r="N4654" s="7"/>
    </row>
    <row r="4655">
      <c r="N4655" s="7"/>
    </row>
    <row r="4656">
      <c r="N4656" s="7"/>
    </row>
    <row r="4657">
      <c r="N4657" s="7"/>
    </row>
    <row r="4658">
      <c r="N4658" s="7"/>
    </row>
    <row r="4659">
      <c r="N4659" s="7"/>
    </row>
    <row r="4660">
      <c r="N4660" s="7"/>
    </row>
    <row r="4661">
      <c r="N4661" s="7"/>
    </row>
    <row r="4662">
      <c r="N4662" s="7"/>
    </row>
    <row r="4663">
      <c r="N4663" s="7"/>
    </row>
    <row r="4664">
      <c r="N4664" s="7"/>
    </row>
    <row r="4665">
      <c r="N4665" s="7"/>
    </row>
    <row r="4666">
      <c r="N4666" s="7"/>
    </row>
    <row r="4667">
      <c r="N4667" s="7"/>
    </row>
    <row r="4668">
      <c r="N4668" s="7"/>
    </row>
    <row r="4669">
      <c r="N4669" s="7"/>
    </row>
    <row r="4670">
      <c r="N4670" s="7"/>
    </row>
    <row r="4671">
      <c r="N4671" s="7"/>
    </row>
    <row r="4672">
      <c r="N4672" s="7"/>
    </row>
    <row r="4673">
      <c r="N4673" s="7"/>
    </row>
    <row r="4674">
      <c r="N4674" s="7"/>
    </row>
    <row r="4675">
      <c r="N4675" s="7"/>
    </row>
    <row r="4676">
      <c r="N4676" s="7"/>
    </row>
    <row r="4677">
      <c r="N4677" s="7"/>
    </row>
    <row r="4678">
      <c r="N4678" s="7"/>
    </row>
    <row r="4679">
      <c r="N4679" s="7"/>
    </row>
    <row r="4680">
      <c r="N4680" s="7"/>
    </row>
    <row r="4681">
      <c r="N4681" s="7"/>
    </row>
    <row r="4682">
      <c r="N4682" s="7"/>
    </row>
    <row r="4683">
      <c r="N4683" s="7"/>
    </row>
    <row r="4684">
      <c r="N4684" s="7"/>
    </row>
    <row r="4685">
      <c r="N4685" s="7"/>
    </row>
    <row r="4686">
      <c r="N4686" s="7"/>
    </row>
    <row r="4687">
      <c r="N4687" s="7"/>
    </row>
    <row r="4688">
      <c r="N4688" s="7"/>
    </row>
    <row r="4689">
      <c r="N4689" s="7"/>
    </row>
    <row r="4690">
      <c r="N4690" s="7"/>
    </row>
    <row r="4691">
      <c r="N4691" s="7"/>
    </row>
    <row r="4692">
      <c r="N4692" s="7"/>
    </row>
    <row r="4693">
      <c r="N4693" s="7"/>
    </row>
    <row r="4694">
      <c r="N4694" s="7"/>
    </row>
    <row r="4695">
      <c r="N4695" s="7"/>
    </row>
    <row r="4696">
      <c r="N4696" s="7"/>
    </row>
    <row r="4697">
      <c r="N4697" s="7"/>
    </row>
    <row r="4698">
      <c r="N4698" s="7"/>
    </row>
    <row r="4699">
      <c r="N4699" s="7"/>
    </row>
    <row r="4700">
      <c r="N4700" s="7"/>
    </row>
    <row r="4701">
      <c r="N4701" s="7"/>
    </row>
    <row r="4702">
      <c r="N4702" s="7"/>
    </row>
    <row r="4703">
      <c r="N4703" s="7"/>
    </row>
    <row r="4704">
      <c r="N4704" s="7"/>
    </row>
    <row r="4705">
      <c r="N4705" s="7"/>
    </row>
    <row r="4706">
      <c r="N4706" s="7"/>
    </row>
    <row r="4707">
      <c r="N4707" s="7"/>
    </row>
    <row r="4708">
      <c r="N4708" s="7"/>
    </row>
    <row r="4709">
      <c r="N4709" s="7"/>
    </row>
    <row r="4710">
      <c r="N4710" s="7"/>
    </row>
    <row r="4711">
      <c r="I4711" s="9"/>
      <c r="N4711" s="7"/>
    </row>
    <row r="4712">
      <c r="N4712" s="7"/>
    </row>
    <row r="4713">
      <c r="N4713" s="7"/>
    </row>
    <row r="4714">
      <c r="N4714" s="7"/>
    </row>
    <row r="4715">
      <c r="N4715" s="7"/>
    </row>
    <row r="4716">
      <c r="N4716" s="7"/>
    </row>
    <row r="4717">
      <c r="N4717" s="7"/>
    </row>
    <row r="4718">
      <c r="N4718" s="7"/>
    </row>
    <row r="4719">
      <c r="N4719" s="7"/>
    </row>
    <row r="4720">
      <c r="N4720" s="7"/>
    </row>
    <row r="4721">
      <c r="N4721" s="7"/>
    </row>
    <row r="4722">
      <c r="N4722" s="7"/>
    </row>
    <row r="4723">
      <c r="N4723" s="7"/>
    </row>
    <row r="4724">
      <c r="N4724" s="7"/>
    </row>
    <row r="4725">
      <c r="N4725" s="7"/>
    </row>
    <row r="4726">
      <c r="N4726" s="7"/>
    </row>
    <row r="4727">
      <c r="N4727" s="7"/>
    </row>
    <row r="4728">
      <c r="N4728" s="7"/>
    </row>
    <row r="4729">
      <c r="N4729" s="7"/>
    </row>
    <row r="4730">
      <c r="N4730" s="7"/>
    </row>
    <row r="4731">
      <c r="N4731" s="7"/>
    </row>
    <row r="4732">
      <c r="N4732" s="7"/>
    </row>
    <row r="4733">
      <c r="N4733" s="7"/>
    </row>
    <row r="4734">
      <c r="N4734" s="7"/>
    </row>
    <row r="4735">
      <c r="N4735" s="7"/>
    </row>
    <row r="4736">
      <c r="N4736" s="7"/>
    </row>
    <row r="4737">
      <c r="N4737" s="7"/>
    </row>
    <row r="4738">
      <c r="N4738" s="7"/>
    </row>
    <row r="4739">
      <c r="N4739" s="7"/>
    </row>
    <row r="4740">
      <c r="N4740" s="7"/>
    </row>
    <row r="4741">
      <c r="N4741" s="7"/>
    </row>
    <row r="4742">
      <c r="N4742" s="7"/>
    </row>
    <row r="4743">
      <c r="N4743" s="7"/>
    </row>
    <row r="4744">
      <c r="N4744" s="7"/>
    </row>
    <row r="4745">
      <c r="N4745" s="7"/>
    </row>
    <row r="4746">
      <c r="N4746" s="7"/>
    </row>
    <row r="4747">
      <c r="N4747" s="7"/>
    </row>
    <row r="4748">
      <c r="N4748" s="7"/>
    </row>
    <row r="4749">
      <c r="N4749" s="7"/>
    </row>
    <row r="4750">
      <c r="N4750" s="7"/>
    </row>
    <row r="4751">
      <c r="N4751" s="7"/>
    </row>
    <row r="4752">
      <c r="N4752" s="7"/>
    </row>
    <row r="4753">
      <c r="N4753" s="7"/>
    </row>
    <row r="4754">
      <c r="N4754" s="7"/>
    </row>
    <row r="4755">
      <c r="N4755" s="7"/>
    </row>
    <row r="4756">
      <c r="N4756" s="7"/>
    </row>
    <row r="4757">
      <c r="N4757" s="7"/>
    </row>
    <row r="4758">
      <c r="N4758" s="7"/>
    </row>
    <row r="4759">
      <c r="N4759" s="7"/>
    </row>
    <row r="4760">
      <c r="N4760" s="7"/>
    </row>
    <row r="4761">
      <c r="N4761" s="7"/>
    </row>
    <row r="4762">
      <c r="N4762" s="7"/>
    </row>
    <row r="4763">
      <c r="N4763" s="7"/>
    </row>
    <row r="4764">
      <c r="N4764" s="7"/>
    </row>
    <row r="4765">
      <c r="N4765" s="7"/>
    </row>
    <row r="4766">
      <c r="N4766" s="7"/>
    </row>
    <row r="4767">
      <c r="N4767" s="7"/>
    </row>
    <row r="4768">
      <c r="N4768" s="7"/>
    </row>
    <row r="4769">
      <c r="N4769" s="7"/>
    </row>
    <row r="4770">
      <c r="N4770" s="7"/>
    </row>
    <row r="4771">
      <c r="N4771" s="7"/>
    </row>
    <row r="4772">
      <c r="N4772" s="7"/>
    </row>
    <row r="4773">
      <c r="N4773" s="7"/>
    </row>
    <row r="4774">
      <c r="N4774" s="7"/>
    </row>
    <row r="4775">
      <c r="N4775" s="7"/>
    </row>
    <row r="4776">
      <c r="N4776" s="7"/>
    </row>
    <row r="4777">
      <c r="N4777" s="7"/>
    </row>
    <row r="4778">
      <c r="N4778" s="7"/>
    </row>
    <row r="4779">
      <c r="N4779" s="7"/>
    </row>
    <row r="4780">
      <c r="N4780" s="7"/>
    </row>
    <row r="4781">
      <c r="N4781" s="7"/>
    </row>
    <row r="4782">
      <c r="N4782" s="7"/>
    </row>
    <row r="4783">
      <c r="N4783" s="7"/>
    </row>
    <row r="4784">
      <c r="N4784" s="7"/>
    </row>
    <row r="4785">
      <c r="N4785" s="7"/>
    </row>
    <row r="4786">
      <c r="N4786" s="7"/>
    </row>
    <row r="4787">
      <c r="N4787" s="7"/>
    </row>
    <row r="4788">
      <c r="N4788" s="7"/>
    </row>
    <row r="4789">
      <c r="N4789" s="7"/>
    </row>
    <row r="4790">
      <c r="N4790" s="7"/>
    </row>
    <row r="4791">
      <c r="N4791" s="7"/>
    </row>
    <row r="4792">
      <c r="N4792" s="7"/>
    </row>
    <row r="4793">
      <c r="N4793" s="7"/>
    </row>
    <row r="4794">
      <c r="N4794" s="7"/>
    </row>
    <row r="4795">
      <c r="N4795" s="7"/>
    </row>
    <row r="4796">
      <c r="N4796" s="7"/>
    </row>
    <row r="4797">
      <c r="N4797" s="7"/>
    </row>
    <row r="4798">
      <c r="N4798" s="7"/>
    </row>
    <row r="4799">
      <c r="N4799" s="7"/>
    </row>
    <row r="4800">
      <c r="N4800" s="7"/>
    </row>
    <row r="4801">
      <c r="N4801" s="7"/>
    </row>
    <row r="4802">
      <c r="N4802" s="7"/>
    </row>
    <row r="4803">
      <c r="N4803" s="7"/>
    </row>
    <row r="4804">
      <c r="N4804" s="7"/>
    </row>
    <row r="4805">
      <c r="N4805" s="7"/>
    </row>
    <row r="4806">
      <c r="N4806" s="7"/>
    </row>
    <row r="4807">
      <c r="N4807" s="7"/>
    </row>
    <row r="4808">
      <c r="N4808" s="7"/>
    </row>
    <row r="4809">
      <c r="N4809" s="7"/>
    </row>
    <row r="4810">
      <c r="N4810" s="7"/>
    </row>
    <row r="4811">
      <c r="N4811" s="7"/>
    </row>
    <row r="4812">
      <c r="N4812" s="7"/>
    </row>
    <row r="4813">
      <c r="N4813" s="7"/>
    </row>
    <row r="4814">
      <c r="N4814" s="7"/>
    </row>
    <row r="4815">
      <c r="N4815" s="7"/>
    </row>
    <row r="4816">
      <c r="N4816" s="7"/>
    </row>
    <row r="4817">
      <c r="N4817" s="7"/>
    </row>
    <row r="4818">
      <c r="N4818" s="7"/>
    </row>
    <row r="4819">
      <c r="N4819" s="7"/>
    </row>
    <row r="4820">
      <c r="N4820" s="7"/>
    </row>
    <row r="4821">
      <c r="N4821" s="7"/>
    </row>
    <row r="4822">
      <c r="N4822" s="7"/>
    </row>
    <row r="4823">
      <c r="N4823" s="7"/>
    </row>
    <row r="4824">
      <c r="N4824" s="7"/>
    </row>
    <row r="4825">
      <c r="N4825" s="7"/>
    </row>
    <row r="4826">
      <c r="N4826" s="7"/>
    </row>
    <row r="4827">
      <c r="N4827" s="7"/>
    </row>
    <row r="4828">
      <c r="N4828" s="7"/>
    </row>
    <row r="4829">
      <c r="N4829" s="7"/>
    </row>
    <row r="4830">
      <c r="N4830" s="7"/>
    </row>
    <row r="4831">
      <c r="N4831" s="7"/>
    </row>
    <row r="4832">
      <c r="N4832" s="7"/>
    </row>
    <row r="4833">
      <c r="N4833" s="7"/>
    </row>
    <row r="4834">
      <c r="N4834" s="7"/>
    </row>
    <row r="4835">
      <c r="N4835" s="7"/>
    </row>
    <row r="4836">
      <c r="N4836" s="7"/>
    </row>
    <row r="4837">
      <c r="N4837" s="7"/>
    </row>
    <row r="4838">
      <c r="N4838" s="7"/>
    </row>
    <row r="4839">
      <c r="N4839" s="7"/>
    </row>
    <row r="4840">
      <c r="N4840" s="7"/>
    </row>
    <row r="4841">
      <c r="N4841" s="7"/>
    </row>
    <row r="4842">
      <c r="N4842" s="7"/>
    </row>
    <row r="4843">
      <c r="N4843" s="7"/>
    </row>
    <row r="4844">
      <c r="N4844" s="7"/>
    </row>
    <row r="4845">
      <c r="N4845" s="7"/>
    </row>
    <row r="4846">
      <c r="N4846" s="7"/>
    </row>
    <row r="4847">
      <c r="N4847" s="7"/>
    </row>
    <row r="4848">
      <c r="N4848" s="7"/>
    </row>
    <row r="4849">
      <c r="N4849" s="7"/>
    </row>
    <row r="4850">
      <c r="N4850" s="7"/>
    </row>
    <row r="4851">
      <c r="N4851" s="7"/>
    </row>
    <row r="4852">
      <c r="N4852" s="7"/>
    </row>
    <row r="4853">
      <c r="N4853" s="7"/>
    </row>
    <row r="4854">
      <c r="N4854" s="7"/>
    </row>
    <row r="4855">
      <c r="N4855" s="7"/>
    </row>
    <row r="4856">
      <c r="N4856" s="7"/>
    </row>
    <row r="4857">
      <c r="N4857" s="7"/>
    </row>
    <row r="4858">
      <c r="N4858" s="7"/>
    </row>
    <row r="4859">
      <c r="N4859" s="7"/>
    </row>
    <row r="4860">
      <c r="N4860" s="7"/>
    </row>
    <row r="4861">
      <c r="N4861" s="7"/>
    </row>
    <row r="4862">
      <c r="N4862" s="7"/>
    </row>
    <row r="4863">
      <c r="N4863" s="7"/>
    </row>
    <row r="4864">
      <c r="N4864" s="7"/>
    </row>
    <row r="4865">
      <c r="N4865" s="7"/>
    </row>
    <row r="4866">
      <c r="N4866" s="7"/>
    </row>
    <row r="4867">
      <c r="N4867" s="7"/>
    </row>
    <row r="4868">
      <c r="N4868" s="7"/>
    </row>
    <row r="4869">
      <c r="N4869" s="7"/>
    </row>
    <row r="4870">
      <c r="N4870" s="7"/>
    </row>
    <row r="4871">
      <c r="N4871" s="7"/>
    </row>
    <row r="4872">
      <c r="N4872" s="7"/>
    </row>
    <row r="4873">
      <c r="N4873" s="7"/>
    </row>
    <row r="4874">
      <c r="N4874" s="7"/>
    </row>
    <row r="4875">
      <c r="N4875" s="7"/>
    </row>
    <row r="4876">
      <c r="N4876" s="7"/>
    </row>
    <row r="4877">
      <c r="N4877" s="7"/>
    </row>
    <row r="4878">
      <c r="N4878" s="7"/>
    </row>
    <row r="4879">
      <c r="N4879" s="7"/>
    </row>
    <row r="4880">
      <c r="N4880" s="7"/>
    </row>
    <row r="4881">
      <c r="N4881" s="7"/>
    </row>
    <row r="4882">
      <c r="N4882" s="7"/>
    </row>
    <row r="4883">
      <c r="N4883" s="7"/>
    </row>
    <row r="4884">
      <c r="N4884" s="7"/>
    </row>
    <row r="4885">
      <c r="N4885" s="7"/>
    </row>
    <row r="4886">
      <c r="N4886" s="7"/>
    </row>
    <row r="4887">
      <c r="N4887" s="7"/>
    </row>
    <row r="4888">
      <c r="N4888" s="7"/>
    </row>
    <row r="4889">
      <c r="N4889" s="7"/>
    </row>
    <row r="4890">
      <c r="N4890" s="7"/>
    </row>
    <row r="4891">
      <c r="N4891" s="7"/>
    </row>
    <row r="4892">
      <c r="N4892" s="7"/>
    </row>
    <row r="4893">
      <c r="N4893" s="7"/>
    </row>
    <row r="4894">
      <c r="N4894" s="7"/>
    </row>
    <row r="4895">
      <c r="N4895" s="7"/>
    </row>
    <row r="4896">
      <c r="N4896" s="7"/>
    </row>
    <row r="4897">
      <c r="N4897" s="7"/>
    </row>
    <row r="4898">
      <c r="N4898" s="7"/>
    </row>
    <row r="4899">
      <c r="N4899" s="7"/>
    </row>
    <row r="4900">
      <c r="N4900" s="7"/>
    </row>
    <row r="4901">
      <c r="I4901" s="9"/>
      <c r="N4901" s="7"/>
    </row>
    <row r="4902">
      <c r="N4902" s="7"/>
    </row>
    <row r="4903">
      <c r="N4903" s="7"/>
    </row>
    <row r="4904">
      <c r="N4904" s="7"/>
    </row>
    <row r="4905">
      <c r="N4905" s="7"/>
    </row>
    <row r="4906">
      <c r="N4906" s="7"/>
    </row>
    <row r="4907">
      <c r="N4907" s="7"/>
    </row>
    <row r="4908">
      <c r="N4908" s="7"/>
    </row>
    <row r="4909">
      <c r="N4909" s="7"/>
    </row>
    <row r="4910">
      <c r="N4910" s="7"/>
    </row>
    <row r="4911">
      <c r="N4911" s="7"/>
    </row>
    <row r="4912">
      <c r="N4912" s="7"/>
    </row>
    <row r="4913">
      <c r="N4913" s="7"/>
    </row>
    <row r="4914">
      <c r="N4914" s="7"/>
    </row>
    <row r="4915">
      <c r="N4915" s="7"/>
    </row>
    <row r="4916">
      <c r="N4916" s="7"/>
    </row>
    <row r="4917">
      <c r="N4917" s="7"/>
    </row>
    <row r="4918">
      <c r="N4918" s="7"/>
    </row>
    <row r="4919">
      <c r="N4919" s="7"/>
    </row>
    <row r="4920">
      <c r="N4920" s="7"/>
    </row>
    <row r="4921">
      <c r="N4921" s="7"/>
    </row>
    <row r="4922">
      <c r="N4922" s="7"/>
    </row>
    <row r="4923">
      <c r="N4923" s="7"/>
    </row>
    <row r="4924">
      <c r="N4924" s="7"/>
    </row>
    <row r="4925">
      <c r="N4925" s="7"/>
    </row>
    <row r="4926">
      <c r="N4926" s="7"/>
    </row>
    <row r="4927">
      <c r="N4927" s="7"/>
    </row>
    <row r="4928">
      <c r="N4928" s="7"/>
    </row>
    <row r="4929">
      <c r="N4929" s="7"/>
    </row>
    <row r="4930">
      <c r="N4930" s="7"/>
    </row>
    <row r="4931">
      <c r="N4931" s="7"/>
    </row>
    <row r="4932">
      <c r="N4932" s="7"/>
    </row>
    <row r="4933">
      <c r="N4933" s="7"/>
    </row>
    <row r="4934">
      <c r="N4934" s="7"/>
    </row>
    <row r="4935">
      <c r="N4935" s="7"/>
    </row>
    <row r="4936">
      <c r="N4936" s="7"/>
    </row>
    <row r="4937">
      <c r="N4937" s="7"/>
    </row>
    <row r="4938">
      <c r="N4938" s="7"/>
    </row>
    <row r="4939">
      <c r="N4939" s="7"/>
    </row>
    <row r="4940">
      <c r="N4940" s="7"/>
    </row>
    <row r="4941">
      <c r="N4941" s="7"/>
    </row>
    <row r="4942">
      <c r="N4942" s="7"/>
    </row>
    <row r="4943">
      <c r="N4943" s="7"/>
    </row>
    <row r="4944">
      <c r="N4944" s="7"/>
    </row>
    <row r="4945">
      <c r="N4945" s="7"/>
    </row>
    <row r="4946">
      <c r="N4946" s="7"/>
    </row>
    <row r="4947">
      <c r="N4947" s="7"/>
    </row>
    <row r="4948">
      <c r="N4948" s="7"/>
    </row>
    <row r="4949">
      <c r="N4949" s="7"/>
    </row>
    <row r="4950">
      <c r="N4950" s="7"/>
    </row>
    <row r="4951">
      <c r="N4951" s="7"/>
    </row>
    <row r="4952">
      <c r="N4952" s="7"/>
    </row>
    <row r="4953">
      <c r="N4953" s="7"/>
    </row>
    <row r="4954">
      <c r="N4954" s="7"/>
    </row>
    <row r="4955">
      <c r="N4955" s="7"/>
    </row>
    <row r="4956">
      <c r="N4956" s="7"/>
    </row>
    <row r="4957">
      <c r="N4957" s="7"/>
    </row>
    <row r="4958">
      <c r="N4958" s="7"/>
    </row>
    <row r="4959">
      <c r="N4959" s="7"/>
    </row>
    <row r="4960">
      <c r="N4960" s="7"/>
    </row>
    <row r="4961">
      <c r="N4961" s="7"/>
    </row>
    <row r="4962">
      <c r="N4962" s="7"/>
    </row>
    <row r="4963">
      <c r="N4963" s="7"/>
    </row>
    <row r="4964">
      <c r="N4964" s="7"/>
    </row>
    <row r="4965">
      <c r="N4965" s="7"/>
    </row>
    <row r="4966">
      <c r="N4966" s="7"/>
    </row>
    <row r="4967">
      <c r="N4967" s="7"/>
    </row>
    <row r="4968">
      <c r="N4968" s="7"/>
    </row>
    <row r="4969">
      <c r="N4969" s="7"/>
    </row>
    <row r="4970">
      <c r="N4970" s="7"/>
    </row>
    <row r="4971">
      <c r="N4971" s="7"/>
    </row>
    <row r="4972">
      <c r="N4972" s="7"/>
    </row>
    <row r="4973">
      <c r="N4973" s="7"/>
    </row>
    <row r="4974">
      <c r="N4974" s="7"/>
    </row>
    <row r="4975">
      <c r="N4975" s="7"/>
    </row>
    <row r="4976">
      <c r="N4976" s="7"/>
    </row>
    <row r="4977">
      <c r="N4977" s="7"/>
    </row>
    <row r="4978">
      <c r="N4978" s="7"/>
    </row>
    <row r="4979">
      <c r="N4979" s="7"/>
    </row>
    <row r="4980">
      <c r="N4980" s="7"/>
    </row>
    <row r="4981">
      <c r="N4981" s="7"/>
    </row>
    <row r="4982">
      <c r="N4982" s="7"/>
    </row>
    <row r="4983">
      <c r="N4983" s="7"/>
    </row>
    <row r="4984">
      <c r="N4984" s="7"/>
    </row>
    <row r="4985">
      <c r="N4985" s="7"/>
    </row>
    <row r="4986">
      <c r="N4986" s="7"/>
    </row>
    <row r="4987">
      <c r="N4987" s="7"/>
    </row>
    <row r="4988">
      <c r="N4988" s="7"/>
    </row>
    <row r="4989">
      <c r="N4989" s="7"/>
    </row>
    <row r="4990">
      <c r="N4990" s="7"/>
    </row>
    <row r="4991">
      <c r="N4991" s="7"/>
    </row>
    <row r="4992">
      <c r="N4992" s="7"/>
    </row>
    <row r="4993">
      <c r="N4993" s="7"/>
    </row>
    <row r="4994">
      <c r="N4994" s="7"/>
    </row>
    <row r="4995">
      <c r="N4995" s="7"/>
    </row>
    <row r="4996">
      <c r="N4996" s="7"/>
    </row>
    <row r="4997">
      <c r="N4997" s="7"/>
    </row>
    <row r="4998">
      <c r="N4998" s="7"/>
    </row>
    <row r="4999">
      <c r="N4999" s="7"/>
    </row>
    <row r="5000">
      <c r="N5000" s="7"/>
    </row>
    <row r="5001">
      <c r="N5001" s="7"/>
    </row>
    <row r="5002">
      <c r="N5002" s="7"/>
    </row>
    <row r="5003">
      <c r="N5003" s="7"/>
    </row>
    <row r="5004">
      <c r="N5004" s="7"/>
    </row>
    <row r="5005">
      <c r="N5005" s="7"/>
    </row>
    <row r="5006">
      <c r="N5006" s="7"/>
    </row>
    <row r="5007">
      <c r="N5007" s="7"/>
    </row>
    <row r="5008">
      <c r="N5008" s="7"/>
    </row>
    <row r="5009">
      <c r="N5009" s="7"/>
    </row>
    <row r="5010">
      <c r="N5010" s="7"/>
    </row>
    <row r="5011">
      <c r="N5011" s="7"/>
    </row>
    <row r="5012">
      <c r="N5012" s="7"/>
    </row>
    <row r="5013">
      <c r="N5013" s="7"/>
    </row>
    <row r="5014">
      <c r="N5014" s="7"/>
    </row>
    <row r="5015">
      <c r="N5015" s="7"/>
    </row>
    <row r="5016">
      <c r="N5016" s="7"/>
    </row>
    <row r="5017">
      <c r="N5017" s="7"/>
    </row>
    <row r="5018">
      <c r="N5018" s="7"/>
    </row>
    <row r="5019">
      <c r="N5019" s="7"/>
    </row>
    <row r="5020">
      <c r="N5020" s="7"/>
    </row>
    <row r="5021">
      <c r="N5021" s="7"/>
    </row>
    <row r="5022">
      <c r="N5022" s="7"/>
    </row>
    <row r="5023">
      <c r="N5023" s="7"/>
    </row>
    <row r="5024">
      <c r="N5024" s="7"/>
    </row>
    <row r="5025">
      <c r="N5025" s="7"/>
    </row>
    <row r="5026">
      <c r="N5026" s="7"/>
    </row>
    <row r="5027">
      <c r="N5027" s="7"/>
    </row>
    <row r="5028">
      <c r="N5028" s="7"/>
    </row>
    <row r="5029">
      <c r="N5029" s="7"/>
    </row>
    <row r="5030">
      <c r="N5030" s="7"/>
    </row>
    <row r="5031">
      <c r="N5031" s="7"/>
    </row>
    <row r="5032">
      <c r="N5032" s="7"/>
    </row>
    <row r="5033">
      <c r="N5033" s="7"/>
    </row>
    <row r="5034">
      <c r="N5034" s="7"/>
    </row>
    <row r="5035">
      <c r="N5035" s="7"/>
    </row>
    <row r="5036">
      <c r="N5036" s="7"/>
    </row>
    <row r="5037">
      <c r="N5037" s="7"/>
    </row>
    <row r="5038">
      <c r="N5038" s="7"/>
    </row>
    <row r="5039">
      <c r="N5039" s="7"/>
    </row>
    <row r="5040">
      <c r="N5040" s="7"/>
    </row>
    <row r="5041">
      <c r="N5041" s="7"/>
    </row>
    <row r="5042">
      <c r="N5042" s="7"/>
    </row>
    <row r="5043">
      <c r="N5043" s="7"/>
    </row>
    <row r="5044">
      <c r="N5044" s="7"/>
    </row>
    <row r="5045">
      <c r="N5045" s="7"/>
    </row>
    <row r="5046">
      <c r="N5046" s="7"/>
    </row>
    <row r="5047">
      <c r="N5047" s="7"/>
    </row>
    <row r="5048">
      <c r="N5048" s="7"/>
    </row>
    <row r="5049">
      <c r="N5049" s="7"/>
    </row>
    <row r="5050">
      <c r="N5050" s="7"/>
    </row>
    <row r="5051">
      <c r="N5051" s="7"/>
    </row>
    <row r="5052">
      <c r="N5052" s="7"/>
    </row>
    <row r="5053">
      <c r="N5053" s="7"/>
    </row>
    <row r="5054">
      <c r="N5054" s="7"/>
    </row>
    <row r="5055">
      <c r="N5055" s="7"/>
    </row>
    <row r="5056">
      <c r="N5056" s="7"/>
    </row>
    <row r="5057">
      <c r="N5057" s="7"/>
    </row>
    <row r="5058">
      <c r="N5058" s="7"/>
    </row>
    <row r="5059">
      <c r="N5059" s="7"/>
    </row>
    <row r="5060">
      <c r="N5060" s="7"/>
    </row>
    <row r="5061">
      <c r="N5061" s="7"/>
    </row>
    <row r="5062">
      <c r="N5062" s="7"/>
    </row>
    <row r="5063">
      <c r="N5063" s="7"/>
    </row>
    <row r="5064">
      <c r="N5064" s="7"/>
    </row>
    <row r="5065">
      <c r="N5065" s="7"/>
    </row>
    <row r="5066">
      <c r="N5066" s="7"/>
    </row>
    <row r="5067">
      <c r="N5067" s="7"/>
    </row>
    <row r="5068">
      <c r="N5068" s="7"/>
    </row>
    <row r="5069">
      <c r="N5069" s="7"/>
    </row>
    <row r="5070">
      <c r="N5070" s="7"/>
    </row>
    <row r="5071">
      <c r="N5071" s="7"/>
    </row>
    <row r="5072">
      <c r="N5072" s="7"/>
    </row>
    <row r="5073">
      <c r="N5073" s="7"/>
    </row>
    <row r="5074">
      <c r="N5074" s="7"/>
    </row>
    <row r="5075">
      <c r="N5075" s="7"/>
    </row>
    <row r="5076">
      <c r="N5076" s="7"/>
    </row>
    <row r="5077">
      <c r="N5077" s="7"/>
    </row>
    <row r="5078">
      <c r="N5078" s="7"/>
    </row>
    <row r="5079">
      <c r="I5079" s="9"/>
      <c r="N5079" s="7"/>
    </row>
    <row r="5080">
      <c r="N5080" s="7"/>
    </row>
    <row r="5081">
      <c r="N5081" s="7"/>
    </row>
    <row r="5082">
      <c r="N5082" s="7"/>
    </row>
    <row r="5083">
      <c r="N5083" s="7"/>
    </row>
    <row r="5084">
      <c r="N5084" s="7"/>
    </row>
    <row r="5085">
      <c r="N5085" s="7"/>
    </row>
    <row r="5086">
      <c r="N5086" s="7"/>
    </row>
    <row r="5087">
      <c r="N5087" s="7"/>
    </row>
    <row r="5088">
      <c r="N5088" s="7"/>
    </row>
    <row r="5089">
      <c r="N5089" s="7"/>
    </row>
    <row r="5090">
      <c r="N5090" s="7"/>
    </row>
    <row r="5091">
      <c r="N5091" s="7"/>
    </row>
    <row r="5092">
      <c r="N5092" s="7"/>
    </row>
    <row r="5093">
      <c r="N5093" s="7"/>
    </row>
    <row r="5094">
      <c r="N5094" s="7"/>
    </row>
    <row r="5095">
      <c r="N5095" s="7"/>
    </row>
    <row r="5096">
      <c r="N5096" s="7"/>
    </row>
    <row r="5097">
      <c r="N5097" s="7"/>
    </row>
    <row r="5098">
      <c r="N5098" s="7"/>
    </row>
    <row r="5099">
      <c r="N5099" s="7"/>
    </row>
    <row r="5100">
      <c r="N5100" s="7"/>
    </row>
    <row r="5101">
      <c r="N5101" s="7"/>
    </row>
    <row r="5102">
      <c r="N5102" s="7"/>
    </row>
    <row r="5103">
      <c r="N5103" s="7"/>
    </row>
    <row r="5104">
      <c r="N5104" s="7"/>
    </row>
    <row r="5105">
      <c r="N5105" s="7"/>
    </row>
    <row r="5106">
      <c r="N5106" s="7"/>
    </row>
    <row r="5107">
      <c r="N5107" s="7"/>
    </row>
    <row r="5108">
      <c r="N5108" s="7"/>
    </row>
    <row r="5109">
      <c r="N5109" s="7"/>
    </row>
    <row r="5110">
      <c r="N5110" s="7"/>
    </row>
    <row r="5111">
      <c r="N5111" s="7"/>
    </row>
    <row r="5112">
      <c r="N5112" s="7"/>
    </row>
    <row r="5113">
      <c r="N5113" s="7"/>
    </row>
    <row r="5114">
      <c r="N5114" s="7"/>
    </row>
    <row r="5115">
      <c r="N5115" s="7"/>
    </row>
    <row r="5116">
      <c r="N5116" s="7"/>
    </row>
    <row r="5117">
      <c r="N5117" s="7"/>
    </row>
    <row r="5118">
      <c r="N5118" s="7"/>
    </row>
    <row r="5119">
      <c r="N5119" s="7"/>
    </row>
    <row r="5120">
      <c r="N5120" s="7"/>
    </row>
    <row r="5121">
      <c r="N5121" s="7"/>
    </row>
    <row r="5122">
      <c r="N5122" s="7"/>
    </row>
    <row r="5123">
      <c r="N5123" s="7"/>
    </row>
    <row r="5124">
      <c r="N5124" s="7"/>
    </row>
    <row r="5125">
      <c r="N5125" s="7"/>
    </row>
    <row r="5126">
      <c r="N5126" s="7"/>
    </row>
    <row r="5127">
      <c r="N5127" s="7"/>
    </row>
    <row r="5128">
      <c r="N5128" s="7"/>
    </row>
    <row r="5129">
      <c r="N5129" s="7"/>
    </row>
    <row r="5130">
      <c r="N5130" s="7"/>
    </row>
    <row r="5131">
      <c r="N5131" s="7"/>
    </row>
    <row r="5132">
      <c r="N5132" s="7"/>
    </row>
    <row r="5133">
      <c r="N5133" s="7"/>
    </row>
    <row r="5134">
      <c r="N5134" s="7"/>
    </row>
    <row r="5135">
      <c r="N5135" s="7"/>
    </row>
    <row r="5136">
      <c r="N5136" s="7"/>
    </row>
    <row r="5137">
      <c r="N5137" s="7"/>
    </row>
    <row r="5138">
      <c r="N5138" s="7"/>
    </row>
    <row r="5139">
      <c r="N5139" s="7"/>
    </row>
    <row r="5140">
      <c r="N5140" s="7"/>
    </row>
    <row r="5141">
      <c r="N5141" s="7"/>
    </row>
    <row r="5142">
      <c r="N5142" s="7"/>
    </row>
    <row r="5143">
      <c r="N5143" s="7"/>
    </row>
    <row r="5144">
      <c r="N5144" s="7"/>
    </row>
    <row r="5145">
      <c r="N5145" s="7"/>
    </row>
    <row r="5146">
      <c r="N5146" s="7"/>
    </row>
    <row r="5147">
      <c r="N5147" s="7"/>
    </row>
    <row r="5148">
      <c r="N5148" s="7"/>
    </row>
    <row r="5149">
      <c r="N5149" s="7"/>
    </row>
  </sheetData>
  <hyperlinks>
    <hyperlink r:id="rId1" ref="B31"/>
    <hyperlink r:id="rId2" ref="B73"/>
    <hyperlink r:id="rId3" ref="B82"/>
    <hyperlink r:id="rId4" ref="B204"/>
    <hyperlink r:id="rId5" ref="B222"/>
    <hyperlink r:id="rId6" ref="B345"/>
    <hyperlink r:id="rId7" ref="B471"/>
    <hyperlink r:id="rId8" ref="B502"/>
    <hyperlink r:id="rId9" ref="H502"/>
    <hyperlink r:id="rId10" ref="B540"/>
    <hyperlink r:id="rId11" ref="B543"/>
  </hyperlinks>
  <drawing r:id="rId12"/>
</worksheet>
</file>