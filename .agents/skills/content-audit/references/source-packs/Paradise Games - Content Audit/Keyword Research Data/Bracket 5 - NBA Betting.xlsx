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2" name="_xlnm._FilterDatabase">matching!$A$1:$O$104</definedName>
    <definedName hidden="1" localSheetId="3" name="_xlnm._FilterDatabase">questions!$A$1:$Z$998</definedName>
  </definedNames>
  <calcPr/>
</workbook>
</file>

<file path=xl/sharedStrings.xml><?xml version="1.0" encoding="utf-8"?>
<sst xmlns="http://schemas.openxmlformats.org/spreadsheetml/2006/main" count="6091" uniqueCount="2403">
  <si>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</si>
  <si>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</si>
  <si>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</si>
  <si>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</si>
  <si>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</si>
  <si>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</si>
  <si>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</si>
  <si>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</si>
  <si>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</si>
  <si>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</si>
  <si>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</si>
  <si>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</si>
  <si>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</si>
  <si>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</si>
  <si>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</si>
  <si>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</si>
  <si>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</si>
  <si>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</si>
  <si>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</si>
  <si>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nba scores</t>
  </si>
  <si>
    <t>bs</t>
  </si>
  <si>
    <t>Video preview</t>
  </si>
  <si>
    <t>Informational,Branded,Non-local</t>
  </si>
  <si>
    <t>English</t>
  </si>
  <si>
    <t>129368, 35856, 3340, 1658, 714, 40712, 86627, 66439, 65290, 70655, 91460, 112348, 121580, 35946, 3437, 1703, 1703, 42972, 80948, 65173, 47388, 40363, 51984, 57010</t>
  </si>
  <si>
    <t>62317, 31746, 8663, 14704, 17425, 17930, 31054, 27708, 24400, 20545, 22806, 26330, 27207</t>
  </si>
  <si>
    <t>Statistics</t>
  </si>
  <si>
    <t>nba schedule</t>
  </si>
  <si>
    <t>nba games today</t>
  </si>
  <si>
    <t>People also ask,Video preview</t>
  </si>
  <si>
    <t>13868, 5573, 681, 49, 57, 5911, 7208, 5484, 6392, 6446, 7918, 12249, 15869, 5810, 401, 109, 678, 6113, 10066, 8363, 5470, 4777, 4351, 6695</t>
  </si>
  <si>
    <t>7879, 4448, 1737, 2553, 2641, 3056, 4464, 3711, 3638, 3317, 3388, 5186, 6069</t>
  </si>
  <si>
    <t>Basketball</t>
  </si>
  <si>
    <t>nba scores today</t>
  </si>
  <si>
    <t>3541, 2748, 1929, 1841, 2072, 2533, 2807, 2928, 2828, 2477, 2900, 3417, 3658, 2865, 2046, 1958, 2189, 2649, 2923, 3044, 2945, 2594, 3017, 3533</t>
  </si>
  <si>
    <t>3775, 2981, 2162, 2075, 2306, 2766, 3040, 3161, 3061, 2711, 3134, 3650, 3892</t>
  </si>
  <si>
    <t>nba score</t>
  </si>
  <si>
    <t>Sitelinks,Video preview</t>
  </si>
  <si>
    <t>2223, 1452, 117, 72, 278, 1009, 1153, 1182, 1558, 1255, 1516, 1936, 2325, 1431, 146, 53, 283, 1028, 1215, 1189, 1579, 1272, 1560, 1967</t>
  </si>
  <si>
    <t>2363, 1466, 145, 57, 289, 1049, 1234, 1214, 1612, 1298, 1589, 2007</t>
  </si>
  <si>
    <t>nba schedule today</t>
  </si>
  <si>
    <t>1085, 269, 16, 8, 4, 234, 650, 522, 529, 567, 970, 1523, 1859, 402, 24, 17, 8, 390, 825, 871, 494, 428, 567, 844</t>
  </si>
  <si>
    <t>957, 380, 292, 316, 321, 347, 555, 540, 528, 457, 605, 900, 1020</t>
  </si>
  <si>
    <t>nba picks</t>
  </si>
  <si>
    <t>cbs nba picks</t>
  </si>
  <si>
    <t>126, 36, 6, 6, 6, 106, 297, 428, 426, 282, 293, 353, 190, 37, 7, 0, 6, 200, 376, 285, 313, 281, 301, 234</t>
  </si>
  <si>
    <t>195, 115, 98, 105, 83, 169, 264, 268, 293, 261, 281, 214, 175</t>
  </si>
  <si>
    <t>nba predictions</t>
  </si>
  <si>
    <t>Top stories,Thumbnail,Video preview</t>
  </si>
  <si>
    <t>nba score today</t>
  </si>
  <si>
    <t>Informational,Non-branded,Non-local</t>
  </si>
  <si>
    <t>nba scores tonight</t>
  </si>
  <si>
    <t>People also ask</t>
  </si>
  <si>
    <t>nba schedule tonight</t>
  </si>
  <si>
    <t>what was the highest nba score</t>
  </si>
  <si>
    <t>what is the highest score nba game</t>
  </si>
  <si>
    <t>what is the lowest score in the nba</t>
  </si>
  <si>
    <t>when does the nba schedule come out</t>
  </si>
  <si>
    <t>how do nba teams get draft picks</t>
  </si>
  <si>
    <t>nba predictions today</t>
  </si>
  <si>
    <t>pickswise nba</t>
  </si>
  <si>
    <t>how many picks per round in nba draft</t>
  </si>
  <si>
    <t>Statistics; Basketball</t>
  </si>
  <si>
    <t>how is fantasy score calculated nba</t>
  </si>
  <si>
    <t>nba picks today</t>
  </si>
  <si>
    <t>when will nba schedule be released</t>
  </si>
  <si>
    <t>what is fantasy score on prizepicks nba</t>
  </si>
  <si>
    <t>nba predictions tonight</t>
  </si>
  <si>
    <t>how many picks are in the nba draft</t>
  </si>
  <si>
    <t>Top stories,Thumbnail,People also ask</t>
  </si>
  <si>
    <t>what nba scores</t>
  </si>
  <si>
    <t>what the nba score right now</t>
  </si>
  <si>
    <t>nba score tonight</t>
  </si>
  <si>
    <t>who is the highest score in nba history</t>
  </si>
  <si>
    <t>what is the highest score in the nba</t>
  </si>
  <si>
    <t>what is the nba score right now</t>
  </si>
  <si>
    <t>nba betting odds</t>
  </si>
  <si>
    <t>what are the nba scores</t>
  </si>
  <si>
    <t>nba score live</t>
  </si>
  <si>
    <t>when does nba schedule come out</t>
  </si>
  <si>
    <t>what is the nba schedule for today</t>
  </si>
  <si>
    <t>nba betting predictions</t>
  </si>
  <si>
    <t>what is fantasy score nba prizepicks</t>
  </si>
  <si>
    <t>espn nba scores</t>
  </si>
  <si>
    <t>nba odds</t>
  </si>
  <si>
    <t>what is the nba score</t>
  </si>
  <si>
    <t>Sitelinks,Video preview,People also ask</t>
  </si>
  <si>
    <t>Informational,Commercial,Transactional,Branded,Non-local</t>
  </si>
  <si>
    <t>how many picks in nba draft</t>
  </si>
  <si>
    <t>Sports betting; Basketball</t>
  </si>
  <si>
    <t>354, 81, 20, 13, 8, 179, 403, 402, 493, 408, 645, 639, 513, 95, 29, 31, 29, 269, 640, 333, 342, 294, 371, 382</t>
  </si>
  <si>
    <t>300, 158, 121, 165, 171, 321, 448, 365, 374, 321, 406, 417, 328</t>
  </si>
  <si>
    <t>nba betting today</t>
  </si>
  <si>
    <t>what is fantasy score nba</t>
  </si>
  <si>
    <t>nba score schedule</t>
  </si>
  <si>
    <t>when will the nba schedule be released</t>
  </si>
  <si>
    <t>nba betting odds tonight</t>
  </si>
  <si>
    <t>nba scores yesterday</t>
  </si>
  <si>
    <t>nba odds today</t>
  </si>
  <si>
    <t>nba schedule games</t>
  </si>
  <si>
    <t>nba scores for today</t>
  </si>
  <si>
    <t>nba odds playoffs</t>
  </si>
  <si>
    <t>nba scores games</t>
  </si>
  <si>
    <t>nba scores last night</t>
  </si>
  <si>
    <t>nba scores point spread</t>
  </si>
  <si>
    <t>nba bets tonight</t>
  </si>
  <si>
    <t>nba predictions over under</t>
  </si>
  <si>
    <t>nba scores playoffs</t>
  </si>
  <si>
    <t>cbs nba scores</t>
  </si>
  <si>
    <t>Top stories,Thumbnail</t>
  </si>
  <si>
    <t>Sitelinks</t>
  </si>
  <si>
    <t>nba bet</t>
  </si>
  <si>
    <t>nba odds over under</t>
  </si>
  <si>
    <t>nba betting tonight</t>
  </si>
  <si>
    <t>nba scores cbs</t>
  </si>
  <si>
    <t>nba betting news</t>
  </si>
  <si>
    <t>nba scores standing</t>
  </si>
  <si>
    <t>nba betting</t>
  </si>
  <si>
    <t>nba bet predictions</t>
  </si>
  <si>
    <t>nba schedule odds</t>
  </si>
  <si>
    <t>nba scores for tonight</t>
  </si>
  <si>
    <t>nba scores news</t>
  </si>
  <si>
    <t>nba finals score</t>
  </si>
  <si>
    <t>nba odds finals</t>
  </si>
  <si>
    <t>nba schedule playoffs</t>
  </si>
  <si>
    <t>nba odds picks</t>
  </si>
  <si>
    <t>nba bet picks</t>
  </si>
  <si>
    <t>nba odds tonight</t>
  </si>
  <si>
    <t>nba playoff schedule</t>
  </si>
  <si>
    <t>nba picks parlays</t>
  </si>
  <si>
    <t>nba scores injury report</t>
  </si>
  <si>
    <t>nba picks and parlays</t>
  </si>
  <si>
    <t>nba odds live</t>
  </si>
  <si>
    <t>nba schedule results</t>
  </si>
  <si>
    <t>nba schedule scores</t>
  </si>
  <si>
    <t>Sports betting</t>
  </si>
  <si>
    <t>nba scores live</t>
  </si>
  <si>
    <t>nba scores predictions</t>
  </si>
  <si>
    <t>nba finals schedule</t>
  </si>
  <si>
    <t>nba betting props</t>
  </si>
  <si>
    <t>nba bet odds</t>
  </si>
  <si>
    <t>36, 313, 5, 5, 3, 3, 3, 3, 3, 5, 3, 5, 43, 519, 3, 3, 3, 4, 3, 3, 9, 12, 8, 8</t>
  </si>
  <si>
    <t>74, 213, 69, 9, 14, 10, 8, 13, 8, 12, 7, 8, 73</t>
  </si>
  <si>
    <t>nba predictions picks</t>
  </si>
  <si>
    <t>nba cbs picks</t>
  </si>
  <si>
    <t>nba betting odds today</t>
  </si>
  <si>
    <t>nba live score</t>
  </si>
  <si>
    <t>nba betting live</t>
  </si>
  <si>
    <t>nba odds scores</t>
  </si>
  <si>
    <t>nba games today score</t>
  </si>
  <si>
    <t>nba bets today</t>
  </si>
  <si>
    <t>nba bets predictions</t>
  </si>
  <si>
    <t>nba schedule for tonight</t>
  </si>
  <si>
    <t>nba picks odds</t>
  </si>
  <si>
    <t>nba bet today</t>
  </si>
  <si>
    <t>nba scores schedule</t>
  </si>
  <si>
    <t>Sitelinks,Top stories,Thumbnail,Video preview</t>
  </si>
  <si>
    <t>nba bets</t>
  </si>
  <si>
    <t>nba summer league scores</t>
  </si>
  <si>
    <t>nba betting picks</t>
  </si>
  <si>
    <t>Sitelinks,People also ask</t>
  </si>
  <si>
    <t>nba picks tonight</t>
  </si>
  <si>
    <t>nba predictions parlay</t>
  </si>
  <si>
    <t>nba 2025 to 2026 schedule</t>
  </si>
  <si>
    <t>nba scores standings</t>
  </si>
  <si>
    <t>nba expert picks</t>
  </si>
  <si>
    <t>nba score results</t>
  </si>
  <si>
    <t>nba odds moneyline</t>
  </si>
  <si>
    <t>nba scores picks</t>
  </si>
  <si>
    <t>live nba scores today</t>
  </si>
  <si>
    <t>nba scores spreads</t>
  </si>
  <si>
    <t>nba betting spreads</t>
  </si>
  <si>
    <t>nba scores espn</t>
  </si>
  <si>
    <t>nba betting over under</t>
  </si>
  <si>
    <t>nba draft picks</t>
  </si>
  <si>
    <t>live nba scores</t>
  </si>
  <si>
    <t>nba scores over under</t>
  </si>
  <si>
    <t>nba betting games</t>
  </si>
  <si>
    <t>nba predictions moneyline</t>
  </si>
  <si>
    <t>nba parlay picks today</t>
  </si>
  <si>
    <t>nba predictions playoffs</t>
  </si>
  <si>
    <t>nba schedule 2025</t>
  </si>
  <si>
    <t>nba schedule predictions</t>
  </si>
  <si>
    <t>nba schedule for today</t>
  </si>
  <si>
    <t>nba picks over under</t>
  </si>
  <si>
    <t>nba odds predictions</t>
  </si>
  <si>
    <t>nba picks predictions</t>
  </si>
  <si>
    <t>nba scores from last night</t>
  </si>
  <si>
    <t>nba score predictions</t>
  </si>
  <si>
    <t>nba scores odds</t>
  </si>
  <si>
    <t>picks and parlays nba</t>
  </si>
  <si>
    <t>nba betting results</t>
  </si>
  <si>
    <t>nba scores finals</t>
  </si>
  <si>
    <t>cbs nba expert picks</t>
  </si>
  <si>
    <t>nba bet bahamas</t>
  </si>
  <si>
    <t>nba bet basketball</t>
  </si>
  <si>
    <t>nba playoffs schedule</t>
  </si>
  <si>
    <t>nba bet basketball betting</t>
  </si>
  <si>
    <t>nba bet best</t>
  </si>
  <si>
    <t>nba bet bet online</t>
  </si>
  <si>
    <t>guaranteed nba picks for tonight</t>
  </si>
  <si>
    <t>nba bet betting app</t>
  </si>
  <si>
    <t>nba bet chances</t>
  </si>
  <si>
    <t>nba draft picks 2025</t>
  </si>
  <si>
    <t>nba bet finals</t>
  </si>
  <si>
    <t>nba box score</t>
  </si>
  <si>
    <t>nba bet freeport</t>
  </si>
  <si>
    <t>nba bet games</t>
  </si>
  <si>
    <t>nba bet injury report</t>
  </si>
  <si>
    <t>nba bet island luck</t>
  </si>
  <si>
    <t>nba bet live</t>
  </si>
  <si>
    <t>nba scores.</t>
  </si>
  <si>
    <t>nba bet moneyline</t>
  </si>
  <si>
    <t>nba bet nassau</t>
  </si>
  <si>
    <t>expert nba picks</t>
  </si>
  <si>
    <t>nba bet news</t>
  </si>
  <si>
    <t>nba game schedule</t>
  </si>
  <si>
    <t>nba bet over under</t>
  </si>
  <si>
    <t>nba bet paradise games</t>
  </si>
  <si>
    <t>nba bet parlay</t>
  </si>
  <si>
    <t>nba picks and parlays today</t>
  </si>
  <si>
    <t>nba bet parlays</t>
  </si>
  <si>
    <t>nba bet player props</t>
  </si>
  <si>
    <t>nba bet playoffs</t>
  </si>
  <si>
    <t>nba bet point spread</t>
  </si>
  <si>
    <t>nba computer picks</t>
  </si>
  <si>
    <t>nba bet props</t>
  </si>
  <si>
    <t>nba scores from tonight</t>
  </si>
  <si>
    <t>nba bet results</t>
  </si>
  <si>
    <t>nba bet schedule</t>
  </si>
  <si>
    <t>nba mac odds scores</t>
  </si>
  <si>
    <t>nba bet scores</t>
  </si>
  <si>
    <t>nba bet sportsbook</t>
  </si>
  <si>
    <t>nba bet spreads</t>
  </si>
  <si>
    <t>nba regular season schedule</t>
  </si>
  <si>
    <t>nba bet standings</t>
  </si>
  <si>
    <t>free nba picks</t>
  </si>
  <si>
    <t>nba bet tonight</t>
  </si>
  <si>
    <t>nba bet ultra games</t>
  </si>
  <si>
    <t>best nba picks today</t>
  </si>
  <si>
    <t>nba bets bahamas</t>
  </si>
  <si>
    <t>nba bets basketball</t>
  </si>
  <si>
    <t>nba bets basketball betting</t>
  </si>
  <si>
    <t>nba bets best</t>
  </si>
  <si>
    <t>nba all star weekend schedule</t>
  </si>
  <si>
    <t>nba bets bet online</t>
  </si>
  <si>
    <t>nba bets betting app</t>
  </si>
  <si>
    <t>nba free picks</t>
  </si>
  <si>
    <t>nba bets chances</t>
  </si>
  <si>
    <t>nba bets finals</t>
  </si>
  <si>
    <t>nba bets freeport</t>
  </si>
  <si>
    <t>nba preseason schedule</t>
  </si>
  <si>
    <t>nba bets games</t>
  </si>
  <si>
    <t>nba bets injury report</t>
  </si>
  <si>
    <t>nba bets island luck</t>
  </si>
  <si>
    <t>nba player prop picks today</t>
  </si>
  <si>
    <t>nba bets live</t>
  </si>
  <si>
    <t>nba bets moneyline</t>
  </si>
  <si>
    <t>nba bets nassau</t>
  </si>
  <si>
    <t>nba playoff scores</t>
  </si>
  <si>
    <t>nba bets news</t>
  </si>
  <si>
    <t>nba bets odds</t>
  </si>
  <si>
    <t>schedule nba</t>
  </si>
  <si>
    <t>nba bets over under</t>
  </si>
  <si>
    <t>pickdawgz nba picks today</t>
  </si>
  <si>
    <t>nba bets paradise games</t>
  </si>
  <si>
    <t>nba bets parlay</t>
  </si>
  <si>
    <t>nba box scores</t>
  </si>
  <si>
    <t>nba bets parlays</t>
  </si>
  <si>
    <t>nba bets picks</t>
  </si>
  <si>
    <t>nba games and scores today</t>
  </si>
  <si>
    <t>nba bets player props</t>
  </si>
  <si>
    <t>nba bets playoffs</t>
  </si>
  <si>
    <t>nba live scores and lineups</t>
  </si>
  <si>
    <t>nba bets point spread</t>
  </si>
  <si>
    <t>nba bets props</t>
  </si>
  <si>
    <t>nba bets results</t>
  </si>
  <si>
    <t>nba scores nba scores</t>
  </si>
  <si>
    <t>nba bets schedule</t>
  </si>
  <si>
    <t>picks and parlay nba</t>
  </si>
  <si>
    <t>nba bets scores</t>
  </si>
  <si>
    <t>nba bets sportsbook</t>
  </si>
  <si>
    <t>nba score board</t>
  </si>
  <si>
    <t>nba bets spreads</t>
  </si>
  <si>
    <t>nba games scores</t>
  </si>
  <si>
    <t>nba bets standings</t>
  </si>
  <si>
    <t>nba bets ultra games</t>
  </si>
  <si>
    <t>nba schedule 2025-26</t>
  </si>
  <si>
    <t>nba betting bahamas</t>
  </si>
  <si>
    <t>nba game predictions</t>
  </si>
  <si>
    <t>nba betting basketball</t>
  </si>
  <si>
    <t>nba betting basketball betting</t>
  </si>
  <si>
    <t>nba games and scores tonight</t>
  </si>
  <si>
    <t>nba summer league score</t>
  </si>
  <si>
    <t>nba betting best</t>
  </si>
  <si>
    <t>nba games schedule</t>
  </si>
  <si>
    <t>nba betting bet online</t>
  </si>
  <si>
    <t>nba betting betting app</t>
  </si>
  <si>
    <t>nba betting chances</t>
  </si>
  <si>
    <t>nba betting finals</t>
  </si>
  <si>
    <t>dimers nba predictions</t>
  </si>
  <si>
    <t>nba betting freeport</t>
  </si>
  <si>
    <t>nba betting injury report</t>
  </si>
  <si>
    <t>nba summer league 2025 schedule</t>
  </si>
  <si>
    <t>nba betting island luck</t>
  </si>
  <si>
    <t>nba betting moneyline</t>
  </si>
  <si>
    <t>nba picks against the spread</t>
  </si>
  <si>
    <t>nba betting nassau</t>
  </si>
  <si>
    <t>nba betting odds bahamas</t>
  </si>
  <si>
    <t>playoff schedule nba</t>
  </si>
  <si>
    <t>nba betting odds basketball</t>
  </si>
  <si>
    <t>nba betting odds basketball betting</t>
  </si>
  <si>
    <t>nba ats picks</t>
  </si>
  <si>
    <t>nba betting odds best</t>
  </si>
  <si>
    <t>nba betting odds bet online</t>
  </si>
  <si>
    <t>nba win predictions tonight</t>
  </si>
  <si>
    <t>nba betting odds betting app</t>
  </si>
  <si>
    <t>free picks and parlays nba</t>
  </si>
  <si>
    <t>nba betting odds chances</t>
  </si>
  <si>
    <t>nba betting odds finals</t>
  </si>
  <si>
    <t>nba win predictions</t>
  </si>
  <si>
    <t>nba betting odds freeport</t>
  </si>
  <si>
    <t>nba betting odds games</t>
  </si>
  <si>
    <t>nba predictions yesterday</t>
  </si>
  <si>
    <t>nba betting odds injury report</t>
  </si>
  <si>
    <t>nba box scores live</t>
  </si>
  <si>
    <t>nba betting odds island luck</t>
  </si>
  <si>
    <t>nba betting odds live</t>
  </si>
  <si>
    <t>espn espn nba scores</t>
  </si>
  <si>
    <t>nba betting odds moneyline</t>
  </si>
  <si>
    <t>nba basketball consensus picks</t>
  </si>
  <si>
    <t>nba betting odds nassau</t>
  </si>
  <si>
    <t>nba games today live scores</t>
  </si>
  <si>
    <t>nba betting odds news</t>
  </si>
  <si>
    <t>nba picks april 25 2026 odds predictions</t>
  </si>
  <si>
    <t>nba betting odds over under</t>
  </si>
  <si>
    <t>nba betting odds paradise games</t>
  </si>
  <si>
    <t>nba playoffs 2023 scores</t>
  </si>
  <si>
    <t>picks for tonight's nba games</t>
  </si>
  <si>
    <t>nba betting odds parlay</t>
  </si>
  <si>
    <t>nba betting odds parlays</t>
  </si>
  <si>
    <t>nba score live now</t>
  </si>
  <si>
    <t>nba betting odds picks</t>
  </si>
  <si>
    <t>nba picks and predictions</t>
  </si>
  <si>
    <t>nba betting odds player props</t>
  </si>
  <si>
    <t>nba nba schedule</t>
  </si>
  <si>
    <t>nba betting odds playoffs</t>
  </si>
  <si>
    <t>nba betting odds point spread</t>
  </si>
  <si>
    <t>nba schedule canada</t>
  </si>
  <si>
    <t>nba betting odds predictions</t>
  </si>
  <si>
    <t>nba bet predictions today</t>
  </si>
  <si>
    <t>nba betting odds props</t>
  </si>
  <si>
    <t>nba standings 2023 predictions</t>
  </si>
  <si>
    <t>nba betting odds results</t>
  </si>
  <si>
    <t>nba schedule philippines 2021</t>
  </si>
  <si>
    <t>nba betting odds schedule</t>
  </si>
  <si>
    <t>nba dfs picks today</t>
  </si>
  <si>
    <t>nba betting odds scores</t>
  </si>
  <si>
    <t>nba betting odds sportsbook</t>
  </si>
  <si>
    <t>nba player props march 30 2026 predictions</t>
  </si>
  <si>
    <t>nba betting odds spreads</t>
  </si>
  <si>
    <t>nba summer league predictions today</t>
  </si>
  <si>
    <t>nba betting odds standings</t>
  </si>
  <si>
    <t>nba finals 2022 predictions</t>
  </si>
  <si>
    <t>nba betting odds ultra games</t>
  </si>
  <si>
    <t>nba betting paradise games</t>
  </si>
  <si>
    <t>today's nba picks</t>
  </si>
  <si>
    <t>nba betting parlay</t>
  </si>
  <si>
    <t>nba games today moneyline predictions</t>
  </si>
  <si>
    <t>nba betting parlays</t>
  </si>
  <si>
    <t>nba schedule score</t>
  </si>
  <si>
    <t>nba betting player props</t>
  </si>
  <si>
    <t>espn nba scores and odds</t>
  </si>
  <si>
    <t>nba betting playoffs</t>
  </si>
  <si>
    <t>nba picks of the day</t>
  </si>
  <si>
    <t>nba betting point spread</t>
  </si>
  <si>
    <t>nba betting schedule</t>
  </si>
  <si>
    <t>nba win predictions today</t>
  </si>
  <si>
    <t>nba betting scores</t>
  </si>
  <si>
    <t>nba scores 2022</t>
  </si>
  <si>
    <t>nba betting sportsbook</t>
  </si>
  <si>
    <t>score nba las vegas</t>
  </si>
  <si>
    <t>nba betting standings</t>
  </si>
  <si>
    <t>nba scores now</t>
  </si>
  <si>
    <t>nba betting ultra games</t>
  </si>
  <si>
    <t>nba bold predictions</t>
  </si>
  <si>
    <t>nba odds bahamas</t>
  </si>
  <si>
    <t>last night nba scores</t>
  </si>
  <si>
    <t>nba odds basketball</t>
  </si>
  <si>
    <t>nba 2021-22 schedule</t>
  </si>
  <si>
    <t>nba odds basketball betting</t>
  </si>
  <si>
    <t>nba schedule 2021-2022</t>
  </si>
  <si>
    <t>nba odds best</t>
  </si>
  <si>
    <t>nba sports betting predictions</t>
  </si>
  <si>
    <t>nba odds bet online</t>
  </si>
  <si>
    <t>nba odds betting app</t>
  </si>
  <si>
    <t>nba score today lakers</t>
  </si>
  <si>
    <t>nba odds chances</t>
  </si>
  <si>
    <t>nba schedule 2022 23</t>
  </si>
  <si>
    <t>nba odds freeport</t>
  </si>
  <si>
    <t>today nba predictions</t>
  </si>
  <si>
    <t>nba odds games</t>
  </si>
  <si>
    <t>scores nba yesterday</t>
  </si>
  <si>
    <t>nba odds injury report</t>
  </si>
  <si>
    <t>nba odds island luck</t>
  </si>
  <si>
    <t>nba odds nassau</t>
  </si>
  <si>
    <t>nba score today 2023</t>
  </si>
  <si>
    <t>nba odds news</t>
  </si>
  <si>
    <t>nba odds paradise games</t>
  </si>
  <si>
    <t>nba odds parlay</t>
  </si>
  <si>
    <t>nba schedule 2020-21</t>
  </si>
  <si>
    <t>nba odds parlays</t>
  </si>
  <si>
    <t>nba odds player props</t>
  </si>
  <si>
    <t>last nite nba scores</t>
  </si>
  <si>
    <t>nba odds point spread</t>
  </si>
  <si>
    <t>nba odds props</t>
  </si>
  <si>
    <t>what's the nba schedule for today</t>
  </si>
  <si>
    <t>nba odds results</t>
  </si>
  <si>
    <t>nba games predictions</t>
  </si>
  <si>
    <t>nba odds schedule</t>
  </si>
  <si>
    <t>nba odds sportsbook</t>
  </si>
  <si>
    <t>nba schedule 2023-2024</t>
  </si>
  <si>
    <t>nba odds spreads</t>
  </si>
  <si>
    <t>highest nba score</t>
  </si>
  <si>
    <t>nba odds standings</t>
  </si>
  <si>
    <t>nba mlk day schedule</t>
  </si>
  <si>
    <t>nba odds ultra games</t>
  </si>
  <si>
    <t>nba live streaming score</t>
  </si>
  <si>
    <t>nba picks bahamas</t>
  </si>
  <si>
    <t>nba picks basketball</t>
  </si>
  <si>
    <t>nba picks odds shark</t>
  </si>
  <si>
    <t>nba picks basketball betting</t>
  </si>
  <si>
    <t>picks against spread nba</t>
  </si>
  <si>
    <t>nba picks best</t>
  </si>
  <si>
    <t>nba all scores today</t>
  </si>
  <si>
    <t>nba picks bet online</t>
  </si>
  <si>
    <t>nba today schedule</t>
  </si>
  <si>
    <t>nba picks betting app</t>
  </si>
  <si>
    <t>parlay picks nba</t>
  </si>
  <si>
    <t>nba picks chances</t>
  </si>
  <si>
    <t>nba games march 26 2026 schedule odds</t>
  </si>
  <si>
    <t>nba picks finals</t>
  </si>
  <si>
    <t>nba picks freeport</t>
  </si>
  <si>
    <t>nba basketball scores today</t>
  </si>
  <si>
    <t>nba picks games</t>
  </si>
  <si>
    <t>schedule finals nba</t>
  </si>
  <si>
    <t>nba picks injury report</t>
  </si>
  <si>
    <t>nba score line</t>
  </si>
  <si>
    <t>nba picks island luck</t>
  </si>
  <si>
    <t>nba odds expert picks</t>
  </si>
  <si>
    <t>nba picks live</t>
  </si>
  <si>
    <t>nba picks moneyline</t>
  </si>
  <si>
    <t>what's the score on the nba game tonight</t>
  </si>
  <si>
    <t>nba picks nassau</t>
  </si>
  <si>
    <t>nba games and schedule</t>
  </si>
  <si>
    <t>nba picks news</t>
  </si>
  <si>
    <t>nba over/under predictions</t>
  </si>
  <si>
    <t>nba picks paradise games</t>
  </si>
  <si>
    <t>nba picks parlay</t>
  </si>
  <si>
    <t>nba parlay picks tonight</t>
  </si>
  <si>
    <t>nba picks player props</t>
  </si>
  <si>
    <t>nba games schedule march 3 2026</t>
  </si>
  <si>
    <t>nba picks playoffs</t>
  </si>
  <si>
    <t>show nba scores</t>
  </si>
  <si>
    <t>nba picks point spread</t>
  </si>
  <si>
    <t>nba</t>
  </si>
  <si>
    <t>nba basketball picks of the day</t>
  </si>
  <si>
    <t>nba picks props</t>
  </si>
  <si>
    <t>nba picks results</t>
  </si>
  <si>
    <t>Top stories,Thumbnail,Knowledge panel,Sitelinks,People also ask,Video preview</t>
  </si>
  <si>
    <t>nba schedule injury</t>
  </si>
  <si>
    <t>nba picks schedule</t>
  </si>
  <si>
    <t>27895, 12214, 2620, 1423, 1417, 9978, 17284, 13933, 13126, 15787, 16014, 23011, 26168, 12399, 2692, 1790, 2026, 8185, 9960, 9345, 8975, 8986, 9349, 13270</t>
  </si>
  <si>
    <t>15299, 9507, 3912, 4447, 5005, 5350, 7809, 7289, 6963, 6934, 7173, 10119, 11594</t>
  </si>
  <si>
    <t>nba picks scores</t>
  </si>
  <si>
    <t>philadelphia nba score</t>
  </si>
  <si>
    <t>nba picks sportsbook</t>
  </si>
  <si>
    <t>nba picks betting</t>
  </si>
  <si>
    <t>nba picks spreads</t>
  </si>
  <si>
    <t>free nba predictions for tonight</t>
  </si>
  <si>
    <t>nba picks standings</t>
  </si>
  <si>
    <t>nba picks ultra games</t>
  </si>
  <si>
    <t>nba scores vegas</t>
  </si>
  <si>
    <t>nba predictions bahamas</t>
  </si>
  <si>
    <t>nba preseason picks today</t>
  </si>
  <si>
    <t>nba predictions basketball</t>
  </si>
  <si>
    <t>espn nba picks tonight</t>
  </si>
  <si>
    <t>nba predictions basketball betting</t>
  </si>
  <si>
    <t>People also ask,Video preview,Top stories,Thumbnail</t>
  </si>
  <si>
    <t>nba predictions best</t>
  </si>
  <si>
    <t>nba playoffs score</t>
  </si>
  <si>
    <t>5233, 3834, 3251, 3403, 3456, 3958, 4492, 4620, 4612, 4374, 4196, 4715, 5558, 4160, 3576, 3728, 3782, 4283, 4817, 4945, 4937, 4699, 4521, 5040</t>
  </si>
  <si>
    <t>5884, 4485, 3901, 4053, 4107, 4608, 5142, 5270, 5262, 5024, 4846, 5366, 6209</t>
  </si>
  <si>
    <t>nba predictions bet online</t>
  </si>
  <si>
    <t>nba standings</t>
  </si>
  <si>
    <t>nba predictions betting app</t>
  </si>
  <si>
    <t>nba all-star schedule</t>
  </si>
  <si>
    <t>nba predictions chances</t>
  </si>
  <si>
    <t>People also ask,Top stories,Thumbnail,Video preview</t>
  </si>
  <si>
    <t>nba predictions finals</t>
  </si>
  <si>
    <t>nba prop picks tonight</t>
  </si>
  <si>
    <t>3331, 1348, 31, 17, 13, 943, 5381, 4512, 5995, 6925, 11040, 12567, 3740, 819, 47, 22, 21, 2544, 10439, 6692, 6026, 6444, 6847, 7066</t>
  </si>
  <si>
    <t>3660, 1247, 435, 1866, 764, 1801, 5768, 5191, 4801, 4704, 7239, 7469, 3868</t>
  </si>
  <si>
    <t>nba predictions freeport</t>
  </si>
  <si>
    <t>nba predictions games</t>
  </si>
  <si>
    <t>nba broadcast schedule</t>
  </si>
  <si>
    <t>nba predictions injury report</t>
  </si>
  <si>
    <t>nba predictions island luck</t>
  </si>
  <si>
    <t>nba 2026 draft picks</t>
  </si>
  <si>
    <t>nba predictions live</t>
  </si>
  <si>
    <t>espn</t>
  </si>
  <si>
    <t>nba scores tonight playoffs</t>
  </si>
  <si>
    <t>nba predictions nassau</t>
  </si>
  <si>
    <t>nba predictions news</t>
  </si>
  <si>
    <t>tonight's game score nba</t>
  </si>
  <si>
    <t>nba predictions odds</t>
  </si>
  <si>
    <t>Informational,Navigational,Branded,Non-local</t>
  </si>
  <si>
    <t>buy nba picks</t>
  </si>
  <si>
    <t>3159, 2381, 2373, 2451, 3230, 3417, 3597, 3342, 2795, 2530, 2971, 2987, 2898, 1995, 1716, 2409, 2992, 3432, 3366, 3073, 2909, 2405, 2710, 2806</t>
  </si>
  <si>
    <t>2781, 2357, 2189, 2285, 3004, 3287, 3344, 3168, 2907, 2403, 2709, 2805, 2780</t>
  </si>
  <si>
    <t>Sports news; Sports</t>
  </si>
  <si>
    <t>nba predictions paradise games</t>
  </si>
  <si>
    <t>nba games</t>
  </si>
  <si>
    <t>nba playoffs schedule 2020</t>
  </si>
  <si>
    <t>nba predictions parlays</t>
  </si>
  <si>
    <t>nba predictions player props</t>
  </si>
  <si>
    <t>scores nba today</t>
  </si>
  <si>
    <t>nba predictions point spread</t>
  </si>
  <si>
    <t>cbs nba basketball picks</t>
  </si>
  <si>
    <t>nba predictions props</t>
  </si>
  <si>
    <t>4289, 1391, 13, 6, 9, 1401, 3008, 2526, 2669, 2746, 3475, 5351, 6930, 2027, 200, 16, 77, 2158, 3190, 2636, 2003, 2309, 2874, 3888</t>
  </si>
  <si>
    <t>4465, 2748, 925, 2344, 1837, 1610, 2911, 2791, 2769, 2320, 2889, 3908, 4487</t>
  </si>
  <si>
    <t>nba predictions results</t>
  </si>
  <si>
    <t>nba games tonight</t>
  </si>
  <si>
    <t>pick wise nba picks</t>
  </si>
  <si>
    <t>nba predictions schedule</t>
  </si>
  <si>
    <t>nba predictions scores</t>
  </si>
  <si>
    <t>nba yesterday score</t>
  </si>
  <si>
    <t>Sitelinks,People also ask,Video preview</t>
  </si>
  <si>
    <t>nba predictions sportsbook</t>
  </si>
  <si>
    <t>nba predictions spreads</t>
  </si>
  <si>
    <t>nba bookie picks</t>
  </si>
  <si>
    <t>2747, 795, 16, 8, 12, 536, 1210, 975, 979, 1010, 1946, 2293, 3572, 1046, 22, 18, 17, 994, 2106, 1802, 1560, 1470, 2159, 2393</t>
  </si>
  <si>
    <t>nba predictions standings</t>
  </si>
  <si>
    <t>3590, 857, 5, 5, 4, 813, 1630, 1277, 1267, 1259, 1967, 2229, 3448</t>
  </si>
  <si>
    <t>nba predictions ultra games</t>
  </si>
  <si>
    <t>nba rookie of the year predictions</t>
  </si>
  <si>
    <t>nba schedule bahamas</t>
  </si>
  <si>
    <t>nba scores nba</t>
  </si>
  <si>
    <t>nba schedule basketball</t>
  </si>
  <si>
    <t>nba schedule basketball betting</t>
  </si>
  <si>
    <t>nba 76ers score</t>
  </si>
  <si>
    <t>nba schedule best</t>
  </si>
  <si>
    <t>nba sports picks today</t>
  </si>
  <si>
    <t>warriors</t>
  </si>
  <si>
    <t>nba schedule bet online</t>
  </si>
  <si>
    <t>golden state warriors</t>
  </si>
  <si>
    <t>the nba scores for today</t>
  </si>
  <si>
    <t>nba schedule betting app</t>
  </si>
  <si>
    <t>nba schedule chances</t>
  </si>
  <si>
    <t>nba basketball predictions</t>
  </si>
  <si>
    <t>nba schedule finals</t>
  </si>
  <si>
    <t>nba draft predictions 2024</t>
  </si>
  <si>
    <t>nba schedule freeport</t>
  </si>
  <si>
    <t>Top stories,Thumbnail,Sitelinks,People also ask,Video preview,Knowledge panel</t>
  </si>
  <si>
    <t>nba schedule injury report</t>
  </si>
  <si>
    <t>2026 nba schedule</t>
  </si>
  <si>
    <t>nba schedule island luck</t>
  </si>
  <si>
    <t>nba schedule live</t>
  </si>
  <si>
    <t>118, 144, 183, 92, 99, 1014, 1807, 1178, 884, 1113, 1731, 2504, 2675, 131, 212, 114, 107, 868, 1157, 969, 642, 634, 625, 1032</t>
  </si>
  <si>
    <t>nba games predictions picks and parlays</t>
  </si>
  <si>
    <t>1030, 407, 34, 29, 25, 44, 392, 262, 278, 136, 281, 683, 749</t>
  </si>
  <si>
    <t>nba schedule moneyline</t>
  </si>
  <si>
    <t>nba schedule nassau</t>
  </si>
  <si>
    <t>cbs sports</t>
  </si>
  <si>
    <t>nba playoff bracket 2023 predictions</t>
  </si>
  <si>
    <t>nba schedule news</t>
  </si>
  <si>
    <t>nba schedule over under</t>
  </si>
  <si>
    <t>nba score bite</t>
  </si>
  <si>
    <t>nba schedule paradise games</t>
  </si>
  <si>
    <t>nba schedule parlay</t>
  </si>
  <si>
    <t>score basket nba</t>
  </si>
  <si>
    <t>574, 440, 369, 383, 693, 694, 734, 869, 894, 800, 1093, 888, 712, 435, 409, 457, 721, 828, 1498, 1324, 892, 745, 920, 833</t>
  </si>
  <si>
    <t>758, 658, 629, 669, 915, 1021, 1158, 1147, 1074, 895, 1102, 995, 903</t>
  </si>
  <si>
    <t>Sports</t>
  </si>
  <si>
    <t>nba tonight predictions</t>
  </si>
  <si>
    <t>nba schedule parlays</t>
  </si>
  <si>
    <t>nba schedule picks</t>
  </si>
  <si>
    <t>nba games tonight scores</t>
  </si>
  <si>
    <t>nba schedule player props</t>
  </si>
  <si>
    <t>nba schedule point spread</t>
  </si>
  <si>
    <t>nba score.</t>
  </si>
  <si>
    <t>nba schedule props</t>
  </si>
  <si>
    <t>nba news</t>
  </si>
  <si>
    <t>nba schedule sportsbook</t>
  </si>
  <si>
    <t>nba schedule channel</t>
  </si>
  <si>
    <t>nba schedule spreads</t>
  </si>
  <si>
    <t>nba draftkings picks</t>
  </si>
  <si>
    <t>Top stories,Thumbnail,Sitelinks,Video preview</t>
  </si>
  <si>
    <t>nba schedule standings</t>
  </si>
  <si>
    <t>free nba picks today</t>
  </si>
  <si>
    <t>494, 852, 981, 355, 357, 382, 293, 288, 358, 891, 371, 439, 451, 862, 1086, 479, 320, 253, 242, 282, 330, 442, 333, 262</t>
  </si>
  <si>
    <t>nba schedule ultra games</t>
  </si>
  <si>
    <t>355, 530, 662, 478, 436, 369, 425, 282, 329, 441, 332, 262, 355</t>
  </si>
  <si>
    <t>Sports news</t>
  </si>
  <si>
    <t>inside the nba espn schedule</t>
  </si>
  <si>
    <t>espn nba</t>
  </si>
  <si>
    <t>nba score bahamas</t>
  </si>
  <si>
    <t>nba scores and highlights from last night</t>
  </si>
  <si>
    <t>nba score basketball</t>
  </si>
  <si>
    <t>nhl scores nba scores</t>
  </si>
  <si>
    <t>nba score basketball betting</t>
  </si>
  <si>
    <t>542, 399, 339, 298, 236, 414, 573, 526, 482, 522, 594, 608, 552, 406, 344, 302, 239, 418, 578, 530, 485, 525, 597, 611</t>
  </si>
  <si>
    <t>555, 408, 345, 303, 240, 419, 580, 531, 486, 526, 598, 612, 555</t>
  </si>
  <si>
    <t>nba score best</t>
  </si>
  <si>
    <t>today's nba playoff schedule</t>
  </si>
  <si>
    <t>nba playoffs</t>
  </si>
  <si>
    <t>nba score bet online</t>
  </si>
  <si>
    <t>nba playoff bracket</t>
  </si>
  <si>
    <t>nba scores summer league</t>
  </si>
  <si>
    <t>nba score betting app</t>
  </si>
  <si>
    <t>nba score chances</t>
  </si>
  <si>
    <t>6352, 1065, 29, 14, 11, 14, 10, 23, 18, 37, 64, 1577, 3683, 1078, 27, 16, 9, 11, 9, 10, 8, 9, 22, 284</t>
  </si>
  <si>
    <t>653, 165, 28, 43, 56, 6, 3, 3, 2, 2, 4, 35, 43</t>
  </si>
  <si>
    <t>nba under over predictions</t>
  </si>
  <si>
    <t>nba score finals</t>
  </si>
  <si>
    <t>nba finals</t>
  </si>
  <si>
    <t>2023 nba playoff predictions</t>
  </si>
  <si>
    <t>nba score freeport</t>
  </si>
  <si>
    <t>People also ask,Sitelinks,Video preview</t>
  </si>
  <si>
    <t>nba score games</t>
  </si>
  <si>
    <t>nba scores scrimmage</t>
  </si>
  <si>
    <t>nba score injury report</t>
  </si>
  <si>
    <t>cbs nba scores picks</t>
  </si>
  <si>
    <t>192, 3226, 36, 14, 14, 14, 8, 14, 17, 24, 14, 24, 202, 3330, 32, 15, 17, 23, 11, 9, 8, 9, 9, 37</t>
  </si>
  <si>
    <t>267, 1498, 418, 16, 47, 343, 6, 6, 6, 7, 7, 28, 201</t>
  </si>
  <si>
    <t>nba score island luck</t>
  </si>
  <si>
    <t>nba results</t>
  </si>
  <si>
    <t>nba ml picks today</t>
  </si>
  <si>
    <t>nba score moneyline</t>
  </si>
  <si>
    <t>nba score nassau</t>
  </si>
  <si>
    <t>nba predictions for today</t>
  </si>
  <si>
    <t>nba score news</t>
  </si>
  <si>
    <t>10, 2, 0, 1, 0, 20, 55, 12, 36, 31, 583, 284, 130, 135, 3, 1, 1, 214, 487, 323, 355, 239, 524, 540</t>
  </si>
  <si>
    <t>nba score odds</t>
  </si>
  <si>
    <t>today's nba tv schedule</t>
  </si>
  <si>
    <t>nba score over under</t>
  </si>
  <si>
    <t>nba pre season scores</t>
  </si>
  <si>
    <t>nba score paradise games</t>
  </si>
  <si>
    <t>nba score parlay</t>
  </si>
  <si>
    <t>summer league nba predictions</t>
  </si>
  <si>
    <t>nba score parlays</t>
  </si>
  <si>
    <t>2021 nba schedule</t>
  </si>
  <si>
    <t>nba score picks</t>
  </si>
  <si>
    <t>covers</t>
  </si>
  <si>
    <t>nba score player props</t>
  </si>
  <si>
    <t>nba yesterday schedule</t>
  </si>
  <si>
    <t>nba score playoffs</t>
  </si>
  <si>
    <t>nba score point spread</t>
  </si>
  <si>
    <t>Sitelinks,Knowledge panel</t>
  </si>
  <si>
    <t>nba daily picks</t>
  </si>
  <si>
    <t>nba score props</t>
  </si>
  <si>
    <t>316, 373, 176, 203, 239, 302, 323, 288, 217, 147, 211, 177, 205, 175, 153, 194, 240, 236, 271, 274, 268, 242, 274, 239</t>
  </si>
  <si>
    <t>score nba game</t>
  </si>
  <si>
    <t>214, 201, 176, 180, 226, 225, 271, 247, 263, 238, 269, 235, 210</t>
  </si>
  <si>
    <t>nba score sportsbook</t>
  </si>
  <si>
    <t>basketball</t>
  </si>
  <si>
    <t>nba score spreads</t>
  </si>
  <si>
    <t>tonight's nba game predictions</t>
  </si>
  <si>
    <t>nba score standings</t>
  </si>
  <si>
    <t>Sitelinks,Knowledge panel,People also ask,Video preview</t>
  </si>
  <si>
    <t>scores nba</t>
  </si>
  <si>
    <t>nba score ultra games</t>
  </si>
  <si>
    <t>1965, 2074, 2782, 1336, 1072, 1485, 780, 430, 407, 403, 417, 399, 421, 281, 191, 164, 211, 311, 295, 252, 267, 242, 257, 251</t>
  </si>
  <si>
    <t>nba scores bahamas</t>
  </si>
  <si>
    <t>nba trade predictions</t>
  </si>
  <si>
    <t>277, 233, 201, 207, 296, 307, 295, 248, 266, 241, 256, 251, 276</t>
  </si>
  <si>
    <t>nba draft</t>
  </si>
  <si>
    <t>nba scores basketball</t>
  </si>
  <si>
    <t>nba picks april 20 2026 odds predictions</t>
  </si>
  <si>
    <t>nba draft lottery</t>
  </si>
  <si>
    <t>nba scores basketball betting</t>
  </si>
  <si>
    <t>average nba score by year</t>
  </si>
  <si>
    <t>nba scores best</t>
  </si>
  <si>
    <t>75, 1766, 10, 5, 3, 10, 4, 1, 3, 5, 6, 21, 217, 1828, 16, 8, 3, 20, 6, 10, 6, 10, 62, 48</t>
  </si>
  <si>
    <t>best nba prop picks</t>
  </si>
  <si>
    <t>nba scores bet online</t>
  </si>
  <si>
    <t>nba tonight</t>
  </si>
  <si>
    <t>nba scores betting app</t>
  </si>
  <si>
    <t>nba games tonight predictions</t>
  </si>
  <si>
    <t>nba scores chances</t>
  </si>
  <si>
    <t>nba game 5 score</t>
  </si>
  <si>
    <t>nba scores freeport</t>
  </si>
  <si>
    <t>houston rockets</t>
  </si>
  <si>
    <t>expert nba picks and parlays</t>
  </si>
  <si>
    <t>nba scores island luck</t>
  </si>
  <si>
    <t>nba scores moneyline</t>
  </si>
  <si>
    <t>nba summer league 2021 schedule</t>
  </si>
  <si>
    <t>Top stories,Thumbnail,Knowledge panel,Sitelinks,Video preview</t>
  </si>
  <si>
    <t>nba scores nassau</t>
  </si>
  <si>
    <t>.nba scores</t>
  </si>
  <si>
    <t>23, 32, 32, 18, 14, 103, 197, 144, 206, 198, 312, 309, 168, 94, 75, 35, 61, 272, 585, 275, 223, 187, 215, 204</t>
  </si>
  <si>
    <t>156, 140, 102, 214, 217, 235, 359, 275, 223, 187, 216, 204, 156</t>
  </si>
  <si>
    <t>nba preseason 2022 schedule</t>
  </si>
  <si>
    <t>cbs nba predictions</t>
  </si>
  <si>
    <t>pickswise</t>
  </si>
  <si>
    <t>computer picks nba</t>
  </si>
  <si>
    <t>Sitelinks,Top stories,Thumbnail</t>
  </si>
  <si>
    <t>expert picks nba</t>
  </si>
  <si>
    <t>249, 199, 137, 134, 205, 255, 252, 200, 209, 129, 103, 161, 164, 111, 75, 106, 202, 244, 305, 249, 207, 180, 184, 190</t>
  </si>
  <si>
    <t>176, 150, 135, 248, 237, 260, 262, 239, 223, 194, 198, 205, 190</t>
  </si>
  <si>
    <t>nba scores today 2021 schedule</t>
  </si>
  <si>
    <t>playoff schedule nba 2024</t>
  </si>
  <si>
    <t>nba rumors</t>
  </si>
  <si>
    <t>vegas picks nba</t>
  </si>
  <si>
    <t>hoops rumors</t>
  </si>
  <si>
    <t>nba schedule homecourt</t>
  </si>
  <si>
    <t>nba games over under predictions</t>
  </si>
  <si>
    <t>23, 452, 732, 206, 12, 10, 131, 69, 241, 266, 5, 4, 3, 408, 689, 164, 2, 1, 92, 31, 205, 230, 1, 1</t>
  </si>
  <si>
    <t>1, 376, 658, 134, 1, 1, 65, 5, 179, 206, 1, 1, 1</t>
  </si>
  <si>
    <t>cbs nba scores today</t>
  </si>
  <si>
    <t>nba today</t>
  </si>
  <si>
    <t>nba scores paradise games</t>
  </si>
  <si>
    <t>nba preseason picks against the spread</t>
  </si>
  <si>
    <t>nba scores parlay</t>
  </si>
  <si>
    <t>nba finals predictions</t>
  </si>
  <si>
    <t>nba scores parlays</t>
  </si>
  <si>
    <t>yesterday scores nba</t>
  </si>
  <si>
    <t>nba scores player props</t>
  </si>
  <si>
    <t>nba scores props</t>
  </si>
  <si>
    <t>underdog nba picks</t>
  </si>
  <si>
    <t>nba scores results</t>
  </si>
  <si>
    <t>nba tv schedule 2021</t>
  </si>
  <si>
    <t>what nba games are on tonight</t>
  </si>
  <si>
    <t>nba scores sportsbook</t>
  </si>
  <si>
    <t>nba expert picks odds shark</t>
  </si>
  <si>
    <t>People also ask,Top stories,Thumbnail</t>
  </si>
  <si>
    <t>nba scores ultra games</t>
  </si>
  <si>
    <t>nba scores live update</t>
  </si>
  <si>
    <t>tonight nba scores</t>
  </si>
  <si>
    <t>nba game betting picks</t>
  </si>
  <si>
    <t>nba games live score</t>
  </si>
  <si>
    <t>playoffs schedule nba 2024</t>
  </si>
  <si>
    <t>rookie of the year nba 2026 predictions</t>
  </si>
  <si>
    <t>nba game tonight</t>
  </si>
  <si>
    <t>fantasy score nba</t>
  </si>
  <si>
    <t>nba score for tonight's game</t>
  </si>
  <si>
    <t>nba scoreboard</t>
  </si>
  <si>
    <t>nba playoffs schedule 2021</t>
  </si>
  <si>
    <t>nba olympic schedule 2024</t>
  </si>
  <si>
    <t>nba score and schedule</t>
  </si>
  <si>
    <t>fivethirtyeight nba predictions</t>
  </si>
  <si>
    <t>nba best picks</t>
  </si>
  <si>
    <t>nba news today</t>
  </si>
  <si>
    <t>all-nba teams 2024 predictions</t>
  </si>
  <si>
    <t>sports chat nba picks</t>
  </si>
  <si>
    <t>picks and parlays</t>
  </si>
  <si>
    <t>nba opening night schedule</t>
  </si>
  <si>
    <t>Thumbnail,People also ask,Top stories</t>
  </si>
  <si>
    <t>nba news and scores</t>
  </si>
  <si>
    <t>nba scores covers</t>
  </si>
  <si>
    <t>nba on espn schedule</t>
  </si>
  <si>
    <t>sports betting predictions nba</t>
  </si>
  <si>
    <t>magic</t>
  </si>
  <si>
    <t>nba draft 2024 picks</t>
  </si>
  <si>
    <t>picks and parlays nba today</t>
  </si>
  <si>
    <t>Knowledge card,Sitelinks,People also ask</t>
  </si>
  <si>
    <t>nba spread predictions</t>
  </si>
  <si>
    <t>Paranormal; Magic; Leisure</t>
  </si>
  <si>
    <t>espn nba picks</t>
  </si>
  <si>
    <t>pickwise</t>
  </si>
  <si>
    <t>nba schedule from last night</t>
  </si>
  <si>
    <t>nba schedule march 2022</t>
  </si>
  <si>
    <t>nba 2018 schedule</t>
  </si>
  <si>
    <t>nba game</t>
  </si>
  <si>
    <t>nba live score tonight</t>
  </si>
  <si>
    <t>nba games march 7 2026 odds predictions</t>
  </si>
  <si>
    <t>what channel is the nba game on tonight</t>
  </si>
  <si>
    <t>nba predictions app</t>
  </si>
  <si>
    <t>nba predictions 2020</t>
  </si>
  <si>
    <t>nba 2024 schedule release date</t>
  </si>
  <si>
    <t>espn nba tv schedule</t>
  </si>
  <si>
    <t>nba line up</t>
  </si>
  <si>
    <t>rotowire nba</t>
  </si>
  <si>
    <t>nba games today april 5 2026 predictions</t>
  </si>
  <si>
    <t>Fantasy sports; Basketball</t>
  </si>
  <si>
    <t>nba live scores and stats</t>
  </si>
  <si>
    <t>nba preseason</t>
  </si>
  <si>
    <t>nba playin schedule</t>
  </si>
  <si>
    <t>nba schedule christmas day 2022</t>
  </si>
  <si>
    <t>nba finals game 6 score</t>
  </si>
  <si>
    <t>nba bubble schedule</t>
  </si>
  <si>
    <t>nba games today live</t>
  </si>
  <si>
    <t>nba first basket predictions</t>
  </si>
  <si>
    <t>espn nba picks and parlays</t>
  </si>
  <si>
    <t>nba bubble scores</t>
  </si>
  <si>
    <t>sports betting nba picks</t>
  </si>
  <si>
    <t>oddstrader</t>
  </si>
  <si>
    <t>nba playoff schedule 2026</t>
  </si>
  <si>
    <t>who won the game last night</t>
  </si>
  <si>
    <t>nba all star game scores</t>
  </si>
  <si>
    <t>sky nba schedule</t>
  </si>
  <si>
    <t>top ten nba draft picks 2024</t>
  </si>
  <si>
    <t>2023 nba draft picks</t>
  </si>
  <si>
    <t>nba game today schedule</t>
  </si>
  <si>
    <t>nba picks against the spread today</t>
  </si>
  <si>
    <t>nba over and under predictions</t>
  </si>
  <si>
    <t>nba games tomorrow</t>
  </si>
  <si>
    <t>nba game today</t>
  </si>
  <si>
    <t>predictions on nba games today</t>
  </si>
  <si>
    <t>accurate nba predictions</t>
  </si>
  <si>
    <t>all nba predictions</t>
  </si>
  <si>
    <t>nba schedule for today's games</t>
  </si>
  <si>
    <t>nba basketball</t>
  </si>
  <si>
    <t>nba national tv schedule</t>
  </si>
  <si>
    <t>Top stories,Thumbnail,Knowledge panel,Sitelinks</t>
  </si>
  <si>
    <t>scores from the nba tonight</t>
  </si>
  <si>
    <t>basketball games today</t>
  </si>
  <si>
    <t>nba friday predictions</t>
  </si>
  <si>
    <t>nba schedule 23 24</t>
  </si>
  <si>
    <t>nba game 5 schedule</t>
  </si>
  <si>
    <t>oddsshark nba</t>
  </si>
  <si>
    <t>nba expert picks and parlays</t>
  </si>
  <si>
    <t>Informational,Commercial,Branded,Non-local</t>
  </si>
  <si>
    <t>cbs nba picks tonight</t>
  </si>
  <si>
    <t>nba summer league scores live</t>
  </si>
  <si>
    <t>expert picks to win nba championship</t>
  </si>
  <si>
    <t>nba resultados</t>
  </si>
  <si>
    <t>nba daily fantasy picks</t>
  </si>
  <si>
    <t>resultados nba</t>
  </si>
  <si>
    <t>Spanish</t>
  </si>
  <si>
    <t>nba today picks</t>
  </si>
  <si>
    <t>nba canada tv schedule</t>
  </si>
  <si>
    <t>nba game schedule for tonight</t>
  </si>
  <si>
    <t>warriors game</t>
  </si>
  <si>
    <t>golden state warriors standings</t>
  </si>
  <si>
    <t>Top stories,Thumbnail,People also ask,Video preview</t>
  </si>
  <si>
    <t>2, 1, 1, 2, 1, 27, 91, 88, 75, 67, 115, 175, 171, 2, 2, 2, 1, 18, 38, 50, 42, 28, 42, 74</t>
  </si>
  <si>
    <t>79, 25, 1, 1, 1, 1, 12, 10, 18, 4, 22, 55, 63</t>
  </si>
  <si>
    <t>nba picks today april 20 2026 odds predictions</t>
  </si>
  <si>
    <t>nba league pass</t>
  </si>
  <si>
    <t>nba summer league 2020 schedule</t>
  </si>
  <si>
    <t>covers nba consensus picks</t>
  </si>
  <si>
    <t>nba championship scores</t>
  </si>
  <si>
    <t>nba training camp schedule</t>
  </si>
  <si>
    <t>nba schedule today channel</t>
  </si>
  <si>
    <t>nba picks for tonight's games</t>
  </si>
  <si>
    <t>nba score predictions today</t>
  </si>
  <si>
    <t>latest nba score</t>
  </si>
  <si>
    <t>nba schedule 2025-2026</t>
  </si>
  <si>
    <t>nba picks sportswire</t>
  </si>
  <si>
    <t>oddshark</t>
  </si>
  <si>
    <t>oddsshark</t>
  </si>
  <si>
    <t>nba playoffs 2025 schedule</t>
  </si>
  <si>
    <t>nba basketball picks against the spread</t>
  </si>
  <si>
    <t>nba logo</t>
  </si>
  <si>
    <t>nba playoffs 2023 predictions</t>
  </si>
  <si>
    <t>nba season start</t>
  </si>
  <si>
    <t>vegas nba scores</t>
  </si>
  <si>
    <t>nba games yesterday</t>
  </si>
  <si>
    <t>nba preseason picks for tonight</t>
  </si>
  <si>
    <t>2024 nba draft picks by team predictions</t>
  </si>
  <si>
    <t>nba game score tonight</t>
  </si>
  <si>
    <t>nba free agency predictions</t>
  </si>
  <si>
    <t>nba score predictions tonight</t>
  </si>
  <si>
    <t>nba moneyline picks</t>
  </si>
  <si>
    <t>nba picks money line</t>
  </si>
  <si>
    <t>nba games last night</t>
  </si>
  <si>
    <t>nba 2020 restart schedule</t>
  </si>
  <si>
    <t>Top stories</t>
  </si>
  <si>
    <t>nba western conference finals schedule</t>
  </si>
  <si>
    <t>nba 2020 to 2021 schedule</t>
  </si>
  <si>
    <t>pickdawgz</t>
  </si>
  <si>
    <t>nba summer league 2024 schedule</t>
  </si>
  <si>
    <t>nba all star predictions</t>
  </si>
  <si>
    <t>college basketball predictions</t>
  </si>
  <si>
    <t>predictions nba today</t>
  </si>
  <si>
    <t>basketball scores nba</t>
  </si>
  <si>
    <t>College sports</t>
  </si>
  <si>
    <t>nba match predictions</t>
  </si>
  <si>
    <t>nba live live scores</t>
  </si>
  <si>
    <t>nba schedule today live stream</t>
  </si>
  <si>
    <t>basketball scores</t>
  </si>
  <si>
    <t>nba tv channel schedule</t>
  </si>
  <si>
    <t>nba cbs scores</t>
  </si>
  <si>
    <t>nba odds shark</t>
  </si>
  <si>
    <t>philadelphia 76ers nba score</t>
  </si>
  <si>
    <t>nba all star score</t>
  </si>
  <si>
    <t>nba standings 2025 schedule</t>
  </si>
  <si>
    <t>who playing tonight nba</t>
  </si>
  <si>
    <t>nba playoff tv schedule 2021</t>
  </si>
  <si>
    <t>vegas nba picks</t>
  </si>
  <si>
    <t>nba 2k23 event schedule</t>
  </si>
  <si>
    <t>esp</t>
  </si>
  <si>
    <t>nba scores today games</t>
  </si>
  <si>
    <t>nba finals live score</t>
  </si>
  <si>
    <t>nba tv schedule 2020</t>
  </si>
  <si>
    <t>nba odds shark picks</t>
  </si>
  <si>
    <t>nba playoffs 2017 schedule</t>
  </si>
  <si>
    <t>nba games tv schedule tonight</t>
  </si>
  <si>
    <t>nba scores channel</t>
  </si>
  <si>
    <t>nba finals 2023 schedule</t>
  </si>
  <si>
    <t>nbascore</t>
  </si>
  <si>
    <t>last nights nba scores</t>
  </si>
  <si>
    <t>nba odds and scores</t>
  </si>
  <si>
    <t>nba playoffs 2016 schedule</t>
  </si>
  <si>
    <t>nba free parlay picks</t>
  </si>
  <si>
    <t>when is the next nba game</t>
  </si>
  <si>
    <t>nba finals 2023 predictions</t>
  </si>
  <si>
    <t>People also ask,Sitelinks</t>
  </si>
  <si>
    <t>cbs predictions nba</t>
  </si>
  <si>
    <t>nba summer league live score</t>
  </si>
  <si>
    <t>nba games march 6 2026 odds predictions</t>
  </si>
  <si>
    <t>action network</t>
  </si>
  <si>
    <t>nba scores for yesterday</t>
  </si>
  <si>
    <t>Sitelinks,People also ask,Top stories,Thumbnail</t>
  </si>
  <si>
    <t>nba scores yahoo</t>
  </si>
  <si>
    <t>nba real time scores</t>
  </si>
  <si>
    <t>what time is the nba game tonight</t>
  </si>
  <si>
    <t>nba ai picks</t>
  </si>
  <si>
    <t>2024 nba draft picks</t>
  </si>
  <si>
    <t>nba handicappers free picks</t>
  </si>
  <si>
    <t>nba computer predictions</t>
  </si>
  <si>
    <t>nba schedule march 12 2026</t>
  </si>
  <si>
    <t>nba schedule 2023 24</t>
  </si>
  <si>
    <t>nba games tonight on tv</t>
  </si>
  <si>
    <t>2015 nba finals box score</t>
  </si>
  <si>
    <t>nba first quarter predictions</t>
  </si>
  <si>
    <t>nba picks and prediction</t>
  </si>
  <si>
    <t>nba schedule march 6 2026</t>
  </si>
  <si>
    <t>tonights nba picks</t>
  </si>
  <si>
    <t>game tonight</t>
  </si>
  <si>
    <t>nba scores tofay</t>
  </si>
  <si>
    <t>nba games march 11 2026 odds predictions</t>
  </si>
  <si>
    <t>Statistics; American football; Basketball</t>
  </si>
  <si>
    <t>nba today predictions</t>
  </si>
  <si>
    <t>covers nba</t>
  </si>
  <si>
    <t>nba finals 2022 schedule</t>
  </si>
  <si>
    <t>Informational,Navigational,Commercial,Branded,Non-local</t>
  </si>
  <si>
    <t>nba sport betting picks</t>
  </si>
  <si>
    <t>nba playoff predictions 2022</t>
  </si>
  <si>
    <t>nba predictions starting lineup</t>
  </si>
  <si>
    <t>odds shark</t>
  </si>
  <si>
    <t>nba orlando schedule</t>
  </si>
  <si>
    <t>Sitelinks,Top stories,Thumbnail,People also ask</t>
  </si>
  <si>
    <t>free picks nba</t>
  </si>
  <si>
    <t>free nba picks against the spread</t>
  </si>
  <si>
    <t>mike's computer picks</t>
  </si>
  <si>
    <t>draft picks 2024 nba</t>
  </si>
  <si>
    <t>nba score nba score</t>
  </si>
  <si>
    <t>Lottery; Sports betting</t>
  </si>
  <si>
    <t>warriors game today</t>
  </si>
  <si>
    <t>nba scores today warriors</t>
  </si>
  <si>
    <t>nba picks this week</t>
  </si>
  <si>
    <t>nba score today 2022</t>
  </si>
  <si>
    <t>nba prop bets today</t>
  </si>
  <si>
    <t>nba picks for wednesday</t>
  </si>
  <si>
    <t>nba moneyline predictions</t>
  </si>
  <si>
    <t>Informational,Transactional,Branded,Non-local</t>
  </si>
  <si>
    <t>nba schedule 2022-23 release date</t>
  </si>
  <si>
    <t>2027 nba draft picks</t>
  </si>
  <si>
    <t>top 5 draft picks 2024 nba</t>
  </si>
  <si>
    <t>espn schedule</t>
  </si>
  <si>
    <t>nba schedule 2022</t>
  </si>
  <si>
    <t>espn caribbean schedule</t>
  </si>
  <si>
    <t>Video preview,People also ask</t>
  </si>
  <si>
    <t>nba scores and schedules</t>
  </si>
  <si>
    <t>nba games tonight live scores</t>
  </si>
  <si>
    <t>nba schedule release date</t>
  </si>
  <si>
    <t>nba basketball scores from today</t>
  </si>
  <si>
    <t>nba schedule 2021</t>
  </si>
  <si>
    <t>nba playoff predictions 2021</t>
  </si>
  <si>
    <t>tonight nba games</t>
  </si>
  <si>
    <t>nba scores and games standings today</t>
  </si>
  <si>
    <t>nba finals 2024 schedule</t>
  </si>
  <si>
    <t>nba 2022 season predictions</t>
  </si>
  <si>
    <t>basketball game tonight</t>
  </si>
  <si>
    <t>nba games march 12 2026 odds predictions</t>
  </si>
  <si>
    <t>tonight's nba picks</t>
  </si>
  <si>
    <t>nba lakers schedule 2023</t>
  </si>
  <si>
    <t>nba tv schedule for today</t>
  </si>
  <si>
    <t>warriors schedule</t>
  </si>
  <si>
    <t>nba hot picks</t>
  </si>
  <si>
    <t>nba pre season picks</t>
  </si>
  <si>
    <t>nba playoff predictions 2023</t>
  </si>
  <si>
    <t>when does the nba season start</t>
  </si>
  <si>
    <t>nba live box score</t>
  </si>
  <si>
    <t>lakers schedule nba</t>
  </si>
  <si>
    <t>cbssports nba picks</t>
  </si>
  <si>
    <t>cappers nba picks</t>
  </si>
  <si>
    <t>nba christmas schedule</t>
  </si>
  <si>
    <t>best bets today</t>
  </si>
  <si>
    <t>usa today nba predictions</t>
  </si>
  <si>
    <t>nba 2021 to 2022 schedule</t>
  </si>
  <si>
    <t>nba best predictions</t>
  </si>
  <si>
    <t>nba games for today</t>
  </si>
  <si>
    <t>nba lineup predictions</t>
  </si>
  <si>
    <t>nba game scores today</t>
  </si>
  <si>
    <t>nba nba scores</t>
  </si>
  <si>
    <t>nba games tonight tnt</t>
  </si>
  <si>
    <t>over under picks nba</t>
  </si>
  <si>
    <t>nba scores predictions today</t>
  </si>
  <si>
    <t>resultat nba</t>
  </si>
  <si>
    <t>nba schedule yesterday</t>
  </si>
  <si>
    <t>nba channel schedule</t>
  </si>
  <si>
    <t>French</t>
  </si>
  <si>
    <t>nba bites</t>
  </si>
  <si>
    <t>nba games today tv schedule</t>
  </si>
  <si>
    <t>nba scores and highlights today</t>
  </si>
  <si>
    <t>top 5 picks nba draft 2025</t>
  </si>
  <si>
    <t>nba pick</t>
  </si>
  <si>
    <t>playoffs nba scores</t>
  </si>
  <si>
    <t>nba playoffs scores</t>
  </si>
  <si>
    <t>next nba game</t>
  </si>
  <si>
    <t>predictions for nba games today</t>
  </si>
  <si>
    <t>nba first quarter picks</t>
  </si>
  <si>
    <t>foxsports nba</t>
  </si>
  <si>
    <t>nba score today game</t>
  </si>
  <si>
    <t>oddsshark nba consensus picks</t>
  </si>
  <si>
    <t>nba/schedule</t>
  </si>
  <si>
    <t>what channel is the game on tonight</t>
  </si>
  <si>
    <t>nba schedule 2024 25 release date</t>
  </si>
  <si>
    <t>nba consensus picks</t>
  </si>
  <si>
    <t>nba matchups</t>
  </si>
  <si>
    <t>playoff predictions nba</t>
  </si>
  <si>
    <t>nba predictions dimers</t>
  </si>
  <si>
    <t>covers odds</t>
  </si>
  <si>
    <t>nba scores tonight live</t>
  </si>
  <si>
    <t>covers.com.</t>
  </si>
  <si>
    <t>nba espn scores</t>
  </si>
  <si>
    <t>nba 2023 schedule</t>
  </si>
  <si>
    <t>nba championship game schedule</t>
  </si>
  <si>
    <t>games tonight nba</t>
  </si>
  <si>
    <t>nba playoffs bracket predictions</t>
  </si>
  <si>
    <t>todays nba picks</t>
  </si>
  <si>
    <t>nba fantasy picks tonight</t>
  </si>
  <si>
    <t>nba basketball games today</t>
  </si>
  <si>
    <t>nba games predictions today</t>
  </si>
  <si>
    <t>nba sports bet picks</t>
  </si>
  <si>
    <t>nba standings predictions</t>
  </si>
  <si>
    <t>nba game 4 score</t>
  </si>
  <si>
    <t>nba 1 picks</t>
  </si>
  <si>
    <t>picks and parlays nba basketball</t>
  </si>
  <si>
    <t>worst nba draft picks</t>
  </si>
  <si>
    <t>finals score nba</t>
  </si>
  <si>
    <t>nba streams nba live schedule</t>
  </si>
  <si>
    <t>nba scores leaders 2021</t>
  </si>
  <si>
    <t>who is playing tonight nba</t>
  </si>
  <si>
    <t>nba live score update</t>
  </si>
  <si>
    <t>nba match</t>
  </si>
  <si>
    <t>nba schedule today 2022 philippine time</t>
  </si>
  <si>
    <t>nba live results scores</t>
  </si>
  <si>
    <t>nba scores portland</t>
  </si>
  <si>
    <t>what time is the game tonight</t>
  </si>
  <si>
    <t>nba parlay picks</t>
  </si>
  <si>
    <t>nba games today schedule</t>
  </si>
  <si>
    <t>nba schedule release 2021-22</t>
  </si>
  <si>
    <t>over and under nba predictions</t>
  </si>
  <si>
    <t>2022 nba schedule</t>
  </si>
  <si>
    <t>nba sixers schedule</t>
  </si>
  <si>
    <t>who's playing in the nba tonight</t>
  </si>
  <si>
    <t>nba over/under predictions today</t>
  </si>
  <si>
    <t>experts nba picks</t>
  </si>
  <si>
    <t>covers sports</t>
  </si>
  <si>
    <t>nba schedule philippines</t>
  </si>
  <si>
    <t>picks for nba</t>
  </si>
  <si>
    <t>nba preseason games</t>
  </si>
  <si>
    <t>today nba schedule</t>
  </si>
  <si>
    <t>best nba parlay picks</t>
  </si>
  <si>
    <t>watch nba live</t>
  </si>
  <si>
    <t>nba live stream</t>
  </si>
  <si>
    <t>box score nba</t>
  </si>
  <si>
    <t>expert pick nba</t>
  </si>
  <si>
    <t>sbr nba picks</t>
  </si>
  <si>
    <t>nba live today score</t>
  </si>
  <si>
    <t>nba 2023 to 2024 schedule</t>
  </si>
  <si>
    <t>nba game schedule 2023</t>
  </si>
  <si>
    <t>nba predictions odds shark</t>
  </si>
  <si>
    <t>nba resultat</t>
  </si>
  <si>
    <t>fox sports nba scores</t>
  </si>
  <si>
    <t>ats nba picks</t>
  </si>
  <si>
    <t>nba sports daily</t>
  </si>
  <si>
    <t>nba trade news</t>
  </si>
  <si>
    <t>nba picks for tonight</t>
  </si>
  <si>
    <t>all nba scores for tonight</t>
  </si>
  <si>
    <t>nba games today channel</t>
  </si>
  <si>
    <t>nba finals schedule 2021</t>
  </si>
  <si>
    <t>nba preseason picks</t>
  </si>
  <si>
    <t>who are playing in the nba tonight</t>
  </si>
  <si>
    <t>nba summer scores</t>
  </si>
  <si>
    <t>nba winner predictions today</t>
  </si>
  <si>
    <t>nba schedule.today</t>
  </si>
  <si>
    <t>nba tv schedule canada</t>
  </si>
  <si>
    <t>game scores nba</t>
  </si>
  <si>
    <t>nba scores from yesterday</t>
  </si>
  <si>
    <t>nba live today full game free</t>
  </si>
  <si>
    <t>nba philadelphia 76ers schedule</t>
  </si>
  <si>
    <t>nba games april 2 2026 predictions odds</t>
  </si>
  <si>
    <t>nba games today on tv</t>
  </si>
  <si>
    <t>nba scores and schedule</t>
  </si>
  <si>
    <t>free picks and parlays</t>
  </si>
  <si>
    <t>nba fanduel picks</t>
  </si>
  <si>
    <t>nba free picks and parlays</t>
  </si>
  <si>
    <t>covers nba scores</t>
  </si>
  <si>
    <t>nba schedule today live playoffs</t>
  </si>
  <si>
    <t>nba 2021 schedule</t>
  </si>
  <si>
    <t>Sports betting; Statistics</t>
  </si>
  <si>
    <t>live nba score</t>
  </si>
  <si>
    <t>nba schedule today live</t>
  </si>
  <si>
    <t>usa nba scores</t>
  </si>
  <si>
    <t>nba scores and odds</t>
  </si>
  <si>
    <t>nba games tonight.</t>
  </si>
  <si>
    <t>nba games yesterday scores</t>
  </si>
  <si>
    <t>nba basketball predictions under over today</t>
  </si>
  <si>
    <t>nba tv schedule</t>
  </si>
  <si>
    <t>highest nba score in a game</t>
  </si>
  <si>
    <t>nba preseason scores</t>
  </si>
  <si>
    <t>nba games march 9 2026 schedule odds</t>
  </si>
  <si>
    <t>nba-scores</t>
  </si>
  <si>
    <t>tonight's nba games predictions</t>
  </si>
  <si>
    <t>nba score and standing</t>
  </si>
  <si>
    <t>draftkings nba dfs picks</t>
  </si>
  <si>
    <t>nba preseason predictions</t>
  </si>
  <si>
    <t>nba scores lakers</t>
  </si>
  <si>
    <t>espn scores</t>
  </si>
  <si>
    <t>nba games picks today</t>
  </si>
  <si>
    <t>score nba</t>
  </si>
  <si>
    <t>nba game time</t>
  </si>
  <si>
    <t>nba final score today</t>
  </si>
  <si>
    <t>basketball game playing tonight</t>
  </si>
  <si>
    <t>nba scores lineup</t>
  </si>
  <si>
    <t>nba picks 2024</t>
  </si>
  <si>
    <t>covers matchups</t>
  </si>
  <si>
    <t>nba schedule 2022-23</t>
  </si>
  <si>
    <t>scores and odds</t>
  </si>
  <si>
    <t>nba games march 14 2026 schedule</t>
  </si>
  <si>
    <t>nba live scores</t>
  </si>
  <si>
    <t>nba point spreads picks</t>
  </si>
  <si>
    <t>nba player prop predictions tonight</t>
  </si>
  <si>
    <t>summer league scores</t>
  </si>
  <si>
    <t>nba odds today predictions</t>
  </si>
  <si>
    <t>www nba score</t>
  </si>
  <si>
    <t>nba who's playing tonight</t>
  </si>
  <si>
    <t>top 5 nba draft picks 2025</t>
  </si>
  <si>
    <t>nba game picks today</t>
  </si>
  <si>
    <t>who playing in the nba tonight</t>
  </si>
  <si>
    <t>sport center nba scores</t>
  </si>
  <si>
    <t>nba tuesday predictions</t>
  </si>
  <si>
    <t>when does nba season start</t>
  </si>
  <si>
    <t>nba finals picks</t>
  </si>
  <si>
    <t>christmas day nba schedule</t>
  </si>
  <si>
    <t>nhl picks and parlays nba</t>
  </si>
  <si>
    <t>nba suns schedule</t>
  </si>
  <si>
    <t>nba free agent predictions</t>
  </si>
  <si>
    <t>nba all-star game schedule</t>
  </si>
  <si>
    <t>nba fixture schedule</t>
  </si>
  <si>
    <t>nba player props predictions april 3 2026</t>
  </si>
  <si>
    <t>nba scores lines</t>
  </si>
  <si>
    <t>oddstrader nba picks</t>
  </si>
  <si>
    <t>free nba predictions over under</t>
  </si>
  <si>
    <t>nba player props march 31 2026 best picks</t>
  </si>
  <si>
    <t>nba scores app</t>
  </si>
  <si>
    <t>nba picks tonite</t>
  </si>
  <si>
    <t>nba restart schedule</t>
  </si>
  <si>
    <t>nba 2026 schedule release date</t>
  </si>
  <si>
    <t>nba playoff schedule 2021</t>
  </si>
  <si>
    <t>nba basketball scores from last night</t>
  </si>
  <si>
    <t>nba playoffs today scores</t>
  </si>
  <si>
    <t>nba schedule march 16 2026 games</t>
  </si>
  <si>
    <t>nba schedule preseason</t>
  </si>
  <si>
    <t>nba games april 3 2026 predictions odds</t>
  </si>
  <si>
    <t>ai nba picks tonight</t>
  </si>
  <si>
    <t>best nba spread picks today</t>
  </si>
  <si>
    <t>nba parlay predictions</t>
  </si>
  <si>
    <t>espn nba basketball schedule</t>
  </si>
  <si>
    <t>nba play in tournament schedule</t>
  </si>
  <si>
    <t>nba expert picks today</t>
  </si>
  <si>
    <t>nba prop picks today</t>
  </si>
  <si>
    <t>basketball nba scores</t>
  </si>
  <si>
    <t>nba scores championship</t>
  </si>
  <si>
    <t>2021 nba championship predictions</t>
  </si>
  <si>
    <t>nba scores sunday</t>
  </si>
  <si>
    <t>nba schedule directv</t>
  </si>
  <si>
    <t>nba play-in tournament schedule</t>
  </si>
  <si>
    <t>score on the nba</t>
  </si>
  <si>
    <t>nba picks.</t>
  </si>
  <si>
    <t>nba basketball game schedule</t>
  </si>
  <si>
    <t>2023 nba playoff schedule</t>
  </si>
  <si>
    <t>nba games today march 3 2026 schedule</t>
  </si>
  <si>
    <t>today's nba scores</t>
  </si>
  <si>
    <t>nba preseason games predictions</t>
  </si>
  <si>
    <t>2024 to 2025 nba schedule</t>
  </si>
  <si>
    <t>nba schedule.</t>
  </si>
  <si>
    <t>nba basketball score yesterday</t>
  </si>
  <si>
    <t>nba summer league schedule</t>
  </si>
  <si>
    <t>nba free picks odds</t>
  </si>
  <si>
    <t>over under nba picks</t>
  </si>
  <si>
    <t>nba league pass schedule 2021</t>
  </si>
  <si>
    <t>2021 nba playoff predictions</t>
  </si>
  <si>
    <t>nba games march 6 2026 schedule</t>
  </si>
  <si>
    <t>nba game scores from last night</t>
  </si>
  <si>
    <t>worst nba number 1 picks</t>
  </si>
  <si>
    <t>usa nba predictions today</t>
  </si>
  <si>
    <t>nba draft picks by team</t>
  </si>
  <si>
    <t>nba final score</t>
  </si>
  <si>
    <t>fanduel picks nba</t>
  </si>
  <si>
    <t>possible nba draft picks 2024</t>
  </si>
  <si>
    <t>nba news scores</t>
  </si>
  <si>
    <t>odd shark nba picks</t>
  </si>
  <si>
    <t>nba g league scores</t>
  </si>
  <si>
    <t>mitch nba picks</t>
  </si>
  <si>
    <t>nba schedule tonight playoffs</t>
  </si>
  <si>
    <t>tonight's nba predictions</t>
  </si>
  <si>
    <t>nba predictions 2021 today</t>
  </si>
  <si>
    <t>nba playoffs 2022 schedule</t>
  </si>
  <si>
    <t>free nba basketball predictions</t>
  </si>
  <si>
    <t>2020-2021 nba schedule release date</t>
  </si>
  <si>
    <t>nba predictions for tomorrow</t>
  </si>
  <si>
    <t>nba scores and</t>
  </si>
  <si>
    <t>nba predictions 2024</t>
  </si>
  <si>
    <t>score nba playoff game tonight</t>
  </si>
  <si>
    <t>nba playoff schedule tv</t>
  </si>
  <si>
    <t>nba play schedule</t>
  </si>
  <si>
    <t>2025 nba draft predictions</t>
  </si>
  <si>
    <t>nba consensus picks covers</t>
  </si>
  <si>
    <t>2024 draft picks nba</t>
  </si>
  <si>
    <t>tuesday night nba scores</t>
  </si>
  <si>
    <t>summer league nba live score</t>
  </si>
  <si>
    <t>nba public picks</t>
  </si>
  <si>
    <t>predictions for tonight's nba games</t>
  </si>
  <si>
    <t>nba basketball scores and schedule</t>
  </si>
  <si>
    <t>nba parlays today predictions</t>
  </si>
  <si>
    <t>nba scores table</t>
  </si>
  <si>
    <t>nba parlay picks for tonight</t>
  </si>
  <si>
    <t>nba odds and picks</t>
  </si>
  <si>
    <t>tonight's nba scores</t>
  </si>
  <si>
    <t>nba finals betting predictions</t>
  </si>
  <si>
    <t>nba schedule today 2021</t>
  </si>
  <si>
    <t>nba picks against spread</t>
  </si>
  <si>
    <t>scores nba scores</t>
  </si>
  <si>
    <t>nba free predictions</t>
  </si>
  <si>
    <t>miami heat nba schedule 2024</t>
  </si>
  <si>
    <t>nba all star 2021 schedule</t>
  </si>
  <si>
    <t>nba standings playoff schedule</t>
  </si>
  <si>
    <t>average nba score in the 90s</t>
  </si>
  <si>
    <t>nba upset picks today</t>
  </si>
  <si>
    <t>nba finals predictions 2024</t>
  </si>
  <si>
    <t>nba series predictions</t>
  </si>
  <si>
    <t>nba predictions 2023</t>
  </si>
  <si>
    <t>best nba picks for tonight</t>
  </si>
  <si>
    <t>nba 2k24 cover athlete predictions</t>
  </si>
  <si>
    <t>nba playoffs 2022 predictions</t>
  </si>
  <si>
    <t>last night scores nba</t>
  </si>
  <si>
    <t>cbs nba picks for tonight</t>
  </si>
  <si>
    <t>las vegas nba scores</t>
  </si>
  <si>
    <t>strength of schedule nba</t>
  </si>
  <si>
    <t>nba schedule april 3 2026 games odds</t>
  </si>
  <si>
    <t>nba games score today</t>
  </si>
  <si>
    <t>most accurate nba predictions</t>
  </si>
  <si>
    <t>nba fantasy playoff schedule</t>
  </si>
  <si>
    <t>nba parlay picks tomorrow</t>
  </si>
  <si>
    <t>oddshark nba picks</t>
  </si>
  <si>
    <t>nba tonight schedule</t>
  </si>
  <si>
    <t>nba all star game score prediction</t>
  </si>
  <si>
    <t>nba game schedule today</t>
  </si>
  <si>
    <t>espn nba scores tonight</t>
  </si>
  <si>
    <t>nba predictions 2021</t>
  </si>
  <si>
    <t>2024 nba playoff schedule</t>
  </si>
  <si>
    <t>the nba schedule for tonight</t>
  </si>
  <si>
    <t>nba last night scores</t>
  </si>
  <si>
    <t>nba scores warriors</t>
  </si>
  <si>
    <t>nba free picks and predictions</t>
  </si>
  <si>
    <t>nba championship predictions 2022</t>
  </si>
  <si>
    <t>nba prediction score</t>
  </si>
  <si>
    <t>nba basketball picks</t>
  </si>
  <si>
    <t>nba games tonight schedule</t>
  </si>
  <si>
    <t>nba scores tonight games</t>
  </si>
  <si>
    <t>nba playoff schedule 2022</t>
  </si>
  <si>
    <t>friday nba scores</t>
  </si>
  <si>
    <t>parlay picks today nba</t>
  </si>
  <si>
    <t>cbs sports expert picks nba</t>
  </si>
  <si>
    <t>nba scores today 2021</t>
  </si>
  <si>
    <t>nba summer league betting predictions</t>
  </si>
  <si>
    <t>top draft picks 2023 nba</t>
  </si>
  <si>
    <t>nba in season tournament schedule</t>
  </si>
  <si>
    <t>nba summer league picks</t>
  </si>
  <si>
    <t>nba score prediction</t>
  </si>
  <si>
    <t>predictions for nba games tonight</t>
  </si>
  <si>
    <t>2020 and 2021 nba schedule</t>
  </si>
  <si>
    <t>nba schedule lineup</t>
  </si>
  <si>
    <t>nba schedule release 2022</t>
  </si>
  <si>
    <t>nba 2022 finals schedule</t>
  </si>
  <si>
    <t>nba player props picks today</t>
  </si>
  <si>
    <t>nba double double predictions today</t>
  </si>
  <si>
    <t>nba today scores</t>
  </si>
  <si>
    <t>nba score for last night</t>
  </si>
  <si>
    <t>nba cbs expert picks</t>
  </si>
  <si>
    <t>nba lakers schedule 2021</t>
  </si>
  <si>
    <t>nba schedule today tomorrow</t>
  </si>
  <si>
    <t>nba game schedule tonight</t>
  </si>
  <si>
    <t>nba games march 27 2026 schedule odds</t>
  </si>
  <si>
    <t>picks nba today</t>
  </si>
  <si>
    <t>nba expert picks tonight</t>
  </si>
  <si>
    <t>nba player props april 2 2026 predictions stats</t>
  </si>
  <si>
    <t>cbs sports expert nba predictions</t>
  </si>
  <si>
    <t>nba playoffs bracket 2024 predictions</t>
  </si>
  <si>
    <t>nba summer league 2017 schedule</t>
  </si>
  <si>
    <t>nba picks discord</t>
  </si>
  <si>
    <t>espn nba schedule</t>
  </si>
  <si>
    <t>nba scores today 2022 today</t>
  </si>
  <si>
    <t>nba strength of schedule</t>
  </si>
  <si>
    <t>usa today nba picks</t>
  </si>
  <si>
    <t>nba matchup predictions</t>
  </si>
  <si>
    <t>google nba schedule</t>
  </si>
  <si>
    <t>free nba parlay picks</t>
  </si>
  <si>
    <t>2nd overall picks nba 2023</t>
  </si>
  <si>
    <t>nba all star schedule tonight</t>
  </si>
  <si>
    <t>free nba prop picks</t>
  </si>
  <si>
    <t>highest score in nba</t>
  </si>
  <si>
    <t>nba scores live feed</t>
  </si>
  <si>
    <t>nba schedule bracket</t>
  </si>
  <si>
    <t>nba 2023 playoff schedule</t>
  </si>
  <si>
    <t>guaranteed nba picks for tonight twitter</t>
  </si>
  <si>
    <t>nba second round draft picks</t>
  </si>
  <si>
    <t>nba game and schedule</t>
  </si>
  <si>
    <t>top draft picks 2024 nba</t>
  </si>
  <si>
    <t>nba finals basketball score</t>
  </si>
  <si>
    <t>nba moneyline picks today</t>
  </si>
  <si>
    <t>nba playoffs schedule 2024</t>
  </si>
  <si>
    <t>nba final scores</t>
  </si>
  <si>
    <t>nba scores summer</t>
  </si>
  <si>
    <t>nba games march 31 2026 schedule odds</t>
  </si>
  <si>
    <t>nba schedule clippers</t>
  </si>
  <si>
    <t>nba scores real time</t>
  </si>
  <si>
    <t>nba draft 2022 picks</t>
  </si>
  <si>
    <t>nba picks espn</t>
  </si>
  <si>
    <t>nba score for today's game</t>
  </si>
  <si>
    <t>lottery picks nba</t>
  </si>
  <si>
    <t>nba schedule one sports</t>
  </si>
  <si>
    <t>nba games today april 9 2026 predictions odds</t>
  </si>
  <si>
    <t>nba schedule april 5 2026 odds matchups</t>
  </si>
  <si>
    <t>nba score points</t>
  </si>
  <si>
    <t>nba games schedule today</t>
  </si>
  <si>
    <t>nba awards predictions</t>
  </si>
  <si>
    <t>2022 nba draft picks by team</t>
  </si>
  <si>
    <t>guaranteed nba picks for tonight cbs</t>
  </si>
  <si>
    <t>money line predictions nba</t>
  </si>
  <si>
    <t>nba pick em predictions</t>
  </si>
  <si>
    <t>cbs expert picks nba</t>
  </si>
  <si>
    <t>nba #1 picks</t>
  </si>
  <si>
    <t>nba scores yesterday lakers</t>
  </si>
  <si>
    <t>nba all-star score</t>
  </si>
  <si>
    <t>nba scores - google search</t>
  </si>
  <si>
    <t>nba scores today 2020</t>
  </si>
  <si>
    <t>the nba scores from last night</t>
  </si>
  <si>
    <t>nba all star 2025 schedule</t>
  </si>
  <si>
    <t>computer predictions nba</t>
  </si>
  <si>
    <t>tomorrow nba predictions</t>
  </si>
  <si>
    <t>sports betting picks nba</t>
  </si>
  <si>
    <t>nba today score</t>
  </si>
  <si>
    <t>nba finals tv schedule</t>
  </si>
  <si>
    <t>player points predictions nba</t>
  </si>
  <si>
    <t>ai nba picks</t>
  </si>
  <si>
    <t>2023 nba schedule</t>
  </si>
  <si>
    <t>nba conference finals schedule</t>
  </si>
  <si>
    <t>nba season schedule 2022-23</t>
  </si>
  <si>
    <t>nba playoff game schedule</t>
  </si>
  <si>
    <t>guaranteed nba picks free</t>
  </si>
  <si>
    <t>nba celebrity game box score</t>
  </si>
  <si>
    <t>2024 nba playoff predictions</t>
  </si>
  <si>
    <t>nba games march 1 2026 schedule odds</t>
  </si>
  <si>
    <t>nba summer league games scores</t>
  </si>
  <si>
    <t>nba summer league predictions tomorrow</t>
  </si>
  <si>
    <t>nba games today march 30 2026 odds picks</t>
  </si>
  <si>
    <t>nba bubble predictions</t>
  </si>
  <si>
    <t>nba predictions 538</t>
  </si>
  <si>
    <t>nba sports predictions</t>
  </si>
  <si>
    <t>nba dfs picks</t>
  </si>
  <si>
    <t>tonights nba predictions</t>
  </si>
  <si>
    <t>nba a scores</t>
  </si>
  <si>
    <t>nba predictions for tonight's games</t>
  </si>
  <si>
    <t>nba schedule 2024 lakers</t>
  </si>
  <si>
    <t>nba betting predictions tonight</t>
  </si>
  <si>
    <t>nba 2023 season schedule</t>
  </si>
  <si>
    <t>nba scores and standing</t>
  </si>
  <si>
    <t>nba scores las vegas</t>
  </si>
  <si>
    <t>nba nfl scores</t>
  </si>
  <si>
    <t>game score today nba</t>
  </si>
  <si>
    <t>2025 nba draft picks by team</t>
  </si>
  <si>
    <t>1996 nba draft picks</t>
  </si>
  <si>
    <t>nba schedule espn</t>
  </si>
  <si>
    <t>nba expert picks over under</t>
  </si>
  <si>
    <t>nba game predictions for tonight</t>
  </si>
  <si>
    <t>nba scores and standings today</t>
  </si>
  <si>
    <t>nba spread picks</t>
  </si>
  <si>
    <t>nba 2022 draft picks by team</t>
  </si>
  <si>
    <t>nba playoff scores tonight</t>
  </si>
  <si>
    <t>nba betting lines picks</t>
  </si>
  <si>
    <t>nba championship predictions</t>
  </si>
  <si>
    <t>today's nba schedule</t>
  </si>
  <si>
    <t>prop picks nba</t>
  </si>
  <si>
    <t>nba 2026 schedule</t>
  </si>
  <si>
    <t>nba mvp predictions</t>
  </si>
  <si>
    <t>nba game score</t>
  </si>
  <si>
    <t>nba cbs score</t>
  </si>
  <si>
    <t>nba scores and updates</t>
  </si>
  <si>
    <t>nba picks for today</t>
  </si>
  <si>
    <t>nba scores all time</t>
  </si>
  <si>
    <t>nba playoffs schedule 2023</t>
  </si>
  <si>
    <t>nba playoff tv schedule</t>
  </si>
  <si>
    <t>2020 playoff predictions nba</t>
  </si>
  <si>
    <t>nba latest scores</t>
  </si>
  <si>
    <t>tnt nba schedule</t>
  </si>
  <si>
    <t>nba professional picks</t>
  </si>
  <si>
    <t>nba preseason schedule today</t>
  </si>
  <si>
    <t>scores from the nba last night</t>
  </si>
  <si>
    <t>nba picks and parlay</t>
  </si>
  <si>
    <t>nba game playoff schedule</t>
  </si>
  <si>
    <t>nba predictions score</t>
  </si>
  <si>
    <t>game predictions nba</t>
  </si>
  <si>
    <t>live scores nba</t>
  </si>
  <si>
    <t>scores last night nba</t>
  </si>
  <si>
    <t>nba picks pickdawgz</t>
  </si>
  <si>
    <t>latest nba scores</t>
  </si>
  <si>
    <t>0, 0, 0, 0, 0, 0, 0, 1, 0, 1, 4, 15, 0, 0, 0, 0, 0, 0, 0, 1, 0, 0, 0, 25</t>
  </si>
  <si>
    <t>nba predictions tomorrow night</t>
  </si>
  <si>
    <t>nba betting tips and predictions</t>
  </si>
  <si>
    <t>nba playoff picks today</t>
  </si>
  <si>
    <t>nba scores live stream</t>
  </si>
  <si>
    <t>nba award predictions 2023</t>
  </si>
  <si>
    <t>nba free picks today</t>
  </si>
  <si>
    <t>nba basketball predictions today</t>
  </si>
  <si>
    <t>nba scores and schedule 2023</t>
  </si>
  <si>
    <t>nba final schedule today</t>
  </si>
  <si>
    <t>yahoo nba scores</t>
  </si>
  <si>
    <t>nba online score</t>
  </si>
  <si>
    <t>nba summer league scores yesterday</t>
  </si>
  <si>
    <t>nba picks and parlays tonight</t>
  </si>
  <si>
    <t>nba scores today game</t>
  </si>
  <si>
    <t>si nba scores</t>
  </si>
  <si>
    <t>nba playoffs 2021 schedule</t>
  </si>
  <si>
    <t>nba games march 8 2026 schedule</t>
  </si>
  <si>
    <t>nba first basket picks</t>
  </si>
  <si>
    <t>nba basketball score from last night</t>
  </si>
  <si>
    <t>nba free agency predictions 2023</t>
  </si>
  <si>
    <t>experts picks nba</t>
  </si>
  <si>
    <t>nba scores 2025</t>
  </si>
  <si>
    <t>nba finals schedule today</t>
  </si>
  <si>
    <t>2019-2020 nba schedule release date</t>
  </si>
  <si>
    <t>free nba picks and parlays</t>
  </si>
  <si>
    <t>nba 55th overall picks</t>
  </si>
  <si>
    <t>game schedule nba</t>
  </si>
  <si>
    <t>give me the nba schedule for today</t>
  </si>
  <si>
    <t>nba preseason schedule 2020</t>
  </si>
  <si>
    <t>nba all star schedule</t>
  </si>
  <si>
    <t>nba g league schedule</t>
  </si>
  <si>
    <t>the nba scores last night</t>
  </si>
  <si>
    <t>scores around the nba</t>
  </si>
  <si>
    <t>nba prop picks</t>
  </si>
  <si>
    <t>nba schedule nba schedule</t>
  </si>
  <si>
    <t>nba playoffs bracket 2022 predictions</t>
  </si>
  <si>
    <t>oldest player to score 50 points nba</t>
  </si>
  <si>
    <t>top 5 nba picks 2024</t>
  </si>
  <si>
    <t>nba schedule christmas day</t>
  </si>
  <si>
    <t>nba playoffs tv schedule</t>
  </si>
  <si>
    <t>nba scores 2020</t>
  </si>
  <si>
    <t>cbs nba experts picks</t>
  </si>
  <si>
    <t>nba scores box</t>
  </si>
  <si>
    <t>tnt schedule nba</t>
  </si>
  <si>
    <t>parlay picks for nba tonight</t>
  </si>
  <si>
    <t>nba scores leaders</t>
  </si>
  <si>
    <t>nba live scores espn</t>
  </si>
  <si>
    <t>nba schedule 2024-2025</t>
  </si>
  <si>
    <t>nba games schedule march 2 2026</t>
  </si>
  <si>
    <t>nba scores today lakers</t>
  </si>
  <si>
    <t>nba same game parlay picks today</t>
  </si>
  <si>
    <t>best parlay picks today, nba</t>
  </si>
  <si>
    <t>wise picks nba</t>
  </si>
  <si>
    <t>nba finals schedule 2025</t>
  </si>
  <si>
    <t>nba live scores tonight</t>
  </si>
  <si>
    <t>nba 2025-26 schedule</t>
  </si>
  <si>
    <t>best nba underdog picks today</t>
  </si>
  <si>
    <t>nba prediction scores</t>
  </si>
  <si>
    <t>2025 nba draft picks</t>
  </si>
  <si>
    <t>nba lottery picks 2021</t>
  </si>
  <si>
    <t>nba basketball scores tonight</t>
  </si>
  <si>
    <t>nba updated scores</t>
  </si>
  <si>
    <t>nba 2nd round picks</t>
  </si>
  <si>
    <t>nba summer league picks today</t>
  </si>
  <si>
    <t>nba preseason schedule 2023</t>
  </si>
  <si>
    <t>scores for nba basketball</t>
  </si>
  <si>
    <t>nba fantasy picks</t>
  </si>
  <si>
    <t>nba games today april 3 2026 predictions odds</t>
  </si>
  <si>
    <t>nba betting predictions today</t>
  </si>
  <si>
    <t>highest nba game score</t>
  </si>
  <si>
    <t>nba all star 2023 predictions</t>
  </si>
  <si>
    <t>what's the score of the nba game tonight</t>
  </si>
  <si>
    <t>nba summer leauge scores</t>
  </si>
  <si>
    <t>2021 nba schedule release date</t>
  </si>
  <si>
    <t>nba television schedule today</t>
  </si>
  <si>
    <t>live score nba</t>
  </si>
  <si>
    <t>nba 2021-22 season schedule</t>
  </si>
  <si>
    <t>nba game predictions today</t>
  </si>
  <si>
    <t>nba 2022-23 schedule</t>
  </si>
  <si>
    <t>nba finals game schedule 2016</t>
  </si>
  <si>
    <t>nba schedule and channels</t>
  </si>
  <si>
    <t>nba celtics schedule</t>
  </si>
  <si>
    <t>nba games april 6 2026 predictions</t>
  </si>
  <si>
    <t>nba season schedule</t>
  </si>
  <si>
    <t>cbssports nba scores</t>
  </si>
  <si>
    <t>nba espn schedule</t>
  </si>
  <si>
    <t>nba picks tomorrow</t>
  </si>
  <si>
    <t>nba finals schedule 2017</t>
  </si>
  <si>
    <t>nba final schedule 2024</t>
  </si>
  <si>
    <t>nba picks for tomorrow</t>
  </si>
  <si>
    <t>nba basketball picks and parlays</t>
  </si>
  <si>
    <t>538 nba predictions 2024</t>
  </si>
  <si>
    <t>nba totals predictions</t>
  </si>
  <si>
    <t>nba predictions today picks and parlays</t>
  </si>
  <si>
    <t>nba playoff schedule 2020</t>
  </si>
  <si>
    <t>nba full schedule</t>
  </si>
  <si>
    <t>nba schedule playoff</t>
  </si>
  <si>
    <t>nba schedule 2021 22</t>
  </si>
  <si>
    <t>last night nba game scores</t>
  </si>
  <si>
    <t>nba 2022 to 2023 schedule</t>
  </si>
  <si>
    <t>2018 nba summer league scores</t>
  </si>
  <si>
    <t>nba play in schedule</t>
  </si>
  <si>
    <t>sports nba score</t>
  </si>
  <si>
    <t>nba expert picks espn</t>
  </si>
  <si>
    <t>nba schedule 76ers</t>
  </si>
  <si>
    <t>nba 1st quarter score</t>
  </si>
  <si>
    <t>nba games april 1 2026 player props predictions</t>
  </si>
  <si>
    <t>nba scores and games</t>
  </si>
  <si>
    <t>best second round picks nba</t>
  </si>
  <si>
    <t>nba tv schedule today</t>
  </si>
  <si>
    <t>nba championship predictions 2023</t>
  </si>
  <si>
    <t>nba scores and update</t>
  </si>
  <si>
    <t>best free picks today nba</t>
  </si>
  <si>
    <t>las vegas nba score</t>
  </si>
  <si>
    <t>nba playoff bracket predictions</t>
  </si>
  <si>
    <t>nba esports battle scores</t>
  </si>
  <si>
    <t>yahoo sports nba scores</t>
  </si>
  <si>
    <t>nba games april 22 2026 schedule</t>
  </si>
  <si>
    <t>nba top scores of all time</t>
  </si>
  <si>
    <t>today's nba predictions</t>
  </si>
  <si>
    <t>pickswise nba predictions</t>
  </si>
  <si>
    <t>nba players points predictions today</t>
  </si>
  <si>
    <t>top nba picks today</t>
  </si>
  <si>
    <t>nba match score</t>
  </si>
  <si>
    <t>nba future draft picks</t>
  </si>
  <si>
    <t>picks for tonight nba</t>
  </si>
  <si>
    <t>nba games score tonight</t>
  </si>
  <si>
    <t>nba best predictions today</t>
  </si>
  <si>
    <t>fox nba scores</t>
  </si>
  <si>
    <t>nba scores playoffs 2020</t>
  </si>
  <si>
    <t>nba standings schedule</t>
  </si>
  <si>
    <t>the best nba picks for today</t>
  </si>
  <si>
    <t>nba over under picks</t>
  </si>
  <si>
    <t>nba highlights scores</t>
  </si>
  <si>
    <t>tonight nba game score</t>
  </si>
  <si>
    <t>nba schedule today 2021 philippine time</t>
  </si>
  <si>
    <t>nba score sheet</t>
  </si>
  <si>
    <t>nba finals predictions 2023</t>
  </si>
  <si>
    <t>philly nba score</t>
  </si>
  <si>
    <t>nba all star weekend tv schedule</t>
  </si>
  <si>
    <t>best picks today nba</t>
  </si>
  <si>
    <t>basketball scores nba playoffs</t>
  </si>
  <si>
    <t>nba score rotowire</t>
  </si>
  <si>
    <t>nba player stats predictions tonight</t>
  </si>
  <si>
    <t>free nba parlay picks today</t>
  </si>
  <si>
    <t>inside the nba on espn schedule</t>
  </si>
  <si>
    <t>today nba free picks and parlays</t>
  </si>
  <si>
    <t>nba games today score update</t>
  </si>
  <si>
    <t>nba games tonight april 10 2026 predictions</t>
  </si>
  <si>
    <t>nba 2024 25 schedule release date</t>
  </si>
  <si>
    <t>nba basketball scores yesterday</t>
  </si>
  <si>
    <t>free nba picks for tonight</t>
  </si>
  <si>
    <t>nba standings 2023 playoffs schedule</t>
  </si>
  <si>
    <t>nba all scores</t>
  </si>
  <si>
    <t>nba final scores from last night</t>
  </si>
  <si>
    <t>consensus picks nba</t>
  </si>
  <si>
    <t>nba summer league picks and parlays</t>
  </si>
  <si>
    <t>nba parlay predictions today</t>
  </si>
  <si>
    <t>nba basketball scores</t>
  </si>
  <si>
    <t>nba scores today live</t>
  </si>
  <si>
    <t>nba picks pickwise</t>
  </si>
  <si>
    <t>free nba basketball picks</t>
  </si>
  <si>
    <t>cbs nba expert picks tonight</t>
  </si>
  <si>
    <t>nba money line predictions</t>
  </si>
  <si>
    <t>free nba sports picks</t>
  </si>
  <si>
    <t>playoffs schedule nba 2023</t>
  </si>
  <si>
    <t>nba score from last night</t>
  </si>
  <si>
    <t>nba eastern conference predictions</t>
  </si>
  <si>
    <t>nba schedule 2023-24</t>
  </si>
  <si>
    <t>nba betting picks tonight</t>
  </si>
  <si>
    <t>todays nba predictions</t>
  </si>
  <si>
    <t>nba playoff schedule tree</t>
  </si>
  <si>
    <t>first basket nba picks</t>
  </si>
  <si>
    <t>nba scoreboard schedule</t>
  </si>
  <si>
    <t>nba spread picks today</t>
  </si>
  <si>
    <t>nba draft picks 2020</t>
  </si>
  <si>
    <t>dimers nba picks</t>
  </si>
  <si>
    <t>nba scores from today</t>
  </si>
  <si>
    <t>nba schedule 2019 20</t>
  </si>
  <si>
    <t>nba esports battle live score</t>
  </si>
  <si>
    <t>sportskeeda nba predictions</t>
  </si>
  <si>
    <t>odds shark nba picks</t>
  </si>
  <si>
    <t>nba schedule 23-24</t>
  </si>
  <si>
    <t>nba 2k league schedule</t>
  </si>
  <si>
    <t>nba basketball finals schedule</t>
  </si>
  <si>
    <t>nba schedule 2024-25</t>
  </si>
  <si>
    <t>nba finals 2017 schedule</t>
  </si>
  <si>
    <t>nba scores east and west</t>
  </si>
  <si>
    <t>picks for today nba</t>
  </si>
  <si>
    <t>nba 2024 to 2025 schedule</t>
  </si>
  <si>
    <t>nba preseason schedule 2021</t>
  </si>
  <si>
    <t>nba award predictions</t>
  </si>
  <si>
    <t>nba predictions tomorrow</t>
  </si>
  <si>
    <t>nba player points predictions tonight</t>
  </si>
  <si>
    <t>playoffs nba schedule</t>
  </si>
  <si>
    <t>nba accurate predictions</t>
  </si>
  <si>
    <t>nba top picks today</t>
  </si>
  <si>
    <t>nba draft picks 2024</t>
  </si>
  <si>
    <t>nba score live stream</t>
  </si>
  <si>
    <t>nba playoff scores 2020</t>
  </si>
  <si>
    <t>nba score yesterday</t>
  </si>
  <si>
    <t>nba expert picks against the spread</t>
  </si>
  <si>
    <t>top 10 nba draft picks 2024</t>
  </si>
  <si>
    <t>nba 2nd round playoff schedule</t>
  </si>
  <si>
    <t>nba preseason tv schedule</t>
  </si>
  <si>
    <t>nba scores today 2022</t>
  </si>
  <si>
    <t>2021 and 2022 nba schedule</t>
  </si>
  <si>
    <t>nbc nba scores</t>
  </si>
  <si>
    <t>nba offseason predictions</t>
  </si>
  <si>
    <t>nba sports betting picks</t>
  </si>
  <si>
    <t>nba picks 2020</t>
  </si>
  <si>
    <t>nba schedule march 1 2026</t>
  </si>
  <si>
    <t>what's the nba schedule for tonight</t>
  </si>
  <si>
    <t>nba scores today lakers vs clippers</t>
  </si>
  <si>
    <t>tonight's nba schedule</t>
  </si>
  <si>
    <t>potential nba draft picks 2025</t>
  </si>
  <si>
    <t>nba tv schedule tonight</t>
  </si>
  <si>
    <t>nba playoffs 2021 scores</t>
  </si>
  <si>
    <t>average nba score</t>
  </si>
  <si>
    <t>expert nba picks today</t>
  </si>
  <si>
    <t>cba nba picks</t>
  </si>
  <si>
    <t>nba playoff schedule 2025</t>
  </si>
  <si>
    <t>show me nba scores</t>
  </si>
  <si>
    <t>nba scores right now</t>
  </si>
  <si>
    <t>nba tv channel schedule today</t>
  </si>
  <si>
    <t>nba score injury today</t>
  </si>
  <si>
    <t>nba schedule lakers 2021</t>
  </si>
  <si>
    <t>nba standings predictions 2023</t>
  </si>
  <si>
    <t>nba game scores</t>
  </si>
  <si>
    <t>good nba picks tonight</t>
  </si>
  <si>
    <t>parlay nba predictions</t>
  </si>
  <si>
    <t>nba 2020 schedule</t>
  </si>
  <si>
    <t>nba fantasy best picks</t>
  </si>
  <si>
    <t>nba 2022 schedule</t>
  </si>
  <si>
    <t>nba scores 76ers</t>
  </si>
  <si>
    <t>nba number 1 picks</t>
  </si>
  <si>
    <t>game score nba</t>
  </si>
  <si>
    <t>nba television schedule</t>
  </si>
  <si>
    <t>best picks for nba today</t>
  </si>
  <si>
    <t>nba schedule 2024 25</t>
  </si>
  <si>
    <t>nba schedule april 10 2026 games</t>
  </si>
  <si>
    <t>nba predictions against the spread</t>
  </si>
  <si>
    <t>nba over and under picks</t>
  </si>
  <si>
    <t>nba today live score</t>
  </si>
  <si>
    <t>2020 nba playoff predictions</t>
  </si>
  <si>
    <t>nba pick predictions</t>
  </si>
  <si>
    <t>new nba schedule</t>
  </si>
  <si>
    <t>nba playoff predictions</t>
  </si>
  <si>
    <t>nba score for tonight</t>
  </si>
  <si>
    <t>nba strength of schedule remaining</t>
  </si>
  <si>
    <t>nba league pass schedule</t>
  </si>
  <si>
    <t>google nba scores</t>
  </si>
  <si>
    <t>nba christmas day schedule</t>
  </si>
  <si>
    <t>nba lines predictions</t>
  </si>
  <si>
    <t>nba dk picks</t>
  </si>
  <si>
    <t>nba finals scores</t>
  </si>
  <si>
    <t>nba schedule playoffs 2024</t>
  </si>
  <si>
    <t>nba score from tonight</t>
  </si>
  <si>
    <t>nba 2025 draft picks</t>
  </si>
  <si>
    <t>nba playoffs predictions 2021</t>
  </si>
  <si>
    <t>nba scores golden state warriors</t>
  </si>
  <si>
    <t>picks nba</t>
  </si>
  <si>
    <t>nba first half predictions</t>
  </si>
  <si>
    <t>nba scores yesterday games</t>
  </si>
  <si>
    <t>nba player props predictions</t>
  </si>
  <si>
    <t>nba player predictions</t>
  </si>
  <si>
    <t>nba predictions simulator</t>
  </si>
  <si>
    <t>nba game predictions for today</t>
  </si>
  <si>
    <t>nba games march 16 2026 schedule</t>
  </si>
  <si>
    <t>best picks for nba tonight</t>
  </si>
  <si>
    <t>nba players predictions</t>
  </si>
  <si>
    <t>top 5 draft picks 2025 nba</t>
  </si>
  <si>
    <t>nba all-star weekend schedule</t>
  </si>
  <si>
    <t>nba 2k schedule</t>
  </si>
  <si>
    <t>nba final scores last night</t>
  </si>
  <si>
    <t>nba scores and highlights</t>
  </si>
  <si>
    <t>nba playoff schedule bracket</t>
  </si>
  <si>
    <t>dci nba picks</t>
  </si>
  <si>
    <t>nba draft picks 2021</t>
  </si>
  <si>
    <t>free parlay picks nba</t>
  </si>
  <si>
    <t>nba best picks for tonight</t>
  </si>
  <si>
    <t>nba scores and odds today</t>
  </si>
  <si>
    <t>parlay nba picks</t>
  </si>
  <si>
    <t>nba schedule 2021 season</t>
  </si>
  <si>
    <t>nba standings 2023 schedule</t>
  </si>
  <si>
    <t>nba season 2024 25 schedule release date</t>
  </si>
  <si>
    <t>espn nba scores today</t>
  </si>
  <si>
    <t>nba games today schedule march 2 2026</t>
  </si>
  <si>
    <t>nba predictions over under today</t>
  </si>
  <si>
    <t>nba summer league 2023 schedule</t>
  </si>
  <si>
    <t>nba point spread predictions today</t>
  </si>
  <si>
    <t>nba computer picks for today</t>
  </si>
  <si>
    <t>nba basketball live scores</t>
  </si>
  <si>
    <t>76ers nba schedule</t>
  </si>
  <si>
    <t>nba player props march 19 2026 predictions</t>
  </si>
  <si>
    <t>first round picks nba</t>
  </si>
  <si>
    <t>what's the nba score</t>
  </si>
  <si>
    <t>predictions for today's nba games</t>
  </si>
  <si>
    <t>nba games march 22 2026 schedule odds</t>
  </si>
  <si>
    <t>worst number 1 draft picks nba</t>
  </si>
  <si>
    <t>nba playoffs 2025 predictions</t>
  </si>
  <si>
    <t>2020 nba draft picks</t>
  </si>
  <si>
    <t>nba schedule 2016</t>
  </si>
  <si>
    <t>www nba com scores</t>
  </si>
  <si>
    <t>nba player predictions over/under</t>
  </si>
  <si>
    <t>number 1 draft picks nba</t>
  </si>
  <si>
    <t>nba previews and predictions</t>
  </si>
  <si>
    <t>free nba picks for today</t>
  </si>
  <si>
    <t>nba 2k21 event schedule</t>
  </si>
  <si>
    <t>nba scores last night games</t>
  </si>
  <si>
    <t>nba championship predictions 2020</t>
  </si>
  <si>
    <t>nba sunday schedule</t>
  </si>
  <si>
    <t>game game nba scores</t>
  </si>
  <si>
    <t>nba predictions over/under</t>
  </si>
  <si>
    <t>nba scores today 2021 playoffs</t>
  </si>
  <si>
    <t>vegas nba picks today</t>
  </si>
  <si>
    <t>what's the score of the nba game</t>
  </si>
  <si>
    <t>nba all-star 2023 schedule</t>
  </si>
  <si>
    <t>nba scores 2014</t>
  </si>
  <si>
    <t>thursday night nba scores</t>
  </si>
  <si>
    <t>nba schedule march 2 2026</t>
  </si>
  <si>
    <t>nba predictions and parlays</t>
  </si>
  <si>
    <t>nba playoffs 2020 schedule</t>
  </si>
  <si>
    <t>nba games april 7 2026 predictions odds</t>
  </si>
  <si>
    <t>nba player props march 27 2026 predictions stats</t>
  </si>
  <si>
    <t>nba scores stats</t>
  </si>
  <si>
    <t>nba picks pickswise</t>
  </si>
  <si>
    <t>top 10 nba draft picks 2025</t>
  </si>
  <si>
    <t>nba playoffs 2023 schedule</t>
  </si>
  <si>
    <t>all nba scores from last night</t>
  </si>
  <si>
    <t>nba game schedule 2025</t>
  </si>
  <si>
    <t>nba draft picks owed</t>
  </si>
  <si>
    <t>tonight nba schedule today</t>
  </si>
  <si>
    <t>nba scores highlights</t>
  </si>
  <si>
    <t>schedule today nba</t>
  </si>
  <si>
    <t>live score basketball nba</t>
  </si>
  <si>
    <t>nba lines and predictions</t>
  </si>
  <si>
    <t>nba games april 10 2026 odds predictions</t>
  </si>
  <si>
    <t>nba draftkings picks for tonight</t>
  </si>
  <si>
    <t>preseason nba predictions</t>
  </si>
  <si>
    <t>nba free picks predictions</t>
  </si>
  <si>
    <t>nba scores update</t>
  </si>
  <si>
    <t>nba computer picks against the spread</t>
  </si>
  <si>
    <t>picks parlays nba</t>
  </si>
  <si>
    <t>top 10 picks nba draft 2024</t>
  </si>
  <si>
    <t>nba sports predictions today</t>
  </si>
  <si>
    <t>nba draft 2025 predictions</t>
  </si>
  <si>
    <t>nba moneyline picks for tonight</t>
  </si>
  <si>
    <t>best nba parlay picks today</t>
  </si>
  <si>
    <t>nba predictions today dimers</t>
  </si>
  <si>
    <t>76ers nba score</t>
  </si>
  <si>
    <t>nba first half predictions today</t>
  </si>
  <si>
    <t>nba tv philippines schedule</t>
  </si>
  <si>
    <t>jay's nba picks</t>
  </si>
  <si>
    <t>nba network schedule</t>
  </si>
  <si>
    <t>best nba 2nd round picks</t>
  </si>
  <si>
    <t>over and under nba picks</t>
  </si>
  <si>
    <t>2022 nba championship predictions</t>
  </si>
  <si>
    <t>nba all star game predictions</t>
  </si>
  <si>
    <t>nba playoffs schedule 2025</t>
  </si>
  <si>
    <t>nba finals predictions 2021</t>
  </si>
  <si>
    <t>nba picks and parlays for today</t>
  </si>
  <si>
    <t>moneyline predictions nba</t>
  </si>
  <si>
    <t>todays nba schedule</t>
  </si>
  <si>
    <t>highest score nba game</t>
  </si>
  <si>
    <t>nba playoff matchup predictions</t>
  </si>
  <si>
    <t>nba hot picks betting</t>
  </si>
  <si>
    <t>east vs west nba score</t>
  </si>
  <si>
    <t>nba predictions for tonight's game</t>
  </si>
  <si>
    <t>nba live streaming today score</t>
  </si>
  <si>
    <t>live scores nba finals</t>
  </si>
  <si>
    <t>nba playoff schedule bracket 2023</t>
  </si>
  <si>
    <t>rotowire nba picks</t>
  </si>
  <si>
    <t>nba picks and predictions for today</t>
  </si>
  <si>
    <t>nba games march 6 2026 schedule odds</t>
  </si>
  <si>
    <t>nba lottery picks</t>
  </si>
  <si>
    <t>nba free picks against the spread</t>
  </si>
  <si>
    <t>lottery picks nba 2025</t>
  </si>
  <si>
    <t>nba draft picks 2023</t>
  </si>
  <si>
    <t>nba live score today</t>
  </si>
  <si>
    <t>nba playoff schedule today</t>
  </si>
  <si>
    <t>espn.com nba scores</t>
  </si>
  <si>
    <t>nba reddit scores</t>
  </si>
  <si>
    <t>nba preseason predictions today</t>
  </si>
  <si>
    <t>nba total points predictions</t>
  </si>
  <si>
    <t>nba schedule release</t>
  </si>
  <si>
    <t>nba picks free</t>
  </si>
  <si>
    <t>nba nba score</t>
  </si>
  <si>
    <t>nba predictions cbs</t>
  </si>
  <si>
    <t>nba games schedule 2022</t>
  </si>
  <si>
    <t>nba combine schedule</t>
  </si>
  <si>
    <t>nba scores and matchups</t>
  </si>
  <si>
    <t>nba picks forum</t>
  </si>
  <si>
    <t>nba basketball schedule</t>
  </si>
  <si>
    <t>picks and parlays nba picks</t>
  </si>
  <si>
    <t>pickwise nba picks</t>
  </si>
  <si>
    <t>nba player predictions today</t>
  </si>
  <si>
    <t>nba schedule lakers</t>
  </si>
  <si>
    <t>nba basketball tv schedule</t>
  </si>
  <si>
    <t>2024 nba schedule</t>
  </si>
  <si>
    <t>nba schedule for tonight games</t>
  </si>
  <si>
    <t>nfl scores nba</t>
  </si>
  <si>
    <t>rookie of the year predictions nba</t>
  </si>
  <si>
    <t>play off nba schedule</t>
  </si>
  <si>
    <t>nc state nba draft picks</t>
  </si>
  <si>
    <t>espn expert picks nba</t>
  </si>
  <si>
    <t>nba score live score</t>
  </si>
  <si>
    <t>nba live games and scores mod apk</t>
  </si>
  <si>
    <t>nba scores and standings</t>
  </si>
  <si>
    <t>christmas day schedule nba</t>
  </si>
  <si>
    <t>nba championship schedule</t>
  </si>
  <si>
    <t>national nba tv schedule</t>
  </si>
  <si>
    <t>nba picks against the spread cbs</t>
  </si>
  <si>
    <t>nba schedule tv</t>
  </si>
  <si>
    <t>nba games today march 1 2026 schedule</t>
  </si>
  <si>
    <t>espn nba score</t>
  </si>
  <si>
    <t>nba all-star 2025 schedule</t>
  </si>
  <si>
    <t>nba playoffs live score</t>
  </si>
  <si>
    <t>nba player points predictions today</t>
  </si>
  <si>
    <t>picks for nba games tonight</t>
  </si>
  <si>
    <t>cbs nba picks today</t>
  </si>
  <si>
    <t>nba schedule grid</t>
  </si>
  <si>
    <t>nba over under predictions</t>
  </si>
  <si>
    <t>playoff nba schedule</t>
  </si>
  <si>
    <t>nba predictions today over under</t>
  </si>
  <si>
    <t>nba spread picks tonight</t>
  </si>
  <si>
    <t>nba. scores</t>
  </si>
  <si>
    <t>nba games today march 30 2026 schedule</t>
  </si>
  <si>
    <t>nba schedule celtics</t>
  </si>
  <si>
    <t>nba basketball score</t>
  </si>
  <si>
    <t>nba scores and standings espn</t>
  </si>
  <si>
    <t>picks nba free</t>
  </si>
  <si>
    <t>nba preseason 2023 schedule</t>
  </si>
  <si>
    <t>scores and odds nba</t>
  </si>
  <si>
    <t>nba 76ers scores</t>
  </si>
  <si>
    <t>nba picks ats</t>
  </si>
  <si>
    <t>nba finals 2022 tv schedule</t>
  </si>
  <si>
    <t>highest score in a nba game</t>
  </si>
  <si>
    <t>basketball scores from last night nba</t>
  </si>
  <si>
    <t>nba computer picks today</t>
  </si>
  <si>
    <t>nba tomorrow schedule</t>
  </si>
  <si>
    <t>the nba schedule for today</t>
  </si>
  <si>
    <t>nba summer league schedule lakers</t>
  </si>
  <si>
    <t>nba under and over predictions</t>
  </si>
  <si>
    <t>nba sports picks</t>
  </si>
  <si>
    <t>nba draft picks 2020 order</t>
  </si>
  <si>
    <t>oldest nba player to score 50</t>
  </si>
  <si>
    <t>nba 2022 playoff schedule</t>
  </si>
  <si>
    <t>nba schedule for tomorrow</t>
  </si>
  <si>
    <t>2026 nba draft picks</t>
  </si>
  <si>
    <t>nba 2024 draft picks</t>
  </si>
  <si>
    <t>nba schedule playoffs 2023</t>
  </si>
  <si>
    <t>nba predictions for tomorrow games</t>
  </si>
  <si>
    <t>2024 nba draft top 10 picks</t>
  </si>
  <si>
    <t>nba scores playoffs today</t>
  </si>
  <si>
    <t>2020 nba playoff bracket predictions</t>
  </si>
  <si>
    <t>nba all-star 2021 schedule</t>
  </si>
  <si>
    <t>scores in the nba tonight</t>
  </si>
  <si>
    <t>women nba score</t>
  </si>
  <si>
    <t>nba predictions tips</t>
  </si>
  <si>
    <t>espn nba predictions</t>
  </si>
  <si>
    <t>nba predictions 2022</t>
  </si>
  <si>
    <t>predictions nba</t>
  </si>
  <si>
    <t>nba 2k22 event schedule season 3</t>
  </si>
  <si>
    <t>nba games tonight march 6 2026 schedule</t>
  </si>
  <si>
    <t>www nba scores</t>
  </si>
  <si>
    <t>cbs sports nba scores</t>
  </si>
  <si>
    <t>nba summer league 2023 scores</t>
  </si>
  <si>
    <t>nba 2k25 event schedule</t>
  </si>
  <si>
    <t>cover nba picks</t>
  </si>
  <si>
    <t>nba finals schedule 2022</t>
  </si>
  <si>
    <t>nba scores today summer league</t>
  </si>
  <si>
    <t>highest nba score by one team</t>
  </si>
  <si>
    <t>nba picks, and parlays</t>
  </si>
  <si>
    <t>si com nba scores</t>
  </si>
  <si>
    <t>nba 2025 schedule</t>
  </si>
  <si>
    <t>predictions nba tonight</t>
  </si>
  <si>
    <t>nba 2025 schedule release date</t>
  </si>
  <si>
    <t>nba games today predictions</t>
  </si>
  <si>
    <t>nba scores standings today</t>
  </si>
  <si>
    <t>scores nba cbs</t>
  </si>
  <si>
    <t>expert nba predictions</t>
  </si>
  <si>
    <t>nba all-star scores</t>
  </si>
  <si>
    <t>nba fantasy picks tonight cheat sheet</t>
  </si>
  <si>
    <t>nba game schedule playoffs 2018</t>
  </si>
  <si>
    <t>nba schedule tonight tnt</t>
  </si>
  <si>
    <t>nba playoffs 2022 tv schedule</t>
  </si>
  <si>
    <t>nba scores today games in progress</t>
  </si>
  <si>
    <t>nba game score calculator</t>
  </si>
  <si>
    <t>nba results april 4 2026 scores</t>
  </si>
  <si>
    <t>nba playoffs 2026 schedule</t>
  </si>
  <si>
    <t>first basket predictions nba</t>
  </si>
  <si>
    <t>cbs sports nba picks</t>
  </si>
  <si>
    <t>top nba draft picks</t>
  </si>
  <si>
    <t>nba game predictions tonight</t>
  </si>
  <si>
    <t>nba finals game schedule</t>
  </si>
  <si>
    <t>sbr picks nba</t>
  </si>
  <si>
    <t>nba basketball free picks</t>
  </si>
  <si>
    <t>nba playoffs bracket 2022 schedule</t>
  </si>
  <si>
    <t>nba straight up picks</t>
  </si>
  <si>
    <t>nba first basket predictions today</t>
  </si>
  <si>
    <t>nba playoff schedule 2023</t>
  </si>
  <si>
    <t>free nba predictions</t>
  </si>
  <si>
    <t>highest score in an nba game</t>
  </si>
  <si>
    <t>nba schedule tonight on tv</t>
  </si>
  <si>
    <t>nba games today tv schedule map</t>
  </si>
  <si>
    <t>nba playoffs 2018 schedule</t>
  </si>
  <si>
    <t>nba picks for tonight's game</t>
  </si>
  <si>
    <t>dfs nba picks</t>
  </si>
  <si>
    <t>nba picks cbs</t>
  </si>
  <si>
    <t>nba player props &amp; picks tonight</t>
  </si>
  <si>
    <t>nba knicks schedule</t>
  </si>
  <si>
    <t>nba box scores today</t>
  </si>
  <si>
    <t>show me the nba scores</t>
  </si>
  <si>
    <t>nba o/u predictions</t>
  </si>
  <si>
    <t>nba scores saturday</t>
  </si>
  <si>
    <t>nba scores and standings 2022</t>
  </si>
  <si>
    <t>nba scores live stream reddit</t>
  </si>
  <si>
    <t>nba com scores</t>
  </si>
  <si>
    <t>nba score all time</t>
  </si>
  <si>
    <t>76ers nba scores</t>
  </si>
  <si>
    <t>nba line picks</t>
  </si>
  <si>
    <t>cbs sports nba expert picks</t>
  </si>
  <si>
    <t>nba scores and results</t>
  </si>
  <si>
    <t>nba schedule regular season</t>
  </si>
  <si>
    <t>top nba picks tonight</t>
  </si>
  <si>
    <t>nba scores matchup</t>
  </si>
  <si>
    <t>2020 nba draft picks by team</t>
  </si>
  <si>
    <t>nba schedule and channel</t>
  </si>
  <si>
    <t>nba player prop predictions</t>
  </si>
  <si>
    <t>nba cbs sports picks</t>
  </si>
  <si>
    <t>jay money nba picks</t>
  </si>
  <si>
    <t>nba tv scores</t>
  </si>
  <si>
    <t>oddspedia nba predictions</t>
  </si>
  <si>
    <t>highest score nba</t>
  </si>
  <si>
    <t>nba tips predictions</t>
  </si>
  <si>
    <t>nba schedule march 14 2026</t>
  </si>
  <si>
    <t>nba scores highlights today</t>
  </si>
  <si>
    <t>nba preseason schedule 2021-2022</t>
  </si>
  <si>
    <t>best nba picks tonight</t>
  </si>
  <si>
    <t>nba postseason schedule</t>
  </si>
  <si>
    <t>nba picks vs spread</t>
  </si>
  <si>
    <t>nba schedule today 2023</t>
  </si>
  <si>
    <t>nba score lakers vs nuggets</t>
  </si>
  <si>
    <t>free nba picks tonight</t>
  </si>
  <si>
    <t>playoff schedule 2026 nba</t>
  </si>
  <si>
    <t>cbs picks nba</t>
  </si>
  <si>
    <t>nba winning picks</t>
  </si>
  <si>
    <t>scores nba last night</t>
  </si>
  <si>
    <t>nba scores live scores</t>
  </si>
  <si>
    <t>nba pelicans schedule</t>
  </si>
  <si>
    <t>nba draft predictions 2025</t>
  </si>
  <si>
    <t>nba over under predictions today</t>
  </si>
  <si>
    <t>nba draft picks 2022</t>
  </si>
  <si>
    <t>nba prop bet predictions</t>
  </si>
  <si>
    <t>nba game live score today</t>
  </si>
  <si>
    <t>nba bets and predictions</t>
  </si>
  <si>
    <t>nba player score predictions today</t>
  </si>
  <si>
    <t>nba preseason score</t>
  </si>
  <si>
    <t>nba picks prediction</t>
  </si>
  <si>
    <t>nba best bet picks</t>
  </si>
  <si>
    <t>basketball basketball nba scores</t>
  </si>
  <si>
    <t>nba score prediction today</t>
  </si>
  <si>
    <t>nba scores on cbs</t>
  </si>
  <si>
    <t>nba player picks for today</t>
  </si>
  <si>
    <t>nba schedule today on tv</t>
  </si>
  <si>
    <t>nba consensus picks today</t>
  </si>
  <si>
    <t>best nba predictions</t>
  </si>
  <si>
    <t>nba first quarter predictions today</t>
  </si>
  <si>
    <t>nba weekly schedule</t>
  </si>
  <si>
    <t>nba scores prediction</t>
  </si>
  <si>
    <t>nba 2025 playoff schedule</t>
  </si>
  <si>
    <t>nba scores rockets</t>
  </si>
  <si>
    <t>nba todays scores</t>
  </si>
  <si>
    <t>parlay predictions nba</t>
  </si>
  <si>
    <t>all nba scores</t>
  </si>
  <si>
    <t>what's the score on the nba tonight</t>
  </si>
  <si>
    <t>nba schedule knicks</t>
  </si>
  <si>
    <t>nba cbs predictions</t>
  </si>
  <si>
    <t>nba schedule for tonight's games</t>
  </si>
  <si>
    <t>draft picks 2025 nba</t>
  </si>
  <si>
    <t>nba tournament schedule</t>
  </si>
  <si>
    <t>nba week 1 predictions</t>
  </si>
  <si>
    <t>nba average score per game</t>
  </si>
  <si>
    <t>guaranteed nba picks</t>
  </si>
  <si>
    <t>expert picks nba today</t>
  </si>
  <si>
    <t>nba summer league scores standings</t>
  </si>
  <si>
    <t>nba experts picks</t>
  </si>
  <si>
    <t>nba score leaders</t>
  </si>
  <si>
    <t>nba 2k22 event schedule</t>
  </si>
  <si>
    <t>pickdawgz nba picks</t>
  </si>
  <si>
    <t>nba first half picks</t>
  </si>
  <si>
    <t>duke nba draft picks</t>
  </si>
  <si>
    <t>nba lakers schedule</t>
  </si>
  <si>
    <t>nba predictions championship</t>
  </si>
  <si>
    <t>nba schedule april 3 2026 predictions odds</t>
  </si>
  <si>
    <t>nba lakers schedule 2020</t>
  </si>
  <si>
    <t>2020 nba playoffs schedule</t>
  </si>
  <si>
    <t>nba schedule orlando</t>
  </si>
  <si>
    <t>nba betting picks today</t>
  </si>
  <si>
    <t>youngest player to score 10000 points nba</t>
  </si>
  <si>
    <t>nba playoffs 2019 schedule</t>
  </si>
  <si>
    <t>nba basketball scores live</t>
  </si>
  <si>
    <t>nba scores 2023</t>
  </si>
  <si>
    <t>nba scores and standings 2021</t>
  </si>
  <si>
    <t>miami heat nba score</t>
  </si>
  <si>
    <t>nba preseason picks tonight</t>
  </si>
  <si>
    <t>nba schedule 2024</t>
  </si>
  <si>
    <t>nba best picks today</t>
  </si>
  <si>
    <t>nba basketball schedule today</t>
  </si>
  <si>
    <t>nba draft lottery picks</t>
  </si>
  <si>
    <t>moneyline nba picks today</t>
  </si>
  <si>
    <t>nba schedule april 5 2026 odds predictions</t>
  </si>
  <si>
    <t>pickswise nba picks</t>
  </si>
  <si>
    <t>nba money line picks today</t>
  </si>
  <si>
    <t>free nba expert picks tonight</t>
  </si>
  <si>
    <t>espn nba expert picks</t>
  </si>
  <si>
    <t>nba standings 2024 schedule playoffs</t>
  </si>
  <si>
    <t>nba basketball schedule tonight</t>
  </si>
  <si>
    <t>nba 2025 draft picks list</t>
  </si>
  <si>
    <t>nba schedule 2026 release date</t>
  </si>
  <si>
    <t>nba picks winners and whiners</t>
  </si>
  <si>
    <t>nba scores play by play</t>
  </si>
  <si>
    <t>nba score for today</t>
  </si>
  <si>
    <t>consensus nba picks</t>
  </si>
  <si>
    <t>nba scores tomorrow</t>
  </si>
  <si>
    <t>nba games april 4 2026 odds predictions</t>
  </si>
  <si>
    <t>nba playoffs 2024 predictions</t>
  </si>
  <si>
    <t>nba betting expert picks</t>
  </si>
  <si>
    <t>nba scores box score</t>
  </si>
  <si>
    <t>nba props predictions</t>
  </si>
  <si>
    <t>pro picks nba</t>
  </si>
  <si>
    <t>nba schedule march 5 2026</t>
  </si>
  <si>
    <t>best nba picks</t>
  </si>
  <si>
    <t>lowest nba score</t>
  </si>
  <si>
    <t>nba picks today youtube</t>
  </si>
  <si>
    <t>sports illustrated nba predictions</t>
  </si>
  <si>
    <t>scores of nba games</t>
  </si>
  <si>
    <t>nba scores google</t>
  </si>
  <si>
    <t>nba gambling picks</t>
  </si>
  <si>
    <t>nba games picks and parlays</t>
  </si>
  <si>
    <t>score bite nba</t>
  </si>
  <si>
    <t>yahoo nba score</t>
  </si>
  <si>
    <t>nba 2020 to 2021 season schedule</t>
  </si>
  <si>
    <t>best nba picks for today</t>
  </si>
  <si>
    <t>computer nba picks</t>
  </si>
  <si>
    <t>nba 1st overall picks</t>
  </si>
  <si>
    <t>scores in the nba last night</t>
  </si>
  <si>
    <t>nba 1st half predictions</t>
  </si>
  <si>
    <t>nba games april 22 2026 odds picks</t>
  </si>
  <si>
    <t>cbs sports picks nba</t>
  </si>
  <si>
    <t>2024 nba draft predictions</t>
  </si>
  <si>
    <t>nba scores quarter by quarter</t>
  </si>
  <si>
    <t>nba predicted scores</t>
  </si>
  <si>
    <t>nba fantasy draft picks</t>
  </si>
  <si>
    <t>nba games today scores</t>
  </si>
  <si>
    <t>nba pregame schedule</t>
  </si>
  <si>
    <t>nba basketball schedule for today</t>
  </si>
  <si>
    <t>nba basketball schedule for tonight</t>
  </si>
  <si>
    <t>nba canada schedule</t>
  </si>
  <si>
    <t>2023 nba championship predictions</t>
  </si>
  <si>
    <t>2022-23 nba schedule</t>
  </si>
  <si>
    <t>nba score now</t>
  </si>
  <si>
    <t>nba preseason schedule 2022</t>
  </si>
  <si>
    <t>over under nba predictions</t>
  </si>
  <si>
    <t>nba expert picks against the spread tonight</t>
  </si>
  <si>
    <t>score of nba game tonight</t>
  </si>
  <si>
    <t>nba lock picks</t>
  </si>
  <si>
    <t>nba tv tv schedule</t>
  </si>
  <si>
    <t>nba final score predictions</t>
  </si>
  <si>
    <t>espn nba predictions today</t>
  </si>
  <si>
    <t>2025 nba schedule</t>
  </si>
  <si>
    <t>nba scrimmage schedule</t>
  </si>
  <si>
    <t>pickswise nba picks today</t>
  </si>
  <si>
    <t>nba predictions for tonight</t>
  </si>
  <si>
    <t>nba picks yesterday</t>
  </si>
  <si>
    <t>nba standing and scores</t>
  </si>
  <si>
    <t>the nba playoff schedule</t>
  </si>
  <si>
    <t>nba 1st quarter predictions</t>
  </si>
  <si>
    <t>today nba scores</t>
  </si>
  <si>
    <t>nba schedule march 3 2026</t>
  </si>
  <si>
    <t>nba all star game schedule</t>
  </si>
  <si>
    <t>nba scores knicks</t>
  </si>
  <si>
    <t>nba score last night</t>
  </si>
  <si>
    <t>nba finals 2018 score</t>
  </si>
  <si>
    <t>nba score today 2024</t>
  </si>
  <si>
    <t>nba scores expert picks</t>
  </si>
  <si>
    <t>nba championship score</t>
  </si>
  <si>
    <t>tsn nba schedule</t>
  </si>
  <si>
    <t>nba update score</t>
  </si>
  <si>
    <t>nba playoffs bracket 2021 predictions</t>
  </si>
  <si>
    <t>nba scores last night lakers</t>
  </si>
  <si>
    <t>nba schedule tomorrow</t>
  </si>
  <si>
    <t>top nba picks for today</t>
  </si>
  <si>
    <t>nba playoff predictions today</t>
  </si>
  <si>
    <t>nba 2023-24 schedule</t>
  </si>
  <si>
    <t>nba picks and odds</t>
  </si>
  <si>
    <t>nba. score</t>
  </si>
  <si>
    <t>nba game picks</t>
  </si>
  <si>
    <t>nba schedule nba</t>
  </si>
  <si>
    <t>2021 nba draft picks</t>
  </si>
  <si>
    <t>nba playoffs picks</t>
  </si>
  <si>
    <t>nba schedule on tv today</t>
  </si>
  <si>
    <t>nba 2022 schedule release date</t>
  </si>
  <si>
    <t>nba playoff schedule 2016</t>
  </si>
  <si>
    <t>nba championship 2024 predictions</t>
  </si>
  <si>
    <t>nba com scores live</t>
  </si>
  <si>
    <t>nba preseason scores today</t>
  </si>
  <si>
    <t>nba predictions over/under today</t>
  </si>
  <si>
    <t>nba games today april 4 2026 predictions odds</t>
  </si>
  <si>
    <t>nba saturday schedule</t>
  </si>
  <si>
    <t>nba live score 2023</t>
  </si>
  <si>
    <t>nba live scores today</t>
  </si>
  <si>
    <t>draftkings nba picks today</t>
  </si>
  <si>
    <t>nba highest game score</t>
  </si>
  <si>
    <t>nba predictions bets</t>
  </si>
  <si>
    <t>nba 2021 predictions</t>
  </si>
  <si>
    <t>nba prop bets picks</t>
  </si>
  <si>
    <t>nba scores and schedule today</t>
  </si>
  <si>
    <t>nba games 2025 schedule</t>
  </si>
  <si>
    <t>nba schedule thanksgiving</t>
  </si>
  <si>
    <t>nba schedule release 2025-26</t>
  </si>
  <si>
    <t>nba 2024-25 schedule</t>
  </si>
  <si>
    <t>nba predictions picks and parlays</t>
  </si>
  <si>
    <t>nba cup schedule</t>
  </si>
  <si>
    <t>nba odds and predictions</t>
  </si>
  <si>
    <t>nba playoffs canada tv schedule</t>
  </si>
  <si>
    <t>top nba picks</t>
  </si>
  <si>
    <t>nba live score now</t>
  </si>
  <si>
    <t>nba all star picks</t>
  </si>
  <si>
    <t>nba 76ers schedule</t>
  </si>
  <si>
    <t>nba playoffs 2021 predictions</t>
  </si>
  <si>
    <t>nba tonight live score</t>
  </si>
  <si>
    <t>nba score cbs</t>
  </si>
  <si>
    <t>2022 nba finals schedule</t>
  </si>
  <si>
    <t>today's nba picks and parlays</t>
  </si>
  <si>
    <t>nba google score</t>
  </si>
  <si>
    <t>nba game score predictions</t>
  </si>
  <si>
    <t>covers nba picks</t>
  </si>
  <si>
    <t>lakers nba scores</t>
  </si>
  <si>
    <t>nba games march 17 2026 schedule odds</t>
  </si>
  <si>
    <t>nba schedule march 3 2026 games list</t>
  </si>
  <si>
    <t>nba finals 2022 schedule dates</t>
  </si>
  <si>
    <t>nba on nbc schedule</t>
  </si>
  <si>
    <t>nba schedule for tonight's game</t>
  </si>
  <si>
    <t>nba second round schedule</t>
  </si>
  <si>
    <t>prize picks nba</t>
  </si>
  <si>
    <t>nba predictions wednesday</t>
  </si>
  <si>
    <t>nba score predictions picks and parlays</t>
  </si>
  <si>
    <t>live nba scores play by play</t>
  </si>
  <si>
    <t>nba schedule summer league</t>
  </si>
  <si>
    <t>summer nba scores</t>
  </si>
  <si>
    <t>nba finals schedule 2024</t>
  </si>
  <si>
    <t>nba standings predictions 2022</t>
  </si>
  <si>
    <t>today nba picks</t>
  </si>
  <si>
    <t>nba prop bets today picks</t>
  </si>
  <si>
    <t>cbs free nba picks</t>
  </si>
  <si>
    <t>nba miami heat schedule</t>
  </si>
  <si>
    <t>nba finals 2021 predictions</t>
  </si>
  <si>
    <t>nba fantasy schedule</t>
  </si>
  <si>
    <t>nba scores for last night</t>
  </si>
  <si>
    <t>nba score espn</t>
  </si>
  <si>
    <t>nba player prop picks</t>
  </si>
  <si>
    <t>nba player props predictions today</t>
  </si>
  <si>
    <t>nba all star game score</t>
  </si>
  <si>
    <t>highest score in nba game</t>
  </si>
  <si>
    <t>nba summer league predictions</t>
  </si>
  <si>
    <t>tonight's nba picks and parlays</t>
  </si>
  <si>
    <t>player picks nba</t>
  </si>
  <si>
    <t>nba schedule march 10 2026</t>
  </si>
  <si>
    <t>nba schedule 2017-18</t>
  </si>
  <si>
    <t>nba predictions.</t>
  </si>
  <si>
    <t>2024 nba 1st round picks</t>
  </si>
  <si>
    <t>nba money line picks</t>
  </si>
  <si>
    <t>2024 nba draft picks by team</t>
  </si>
  <si>
    <t>free expert nba picks against the spread</t>
  </si>
  <si>
    <t>nba playoff schedule 2024</t>
  </si>
  <si>
    <t>nba draft 2025 picks</t>
  </si>
  <si>
    <t>nba scores and schedule 2022</t>
  </si>
  <si>
    <t>picks for nba tonight</t>
  </si>
  <si>
    <t>nba games picks</t>
  </si>
  <si>
    <t>nba draft predictions</t>
  </si>
  <si>
    <t>free nba betting picks</t>
  </si>
  <si>
    <t>nba schedule march 30 2026</t>
  </si>
  <si>
    <t>oddsshark nba picks</t>
  </si>
  <si>
    <t>nba finals predictions 2025</t>
  </si>
  <si>
    <t>nba 2020-2021 schedule</t>
  </si>
  <si>
    <t>nba games march 10 2026 schedule</t>
  </si>
  <si>
    <t>cover nba scores</t>
  </si>
  <si>
    <t>second round picks nba</t>
  </si>
  <si>
    <t>player prop predictions nba</t>
  </si>
  <si>
    <t>nba championship finals schedule</t>
  </si>
  <si>
    <t>nba season predictions</t>
  </si>
  <si>
    <t>scores for the nba finals</t>
  </si>
  <si>
    <t>nba expert picks cbs</t>
  </si>
  <si>
    <t>nba best picks and parlays</t>
  </si>
  <si>
    <t>538 nba predictions</t>
  </si>
  <si>
    <t>nba schedule 2020</t>
  </si>
  <si>
    <t>nba scores today 2023</t>
  </si>
  <si>
    <t>nba free picks tonight</t>
  </si>
  <si>
    <t>nba player picks</t>
  </si>
  <si>
    <t>nba playoffs predictions</t>
  </si>
  <si>
    <t>nba scores 2024</t>
  </si>
  <si>
    <t>nba schedule march 4 2026</t>
  </si>
  <si>
    <t>nba basketball live score</t>
  </si>
  <si>
    <t>nba basketball predictions tonight</t>
  </si>
  <si>
    <t>nba schedule 2021-22</t>
  </si>
  <si>
    <t>nba finals 2026 schedule</t>
  </si>
  <si>
    <t>nba scores and stats</t>
  </si>
  <si>
    <t>nba cbs picks today</t>
  </si>
  <si>
    <t>highest score in nba history</t>
  </si>
  <si>
    <t>nba games today picks</t>
  </si>
  <si>
    <t>nba schedule playoffs 2020</t>
  </si>
  <si>
    <t>nba tonite scores</t>
  </si>
  <si>
    <t>nba score board today</t>
  </si>
  <si>
    <t>nba player picks today</t>
  </si>
  <si>
    <t>score nba finals</t>
  </si>
  <si>
    <t>2023 nba draft picks by team</t>
  </si>
  <si>
    <t>nba schedule release 2022-23</t>
  </si>
  <si>
    <t>nba summer league scores today</t>
  </si>
  <si>
    <t>nba basketball expert picks</t>
  </si>
  <si>
    <t>nba basketball playoff schedule</t>
  </si>
  <si>
    <t>preseason nba schedule</t>
  </si>
  <si>
    <t>nba scores philadelphia 76ers</t>
  </si>
  <si>
    <t>nba 2021 schedule release date</t>
  </si>
  <si>
    <t>nba olympic team 2024 score</t>
  </si>
  <si>
    <t>nba games march 30 2026 schedule</t>
  </si>
  <si>
    <t>nba playoffs 2020 predictions</t>
  </si>
  <si>
    <t>nba scores yahoo sports</t>
  </si>
  <si>
    <t>nba spread predictions today</t>
  </si>
  <si>
    <t>nba score live today</t>
  </si>
  <si>
    <t>nba playoff scores live</t>
  </si>
  <si>
    <t>nba tips and predictions</t>
  </si>
  <si>
    <t>nba standings 2024 schedule</t>
  </si>
  <si>
    <t>nba schedule 2023</t>
  </si>
  <si>
    <t>current nba game scores</t>
  </si>
  <si>
    <t>1998 nba finals box score</t>
  </si>
  <si>
    <t>nba games april 5 2026 schedule odds</t>
  </si>
  <si>
    <t>2024 nba championship predictions</t>
  </si>
  <si>
    <t>nba 2021 - 22 season schedule</t>
  </si>
  <si>
    <t>score nba 2021</t>
  </si>
  <si>
    <t>nba fantasy picks today</t>
  </si>
  <si>
    <t>nba score update</t>
  </si>
  <si>
    <t>nba tips &amp; predictions</t>
  </si>
  <si>
    <t>jay's nba picks today</t>
  </si>
  <si>
    <t>nba scores playoffs bracket</t>
  </si>
  <si>
    <t>nba daily picks against the spread</t>
  </si>
  <si>
    <t>2024 top nba draft picks</t>
  </si>
  <si>
    <t>nba schedule release 2021</t>
  </si>
  <si>
    <t>nba picks for tonight games</t>
  </si>
  <si>
    <t>nba parlay picks for today</t>
  </si>
  <si>
    <t>nba playoffs schedule today</t>
  </si>
  <si>
    <t>nba round 2 playoff schedule</t>
  </si>
  <si>
    <t>cbs nba sports picks</t>
  </si>
  <si>
    <t>nba golden state scores</t>
  </si>
  <si>
    <t>nba schedule today score</t>
  </si>
  <si>
    <t>nba match schedule</t>
  </si>
  <si>
    <t>2023-2024 nba schedule</t>
  </si>
  <si>
    <t>tomorrow nba games predictions</t>
  </si>
  <si>
    <t>nba scores live online</t>
  </si>
  <si>
    <t>nba tomorrow predictions</t>
  </si>
  <si>
    <t>nba final schedule</t>
  </si>
  <si>
    <t>nba ats picks today</t>
  </si>
  <si>
    <t>nba tv playoff schedule</t>
  </si>
  <si>
    <t>nba moneyline predictions today</t>
  </si>
  <si>
    <t>nba tonight scores</t>
  </si>
  <si>
    <t>nba schedule april 21 2026 games tonight</t>
  </si>
  <si>
    <t>sports scores nba</t>
  </si>
  <si>
    <t>tomorrow's nba schedule</t>
  </si>
  <si>
    <t>top nba draft picks 2024</t>
  </si>
  <si>
    <t>the nba schedule</t>
  </si>
  <si>
    <t>nba preseason live score</t>
  </si>
  <si>
    <t>sixers nba schedule</t>
  </si>
  <si>
    <t>tonight nba predictions</t>
  </si>
  <si>
    <t>nba championship predictions 2021</t>
  </si>
  <si>
    <t>nba playoff score</t>
  </si>
  <si>
    <t>nba draft schedule</t>
  </si>
  <si>
    <t>nba score predictions tomorrow</t>
  </si>
  <si>
    <t>tonight's nba basketball schedule</t>
  </si>
  <si>
    <t>nba scores and predictions</t>
  </si>
  <si>
    <t>nba playoffs 2024 schedule</t>
  </si>
  <si>
    <t>nba winning predictions</t>
  </si>
  <si>
    <t>last night nba final scores</t>
  </si>
  <si>
    <t>nba schedule today 2022</t>
  </si>
  <si>
    <t>nba live schedule | nba live stream - nba streams</t>
  </si>
  <si>
    <t>2nd round picks nba</t>
  </si>
  <si>
    <t>nba games today march 31 2026 odds predictions</t>
  </si>
  <si>
    <t>nba scores nhl scores</t>
  </si>
  <si>
    <t>nba 2024 playoff schedule</t>
  </si>
  <si>
    <t>nba play in tournament schedule 2024</t>
  </si>
  <si>
    <t>nba winning picks for today</t>
  </si>
  <si>
    <t>parlay picks nba today</t>
  </si>
  <si>
    <t>nba preseason picks and parlays</t>
  </si>
  <si>
    <t>vegas nba predictions</t>
  </si>
  <si>
    <t>nba expert predictions</t>
  </si>
  <si>
    <t>finals schedule nba</t>
  </si>
  <si>
    <t>nba expert picks for tonight</t>
  </si>
  <si>
    <t>nba 2024 schedule</t>
  </si>
  <si>
    <t>nba picks consensus</t>
  </si>
  <si>
    <t>lowest score in nba game</t>
  </si>
  <si>
    <t>score from last night nba game</t>
  </si>
  <si>
    <t>nba players schedule</t>
  </si>
  <si>
    <t>nba game schedule 2021</t>
  </si>
  <si>
    <t>nba games march 7 2026 schedule odds</t>
  </si>
  <si>
    <t>nba yahoo scores</t>
  </si>
  <si>
    <t>msn sports nba scores</t>
  </si>
  <si>
    <t>today schedule nba</t>
  </si>
  <si>
    <t>nba eastern conference scores</t>
  </si>
  <si>
    <t>nba expert picks for today</t>
  </si>
  <si>
    <t>nba/scores</t>
  </si>
  <si>
    <t>cbs expert nba picks</t>
  </si>
  <si>
    <t>nba over under picks tonight</t>
  </si>
  <si>
    <t>nba free expert picks</t>
  </si>
  <si>
    <t>whats the highest nba score</t>
  </si>
  <si>
    <t>nba predictions today moneyline</t>
  </si>
  <si>
    <t>best parlay picks today nba</t>
  </si>
  <si>
    <t>picks nba hoy</t>
  </si>
  <si>
    <t>nba pro picks</t>
  </si>
  <si>
    <t>tnt nba schedule tonight</t>
  </si>
  <si>
    <t>nba games score</t>
  </si>
  <si>
    <t>nba against the spread picks</t>
  </si>
  <si>
    <t>score matchup nba</t>
  </si>
  <si>
    <t>nba scores mvp</t>
  </si>
  <si>
    <t>nba finals 2021 schedule</t>
  </si>
  <si>
    <t>monday night nba scores</t>
  </si>
  <si>
    <t>nba schedule for friday</t>
  </si>
  <si>
    <t>nba games today score predictions</t>
  </si>
  <si>
    <t>nba games and scores</t>
  </si>
  <si>
    <t>nba schedule 2023 to 2024</t>
  </si>
  <si>
    <t>nba score update live</t>
  </si>
  <si>
    <t>nba live scores and schedules</t>
  </si>
  <si>
    <t>nba basketball scores last night</t>
  </si>
  <si>
    <t>nba prediction scores today</t>
  </si>
  <si>
    <t>best 2nd round picks nba</t>
  </si>
  <si>
    <t>nba scores..</t>
  </si>
  <si>
    <t>usa nba live scores</t>
  </si>
  <si>
    <t>nba schedule channel today</t>
  </si>
  <si>
    <t>current nba scores</t>
  </si>
  <si>
    <t>nba schedule 2019-20</t>
  </si>
  <si>
    <t>nba scores today 2024</t>
  </si>
  <si>
    <t>nba friday picks</t>
  </si>
  <si>
    <t>nba free agency predictions 2024</t>
  </si>
  <si>
    <t>nba over/under picks today</t>
  </si>
  <si>
    <t>nba christmas games 2020 schedule</t>
  </si>
  <si>
    <t>nba picks today dimers</t>
  </si>
  <si>
    <t>nba games schedule tonight</t>
  </si>
  <si>
    <t>nba scores 2026</t>
  </si>
  <si>
    <t>nba playoffs tv schedule 2023</t>
  </si>
  <si>
    <t>nba preseason game scores</t>
  </si>
  <si>
    <t>nba games predictions tonight</t>
  </si>
  <si>
    <t>nba 2021-2022 schedule</t>
  </si>
  <si>
    <t>nba predictions under over</t>
  </si>
  <si>
    <t>nba standings scores</t>
  </si>
  <si>
    <t>best nba predictions today</t>
  </si>
  <si>
    <t>nba restart scores</t>
  </si>
  <si>
    <t>nba scrimmage scores</t>
  </si>
  <si>
    <t>espn nba picks today</t>
  </si>
  <si>
    <t>free parlay picks today nba</t>
  </si>
  <si>
    <t>nba philippines schedule</t>
  </si>
  <si>
    <t>nba tnt schedule</t>
  </si>
  <si>
    <t>nba game tonight score</t>
  </si>
  <si>
    <t>nba picks today reddit</t>
  </si>
  <si>
    <t>tv nba schedule</t>
  </si>
  <si>
    <t>nba games tv schedule</t>
  </si>
  <si>
    <t>mitch nba picks for today</t>
  </si>
  <si>
    <t>nba finals 2024 predictions</t>
  </si>
  <si>
    <t>game nba scores</t>
  </si>
  <si>
    <t>nba point spread predictions</t>
  </si>
  <si>
    <t>nba predictions march 31 2026 games odds</t>
  </si>
  <si>
    <t>tonight nba schedule</t>
  </si>
  <si>
    <t>nba picks dimers</t>
  </si>
  <si>
    <t>nba schedule opening night</t>
  </si>
  <si>
    <t>nba nets schedule</t>
  </si>
  <si>
    <t>nba ai predictions</t>
  </si>
  <si>
    <t>odd sharks nba picks</t>
  </si>
  <si>
    <t>nba matchups predictions</t>
  </si>
  <si>
    <t>nba schedule 2026</t>
  </si>
  <si>
    <t>over under predictions nba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</si>
</sst>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7" t="str">
        <f>IFERROR(__xludf.DUMMYFUNCTION("IMPORTRANGE(""https://docs.google.com/spreadsheets/d/1LduFx7JK4t-GmGIaBexReDj5uh95VZrwzy2h8Fs4wwk/edit?usp=sharing"", ""'Bracket 5 - NBA Betting'!M3:M"")"),"nba betting bahamas")</f>
        <v>nba betting bahamas</v>
      </c>
      <c r="C2" s="6"/>
      <c r="N2" s="8"/>
    </row>
    <row r="3">
      <c r="B3" s="7" t="str">
        <f>IFERROR(__xludf.DUMMYFUNCTION("""COMPUTED_VALUE"""),"nba bets bahamas")</f>
        <v>nba bets bahamas</v>
      </c>
      <c r="N3" s="8"/>
    </row>
    <row r="4">
      <c r="B4" s="7" t="str">
        <f>IFERROR(__xludf.DUMMYFUNCTION("""COMPUTED_VALUE"""),"nba bet bahamas")</f>
        <v>nba bet bahamas</v>
      </c>
      <c r="N4" s="8"/>
    </row>
    <row r="5">
      <c r="B5" s="7" t="str">
        <f>IFERROR(__xludf.DUMMYFUNCTION("""COMPUTED_VALUE"""),"nba odds bahamas")</f>
        <v>nba odds bahamas</v>
      </c>
      <c r="N5" s="8"/>
    </row>
    <row r="6">
      <c r="B6" s="7" t="str">
        <f>IFERROR(__xludf.DUMMYFUNCTION("""COMPUTED_VALUE"""),"nba betting odds bahamas")</f>
        <v>nba betting odds bahamas</v>
      </c>
    </row>
    <row r="7">
      <c r="B7" s="7" t="str">
        <f>IFERROR(__xludf.DUMMYFUNCTION("""COMPUTED_VALUE"""),"nba scores bahamas")</f>
        <v>nba scores bahamas</v>
      </c>
    </row>
    <row r="8">
      <c r="B8" s="7" t="str">
        <f>IFERROR(__xludf.DUMMYFUNCTION("""COMPUTED_VALUE"""),"nba score bahamas")</f>
        <v>nba score bahamas</v>
      </c>
    </row>
    <row r="9">
      <c r="B9" s="7" t="str">
        <f>IFERROR(__xludf.DUMMYFUNCTION("""COMPUTED_VALUE"""),"nba predictions bahamas")</f>
        <v>nba predictions bahamas</v>
      </c>
    </row>
    <row r="10">
      <c r="B10" s="7" t="str">
        <f>IFERROR(__xludf.DUMMYFUNCTION("""COMPUTED_VALUE"""),"nba picks bahamas")</f>
        <v>nba picks bahamas</v>
      </c>
    </row>
    <row r="11">
      <c r="B11" s="7" t="str">
        <f>IFERROR(__xludf.DUMMYFUNCTION("""COMPUTED_VALUE"""),"nba schedule bahamas")</f>
        <v>nba schedule bahamas</v>
      </c>
    </row>
    <row r="12">
      <c r="B12" s="7" t="str">
        <f>IFERROR(__xludf.DUMMYFUNCTION("""COMPUTED_VALUE"""),"nba betting today")</f>
        <v>nba betting today</v>
      </c>
    </row>
    <row r="13">
      <c r="B13" s="7" t="str">
        <f>IFERROR(__xludf.DUMMYFUNCTION("""COMPUTED_VALUE"""),"nba bets today")</f>
        <v>nba bets today</v>
      </c>
    </row>
    <row r="14">
      <c r="B14" s="7" t="str">
        <f>IFERROR(__xludf.DUMMYFUNCTION("""COMPUTED_VALUE"""),"nba bet today")</f>
        <v>nba bet today</v>
      </c>
    </row>
    <row r="15">
      <c r="B15" s="7" t="str">
        <f>IFERROR(__xludf.DUMMYFUNCTION("""COMPUTED_VALUE"""),"nba odds today")</f>
        <v>nba odds today</v>
      </c>
    </row>
    <row r="16">
      <c r="B16" s="7" t="str">
        <f>IFERROR(__xludf.DUMMYFUNCTION("""COMPUTED_VALUE"""),"nba betting odds today")</f>
        <v>nba betting odds today</v>
      </c>
    </row>
    <row r="17">
      <c r="B17" s="7" t="str">
        <f>IFERROR(__xludf.DUMMYFUNCTION("""COMPUTED_VALUE"""),"nba scores today")</f>
        <v>nba scores today</v>
      </c>
    </row>
    <row r="18">
      <c r="B18" s="7" t="str">
        <f>IFERROR(__xludf.DUMMYFUNCTION("""COMPUTED_VALUE"""),"nba score today")</f>
        <v>nba score today</v>
      </c>
    </row>
    <row r="19">
      <c r="B19" s="7" t="str">
        <f>IFERROR(__xludf.DUMMYFUNCTION("""COMPUTED_VALUE"""),"nba predictions today")</f>
        <v>nba predictions today</v>
      </c>
    </row>
    <row r="20">
      <c r="B20" s="7" t="str">
        <f>IFERROR(__xludf.DUMMYFUNCTION("""COMPUTED_VALUE"""),"nba picks today")</f>
        <v>nba picks today</v>
      </c>
    </row>
    <row r="21">
      <c r="B21" s="7" t="str">
        <f>IFERROR(__xludf.DUMMYFUNCTION("""COMPUTED_VALUE"""),"nba schedule today")</f>
        <v>nba schedule today</v>
      </c>
    </row>
    <row r="22">
      <c r="B22" s="7" t="str">
        <f>IFERROR(__xludf.DUMMYFUNCTION("""COMPUTED_VALUE"""),"nba betting tonight")</f>
        <v>nba betting tonight</v>
      </c>
    </row>
    <row r="23">
      <c r="B23" s="7" t="str">
        <f>IFERROR(__xludf.DUMMYFUNCTION("""COMPUTED_VALUE"""),"nba bets tonight")</f>
        <v>nba bets tonight</v>
      </c>
    </row>
    <row r="24">
      <c r="B24" s="7" t="str">
        <f>IFERROR(__xludf.DUMMYFUNCTION("""COMPUTED_VALUE"""),"nba bet tonight")</f>
        <v>nba bet tonight</v>
      </c>
    </row>
    <row r="25">
      <c r="B25" s="7" t="str">
        <f>IFERROR(__xludf.DUMMYFUNCTION("""COMPUTED_VALUE"""),"nba odds tonight")</f>
        <v>nba odds tonight</v>
      </c>
    </row>
    <row r="26">
      <c r="B26" s="7" t="str">
        <f>IFERROR(__xludf.DUMMYFUNCTION("""COMPUTED_VALUE"""),"nba betting odds tonight")</f>
        <v>nba betting odds tonight</v>
      </c>
    </row>
    <row r="27">
      <c r="B27" s="7" t="str">
        <f>IFERROR(__xludf.DUMMYFUNCTION("""COMPUTED_VALUE"""),"nba scores tonight")</f>
        <v>nba scores tonight</v>
      </c>
    </row>
    <row r="28">
      <c r="B28" s="7" t="str">
        <f>IFERROR(__xludf.DUMMYFUNCTION("""COMPUTED_VALUE"""),"nba score tonight")</f>
        <v>nba score tonight</v>
      </c>
    </row>
    <row r="29">
      <c r="B29" s="7" t="str">
        <f>IFERROR(__xludf.DUMMYFUNCTION("""COMPUTED_VALUE"""),"nba predictions tonight")</f>
        <v>nba predictions tonight</v>
      </c>
    </row>
    <row r="30">
      <c r="B30" s="7" t="str">
        <f>IFERROR(__xludf.DUMMYFUNCTION("""COMPUTED_VALUE"""),"nba picks tonight")</f>
        <v>nba picks tonight</v>
      </c>
    </row>
    <row r="31">
      <c r="B31" s="7" t="str">
        <f>IFERROR(__xludf.DUMMYFUNCTION("""COMPUTED_VALUE"""),"nba schedule tonight")</f>
        <v>nba schedule tonight</v>
      </c>
    </row>
    <row r="32">
      <c r="B32" s="7" t="str">
        <f>IFERROR(__xludf.DUMMYFUNCTION("""COMPUTED_VALUE"""),"nba betting live")</f>
        <v>nba betting live</v>
      </c>
    </row>
    <row r="33">
      <c r="B33" s="7" t="str">
        <f>IFERROR(__xludf.DUMMYFUNCTION("""COMPUTED_VALUE"""),"nba bets live")</f>
        <v>nba bets live</v>
      </c>
    </row>
    <row r="34">
      <c r="B34" s="7" t="str">
        <f>IFERROR(__xludf.DUMMYFUNCTION("""COMPUTED_VALUE"""),"nba bet live")</f>
        <v>nba bet live</v>
      </c>
    </row>
    <row r="35">
      <c r="B35" s="7" t="str">
        <f>IFERROR(__xludf.DUMMYFUNCTION("""COMPUTED_VALUE"""),"nba odds live")</f>
        <v>nba odds live</v>
      </c>
    </row>
    <row r="36">
      <c r="B36" s="7" t="str">
        <f>IFERROR(__xludf.DUMMYFUNCTION("""COMPUTED_VALUE"""),"nba betting odds live")</f>
        <v>nba betting odds live</v>
      </c>
    </row>
    <row r="37">
      <c r="B37" s="7" t="str">
        <f>IFERROR(__xludf.DUMMYFUNCTION("""COMPUTED_VALUE"""),"nba scores live")</f>
        <v>nba scores live</v>
      </c>
    </row>
    <row r="38">
      <c r="B38" s="7" t="str">
        <f>IFERROR(__xludf.DUMMYFUNCTION("""COMPUTED_VALUE"""),"nba score live")</f>
        <v>nba score live</v>
      </c>
    </row>
    <row r="39">
      <c r="B39" s="7" t="str">
        <f>IFERROR(__xludf.DUMMYFUNCTION("""COMPUTED_VALUE"""),"nba predictions live")</f>
        <v>nba predictions live</v>
      </c>
    </row>
    <row r="40">
      <c r="B40" s="7" t="str">
        <f>IFERROR(__xludf.DUMMYFUNCTION("""COMPUTED_VALUE"""),"nba picks live")</f>
        <v>nba picks live</v>
      </c>
    </row>
    <row r="41">
      <c r="B41" s="7" t="str">
        <f>IFERROR(__xludf.DUMMYFUNCTION("""COMPUTED_VALUE"""),"nba schedule live")</f>
        <v>nba schedule live</v>
      </c>
    </row>
    <row r="42">
      <c r="B42" s="7" t="str">
        <f>IFERROR(__xludf.DUMMYFUNCTION("""COMPUTED_VALUE"""),"nba betting games")</f>
        <v>nba betting games</v>
      </c>
    </row>
    <row r="43">
      <c r="B43" s="7" t="str">
        <f>IFERROR(__xludf.DUMMYFUNCTION("""COMPUTED_VALUE"""),"nba bets games")</f>
        <v>nba bets games</v>
      </c>
    </row>
    <row r="44">
      <c r="B44" s="7" t="str">
        <f>IFERROR(__xludf.DUMMYFUNCTION("""COMPUTED_VALUE"""),"nba bet games")</f>
        <v>nba bet games</v>
      </c>
    </row>
    <row r="45">
      <c r="B45" s="7" t="str">
        <f>IFERROR(__xludf.DUMMYFUNCTION("""COMPUTED_VALUE"""),"nba odds games")</f>
        <v>nba odds games</v>
      </c>
    </row>
    <row r="46">
      <c r="B46" s="7" t="str">
        <f>IFERROR(__xludf.DUMMYFUNCTION("""COMPUTED_VALUE"""),"nba betting odds games")</f>
        <v>nba betting odds games</v>
      </c>
    </row>
    <row r="47">
      <c r="B47" s="7" t="str">
        <f>IFERROR(__xludf.DUMMYFUNCTION("""COMPUTED_VALUE"""),"nba scores games")</f>
        <v>nba scores games</v>
      </c>
    </row>
    <row r="48">
      <c r="B48" s="7" t="str">
        <f>IFERROR(__xludf.DUMMYFUNCTION("""COMPUTED_VALUE"""),"nba score games")</f>
        <v>nba score games</v>
      </c>
    </row>
    <row r="49">
      <c r="B49" s="7" t="str">
        <f>IFERROR(__xludf.DUMMYFUNCTION("""COMPUTED_VALUE"""),"nba predictions games")</f>
        <v>nba predictions games</v>
      </c>
    </row>
    <row r="50">
      <c r="B50" s="7" t="str">
        <f>IFERROR(__xludf.DUMMYFUNCTION("""COMPUTED_VALUE"""),"nba picks games")</f>
        <v>nba picks games</v>
      </c>
    </row>
    <row r="51">
      <c r="B51" s="7" t="str">
        <f>IFERROR(__xludf.DUMMYFUNCTION("""COMPUTED_VALUE"""),"nba schedule games")</f>
        <v>nba schedule games</v>
      </c>
    </row>
    <row r="52">
      <c r="B52" s="7" t="str">
        <f>IFERROR(__xludf.DUMMYFUNCTION("""COMPUTED_VALUE"""),"nba betting schedule")</f>
        <v>nba betting schedule</v>
      </c>
    </row>
    <row r="53">
      <c r="B53" s="7" t="str">
        <f>IFERROR(__xludf.DUMMYFUNCTION("""COMPUTED_VALUE"""),"nba bets schedule")</f>
        <v>nba bets schedule</v>
      </c>
    </row>
    <row r="54">
      <c r="B54" s="7" t="str">
        <f>IFERROR(__xludf.DUMMYFUNCTION("""COMPUTED_VALUE"""),"nba bet schedule")</f>
        <v>nba bet schedule</v>
      </c>
    </row>
    <row r="55">
      <c r="B55" s="7" t="str">
        <f>IFERROR(__xludf.DUMMYFUNCTION("""COMPUTED_VALUE"""),"nba odds schedule")</f>
        <v>nba odds schedule</v>
      </c>
    </row>
    <row r="56">
      <c r="B56" s="7" t="str">
        <f>IFERROR(__xludf.DUMMYFUNCTION("""COMPUTED_VALUE"""),"nba betting odds schedule")</f>
        <v>nba betting odds schedule</v>
      </c>
    </row>
    <row r="57">
      <c r="B57" s="7" t="str">
        <f>IFERROR(__xludf.DUMMYFUNCTION("""COMPUTED_VALUE"""),"nba scores schedule")</f>
        <v>nba scores schedule</v>
      </c>
    </row>
    <row r="58">
      <c r="B58" s="7" t="str">
        <f>IFERROR(__xludf.DUMMYFUNCTION("""COMPUTED_VALUE"""),"nba score schedule")</f>
        <v>nba score schedule</v>
      </c>
    </row>
    <row r="59">
      <c r="B59" s="7" t="str">
        <f>IFERROR(__xludf.DUMMYFUNCTION("""COMPUTED_VALUE"""),"nba predictions schedule")</f>
        <v>nba predictions schedule</v>
      </c>
    </row>
    <row r="60">
      <c r="B60" s="7" t="str">
        <f>IFERROR(__xludf.DUMMYFUNCTION("""COMPUTED_VALUE"""),"nba picks schedule")</f>
        <v>nba picks schedule</v>
      </c>
    </row>
    <row r="61">
      <c r="B61" s="7" t="str">
        <f>IFERROR(__xludf.DUMMYFUNCTION("""COMPUTED_VALUE"""),"nba schedule")</f>
        <v>nba schedule</v>
      </c>
    </row>
    <row r="62">
      <c r="B62" s="7" t="str">
        <f>IFERROR(__xludf.DUMMYFUNCTION("""COMPUTED_VALUE"""),"nba betting scores")</f>
        <v>nba betting scores</v>
      </c>
    </row>
    <row r="63">
      <c r="B63" s="7" t="str">
        <f>IFERROR(__xludf.DUMMYFUNCTION("""COMPUTED_VALUE"""),"nba bets scores")</f>
        <v>nba bets scores</v>
      </c>
    </row>
    <row r="64">
      <c r="B64" s="7" t="str">
        <f>IFERROR(__xludf.DUMMYFUNCTION("""COMPUTED_VALUE"""),"nba bet scores")</f>
        <v>nba bet scores</v>
      </c>
    </row>
    <row r="65">
      <c r="B65" s="7" t="str">
        <f>IFERROR(__xludf.DUMMYFUNCTION("""COMPUTED_VALUE"""),"nba odds scores")</f>
        <v>nba odds scores</v>
      </c>
    </row>
    <row r="66">
      <c r="B66" s="7" t="str">
        <f>IFERROR(__xludf.DUMMYFUNCTION("""COMPUTED_VALUE"""),"nba betting odds scores")</f>
        <v>nba betting odds scores</v>
      </c>
    </row>
    <row r="67">
      <c r="B67" s="7" t="str">
        <f>IFERROR(__xludf.DUMMYFUNCTION("""COMPUTED_VALUE"""),"nba scores")</f>
        <v>nba scores</v>
      </c>
    </row>
    <row r="68">
      <c r="B68" s="7" t="str">
        <f>IFERROR(__xludf.DUMMYFUNCTION("""COMPUTED_VALUE"""),"nba score")</f>
        <v>nba score</v>
      </c>
    </row>
    <row r="69">
      <c r="B69" s="7" t="str">
        <f>IFERROR(__xludf.DUMMYFUNCTION("""COMPUTED_VALUE"""),"nba predictions scores")</f>
        <v>nba predictions scores</v>
      </c>
    </row>
    <row r="70">
      <c r="B70" s="7" t="str">
        <f>IFERROR(__xludf.DUMMYFUNCTION("""COMPUTED_VALUE"""),"nba picks scores")</f>
        <v>nba picks scores</v>
      </c>
    </row>
    <row r="71">
      <c r="B71" s="7" t="str">
        <f>IFERROR(__xludf.DUMMYFUNCTION("""COMPUTED_VALUE"""),"nba schedule scores")</f>
        <v>nba schedule scores</v>
      </c>
    </row>
    <row r="72">
      <c r="B72" s="7" t="str">
        <f>IFERROR(__xludf.DUMMYFUNCTION("""COMPUTED_VALUE"""),"nba betting odds")</f>
        <v>nba betting odds</v>
      </c>
    </row>
    <row r="73">
      <c r="B73" s="7" t="str">
        <f>IFERROR(__xludf.DUMMYFUNCTION("""COMPUTED_VALUE"""),"nba bets odds")</f>
        <v>nba bets odds</v>
      </c>
    </row>
    <row r="74">
      <c r="B74" s="7" t="str">
        <f>IFERROR(__xludf.DUMMYFUNCTION("""COMPUTED_VALUE"""),"nba bet odds")</f>
        <v>nba bet odds</v>
      </c>
    </row>
    <row r="75">
      <c r="B75" s="7" t="str">
        <f>IFERROR(__xludf.DUMMYFUNCTION("""COMPUTED_VALUE"""),"nba odds")</f>
        <v>nba odds</v>
      </c>
    </row>
    <row r="76">
      <c r="B76" s="7" t="str">
        <f>IFERROR(__xludf.DUMMYFUNCTION("""COMPUTED_VALUE"""),"nba betting odds")</f>
        <v>nba betting odds</v>
      </c>
    </row>
    <row r="77">
      <c r="B77" s="7" t="str">
        <f>IFERROR(__xludf.DUMMYFUNCTION("""COMPUTED_VALUE"""),"nba scores odds")</f>
        <v>nba scores odds</v>
      </c>
    </row>
    <row r="78">
      <c r="B78" s="7" t="str">
        <f>IFERROR(__xludf.DUMMYFUNCTION("""COMPUTED_VALUE"""),"nba score odds")</f>
        <v>nba score odds</v>
      </c>
    </row>
    <row r="79">
      <c r="B79" s="7" t="str">
        <f>IFERROR(__xludf.DUMMYFUNCTION("""COMPUTED_VALUE"""),"nba predictions odds")</f>
        <v>nba predictions odds</v>
      </c>
    </row>
    <row r="80">
      <c r="B80" s="7" t="str">
        <f>IFERROR(__xludf.DUMMYFUNCTION("""COMPUTED_VALUE"""),"nba picks odds")</f>
        <v>nba picks odds</v>
      </c>
    </row>
    <row r="81">
      <c r="B81" s="7" t="str">
        <f>IFERROR(__xludf.DUMMYFUNCTION("""COMPUTED_VALUE"""),"nba schedule odds")</f>
        <v>nba schedule odds</v>
      </c>
    </row>
    <row r="82">
      <c r="B82" s="7" t="str">
        <f>IFERROR(__xludf.DUMMYFUNCTION("""COMPUTED_VALUE"""),"nba betting spreads")</f>
        <v>nba betting spreads</v>
      </c>
    </row>
    <row r="83">
      <c r="B83" s="7" t="str">
        <f>IFERROR(__xludf.DUMMYFUNCTION("""COMPUTED_VALUE"""),"nba bets spreads")</f>
        <v>nba bets spreads</v>
      </c>
    </row>
    <row r="84">
      <c r="B84" s="7" t="str">
        <f>IFERROR(__xludf.DUMMYFUNCTION("""COMPUTED_VALUE"""),"nba bet spreads")</f>
        <v>nba bet spreads</v>
      </c>
    </row>
    <row r="85">
      <c r="B85" s="7" t="str">
        <f>IFERROR(__xludf.DUMMYFUNCTION("""COMPUTED_VALUE"""),"nba odds spreads")</f>
        <v>nba odds spreads</v>
      </c>
    </row>
    <row r="86">
      <c r="B86" s="7" t="str">
        <f>IFERROR(__xludf.DUMMYFUNCTION("""COMPUTED_VALUE"""),"nba betting odds spreads")</f>
        <v>nba betting odds spreads</v>
      </c>
    </row>
    <row r="87">
      <c r="B87" s="7" t="str">
        <f>IFERROR(__xludf.DUMMYFUNCTION("""COMPUTED_VALUE"""),"nba scores spreads")</f>
        <v>nba scores spreads</v>
      </c>
    </row>
    <row r="88">
      <c r="B88" s="7" t="str">
        <f>IFERROR(__xludf.DUMMYFUNCTION("""COMPUTED_VALUE"""),"nba score spreads")</f>
        <v>nba score spreads</v>
      </c>
    </row>
    <row r="89">
      <c r="B89" s="7" t="str">
        <f>IFERROR(__xludf.DUMMYFUNCTION("""COMPUTED_VALUE"""),"nba predictions spreads")</f>
        <v>nba predictions spreads</v>
      </c>
    </row>
    <row r="90">
      <c r="B90" s="7" t="str">
        <f>IFERROR(__xludf.DUMMYFUNCTION("""COMPUTED_VALUE"""),"nba picks spreads")</f>
        <v>nba picks spreads</v>
      </c>
    </row>
    <row r="91">
      <c r="B91" s="7" t="str">
        <f>IFERROR(__xludf.DUMMYFUNCTION("""COMPUTED_VALUE"""),"nba schedule spreads")</f>
        <v>nba schedule spreads</v>
      </c>
    </row>
    <row r="92">
      <c r="B92" s="7" t="str">
        <f>IFERROR(__xludf.DUMMYFUNCTION("""COMPUTED_VALUE"""),"nba betting point spread")</f>
        <v>nba betting point spread</v>
      </c>
    </row>
    <row r="93">
      <c r="B93" s="7" t="str">
        <f>IFERROR(__xludf.DUMMYFUNCTION("""COMPUTED_VALUE"""),"nba bets point spread")</f>
        <v>nba bets point spread</v>
      </c>
    </row>
    <row r="94">
      <c r="B94" s="7" t="str">
        <f>IFERROR(__xludf.DUMMYFUNCTION("""COMPUTED_VALUE"""),"nba bet point spread")</f>
        <v>nba bet point spread</v>
      </c>
    </row>
    <row r="95">
      <c r="B95" s="7" t="str">
        <f>IFERROR(__xludf.DUMMYFUNCTION("""COMPUTED_VALUE"""),"nba odds point spread")</f>
        <v>nba odds point spread</v>
      </c>
    </row>
    <row r="96">
      <c r="B96" s="7" t="str">
        <f>IFERROR(__xludf.DUMMYFUNCTION("""COMPUTED_VALUE"""),"nba betting odds point spread")</f>
        <v>nba betting odds point spread</v>
      </c>
    </row>
    <row r="97">
      <c r="B97" s="7" t="str">
        <f>IFERROR(__xludf.DUMMYFUNCTION("""COMPUTED_VALUE"""),"nba scores point spread")</f>
        <v>nba scores point spread</v>
      </c>
    </row>
    <row r="98">
      <c r="B98" s="7" t="str">
        <f>IFERROR(__xludf.DUMMYFUNCTION("""COMPUTED_VALUE"""),"nba score point spread")</f>
        <v>nba score point spread</v>
      </c>
    </row>
    <row r="99">
      <c r="B99" s="7" t="str">
        <f>IFERROR(__xludf.DUMMYFUNCTION("""COMPUTED_VALUE"""),"nba predictions point spread")</f>
        <v>nba predictions point spread</v>
      </c>
    </row>
    <row r="100">
      <c r="B100" s="7" t="str">
        <f>IFERROR(__xludf.DUMMYFUNCTION("""COMPUTED_VALUE"""),"nba picks point spread")</f>
        <v>nba picks point spread</v>
      </c>
    </row>
    <row r="101">
      <c r="B101" s="7" t="str">
        <f>IFERROR(__xludf.DUMMYFUNCTION("""COMPUTED_VALUE"""),"nba schedule point spread")</f>
        <v>nba schedule point spread</v>
      </c>
    </row>
    <row r="102">
      <c r="B102" s="7" t="str">
        <f>IFERROR(__xludf.DUMMYFUNCTION("""COMPUTED_VALUE"""),"nba betting moneyline")</f>
        <v>nba betting moneyline</v>
      </c>
    </row>
    <row r="103">
      <c r="B103" s="7" t="str">
        <f>IFERROR(__xludf.DUMMYFUNCTION("""COMPUTED_VALUE"""),"nba bets moneyline")</f>
        <v>nba bets moneyline</v>
      </c>
    </row>
    <row r="104">
      <c r="B104" s="7" t="str">
        <f>IFERROR(__xludf.DUMMYFUNCTION("""COMPUTED_VALUE"""),"nba bet moneyline")</f>
        <v>nba bet moneyline</v>
      </c>
    </row>
    <row r="105">
      <c r="B105" s="7" t="str">
        <f>IFERROR(__xludf.DUMMYFUNCTION("""COMPUTED_VALUE"""),"nba odds moneyline")</f>
        <v>nba odds moneyline</v>
      </c>
    </row>
    <row r="106">
      <c r="B106" s="7" t="str">
        <f>IFERROR(__xludf.DUMMYFUNCTION("""COMPUTED_VALUE"""),"nba betting odds moneyline")</f>
        <v>nba betting odds moneyline</v>
      </c>
    </row>
    <row r="107">
      <c r="B107" s="7" t="str">
        <f>IFERROR(__xludf.DUMMYFUNCTION("""COMPUTED_VALUE"""),"nba scores moneyline")</f>
        <v>nba scores moneyline</v>
      </c>
    </row>
    <row r="108">
      <c r="B108" s="7" t="str">
        <f>IFERROR(__xludf.DUMMYFUNCTION("""COMPUTED_VALUE"""),"nba score moneyline")</f>
        <v>nba score moneyline</v>
      </c>
    </row>
    <row r="109">
      <c r="B109" s="7" t="str">
        <f>IFERROR(__xludf.DUMMYFUNCTION("""COMPUTED_VALUE"""),"nba predictions moneyline")</f>
        <v>nba predictions moneyline</v>
      </c>
    </row>
    <row r="110">
      <c r="B110" s="7" t="str">
        <f>IFERROR(__xludf.DUMMYFUNCTION("""COMPUTED_VALUE"""),"nba picks moneyline")</f>
        <v>nba picks moneyline</v>
      </c>
    </row>
    <row r="111">
      <c r="B111" s="7" t="str">
        <f>IFERROR(__xludf.DUMMYFUNCTION("""COMPUTED_VALUE"""),"nba schedule moneyline")</f>
        <v>nba schedule moneyline</v>
      </c>
    </row>
    <row r="112">
      <c r="B112" s="7" t="str">
        <f>IFERROR(__xludf.DUMMYFUNCTION("""COMPUTED_VALUE"""),"nba betting over under")</f>
        <v>nba betting over under</v>
      </c>
    </row>
    <row r="113">
      <c r="B113" s="7" t="str">
        <f>IFERROR(__xludf.DUMMYFUNCTION("""COMPUTED_VALUE"""),"nba bets over under")</f>
        <v>nba bets over under</v>
      </c>
    </row>
    <row r="114">
      <c r="B114" s="7" t="str">
        <f>IFERROR(__xludf.DUMMYFUNCTION("""COMPUTED_VALUE"""),"nba bet over under")</f>
        <v>nba bet over under</v>
      </c>
    </row>
    <row r="115">
      <c r="B115" s="7" t="str">
        <f>IFERROR(__xludf.DUMMYFUNCTION("""COMPUTED_VALUE"""),"nba odds over under")</f>
        <v>nba odds over under</v>
      </c>
    </row>
    <row r="116">
      <c r="B116" s="7" t="str">
        <f>IFERROR(__xludf.DUMMYFUNCTION("""COMPUTED_VALUE"""),"nba betting odds over under")</f>
        <v>nba betting odds over under</v>
      </c>
    </row>
    <row r="117">
      <c r="B117" s="7" t="str">
        <f>IFERROR(__xludf.DUMMYFUNCTION("""COMPUTED_VALUE"""),"nba scores over under")</f>
        <v>nba scores over under</v>
      </c>
    </row>
    <row r="118">
      <c r="B118" s="7" t="str">
        <f>IFERROR(__xludf.DUMMYFUNCTION("""COMPUTED_VALUE"""),"nba score over under")</f>
        <v>nba score over under</v>
      </c>
    </row>
    <row r="119">
      <c r="B119" s="7" t="str">
        <f>IFERROR(__xludf.DUMMYFUNCTION("""COMPUTED_VALUE"""),"nba predictions over under")</f>
        <v>nba predictions over under</v>
      </c>
    </row>
    <row r="120">
      <c r="B120" s="7" t="str">
        <f>IFERROR(__xludf.DUMMYFUNCTION("""COMPUTED_VALUE"""),"nba picks over under")</f>
        <v>nba picks over under</v>
      </c>
    </row>
    <row r="121">
      <c r="B121" s="7" t="str">
        <f>IFERROR(__xludf.DUMMYFUNCTION("""COMPUTED_VALUE"""),"nba schedule over under")</f>
        <v>nba schedule over under</v>
      </c>
    </row>
    <row r="122">
      <c r="B122" s="7" t="str">
        <f>IFERROR(__xludf.DUMMYFUNCTION("""COMPUTED_VALUE"""),"nba betting props")</f>
        <v>nba betting props</v>
      </c>
    </row>
    <row r="123">
      <c r="B123" s="7" t="str">
        <f>IFERROR(__xludf.DUMMYFUNCTION("""COMPUTED_VALUE"""),"nba bets props")</f>
        <v>nba bets props</v>
      </c>
    </row>
    <row r="124">
      <c r="B124" s="7" t="str">
        <f>IFERROR(__xludf.DUMMYFUNCTION("""COMPUTED_VALUE"""),"nba bet props")</f>
        <v>nba bet props</v>
      </c>
    </row>
    <row r="125">
      <c r="B125" s="7" t="str">
        <f>IFERROR(__xludf.DUMMYFUNCTION("""COMPUTED_VALUE"""),"nba odds props")</f>
        <v>nba odds props</v>
      </c>
    </row>
    <row r="126">
      <c r="B126" s="7" t="str">
        <f>IFERROR(__xludf.DUMMYFUNCTION("""COMPUTED_VALUE"""),"nba betting odds props")</f>
        <v>nba betting odds props</v>
      </c>
    </row>
    <row r="127">
      <c r="B127" s="7" t="str">
        <f>IFERROR(__xludf.DUMMYFUNCTION("""COMPUTED_VALUE"""),"nba scores props")</f>
        <v>nba scores props</v>
      </c>
    </row>
    <row r="128">
      <c r="B128" s="7" t="str">
        <f>IFERROR(__xludf.DUMMYFUNCTION("""COMPUTED_VALUE"""),"nba score props")</f>
        <v>nba score props</v>
      </c>
    </row>
    <row r="129">
      <c r="B129" s="7" t="str">
        <f>IFERROR(__xludf.DUMMYFUNCTION("""COMPUTED_VALUE"""),"nba predictions props")</f>
        <v>nba predictions props</v>
      </c>
    </row>
    <row r="130">
      <c r="B130" s="7" t="str">
        <f>IFERROR(__xludf.DUMMYFUNCTION("""COMPUTED_VALUE"""),"nba picks props")</f>
        <v>nba picks props</v>
      </c>
    </row>
    <row r="131">
      <c r="B131" s="7" t="str">
        <f>IFERROR(__xludf.DUMMYFUNCTION("""COMPUTED_VALUE"""),"nba schedule props")</f>
        <v>nba schedule props</v>
      </c>
    </row>
    <row r="132">
      <c r="B132" s="7" t="str">
        <f>IFERROR(__xludf.DUMMYFUNCTION("""COMPUTED_VALUE"""),"nba betting player props")</f>
        <v>nba betting player props</v>
      </c>
    </row>
    <row r="133">
      <c r="B133" s="7" t="str">
        <f>IFERROR(__xludf.DUMMYFUNCTION("""COMPUTED_VALUE"""),"nba bets player props")</f>
        <v>nba bets player props</v>
      </c>
    </row>
    <row r="134">
      <c r="B134" s="7" t="str">
        <f>IFERROR(__xludf.DUMMYFUNCTION("""COMPUTED_VALUE"""),"nba bet player props")</f>
        <v>nba bet player props</v>
      </c>
    </row>
    <row r="135">
      <c r="B135" s="7" t="str">
        <f>IFERROR(__xludf.DUMMYFUNCTION("""COMPUTED_VALUE"""),"nba odds player props")</f>
        <v>nba odds player props</v>
      </c>
    </row>
    <row r="136">
      <c r="B136" s="7" t="str">
        <f>IFERROR(__xludf.DUMMYFUNCTION("""COMPUTED_VALUE"""),"nba betting odds player props")</f>
        <v>nba betting odds player props</v>
      </c>
    </row>
    <row r="137">
      <c r="B137" s="7" t="str">
        <f>IFERROR(__xludf.DUMMYFUNCTION("""COMPUTED_VALUE"""),"nba scores player props")</f>
        <v>nba scores player props</v>
      </c>
    </row>
    <row r="138">
      <c r="B138" s="7" t="str">
        <f>IFERROR(__xludf.DUMMYFUNCTION("""COMPUTED_VALUE"""),"nba score player props")</f>
        <v>nba score player props</v>
      </c>
    </row>
    <row r="139">
      <c r="B139" s="7" t="str">
        <f>IFERROR(__xludf.DUMMYFUNCTION("""COMPUTED_VALUE"""),"nba predictions player props")</f>
        <v>nba predictions player props</v>
      </c>
    </row>
    <row r="140">
      <c r="B140" s="7" t="str">
        <f>IFERROR(__xludf.DUMMYFUNCTION("""COMPUTED_VALUE"""),"nba picks player props")</f>
        <v>nba picks player props</v>
      </c>
    </row>
    <row r="141">
      <c r="B141" s="7" t="str">
        <f>IFERROR(__xludf.DUMMYFUNCTION("""COMPUTED_VALUE"""),"nba schedule player props")</f>
        <v>nba schedule player props</v>
      </c>
    </row>
    <row r="142">
      <c r="B142" s="7" t="str">
        <f>IFERROR(__xludf.DUMMYFUNCTION("""COMPUTED_VALUE"""),"nba betting injury report")</f>
        <v>nba betting injury report</v>
      </c>
    </row>
    <row r="143">
      <c r="B143" s="7" t="str">
        <f>IFERROR(__xludf.DUMMYFUNCTION("""COMPUTED_VALUE"""),"nba bets injury report")</f>
        <v>nba bets injury report</v>
      </c>
    </row>
    <row r="144">
      <c r="B144" s="7" t="str">
        <f>IFERROR(__xludf.DUMMYFUNCTION("""COMPUTED_VALUE"""),"nba bet injury report")</f>
        <v>nba bet injury report</v>
      </c>
    </row>
    <row r="145">
      <c r="B145" s="7" t="str">
        <f>IFERROR(__xludf.DUMMYFUNCTION("""COMPUTED_VALUE"""),"nba odds injury report")</f>
        <v>nba odds injury report</v>
      </c>
    </row>
    <row r="146">
      <c r="B146" s="7" t="str">
        <f>IFERROR(__xludf.DUMMYFUNCTION("""COMPUTED_VALUE"""),"nba betting odds injury report")</f>
        <v>nba betting odds injury report</v>
      </c>
    </row>
    <row r="147">
      <c r="B147" s="7" t="str">
        <f>IFERROR(__xludf.DUMMYFUNCTION("""COMPUTED_VALUE"""),"nba scores injury report")</f>
        <v>nba scores injury report</v>
      </c>
    </row>
    <row r="148">
      <c r="B148" s="7" t="str">
        <f>IFERROR(__xludf.DUMMYFUNCTION("""COMPUTED_VALUE"""),"nba score injury report")</f>
        <v>nba score injury report</v>
      </c>
    </row>
    <row r="149">
      <c r="B149" s="7" t="str">
        <f>IFERROR(__xludf.DUMMYFUNCTION("""COMPUTED_VALUE"""),"nba predictions injury report")</f>
        <v>nba predictions injury report</v>
      </c>
    </row>
    <row r="150">
      <c r="B150" s="7" t="str">
        <f>IFERROR(__xludf.DUMMYFUNCTION("""COMPUTED_VALUE"""),"nba picks injury report")</f>
        <v>nba picks injury report</v>
      </c>
    </row>
    <row r="151">
      <c r="B151" s="7" t="str">
        <f>IFERROR(__xludf.DUMMYFUNCTION("""COMPUTED_VALUE"""),"nba schedule injury report")</f>
        <v>nba schedule injury report</v>
      </c>
    </row>
    <row r="152">
      <c r="B152" s="7" t="str">
        <f>IFERROR(__xludf.DUMMYFUNCTION("""COMPUTED_VALUE"""),"nba betting standings")</f>
        <v>nba betting standings</v>
      </c>
    </row>
    <row r="153">
      <c r="B153" s="7" t="str">
        <f>IFERROR(__xludf.DUMMYFUNCTION("""COMPUTED_VALUE"""),"nba bets standings")</f>
        <v>nba bets standings</v>
      </c>
    </row>
    <row r="154">
      <c r="B154" s="7" t="str">
        <f>IFERROR(__xludf.DUMMYFUNCTION("""COMPUTED_VALUE"""),"nba bet standings")</f>
        <v>nba bet standings</v>
      </c>
    </row>
    <row r="155">
      <c r="B155" s="7" t="str">
        <f>IFERROR(__xludf.DUMMYFUNCTION("""COMPUTED_VALUE"""),"nba odds standings")</f>
        <v>nba odds standings</v>
      </c>
    </row>
    <row r="156">
      <c r="B156" s="7" t="str">
        <f>IFERROR(__xludf.DUMMYFUNCTION("""COMPUTED_VALUE"""),"nba betting odds standings")</f>
        <v>nba betting odds standings</v>
      </c>
    </row>
    <row r="157">
      <c r="B157" s="7" t="str">
        <f>IFERROR(__xludf.DUMMYFUNCTION("""COMPUTED_VALUE"""),"nba scores standings")</f>
        <v>nba scores standings</v>
      </c>
    </row>
    <row r="158">
      <c r="B158" s="7" t="str">
        <f>IFERROR(__xludf.DUMMYFUNCTION("""COMPUTED_VALUE"""),"nba score standings")</f>
        <v>nba score standings</v>
      </c>
    </row>
    <row r="159">
      <c r="B159" s="7" t="str">
        <f>IFERROR(__xludf.DUMMYFUNCTION("""COMPUTED_VALUE"""),"nba predictions standings")</f>
        <v>nba predictions standings</v>
      </c>
    </row>
    <row r="160">
      <c r="B160" s="7" t="str">
        <f>IFERROR(__xludf.DUMMYFUNCTION("""COMPUTED_VALUE"""),"nba picks standings")</f>
        <v>nba picks standings</v>
      </c>
    </row>
    <row r="161">
      <c r="B161" s="7" t="str">
        <f>IFERROR(__xludf.DUMMYFUNCTION("""COMPUTED_VALUE"""),"nba schedule standings")</f>
        <v>nba schedule standings</v>
      </c>
    </row>
    <row r="162">
      <c r="B162" s="7" t="str">
        <f>IFERROR(__xludf.DUMMYFUNCTION("""COMPUTED_VALUE"""),"nba betting playoffs")</f>
        <v>nba betting playoffs</v>
      </c>
    </row>
    <row r="163">
      <c r="B163" s="7" t="str">
        <f>IFERROR(__xludf.DUMMYFUNCTION("""COMPUTED_VALUE"""),"nba bets playoffs")</f>
        <v>nba bets playoffs</v>
      </c>
    </row>
    <row r="164">
      <c r="B164" s="7" t="str">
        <f>IFERROR(__xludf.DUMMYFUNCTION("""COMPUTED_VALUE"""),"nba bet playoffs")</f>
        <v>nba bet playoffs</v>
      </c>
    </row>
    <row r="165">
      <c r="B165" s="7" t="str">
        <f>IFERROR(__xludf.DUMMYFUNCTION("""COMPUTED_VALUE"""),"nba odds playoffs")</f>
        <v>nba odds playoffs</v>
      </c>
    </row>
    <row r="166">
      <c r="B166" s="7" t="str">
        <f>IFERROR(__xludf.DUMMYFUNCTION("""COMPUTED_VALUE"""),"nba betting odds playoffs")</f>
        <v>nba betting odds playoffs</v>
      </c>
    </row>
    <row r="167">
      <c r="B167" s="7" t="str">
        <f>IFERROR(__xludf.DUMMYFUNCTION("""COMPUTED_VALUE"""),"nba scores playoffs")</f>
        <v>nba scores playoffs</v>
      </c>
    </row>
    <row r="168">
      <c r="B168" s="7" t="str">
        <f>IFERROR(__xludf.DUMMYFUNCTION("""COMPUTED_VALUE"""),"nba score playoffs")</f>
        <v>nba score playoffs</v>
      </c>
    </row>
    <row r="169">
      <c r="B169" s="7" t="str">
        <f>IFERROR(__xludf.DUMMYFUNCTION("""COMPUTED_VALUE"""),"nba predictions playoffs")</f>
        <v>nba predictions playoffs</v>
      </c>
    </row>
    <row r="170">
      <c r="B170" s="7" t="str">
        <f>IFERROR(__xludf.DUMMYFUNCTION("""COMPUTED_VALUE"""),"nba picks playoffs")</f>
        <v>nba picks playoffs</v>
      </c>
    </row>
    <row r="171">
      <c r="B171" s="7" t="str">
        <f>IFERROR(__xludf.DUMMYFUNCTION("""COMPUTED_VALUE"""),"nba schedule playoffs")</f>
        <v>nba schedule playoffs</v>
      </c>
    </row>
    <row r="172">
      <c r="B172" s="7" t="str">
        <f>IFERROR(__xludf.DUMMYFUNCTION("""COMPUTED_VALUE"""),"nba betting finals")</f>
        <v>nba betting finals</v>
      </c>
    </row>
    <row r="173">
      <c r="B173" s="7" t="str">
        <f>IFERROR(__xludf.DUMMYFUNCTION("""COMPUTED_VALUE"""),"nba bets finals")</f>
        <v>nba bets finals</v>
      </c>
    </row>
    <row r="174">
      <c r="B174" s="7" t="str">
        <f>IFERROR(__xludf.DUMMYFUNCTION("""COMPUTED_VALUE"""),"nba bet finals")</f>
        <v>nba bet finals</v>
      </c>
    </row>
    <row r="175">
      <c r="B175" s="7" t="str">
        <f>IFERROR(__xludf.DUMMYFUNCTION("""COMPUTED_VALUE"""),"nba odds finals")</f>
        <v>nba odds finals</v>
      </c>
    </row>
    <row r="176">
      <c r="B176" s="7" t="str">
        <f>IFERROR(__xludf.DUMMYFUNCTION("""COMPUTED_VALUE"""),"nba betting odds finals")</f>
        <v>nba betting odds finals</v>
      </c>
    </row>
    <row r="177">
      <c r="B177" s="7" t="str">
        <f>IFERROR(__xludf.DUMMYFUNCTION("""COMPUTED_VALUE"""),"nba scores finals")</f>
        <v>nba scores finals</v>
      </c>
    </row>
    <row r="178">
      <c r="B178" s="7" t="str">
        <f>IFERROR(__xludf.DUMMYFUNCTION("""COMPUTED_VALUE"""),"nba score finals")</f>
        <v>nba score finals</v>
      </c>
    </row>
    <row r="179">
      <c r="B179" s="7" t="str">
        <f>IFERROR(__xludf.DUMMYFUNCTION("""COMPUTED_VALUE"""),"nba predictions finals")</f>
        <v>nba predictions finals</v>
      </c>
    </row>
    <row r="180">
      <c r="B180" s="7" t="str">
        <f>IFERROR(__xludf.DUMMYFUNCTION("""COMPUTED_VALUE"""),"nba picks finals")</f>
        <v>nba picks finals</v>
      </c>
    </row>
    <row r="181">
      <c r="B181" s="7" t="str">
        <f>IFERROR(__xludf.DUMMYFUNCTION("""COMPUTED_VALUE"""),"nba schedule finals")</f>
        <v>nba schedule finals</v>
      </c>
    </row>
    <row r="182">
      <c r="B182" s="7" t="str">
        <f>IFERROR(__xludf.DUMMYFUNCTION("""COMPUTED_VALUE"""),"nba betting parlay")</f>
        <v>nba betting parlay</v>
      </c>
    </row>
    <row r="183">
      <c r="B183" s="7" t="str">
        <f>IFERROR(__xludf.DUMMYFUNCTION("""COMPUTED_VALUE"""),"nba bets parlay")</f>
        <v>nba bets parlay</v>
      </c>
    </row>
    <row r="184">
      <c r="B184" s="7" t="str">
        <f>IFERROR(__xludf.DUMMYFUNCTION("""COMPUTED_VALUE"""),"nba bet parlay")</f>
        <v>nba bet parlay</v>
      </c>
    </row>
    <row r="185">
      <c r="B185" s="7" t="str">
        <f>IFERROR(__xludf.DUMMYFUNCTION("""COMPUTED_VALUE"""),"nba odds parlay")</f>
        <v>nba odds parlay</v>
      </c>
    </row>
    <row r="186">
      <c r="B186" s="7" t="str">
        <f>IFERROR(__xludf.DUMMYFUNCTION("""COMPUTED_VALUE"""),"nba betting odds parlay")</f>
        <v>nba betting odds parlay</v>
      </c>
    </row>
    <row r="187">
      <c r="B187" s="7" t="str">
        <f>IFERROR(__xludf.DUMMYFUNCTION("""COMPUTED_VALUE"""),"nba scores parlay")</f>
        <v>nba scores parlay</v>
      </c>
    </row>
    <row r="188">
      <c r="B188" s="7" t="str">
        <f>IFERROR(__xludf.DUMMYFUNCTION("""COMPUTED_VALUE"""),"nba score parlay")</f>
        <v>nba score parlay</v>
      </c>
    </row>
    <row r="189">
      <c r="B189" s="7" t="str">
        <f>IFERROR(__xludf.DUMMYFUNCTION("""COMPUTED_VALUE"""),"nba predictions parlay")</f>
        <v>nba predictions parlay</v>
      </c>
    </row>
    <row r="190">
      <c r="B190" s="7" t="str">
        <f>IFERROR(__xludf.DUMMYFUNCTION("""COMPUTED_VALUE"""),"nba picks parlay")</f>
        <v>nba picks parlay</v>
      </c>
    </row>
    <row r="191">
      <c r="B191" s="7" t="str">
        <f>IFERROR(__xludf.DUMMYFUNCTION("""COMPUTED_VALUE"""),"nba schedule parlay")</f>
        <v>nba schedule parlay</v>
      </c>
    </row>
    <row r="192">
      <c r="B192" s="7" t="str">
        <f>IFERROR(__xludf.DUMMYFUNCTION("""COMPUTED_VALUE"""),"nba betting parlays")</f>
        <v>nba betting parlays</v>
      </c>
    </row>
    <row r="193">
      <c r="B193" s="7" t="str">
        <f>IFERROR(__xludf.DUMMYFUNCTION("""COMPUTED_VALUE"""),"nba bets parlays")</f>
        <v>nba bets parlays</v>
      </c>
    </row>
    <row r="194">
      <c r="B194" s="7" t="str">
        <f>IFERROR(__xludf.DUMMYFUNCTION("""COMPUTED_VALUE"""),"nba bet parlays")</f>
        <v>nba bet parlays</v>
      </c>
    </row>
    <row r="195">
      <c r="B195" s="7" t="str">
        <f>IFERROR(__xludf.DUMMYFUNCTION("""COMPUTED_VALUE"""),"nba odds parlays")</f>
        <v>nba odds parlays</v>
      </c>
    </row>
    <row r="196">
      <c r="B196" s="7" t="str">
        <f>IFERROR(__xludf.DUMMYFUNCTION("""COMPUTED_VALUE"""),"nba betting odds parlays")</f>
        <v>nba betting odds parlays</v>
      </c>
    </row>
    <row r="197">
      <c r="B197" s="7" t="str">
        <f>IFERROR(__xludf.DUMMYFUNCTION("""COMPUTED_VALUE"""),"nba scores parlays")</f>
        <v>nba scores parlays</v>
      </c>
    </row>
    <row r="198">
      <c r="B198" s="7" t="str">
        <f>IFERROR(__xludf.DUMMYFUNCTION("""COMPUTED_VALUE"""),"nba score parlays")</f>
        <v>nba score parlays</v>
      </c>
    </row>
    <row r="199">
      <c r="B199" s="7" t="str">
        <f>IFERROR(__xludf.DUMMYFUNCTION("""COMPUTED_VALUE"""),"nba predictions parlays")</f>
        <v>nba predictions parlays</v>
      </c>
    </row>
    <row r="200">
      <c r="B200" s="7" t="str">
        <f>IFERROR(__xludf.DUMMYFUNCTION("""COMPUTED_VALUE"""),"nba picks parlays")</f>
        <v>nba picks parlays</v>
      </c>
    </row>
    <row r="201">
      <c r="B201" s="7" t="str">
        <f>IFERROR(__xludf.DUMMYFUNCTION("""COMPUTED_VALUE"""),"nba schedule parlays")</f>
        <v>nba schedule parlays</v>
      </c>
    </row>
    <row r="202">
      <c r="B202" s="7" t="str">
        <f>IFERROR(__xludf.DUMMYFUNCTION("""COMPUTED_VALUE"""),"nba betting bet online")</f>
        <v>nba betting bet online</v>
      </c>
    </row>
    <row r="203">
      <c r="B203" s="7" t="str">
        <f>IFERROR(__xludf.DUMMYFUNCTION("""COMPUTED_VALUE"""),"nba bets bet online")</f>
        <v>nba bets bet online</v>
      </c>
    </row>
    <row r="204">
      <c r="B204" s="7" t="str">
        <f>IFERROR(__xludf.DUMMYFUNCTION("""COMPUTED_VALUE"""),"nba bet bet online")</f>
        <v>nba bet bet online</v>
      </c>
    </row>
    <row r="205">
      <c r="B205" s="7" t="str">
        <f>IFERROR(__xludf.DUMMYFUNCTION("""COMPUTED_VALUE"""),"nba odds bet online")</f>
        <v>nba odds bet online</v>
      </c>
    </row>
    <row r="206">
      <c r="B206" s="7" t="str">
        <f>IFERROR(__xludf.DUMMYFUNCTION("""COMPUTED_VALUE"""),"nba betting odds bet online")</f>
        <v>nba betting odds bet online</v>
      </c>
    </row>
    <row r="207">
      <c r="B207" s="7" t="str">
        <f>IFERROR(__xludf.DUMMYFUNCTION("""COMPUTED_VALUE"""),"nba scores bet online")</f>
        <v>nba scores bet online</v>
      </c>
    </row>
    <row r="208">
      <c r="B208" s="7" t="str">
        <f>IFERROR(__xludf.DUMMYFUNCTION("""COMPUTED_VALUE"""),"nba score bet online")</f>
        <v>nba score bet online</v>
      </c>
    </row>
    <row r="209">
      <c r="B209" s="7" t="str">
        <f>IFERROR(__xludf.DUMMYFUNCTION("""COMPUTED_VALUE"""),"nba predictions bet online")</f>
        <v>nba predictions bet online</v>
      </c>
    </row>
    <row r="210">
      <c r="B210" s="7" t="str">
        <f>IFERROR(__xludf.DUMMYFUNCTION("""COMPUTED_VALUE"""),"nba picks bet online")</f>
        <v>nba picks bet online</v>
      </c>
    </row>
    <row r="211">
      <c r="B211" s="7" t="str">
        <f>IFERROR(__xludf.DUMMYFUNCTION("""COMPUTED_VALUE"""),"nba schedule bet online")</f>
        <v>nba schedule bet online</v>
      </c>
    </row>
    <row r="212">
      <c r="B212" s="7" t="str">
        <f>IFERROR(__xludf.DUMMYFUNCTION("""COMPUTED_VALUE"""),"nba betting sportsbook")</f>
        <v>nba betting sportsbook</v>
      </c>
    </row>
    <row r="213">
      <c r="B213" s="7" t="str">
        <f>IFERROR(__xludf.DUMMYFUNCTION("""COMPUTED_VALUE"""),"nba bets sportsbook")</f>
        <v>nba bets sportsbook</v>
      </c>
    </row>
    <row r="214">
      <c r="B214" s="7" t="str">
        <f>IFERROR(__xludf.DUMMYFUNCTION("""COMPUTED_VALUE"""),"nba bet sportsbook")</f>
        <v>nba bet sportsbook</v>
      </c>
    </row>
    <row r="215">
      <c r="B215" s="7" t="str">
        <f>IFERROR(__xludf.DUMMYFUNCTION("""COMPUTED_VALUE"""),"nba odds sportsbook")</f>
        <v>nba odds sportsbook</v>
      </c>
    </row>
    <row r="216">
      <c r="B216" s="7" t="str">
        <f>IFERROR(__xludf.DUMMYFUNCTION("""COMPUTED_VALUE"""),"nba betting odds sportsbook")</f>
        <v>nba betting odds sportsbook</v>
      </c>
    </row>
    <row r="217">
      <c r="B217" s="7" t="str">
        <f>IFERROR(__xludf.DUMMYFUNCTION("""COMPUTED_VALUE"""),"nba scores sportsbook")</f>
        <v>nba scores sportsbook</v>
      </c>
    </row>
    <row r="218">
      <c r="B218" s="7" t="str">
        <f>IFERROR(__xludf.DUMMYFUNCTION("""COMPUTED_VALUE"""),"nba score sportsbook")</f>
        <v>nba score sportsbook</v>
      </c>
    </row>
    <row r="219">
      <c r="B219" s="7" t="str">
        <f>IFERROR(__xludf.DUMMYFUNCTION("""COMPUTED_VALUE"""),"nba predictions sportsbook")</f>
        <v>nba predictions sportsbook</v>
      </c>
    </row>
    <row r="220">
      <c r="B220" s="7" t="str">
        <f>IFERROR(__xludf.DUMMYFUNCTION("""COMPUTED_VALUE"""),"nba picks sportsbook")</f>
        <v>nba picks sportsbook</v>
      </c>
    </row>
    <row r="221">
      <c r="B221" s="7" t="str">
        <f>IFERROR(__xludf.DUMMYFUNCTION("""COMPUTED_VALUE"""),"nba schedule sportsbook")</f>
        <v>nba schedule sportsbook</v>
      </c>
    </row>
    <row r="222">
      <c r="B222" s="7" t="str">
        <f>IFERROR(__xludf.DUMMYFUNCTION("""COMPUTED_VALUE"""),"nba betting betting app")</f>
        <v>nba betting betting app</v>
      </c>
    </row>
    <row r="223">
      <c r="B223" s="7" t="str">
        <f>IFERROR(__xludf.DUMMYFUNCTION("""COMPUTED_VALUE"""),"nba bets betting app")</f>
        <v>nba bets betting app</v>
      </c>
    </row>
    <row r="224">
      <c r="B224" s="7" t="str">
        <f>IFERROR(__xludf.DUMMYFUNCTION("""COMPUTED_VALUE"""),"nba bet betting app")</f>
        <v>nba bet betting app</v>
      </c>
    </row>
    <row r="225">
      <c r="B225" s="7" t="str">
        <f>IFERROR(__xludf.DUMMYFUNCTION("""COMPUTED_VALUE"""),"nba odds betting app")</f>
        <v>nba odds betting app</v>
      </c>
    </row>
    <row r="226">
      <c r="B226" s="7" t="str">
        <f>IFERROR(__xludf.DUMMYFUNCTION("""COMPUTED_VALUE"""),"nba betting odds betting app")</f>
        <v>nba betting odds betting app</v>
      </c>
    </row>
    <row r="227">
      <c r="B227" s="7" t="str">
        <f>IFERROR(__xludf.DUMMYFUNCTION("""COMPUTED_VALUE"""),"nba scores betting app")</f>
        <v>nba scores betting app</v>
      </c>
    </row>
    <row r="228">
      <c r="B228" s="7" t="str">
        <f>IFERROR(__xludf.DUMMYFUNCTION("""COMPUTED_VALUE"""),"nba score betting app")</f>
        <v>nba score betting app</v>
      </c>
    </row>
    <row r="229">
      <c r="B229" s="7" t="str">
        <f>IFERROR(__xludf.DUMMYFUNCTION("""COMPUTED_VALUE"""),"nba predictions betting app")</f>
        <v>nba predictions betting app</v>
      </c>
    </row>
    <row r="230">
      <c r="B230" s="7" t="str">
        <f>IFERROR(__xludf.DUMMYFUNCTION("""COMPUTED_VALUE"""),"nba picks betting app")</f>
        <v>nba picks betting app</v>
      </c>
    </row>
    <row r="231">
      <c r="B231" s="7" t="str">
        <f>IFERROR(__xludf.DUMMYFUNCTION("""COMPUTED_VALUE"""),"nba schedule betting app")</f>
        <v>nba schedule betting app</v>
      </c>
    </row>
    <row r="232">
      <c r="B232" s="7" t="str">
        <f>IFERROR(__xludf.DUMMYFUNCTION("""COMPUTED_VALUE"""),"nba betting best")</f>
        <v>nba betting best</v>
      </c>
    </row>
    <row r="233">
      <c r="B233" s="7" t="str">
        <f>IFERROR(__xludf.DUMMYFUNCTION("""COMPUTED_VALUE"""),"nba bets best")</f>
        <v>nba bets best</v>
      </c>
    </row>
    <row r="234">
      <c r="B234" s="7" t="str">
        <f>IFERROR(__xludf.DUMMYFUNCTION("""COMPUTED_VALUE"""),"nba bet best")</f>
        <v>nba bet best</v>
      </c>
    </row>
    <row r="235">
      <c r="B235" s="7" t="str">
        <f>IFERROR(__xludf.DUMMYFUNCTION("""COMPUTED_VALUE"""),"nba odds best")</f>
        <v>nba odds best</v>
      </c>
    </row>
    <row r="236">
      <c r="B236" s="7" t="str">
        <f>IFERROR(__xludf.DUMMYFUNCTION("""COMPUTED_VALUE"""),"nba betting odds best")</f>
        <v>nba betting odds best</v>
      </c>
    </row>
    <row r="237">
      <c r="B237" s="7" t="str">
        <f>IFERROR(__xludf.DUMMYFUNCTION("""COMPUTED_VALUE"""),"nba scores best")</f>
        <v>nba scores best</v>
      </c>
    </row>
    <row r="238">
      <c r="B238" s="7" t="str">
        <f>IFERROR(__xludf.DUMMYFUNCTION("""COMPUTED_VALUE"""),"nba score best")</f>
        <v>nba score best</v>
      </c>
    </row>
    <row r="239">
      <c r="B239" s="7" t="str">
        <f>IFERROR(__xludf.DUMMYFUNCTION("""COMPUTED_VALUE"""),"nba predictions best")</f>
        <v>nba predictions best</v>
      </c>
    </row>
    <row r="240">
      <c r="B240" s="7" t="str">
        <f>IFERROR(__xludf.DUMMYFUNCTION("""COMPUTED_VALUE"""),"nba picks best")</f>
        <v>nba picks best</v>
      </c>
    </row>
    <row r="241">
      <c r="B241" s="7" t="str">
        <f>IFERROR(__xludf.DUMMYFUNCTION("""COMPUTED_VALUE"""),"nba schedule best")</f>
        <v>nba schedule best</v>
      </c>
    </row>
    <row r="242">
      <c r="B242" s="7" t="str">
        <f>IFERROR(__xludf.DUMMYFUNCTION("""COMPUTED_VALUE"""),"nba betting predictions")</f>
        <v>nba betting predictions</v>
      </c>
    </row>
    <row r="243">
      <c r="B243" s="7" t="str">
        <f>IFERROR(__xludf.DUMMYFUNCTION("""COMPUTED_VALUE"""),"nba bets predictions")</f>
        <v>nba bets predictions</v>
      </c>
    </row>
    <row r="244">
      <c r="B244" s="7" t="str">
        <f>IFERROR(__xludf.DUMMYFUNCTION("""COMPUTED_VALUE"""),"nba bet predictions")</f>
        <v>nba bet predictions</v>
      </c>
    </row>
    <row r="245">
      <c r="B245" s="7" t="str">
        <f>IFERROR(__xludf.DUMMYFUNCTION("""COMPUTED_VALUE"""),"nba odds predictions")</f>
        <v>nba odds predictions</v>
      </c>
    </row>
    <row r="246">
      <c r="B246" s="7" t="str">
        <f>IFERROR(__xludf.DUMMYFUNCTION("""COMPUTED_VALUE"""),"nba betting odds predictions")</f>
        <v>nba betting odds predictions</v>
      </c>
    </row>
    <row r="247">
      <c r="B247" s="7" t="str">
        <f>IFERROR(__xludf.DUMMYFUNCTION("""COMPUTED_VALUE"""),"nba scores predictions")</f>
        <v>nba scores predictions</v>
      </c>
    </row>
    <row r="248">
      <c r="B248" s="7" t="str">
        <f>IFERROR(__xludf.DUMMYFUNCTION("""COMPUTED_VALUE"""),"nba score predictions")</f>
        <v>nba score predictions</v>
      </c>
    </row>
    <row r="249">
      <c r="B249" s="7" t="str">
        <f>IFERROR(__xludf.DUMMYFUNCTION("""COMPUTED_VALUE"""),"nba predictions")</f>
        <v>nba predictions</v>
      </c>
    </row>
    <row r="250">
      <c r="B250" s="7" t="str">
        <f>IFERROR(__xludf.DUMMYFUNCTION("""COMPUTED_VALUE"""),"nba picks predictions")</f>
        <v>nba picks predictions</v>
      </c>
    </row>
    <row r="251">
      <c r="B251" s="7" t="str">
        <f>IFERROR(__xludf.DUMMYFUNCTION("""COMPUTED_VALUE"""),"nba schedule predictions")</f>
        <v>nba schedule predictions</v>
      </c>
    </row>
    <row r="252">
      <c r="B252" s="7" t="str">
        <f>IFERROR(__xludf.DUMMYFUNCTION("""COMPUTED_VALUE"""),"nba betting picks")</f>
        <v>nba betting picks</v>
      </c>
    </row>
    <row r="253">
      <c r="B253" s="7" t="str">
        <f>IFERROR(__xludf.DUMMYFUNCTION("""COMPUTED_VALUE"""),"nba bets picks")</f>
        <v>nba bets picks</v>
      </c>
    </row>
    <row r="254">
      <c r="B254" s="7" t="str">
        <f>IFERROR(__xludf.DUMMYFUNCTION("""COMPUTED_VALUE"""),"nba bet picks")</f>
        <v>nba bet picks</v>
      </c>
    </row>
    <row r="255">
      <c r="B255" s="7" t="str">
        <f>IFERROR(__xludf.DUMMYFUNCTION("""COMPUTED_VALUE"""),"nba odds picks")</f>
        <v>nba odds picks</v>
      </c>
    </row>
    <row r="256">
      <c r="B256" s="7" t="str">
        <f>IFERROR(__xludf.DUMMYFUNCTION("""COMPUTED_VALUE"""),"nba betting odds picks")</f>
        <v>nba betting odds picks</v>
      </c>
    </row>
    <row r="257">
      <c r="B257" s="7" t="str">
        <f>IFERROR(__xludf.DUMMYFUNCTION("""COMPUTED_VALUE"""),"nba scores picks")</f>
        <v>nba scores picks</v>
      </c>
    </row>
    <row r="258">
      <c r="B258" s="7" t="str">
        <f>IFERROR(__xludf.DUMMYFUNCTION("""COMPUTED_VALUE"""),"nba score picks")</f>
        <v>nba score picks</v>
      </c>
    </row>
    <row r="259">
      <c r="B259" s="7" t="str">
        <f>IFERROR(__xludf.DUMMYFUNCTION("""COMPUTED_VALUE"""),"nba predictions picks")</f>
        <v>nba predictions picks</v>
      </c>
    </row>
    <row r="260">
      <c r="B260" s="7" t="str">
        <f>IFERROR(__xludf.DUMMYFUNCTION("""COMPUTED_VALUE"""),"nba picks")</f>
        <v>nba picks</v>
      </c>
    </row>
    <row r="261">
      <c r="B261" s="7" t="str">
        <f>IFERROR(__xludf.DUMMYFUNCTION("""COMPUTED_VALUE"""),"nba schedule picks")</f>
        <v>nba schedule picks</v>
      </c>
    </row>
    <row r="262">
      <c r="B262" s="7" t="str">
        <f>IFERROR(__xludf.DUMMYFUNCTION("""COMPUTED_VALUE"""),"nba betting results")</f>
        <v>nba betting results</v>
      </c>
    </row>
    <row r="263">
      <c r="B263" s="7" t="str">
        <f>IFERROR(__xludf.DUMMYFUNCTION("""COMPUTED_VALUE"""),"nba bets results")</f>
        <v>nba bets results</v>
      </c>
    </row>
    <row r="264">
      <c r="B264" s="7" t="str">
        <f>IFERROR(__xludf.DUMMYFUNCTION("""COMPUTED_VALUE"""),"nba bet results")</f>
        <v>nba bet results</v>
      </c>
    </row>
    <row r="265">
      <c r="B265" s="7" t="str">
        <f>IFERROR(__xludf.DUMMYFUNCTION("""COMPUTED_VALUE"""),"nba odds results")</f>
        <v>nba odds results</v>
      </c>
    </row>
    <row r="266">
      <c r="B266" s="7" t="str">
        <f>IFERROR(__xludf.DUMMYFUNCTION("""COMPUTED_VALUE"""),"nba betting odds results")</f>
        <v>nba betting odds results</v>
      </c>
    </row>
    <row r="267">
      <c r="B267" s="7" t="str">
        <f>IFERROR(__xludf.DUMMYFUNCTION("""COMPUTED_VALUE"""),"nba scores results")</f>
        <v>nba scores results</v>
      </c>
    </row>
    <row r="268">
      <c r="B268" s="7" t="str">
        <f>IFERROR(__xludf.DUMMYFUNCTION("""COMPUTED_VALUE"""),"nba score results")</f>
        <v>nba score results</v>
      </c>
    </row>
    <row r="269">
      <c r="B269" s="7" t="str">
        <f>IFERROR(__xludf.DUMMYFUNCTION("""COMPUTED_VALUE"""),"nba predictions results")</f>
        <v>nba predictions results</v>
      </c>
    </row>
    <row r="270">
      <c r="B270" s="7" t="str">
        <f>IFERROR(__xludf.DUMMYFUNCTION("""COMPUTED_VALUE"""),"nba picks results")</f>
        <v>nba picks results</v>
      </c>
    </row>
    <row r="271">
      <c r="B271" s="7" t="str">
        <f>IFERROR(__xludf.DUMMYFUNCTION("""COMPUTED_VALUE"""),"nba schedule results")</f>
        <v>nba schedule results</v>
      </c>
    </row>
    <row r="272">
      <c r="B272" s="7" t="str">
        <f>IFERROR(__xludf.DUMMYFUNCTION("""COMPUTED_VALUE"""),"nba betting news")</f>
        <v>nba betting news</v>
      </c>
    </row>
    <row r="273">
      <c r="B273" s="7" t="str">
        <f>IFERROR(__xludf.DUMMYFUNCTION("""COMPUTED_VALUE"""),"nba bets news")</f>
        <v>nba bets news</v>
      </c>
    </row>
    <row r="274">
      <c r="B274" s="7" t="str">
        <f>IFERROR(__xludf.DUMMYFUNCTION("""COMPUTED_VALUE"""),"nba bet news")</f>
        <v>nba bet news</v>
      </c>
    </row>
    <row r="275">
      <c r="B275" s="7" t="str">
        <f>IFERROR(__xludf.DUMMYFUNCTION("""COMPUTED_VALUE"""),"nba odds news")</f>
        <v>nba odds news</v>
      </c>
    </row>
    <row r="276">
      <c r="B276" s="7" t="str">
        <f>IFERROR(__xludf.DUMMYFUNCTION("""COMPUTED_VALUE"""),"nba betting odds news")</f>
        <v>nba betting odds news</v>
      </c>
    </row>
    <row r="277">
      <c r="B277" s="7" t="str">
        <f>IFERROR(__xludf.DUMMYFUNCTION("""COMPUTED_VALUE"""),"nba scores news")</f>
        <v>nba scores news</v>
      </c>
    </row>
    <row r="278">
      <c r="B278" s="7" t="str">
        <f>IFERROR(__xludf.DUMMYFUNCTION("""COMPUTED_VALUE"""),"nba score news")</f>
        <v>nba score news</v>
      </c>
    </row>
    <row r="279">
      <c r="B279" s="7" t="str">
        <f>IFERROR(__xludf.DUMMYFUNCTION("""COMPUTED_VALUE"""),"nba predictions news")</f>
        <v>nba predictions news</v>
      </c>
    </row>
    <row r="280">
      <c r="B280" s="7" t="str">
        <f>IFERROR(__xludf.DUMMYFUNCTION("""COMPUTED_VALUE"""),"nba picks news")</f>
        <v>nba picks news</v>
      </c>
    </row>
    <row r="281">
      <c r="B281" s="7" t="str">
        <f>IFERROR(__xludf.DUMMYFUNCTION("""COMPUTED_VALUE"""),"nba schedule news")</f>
        <v>nba schedule news</v>
      </c>
    </row>
    <row r="282">
      <c r="B282" s="7" t="str">
        <f>IFERROR(__xludf.DUMMYFUNCTION("""COMPUTED_VALUE"""),"nba betting paradise games")</f>
        <v>nba betting paradise games</v>
      </c>
    </row>
    <row r="283">
      <c r="B283" s="7" t="str">
        <f>IFERROR(__xludf.DUMMYFUNCTION("""COMPUTED_VALUE"""),"nba bets paradise games")</f>
        <v>nba bets paradise games</v>
      </c>
    </row>
    <row r="284">
      <c r="B284" s="7" t="str">
        <f>IFERROR(__xludf.DUMMYFUNCTION("""COMPUTED_VALUE"""),"nba bet paradise games")</f>
        <v>nba bet paradise games</v>
      </c>
    </row>
    <row r="285">
      <c r="B285" s="7" t="str">
        <f>IFERROR(__xludf.DUMMYFUNCTION("""COMPUTED_VALUE"""),"nba odds paradise games")</f>
        <v>nba odds paradise games</v>
      </c>
    </row>
    <row r="286">
      <c r="B286" s="7" t="str">
        <f>IFERROR(__xludf.DUMMYFUNCTION("""COMPUTED_VALUE"""),"nba betting odds paradise games")</f>
        <v>nba betting odds paradise games</v>
      </c>
    </row>
    <row r="287">
      <c r="B287" s="7" t="str">
        <f>IFERROR(__xludf.DUMMYFUNCTION("""COMPUTED_VALUE"""),"nba scores paradise games")</f>
        <v>nba scores paradise games</v>
      </c>
    </row>
    <row r="288">
      <c r="B288" s="7" t="str">
        <f>IFERROR(__xludf.DUMMYFUNCTION("""COMPUTED_VALUE"""),"nba score paradise games")</f>
        <v>nba score paradise games</v>
      </c>
    </row>
    <row r="289">
      <c r="B289" s="7" t="str">
        <f>IFERROR(__xludf.DUMMYFUNCTION("""COMPUTED_VALUE"""),"nba predictions paradise games")</f>
        <v>nba predictions paradise games</v>
      </c>
    </row>
    <row r="290">
      <c r="B290" s="7" t="str">
        <f>IFERROR(__xludf.DUMMYFUNCTION("""COMPUTED_VALUE"""),"nba picks paradise games")</f>
        <v>nba picks paradise games</v>
      </c>
    </row>
    <row r="291">
      <c r="B291" s="7" t="str">
        <f>IFERROR(__xludf.DUMMYFUNCTION("""COMPUTED_VALUE"""),"nba schedule paradise games")</f>
        <v>nba schedule paradise games</v>
      </c>
    </row>
    <row r="292">
      <c r="B292" s="7" t="str">
        <f>IFERROR(__xludf.DUMMYFUNCTION("""COMPUTED_VALUE"""),"nba betting island luck")</f>
        <v>nba betting island luck</v>
      </c>
    </row>
    <row r="293">
      <c r="B293" s="7" t="str">
        <f>IFERROR(__xludf.DUMMYFUNCTION("""COMPUTED_VALUE"""),"nba bets island luck")</f>
        <v>nba bets island luck</v>
      </c>
    </row>
    <row r="294">
      <c r="B294" s="7" t="str">
        <f>IFERROR(__xludf.DUMMYFUNCTION("""COMPUTED_VALUE"""),"nba bet island luck")</f>
        <v>nba bet island luck</v>
      </c>
    </row>
    <row r="295">
      <c r="B295" s="7" t="str">
        <f>IFERROR(__xludf.DUMMYFUNCTION("""COMPUTED_VALUE"""),"nba odds island luck")</f>
        <v>nba odds island luck</v>
      </c>
    </row>
    <row r="296">
      <c r="B296" s="7" t="str">
        <f>IFERROR(__xludf.DUMMYFUNCTION("""COMPUTED_VALUE"""),"nba betting odds island luck")</f>
        <v>nba betting odds island luck</v>
      </c>
    </row>
    <row r="297">
      <c r="B297" s="7" t="str">
        <f>IFERROR(__xludf.DUMMYFUNCTION("""COMPUTED_VALUE"""),"nba scores island luck")</f>
        <v>nba scores island luck</v>
      </c>
    </row>
    <row r="298">
      <c r="B298" s="7" t="str">
        <f>IFERROR(__xludf.DUMMYFUNCTION("""COMPUTED_VALUE"""),"nba score island luck")</f>
        <v>nba score island luck</v>
      </c>
    </row>
    <row r="299">
      <c r="B299" s="7" t="str">
        <f>IFERROR(__xludf.DUMMYFUNCTION("""COMPUTED_VALUE"""),"nba predictions island luck")</f>
        <v>nba predictions island luck</v>
      </c>
    </row>
    <row r="300">
      <c r="B300" s="7" t="str">
        <f>IFERROR(__xludf.DUMMYFUNCTION("""COMPUTED_VALUE"""),"nba picks island luck")</f>
        <v>nba picks island luck</v>
      </c>
    </row>
    <row r="301">
      <c r="B301" s="7" t="str">
        <f>IFERROR(__xludf.DUMMYFUNCTION("""COMPUTED_VALUE"""),"nba schedule island luck")</f>
        <v>nba schedule island luck</v>
      </c>
    </row>
    <row r="302">
      <c r="B302" s="7" t="str">
        <f>IFERROR(__xludf.DUMMYFUNCTION("""COMPUTED_VALUE"""),"nba betting chances")</f>
        <v>nba betting chances</v>
      </c>
    </row>
    <row r="303">
      <c r="B303" s="7" t="str">
        <f>IFERROR(__xludf.DUMMYFUNCTION("""COMPUTED_VALUE"""),"nba bets chances")</f>
        <v>nba bets chances</v>
      </c>
    </row>
    <row r="304">
      <c r="B304" s="7" t="str">
        <f>IFERROR(__xludf.DUMMYFUNCTION("""COMPUTED_VALUE"""),"nba bet chances")</f>
        <v>nba bet chances</v>
      </c>
    </row>
    <row r="305">
      <c r="B305" s="7" t="str">
        <f>IFERROR(__xludf.DUMMYFUNCTION("""COMPUTED_VALUE"""),"nba odds chances")</f>
        <v>nba odds chances</v>
      </c>
    </row>
    <row r="306">
      <c r="B306" s="7" t="str">
        <f>IFERROR(__xludf.DUMMYFUNCTION("""COMPUTED_VALUE"""),"nba betting odds chances")</f>
        <v>nba betting odds chances</v>
      </c>
    </row>
    <row r="307">
      <c r="B307" s="7" t="str">
        <f>IFERROR(__xludf.DUMMYFUNCTION("""COMPUTED_VALUE"""),"nba scores chances")</f>
        <v>nba scores chances</v>
      </c>
    </row>
    <row r="308">
      <c r="B308" s="7" t="str">
        <f>IFERROR(__xludf.DUMMYFUNCTION("""COMPUTED_VALUE"""),"nba score chances")</f>
        <v>nba score chances</v>
      </c>
    </row>
    <row r="309">
      <c r="B309" s="7" t="str">
        <f>IFERROR(__xludf.DUMMYFUNCTION("""COMPUTED_VALUE"""),"nba predictions chances")</f>
        <v>nba predictions chances</v>
      </c>
    </row>
    <row r="310">
      <c r="B310" s="7" t="str">
        <f>IFERROR(__xludf.DUMMYFUNCTION("""COMPUTED_VALUE"""),"nba picks chances")</f>
        <v>nba picks chances</v>
      </c>
    </row>
    <row r="311">
      <c r="B311" s="7" t="str">
        <f>IFERROR(__xludf.DUMMYFUNCTION("""COMPUTED_VALUE"""),"nba schedule chances")</f>
        <v>nba schedule chances</v>
      </c>
    </row>
    <row r="312">
      <c r="B312" s="7" t="str">
        <f>IFERROR(__xludf.DUMMYFUNCTION("""COMPUTED_VALUE"""),"nba betting ultra games")</f>
        <v>nba betting ultra games</v>
      </c>
    </row>
    <row r="313">
      <c r="B313" s="7" t="str">
        <f>IFERROR(__xludf.DUMMYFUNCTION("""COMPUTED_VALUE"""),"nba bets ultra games")</f>
        <v>nba bets ultra games</v>
      </c>
    </row>
    <row r="314">
      <c r="B314" s="7" t="str">
        <f>IFERROR(__xludf.DUMMYFUNCTION("""COMPUTED_VALUE"""),"nba bet ultra games")</f>
        <v>nba bet ultra games</v>
      </c>
    </row>
    <row r="315">
      <c r="B315" s="7" t="str">
        <f>IFERROR(__xludf.DUMMYFUNCTION("""COMPUTED_VALUE"""),"nba odds ultra games")</f>
        <v>nba odds ultra games</v>
      </c>
    </row>
    <row r="316">
      <c r="B316" s="7" t="str">
        <f>IFERROR(__xludf.DUMMYFUNCTION("""COMPUTED_VALUE"""),"nba betting odds ultra games")</f>
        <v>nba betting odds ultra games</v>
      </c>
    </row>
    <row r="317">
      <c r="B317" s="7" t="str">
        <f>IFERROR(__xludf.DUMMYFUNCTION("""COMPUTED_VALUE"""),"nba scores ultra games")</f>
        <v>nba scores ultra games</v>
      </c>
    </row>
    <row r="318">
      <c r="B318" s="7" t="str">
        <f>IFERROR(__xludf.DUMMYFUNCTION("""COMPUTED_VALUE"""),"nba score ultra games")</f>
        <v>nba score ultra games</v>
      </c>
    </row>
    <row r="319">
      <c r="B319" s="7" t="str">
        <f>IFERROR(__xludf.DUMMYFUNCTION("""COMPUTED_VALUE"""),"nba predictions ultra games")</f>
        <v>nba predictions ultra games</v>
      </c>
    </row>
    <row r="320">
      <c r="B320" s="7" t="str">
        <f>IFERROR(__xludf.DUMMYFUNCTION("""COMPUTED_VALUE"""),"nba picks ultra games")</f>
        <v>nba picks ultra games</v>
      </c>
    </row>
    <row r="321">
      <c r="B321" s="7" t="str">
        <f>IFERROR(__xludf.DUMMYFUNCTION("""COMPUTED_VALUE"""),"nba schedule ultra games")</f>
        <v>nba schedule ultra games</v>
      </c>
    </row>
    <row r="322">
      <c r="B322" s="7" t="str">
        <f>IFERROR(__xludf.DUMMYFUNCTION("""COMPUTED_VALUE"""),"nba betting nassau")</f>
        <v>nba betting nassau</v>
      </c>
    </row>
    <row r="323">
      <c r="B323" s="7" t="str">
        <f>IFERROR(__xludf.DUMMYFUNCTION("""COMPUTED_VALUE"""),"nba bets nassau")</f>
        <v>nba bets nassau</v>
      </c>
    </row>
    <row r="324">
      <c r="B324" s="7" t="str">
        <f>IFERROR(__xludf.DUMMYFUNCTION("""COMPUTED_VALUE"""),"nba bet nassau")</f>
        <v>nba bet nassau</v>
      </c>
    </row>
    <row r="325">
      <c r="B325" s="7" t="str">
        <f>IFERROR(__xludf.DUMMYFUNCTION("""COMPUTED_VALUE"""),"nba odds nassau")</f>
        <v>nba odds nassau</v>
      </c>
    </row>
    <row r="326">
      <c r="B326" s="7" t="str">
        <f>IFERROR(__xludf.DUMMYFUNCTION("""COMPUTED_VALUE"""),"nba betting odds nassau")</f>
        <v>nba betting odds nassau</v>
      </c>
    </row>
    <row r="327">
      <c r="B327" s="7" t="str">
        <f>IFERROR(__xludf.DUMMYFUNCTION("""COMPUTED_VALUE"""),"nba scores nassau")</f>
        <v>nba scores nassau</v>
      </c>
    </row>
    <row r="328">
      <c r="B328" s="7" t="str">
        <f>IFERROR(__xludf.DUMMYFUNCTION("""COMPUTED_VALUE"""),"nba score nassau")</f>
        <v>nba score nassau</v>
      </c>
    </row>
    <row r="329">
      <c r="B329" s="7" t="str">
        <f>IFERROR(__xludf.DUMMYFUNCTION("""COMPUTED_VALUE"""),"nba predictions nassau")</f>
        <v>nba predictions nassau</v>
      </c>
    </row>
    <row r="330">
      <c r="B330" s="7" t="str">
        <f>IFERROR(__xludf.DUMMYFUNCTION("""COMPUTED_VALUE"""),"nba picks nassau")</f>
        <v>nba picks nassau</v>
      </c>
    </row>
    <row r="331">
      <c r="B331" s="7" t="str">
        <f>IFERROR(__xludf.DUMMYFUNCTION("""COMPUTED_VALUE"""),"nba schedule nassau")</f>
        <v>nba schedule nassau</v>
      </c>
    </row>
    <row r="332">
      <c r="B332" s="7" t="str">
        <f>IFERROR(__xludf.DUMMYFUNCTION("""COMPUTED_VALUE"""),"nba betting freeport")</f>
        <v>nba betting freeport</v>
      </c>
    </row>
    <row r="333">
      <c r="B333" s="7" t="str">
        <f>IFERROR(__xludf.DUMMYFUNCTION("""COMPUTED_VALUE"""),"nba bets freeport")</f>
        <v>nba bets freeport</v>
      </c>
    </row>
    <row r="334">
      <c r="B334" s="7" t="str">
        <f>IFERROR(__xludf.DUMMYFUNCTION("""COMPUTED_VALUE"""),"nba bet freeport")</f>
        <v>nba bet freeport</v>
      </c>
    </row>
    <row r="335">
      <c r="B335" s="7" t="str">
        <f>IFERROR(__xludf.DUMMYFUNCTION("""COMPUTED_VALUE"""),"nba odds freeport")</f>
        <v>nba odds freeport</v>
      </c>
    </row>
    <row r="336">
      <c r="B336" s="7" t="str">
        <f>IFERROR(__xludf.DUMMYFUNCTION("""COMPUTED_VALUE"""),"nba betting odds freeport")</f>
        <v>nba betting odds freeport</v>
      </c>
    </row>
    <row r="337">
      <c r="B337" s="7" t="str">
        <f>IFERROR(__xludf.DUMMYFUNCTION("""COMPUTED_VALUE"""),"nba scores freeport")</f>
        <v>nba scores freeport</v>
      </c>
    </row>
    <row r="338">
      <c r="B338" s="7" t="str">
        <f>IFERROR(__xludf.DUMMYFUNCTION("""COMPUTED_VALUE"""),"nba score freeport")</f>
        <v>nba score freeport</v>
      </c>
    </row>
    <row r="339">
      <c r="B339" s="7" t="str">
        <f>IFERROR(__xludf.DUMMYFUNCTION("""COMPUTED_VALUE"""),"nba predictions freeport")</f>
        <v>nba predictions freeport</v>
      </c>
    </row>
    <row r="340">
      <c r="B340" s="7" t="str">
        <f>IFERROR(__xludf.DUMMYFUNCTION("""COMPUTED_VALUE"""),"nba picks freeport")</f>
        <v>nba picks freeport</v>
      </c>
    </row>
    <row r="341">
      <c r="B341" s="7" t="str">
        <f>IFERROR(__xludf.DUMMYFUNCTION("""COMPUTED_VALUE"""),"nba schedule freeport")</f>
        <v>nba schedule freeport</v>
      </c>
    </row>
    <row r="342">
      <c r="B342" s="7" t="str">
        <f>IFERROR(__xludf.DUMMYFUNCTION("""COMPUTED_VALUE"""),"nba betting basketball")</f>
        <v>nba betting basketball</v>
      </c>
    </row>
    <row r="343">
      <c r="B343" s="7" t="str">
        <f>IFERROR(__xludf.DUMMYFUNCTION("""COMPUTED_VALUE"""),"nba bets basketball")</f>
        <v>nba bets basketball</v>
      </c>
    </row>
    <row r="344">
      <c r="B344" s="7" t="str">
        <f>IFERROR(__xludf.DUMMYFUNCTION("""COMPUTED_VALUE"""),"nba bet basketball")</f>
        <v>nba bet basketball</v>
      </c>
    </row>
    <row r="345">
      <c r="B345" s="7" t="str">
        <f>IFERROR(__xludf.DUMMYFUNCTION("""COMPUTED_VALUE"""),"nba odds basketball")</f>
        <v>nba odds basketball</v>
      </c>
    </row>
    <row r="346">
      <c r="B346" s="7" t="str">
        <f>IFERROR(__xludf.DUMMYFUNCTION("""COMPUTED_VALUE"""),"nba betting odds basketball")</f>
        <v>nba betting odds basketball</v>
      </c>
    </row>
    <row r="347">
      <c r="B347" s="7" t="str">
        <f>IFERROR(__xludf.DUMMYFUNCTION("""COMPUTED_VALUE"""),"nba scores basketball")</f>
        <v>nba scores basketball</v>
      </c>
    </row>
    <row r="348">
      <c r="B348" s="7" t="str">
        <f>IFERROR(__xludf.DUMMYFUNCTION("""COMPUTED_VALUE"""),"nba score basketball")</f>
        <v>nba score basketball</v>
      </c>
    </row>
    <row r="349">
      <c r="B349" s="7" t="str">
        <f>IFERROR(__xludf.DUMMYFUNCTION("""COMPUTED_VALUE"""),"nba predictions basketball")</f>
        <v>nba predictions basketball</v>
      </c>
    </row>
    <row r="350">
      <c r="B350" s="7" t="str">
        <f>IFERROR(__xludf.DUMMYFUNCTION("""COMPUTED_VALUE"""),"nba picks basketball")</f>
        <v>nba picks basketball</v>
      </c>
    </row>
    <row r="351">
      <c r="B351" s="7" t="str">
        <f>IFERROR(__xludf.DUMMYFUNCTION("""COMPUTED_VALUE"""),"nba schedule basketball")</f>
        <v>nba schedule basketball</v>
      </c>
    </row>
    <row r="352">
      <c r="B352" s="7" t="str">
        <f>IFERROR(__xludf.DUMMYFUNCTION("""COMPUTED_VALUE"""),"nba betting basketball betting")</f>
        <v>nba betting basketball betting</v>
      </c>
    </row>
    <row r="353">
      <c r="B353" s="7" t="str">
        <f>IFERROR(__xludf.DUMMYFUNCTION("""COMPUTED_VALUE"""),"nba bets basketball betting")</f>
        <v>nba bets basketball betting</v>
      </c>
    </row>
    <row r="354">
      <c r="B354" s="7" t="str">
        <f>IFERROR(__xludf.DUMMYFUNCTION("""COMPUTED_VALUE"""),"nba bet basketball betting")</f>
        <v>nba bet basketball betting</v>
      </c>
    </row>
    <row r="355">
      <c r="B355" s="7" t="str">
        <f>IFERROR(__xludf.DUMMYFUNCTION("""COMPUTED_VALUE"""),"nba odds basketball betting")</f>
        <v>nba odds basketball betting</v>
      </c>
    </row>
    <row r="356">
      <c r="B356" s="7" t="str">
        <f>IFERROR(__xludf.DUMMYFUNCTION("""COMPUTED_VALUE"""),"nba betting odds basketball betting")</f>
        <v>nba betting odds basketball betting</v>
      </c>
    </row>
    <row r="357">
      <c r="B357" s="7" t="str">
        <f>IFERROR(__xludf.DUMMYFUNCTION("""COMPUTED_VALUE"""),"nba scores basketball betting")</f>
        <v>nba scores basketball betting</v>
      </c>
    </row>
    <row r="358">
      <c r="B358" s="7" t="str">
        <f>IFERROR(__xludf.DUMMYFUNCTION("""COMPUTED_VALUE"""),"nba score basketball betting")</f>
        <v>nba score basketball betting</v>
      </c>
    </row>
    <row r="359">
      <c r="B359" s="7" t="str">
        <f>IFERROR(__xludf.DUMMYFUNCTION("""COMPUTED_VALUE"""),"nba predictions basketball betting")</f>
        <v>nba predictions basketball betting</v>
      </c>
    </row>
    <row r="360">
      <c r="B360" s="7" t="str">
        <f>IFERROR(__xludf.DUMMYFUNCTION("""COMPUTED_VALUE"""),"nba picks basketball betting")</f>
        <v>nba picks basketball betting</v>
      </c>
    </row>
    <row r="361">
      <c r="B361" s="7" t="str">
        <f>IFERROR(__xludf.DUMMYFUNCTION("""COMPUTED_VALUE"""),"nba schedule basketball betting")</f>
        <v>nba schedule basketball betting</v>
      </c>
    </row>
    <row r="362">
      <c r="B362" s="7" t="str">
        <f>IFERROR(__xludf.DUMMYFUNCTION("""COMPUTED_VALUE"""),"nba betting")</f>
        <v>nba betting</v>
      </c>
    </row>
    <row r="363">
      <c r="B363" s="7" t="str">
        <f>IFERROR(__xludf.DUMMYFUNCTION("""COMPUTED_VALUE"""),"nba bets")</f>
        <v>nba bets</v>
      </c>
    </row>
    <row r="364">
      <c r="B364" s="7" t="str">
        <f>IFERROR(__xludf.DUMMYFUNCTION("""COMPUTED_VALUE"""),"nba bet")</f>
        <v>nba bet</v>
      </c>
    </row>
    <row r="365">
      <c r="B365" s="7" t="str">
        <f>IFERROR(__xludf.DUMMYFUNCTION("""COMPUTED_VALUE"""),"nba odds")</f>
        <v>nba odds</v>
      </c>
    </row>
    <row r="366">
      <c r="B366" s="7" t="str">
        <f>IFERROR(__xludf.DUMMYFUNCTION("""COMPUTED_VALUE"""),"nba betting odds")</f>
        <v>nba betting odds</v>
      </c>
    </row>
    <row r="367">
      <c r="B367" s="7" t="str">
        <f>IFERROR(__xludf.DUMMYFUNCTION("""COMPUTED_VALUE"""),"nba scores")</f>
        <v>nba scores</v>
      </c>
    </row>
    <row r="368">
      <c r="B368" s="7" t="str">
        <f>IFERROR(__xludf.DUMMYFUNCTION("""COMPUTED_VALUE"""),"nba score")</f>
        <v>nba score</v>
      </c>
    </row>
    <row r="369">
      <c r="B369" s="7" t="str">
        <f>IFERROR(__xludf.DUMMYFUNCTION("""COMPUTED_VALUE"""),"nba predictions")</f>
        <v>nba predictions</v>
      </c>
    </row>
    <row r="370">
      <c r="B370" s="7" t="str">
        <f>IFERROR(__xludf.DUMMYFUNCTION("""COMPUTED_VALUE"""),"nba picks")</f>
        <v>nba picks</v>
      </c>
    </row>
    <row r="371">
      <c r="B371" s="7" t="str">
        <f>IFERROR(__xludf.DUMMYFUNCTION("""COMPUTED_VALUE"""),"nba schedule")</f>
        <v>nba schedule</v>
      </c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6" t="s">
        <v>20</v>
      </c>
      <c r="D2" s="5">
        <v>83.0</v>
      </c>
      <c r="E2" s="5">
        <v>46000.0</v>
      </c>
      <c r="F2" s="5">
        <v>0.01</v>
      </c>
      <c r="G2" s="5">
        <v>0.28</v>
      </c>
      <c r="H2" s="5" t="s">
        <v>19</v>
      </c>
      <c r="I2" s="9">
        <v>46149.257789351854</v>
      </c>
      <c r="J2" s="5" t="s">
        <v>21</v>
      </c>
      <c r="K2" s="5">
        <v>7870000.0</v>
      </c>
      <c r="L2" s="5">
        <v>13000.0</v>
      </c>
      <c r="M2" s="5">
        <v>951000.0</v>
      </c>
      <c r="N2" s="8">
        <v>42288.0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</row>
    <row r="3">
      <c r="A3" s="5">
        <v>2.0</v>
      </c>
      <c r="B3" s="5" t="s">
        <v>27</v>
      </c>
      <c r="C3" s="5" t="s">
        <v>20</v>
      </c>
      <c r="D3" s="5">
        <v>78.0</v>
      </c>
      <c r="E3" s="5">
        <v>5700.0</v>
      </c>
      <c r="F3" s="5">
        <v>0.06</v>
      </c>
      <c r="G3" s="5">
        <v>0.42</v>
      </c>
      <c r="H3" s="5" t="s">
        <v>28</v>
      </c>
      <c r="I3" s="9">
        <v>46149.2518287037</v>
      </c>
      <c r="J3" s="5" t="s">
        <v>29</v>
      </c>
      <c r="K3" s="5">
        <v>2780000.0</v>
      </c>
      <c r="L3" s="5">
        <v>1600.0</v>
      </c>
      <c r="M3" s="5">
        <v>1710000.0</v>
      </c>
      <c r="N3" s="8">
        <v>42304.0</v>
      </c>
      <c r="O3" s="5" t="s">
        <v>22</v>
      </c>
      <c r="P3" s="5" t="s">
        <v>23</v>
      </c>
      <c r="Q3" s="5" t="s">
        <v>30</v>
      </c>
      <c r="R3" s="5" t="s">
        <v>31</v>
      </c>
      <c r="S3" s="5" t="s">
        <v>32</v>
      </c>
    </row>
    <row r="4">
      <c r="A4" s="5">
        <v>3.0</v>
      </c>
      <c r="B4" s="5" t="s">
        <v>33</v>
      </c>
      <c r="C4" s="5" t="s">
        <v>20</v>
      </c>
      <c r="D4" s="5">
        <v>83.0</v>
      </c>
      <c r="E4" s="5">
        <v>2800.0</v>
      </c>
      <c r="F4" s="5">
        <v>0.01</v>
      </c>
      <c r="H4" s="5" t="s">
        <v>19</v>
      </c>
      <c r="I4" s="9">
        <v>46149.251284722224</v>
      </c>
      <c r="K4" s="5">
        <v>271000.0</v>
      </c>
      <c r="L4" s="5">
        <v>13000.0</v>
      </c>
      <c r="M4" s="5">
        <v>951000.0</v>
      </c>
      <c r="N4" s="8">
        <v>43260.0</v>
      </c>
      <c r="O4" s="5" t="s">
        <v>22</v>
      </c>
      <c r="P4" s="5" t="s">
        <v>23</v>
      </c>
      <c r="Q4" s="5" t="s">
        <v>34</v>
      </c>
      <c r="R4" s="5" t="s">
        <v>35</v>
      </c>
      <c r="S4" s="5" t="s">
        <v>26</v>
      </c>
    </row>
    <row r="5">
      <c r="A5" s="5">
        <v>4.0</v>
      </c>
      <c r="B5" s="5" t="s">
        <v>36</v>
      </c>
      <c r="C5" s="5" t="s">
        <v>20</v>
      </c>
      <c r="D5" s="5">
        <v>90.0</v>
      </c>
      <c r="E5" s="5">
        <v>1200.0</v>
      </c>
      <c r="F5" s="5">
        <v>0.01</v>
      </c>
      <c r="G5" s="5">
        <v>0.25</v>
      </c>
      <c r="H5" s="5" t="s">
        <v>33</v>
      </c>
      <c r="I5" s="9">
        <v>45893.550405092596</v>
      </c>
      <c r="J5" s="5" t="s">
        <v>37</v>
      </c>
      <c r="K5" s="5">
        <v>3490000.0</v>
      </c>
      <c r="L5" s="5">
        <v>13000.0</v>
      </c>
      <c r="M5" s="5">
        <v>1150000.0</v>
      </c>
      <c r="N5" s="8">
        <v>42282.0</v>
      </c>
      <c r="O5" s="5" t="s">
        <v>22</v>
      </c>
      <c r="P5" s="5" t="s">
        <v>23</v>
      </c>
      <c r="Q5" s="5" t="s">
        <v>38</v>
      </c>
      <c r="R5" s="5" t="s">
        <v>39</v>
      </c>
      <c r="S5" s="5" t="s">
        <v>26</v>
      </c>
    </row>
    <row r="6">
      <c r="A6" s="5">
        <v>5.0</v>
      </c>
      <c r="B6" s="5" t="s">
        <v>40</v>
      </c>
      <c r="C6" s="5" t="s">
        <v>20</v>
      </c>
      <c r="D6" s="5">
        <v>84.0</v>
      </c>
      <c r="E6" s="5">
        <v>600.0</v>
      </c>
      <c r="F6" s="5">
        <v>0.02</v>
      </c>
      <c r="H6" s="5" t="s">
        <v>27</v>
      </c>
      <c r="I6" s="9">
        <v>45989.25649305555</v>
      </c>
      <c r="J6" s="5" t="s">
        <v>37</v>
      </c>
      <c r="K6" s="5">
        <v>397000.0</v>
      </c>
      <c r="L6" s="5">
        <v>2700.0</v>
      </c>
      <c r="M6" s="5">
        <v>2100000.0</v>
      </c>
      <c r="N6" s="8">
        <v>42534.0</v>
      </c>
      <c r="O6" s="5" t="s">
        <v>22</v>
      </c>
      <c r="P6" s="5" t="s">
        <v>23</v>
      </c>
      <c r="Q6" s="5" t="s">
        <v>41</v>
      </c>
      <c r="R6" s="5" t="s">
        <v>42</v>
      </c>
      <c r="S6" s="5" t="s">
        <v>32</v>
      </c>
    </row>
    <row r="7">
      <c r="A7" s="5">
        <v>6.0</v>
      </c>
      <c r="B7" s="5" t="s">
        <v>43</v>
      </c>
      <c r="C7" s="5" t="s">
        <v>20</v>
      </c>
      <c r="D7" s="5">
        <v>79.0</v>
      </c>
      <c r="E7" s="5">
        <v>200.0</v>
      </c>
      <c r="H7" s="5" t="s">
        <v>44</v>
      </c>
      <c r="I7" s="9">
        <v>45882.490428240744</v>
      </c>
      <c r="J7" s="5" t="s">
        <v>37</v>
      </c>
      <c r="K7" s="5">
        <v>55000.0</v>
      </c>
      <c r="L7" s="5">
        <v>150.0</v>
      </c>
      <c r="M7" s="5">
        <v>209000.0</v>
      </c>
      <c r="N7" s="8">
        <v>43849.0</v>
      </c>
      <c r="O7" s="5" t="s">
        <v>22</v>
      </c>
      <c r="P7" s="5" t="s">
        <v>23</v>
      </c>
      <c r="Q7" s="5" t="s">
        <v>45</v>
      </c>
      <c r="R7" s="5" t="s">
        <v>46</v>
      </c>
      <c r="S7" s="5" t="s">
        <v>26</v>
      </c>
    </row>
    <row r="8">
      <c r="A8" s="5">
        <v>7.0</v>
      </c>
      <c r="B8" s="5" t="s">
        <v>47</v>
      </c>
      <c r="C8" s="5" t="s">
        <v>20</v>
      </c>
      <c r="D8" s="5">
        <v>78.0</v>
      </c>
      <c r="E8" s="5">
        <v>100.0</v>
      </c>
      <c r="H8" s="5" t="s">
        <v>47</v>
      </c>
      <c r="I8" s="9">
        <v>46127.108877314815</v>
      </c>
      <c r="J8" s="5" t="s">
        <v>48</v>
      </c>
      <c r="K8" s="5">
        <v>53000.0</v>
      </c>
      <c r="L8" s="5">
        <v>90.0</v>
      </c>
      <c r="M8" s="5">
        <v>137000.0</v>
      </c>
      <c r="N8" s="8">
        <v>43206.0</v>
      </c>
      <c r="O8" s="5" t="s">
        <v>22</v>
      </c>
      <c r="P8" s="5" t="s">
        <v>23</v>
      </c>
      <c r="S8" s="5" t="s">
        <v>26</v>
      </c>
    </row>
    <row r="9">
      <c r="A9" s="5">
        <v>8.0</v>
      </c>
      <c r="B9" s="5" t="s">
        <v>49</v>
      </c>
      <c r="C9" s="5" t="s">
        <v>20</v>
      </c>
      <c r="D9" s="5">
        <v>84.0</v>
      </c>
      <c r="E9" s="5">
        <v>90.0</v>
      </c>
      <c r="H9" s="5" t="s">
        <v>19</v>
      </c>
      <c r="I9" s="9">
        <v>46144.90032407407</v>
      </c>
      <c r="K9" s="5">
        <v>679000.0</v>
      </c>
      <c r="L9" s="5">
        <v>13000.0</v>
      </c>
      <c r="M9" s="5">
        <v>1060000.0</v>
      </c>
      <c r="N9" s="8">
        <v>42759.0</v>
      </c>
      <c r="O9" s="5" t="s">
        <v>50</v>
      </c>
      <c r="P9" s="5" t="s">
        <v>23</v>
      </c>
      <c r="S9" s="5" t="s">
        <v>26</v>
      </c>
    </row>
    <row r="10">
      <c r="A10" s="5">
        <v>9.0</v>
      </c>
      <c r="B10" s="5" t="s">
        <v>51</v>
      </c>
      <c r="C10" s="5" t="s">
        <v>20</v>
      </c>
      <c r="D10" s="5">
        <v>83.0</v>
      </c>
      <c r="E10" s="5">
        <v>70.0</v>
      </c>
      <c r="H10" s="5" t="s">
        <v>19</v>
      </c>
      <c r="I10" s="9">
        <v>46141.858819444446</v>
      </c>
      <c r="J10" s="5" t="s">
        <v>52</v>
      </c>
      <c r="K10" s="5">
        <v>9100.0</v>
      </c>
      <c r="L10" s="5">
        <v>13000.0</v>
      </c>
      <c r="M10" s="5">
        <v>972000.0</v>
      </c>
      <c r="N10" s="8">
        <v>43093.0</v>
      </c>
      <c r="O10" s="5" t="s">
        <v>50</v>
      </c>
      <c r="P10" s="5" t="s">
        <v>23</v>
      </c>
      <c r="S10" s="5" t="s">
        <v>26</v>
      </c>
    </row>
    <row r="11">
      <c r="A11" s="5">
        <v>10.0</v>
      </c>
      <c r="B11" s="5" t="s">
        <v>53</v>
      </c>
      <c r="C11" s="5" t="s">
        <v>20</v>
      </c>
      <c r="D11" s="5">
        <v>80.0</v>
      </c>
      <c r="E11" s="5">
        <v>60.0</v>
      </c>
      <c r="H11" s="5" t="s">
        <v>28</v>
      </c>
      <c r="I11" s="9">
        <v>46161.036944444444</v>
      </c>
      <c r="J11" s="5" t="s">
        <v>52</v>
      </c>
      <c r="K11" s="5">
        <v>8900.0</v>
      </c>
      <c r="L11" s="5">
        <v>1000.0</v>
      </c>
      <c r="M11" s="5">
        <v>1160000.0</v>
      </c>
      <c r="N11" s="8">
        <v>42467.0</v>
      </c>
      <c r="O11" s="5" t="s">
        <v>22</v>
      </c>
      <c r="P11" s="5" t="s">
        <v>23</v>
      </c>
      <c r="S11" s="5" t="s">
        <v>32</v>
      </c>
    </row>
    <row r="12">
      <c r="A12" s="5">
        <v>11.0</v>
      </c>
      <c r="B12" s="5" t="s">
        <v>59</v>
      </c>
      <c r="C12" s="5" t="s">
        <v>20</v>
      </c>
      <c r="D12" s="5">
        <v>77.0</v>
      </c>
      <c r="E12" s="5">
        <v>60.0</v>
      </c>
      <c r="H12" s="5" t="s">
        <v>60</v>
      </c>
      <c r="I12" s="9">
        <v>46089.20579861111</v>
      </c>
      <c r="K12" s="5">
        <v>34000.0</v>
      </c>
      <c r="L12" s="5">
        <v>20.0</v>
      </c>
      <c r="M12" s="5">
        <v>27000.0</v>
      </c>
      <c r="N12" s="8">
        <v>44071.0</v>
      </c>
      <c r="O12" s="5" t="s">
        <v>22</v>
      </c>
      <c r="P12" s="5" t="s">
        <v>23</v>
      </c>
      <c r="S12" s="5" t="s">
        <v>62</v>
      </c>
    </row>
    <row r="13">
      <c r="A13" s="5">
        <v>12.0</v>
      </c>
      <c r="B13" s="5" t="s">
        <v>64</v>
      </c>
      <c r="C13" s="5" t="s">
        <v>20</v>
      </c>
      <c r="D13" s="5">
        <v>82.0</v>
      </c>
      <c r="E13" s="5">
        <v>50.0</v>
      </c>
      <c r="H13" s="5" t="s">
        <v>47</v>
      </c>
      <c r="I13" s="9">
        <v>46099.11547453704</v>
      </c>
      <c r="K13" s="5">
        <v>33000.0</v>
      </c>
      <c r="L13" s="5">
        <v>150.0</v>
      </c>
      <c r="M13" s="5">
        <v>178000.0</v>
      </c>
      <c r="N13" s="8">
        <v>44191.0</v>
      </c>
      <c r="O13" s="5" t="s">
        <v>22</v>
      </c>
      <c r="P13" s="5" t="s">
        <v>23</v>
      </c>
      <c r="S13" s="5" t="s">
        <v>32</v>
      </c>
    </row>
    <row r="14">
      <c r="A14" s="5">
        <v>13.0</v>
      </c>
      <c r="B14" s="5" t="s">
        <v>67</v>
      </c>
      <c r="C14" s="5" t="s">
        <v>20</v>
      </c>
      <c r="D14" s="5">
        <v>79.0</v>
      </c>
      <c r="E14" s="5">
        <v>20.0</v>
      </c>
      <c r="H14" s="5" t="s">
        <v>47</v>
      </c>
      <c r="I14" s="9">
        <v>46126.8462037037</v>
      </c>
      <c r="J14" s="5" t="s">
        <v>69</v>
      </c>
      <c r="K14" s="5">
        <v>5700.0</v>
      </c>
      <c r="L14" s="5">
        <v>150.0</v>
      </c>
      <c r="M14" s="5">
        <v>183000.0</v>
      </c>
      <c r="N14" s="8">
        <v>43868.0</v>
      </c>
      <c r="O14" s="5" t="s">
        <v>22</v>
      </c>
      <c r="P14" s="5" t="s">
        <v>23</v>
      </c>
      <c r="S14" s="5" t="s">
        <v>26</v>
      </c>
    </row>
    <row r="15">
      <c r="A15" s="5">
        <v>14.0</v>
      </c>
      <c r="B15" s="5" t="s">
        <v>72</v>
      </c>
      <c r="C15" s="5" t="s">
        <v>20</v>
      </c>
      <c r="D15" s="5">
        <v>83.0</v>
      </c>
      <c r="E15" s="5">
        <v>10.0</v>
      </c>
      <c r="H15" s="5" t="s">
        <v>19</v>
      </c>
      <c r="I15" s="9">
        <v>46163.193402777775</v>
      </c>
      <c r="J15" s="5" t="s">
        <v>52</v>
      </c>
      <c r="K15" s="5">
        <v>1100.0</v>
      </c>
      <c r="L15" s="5">
        <v>10000.0</v>
      </c>
      <c r="M15" s="5">
        <v>1120000.0</v>
      </c>
      <c r="N15" s="8">
        <v>44043.0</v>
      </c>
      <c r="O15" s="5" t="s">
        <v>22</v>
      </c>
      <c r="P15" s="5" t="s">
        <v>23</v>
      </c>
      <c r="S15" s="5" t="s">
        <v>26</v>
      </c>
    </row>
    <row r="16">
      <c r="A16" s="5">
        <v>15.0</v>
      </c>
      <c r="B16" s="5" t="s">
        <v>76</v>
      </c>
      <c r="C16" s="5" t="s">
        <v>20</v>
      </c>
      <c r="D16" s="5">
        <v>81.0</v>
      </c>
      <c r="E16" s="5">
        <v>10.0</v>
      </c>
      <c r="K16" s="5">
        <v>8700.0</v>
      </c>
      <c r="N16" s="8">
        <v>43867.0</v>
      </c>
    </row>
    <row r="17">
      <c r="A17" s="5">
        <v>16.0</v>
      </c>
      <c r="B17" s="5" t="s">
        <v>78</v>
      </c>
      <c r="C17" s="5" t="s">
        <v>20</v>
      </c>
      <c r="D17" s="5">
        <v>81.0</v>
      </c>
      <c r="E17" s="5">
        <v>10.0</v>
      </c>
      <c r="K17" s="5">
        <v>11000.0</v>
      </c>
      <c r="N17" s="8">
        <v>44553.0</v>
      </c>
    </row>
    <row r="18">
      <c r="A18" s="5">
        <v>17.0</v>
      </c>
      <c r="B18" s="5" t="s">
        <v>81</v>
      </c>
      <c r="C18" s="5" t="s">
        <v>20</v>
      </c>
      <c r="D18" s="5">
        <v>80.0</v>
      </c>
      <c r="E18" s="5">
        <v>10.0</v>
      </c>
      <c r="K18" s="5">
        <v>1900.0</v>
      </c>
      <c r="N18" s="8">
        <v>43842.0</v>
      </c>
    </row>
    <row r="19">
      <c r="A19" s="5">
        <v>18.0</v>
      </c>
      <c r="B19" s="5" t="s">
        <v>84</v>
      </c>
      <c r="C19" s="5" t="s">
        <v>20</v>
      </c>
      <c r="D19" s="5">
        <v>82.0</v>
      </c>
      <c r="E19" s="5">
        <v>10.0</v>
      </c>
      <c r="H19" s="5" t="s">
        <v>84</v>
      </c>
      <c r="I19" s="9">
        <v>46145.17689814815</v>
      </c>
      <c r="K19" s="5">
        <v>97000.0</v>
      </c>
      <c r="L19" s="5">
        <v>0.0</v>
      </c>
      <c r="M19" s="5">
        <v>138000.0</v>
      </c>
      <c r="N19" s="8">
        <v>42316.0</v>
      </c>
      <c r="O19" s="5" t="s">
        <v>87</v>
      </c>
      <c r="P19" s="5" t="s">
        <v>23</v>
      </c>
      <c r="S19" s="5" t="s">
        <v>89</v>
      </c>
    </row>
    <row r="20">
      <c r="A20" s="5">
        <v>19.0</v>
      </c>
      <c r="B20" s="5" t="s">
        <v>92</v>
      </c>
      <c r="C20" s="5" t="s">
        <v>20</v>
      </c>
      <c r="K20" s="5">
        <v>300.0</v>
      </c>
      <c r="N20" s="8">
        <v>44496.0</v>
      </c>
    </row>
    <row r="21">
      <c r="A21" s="5">
        <v>20.0</v>
      </c>
      <c r="B21" s="5" t="s">
        <v>94</v>
      </c>
      <c r="C21" s="5" t="s">
        <v>20</v>
      </c>
      <c r="K21" s="5">
        <v>250.0</v>
      </c>
      <c r="N21" s="8">
        <v>44993.0</v>
      </c>
    </row>
    <row r="22">
      <c r="A22" s="5">
        <v>21.0</v>
      </c>
      <c r="B22" s="5" t="s">
        <v>96</v>
      </c>
      <c r="C22" s="5" t="s">
        <v>20</v>
      </c>
      <c r="K22" s="5">
        <v>500.0</v>
      </c>
      <c r="N22" s="8">
        <v>44094.0</v>
      </c>
    </row>
    <row r="23">
      <c r="A23" s="5">
        <v>22.0</v>
      </c>
      <c r="B23" s="5" t="s">
        <v>98</v>
      </c>
      <c r="C23" s="5" t="s">
        <v>20</v>
      </c>
      <c r="K23" s="5">
        <v>24000.0</v>
      </c>
      <c r="N23" s="8">
        <v>43874.0</v>
      </c>
    </row>
    <row r="24">
      <c r="A24" s="5">
        <v>23.0</v>
      </c>
      <c r="B24" s="5" t="s">
        <v>99</v>
      </c>
      <c r="C24" s="5" t="s">
        <v>20</v>
      </c>
      <c r="K24" s="5">
        <v>150.0</v>
      </c>
      <c r="N24" s="8">
        <v>44047.0</v>
      </c>
    </row>
    <row r="25">
      <c r="A25" s="5">
        <v>24.0</v>
      </c>
      <c r="B25" s="5" t="s">
        <v>101</v>
      </c>
      <c r="C25" s="5" t="s">
        <v>20</v>
      </c>
      <c r="K25" s="5">
        <v>500.0</v>
      </c>
      <c r="N25" s="8">
        <v>44651.0</v>
      </c>
    </row>
    <row r="26">
      <c r="A26" s="5">
        <v>25.0</v>
      </c>
      <c r="B26" s="5" t="s">
        <v>102</v>
      </c>
      <c r="C26" s="5" t="s">
        <v>20</v>
      </c>
      <c r="K26" s="5">
        <v>20.0</v>
      </c>
      <c r="N26" s="8">
        <v>44325.0</v>
      </c>
    </row>
    <row r="27">
      <c r="A27" s="5">
        <v>26.0</v>
      </c>
      <c r="B27" s="5" t="s">
        <v>104</v>
      </c>
      <c r="C27" s="5" t="s">
        <v>20</v>
      </c>
      <c r="K27" s="5">
        <v>30.0</v>
      </c>
      <c r="N27" s="8">
        <v>44604.0</v>
      </c>
    </row>
    <row r="28">
      <c r="A28" s="5">
        <v>27.0</v>
      </c>
      <c r="B28" s="5" t="s">
        <v>105</v>
      </c>
      <c r="C28" s="5" t="s">
        <v>20</v>
      </c>
      <c r="K28" s="5">
        <v>1600.0</v>
      </c>
      <c r="N28" s="8">
        <v>44119.0</v>
      </c>
    </row>
    <row r="29">
      <c r="A29" s="5">
        <v>28.0</v>
      </c>
      <c r="B29" s="5" t="s">
        <v>106</v>
      </c>
      <c r="C29" s="5" t="s">
        <v>20</v>
      </c>
      <c r="K29" s="5">
        <v>60.0</v>
      </c>
      <c r="N29" s="8">
        <v>44561.0</v>
      </c>
    </row>
    <row r="30">
      <c r="A30" s="5">
        <v>29.0</v>
      </c>
      <c r="B30" s="5" t="s">
        <v>107</v>
      </c>
      <c r="C30" s="5" t="s">
        <v>20</v>
      </c>
      <c r="D30" s="5">
        <v>83.0</v>
      </c>
      <c r="H30" s="5" t="s">
        <v>19</v>
      </c>
      <c r="I30" s="9">
        <v>46156.88458333333</v>
      </c>
      <c r="J30" s="5" t="s">
        <v>109</v>
      </c>
      <c r="K30" s="5">
        <v>1100.0</v>
      </c>
      <c r="L30" s="5">
        <v>10000.0</v>
      </c>
      <c r="M30" s="5">
        <v>962000.0</v>
      </c>
      <c r="N30" s="8">
        <v>44700.0</v>
      </c>
      <c r="O30" s="5" t="s">
        <v>22</v>
      </c>
      <c r="P30" s="5" t="s">
        <v>23</v>
      </c>
      <c r="S30" s="5" t="s">
        <v>26</v>
      </c>
    </row>
    <row r="31">
      <c r="A31" s="5">
        <v>30.0</v>
      </c>
      <c r="B31" s="5" t="s">
        <v>111</v>
      </c>
      <c r="C31" s="5" t="s">
        <v>20</v>
      </c>
      <c r="K31" s="5">
        <v>5400.0</v>
      </c>
      <c r="N31" s="8">
        <v>43909.0</v>
      </c>
    </row>
    <row r="32">
      <c r="A32" s="5">
        <v>31.0</v>
      </c>
      <c r="B32" s="5" t="s">
        <v>112</v>
      </c>
      <c r="C32" s="5" t="s">
        <v>20</v>
      </c>
      <c r="K32" s="5">
        <v>200.0</v>
      </c>
      <c r="N32" s="8">
        <v>44530.0</v>
      </c>
    </row>
    <row r="33">
      <c r="A33" s="5">
        <v>32.0</v>
      </c>
      <c r="B33" s="5" t="s">
        <v>113</v>
      </c>
      <c r="C33" s="5" t="s">
        <v>20</v>
      </c>
      <c r="K33" s="5">
        <v>250.0</v>
      </c>
      <c r="N33" s="8">
        <v>44224.0</v>
      </c>
    </row>
    <row r="34">
      <c r="A34" s="5">
        <v>33.0</v>
      </c>
      <c r="B34" s="5" t="s">
        <v>115</v>
      </c>
      <c r="C34" s="5" t="s">
        <v>20</v>
      </c>
      <c r="K34" s="5">
        <v>450.0</v>
      </c>
      <c r="N34" s="8">
        <v>44628.0</v>
      </c>
    </row>
    <row r="35">
      <c r="A35" s="5">
        <v>34.0</v>
      </c>
      <c r="B35" s="5" t="s">
        <v>117</v>
      </c>
      <c r="C35" s="5" t="s">
        <v>20</v>
      </c>
      <c r="K35" s="5">
        <v>15000.0</v>
      </c>
      <c r="N35" s="8">
        <v>43400.0</v>
      </c>
    </row>
    <row r="36">
      <c r="A36" s="5">
        <v>35.0</v>
      </c>
      <c r="B36" s="5" t="s">
        <v>118</v>
      </c>
      <c r="C36" s="5" t="s">
        <v>20</v>
      </c>
      <c r="K36" s="5">
        <v>1100.0</v>
      </c>
      <c r="N36" s="8">
        <v>44200.0</v>
      </c>
    </row>
    <row r="37">
      <c r="A37" s="5">
        <v>36.0</v>
      </c>
      <c r="B37" s="5" t="s">
        <v>119</v>
      </c>
      <c r="C37" s="5" t="s">
        <v>20</v>
      </c>
      <c r="K37" s="5">
        <v>200.0</v>
      </c>
      <c r="N37" s="8">
        <v>44628.0</v>
      </c>
    </row>
    <row r="38">
      <c r="A38" s="5">
        <v>37.0</v>
      </c>
      <c r="B38" s="5" t="s">
        <v>121</v>
      </c>
      <c r="C38" s="5" t="s">
        <v>20</v>
      </c>
      <c r="K38" s="5">
        <v>10.0</v>
      </c>
      <c r="N38" s="8">
        <v>44282.0</v>
      </c>
    </row>
    <row r="39">
      <c r="A39" s="5">
        <v>38.0</v>
      </c>
      <c r="B39" s="5" t="s">
        <v>123</v>
      </c>
      <c r="C39" s="5" t="s">
        <v>20</v>
      </c>
      <c r="K39" s="5">
        <v>800.0</v>
      </c>
      <c r="N39" s="8">
        <v>44216.0</v>
      </c>
    </row>
    <row r="40">
      <c r="A40" s="5">
        <v>39.0</v>
      </c>
      <c r="B40" s="5" t="s">
        <v>124</v>
      </c>
      <c r="C40" s="5" t="s">
        <v>20</v>
      </c>
      <c r="K40" s="5">
        <v>2000.0</v>
      </c>
      <c r="N40" s="8">
        <v>44055.0</v>
      </c>
    </row>
    <row r="41">
      <c r="A41" s="5">
        <v>40.0</v>
      </c>
      <c r="B41" s="5" t="s">
        <v>125</v>
      </c>
      <c r="C41" s="5" t="s">
        <v>20</v>
      </c>
      <c r="K41" s="5">
        <v>500.0</v>
      </c>
      <c r="N41" s="8">
        <v>44260.0</v>
      </c>
    </row>
    <row r="42">
      <c r="A42" s="5">
        <v>41.0</v>
      </c>
      <c r="B42" s="5" t="s">
        <v>126</v>
      </c>
      <c r="C42" s="5" t="s">
        <v>20</v>
      </c>
      <c r="K42" s="5">
        <v>250.0</v>
      </c>
      <c r="N42" s="8">
        <v>44629.0</v>
      </c>
    </row>
    <row r="43">
      <c r="A43" s="5">
        <v>42.0</v>
      </c>
      <c r="B43" s="5" t="s">
        <v>127</v>
      </c>
      <c r="C43" s="5" t="s">
        <v>20</v>
      </c>
      <c r="K43" s="5">
        <v>1900.0</v>
      </c>
      <c r="N43" s="8">
        <v>44295.0</v>
      </c>
    </row>
    <row r="44">
      <c r="A44" s="5">
        <v>43.0</v>
      </c>
      <c r="B44" s="5" t="s">
        <v>129</v>
      </c>
      <c r="C44" s="5" t="s">
        <v>20</v>
      </c>
      <c r="K44" s="5">
        <v>450.0</v>
      </c>
      <c r="N44" s="8">
        <v>44663.0</v>
      </c>
    </row>
    <row r="45">
      <c r="A45" s="5">
        <v>44.0</v>
      </c>
      <c r="B45" s="5" t="s">
        <v>130</v>
      </c>
      <c r="C45" s="5" t="s">
        <v>20</v>
      </c>
      <c r="K45" s="5">
        <v>10.0</v>
      </c>
      <c r="N45" s="8">
        <v>44515.0</v>
      </c>
    </row>
    <row r="46">
      <c r="A46" s="5">
        <v>45.0</v>
      </c>
      <c r="B46" s="5" t="s">
        <v>132</v>
      </c>
      <c r="C46" s="5" t="s">
        <v>20</v>
      </c>
      <c r="K46" s="5">
        <v>150.0</v>
      </c>
      <c r="N46" s="8">
        <v>44570.0</v>
      </c>
    </row>
    <row r="47">
      <c r="A47" s="5">
        <v>46.0</v>
      </c>
      <c r="B47" s="5" t="s">
        <v>133</v>
      </c>
      <c r="C47" s="5" t="s">
        <v>20</v>
      </c>
      <c r="N47" s="8">
        <v>45080.0</v>
      </c>
    </row>
    <row r="48">
      <c r="A48" s="5">
        <v>47.0</v>
      </c>
      <c r="B48" s="5" t="s">
        <v>134</v>
      </c>
      <c r="C48" s="5" t="s">
        <v>20</v>
      </c>
      <c r="K48" s="5">
        <v>10.0</v>
      </c>
      <c r="N48" s="8">
        <v>44677.0</v>
      </c>
    </row>
    <row r="49">
      <c r="A49" s="5">
        <v>48.0</v>
      </c>
      <c r="B49" s="5" t="s">
        <v>136</v>
      </c>
      <c r="C49" s="5" t="s">
        <v>20</v>
      </c>
      <c r="K49" s="5">
        <v>1800.0</v>
      </c>
      <c r="N49" s="8">
        <v>42535.0</v>
      </c>
    </row>
    <row r="50">
      <c r="A50" s="5">
        <v>49.0</v>
      </c>
      <c r="B50" s="5" t="s">
        <v>137</v>
      </c>
      <c r="C50" s="5" t="s">
        <v>20</v>
      </c>
      <c r="K50" s="5">
        <v>200.0</v>
      </c>
      <c r="N50" s="8">
        <v>44376.0</v>
      </c>
    </row>
    <row r="51">
      <c r="A51" s="5">
        <v>50.0</v>
      </c>
      <c r="B51" s="5" t="s">
        <v>139</v>
      </c>
      <c r="C51" s="5" t="s">
        <v>20</v>
      </c>
      <c r="K51" s="5">
        <v>250.0</v>
      </c>
      <c r="N51" s="8">
        <v>44900.0</v>
      </c>
    </row>
    <row r="52">
      <c r="A52" s="5">
        <v>51.0</v>
      </c>
      <c r="B52" s="5" t="s">
        <v>140</v>
      </c>
      <c r="C52" s="5" t="s">
        <v>20</v>
      </c>
      <c r="K52" s="5">
        <v>350.0</v>
      </c>
      <c r="N52" s="8">
        <v>44372.0</v>
      </c>
    </row>
    <row r="53">
      <c r="A53" s="5">
        <v>52.0</v>
      </c>
      <c r="B53" s="5" t="s">
        <v>143</v>
      </c>
      <c r="C53" s="5" t="s">
        <v>20</v>
      </c>
      <c r="K53" s="5">
        <v>150.0</v>
      </c>
      <c r="N53" s="8">
        <v>44335.0</v>
      </c>
    </row>
    <row r="54">
      <c r="A54" s="5">
        <v>53.0</v>
      </c>
      <c r="B54" s="5" t="s">
        <v>145</v>
      </c>
      <c r="C54" s="5" t="s">
        <v>20</v>
      </c>
      <c r="K54" s="5">
        <v>1000.0</v>
      </c>
      <c r="N54" s="8">
        <v>44655.0</v>
      </c>
    </row>
    <row r="55">
      <c r="A55" s="5">
        <v>54.0</v>
      </c>
      <c r="B55" s="5" t="s">
        <v>147</v>
      </c>
      <c r="C55" s="5" t="s">
        <v>20</v>
      </c>
      <c r="K55" s="5">
        <v>70.0</v>
      </c>
      <c r="N55" s="8">
        <v>44548.0</v>
      </c>
    </row>
    <row r="56">
      <c r="A56" s="5">
        <v>55.0</v>
      </c>
      <c r="B56" s="5" t="s">
        <v>148</v>
      </c>
      <c r="C56" s="5" t="s">
        <v>20</v>
      </c>
      <c r="K56" s="5">
        <v>200.0</v>
      </c>
      <c r="N56" s="8">
        <v>44555.0</v>
      </c>
    </row>
    <row r="57">
      <c r="A57" s="5">
        <v>56.0</v>
      </c>
      <c r="B57" s="5" t="s">
        <v>150</v>
      </c>
      <c r="C57" s="5" t="s">
        <v>20</v>
      </c>
      <c r="K57" s="5">
        <v>6600.0</v>
      </c>
      <c r="N57" s="8">
        <v>44244.0</v>
      </c>
    </row>
    <row r="58">
      <c r="A58" s="5">
        <v>57.0</v>
      </c>
      <c r="B58" s="5" t="s">
        <v>151</v>
      </c>
      <c r="C58" s="5" t="s">
        <v>20</v>
      </c>
      <c r="K58" s="5">
        <v>100.0</v>
      </c>
      <c r="N58" s="8">
        <v>44537.0</v>
      </c>
    </row>
    <row r="59">
      <c r="A59" s="5">
        <v>58.0</v>
      </c>
      <c r="B59" s="5" t="s">
        <v>153</v>
      </c>
      <c r="C59" s="5" t="s">
        <v>20</v>
      </c>
      <c r="K59" s="5">
        <v>150.0</v>
      </c>
      <c r="N59" s="8">
        <v>44503.0</v>
      </c>
    </row>
    <row r="60">
      <c r="A60" s="5">
        <v>59.0</v>
      </c>
      <c r="B60" s="5" t="s">
        <v>154</v>
      </c>
      <c r="C60" s="5" t="s">
        <v>20</v>
      </c>
      <c r="K60" s="5">
        <v>150.0</v>
      </c>
      <c r="N60" s="8">
        <v>44530.0</v>
      </c>
    </row>
    <row r="61">
      <c r="A61" s="5">
        <v>60.0</v>
      </c>
      <c r="B61" s="5" t="s">
        <v>155</v>
      </c>
      <c r="C61" s="5" t="s">
        <v>20</v>
      </c>
      <c r="K61" s="5">
        <v>600.0</v>
      </c>
      <c r="N61" s="8">
        <v>43895.0</v>
      </c>
    </row>
    <row r="62">
      <c r="A62" s="5">
        <v>61.0</v>
      </c>
      <c r="B62" s="5" t="s">
        <v>157</v>
      </c>
      <c r="C62" s="5" t="s">
        <v>20</v>
      </c>
      <c r="K62" s="5">
        <v>7600.0</v>
      </c>
      <c r="N62" s="8">
        <v>44186.0</v>
      </c>
    </row>
    <row r="63">
      <c r="A63" s="5">
        <v>62.0</v>
      </c>
      <c r="B63" s="5" t="s">
        <v>159</v>
      </c>
      <c r="C63" s="5" t="s">
        <v>20</v>
      </c>
      <c r="K63" s="5">
        <v>2500.0</v>
      </c>
      <c r="N63" s="8">
        <v>44092.0</v>
      </c>
    </row>
    <row r="64">
      <c r="A64" s="5">
        <v>63.0</v>
      </c>
      <c r="B64" s="5" t="s">
        <v>161</v>
      </c>
      <c r="C64" s="5" t="s">
        <v>20</v>
      </c>
      <c r="K64" s="5">
        <v>4000.0</v>
      </c>
      <c r="N64" s="8">
        <v>44192.0</v>
      </c>
    </row>
    <row r="65">
      <c r="A65" s="5">
        <v>64.0</v>
      </c>
      <c r="B65" s="5" t="s">
        <v>162</v>
      </c>
      <c r="C65" s="5" t="s">
        <v>20</v>
      </c>
      <c r="K65" s="5">
        <v>20.0</v>
      </c>
      <c r="N65" s="8">
        <v>45260.0</v>
      </c>
    </row>
    <row r="66">
      <c r="A66" s="5">
        <v>65.0</v>
      </c>
      <c r="B66" s="5" t="s">
        <v>164</v>
      </c>
      <c r="C66" s="5" t="s">
        <v>20</v>
      </c>
      <c r="K66" s="5">
        <v>60.0</v>
      </c>
      <c r="N66" s="8">
        <v>45031.0</v>
      </c>
    </row>
    <row r="67">
      <c r="A67" s="5">
        <v>66.0</v>
      </c>
      <c r="B67" s="5" t="s">
        <v>166</v>
      </c>
      <c r="C67" s="5" t="s">
        <v>20</v>
      </c>
      <c r="N67" s="8">
        <v>44706.0</v>
      </c>
    </row>
    <row r="68">
      <c r="A68" s="5">
        <v>67.0</v>
      </c>
      <c r="B68" s="5" t="s">
        <v>167</v>
      </c>
      <c r="C68" s="5" t="s">
        <v>20</v>
      </c>
      <c r="K68" s="5">
        <v>100.0</v>
      </c>
      <c r="N68" s="8">
        <v>44728.0</v>
      </c>
    </row>
    <row r="69">
      <c r="A69" s="5">
        <v>68.0</v>
      </c>
      <c r="B69" s="5" t="s">
        <v>168</v>
      </c>
      <c r="C69" s="5" t="s">
        <v>20</v>
      </c>
      <c r="K69" s="5">
        <v>150.0</v>
      </c>
      <c r="N69" s="8">
        <v>44908.0</v>
      </c>
    </row>
    <row r="70">
      <c r="A70" s="5">
        <v>69.0</v>
      </c>
      <c r="B70" s="5" t="s">
        <v>170</v>
      </c>
      <c r="C70" s="5" t="s">
        <v>20</v>
      </c>
      <c r="K70" s="5">
        <v>30.0</v>
      </c>
      <c r="N70" s="8">
        <v>45000.0</v>
      </c>
    </row>
    <row r="71">
      <c r="A71" s="5">
        <v>70.0</v>
      </c>
      <c r="B71" s="5" t="s">
        <v>171</v>
      </c>
      <c r="C71" s="5" t="s">
        <v>20</v>
      </c>
      <c r="K71" s="5">
        <v>200.0</v>
      </c>
      <c r="N71" s="8">
        <v>44534.0</v>
      </c>
    </row>
    <row r="72">
      <c r="A72" s="5">
        <v>71.0</v>
      </c>
      <c r="B72" s="5" t="s">
        <v>173</v>
      </c>
      <c r="C72" s="5" t="s">
        <v>20</v>
      </c>
      <c r="F72" s="5">
        <v>0.0</v>
      </c>
      <c r="K72" s="5">
        <v>300.0</v>
      </c>
      <c r="N72" s="8">
        <v>44593.0</v>
      </c>
    </row>
    <row r="73">
      <c r="A73" s="5">
        <v>72.0</v>
      </c>
      <c r="B73" s="5" t="s">
        <v>176</v>
      </c>
      <c r="C73" s="5" t="s">
        <v>20</v>
      </c>
      <c r="N73" s="8">
        <v>44703.0</v>
      </c>
    </row>
    <row r="74">
      <c r="A74" s="5">
        <v>73.0</v>
      </c>
      <c r="B74" s="5" t="s">
        <v>177</v>
      </c>
      <c r="C74" s="5" t="s">
        <v>20</v>
      </c>
      <c r="K74" s="5">
        <v>200.0</v>
      </c>
      <c r="N74" s="8">
        <v>44264.0</v>
      </c>
    </row>
    <row r="75">
      <c r="A75" s="5">
        <v>74.0</v>
      </c>
      <c r="B75" s="5" t="s">
        <v>178</v>
      </c>
      <c r="C75" s="5" t="s">
        <v>20</v>
      </c>
      <c r="K75" s="5">
        <v>20.0</v>
      </c>
      <c r="N75" s="8">
        <v>45251.0</v>
      </c>
    </row>
    <row r="76">
      <c r="A76" s="5">
        <v>75.0</v>
      </c>
      <c r="B76" s="5" t="s">
        <v>180</v>
      </c>
      <c r="C76" s="5" t="s">
        <v>20</v>
      </c>
      <c r="K76" s="5">
        <v>150.0</v>
      </c>
      <c r="N76" s="8">
        <v>44574.0</v>
      </c>
    </row>
    <row r="77">
      <c r="A77" s="5">
        <v>76.0</v>
      </c>
      <c r="B77" s="5" t="s">
        <v>182</v>
      </c>
      <c r="C77" s="5" t="s">
        <v>20</v>
      </c>
      <c r="K77" s="5">
        <v>40.0</v>
      </c>
      <c r="N77" s="8">
        <v>44397.0</v>
      </c>
    </row>
    <row r="78">
      <c r="A78" s="5">
        <v>77.0</v>
      </c>
      <c r="B78" s="5" t="s">
        <v>184</v>
      </c>
      <c r="C78" s="5" t="s">
        <v>20</v>
      </c>
      <c r="K78" s="5">
        <v>70.0</v>
      </c>
      <c r="N78" s="8">
        <v>44194.0</v>
      </c>
    </row>
    <row r="79">
      <c r="A79" s="5">
        <v>78.0</v>
      </c>
      <c r="B79" s="5" t="s">
        <v>185</v>
      </c>
      <c r="C79" s="5" t="s">
        <v>20</v>
      </c>
      <c r="K79" s="5">
        <v>600.0</v>
      </c>
      <c r="N79" s="8">
        <v>44307.0</v>
      </c>
    </row>
    <row r="80">
      <c r="A80" s="5">
        <v>79.0</v>
      </c>
      <c r="B80" s="5" t="s">
        <v>186</v>
      </c>
      <c r="C80" s="5" t="s">
        <v>20</v>
      </c>
      <c r="K80" s="5">
        <v>90.0</v>
      </c>
      <c r="N80" s="8">
        <v>44583.0</v>
      </c>
    </row>
    <row r="81">
      <c r="A81" s="5">
        <v>80.0</v>
      </c>
      <c r="B81" s="5" t="s">
        <v>188</v>
      </c>
      <c r="C81" s="5" t="s">
        <v>20</v>
      </c>
      <c r="K81" s="5">
        <v>3000.0</v>
      </c>
      <c r="N81" s="8">
        <v>44069.0</v>
      </c>
    </row>
    <row r="82">
      <c r="A82" s="5">
        <v>81.0</v>
      </c>
      <c r="B82" s="5" t="s">
        <v>189</v>
      </c>
      <c r="C82" s="5" t="s">
        <v>20</v>
      </c>
      <c r="K82" s="5">
        <v>600.0</v>
      </c>
      <c r="N82" s="8">
        <v>44514.0</v>
      </c>
    </row>
    <row r="83">
      <c r="A83" s="5">
        <v>82.0</v>
      </c>
      <c r="B83" s="5" t="s">
        <v>191</v>
      </c>
      <c r="C83" s="5" t="s">
        <v>20</v>
      </c>
      <c r="K83" s="5">
        <v>200.0</v>
      </c>
      <c r="N83" s="8">
        <v>43934.0</v>
      </c>
    </row>
    <row r="84">
      <c r="A84" s="5">
        <v>83.0</v>
      </c>
      <c r="B84" s="5" t="s">
        <v>192</v>
      </c>
      <c r="C84" s="5" t="s">
        <v>20</v>
      </c>
      <c r="K84" s="5">
        <v>60.0</v>
      </c>
      <c r="N84" s="8">
        <v>44392.0</v>
      </c>
    </row>
    <row r="85">
      <c r="A85" s="5">
        <v>84.0</v>
      </c>
      <c r="B85" s="5" t="s">
        <v>194</v>
      </c>
      <c r="C85" s="5" t="s">
        <v>20</v>
      </c>
    </row>
    <row r="86">
      <c r="A86" s="5">
        <v>85.0</v>
      </c>
      <c r="B86" s="5" t="s">
        <v>195</v>
      </c>
      <c r="C86" s="5" t="s">
        <v>20</v>
      </c>
    </row>
    <row r="87">
      <c r="A87" s="5">
        <v>86.0</v>
      </c>
      <c r="B87" s="5" t="s">
        <v>197</v>
      </c>
      <c r="C87" s="5" t="s">
        <v>20</v>
      </c>
    </row>
    <row r="88">
      <c r="A88" s="5">
        <v>87.0</v>
      </c>
      <c r="B88" s="5" t="s">
        <v>198</v>
      </c>
      <c r="C88" s="5" t="s">
        <v>20</v>
      </c>
    </row>
    <row r="89">
      <c r="A89" s="5">
        <v>88.0</v>
      </c>
      <c r="B89" s="5" t="s">
        <v>199</v>
      </c>
      <c r="C89" s="5" t="s">
        <v>20</v>
      </c>
    </row>
    <row r="90">
      <c r="A90" s="5">
        <v>89.0</v>
      </c>
      <c r="B90" s="5" t="s">
        <v>201</v>
      </c>
      <c r="C90" s="5" t="s">
        <v>20</v>
      </c>
    </row>
    <row r="91">
      <c r="A91" s="5">
        <v>90.0</v>
      </c>
      <c r="B91" s="5" t="s">
        <v>202</v>
      </c>
      <c r="C91" s="5" t="s">
        <v>20</v>
      </c>
    </row>
    <row r="92">
      <c r="A92" s="5">
        <v>91.0</v>
      </c>
      <c r="B92" s="5" t="s">
        <v>204</v>
      </c>
      <c r="C92" s="5" t="s">
        <v>20</v>
      </c>
    </row>
    <row r="93">
      <c r="A93" s="5">
        <v>92.0</v>
      </c>
      <c r="B93" s="5" t="s">
        <v>206</v>
      </c>
      <c r="C93" s="5" t="s">
        <v>20</v>
      </c>
    </row>
    <row r="94">
      <c r="A94" s="5">
        <v>93.0</v>
      </c>
      <c r="B94" s="5" t="s">
        <v>207</v>
      </c>
      <c r="C94" s="5" t="s">
        <v>20</v>
      </c>
    </row>
    <row r="95">
      <c r="A95" s="5">
        <v>94.0</v>
      </c>
      <c r="B95" s="5" t="s">
        <v>208</v>
      </c>
      <c r="C95" s="5" t="s">
        <v>20</v>
      </c>
    </row>
    <row r="96">
      <c r="A96" s="5">
        <v>95.0</v>
      </c>
      <c r="B96" s="5" t="s">
        <v>209</v>
      </c>
      <c r="C96" s="5" t="s">
        <v>20</v>
      </c>
    </row>
    <row r="97">
      <c r="A97" s="5">
        <v>96.0</v>
      </c>
      <c r="B97" s="5" t="s">
        <v>210</v>
      </c>
      <c r="C97" s="5" t="s">
        <v>20</v>
      </c>
    </row>
    <row r="98">
      <c r="A98" s="5">
        <v>97.0</v>
      </c>
      <c r="B98" s="5" t="s">
        <v>212</v>
      </c>
      <c r="C98" s="5" t="s">
        <v>20</v>
      </c>
    </row>
    <row r="99">
      <c r="A99" s="5">
        <v>98.0</v>
      </c>
      <c r="B99" s="5" t="s">
        <v>213</v>
      </c>
      <c r="C99" s="5" t="s">
        <v>20</v>
      </c>
    </row>
    <row r="100">
      <c r="A100" s="5">
        <v>99.0</v>
      </c>
      <c r="B100" s="5" t="s">
        <v>215</v>
      </c>
      <c r="C100" s="5" t="s">
        <v>20</v>
      </c>
    </row>
    <row r="101">
      <c r="A101" s="5">
        <v>100.0</v>
      </c>
      <c r="B101" s="5" t="s">
        <v>217</v>
      </c>
      <c r="C101" s="5" t="s">
        <v>20</v>
      </c>
    </row>
    <row r="102">
      <c r="A102" s="5">
        <v>101.0</v>
      </c>
      <c r="B102" s="5" t="s">
        <v>218</v>
      </c>
      <c r="C102" s="5" t="s">
        <v>20</v>
      </c>
    </row>
    <row r="103">
      <c r="A103" s="5">
        <v>102.0</v>
      </c>
      <c r="B103" s="5" t="s">
        <v>219</v>
      </c>
      <c r="C103" s="5" t="s">
        <v>20</v>
      </c>
    </row>
    <row r="104">
      <c r="A104" s="5">
        <v>103.0</v>
      </c>
      <c r="B104" s="5" t="s">
        <v>221</v>
      </c>
      <c r="C104" s="5" t="s">
        <v>20</v>
      </c>
    </row>
    <row r="105">
      <c r="A105" s="5">
        <v>104.0</v>
      </c>
      <c r="B105" s="5" t="s">
        <v>222</v>
      </c>
      <c r="C105" s="5" t="s">
        <v>20</v>
      </c>
    </row>
    <row r="106">
      <c r="A106" s="5">
        <v>105.0</v>
      </c>
      <c r="B106" s="5" t="s">
        <v>223</v>
      </c>
      <c r="C106" s="5" t="s">
        <v>20</v>
      </c>
    </row>
    <row r="107">
      <c r="A107" s="5">
        <v>106.0</v>
      </c>
      <c r="B107" s="5" t="s">
        <v>224</v>
      </c>
      <c r="C107" s="5" t="s">
        <v>20</v>
      </c>
    </row>
    <row r="108">
      <c r="A108" s="5">
        <v>107.0</v>
      </c>
      <c r="B108" s="5" t="s">
        <v>226</v>
      </c>
      <c r="C108" s="5" t="s">
        <v>20</v>
      </c>
    </row>
    <row r="109">
      <c r="A109" s="5">
        <v>108.0</v>
      </c>
      <c r="B109" s="5" t="s">
        <v>228</v>
      </c>
      <c r="C109" s="5" t="s">
        <v>20</v>
      </c>
    </row>
    <row r="110">
      <c r="A110" s="5">
        <v>109.0</v>
      </c>
      <c r="B110" s="5" t="s">
        <v>229</v>
      </c>
      <c r="C110" s="5" t="s">
        <v>20</v>
      </c>
    </row>
    <row r="111">
      <c r="A111" s="5">
        <v>110.0</v>
      </c>
      <c r="B111" s="5" t="s">
        <v>231</v>
      </c>
      <c r="C111" s="5" t="s">
        <v>20</v>
      </c>
    </row>
    <row r="112">
      <c r="A112" s="5">
        <v>111.0</v>
      </c>
      <c r="B112" s="5" t="s">
        <v>232</v>
      </c>
      <c r="C112" s="5" t="s">
        <v>20</v>
      </c>
    </row>
    <row r="113">
      <c r="A113" s="5">
        <v>112.0</v>
      </c>
      <c r="B113" s="5" t="s">
        <v>233</v>
      </c>
      <c r="C113" s="5" t="s">
        <v>20</v>
      </c>
    </row>
    <row r="114">
      <c r="A114" s="5">
        <v>113.0</v>
      </c>
      <c r="B114" s="5" t="s">
        <v>235</v>
      </c>
      <c r="C114" s="5" t="s">
        <v>20</v>
      </c>
    </row>
    <row r="115">
      <c r="A115" s="5">
        <v>114.0</v>
      </c>
      <c r="B115" s="5" t="s">
        <v>237</v>
      </c>
      <c r="C115" s="5" t="s">
        <v>20</v>
      </c>
    </row>
    <row r="116">
      <c r="A116" s="5">
        <v>115.0</v>
      </c>
      <c r="B116" s="5" t="s">
        <v>238</v>
      </c>
      <c r="C116" s="5" t="s">
        <v>20</v>
      </c>
    </row>
    <row r="117">
      <c r="A117" s="5">
        <v>116.0</v>
      </c>
      <c r="B117" s="5" t="s">
        <v>240</v>
      </c>
      <c r="C117" s="5" t="s">
        <v>20</v>
      </c>
    </row>
    <row r="118">
      <c r="A118" s="5">
        <v>117.0</v>
      </c>
      <c r="B118" s="5" t="s">
        <v>241</v>
      </c>
      <c r="C118" s="5" t="s">
        <v>20</v>
      </c>
    </row>
    <row r="119">
      <c r="A119" s="5">
        <v>118.0</v>
      </c>
      <c r="B119" s="5" t="s">
        <v>242</v>
      </c>
      <c r="C119" s="5" t="s">
        <v>20</v>
      </c>
    </row>
    <row r="120">
      <c r="A120" s="5">
        <v>119.0</v>
      </c>
      <c r="B120" s="5" t="s">
        <v>243</v>
      </c>
      <c r="C120" s="5" t="s">
        <v>20</v>
      </c>
    </row>
    <row r="121">
      <c r="A121" s="5">
        <v>120.0</v>
      </c>
      <c r="B121" s="5" t="s">
        <v>245</v>
      </c>
      <c r="C121" s="5" t="s">
        <v>20</v>
      </c>
    </row>
    <row r="122">
      <c r="A122" s="5">
        <v>121.0</v>
      </c>
      <c r="B122" s="5" t="s">
        <v>246</v>
      </c>
      <c r="C122" s="5" t="s">
        <v>20</v>
      </c>
    </row>
    <row r="123">
      <c r="A123" s="5">
        <v>122.0</v>
      </c>
      <c r="B123" s="5" t="s">
        <v>248</v>
      </c>
      <c r="C123" s="5" t="s">
        <v>20</v>
      </c>
    </row>
    <row r="124">
      <c r="A124" s="5">
        <v>123.0</v>
      </c>
      <c r="B124" s="5" t="s">
        <v>249</v>
      </c>
      <c r="C124" s="5" t="s">
        <v>20</v>
      </c>
    </row>
    <row r="125">
      <c r="A125" s="5">
        <v>124.0</v>
      </c>
      <c r="B125" s="5" t="s">
        <v>250</v>
      </c>
      <c r="C125" s="5" t="s">
        <v>20</v>
      </c>
    </row>
    <row r="126">
      <c r="A126" s="5">
        <v>125.0</v>
      </c>
      <c r="B126" s="5" t="s">
        <v>252</v>
      </c>
      <c r="C126" s="5" t="s">
        <v>20</v>
      </c>
    </row>
    <row r="127">
      <c r="A127" s="5">
        <v>126.0</v>
      </c>
      <c r="B127" s="5" t="s">
        <v>253</v>
      </c>
      <c r="C127" s="5" t="s">
        <v>20</v>
      </c>
    </row>
    <row r="128">
      <c r="A128" s="5">
        <v>127.0</v>
      </c>
      <c r="B128" s="5" t="s">
        <v>254</v>
      </c>
      <c r="C128" s="5" t="s">
        <v>20</v>
      </c>
    </row>
    <row r="129">
      <c r="A129" s="5">
        <v>128.0</v>
      </c>
      <c r="B129" s="5" t="s">
        <v>256</v>
      </c>
      <c r="C129" s="5" t="s">
        <v>20</v>
      </c>
    </row>
    <row r="130">
      <c r="A130" s="5">
        <v>129.0</v>
      </c>
      <c r="B130" s="5" t="s">
        <v>257</v>
      </c>
      <c r="C130" s="5" t="s">
        <v>20</v>
      </c>
    </row>
    <row r="131">
      <c r="A131" s="5">
        <v>130.0</v>
      </c>
      <c r="B131" s="5" t="s">
        <v>258</v>
      </c>
      <c r="C131" s="5" t="s">
        <v>20</v>
      </c>
    </row>
    <row r="132">
      <c r="A132" s="5">
        <v>131.0</v>
      </c>
      <c r="B132" s="5" t="s">
        <v>260</v>
      </c>
      <c r="C132" s="5" t="s">
        <v>20</v>
      </c>
    </row>
    <row r="133">
      <c r="A133" s="5">
        <v>132.0</v>
      </c>
      <c r="B133" s="5" t="s">
        <v>261</v>
      </c>
      <c r="C133" s="5" t="s">
        <v>20</v>
      </c>
    </row>
    <row r="134">
      <c r="A134" s="5">
        <v>133.0</v>
      </c>
      <c r="B134" s="5" t="s">
        <v>263</v>
      </c>
      <c r="C134" s="5" t="s">
        <v>20</v>
      </c>
    </row>
    <row r="135">
      <c r="A135" s="5">
        <v>134.0</v>
      </c>
      <c r="B135" s="5" t="s">
        <v>265</v>
      </c>
      <c r="C135" s="5" t="s">
        <v>20</v>
      </c>
    </row>
    <row r="136">
      <c r="A136" s="5">
        <v>135.0</v>
      </c>
      <c r="B136" s="5" t="s">
        <v>266</v>
      </c>
      <c r="C136" s="5" t="s">
        <v>20</v>
      </c>
    </row>
    <row r="137">
      <c r="A137" s="5">
        <v>136.0</v>
      </c>
      <c r="B137" s="5" t="s">
        <v>268</v>
      </c>
      <c r="C137" s="5" t="s">
        <v>20</v>
      </c>
    </row>
    <row r="138">
      <c r="A138" s="5">
        <v>137.0</v>
      </c>
      <c r="B138" s="5" t="s">
        <v>269</v>
      </c>
      <c r="C138" s="5" t="s">
        <v>20</v>
      </c>
    </row>
    <row r="139">
      <c r="A139" s="5">
        <v>138.0</v>
      </c>
      <c r="B139" s="5" t="s">
        <v>271</v>
      </c>
      <c r="C139" s="5" t="s">
        <v>20</v>
      </c>
    </row>
    <row r="140">
      <c r="A140" s="5">
        <v>139.0</v>
      </c>
      <c r="B140" s="5" t="s">
        <v>272</v>
      </c>
      <c r="C140" s="5" t="s">
        <v>20</v>
      </c>
    </row>
    <row r="141">
      <c r="A141" s="5">
        <v>140.0</v>
      </c>
      <c r="B141" s="5" t="s">
        <v>274</v>
      </c>
      <c r="C141" s="5" t="s">
        <v>20</v>
      </c>
    </row>
    <row r="142">
      <c r="A142" s="5">
        <v>141.0</v>
      </c>
      <c r="B142" s="5" t="s">
        <v>275</v>
      </c>
      <c r="C142" s="5" t="s">
        <v>20</v>
      </c>
    </row>
    <row r="143">
      <c r="A143" s="5">
        <v>142.0</v>
      </c>
      <c r="B143" s="5" t="s">
        <v>276</v>
      </c>
      <c r="C143" s="5" t="s">
        <v>20</v>
      </c>
    </row>
    <row r="144">
      <c r="A144" s="5">
        <v>143.0</v>
      </c>
      <c r="B144" s="5" t="s">
        <v>278</v>
      </c>
      <c r="C144" s="5" t="s">
        <v>20</v>
      </c>
    </row>
    <row r="145">
      <c r="A145" s="5">
        <v>144.0</v>
      </c>
      <c r="B145" s="5" t="s">
        <v>280</v>
      </c>
      <c r="C145" s="5" t="s">
        <v>20</v>
      </c>
    </row>
    <row r="146">
      <c r="A146" s="5">
        <v>145.0</v>
      </c>
      <c r="B146" s="5" t="s">
        <v>281</v>
      </c>
      <c r="C146" s="5" t="s">
        <v>20</v>
      </c>
    </row>
    <row r="147">
      <c r="A147" s="5">
        <v>146.0</v>
      </c>
      <c r="B147" s="5" t="s">
        <v>283</v>
      </c>
      <c r="C147" s="5" t="s">
        <v>20</v>
      </c>
    </row>
    <row r="148">
      <c r="A148" s="5">
        <v>147.0</v>
      </c>
      <c r="B148" s="5" t="s">
        <v>285</v>
      </c>
      <c r="C148" s="5" t="s">
        <v>20</v>
      </c>
    </row>
    <row r="149">
      <c r="A149" s="5">
        <v>148.0</v>
      </c>
      <c r="B149" s="5" t="s">
        <v>286</v>
      </c>
      <c r="C149" s="5" t="s">
        <v>20</v>
      </c>
    </row>
    <row r="150">
      <c r="A150" s="5">
        <v>149.0</v>
      </c>
      <c r="B150" s="5" t="s">
        <v>288</v>
      </c>
      <c r="C150" s="5" t="s">
        <v>20</v>
      </c>
    </row>
    <row r="151">
      <c r="A151" s="5">
        <v>150.0</v>
      </c>
      <c r="B151" s="5" t="s">
        <v>290</v>
      </c>
      <c r="C151" s="5" t="s">
        <v>20</v>
      </c>
    </row>
    <row r="152">
      <c r="A152" s="5">
        <v>151.0</v>
      </c>
      <c r="B152" s="5" t="s">
        <v>291</v>
      </c>
      <c r="C152" s="5" t="s">
        <v>20</v>
      </c>
    </row>
    <row r="153">
      <c r="A153" s="5">
        <v>152.0</v>
      </c>
      <c r="B153" s="5" t="s">
        <v>294</v>
      </c>
      <c r="C153" s="5" t="s">
        <v>20</v>
      </c>
    </row>
    <row r="154">
      <c r="A154" s="5">
        <v>153.0</v>
      </c>
      <c r="B154" s="5" t="s">
        <v>296</v>
      </c>
      <c r="C154" s="5" t="s">
        <v>20</v>
      </c>
    </row>
    <row r="155">
      <c r="A155" s="5">
        <v>154.0</v>
      </c>
      <c r="B155" s="5" t="s">
        <v>297</v>
      </c>
      <c r="C155" s="5" t="s">
        <v>20</v>
      </c>
    </row>
    <row r="156">
      <c r="A156" s="5">
        <v>155.0</v>
      </c>
      <c r="B156" s="5" t="s">
        <v>298</v>
      </c>
      <c r="C156" s="5" t="s">
        <v>20</v>
      </c>
    </row>
    <row r="157">
      <c r="A157" s="5">
        <v>156.0</v>
      </c>
      <c r="B157" s="5" t="s">
        <v>299</v>
      </c>
      <c r="C157" s="5" t="s">
        <v>20</v>
      </c>
    </row>
    <row r="158">
      <c r="A158" s="5">
        <v>157.0</v>
      </c>
      <c r="B158" s="5" t="s">
        <v>301</v>
      </c>
      <c r="C158" s="5" t="s">
        <v>20</v>
      </c>
    </row>
    <row r="159">
      <c r="A159" s="5">
        <v>158.0</v>
      </c>
      <c r="B159" s="5" t="s">
        <v>302</v>
      </c>
      <c r="C159" s="5" t="s">
        <v>20</v>
      </c>
    </row>
    <row r="160">
      <c r="A160" s="5">
        <v>159.0</v>
      </c>
      <c r="B160" s="5" t="s">
        <v>304</v>
      </c>
      <c r="C160" s="5" t="s">
        <v>20</v>
      </c>
    </row>
    <row r="161">
      <c r="A161" s="5">
        <v>160.0</v>
      </c>
      <c r="B161" s="5" t="s">
        <v>305</v>
      </c>
      <c r="C161" s="5" t="s">
        <v>20</v>
      </c>
    </row>
    <row r="162">
      <c r="A162" s="5">
        <v>161.0</v>
      </c>
      <c r="B162" s="5" t="s">
        <v>307</v>
      </c>
      <c r="C162" s="5" t="s">
        <v>20</v>
      </c>
    </row>
    <row r="163">
      <c r="A163" s="5">
        <v>162.0</v>
      </c>
      <c r="B163" s="5" t="s">
        <v>308</v>
      </c>
      <c r="C163" s="5" t="s">
        <v>20</v>
      </c>
    </row>
    <row r="164">
      <c r="A164" s="5">
        <v>163.0</v>
      </c>
      <c r="B164" s="5" t="s">
        <v>310</v>
      </c>
      <c r="C164" s="5" t="s">
        <v>20</v>
      </c>
    </row>
    <row r="165">
      <c r="A165" s="5">
        <v>164.0</v>
      </c>
      <c r="B165" s="5" t="s">
        <v>311</v>
      </c>
      <c r="C165" s="5" t="s">
        <v>20</v>
      </c>
    </row>
    <row r="166">
      <c r="A166" s="5">
        <v>165.0</v>
      </c>
      <c r="B166" s="5" t="s">
        <v>313</v>
      </c>
      <c r="C166" s="5" t="s">
        <v>20</v>
      </c>
    </row>
    <row r="167">
      <c r="A167" s="5">
        <v>166.0</v>
      </c>
      <c r="B167" s="5" t="s">
        <v>314</v>
      </c>
      <c r="C167" s="5" t="s">
        <v>20</v>
      </c>
    </row>
    <row r="168">
      <c r="A168" s="5">
        <v>167.0</v>
      </c>
      <c r="B168" s="5" t="s">
        <v>316</v>
      </c>
      <c r="C168" s="5" t="s">
        <v>20</v>
      </c>
    </row>
    <row r="169">
      <c r="A169" s="5">
        <v>168.0</v>
      </c>
      <c r="B169" s="5" t="s">
        <v>318</v>
      </c>
      <c r="C169" s="5" t="s">
        <v>20</v>
      </c>
    </row>
    <row r="170">
      <c r="A170" s="5">
        <v>169.0</v>
      </c>
      <c r="B170" s="5" t="s">
        <v>319</v>
      </c>
      <c r="C170" s="5" t="s">
        <v>20</v>
      </c>
    </row>
    <row r="171">
      <c r="A171" s="5">
        <v>170.0</v>
      </c>
      <c r="B171" s="5" t="s">
        <v>321</v>
      </c>
      <c r="C171" s="5" t="s">
        <v>20</v>
      </c>
    </row>
    <row r="172">
      <c r="A172" s="5">
        <v>171.0</v>
      </c>
      <c r="B172" s="5" t="s">
        <v>322</v>
      </c>
      <c r="C172" s="5" t="s">
        <v>20</v>
      </c>
    </row>
    <row r="173">
      <c r="A173" s="5">
        <v>172.0</v>
      </c>
      <c r="B173" s="5" t="s">
        <v>324</v>
      </c>
      <c r="C173" s="5" t="s">
        <v>20</v>
      </c>
    </row>
    <row r="174">
      <c r="A174" s="5">
        <v>173.0</v>
      </c>
      <c r="B174" s="5" t="s">
        <v>326</v>
      </c>
      <c r="C174" s="5" t="s">
        <v>20</v>
      </c>
    </row>
    <row r="175">
      <c r="A175" s="5">
        <v>174.0</v>
      </c>
      <c r="B175" s="5" t="s">
        <v>327</v>
      </c>
      <c r="C175" s="5" t="s">
        <v>20</v>
      </c>
    </row>
    <row r="176">
      <c r="A176" s="5">
        <v>175.0</v>
      </c>
      <c r="B176" s="5" t="s">
        <v>329</v>
      </c>
      <c r="C176" s="5" t="s">
        <v>20</v>
      </c>
    </row>
    <row r="177">
      <c r="A177" s="5">
        <v>176.0</v>
      </c>
      <c r="B177" s="5" t="s">
        <v>331</v>
      </c>
      <c r="C177" s="5" t="s">
        <v>20</v>
      </c>
    </row>
    <row r="178">
      <c r="A178" s="5">
        <v>177.0</v>
      </c>
      <c r="B178" s="5" t="s">
        <v>333</v>
      </c>
      <c r="C178" s="5" t="s">
        <v>20</v>
      </c>
    </row>
    <row r="179">
      <c r="A179" s="5">
        <v>178.0</v>
      </c>
      <c r="B179" s="5" t="s">
        <v>335</v>
      </c>
      <c r="C179" s="5" t="s">
        <v>20</v>
      </c>
    </row>
    <row r="180">
      <c r="A180" s="5">
        <v>179.0</v>
      </c>
      <c r="B180" s="5" t="s">
        <v>336</v>
      </c>
      <c r="C180" s="5" t="s">
        <v>20</v>
      </c>
    </row>
    <row r="181">
      <c r="A181" s="5">
        <v>180.0</v>
      </c>
      <c r="B181" s="5" t="s">
        <v>339</v>
      </c>
      <c r="C181" s="5" t="s">
        <v>20</v>
      </c>
    </row>
    <row r="182">
      <c r="A182" s="5">
        <v>181.0</v>
      </c>
      <c r="B182" s="5" t="s">
        <v>340</v>
      </c>
      <c r="C182" s="5" t="s">
        <v>20</v>
      </c>
    </row>
    <row r="183">
      <c r="A183" s="5">
        <v>182.0</v>
      </c>
      <c r="B183" s="5" t="s">
        <v>342</v>
      </c>
      <c r="C183" s="5" t="s">
        <v>20</v>
      </c>
    </row>
    <row r="184">
      <c r="A184" s="5">
        <v>183.0</v>
      </c>
      <c r="B184" s="5" t="s">
        <v>344</v>
      </c>
      <c r="C184" s="5" t="s">
        <v>20</v>
      </c>
    </row>
    <row r="185">
      <c r="A185" s="5">
        <v>184.0</v>
      </c>
      <c r="B185" s="5" t="s">
        <v>346</v>
      </c>
      <c r="C185" s="5" t="s">
        <v>20</v>
      </c>
    </row>
    <row r="186">
      <c r="A186" s="5">
        <v>185.0</v>
      </c>
      <c r="B186" s="5" t="s">
        <v>347</v>
      </c>
      <c r="C186" s="5" t="s">
        <v>20</v>
      </c>
    </row>
    <row r="187">
      <c r="A187" s="5">
        <v>186.0</v>
      </c>
      <c r="B187" s="5" t="s">
        <v>349</v>
      </c>
      <c r="C187" s="5" t="s">
        <v>20</v>
      </c>
    </row>
    <row r="188">
      <c r="A188" s="5">
        <v>187.0</v>
      </c>
      <c r="B188" s="5" t="s">
        <v>351</v>
      </c>
      <c r="C188" s="5" t="s">
        <v>20</v>
      </c>
    </row>
    <row r="189">
      <c r="A189" s="5">
        <v>188.0</v>
      </c>
      <c r="B189" s="5" t="s">
        <v>353</v>
      </c>
      <c r="C189" s="5" t="s">
        <v>20</v>
      </c>
    </row>
    <row r="190">
      <c r="A190" s="5">
        <v>189.0</v>
      </c>
      <c r="B190" s="5" t="s">
        <v>355</v>
      </c>
      <c r="C190" s="5" t="s">
        <v>20</v>
      </c>
    </row>
    <row r="191">
      <c r="A191" s="5">
        <v>190.0</v>
      </c>
      <c r="B191" s="5" t="s">
        <v>357</v>
      </c>
      <c r="C191" s="5" t="s">
        <v>20</v>
      </c>
    </row>
    <row r="192">
      <c r="A192" s="5">
        <v>191.0</v>
      </c>
      <c r="B192" s="5" t="s">
        <v>358</v>
      </c>
      <c r="C192" s="5" t="s">
        <v>20</v>
      </c>
    </row>
    <row r="193">
      <c r="A193" s="5">
        <v>192.0</v>
      </c>
      <c r="B193" s="5" t="s">
        <v>360</v>
      </c>
      <c r="C193" s="5" t="s">
        <v>20</v>
      </c>
    </row>
    <row r="194">
      <c r="A194" s="5">
        <v>193.0</v>
      </c>
      <c r="B194" s="5" t="s">
        <v>362</v>
      </c>
      <c r="C194" s="5" t="s">
        <v>20</v>
      </c>
    </row>
    <row r="195">
      <c r="A195" s="5">
        <v>194.0</v>
      </c>
      <c r="B195" s="5" t="s">
        <v>364</v>
      </c>
      <c r="C195" s="5" t="s">
        <v>20</v>
      </c>
    </row>
    <row r="196">
      <c r="A196" s="5">
        <v>195.0</v>
      </c>
      <c r="B196" s="5" t="s">
        <v>365</v>
      </c>
      <c r="C196" s="5" t="s">
        <v>20</v>
      </c>
    </row>
    <row r="197">
      <c r="A197" s="5">
        <v>196.0</v>
      </c>
      <c r="B197" s="5" t="s">
        <v>367</v>
      </c>
      <c r="C197" s="5" t="s">
        <v>20</v>
      </c>
    </row>
    <row r="198">
      <c r="A198" s="5">
        <v>197.0</v>
      </c>
      <c r="B198" s="5" t="s">
        <v>369</v>
      </c>
      <c r="C198" s="5" t="s">
        <v>20</v>
      </c>
    </row>
    <row r="199">
      <c r="A199" s="5">
        <v>198.0</v>
      </c>
      <c r="B199" s="5" t="s">
        <v>371</v>
      </c>
      <c r="C199" s="5" t="s">
        <v>20</v>
      </c>
    </row>
    <row r="200">
      <c r="A200" s="5">
        <v>199.0</v>
      </c>
      <c r="B200" s="5" t="s">
        <v>373</v>
      </c>
      <c r="C200" s="5" t="s">
        <v>20</v>
      </c>
    </row>
    <row r="201">
      <c r="A201" s="5">
        <v>200.0</v>
      </c>
      <c r="B201" s="5" t="s">
        <v>375</v>
      </c>
      <c r="C201" s="5" t="s">
        <v>20</v>
      </c>
    </row>
    <row r="202">
      <c r="A202" s="5">
        <v>201.0</v>
      </c>
      <c r="B202" s="5" t="s">
        <v>376</v>
      </c>
      <c r="C202" s="5" t="s">
        <v>20</v>
      </c>
    </row>
    <row r="203">
      <c r="A203" s="5">
        <v>202.0</v>
      </c>
      <c r="B203" s="5" t="s">
        <v>378</v>
      </c>
      <c r="C203" s="5" t="s">
        <v>20</v>
      </c>
    </row>
    <row r="204">
      <c r="A204" s="5">
        <v>203.0</v>
      </c>
      <c r="B204" s="5" t="s">
        <v>380</v>
      </c>
      <c r="C204" s="5" t="s">
        <v>20</v>
      </c>
    </row>
    <row r="205">
      <c r="A205" s="5">
        <v>204.0</v>
      </c>
      <c r="B205" s="5" t="s">
        <v>382</v>
      </c>
      <c r="C205" s="5" t="s">
        <v>20</v>
      </c>
    </row>
    <row r="206">
      <c r="A206" s="5">
        <v>205.0</v>
      </c>
      <c r="B206" s="5" t="s">
        <v>384</v>
      </c>
      <c r="C206" s="5" t="s">
        <v>20</v>
      </c>
    </row>
    <row r="207">
      <c r="A207" s="5">
        <v>206.0</v>
      </c>
      <c r="B207" s="5" t="s">
        <v>386</v>
      </c>
      <c r="C207" s="5" t="s">
        <v>20</v>
      </c>
    </row>
    <row r="208">
      <c r="A208" s="5">
        <v>207.0</v>
      </c>
      <c r="B208" s="5" t="s">
        <v>388</v>
      </c>
      <c r="C208" s="5" t="s">
        <v>20</v>
      </c>
    </row>
    <row r="209">
      <c r="A209" s="5">
        <v>208.0</v>
      </c>
      <c r="B209" s="5" t="s">
        <v>390</v>
      </c>
      <c r="C209" s="5" t="s">
        <v>20</v>
      </c>
    </row>
    <row r="210">
      <c r="A210" s="5">
        <v>209.0</v>
      </c>
      <c r="B210" s="5" t="s">
        <v>392</v>
      </c>
      <c r="C210" s="5" t="s">
        <v>20</v>
      </c>
    </row>
    <row r="211">
      <c r="A211" s="5">
        <v>210.0</v>
      </c>
      <c r="B211" s="5" t="s">
        <v>394</v>
      </c>
      <c r="C211" s="5" t="s">
        <v>20</v>
      </c>
    </row>
    <row r="212">
      <c r="A212" s="5">
        <v>211.0</v>
      </c>
      <c r="B212" s="5" t="s">
        <v>395</v>
      </c>
      <c r="C212" s="5" t="s">
        <v>20</v>
      </c>
    </row>
    <row r="213">
      <c r="A213" s="5">
        <v>212.0</v>
      </c>
      <c r="B213" s="5" t="s">
        <v>397</v>
      </c>
      <c r="C213" s="5" t="s">
        <v>20</v>
      </c>
    </row>
    <row r="214">
      <c r="A214" s="5">
        <v>213.0</v>
      </c>
      <c r="B214" s="5" t="s">
        <v>399</v>
      </c>
      <c r="C214" s="5" t="s">
        <v>20</v>
      </c>
    </row>
    <row r="215">
      <c r="A215" s="5">
        <v>214.0</v>
      </c>
      <c r="B215" s="5" t="s">
        <v>401</v>
      </c>
      <c r="C215" s="5" t="s">
        <v>20</v>
      </c>
    </row>
    <row r="216">
      <c r="A216" s="5">
        <v>215.0</v>
      </c>
      <c r="B216" s="5" t="s">
        <v>403</v>
      </c>
      <c r="C216" s="5" t="s">
        <v>20</v>
      </c>
    </row>
    <row r="217">
      <c r="A217" s="5">
        <v>216.0</v>
      </c>
      <c r="B217" s="5" t="s">
        <v>404</v>
      </c>
      <c r="C217" s="5" t="s">
        <v>20</v>
      </c>
    </row>
    <row r="218">
      <c r="A218" s="5">
        <v>217.0</v>
      </c>
      <c r="B218" s="5" t="s">
        <v>405</v>
      </c>
      <c r="C218" s="5" t="s">
        <v>20</v>
      </c>
    </row>
    <row r="219">
      <c r="A219" s="5">
        <v>218.0</v>
      </c>
      <c r="B219" s="5" t="s">
        <v>407</v>
      </c>
      <c r="C219" s="5" t="s">
        <v>20</v>
      </c>
    </row>
    <row r="220">
      <c r="A220" s="5">
        <v>219.0</v>
      </c>
      <c r="B220" s="5" t="s">
        <v>408</v>
      </c>
      <c r="C220" s="5" t="s">
        <v>20</v>
      </c>
    </row>
    <row r="221">
      <c r="A221" s="5">
        <v>220.0</v>
      </c>
      <c r="B221" s="5" t="s">
        <v>409</v>
      </c>
      <c r="C221" s="5" t="s">
        <v>20</v>
      </c>
    </row>
    <row r="222">
      <c r="A222" s="5">
        <v>221.0</v>
      </c>
      <c r="B222" s="5" t="s">
        <v>411</v>
      </c>
      <c r="C222" s="5" t="s">
        <v>20</v>
      </c>
    </row>
    <row r="223">
      <c r="A223" s="5">
        <v>222.0</v>
      </c>
      <c r="B223" s="5" t="s">
        <v>412</v>
      </c>
      <c r="C223" s="5" t="s">
        <v>20</v>
      </c>
    </row>
    <row r="224">
      <c r="A224" s="5">
        <v>223.0</v>
      </c>
      <c r="B224" s="5" t="s">
        <v>414</v>
      </c>
      <c r="C224" s="5" t="s">
        <v>20</v>
      </c>
    </row>
    <row r="225">
      <c r="A225" s="5">
        <v>224.0</v>
      </c>
      <c r="B225" s="5" t="s">
        <v>415</v>
      </c>
      <c r="C225" s="5" t="s">
        <v>20</v>
      </c>
    </row>
    <row r="226">
      <c r="A226" s="5">
        <v>225.0</v>
      </c>
      <c r="B226" s="5" t="s">
        <v>417</v>
      </c>
      <c r="C226" s="5" t="s">
        <v>20</v>
      </c>
    </row>
    <row r="227">
      <c r="A227" s="5">
        <v>226.0</v>
      </c>
      <c r="B227" s="5" t="s">
        <v>419</v>
      </c>
      <c r="C227" s="5" t="s">
        <v>20</v>
      </c>
    </row>
    <row r="228">
      <c r="A228" s="5">
        <v>227.0</v>
      </c>
      <c r="B228" s="5" t="s">
        <v>420</v>
      </c>
      <c r="C228" s="5" t="s">
        <v>20</v>
      </c>
    </row>
    <row r="229">
      <c r="A229" s="5">
        <v>228.0</v>
      </c>
      <c r="B229" s="5" t="s">
        <v>422</v>
      </c>
      <c r="C229" s="5" t="s">
        <v>20</v>
      </c>
    </row>
    <row r="230">
      <c r="A230" s="5">
        <v>229.0</v>
      </c>
      <c r="B230" s="5" t="s">
        <v>424</v>
      </c>
      <c r="C230" s="5" t="s">
        <v>20</v>
      </c>
    </row>
    <row r="231">
      <c r="A231" s="5">
        <v>230.0</v>
      </c>
      <c r="B231" s="5" t="s">
        <v>426</v>
      </c>
      <c r="C231" s="5" t="s">
        <v>20</v>
      </c>
    </row>
    <row r="232">
      <c r="A232" s="5">
        <v>231.0</v>
      </c>
      <c r="B232" s="5" t="s">
        <v>428</v>
      </c>
      <c r="C232" s="5" t="s">
        <v>20</v>
      </c>
    </row>
    <row r="233">
      <c r="A233" s="5">
        <v>232.0</v>
      </c>
      <c r="B233" s="5" t="s">
        <v>429</v>
      </c>
      <c r="C233" s="5" t="s">
        <v>20</v>
      </c>
    </row>
    <row r="234">
      <c r="A234" s="5">
        <v>233.0</v>
      </c>
      <c r="B234" s="5" t="s">
        <v>431</v>
      </c>
      <c r="C234" s="5" t="s">
        <v>20</v>
      </c>
    </row>
    <row r="235">
      <c r="A235" s="5">
        <v>234.0</v>
      </c>
      <c r="B235" s="5" t="s">
        <v>433</v>
      </c>
      <c r="C235" s="5" t="s">
        <v>20</v>
      </c>
    </row>
    <row r="236">
      <c r="A236" s="5">
        <v>235.0</v>
      </c>
      <c r="B236" s="5" t="s">
        <v>435</v>
      </c>
      <c r="C236" s="5" t="s">
        <v>20</v>
      </c>
    </row>
    <row r="237">
      <c r="A237" s="5">
        <v>236.0</v>
      </c>
      <c r="B237" s="5" t="s">
        <v>437</v>
      </c>
      <c r="C237" s="5" t="s">
        <v>20</v>
      </c>
    </row>
    <row r="238">
      <c r="A238" s="5">
        <v>237.0</v>
      </c>
      <c r="B238" s="5" t="s">
        <v>439</v>
      </c>
      <c r="C238" s="5" t="s">
        <v>20</v>
      </c>
    </row>
    <row r="239">
      <c r="A239" s="5">
        <v>238.0</v>
      </c>
      <c r="B239" s="5" t="s">
        <v>441</v>
      </c>
      <c r="C239" s="5" t="s">
        <v>20</v>
      </c>
    </row>
    <row r="240">
      <c r="A240" s="5">
        <v>239.0</v>
      </c>
      <c r="B240" s="5" t="s">
        <v>442</v>
      </c>
      <c r="C240" s="5" t="s">
        <v>20</v>
      </c>
    </row>
    <row r="241">
      <c r="A241" s="5">
        <v>240.0</v>
      </c>
      <c r="B241" s="5" t="s">
        <v>444</v>
      </c>
      <c r="C241" s="5" t="s">
        <v>20</v>
      </c>
    </row>
    <row r="242">
      <c r="A242" s="5">
        <v>241.0</v>
      </c>
      <c r="B242" s="5" t="s">
        <v>446</v>
      </c>
      <c r="C242" s="5" t="s">
        <v>20</v>
      </c>
    </row>
    <row r="243">
      <c r="A243" s="5">
        <v>242.0</v>
      </c>
      <c r="B243" s="5" t="s">
        <v>448</v>
      </c>
      <c r="C243" s="5" t="s">
        <v>20</v>
      </c>
    </row>
    <row r="244">
      <c r="A244" s="5">
        <v>243.0</v>
      </c>
      <c r="B244" s="5" t="s">
        <v>450</v>
      </c>
      <c r="C244" s="5" t="s">
        <v>20</v>
      </c>
    </row>
    <row r="245">
      <c r="A245" s="5">
        <v>244.0</v>
      </c>
      <c r="B245" s="5" t="s">
        <v>451</v>
      </c>
      <c r="C245" s="5" t="s">
        <v>20</v>
      </c>
    </row>
    <row r="246">
      <c r="A246" s="5">
        <v>245.0</v>
      </c>
      <c r="B246" s="5" t="s">
        <v>453</v>
      </c>
      <c r="C246" s="5" t="s">
        <v>20</v>
      </c>
    </row>
    <row r="247">
      <c r="A247" s="5">
        <v>246.0</v>
      </c>
      <c r="B247" s="5" t="s">
        <v>455</v>
      </c>
      <c r="C247" s="5" t="s">
        <v>20</v>
      </c>
    </row>
    <row r="248">
      <c r="A248" s="5">
        <v>247.0</v>
      </c>
      <c r="B248" s="5" t="s">
        <v>457</v>
      </c>
      <c r="C248" s="5" t="s">
        <v>20</v>
      </c>
    </row>
    <row r="249">
      <c r="A249" s="5">
        <v>248.0</v>
      </c>
      <c r="B249" s="5" t="s">
        <v>458</v>
      </c>
      <c r="C249" s="5" t="s">
        <v>20</v>
      </c>
    </row>
    <row r="250">
      <c r="A250" s="5">
        <v>249.0</v>
      </c>
      <c r="B250" s="5" t="s">
        <v>460</v>
      </c>
      <c r="C250" s="5" t="s">
        <v>20</v>
      </c>
    </row>
    <row r="251">
      <c r="A251" s="5">
        <v>250.0</v>
      </c>
      <c r="B251" s="5" t="s">
        <v>462</v>
      </c>
      <c r="C251" s="5" t="s">
        <v>20</v>
      </c>
    </row>
    <row r="252">
      <c r="A252" s="5">
        <v>251.0</v>
      </c>
      <c r="B252" s="5" t="s">
        <v>464</v>
      </c>
      <c r="C252" s="5" t="s">
        <v>20</v>
      </c>
    </row>
    <row r="253">
      <c r="A253" s="5">
        <v>252.0</v>
      </c>
      <c r="B253" s="5" t="s">
        <v>467</v>
      </c>
      <c r="C253" s="5" t="s">
        <v>20</v>
      </c>
    </row>
    <row r="254">
      <c r="A254" s="5">
        <v>253.0</v>
      </c>
      <c r="B254" s="5" t="s">
        <v>468</v>
      </c>
      <c r="C254" s="5" t="s">
        <v>20</v>
      </c>
    </row>
    <row r="255">
      <c r="A255" s="5">
        <v>254.0</v>
      </c>
      <c r="B255" s="5" t="s">
        <v>471</v>
      </c>
      <c r="C255" s="5" t="s">
        <v>20</v>
      </c>
    </row>
    <row r="256">
      <c r="A256" s="5">
        <v>255.0</v>
      </c>
      <c r="B256" s="5" t="s">
        <v>474</v>
      </c>
      <c r="C256" s="5" t="s">
        <v>20</v>
      </c>
    </row>
    <row r="257">
      <c r="A257" s="5">
        <v>256.0</v>
      </c>
      <c r="B257" s="5" t="s">
        <v>476</v>
      </c>
      <c r="C257" s="5" t="s">
        <v>20</v>
      </c>
    </row>
    <row r="258">
      <c r="A258" s="5">
        <v>257.0</v>
      </c>
      <c r="B258" s="5" t="s">
        <v>478</v>
      </c>
      <c r="C258" s="5" t="s">
        <v>20</v>
      </c>
    </row>
    <row r="259">
      <c r="A259" s="5">
        <v>258.0</v>
      </c>
      <c r="B259" s="5" t="s">
        <v>480</v>
      </c>
      <c r="C259" s="5" t="s">
        <v>20</v>
      </c>
    </row>
    <row r="260">
      <c r="A260" s="5">
        <v>259.0</v>
      </c>
      <c r="B260" s="5" t="s">
        <v>481</v>
      </c>
      <c r="C260" s="5" t="s">
        <v>20</v>
      </c>
    </row>
    <row r="261">
      <c r="A261" s="5">
        <v>260.0</v>
      </c>
      <c r="B261" s="5" t="s">
        <v>483</v>
      </c>
      <c r="C261" s="5" t="s">
        <v>20</v>
      </c>
    </row>
    <row r="262">
      <c r="A262" s="5">
        <v>261.0</v>
      </c>
      <c r="B262" s="5" t="s">
        <v>485</v>
      </c>
      <c r="C262" s="5" t="s">
        <v>20</v>
      </c>
    </row>
    <row r="263">
      <c r="A263" s="5">
        <v>262.0</v>
      </c>
      <c r="B263" s="5" t="s">
        <v>487</v>
      </c>
      <c r="C263" s="5" t="s">
        <v>20</v>
      </c>
    </row>
    <row r="264">
      <c r="A264" s="5">
        <v>263.0</v>
      </c>
      <c r="B264" s="5" t="s">
        <v>489</v>
      </c>
      <c r="C264" s="5" t="s">
        <v>20</v>
      </c>
    </row>
    <row r="265">
      <c r="A265" s="5">
        <v>264.0</v>
      </c>
      <c r="B265" s="5" t="s">
        <v>493</v>
      </c>
      <c r="C265" s="5" t="s">
        <v>20</v>
      </c>
    </row>
    <row r="266">
      <c r="A266" s="5">
        <v>265.0</v>
      </c>
      <c r="B266" s="5" t="s">
        <v>495</v>
      </c>
      <c r="C266" s="5" t="s">
        <v>20</v>
      </c>
    </row>
    <row r="267">
      <c r="A267" s="5">
        <v>266.0</v>
      </c>
      <c r="B267" s="5" t="s">
        <v>497</v>
      </c>
      <c r="C267" s="5" t="s">
        <v>20</v>
      </c>
    </row>
    <row r="268">
      <c r="A268" s="5">
        <v>267.0</v>
      </c>
      <c r="B268" s="5" t="s">
        <v>499</v>
      </c>
      <c r="C268" s="5" t="s">
        <v>20</v>
      </c>
    </row>
    <row r="269">
      <c r="A269" s="5">
        <v>268.0</v>
      </c>
      <c r="B269" s="5" t="s">
        <v>503</v>
      </c>
      <c r="C269" s="5" t="s">
        <v>20</v>
      </c>
    </row>
    <row r="270">
      <c r="A270" s="5">
        <v>269.0</v>
      </c>
      <c r="B270" s="5" t="s">
        <v>504</v>
      </c>
      <c r="C270" s="5" t="s">
        <v>20</v>
      </c>
    </row>
    <row r="271">
      <c r="A271" s="5">
        <v>270.0</v>
      </c>
      <c r="B271" s="5" t="s">
        <v>506</v>
      </c>
      <c r="C271" s="5" t="s">
        <v>20</v>
      </c>
    </row>
    <row r="272">
      <c r="A272" s="5">
        <v>271.0</v>
      </c>
      <c r="B272" s="5" t="s">
        <v>507</v>
      </c>
      <c r="C272" s="5" t="s">
        <v>20</v>
      </c>
    </row>
    <row r="273">
      <c r="A273" s="5">
        <v>272.0</v>
      </c>
      <c r="B273" s="5" t="s">
        <v>509</v>
      </c>
      <c r="C273" s="5" t="s">
        <v>20</v>
      </c>
    </row>
    <row r="274">
      <c r="A274" s="5">
        <v>273.0</v>
      </c>
      <c r="B274" s="5" t="s">
        <v>512</v>
      </c>
      <c r="C274" s="5" t="s">
        <v>20</v>
      </c>
    </row>
    <row r="275">
      <c r="A275" s="5">
        <v>274.0</v>
      </c>
      <c r="B275" s="5" t="s">
        <v>513</v>
      </c>
      <c r="C275" s="5" t="s">
        <v>20</v>
      </c>
    </row>
    <row r="276">
      <c r="A276" s="5">
        <v>275.0</v>
      </c>
      <c r="B276" s="5" t="s">
        <v>515</v>
      </c>
      <c r="C276" s="5" t="s">
        <v>20</v>
      </c>
    </row>
    <row r="277">
      <c r="A277" s="5">
        <v>276.0</v>
      </c>
      <c r="B277" s="5" t="s">
        <v>521</v>
      </c>
      <c r="C277" s="5" t="s">
        <v>20</v>
      </c>
    </row>
    <row r="278">
      <c r="A278" s="5">
        <v>277.0</v>
      </c>
      <c r="B278" s="5" t="s">
        <v>524</v>
      </c>
      <c r="C278" s="5" t="s">
        <v>20</v>
      </c>
    </row>
    <row r="279">
      <c r="A279" s="5">
        <v>278.0</v>
      </c>
      <c r="B279" s="5" t="s">
        <v>525</v>
      </c>
      <c r="C279" s="5" t="s">
        <v>20</v>
      </c>
    </row>
    <row r="280">
      <c r="A280" s="5">
        <v>279.0</v>
      </c>
      <c r="B280" s="5" t="s">
        <v>527</v>
      </c>
      <c r="C280" s="5" t="s">
        <v>20</v>
      </c>
    </row>
    <row r="281">
      <c r="A281" s="5">
        <v>280.0</v>
      </c>
      <c r="B281" s="5" t="s">
        <v>529</v>
      </c>
      <c r="C281" s="5" t="s">
        <v>20</v>
      </c>
    </row>
    <row r="282">
      <c r="A282" s="5">
        <v>281.0</v>
      </c>
      <c r="B282" s="5" t="s">
        <v>532</v>
      </c>
      <c r="C282" s="5" t="s">
        <v>20</v>
      </c>
    </row>
    <row r="283">
      <c r="A283" s="5">
        <v>282.0</v>
      </c>
      <c r="B283" s="5" t="s">
        <v>535</v>
      </c>
      <c r="C283" s="5" t="s">
        <v>20</v>
      </c>
    </row>
    <row r="284">
      <c r="A284" s="5">
        <v>283.0</v>
      </c>
      <c r="B284" s="5" t="s">
        <v>536</v>
      </c>
      <c r="C284" s="5" t="s">
        <v>20</v>
      </c>
    </row>
    <row r="285">
      <c r="A285" s="5">
        <v>284.0</v>
      </c>
      <c r="B285" s="5" t="s">
        <v>539</v>
      </c>
      <c r="C285" s="5" t="s">
        <v>20</v>
      </c>
    </row>
    <row r="286">
      <c r="A286" s="5">
        <v>285.0</v>
      </c>
      <c r="B286" s="5" t="s">
        <v>540</v>
      </c>
      <c r="C286" s="5" t="s">
        <v>20</v>
      </c>
    </row>
    <row r="287">
      <c r="A287" s="5">
        <v>286.0</v>
      </c>
      <c r="B287" s="5" t="s">
        <v>543</v>
      </c>
      <c r="C287" s="5" t="s">
        <v>20</v>
      </c>
    </row>
    <row r="288">
      <c r="A288" s="5">
        <v>287.0</v>
      </c>
      <c r="B288" s="5" t="s">
        <v>545</v>
      </c>
      <c r="C288" s="5" t="s">
        <v>20</v>
      </c>
    </row>
    <row r="289">
      <c r="A289" s="5">
        <v>288.0</v>
      </c>
      <c r="B289" s="5" t="s">
        <v>547</v>
      </c>
      <c r="C289" s="5" t="s">
        <v>20</v>
      </c>
    </row>
    <row r="290">
      <c r="A290" s="5">
        <v>289.0</v>
      </c>
      <c r="B290" s="5" t="s">
        <v>549</v>
      </c>
      <c r="C290" s="5" t="s">
        <v>20</v>
      </c>
    </row>
    <row r="291">
      <c r="A291" s="5">
        <v>290.0</v>
      </c>
      <c r="B291" s="5" t="s">
        <v>550</v>
      </c>
      <c r="C291" s="5" t="s">
        <v>20</v>
      </c>
    </row>
    <row r="292">
      <c r="A292" s="5">
        <v>291.0</v>
      </c>
      <c r="B292" s="5" t="s">
        <v>552</v>
      </c>
      <c r="C292" s="5" t="s">
        <v>20</v>
      </c>
    </row>
    <row r="293">
      <c r="A293" s="5">
        <v>292.0</v>
      </c>
      <c r="B293" s="5" t="s">
        <v>555</v>
      </c>
      <c r="C293" s="5" t="s">
        <v>20</v>
      </c>
    </row>
    <row r="294">
      <c r="A294" s="5">
        <v>293.0</v>
      </c>
      <c r="B294" s="5" t="s">
        <v>558</v>
      </c>
      <c r="C294" s="5" t="s">
        <v>20</v>
      </c>
    </row>
    <row r="295">
      <c r="A295" s="5">
        <v>294.0</v>
      </c>
      <c r="B295" s="5" t="s">
        <v>559</v>
      </c>
      <c r="C295" s="5" t="s">
        <v>20</v>
      </c>
    </row>
    <row r="296">
      <c r="A296" s="5">
        <v>295.0</v>
      </c>
      <c r="B296" s="5" t="s">
        <v>561</v>
      </c>
      <c r="C296" s="5" t="s">
        <v>20</v>
      </c>
    </row>
    <row r="297">
      <c r="A297" s="5">
        <v>296.0</v>
      </c>
      <c r="B297" s="5" t="s">
        <v>563</v>
      </c>
      <c r="C297" s="5" t="s">
        <v>20</v>
      </c>
    </row>
    <row r="298">
      <c r="A298" s="5">
        <v>297.0</v>
      </c>
      <c r="B298" s="5" t="s">
        <v>565</v>
      </c>
      <c r="C298" s="5" t="s">
        <v>20</v>
      </c>
    </row>
    <row r="299">
      <c r="A299" s="5">
        <v>298.0</v>
      </c>
      <c r="B299" s="5" t="s">
        <v>567</v>
      </c>
      <c r="C299" s="5" t="s">
        <v>20</v>
      </c>
    </row>
    <row r="300">
      <c r="A300" s="5">
        <v>299.0</v>
      </c>
      <c r="B300" s="5" t="s">
        <v>568</v>
      </c>
      <c r="C300" s="5" t="s">
        <v>20</v>
      </c>
    </row>
    <row r="301">
      <c r="A301" s="5">
        <v>300.0</v>
      </c>
      <c r="B301" s="5" t="s">
        <v>572</v>
      </c>
      <c r="C301" s="5" t="s">
        <v>20</v>
      </c>
    </row>
    <row r="302">
      <c r="A302" s="5">
        <v>301.0</v>
      </c>
      <c r="B302" s="5" t="s">
        <v>573</v>
      </c>
      <c r="C302" s="5" t="s">
        <v>20</v>
      </c>
    </row>
    <row r="303">
      <c r="A303" s="5">
        <v>302.0</v>
      </c>
      <c r="B303" s="5" t="s">
        <v>576</v>
      </c>
      <c r="C303" s="5" t="s">
        <v>20</v>
      </c>
    </row>
    <row r="304">
      <c r="A304" s="5">
        <v>303.0</v>
      </c>
      <c r="B304" s="5" t="s">
        <v>577</v>
      </c>
      <c r="C304" s="5" t="s">
        <v>20</v>
      </c>
    </row>
    <row r="305">
      <c r="A305" s="5">
        <v>304.0</v>
      </c>
      <c r="B305" s="5" t="s">
        <v>579</v>
      </c>
      <c r="C305" s="5" t="s">
        <v>20</v>
      </c>
    </row>
    <row r="306">
      <c r="A306" s="5">
        <v>305.0</v>
      </c>
      <c r="B306" s="5" t="s">
        <v>580</v>
      </c>
      <c r="C306" s="5" t="s">
        <v>20</v>
      </c>
    </row>
    <row r="307">
      <c r="A307" s="5">
        <v>306.0</v>
      </c>
      <c r="B307" s="5" t="s">
        <v>586</v>
      </c>
      <c r="C307" s="5" t="s">
        <v>20</v>
      </c>
    </row>
    <row r="308">
      <c r="A308" s="5">
        <v>307.0</v>
      </c>
      <c r="B308" s="5" t="s">
        <v>587</v>
      </c>
      <c r="C308" s="5" t="s">
        <v>20</v>
      </c>
    </row>
    <row r="309">
      <c r="A309" s="5">
        <v>308.0</v>
      </c>
      <c r="B309" s="5" t="s">
        <v>589</v>
      </c>
      <c r="C309" s="5" t="s">
        <v>20</v>
      </c>
    </row>
    <row r="310">
      <c r="A310" s="5">
        <v>309.0</v>
      </c>
      <c r="B310" s="5" t="s">
        <v>590</v>
      </c>
      <c r="C310" s="5" t="s">
        <v>20</v>
      </c>
    </row>
    <row r="311">
      <c r="A311" s="5">
        <v>310.0</v>
      </c>
      <c r="B311" s="5" t="s">
        <v>592</v>
      </c>
      <c r="C311" s="5" t="s">
        <v>20</v>
      </c>
    </row>
    <row r="312">
      <c r="A312" s="5">
        <v>311.0</v>
      </c>
      <c r="B312" s="5" t="s">
        <v>594</v>
      </c>
      <c r="C312" s="5" t="s">
        <v>20</v>
      </c>
    </row>
    <row r="313">
      <c r="A313" s="5">
        <v>312.0</v>
      </c>
      <c r="B313" s="5" t="s">
        <v>596</v>
      </c>
      <c r="C313" s="5" t="s">
        <v>20</v>
      </c>
    </row>
    <row r="314">
      <c r="A314" s="5">
        <v>313.0</v>
      </c>
      <c r="B314" s="5" t="s">
        <v>599</v>
      </c>
      <c r="C314" s="5" t="s">
        <v>20</v>
      </c>
    </row>
    <row r="315">
      <c r="A315" s="5">
        <v>314.0</v>
      </c>
      <c r="B315" s="5" t="s">
        <v>602</v>
      </c>
      <c r="C315" s="5" t="s">
        <v>20</v>
      </c>
    </row>
    <row r="316">
      <c r="A316" s="5">
        <v>315.0</v>
      </c>
      <c r="B316" s="5" t="s">
        <v>607</v>
      </c>
      <c r="C316" s="5" t="s">
        <v>20</v>
      </c>
    </row>
    <row r="317">
      <c r="A317" s="5">
        <v>316.0</v>
      </c>
      <c r="B317" s="5" t="s">
        <v>609</v>
      </c>
      <c r="C317" s="5" t="s">
        <v>20</v>
      </c>
    </row>
    <row r="318">
      <c r="A318" s="5">
        <v>317.0</v>
      </c>
      <c r="B318" s="5" t="s">
        <v>611</v>
      </c>
      <c r="C318" s="5" t="s">
        <v>20</v>
      </c>
    </row>
    <row r="319">
      <c r="A319" s="5">
        <v>318.0</v>
      </c>
      <c r="B319" s="5" t="s">
        <v>614</v>
      </c>
      <c r="C319" s="5" t="s">
        <v>20</v>
      </c>
    </row>
    <row r="320">
      <c r="A320" s="5">
        <v>319.0</v>
      </c>
      <c r="B320" s="5" t="s">
        <v>617</v>
      </c>
      <c r="C320" s="5" t="s">
        <v>20</v>
      </c>
    </row>
    <row r="321">
      <c r="A321" s="5">
        <v>320.0</v>
      </c>
      <c r="B321" s="5" t="s">
        <v>620</v>
      </c>
      <c r="C321" s="5" t="s">
        <v>20</v>
      </c>
    </row>
    <row r="322">
      <c r="A322" s="5">
        <v>321.0</v>
      </c>
      <c r="B322" s="5" t="s">
        <v>621</v>
      </c>
      <c r="C322" s="5" t="s">
        <v>20</v>
      </c>
    </row>
    <row r="323">
      <c r="A323" s="5">
        <v>322.0</v>
      </c>
      <c r="B323" s="5" t="s">
        <v>625</v>
      </c>
      <c r="C323" s="5" t="s">
        <v>20</v>
      </c>
    </row>
    <row r="324">
      <c r="A324" s="5">
        <v>323.0</v>
      </c>
      <c r="B324" s="5" t="s">
        <v>628</v>
      </c>
      <c r="C324" s="5" t="s">
        <v>20</v>
      </c>
    </row>
    <row r="325">
      <c r="A325" s="5">
        <v>324.0</v>
      </c>
      <c r="B325" s="5" t="s">
        <v>630</v>
      </c>
      <c r="C325" s="5" t="s">
        <v>20</v>
      </c>
    </row>
    <row r="326">
      <c r="A326" s="5">
        <v>325.0</v>
      </c>
      <c r="B326" s="5" t="s">
        <v>632</v>
      </c>
      <c r="C326" s="5" t="s">
        <v>20</v>
      </c>
    </row>
    <row r="327">
      <c r="A327" s="5">
        <v>326.0</v>
      </c>
      <c r="B327" s="5" t="s">
        <v>636</v>
      </c>
      <c r="C327" s="5" t="s">
        <v>20</v>
      </c>
    </row>
    <row r="328">
      <c r="A328" s="5">
        <v>327.0</v>
      </c>
      <c r="B328" s="5" t="s">
        <v>639</v>
      </c>
      <c r="C328" s="5" t="s">
        <v>20</v>
      </c>
    </row>
    <row r="329">
      <c r="A329" s="5">
        <v>328.0</v>
      </c>
      <c r="B329" s="5" t="s">
        <v>640</v>
      </c>
      <c r="C329" s="5" t="s">
        <v>20</v>
      </c>
    </row>
    <row r="330">
      <c r="A330" s="5">
        <v>329.0</v>
      </c>
      <c r="B330" s="5" t="s">
        <v>642</v>
      </c>
      <c r="C330" s="5" t="s">
        <v>20</v>
      </c>
    </row>
    <row r="331">
      <c r="A331" s="5">
        <v>330.0</v>
      </c>
      <c r="B331" s="5" t="s">
        <v>644</v>
      </c>
      <c r="C331" s="5" t="s">
        <v>20</v>
      </c>
    </row>
    <row r="332">
      <c r="A332" s="5">
        <v>331.0</v>
      </c>
      <c r="B332" s="5" t="s">
        <v>646</v>
      </c>
      <c r="C332" s="5" t="s">
        <v>20</v>
      </c>
    </row>
    <row r="333">
      <c r="A333" s="5">
        <v>332.0</v>
      </c>
      <c r="B333" s="5" t="s">
        <v>648</v>
      </c>
      <c r="C333" s="5" t="s">
        <v>20</v>
      </c>
    </row>
    <row r="334">
      <c r="A334" s="5">
        <v>333.0</v>
      </c>
      <c r="B334" s="5" t="s">
        <v>649</v>
      </c>
      <c r="C334" s="5" t="s">
        <v>20</v>
      </c>
    </row>
    <row r="335">
      <c r="A335" s="5">
        <v>334.0</v>
      </c>
      <c r="B335" s="5" t="s">
        <v>651</v>
      </c>
      <c r="C335" s="5" t="s">
        <v>20</v>
      </c>
    </row>
    <row r="336">
      <c r="A336" s="5">
        <v>335.0</v>
      </c>
      <c r="B336" s="5" t="s">
        <v>653</v>
      </c>
      <c r="C336" s="5" t="s">
        <v>20</v>
      </c>
    </row>
    <row r="337">
      <c r="A337" s="5">
        <v>336.0</v>
      </c>
      <c r="B337" s="5" t="s">
        <v>655</v>
      </c>
      <c r="C337" s="5" t="s">
        <v>20</v>
      </c>
    </row>
    <row r="338">
      <c r="A338" s="5">
        <v>337.0</v>
      </c>
      <c r="B338" s="5" t="s">
        <v>657</v>
      </c>
      <c r="C338" s="5" t="s">
        <v>20</v>
      </c>
    </row>
    <row r="339">
      <c r="A339" s="5">
        <v>338.0</v>
      </c>
      <c r="B339" s="5" t="s">
        <v>658</v>
      </c>
      <c r="C339" s="5" t="s">
        <v>20</v>
      </c>
    </row>
    <row r="340">
      <c r="A340" s="5">
        <v>339.0</v>
      </c>
      <c r="B340" s="5" t="s">
        <v>661</v>
      </c>
      <c r="C340" s="5" t="s">
        <v>20</v>
      </c>
    </row>
    <row r="341">
      <c r="A341" s="5">
        <v>340.0</v>
      </c>
      <c r="B341" s="5" t="s">
        <v>665</v>
      </c>
      <c r="C341" s="5" t="s">
        <v>20</v>
      </c>
    </row>
    <row r="342">
      <c r="A342" s="5">
        <v>341.0</v>
      </c>
      <c r="B342" s="5" t="s">
        <v>667</v>
      </c>
      <c r="C342" s="5" t="s">
        <v>20</v>
      </c>
    </row>
    <row r="343">
      <c r="A343" s="5">
        <v>342.0</v>
      </c>
      <c r="B343" s="5" t="s">
        <v>669</v>
      </c>
      <c r="C343" s="5" t="s">
        <v>20</v>
      </c>
    </row>
    <row r="344">
      <c r="A344" s="5">
        <v>343.0</v>
      </c>
      <c r="B344" s="5" t="s">
        <v>672</v>
      </c>
      <c r="C344" s="5" t="s">
        <v>20</v>
      </c>
    </row>
    <row r="345">
      <c r="A345" s="5">
        <v>344.0</v>
      </c>
      <c r="B345" s="5" t="s">
        <v>674</v>
      </c>
      <c r="C345" s="5" t="s">
        <v>20</v>
      </c>
    </row>
    <row r="346">
      <c r="A346" s="5">
        <v>345.0</v>
      </c>
      <c r="B346" s="5" t="s">
        <v>678</v>
      </c>
      <c r="C346" s="5" t="s">
        <v>20</v>
      </c>
    </row>
    <row r="347">
      <c r="A347" s="5">
        <v>346.0</v>
      </c>
      <c r="B347" s="5" t="s">
        <v>681</v>
      </c>
      <c r="C347" s="5" t="s">
        <v>20</v>
      </c>
    </row>
    <row r="348">
      <c r="A348" s="5">
        <v>347.0</v>
      </c>
      <c r="B348" s="5" t="s">
        <v>683</v>
      </c>
      <c r="C348" s="5" t="s">
        <v>20</v>
      </c>
    </row>
    <row r="349">
      <c r="A349" s="5">
        <v>348.0</v>
      </c>
      <c r="B349" s="5" t="s">
        <v>686</v>
      </c>
      <c r="C349" s="5" t="s">
        <v>20</v>
      </c>
    </row>
    <row r="350">
      <c r="A350" s="5">
        <v>349.0</v>
      </c>
      <c r="B350" s="5" t="s">
        <v>688</v>
      </c>
      <c r="C350" s="5" t="s">
        <v>20</v>
      </c>
    </row>
    <row r="351">
      <c r="A351" s="5">
        <v>350.0</v>
      </c>
      <c r="B351" s="5" t="s">
        <v>690</v>
      </c>
      <c r="C351" s="5" t="s">
        <v>20</v>
      </c>
    </row>
    <row r="352">
      <c r="A352" s="5">
        <v>351.0</v>
      </c>
      <c r="B352" s="5" t="s">
        <v>692</v>
      </c>
      <c r="C352" s="5" t="s">
        <v>20</v>
      </c>
    </row>
    <row r="353">
      <c r="A353" s="5">
        <v>352.0</v>
      </c>
      <c r="B353" s="5" t="s">
        <v>695</v>
      </c>
      <c r="C353" s="5" t="s">
        <v>20</v>
      </c>
    </row>
    <row r="354">
      <c r="A354" s="5">
        <v>353.0</v>
      </c>
      <c r="B354" s="5" t="s">
        <v>696</v>
      </c>
      <c r="C354" s="5" t="s">
        <v>20</v>
      </c>
    </row>
    <row r="355">
      <c r="A355" s="5">
        <v>354.0</v>
      </c>
      <c r="B355" s="5" t="s">
        <v>699</v>
      </c>
      <c r="C355" s="5" t="s">
        <v>20</v>
      </c>
    </row>
    <row r="356">
      <c r="A356" s="5">
        <v>355.0</v>
      </c>
      <c r="B356" s="5" t="s">
        <v>722</v>
      </c>
      <c r="C356" s="5" t="s">
        <v>20</v>
      </c>
    </row>
    <row r="357">
      <c r="A357" s="5">
        <v>356.0</v>
      </c>
      <c r="B357" s="5" t="s">
        <v>724</v>
      </c>
      <c r="C357" s="5" t="s">
        <v>20</v>
      </c>
    </row>
    <row r="358">
      <c r="A358" s="5">
        <v>357.0</v>
      </c>
      <c r="B358" s="5" t="s">
        <v>726</v>
      </c>
      <c r="C358" s="5" t="s">
        <v>20</v>
      </c>
    </row>
    <row r="359">
      <c r="A359" s="5">
        <v>358.0</v>
      </c>
      <c r="B359" s="5" t="s">
        <v>728</v>
      </c>
      <c r="C359" s="5" t="s">
        <v>20</v>
      </c>
    </row>
    <row r="360">
      <c r="A360" s="5">
        <v>359.0</v>
      </c>
      <c r="B360" s="5" t="s">
        <v>729</v>
      </c>
      <c r="C360" s="5" t="s">
        <v>20</v>
      </c>
    </row>
    <row r="361">
      <c r="A361" s="5">
        <v>360.0</v>
      </c>
      <c r="B361" s="5" t="s">
        <v>731</v>
      </c>
      <c r="C361" s="5" t="s">
        <v>20</v>
      </c>
    </row>
    <row r="362">
      <c r="A362" s="5">
        <v>361.0</v>
      </c>
      <c r="B362" s="5" t="s">
        <v>734</v>
      </c>
      <c r="C362" s="5" t="s">
        <v>20</v>
      </c>
    </row>
    <row r="363">
      <c r="A363" s="5">
        <v>362.0</v>
      </c>
      <c r="B363" s="5" t="s">
        <v>737</v>
      </c>
      <c r="C363" s="5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5" t="s">
        <v>20</v>
      </c>
      <c r="D2" s="5">
        <v>83.0</v>
      </c>
      <c r="E2" s="5">
        <v>46000.0</v>
      </c>
      <c r="F2" s="5">
        <v>0.01</v>
      </c>
      <c r="G2" s="5">
        <v>0.28</v>
      </c>
      <c r="H2" s="5" t="s">
        <v>19</v>
      </c>
      <c r="I2" s="9">
        <v>46149.257789351854</v>
      </c>
      <c r="J2" s="5" t="s">
        <v>21</v>
      </c>
      <c r="K2" s="5">
        <v>7870000.0</v>
      </c>
      <c r="L2" s="5">
        <v>13000.0</v>
      </c>
      <c r="M2" s="5">
        <v>951000.0</v>
      </c>
      <c r="N2" s="8">
        <v>42288.0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</row>
    <row r="3">
      <c r="A3" s="5">
        <v>2.0</v>
      </c>
      <c r="B3" s="5" t="s">
        <v>27</v>
      </c>
      <c r="C3" s="5" t="s">
        <v>20</v>
      </c>
      <c r="D3" s="5">
        <v>78.0</v>
      </c>
      <c r="E3" s="5">
        <v>5700.0</v>
      </c>
      <c r="F3" s="5">
        <v>0.06</v>
      </c>
      <c r="G3" s="5">
        <v>0.42</v>
      </c>
      <c r="H3" s="5" t="s">
        <v>28</v>
      </c>
      <c r="I3" s="9">
        <v>46149.2518287037</v>
      </c>
      <c r="J3" s="5" t="s">
        <v>29</v>
      </c>
      <c r="K3" s="5">
        <v>2780000.0</v>
      </c>
      <c r="L3" s="5">
        <v>1600.0</v>
      </c>
      <c r="M3" s="5">
        <v>1710000.0</v>
      </c>
      <c r="N3" s="8">
        <v>42304.0</v>
      </c>
      <c r="O3" s="5" t="s">
        <v>22</v>
      </c>
      <c r="P3" s="5" t="s">
        <v>23</v>
      </c>
      <c r="Q3" s="5" t="s">
        <v>30</v>
      </c>
      <c r="R3" s="5" t="s">
        <v>31</v>
      </c>
      <c r="S3" s="5" t="s">
        <v>32</v>
      </c>
    </row>
    <row r="4">
      <c r="A4" s="5">
        <v>3.0</v>
      </c>
      <c r="B4" s="5" t="s">
        <v>33</v>
      </c>
      <c r="C4" s="5" t="s">
        <v>20</v>
      </c>
      <c r="D4" s="5">
        <v>83.0</v>
      </c>
      <c r="E4" s="5">
        <v>2800.0</v>
      </c>
      <c r="F4" s="5">
        <v>0.01</v>
      </c>
      <c r="H4" s="5" t="s">
        <v>19</v>
      </c>
      <c r="I4" s="9">
        <v>46149.251284722224</v>
      </c>
      <c r="K4" s="5">
        <v>271000.0</v>
      </c>
      <c r="L4" s="5">
        <v>13000.0</v>
      </c>
      <c r="M4" s="5">
        <v>951000.0</v>
      </c>
      <c r="N4" s="8">
        <v>43260.0</v>
      </c>
      <c r="O4" s="5" t="s">
        <v>22</v>
      </c>
      <c r="P4" s="5" t="s">
        <v>23</v>
      </c>
      <c r="Q4" s="5" t="s">
        <v>34</v>
      </c>
      <c r="R4" s="5" t="s">
        <v>35</v>
      </c>
      <c r="S4" s="5" t="s">
        <v>26</v>
      </c>
    </row>
    <row r="5">
      <c r="A5" s="5">
        <v>4.0</v>
      </c>
      <c r="B5" s="5" t="s">
        <v>36</v>
      </c>
      <c r="C5" s="5" t="s">
        <v>20</v>
      </c>
      <c r="D5" s="5">
        <v>90.0</v>
      </c>
      <c r="E5" s="5">
        <v>1200.0</v>
      </c>
      <c r="F5" s="5">
        <v>0.01</v>
      </c>
      <c r="G5" s="5">
        <v>0.25</v>
      </c>
      <c r="H5" s="5" t="s">
        <v>33</v>
      </c>
      <c r="I5" s="9">
        <v>45893.550405092596</v>
      </c>
      <c r="J5" s="5" t="s">
        <v>37</v>
      </c>
      <c r="K5" s="5">
        <v>3490000.0</v>
      </c>
      <c r="L5" s="5">
        <v>13000.0</v>
      </c>
      <c r="M5" s="5">
        <v>1150000.0</v>
      </c>
      <c r="N5" s="8">
        <v>42282.0</v>
      </c>
      <c r="O5" s="5" t="s">
        <v>22</v>
      </c>
      <c r="P5" s="5" t="s">
        <v>23</v>
      </c>
      <c r="Q5" s="5" t="s">
        <v>38</v>
      </c>
      <c r="R5" s="5" t="s">
        <v>39</v>
      </c>
      <c r="S5" s="5" t="s">
        <v>26</v>
      </c>
    </row>
    <row r="6">
      <c r="A6" s="5">
        <v>5.0</v>
      </c>
      <c r="B6" s="5" t="s">
        <v>40</v>
      </c>
      <c r="C6" s="5" t="s">
        <v>20</v>
      </c>
      <c r="D6" s="5">
        <v>84.0</v>
      </c>
      <c r="E6" s="5">
        <v>600.0</v>
      </c>
      <c r="F6" s="5">
        <v>0.02</v>
      </c>
      <c r="H6" s="5" t="s">
        <v>27</v>
      </c>
      <c r="I6" s="9">
        <v>45989.25649305555</v>
      </c>
      <c r="J6" s="5" t="s">
        <v>37</v>
      </c>
      <c r="K6" s="5">
        <v>397000.0</v>
      </c>
      <c r="L6" s="5">
        <v>2700.0</v>
      </c>
      <c r="M6" s="5">
        <v>2100000.0</v>
      </c>
      <c r="N6" s="8">
        <v>42534.0</v>
      </c>
      <c r="O6" s="5" t="s">
        <v>22</v>
      </c>
      <c r="P6" s="5" t="s">
        <v>23</v>
      </c>
      <c r="Q6" s="5" t="s">
        <v>41</v>
      </c>
      <c r="R6" s="5" t="s">
        <v>42</v>
      </c>
      <c r="S6" s="5" t="s">
        <v>32</v>
      </c>
    </row>
    <row r="7">
      <c r="A7" s="5">
        <v>6.0</v>
      </c>
      <c r="B7" s="5" t="s">
        <v>83</v>
      </c>
      <c r="C7" s="5" t="s">
        <v>20</v>
      </c>
      <c r="D7" s="5">
        <v>87.0</v>
      </c>
      <c r="E7" s="5">
        <v>300.0</v>
      </c>
      <c r="F7" s="5">
        <v>0.01</v>
      </c>
      <c r="G7" s="5">
        <v>0.93</v>
      </c>
      <c r="H7" s="5" t="s">
        <v>19</v>
      </c>
      <c r="I7" s="9">
        <v>45905.99233796296</v>
      </c>
      <c r="J7" s="5" t="s">
        <v>86</v>
      </c>
      <c r="K7" s="5">
        <v>138000.0</v>
      </c>
      <c r="L7" s="5">
        <v>13000.0</v>
      </c>
      <c r="M7" s="5">
        <v>1120000.0</v>
      </c>
      <c r="N7" s="8">
        <v>42313.0</v>
      </c>
      <c r="O7" s="5" t="s">
        <v>22</v>
      </c>
      <c r="P7" s="5" t="s">
        <v>23</v>
      </c>
      <c r="Q7" s="5" t="s">
        <v>90</v>
      </c>
      <c r="R7" s="5" t="s">
        <v>91</v>
      </c>
      <c r="S7" s="5" t="s">
        <v>26</v>
      </c>
    </row>
    <row r="8">
      <c r="A8" s="5">
        <v>7.0</v>
      </c>
      <c r="B8" s="5" t="s">
        <v>43</v>
      </c>
      <c r="C8" s="5" t="s">
        <v>20</v>
      </c>
      <c r="D8" s="5">
        <v>79.0</v>
      </c>
      <c r="E8" s="5">
        <v>200.0</v>
      </c>
      <c r="H8" s="5" t="s">
        <v>44</v>
      </c>
      <c r="I8" s="9">
        <v>45882.490428240744</v>
      </c>
      <c r="J8" s="5" t="s">
        <v>37</v>
      </c>
      <c r="K8" s="5">
        <v>55000.0</v>
      </c>
      <c r="L8" s="5">
        <v>150.0</v>
      </c>
      <c r="M8" s="5">
        <v>209000.0</v>
      </c>
      <c r="N8" s="8">
        <v>43849.0</v>
      </c>
      <c r="O8" s="5" t="s">
        <v>22</v>
      </c>
      <c r="P8" s="5" t="s">
        <v>23</v>
      </c>
      <c r="Q8" s="5" t="s">
        <v>45</v>
      </c>
      <c r="R8" s="5" t="s">
        <v>46</v>
      </c>
      <c r="S8" s="5" t="s">
        <v>26</v>
      </c>
    </row>
    <row r="9">
      <c r="A9" s="5">
        <v>8.0</v>
      </c>
      <c r="B9" s="5" t="s">
        <v>97</v>
      </c>
      <c r="C9" s="5" t="s">
        <v>20</v>
      </c>
      <c r="D9" s="5">
        <v>83.0</v>
      </c>
      <c r="E9" s="5">
        <v>150.0</v>
      </c>
      <c r="H9" s="5" t="s">
        <v>19</v>
      </c>
      <c r="I9" s="9">
        <v>46148.99465277778</v>
      </c>
      <c r="J9" s="5" t="s">
        <v>52</v>
      </c>
      <c r="K9" s="5">
        <v>31000.0</v>
      </c>
      <c r="L9" s="5">
        <v>13000.0</v>
      </c>
      <c r="M9" s="5">
        <v>950000.0</v>
      </c>
      <c r="N9" s="8">
        <v>42482.0</v>
      </c>
      <c r="O9" s="5" t="s">
        <v>50</v>
      </c>
      <c r="P9" s="5" t="s">
        <v>23</v>
      </c>
      <c r="S9" s="5" t="s">
        <v>26</v>
      </c>
    </row>
    <row r="10">
      <c r="A10" s="5">
        <v>9.0</v>
      </c>
      <c r="B10" s="5" t="s">
        <v>100</v>
      </c>
      <c r="C10" s="5" t="s">
        <v>20</v>
      </c>
      <c r="D10" s="5">
        <v>83.0</v>
      </c>
      <c r="E10" s="5">
        <v>150.0</v>
      </c>
      <c r="F10" s="5">
        <v>0.01</v>
      </c>
      <c r="H10" s="5" t="s">
        <v>19</v>
      </c>
      <c r="I10" s="9">
        <v>46098.07898148148</v>
      </c>
      <c r="J10" s="5" t="s">
        <v>52</v>
      </c>
      <c r="K10" s="5">
        <v>1900.0</v>
      </c>
      <c r="L10" s="5">
        <v>13000.0</v>
      </c>
      <c r="M10" s="5">
        <v>1230000.0</v>
      </c>
      <c r="N10" s="8">
        <v>42808.0</v>
      </c>
      <c r="O10" s="5" t="s">
        <v>50</v>
      </c>
      <c r="P10" s="5" t="s">
        <v>23</v>
      </c>
      <c r="S10" s="5" t="s">
        <v>26</v>
      </c>
    </row>
    <row r="11">
      <c r="A11" s="5">
        <v>10.0</v>
      </c>
      <c r="B11" s="5" t="s">
        <v>103</v>
      </c>
      <c r="C11" s="5" t="s">
        <v>20</v>
      </c>
      <c r="D11" s="5">
        <v>86.0</v>
      </c>
      <c r="E11" s="5">
        <v>150.0</v>
      </c>
      <c r="H11" s="5" t="s">
        <v>19</v>
      </c>
      <c r="I11" s="9">
        <v>46085.643692129626</v>
      </c>
      <c r="K11" s="5">
        <v>54000.0</v>
      </c>
      <c r="L11" s="5">
        <v>4200.0</v>
      </c>
      <c r="M11" s="5">
        <v>2270000.0</v>
      </c>
      <c r="N11" s="8">
        <v>43607.0</v>
      </c>
      <c r="O11" s="5" t="s">
        <v>50</v>
      </c>
      <c r="P11" s="5" t="s">
        <v>23</v>
      </c>
      <c r="S11" s="5" t="s">
        <v>26</v>
      </c>
    </row>
    <row r="12">
      <c r="A12" s="5">
        <v>11.0</v>
      </c>
      <c r="B12" s="5" t="s">
        <v>47</v>
      </c>
      <c r="C12" s="5" t="s">
        <v>20</v>
      </c>
      <c r="D12" s="5">
        <v>78.0</v>
      </c>
      <c r="E12" s="5">
        <v>100.0</v>
      </c>
      <c r="H12" s="5" t="s">
        <v>47</v>
      </c>
      <c r="I12" s="9">
        <v>46127.108877314815</v>
      </c>
      <c r="J12" s="5" t="s">
        <v>48</v>
      </c>
      <c r="K12" s="5">
        <v>53000.0</v>
      </c>
      <c r="L12" s="5">
        <v>90.0</v>
      </c>
      <c r="M12" s="5">
        <v>137000.0</v>
      </c>
      <c r="N12" s="8">
        <v>43206.0</v>
      </c>
      <c r="O12" s="5" t="s">
        <v>22</v>
      </c>
      <c r="P12" s="5" t="s">
        <v>23</v>
      </c>
      <c r="S12" s="5" t="s">
        <v>26</v>
      </c>
    </row>
    <row r="13">
      <c r="A13" s="5">
        <v>12.0</v>
      </c>
      <c r="B13" s="5" t="s">
        <v>108</v>
      </c>
      <c r="C13" s="5" t="s">
        <v>20</v>
      </c>
      <c r="D13" s="5">
        <v>75.0</v>
      </c>
      <c r="E13" s="5">
        <v>100.0</v>
      </c>
      <c r="H13" s="5" t="s">
        <v>19</v>
      </c>
      <c r="I13" s="9">
        <v>46157.02377314815</v>
      </c>
      <c r="J13" s="5" t="s">
        <v>110</v>
      </c>
      <c r="K13" s="5">
        <v>22000.0</v>
      </c>
      <c r="L13" s="5">
        <v>1100.0</v>
      </c>
      <c r="M13" s="5">
        <v>817000.0</v>
      </c>
      <c r="N13" s="8">
        <v>44475.0</v>
      </c>
      <c r="O13" s="5" t="s">
        <v>22</v>
      </c>
      <c r="P13" s="5" t="s">
        <v>23</v>
      </c>
      <c r="S13" s="5" t="s">
        <v>26</v>
      </c>
    </row>
    <row r="14">
      <c r="A14" s="5">
        <v>13.0</v>
      </c>
      <c r="B14" s="5" t="s">
        <v>49</v>
      </c>
      <c r="C14" s="5" t="s">
        <v>20</v>
      </c>
      <c r="D14" s="5">
        <v>84.0</v>
      </c>
      <c r="E14" s="5">
        <v>90.0</v>
      </c>
      <c r="H14" s="5" t="s">
        <v>19</v>
      </c>
      <c r="I14" s="9">
        <v>46144.90032407407</v>
      </c>
      <c r="K14" s="5">
        <v>679000.0</v>
      </c>
      <c r="L14" s="5">
        <v>13000.0</v>
      </c>
      <c r="M14" s="5">
        <v>1060000.0</v>
      </c>
      <c r="N14" s="8">
        <v>42759.0</v>
      </c>
      <c r="O14" s="5" t="s">
        <v>50</v>
      </c>
      <c r="P14" s="5" t="s">
        <v>23</v>
      </c>
      <c r="S14" s="5" t="s">
        <v>26</v>
      </c>
    </row>
    <row r="15">
      <c r="A15" s="5">
        <v>14.0</v>
      </c>
      <c r="B15" s="5" t="s">
        <v>114</v>
      </c>
      <c r="C15" s="5" t="s">
        <v>20</v>
      </c>
      <c r="E15" s="5">
        <v>90.0</v>
      </c>
      <c r="K15" s="5">
        <v>11000.0</v>
      </c>
      <c r="N15" s="8">
        <v>44705.0</v>
      </c>
    </row>
    <row r="16">
      <c r="A16" s="5">
        <v>15.0</v>
      </c>
      <c r="B16" s="5" t="s">
        <v>116</v>
      </c>
      <c r="C16" s="5" t="s">
        <v>20</v>
      </c>
      <c r="E16" s="5">
        <v>80.0</v>
      </c>
      <c r="K16" s="5">
        <v>1100.0</v>
      </c>
      <c r="N16" s="8">
        <v>45217.0</v>
      </c>
    </row>
    <row r="17">
      <c r="A17" s="5">
        <v>16.0</v>
      </c>
      <c r="B17" s="5" t="s">
        <v>51</v>
      </c>
      <c r="C17" s="5" t="s">
        <v>20</v>
      </c>
      <c r="D17" s="5">
        <v>83.0</v>
      </c>
      <c r="E17" s="5">
        <v>70.0</v>
      </c>
      <c r="H17" s="5" t="s">
        <v>19</v>
      </c>
      <c r="I17" s="9">
        <v>46141.858819444446</v>
      </c>
      <c r="J17" s="5" t="s">
        <v>52</v>
      </c>
      <c r="K17" s="5">
        <v>9100.0</v>
      </c>
      <c r="L17" s="5">
        <v>13000.0</v>
      </c>
      <c r="M17" s="5">
        <v>972000.0</v>
      </c>
      <c r="N17" s="8">
        <v>43093.0</v>
      </c>
      <c r="O17" s="5" t="s">
        <v>50</v>
      </c>
      <c r="P17" s="5" t="s">
        <v>23</v>
      </c>
      <c r="S17" s="5" t="s">
        <v>26</v>
      </c>
    </row>
    <row r="18">
      <c r="A18" s="5">
        <v>17.0</v>
      </c>
      <c r="B18" s="5" t="s">
        <v>120</v>
      </c>
      <c r="C18" s="5" t="s">
        <v>20</v>
      </c>
      <c r="E18" s="5">
        <v>60.0</v>
      </c>
      <c r="K18" s="5">
        <v>2100.0</v>
      </c>
      <c r="N18" s="8">
        <v>43845.0</v>
      </c>
    </row>
    <row r="19">
      <c r="A19" s="5">
        <v>18.0</v>
      </c>
      <c r="B19" s="5" t="s">
        <v>122</v>
      </c>
      <c r="C19" s="5" t="s">
        <v>20</v>
      </c>
      <c r="E19" s="5">
        <v>60.0</v>
      </c>
      <c r="K19" s="5">
        <v>35000.0</v>
      </c>
      <c r="N19" s="8">
        <v>42888.0</v>
      </c>
      <c r="O19" s="5" t="s">
        <v>50</v>
      </c>
      <c r="P19" s="5" t="s">
        <v>23</v>
      </c>
      <c r="S19" s="5" t="s">
        <v>26</v>
      </c>
    </row>
    <row r="20">
      <c r="A20" s="5">
        <v>19.0</v>
      </c>
      <c r="B20" s="5" t="s">
        <v>53</v>
      </c>
      <c r="C20" s="5" t="s">
        <v>20</v>
      </c>
      <c r="D20" s="5">
        <v>80.0</v>
      </c>
      <c r="E20" s="5">
        <v>60.0</v>
      </c>
      <c r="H20" s="5" t="s">
        <v>28</v>
      </c>
      <c r="I20" s="9">
        <v>46161.036944444444</v>
      </c>
      <c r="J20" s="5" t="s">
        <v>52</v>
      </c>
      <c r="K20" s="5">
        <v>8900.0</v>
      </c>
      <c r="L20" s="5">
        <v>1000.0</v>
      </c>
      <c r="M20" s="5">
        <v>1160000.0</v>
      </c>
      <c r="N20" s="8">
        <v>42467.0</v>
      </c>
      <c r="O20" s="5" t="s">
        <v>22</v>
      </c>
      <c r="P20" s="5" t="s">
        <v>23</v>
      </c>
      <c r="S20" s="5" t="s">
        <v>32</v>
      </c>
    </row>
    <row r="21">
      <c r="A21" s="5">
        <v>20.0</v>
      </c>
      <c r="B21" s="5" t="s">
        <v>59</v>
      </c>
      <c r="C21" s="5" t="s">
        <v>20</v>
      </c>
      <c r="D21" s="5">
        <v>77.0</v>
      </c>
      <c r="E21" s="5">
        <v>60.0</v>
      </c>
      <c r="H21" s="5" t="s">
        <v>60</v>
      </c>
      <c r="I21" s="9">
        <v>46089.20579861111</v>
      </c>
      <c r="K21" s="5">
        <v>34000.0</v>
      </c>
      <c r="L21" s="5">
        <v>20.0</v>
      </c>
      <c r="M21" s="5">
        <v>27000.0</v>
      </c>
      <c r="N21" s="8">
        <v>44071.0</v>
      </c>
      <c r="O21" s="5" t="s">
        <v>22</v>
      </c>
      <c r="P21" s="5" t="s">
        <v>23</v>
      </c>
      <c r="S21" s="5" t="s">
        <v>62</v>
      </c>
    </row>
    <row r="22">
      <c r="A22" s="5">
        <v>21.0</v>
      </c>
      <c r="B22" s="5" t="s">
        <v>128</v>
      </c>
      <c r="C22" s="5" t="s">
        <v>20</v>
      </c>
      <c r="D22" s="5">
        <v>64.0</v>
      </c>
      <c r="E22" s="5">
        <v>50.0</v>
      </c>
      <c r="G22" s="5">
        <v>0.52</v>
      </c>
      <c r="H22" s="5" t="s">
        <v>28</v>
      </c>
      <c r="I22" s="9">
        <v>46149.41028935185</v>
      </c>
      <c r="K22" s="5">
        <v>62000.0</v>
      </c>
      <c r="L22" s="5">
        <v>1600.0</v>
      </c>
      <c r="M22" s="5">
        <v>1710000.0</v>
      </c>
      <c r="N22" s="8">
        <v>42476.0</v>
      </c>
      <c r="O22" s="5" t="s">
        <v>22</v>
      </c>
      <c r="P22" s="5" t="s">
        <v>23</v>
      </c>
      <c r="S22" s="5" t="s">
        <v>32</v>
      </c>
    </row>
    <row r="23">
      <c r="A23" s="5">
        <v>22.0</v>
      </c>
      <c r="B23" s="5" t="s">
        <v>131</v>
      </c>
      <c r="C23" s="5" t="s">
        <v>20</v>
      </c>
      <c r="D23" s="5">
        <v>78.0</v>
      </c>
      <c r="E23" s="5">
        <v>50.0</v>
      </c>
      <c r="H23" s="5" t="s">
        <v>64</v>
      </c>
      <c r="I23" s="9">
        <v>46145.478321759256</v>
      </c>
      <c r="K23" s="5">
        <v>10000.0</v>
      </c>
      <c r="L23" s="5">
        <v>90.0</v>
      </c>
      <c r="M23" s="5">
        <v>189000.0</v>
      </c>
      <c r="N23" s="8">
        <v>43844.0</v>
      </c>
      <c r="O23" s="5" t="s">
        <v>22</v>
      </c>
      <c r="P23" s="5" t="s">
        <v>23</v>
      </c>
      <c r="S23" s="5" t="s">
        <v>135</v>
      </c>
    </row>
    <row r="24">
      <c r="A24" s="5">
        <v>23.0</v>
      </c>
      <c r="B24" s="5" t="s">
        <v>64</v>
      </c>
      <c r="C24" s="5" t="s">
        <v>20</v>
      </c>
      <c r="D24" s="5">
        <v>82.0</v>
      </c>
      <c r="E24" s="5">
        <v>50.0</v>
      </c>
      <c r="H24" s="5" t="s">
        <v>47</v>
      </c>
      <c r="I24" s="9">
        <v>46099.11547453704</v>
      </c>
      <c r="K24" s="5">
        <v>33000.0</v>
      </c>
      <c r="L24" s="5">
        <v>150.0</v>
      </c>
      <c r="M24" s="5">
        <v>178000.0</v>
      </c>
      <c r="N24" s="8">
        <v>44191.0</v>
      </c>
      <c r="O24" s="5" t="s">
        <v>22</v>
      </c>
      <c r="P24" s="5" t="s">
        <v>23</v>
      </c>
      <c r="S24" s="5" t="s">
        <v>32</v>
      </c>
    </row>
    <row r="25">
      <c r="A25" s="5">
        <v>24.0</v>
      </c>
      <c r="B25" s="5" t="s">
        <v>138</v>
      </c>
      <c r="C25" s="5" t="s">
        <v>20</v>
      </c>
      <c r="D25" s="5">
        <v>81.0</v>
      </c>
      <c r="E25" s="5">
        <v>50.0</v>
      </c>
      <c r="H25" s="5" t="s">
        <v>138</v>
      </c>
      <c r="I25" s="9">
        <v>46070.68927083333</v>
      </c>
      <c r="J25" s="5" t="s">
        <v>52</v>
      </c>
      <c r="K25" s="5">
        <v>62000.0</v>
      </c>
      <c r="L25" s="5">
        <v>20.0</v>
      </c>
      <c r="M25" s="5">
        <v>8400.0</v>
      </c>
      <c r="N25" s="8">
        <v>42521.0</v>
      </c>
      <c r="O25" s="5" t="s">
        <v>22</v>
      </c>
      <c r="P25" s="5" t="s">
        <v>23</v>
      </c>
      <c r="Q25" s="5" t="s">
        <v>141</v>
      </c>
      <c r="R25" s="5" t="s">
        <v>142</v>
      </c>
      <c r="S25" s="5" t="s">
        <v>32</v>
      </c>
    </row>
    <row r="26">
      <c r="A26" s="5">
        <v>25.0</v>
      </c>
      <c r="B26" s="5" t="s">
        <v>144</v>
      </c>
      <c r="C26" s="5" t="s">
        <v>20</v>
      </c>
      <c r="E26" s="5">
        <v>40.0</v>
      </c>
      <c r="K26" s="5">
        <v>2600.0</v>
      </c>
      <c r="N26" s="8">
        <v>44191.0</v>
      </c>
    </row>
    <row r="27">
      <c r="A27" s="5">
        <v>26.0</v>
      </c>
      <c r="B27" s="5" t="s">
        <v>146</v>
      </c>
      <c r="C27" s="5" t="s">
        <v>20</v>
      </c>
      <c r="D27" s="5">
        <v>83.0</v>
      </c>
      <c r="E27" s="5">
        <v>40.0</v>
      </c>
      <c r="H27" s="5" t="s">
        <v>19</v>
      </c>
      <c r="I27" s="9">
        <v>46161.0346875</v>
      </c>
      <c r="K27" s="5">
        <v>298000.0</v>
      </c>
      <c r="L27" s="5">
        <v>4300.0</v>
      </c>
      <c r="M27" s="5">
        <v>1500000.0</v>
      </c>
      <c r="N27" s="8">
        <v>42541.0</v>
      </c>
      <c r="O27" s="5" t="s">
        <v>22</v>
      </c>
      <c r="P27" s="5" t="s">
        <v>23</v>
      </c>
      <c r="S27" s="5" t="s">
        <v>26</v>
      </c>
    </row>
    <row r="28">
      <c r="A28" s="5">
        <v>27.0</v>
      </c>
      <c r="B28" s="5" t="s">
        <v>149</v>
      </c>
      <c r="C28" s="5" t="s">
        <v>20</v>
      </c>
      <c r="D28" s="5">
        <v>86.0</v>
      </c>
      <c r="E28" s="5">
        <v>40.0</v>
      </c>
      <c r="H28" s="5" t="s">
        <v>19</v>
      </c>
      <c r="I28" s="9">
        <v>46126.995520833334</v>
      </c>
      <c r="J28" s="5" t="s">
        <v>52</v>
      </c>
      <c r="K28" s="5">
        <v>33000.0</v>
      </c>
      <c r="L28" s="5">
        <v>4000.0</v>
      </c>
      <c r="M28" s="5">
        <v>2080000.0</v>
      </c>
      <c r="N28" s="8">
        <v>44716.0</v>
      </c>
      <c r="O28" s="5" t="s">
        <v>50</v>
      </c>
      <c r="P28" s="5" t="s">
        <v>23</v>
      </c>
      <c r="S28" s="5" t="s">
        <v>26</v>
      </c>
    </row>
    <row r="29">
      <c r="A29" s="5">
        <v>28.0</v>
      </c>
      <c r="B29" s="5" t="s">
        <v>152</v>
      </c>
      <c r="C29" s="5" t="s">
        <v>20</v>
      </c>
      <c r="D29" s="5">
        <v>84.0</v>
      </c>
      <c r="E29" s="5">
        <v>40.0</v>
      </c>
      <c r="H29" s="5" t="s">
        <v>28</v>
      </c>
      <c r="I29" s="9">
        <v>46155.6190625</v>
      </c>
      <c r="J29" s="5" t="s">
        <v>52</v>
      </c>
      <c r="K29" s="5">
        <v>3500.0</v>
      </c>
      <c r="L29" s="5">
        <v>1000.0</v>
      </c>
      <c r="M29" s="5">
        <v>1400000.0</v>
      </c>
      <c r="N29" s="8">
        <v>43897.0</v>
      </c>
      <c r="O29" s="5" t="s">
        <v>50</v>
      </c>
      <c r="P29" s="5" t="s">
        <v>23</v>
      </c>
      <c r="S29" s="5" t="s">
        <v>32</v>
      </c>
    </row>
    <row r="30">
      <c r="A30" s="5">
        <v>29.0</v>
      </c>
      <c r="B30" s="5" t="s">
        <v>44</v>
      </c>
      <c r="C30" s="5" t="s">
        <v>20</v>
      </c>
      <c r="D30" s="5">
        <v>38.0</v>
      </c>
      <c r="E30" s="5">
        <v>40.0</v>
      </c>
      <c r="H30" s="5" t="s">
        <v>64</v>
      </c>
      <c r="I30" s="9">
        <v>46160.00539351852</v>
      </c>
      <c r="J30" s="5" t="s">
        <v>156</v>
      </c>
      <c r="K30" s="5">
        <v>7700.0</v>
      </c>
      <c r="L30" s="5">
        <v>90.0</v>
      </c>
      <c r="M30" s="5">
        <v>173000.0</v>
      </c>
      <c r="N30" s="8">
        <v>44187.0</v>
      </c>
      <c r="O30" s="5" t="s">
        <v>22</v>
      </c>
      <c r="P30" s="5" t="s">
        <v>23</v>
      </c>
      <c r="S30" s="5" t="s">
        <v>26</v>
      </c>
    </row>
    <row r="31">
      <c r="A31" s="5">
        <v>30.0</v>
      </c>
      <c r="B31" s="5" t="s">
        <v>158</v>
      </c>
      <c r="C31" s="5" t="s">
        <v>20</v>
      </c>
      <c r="D31" s="5">
        <v>53.0</v>
      </c>
      <c r="E31" s="5">
        <v>40.0</v>
      </c>
      <c r="F31" s="5">
        <v>0.05</v>
      </c>
      <c r="H31" s="5" t="s">
        <v>158</v>
      </c>
      <c r="I31" s="9">
        <v>46162.67003472222</v>
      </c>
      <c r="J31" s="5" t="s">
        <v>160</v>
      </c>
      <c r="K31" s="5">
        <v>34000.0</v>
      </c>
      <c r="L31" s="5">
        <v>0.0</v>
      </c>
      <c r="M31" s="5">
        <v>61000.0</v>
      </c>
      <c r="N31" s="8">
        <v>42558.0</v>
      </c>
      <c r="O31" s="5" t="s">
        <v>22</v>
      </c>
      <c r="P31" s="5" t="s">
        <v>23</v>
      </c>
      <c r="S31" s="5" t="s">
        <v>26</v>
      </c>
    </row>
    <row r="32">
      <c r="A32" s="5">
        <v>31.0</v>
      </c>
      <c r="B32" s="5" t="s">
        <v>163</v>
      </c>
      <c r="C32" s="5" t="s">
        <v>20</v>
      </c>
      <c r="E32" s="5">
        <v>30.0</v>
      </c>
      <c r="K32" s="5">
        <v>3500.0</v>
      </c>
      <c r="N32" s="8">
        <v>45723.0</v>
      </c>
    </row>
    <row r="33">
      <c r="A33" s="5">
        <v>32.0</v>
      </c>
      <c r="B33" s="5" t="s">
        <v>165</v>
      </c>
      <c r="C33" s="5" t="s">
        <v>20</v>
      </c>
      <c r="D33" s="5">
        <v>79.0</v>
      </c>
      <c r="E33" s="5">
        <v>30.0</v>
      </c>
      <c r="H33" s="5" t="s">
        <v>47</v>
      </c>
      <c r="I33" s="9">
        <v>46084.67203703704</v>
      </c>
      <c r="J33" s="5" t="s">
        <v>110</v>
      </c>
      <c r="K33" s="5">
        <v>20000.0</v>
      </c>
      <c r="L33" s="5">
        <v>200.0</v>
      </c>
      <c r="M33" s="5">
        <v>207000.0</v>
      </c>
      <c r="N33" s="8">
        <v>44043.0</v>
      </c>
      <c r="O33" s="5" t="s">
        <v>22</v>
      </c>
      <c r="P33" s="5" t="s">
        <v>23</v>
      </c>
      <c r="S33" s="5" t="s">
        <v>32</v>
      </c>
    </row>
    <row r="34">
      <c r="A34" s="5">
        <v>33.0</v>
      </c>
      <c r="B34" s="5" t="s">
        <v>169</v>
      </c>
      <c r="C34" s="5" t="s">
        <v>20</v>
      </c>
      <c r="E34" s="5">
        <v>20.0</v>
      </c>
      <c r="K34" s="5">
        <v>150.0</v>
      </c>
      <c r="N34" s="8">
        <v>44885.0</v>
      </c>
    </row>
    <row r="35">
      <c r="A35" s="5">
        <v>34.0</v>
      </c>
      <c r="B35" s="5" t="s">
        <v>172</v>
      </c>
      <c r="C35" s="5" t="s">
        <v>20</v>
      </c>
      <c r="E35" s="5">
        <v>20.0</v>
      </c>
      <c r="K35" s="5">
        <v>27000.0</v>
      </c>
      <c r="N35" s="8">
        <v>43423.0</v>
      </c>
    </row>
    <row r="36">
      <c r="A36" s="5">
        <v>35.0</v>
      </c>
      <c r="B36" s="5" t="s">
        <v>174</v>
      </c>
      <c r="C36" s="5" t="s">
        <v>20</v>
      </c>
      <c r="E36" s="5">
        <v>20.0</v>
      </c>
      <c r="K36" s="5">
        <v>5300.0</v>
      </c>
      <c r="N36" s="8">
        <v>42547.0</v>
      </c>
    </row>
    <row r="37">
      <c r="A37" s="5">
        <v>36.0</v>
      </c>
      <c r="B37" s="5" t="s">
        <v>175</v>
      </c>
      <c r="C37" s="5" t="s">
        <v>20</v>
      </c>
      <c r="E37" s="5">
        <v>20.0</v>
      </c>
      <c r="K37" s="5">
        <v>12000.0</v>
      </c>
      <c r="N37" s="8">
        <v>44541.0</v>
      </c>
    </row>
    <row r="38">
      <c r="A38" s="5">
        <v>37.0</v>
      </c>
      <c r="B38" s="5" t="s">
        <v>67</v>
      </c>
      <c r="C38" s="5" t="s">
        <v>20</v>
      </c>
      <c r="D38" s="5">
        <v>79.0</v>
      </c>
      <c r="E38" s="5">
        <v>20.0</v>
      </c>
      <c r="H38" s="5" t="s">
        <v>47</v>
      </c>
      <c r="I38" s="9">
        <v>46126.8462037037</v>
      </c>
      <c r="J38" s="5" t="s">
        <v>69</v>
      </c>
      <c r="K38" s="5">
        <v>5700.0</v>
      </c>
      <c r="L38" s="5">
        <v>150.0</v>
      </c>
      <c r="M38" s="5">
        <v>183000.0</v>
      </c>
      <c r="N38" s="8">
        <v>43868.0</v>
      </c>
      <c r="O38" s="5" t="s">
        <v>22</v>
      </c>
      <c r="P38" s="5" t="s">
        <v>23</v>
      </c>
      <c r="S38" s="5" t="s">
        <v>26</v>
      </c>
    </row>
    <row r="39">
      <c r="A39" s="5">
        <v>38.0</v>
      </c>
      <c r="B39" s="5" t="s">
        <v>179</v>
      </c>
      <c r="C39" s="5" t="s">
        <v>20</v>
      </c>
      <c r="E39" s="5">
        <v>20.0</v>
      </c>
      <c r="K39" s="5">
        <v>3200.0</v>
      </c>
      <c r="N39" s="8">
        <v>44191.0</v>
      </c>
    </row>
    <row r="40">
      <c r="A40" s="5">
        <v>39.0</v>
      </c>
      <c r="B40" s="5" t="s">
        <v>181</v>
      </c>
      <c r="C40" s="5" t="s">
        <v>20</v>
      </c>
      <c r="E40" s="5">
        <v>20.0</v>
      </c>
      <c r="K40" s="5">
        <v>33000.0</v>
      </c>
      <c r="N40" s="8">
        <v>45553.0</v>
      </c>
    </row>
    <row r="41">
      <c r="A41" s="5">
        <v>40.0</v>
      </c>
      <c r="B41" s="5" t="s">
        <v>183</v>
      </c>
      <c r="C41" s="5" t="s">
        <v>20</v>
      </c>
      <c r="D41" s="5">
        <v>76.0</v>
      </c>
      <c r="E41" s="5">
        <v>20.0</v>
      </c>
      <c r="H41" s="5" t="s">
        <v>27</v>
      </c>
      <c r="I41" s="9">
        <v>46097.886828703704</v>
      </c>
      <c r="J41" s="5" t="s">
        <v>52</v>
      </c>
      <c r="K41" s="5">
        <v>5900.0</v>
      </c>
      <c r="L41" s="5">
        <v>1900.0</v>
      </c>
      <c r="M41" s="5">
        <v>1310000.0</v>
      </c>
      <c r="N41" s="8">
        <v>43219.0</v>
      </c>
      <c r="O41" s="5" t="s">
        <v>50</v>
      </c>
      <c r="P41" s="5" t="s">
        <v>23</v>
      </c>
      <c r="S41" s="5" t="s">
        <v>26</v>
      </c>
    </row>
    <row r="42">
      <c r="A42" s="5">
        <v>41.0</v>
      </c>
      <c r="B42" s="5" t="s">
        <v>187</v>
      </c>
      <c r="C42" s="5" t="s">
        <v>20</v>
      </c>
      <c r="D42" s="5">
        <v>82.0</v>
      </c>
      <c r="E42" s="5">
        <v>20.0</v>
      </c>
      <c r="H42" s="5" t="s">
        <v>19</v>
      </c>
      <c r="I42" s="9">
        <v>46125.77144675926</v>
      </c>
      <c r="J42" s="5" t="s">
        <v>52</v>
      </c>
      <c r="K42" s="5">
        <v>2500.0</v>
      </c>
      <c r="L42" s="5">
        <v>13000.0</v>
      </c>
      <c r="M42" s="5">
        <v>1210000.0</v>
      </c>
      <c r="N42" s="8">
        <v>44190.0</v>
      </c>
      <c r="O42" s="5" t="s">
        <v>50</v>
      </c>
      <c r="P42" s="5" t="s">
        <v>23</v>
      </c>
      <c r="S42" s="5" t="s">
        <v>26</v>
      </c>
    </row>
    <row r="43">
      <c r="A43" s="5">
        <v>42.0</v>
      </c>
      <c r="B43" s="5" t="s">
        <v>190</v>
      </c>
      <c r="C43" s="5" t="s">
        <v>20</v>
      </c>
      <c r="D43" s="5">
        <v>78.0</v>
      </c>
      <c r="E43" s="5">
        <v>20.0</v>
      </c>
      <c r="H43" s="5" t="s">
        <v>47</v>
      </c>
      <c r="I43" s="9">
        <v>46112.147824074076</v>
      </c>
      <c r="K43" s="5">
        <v>2200.0</v>
      </c>
      <c r="L43" s="5">
        <v>80.0</v>
      </c>
      <c r="M43" s="5">
        <v>133000.0</v>
      </c>
      <c r="N43" s="8">
        <v>43844.0</v>
      </c>
      <c r="O43" s="5" t="s">
        <v>22</v>
      </c>
      <c r="P43" s="5" t="s">
        <v>23</v>
      </c>
      <c r="S43" s="5" t="s">
        <v>135</v>
      </c>
    </row>
    <row r="44">
      <c r="A44" s="5">
        <v>43.0</v>
      </c>
      <c r="B44" s="5" t="s">
        <v>193</v>
      </c>
      <c r="C44" s="5" t="s">
        <v>20</v>
      </c>
      <c r="E44" s="5">
        <v>20.0</v>
      </c>
      <c r="K44" s="5">
        <v>2000.0</v>
      </c>
      <c r="N44" s="8">
        <v>43798.0</v>
      </c>
    </row>
    <row r="45">
      <c r="A45" s="5">
        <v>44.0</v>
      </c>
      <c r="B45" s="5" t="s">
        <v>196</v>
      </c>
      <c r="C45" s="5" t="s">
        <v>20</v>
      </c>
      <c r="D45" s="5">
        <v>60.0</v>
      </c>
      <c r="E45" s="5">
        <v>20.0</v>
      </c>
      <c r="H45" s="5" t="s">
        <v>28</v>
      </c>
      <c r="I45" s="9">
        <v>46144.937523148146</v>
      </c>
      <c r="J45" s="5" t="s">
        <v>160</v>
      </c>
      <c r="K45" s="5">
        <v>17000.0</v>
      </c>
      <c r="L45" s="5">
        <v>1800.0</v>
      </c>
      <c r="M45" s="5">
        <v>1510000.0</v>
      </c>
      <c r="N45" s="8">
        <v>42841.0</v>
      </c>
      <c r="O45" s="5" t="s">
        <v>22</v>
      </c>
      <c r="P45" s="5" t="s">
        <v>23</v>
      </c>
      <c r="S45" s="5" t="s">
        <v>32</v>
      </c>
    </row>
    <row r="46">
      <c r="A46" s="5">
        <v>45.0</v>
      </c>
      <c r="B46" s="5" t="s">
        <v>200</v>
      </c>
      <c r="C46" s="5" t="s">
        <v>20</v>
      </c>
      <c r="E46" s="5">
        <v>20.0</v>
      </c>
      <c r="K46" s="5">
        <v>8600.0</v>
      </c>
      <c r="N46" s="8">
        <v>44587.0</v>
      </c>
    </row>
    <row r="47">
      <c r="A47" s="5">
        <v>46.0</v>
      </c>
      <c r="B47" s="5" t="s">
        <v>203</v>
      </c>
      <c r="C47" s="5" t="s">
        <v>20</v>
      </c>
      <c r="E47" s="5">
        <v>20.0</v>
      </c>
      <c r="K47" s="5">
        <v>7200.0</v>
      </c>
      <c r="N47" s="8">
        <v>45720.0</v>
      </c>
    </row>
    <row r="48">
      <c r="A48" s="5">
        <v>47.0</v>
      </c>
      <c r="B48" s="5" t="s">
        <v>205</v>
      </c>
      <c r="C48" s="5" t="s">
        <v>20</v>
      </c>
      <c r="E48" s="5">
        <v>20.0</v>
      </c>
      <c r="K48" s="5">
        <v>34000.0</v>
      </c>
      <c r="N48" s="8">
        <v>42879.0</v>
      </c>
    </row>
    <row r="49">
      <c r="A49" s="5">
        <v>48.0</v>
      </c>
      <c r="B49" s="5" t="s">
        <v>72</v>
      </c>
      <c r="C49" s="5" t="s">
        <v>20</v>
      </c>
      <c r="D49" s="5">
        <v>83.0</v>
      </c>
      <c r="E49" s="5">
        <v>10.0</v>
      </c>
      <c r="H49" s="5" t="s">
        <v>19</v>
      </c>
      <c r="I49" s="9">
        <v>46163.193402777775</v>
      </c>
      <c r="J49" s="5" t="s">
        <v>52</v>
      </c>
      <c r="K49" s="5">
        <v>1100.0</v>
      </c>
      <c r="L49" s="5">
        <v>10000.0</v>
      </c>
      <c r="M49" s="5">
        <v>1120000.0</v>
      </c>
      <c r="N49" s="8">
        <v>44043.0</v>
      </c>
      <c r="O49" s="5" t="s">
        <v>22</v>
      </c>
      <c r="P49" s="5" t="s">
        <v>23</v>
      </c>
      <c r="S49" s="5" t="s">
        <v>26</v>
      </c>
    </row>
    <row r="50">
      <c r="A50" s="5">
        <v>49.0</v>
      </c>
      <c r="B50" s="5" t="s">
        <v>211</v>
      </c>
      <c r="C50" s="5" t="s">
        <v>20</v>
      </c>
      <c r="E50" s="5">
        <v>10.0</v>
      </c>
      <c r="K50" s="5">
        <v>5200.0</v>
      </c>
      <c r="N50" s="8">
        <v>43447.0</v>
      </c>
    </row>
    <row r="51">
      <c r="A51" s="5">
        <v>50.0</v>
      </c>
      <c r="B51" s="5" t="s">
        <v>214</v>
      </c>
      <c r="C51" s="5" t="s">
        <v>20</v>
      </c>
      <c r="E51" s="5">
        <v>10.0</v>
      </c>
      <c r="K51" s="5">
        <v>1100.0</v>
      </c>
      <c r="N51" s="8">
        <v>44187.0</v>
      </c>
    </row>
    <row r="52">
      <c r="A52" s="5">
        <v>51.0</v>
      </c>
      <c r="B52" s="5" t="s">
        <v>216</v>
      </c>
      <c r="C52" s="5" t="s">
        <v>20</v>
      </c>
      <c r="D52" s="5">
        <v>80.0</v>
      </c>
      <c r="E52" s="5">
        <v>10.0</v>
      </c>
      <c r="F52" s="5">
        <v>0.05</v>
      </c>
      <c r="H52" s="5" t="s">
        <v>28</v>
      </c>
      <c r="I52" s="9">
        <v>46161.75864583333</v>
      </c>
      <c r="J52" s="5" t="s">
        <v>109</v>
      </c>
      <c r="K52" s="5">
        <v>20000.0</v>
      </c>
      <c r="L52" s="5">
        <v>1100.0</v>
      </c>
      <c r="M52" s="5">
        <v>1370000.0</v>
      </c>
      <c r="N52" s="8">
        <v>42480.0</v>
      </c>
      <c r="O52" s="5" t="s">
        <v>22</v>
      </c>
      <c r="P52" s="5" t="s">
        <v>23</v>
      </c>
      <c r="S52" s="5" t="s">
        <v>32</v>
      </c>
    </row>
    <row r="53">
      <c r="A53" s="5">
        <v>52.0</v>
      </c>
      <c r="B53" s="5" t="s">
        <v>220</v>
      </c>
      <c r="C53" s="5" t="s">
        <v>20</v>
      </c>
      <c r="E53" s="5">
        <v>10.0</v>
      </c>
      <c r="K53" s="5">
        <v>800.0</v>
      </c>
      <c r="N53" s="8">
        <v>44492.0</v>
      </c>
    </row>
    <row r="54">
      <c r="A54" s="5">
        <v>53.0</v>
      </c>
      <c r="B54" s="5" t="s">
        <v>78</v>
      </c>
      <c r="C54" s="5" t="s">
        <v>20</v>
      </c>
      <c r="E54" s="5">
        <v>10.0</v>
      </c>
      <c r="K54" s="5">
        <v>11000.0</v>
      </c>
      <c r="N54" s="8">
        <v>44553.0</v>
      </c>
    </row>
    <row r="55">
      <c r="A55" s="5">
        <v>54.0</v>
      </c>
      <c r="B55" s="5" t="s">
        <v>225</v>
      </c>
      <c r="C55" s="5" t="s">
        <v>20</v>
      </c>
      <c r="E55" s="5">
        <v>10.0</v>
      </c>
      <c r="K55" s="5">
        <v>4800.0</v>
      </c>
      <c r="N55" s="8">
        <v>43844.0</v>
      </c>
    </row>
    <row r="56">
      <c r="A56" s="5">
        <v>55.0</v>
      </c>
      <c r="B56" s="5" t="s">
        <v>227</v>
      </c>
      <c r="C56" s="5" t="s">
        <v>20</v>
      </c>
      <c r="E56" s="5">
        <v>10.0</v>
      </c>
      <c r="K56" s="5">
        <v>300.0</v>
      </c>
      <c r="N56" s="8">
        <v>44854.0</v>
      </c>
    </row>
    <row r="57">
      <c r="A57" s="5">
        <v>56.0</v>
      </c>
      <c r="B57" s="5" t="s">
        <v>230</v>
      </c>
      <c r="C57" s="5" t="s">
        <v>20</v>
      </c>
      <c r="D57" s="5">
        <v>77.0</v>
      </c>
      <c r="E57" s="5">
        <v>10.0</v>
      </c>
      <c r="H57" s="5" t="s">
        <v>33</v>
      </c>
      <c r="I57" s="9">
        <v>46149.09577546296</v>
      </c>
      <c r="K57" s="5">
        <v>10.0</v>
      </c>
      <c r="L57" s="5">
        <v>50.0</v>
      </c>
      <c r="M57" s="5">
        <v>246000.0</v>
      </c>
      <c r="N57" s="8">
        <v>44592.0</v>
      </c>
      <c r="O57" s="5" t="s">
        <v>22</v>
      </c>
      <c r="P57" s="5" t="s">
        <v>23</v>
      </c>
      <c r="S57" s="5" t="s">
        <v>62</v>
      </c>
    </row>
    <row r="58">
      <c r="A58" s="5">
        <v>57.0</v>
      </c>
      <c r="B58" s="5" t="s">
        <v>234</v>
      </c>
      <c r="C58" s="5" t="s">
        <v>20</v>
      </c>
      <c r="E58" s="5">
        <v>10.0</v>
      </c>
      <c r="K58" s="5">
        <v>3500.0</v>
      </c>
      <c r="N58" s="8">
        <v>44045.0</v>
      </c>
    </row>
    <row r="59">
      <c r="A59" s="5">
        <v>58.0</v>
      </c>
      <c r="B59" s="5" t="s">
        <v>236</v>
      </c>
      <c r="C59" s="5" t="s">
        <v>20</v>
      </c>
      <c r="E59" s="5">
        <v>10.0</v>
      </c>
      <c r="K59" s="5">
        <v>6800.0</v>
      </c>
      <c r="N59" s="8">
        <v>43933.0</v>
      </c>
    </row>
    <row r="60">
      <c r="A60" s="5">
        <v>59.0</v>
      </c>
      <c r="B60" s="5" t="s">
        <v>239</v>
      </c>
      <c r="C60" s="5" t="s">
        <v>20</v>
      </c>
      <c r="D60" s="5">
        <v>79.0</v>
      </c>
      <c r="E60" s="5">
        <v>10.0</v>
      </c>
      <c r="H60" s="5" t="s">
        <v>60</v>
      </c>
      <c r="I60" s="9">
        <v>46152.59908564815</v>
      </c>
      <c r="J60" s="5" t="s">
        <v>109</v>
      </c>
      <c r="K60" s="5">
        <v>2400.0</v>
      </c>
      <c r="L60" s="5">
        <v>60.0</v>
      </c>
      <c r="M60" s="5">
        <v>69000.0</v>
      </c>
      <c r="N60" s="8">
        <v>44278.0</v>
      </c>
      <c r="O60" s="5" t="s">
        <v>50</v>
      </c>
      <c r="P60" s="5" t="s">
        <v>23</v>
      </c>
      <c r="S60" s="5" t="s">
        <v>135</v>
      </c>
    </row>
    <row r="61">
      <c r="A61" s="5">
        <v>60.0</v>
      </c>
      <c r="B61" s="5" t="s">
        <v>244</v>
      </c>
      <c r="C61" s="5" t="s">
        <v>20</v>
      </c>
      <c r="E61" s="5">
        <v>10.0</v>
      </c>
      <c r="K61" s="5">
        <v>11000.0</v>
      </c>
      <c r="N61" s="8">
        <v>43875.0</v>
      </c>
      <c r="O61" s="5" t="s">
        <v>22</v>
      </c>
      <c r="P61" s="5" t="s">
        <v>23</v>
      </c>
      <c r="S61" s="5" t="s">
        <v>32</v>
      </c>
    </row>
    <row r="62">
      <c r="A62" s="5">
        <v>61.0</v>
      </c>
      <c r="B62" s="5" t="s">
        <v>247</v>
      </c>
      <c r="C62" s="5" t="s">
        <v>20</v>
      </c>
      <c r="D62" s="5">
        <v>76.0</v>
      </c>
      <c r="E62" s="5">
        <v>10.0</v>
      </c>
      <c r="H62" s="5" t="s">
        <v>47</v>
      </c>
      <c r="I62" s="9">
        <v>46077.05547453704</v>
      </c>
      <c r="J62" s="5" t="s">
        <v>109</v>
      </c>
      <c r="K62" s="5">
        <v>5100.0</v>
      </c>
      <c r="L62" s="5">
        <v>200.0</v>
      </c>
      <c r="M62" s="5">
        <v>207000.0</v>
      </c>
      <c r="N62" s="8">
        <v>44044.0</v>
      </c>
      <c r="O62" s="5" t="s">
        <v>22</v>
      </c>
      <c r="P62" s="5" t="s">
        <v>23</v>
      </c>
      <c r="S62" s="5" t="s">
        <v>135</v>
      </c>
    </row>
    <row r="63">
      <c r="A63" s="5">
        <v>62.0</v>
      </c>
      <c r="B63" s="5" t="s">
        <v>251</v>
      </c>
      <c r="C63" s="5" t="s">
        <v>20</v>
      </c>
      <c r="D63" s="5">
        <v>75.0</v>
      </c>
      <c r="E63" s="5">
        <v>10.0</v>
      </c>
      <c r="H63" s="5" t="s">
        <v>28</v>
      </c>
      <c r="I63" s="9">
        <v>46143.341574074075</v>
      </c>
      <c r="J63" s="5" t="s">
        <v>52</v>
      </c>
      <c r="K63" s="5">
        <v>16000.0</v>
      </c>
      <c r="L63" s="5">
        <v>1600.0</v>
      </c>
      <c r="M63" s="5">
        <v>1450000.0</v>
      </c>
      <c r="N63" s="8">
        <v>42281.0</v>
      </c>
      <c r="O63" s="5" t="s">
        <v>22</v>
      </c>
      <c r="P63" s="5" t="s">
        <v>23</v>
      </c>
      <c r="S63" s="5" t="s">
        <v>32</v>
      </c>
    </row>
    <row r="64">
      <c r="A64" s="5">
        <v>63.0</v>
      </c>
      <c r="B64" s="5" t="s">
        <v>255</v>
      </c>
      <c r="C64" s="5" t="s">
        <v>20</v>
      </c>
      <c r="E64" s="5">
        <v>10.0</v>
      </c>
      <c r="K64" s="5">
        <v>800.0</v>
      </c>
      <c r="N64" s="8">
        <v>45167.0</v>
      </c>
    </row>
    <row r="65">
      <c r="A65" s="5">
        <v>64.0</v>
      </c>
      <c r="B65" s="5" t="s">
        <v>81</v>
      </c>
      <c r="C65" s="5" t="s">
        <v>20</v>
      </c>
      <c r="E65" s="5">
        <v>10.0</v>
      </c>
      <c r="K65" s="5">
        <v>1900.0</v>
      </c>
      <c r="N65" s="8">
        <v>43842.0</v>
      </c>
    </row>
    <row r="66">
      <c r="A66" s="5">
        <v>65.0</v>
      </c>
      <c r="B66" s="5" t="s">
        <v>259</v>
      </c>
      <c r="C66" s="5" t="s">
        <v>20</v>
      </c>
      <c r="E66" s="5">
        <v>10.0</v>
      </c>
      <c r="K66" s="5">
        <v>6200.0</v>
      </c>
      <c r="N66" s="8">
        <v>43246.0</v>
      </c>
    </row>
    <row r="67">
      <c r="A67" s="5">
        <v>66.0</v>
      </c>
      <c r="B67" s="5" t="s">
        <v>262</v>
      </c>
      <c r="C67" s="5" t="s">
        <v>20</v>
      </c>
      <c r="E67" s="5">
        <v>10.0</v>
      </c>
      <c r="K67" s="5">
        <v>12000.0</v>
      </c>
      <c r="N67" s="8">
        <v>44985.0</v>
      </c>
    </row>
    <row r="68">
      <c r="A68" s="5">
        <v>67.0</v>
      </c>
      <c r="B68" s="5" t="s">
        <v>264</v>
      </c>
      <c r="C68" s="5" t="s">
        <v>20</v>
      </c>
      <c r="E68" s="5">
        <v>10.0</v>
      </c>
      <c r="K68" s="5">
        <v>20.0</v>
      </c>
      <c r="N68" s="8">
        <v>45993.0</v>
      </c>
    </row>
    <row r="69">
      <c r="A69" s="5">
        <v>68.0</v>
      </c>
      <c r="B69" s="5" t="s">
        <v>267</v>
      </c>
      <c r="C69" s="5" t="s">
        <v>20</v>
      </c>
      <c r="D69" s="5">
        <v>79.0</v>
      </c>
      <c r="E69" s="5">
        <v>10.0</v>
      </c>
      <c r="H69" s="5" t="s">
        <v>19</v>
      </c>
      <c r="I69" s="9">
        <v>46127.08675925926</v>
      </c>
      <c r="J69" s="5" t="s">
        <v>109</v>
      </c>
      <c r="K69" s="5">
        <v>15000.0</v>
      </c>
      <c r="L69" s="5">
        <v>13000.0</v>
      </c>
      <c r="M69" s="5">
        <v>1220000.0</v>
      </c>
      <c r="N69" s="8">
        <v>42894.0</v>
      </c>
      <c r="O69" s="5" t="s">
        <v>22</v>
      </c>
      <c r="P69" s="5" t="s">
        <v>23</v>
      </c>
      <c r="S69" s="5" t="s">
        <v>26</v>
      </c>
    </row>
    <row r="70">
      <c r="A70" s="5">
        <v>69.0</v>
      </c>
      <c r="B70" s="5" t="s">
        <v>270</v>
      </c>
      <c r="C70" s="5" t="s">
        <v>20</v>
      </c>
      <c r="E70" s="5">
        <v>10.0</v>
      </c>
      <c r="K70" s="5">
        <v>30.0</v>
      </c>
      <c r="N70" s="8">
        <v>45400.0</v>
      </c>
    </row>
    <row r="71">
      <c r="A71" s="5">
        <v>70.0</v>
      </c>
      <c r="B71" s="5" t="s">
        <v>273</v>
      </c>
      <c r="C71" s="5" t="s">
        <v>20</v>
      </c>
      <c r="D71" s="5">
        <v>82.0</v>
      </c>
      <c r="E71" s="5">
        <v>10.0</v>
      </c>
      <c r="H71" s="5" t="s">
        <v>19</v>
      </c>
      <c r="I71" s="9">
        <v>46161.2603125</v>
      </c>
      <c r="J71" s="5" t="s">
        <v>110</v>
      </c>
      <c r="K71" s="5">
        <v>60.0</v>
      </c>
      <c r="L71" s="5">
        <v>10000.0</v>
      </c>
      <c r="M71" s="5">
        <v>991000.0</v>
      </c>
      <c r="N71" s="8">
        <v>44377.0</v>
      </c>
      <c r="O71" s="5" t="s">
        <v>22</v>
      </c>
      <c r="P71" s="5" t="s">
        <v>23</v>
      </c>
      <c r="S71" s="5" t="s">
        <v>26</v>
      </c>
    </row>
    <row r="72">
      <c r="A72" s="5">
        <v>71.0</v>
      </c>
      <c r="B72" s="5" t="s">
        <v>277</v>
      </c>
      <c r="C72" s="5" t="s">
        <v>20</v>
      </c>
      <c r="E72" s="5">
        <v>10.0</v>
      </c>
      <c r="K72" s="5">
        <v>200.0</v>
      </c>
      <c r="N72" s="8">
        <v>43858.0</v>
      </c>
    </row>
    <row r="73">
      <c r="A73" s="5">
        <v>72.0</v>
      </c>
      <c r="B73" s="5" t="s">
        <v>279</v>
      </c>
      <c r="C73" s="5" t="s">
        <v>20</v>
      </c>
      <c r="E73" s="5">
        <v>10.0</v>
      </c>
      <c r="K73" s="5">
        <v>150.0</v>
      </c>
      <c r="N73" s="8">
        <v>44216.0</v>
      </c>
    </row>
    <row r="74">
      <c r="A74" s="5">
        <v>73.0</v>
      </c>
      <c r="B74" s="5" t="s">
        <v>282</v>
      </c>
      <c r="C74" s="5" t="s">
        <v>20</v>
      </c>
      <c r="E74" s="5">
        <v>10.0</v>
      </c>
      <c r="K74" s="5">
        <v>1100.0</v>
      </c>
      <c r="N74" s="8">
        <v>43270.0</v>
      </c>
    </row>
    <row r="75">
      <c r="A75" s="5">
        <v>74.0</v>
      </c>
      <c r="B75" s="5" t="s">
        <v>284</v>
      </c>
      <c r="C75" s="5" t="s">
        <v>20</v>
      </c>
      <c r="E75" s="5">
        <v>10.0</v>
      </c>
      <c r="K75" s="5">
        <v>2000.0</v>
      </c>
      <c r="N75" s="8">
        <v>44350.0</v>
      </c>
    </row>
    <row r="76">
      <c r="A76" s="5">
        <v>75.0</v>
      </c>
      <c r="B76" s="5" t="s">
        <v>287</v>
      </c>
      <c r="C76" s="5" t="s">
        <v>20</v>
      </c>
      <c r="E76" s="5">
        <v>10.0</v>
      </c>
      <c r="K76" s="5">
        <v>18000.0</v>
      </c>
      <c r="N76" s="8">
        <v>45819.0</v>
      </c>
    </row>
    <row r="77">
      <c r="A77" s="5">
        <v>76.0</v>
      </c>
      <c r="B77" s="5" t="s">
        <v>289</v>
      </c>
      <c r="C77" s="5" t="s">
        <v>20</v>
      </c>
      <c r="E77" s="5">
        <v>10.0</v>
      </c>
      <c r="K77" s="5">
        <v>1800.0</v>
      </c>
      <c r="N77" s="8">
        <v>44211.0</v>
      </c>
    </row>
    <row r="78">
      <c r="A78" s="5">
        <v>77.0</v>
      </c>
      <c r="B78" s="5" t="s">
        <v>292</v>
      </c>
      <c r="C78" s="5" t="s">
        <v>20</v>
      </c>
      <c r="E78" s="5">
        <v>10.0</v>
      </c>
      <c r="K78" s="5">
        <v>20.0</v>
      </c>
      <c r="N78" s="8">
        <v>45074.0</v>
      </c>
    </row>
    <row r="79">
      <c r="A79" s="5">
        <v>78.0</v>
      </c>
      <c r="B79" s="5" t="s">
        <v>293</v>
      </c>
      <c r="C79" s="5" t="s">
        <v>20</v>
      </c>
      <c r="E79" s="5">
        <v>10.0</v>
      </c>
      <c r="K79" s="5">
        <v>2900.0</v>
      </c>
      <c r="N79" s="8">
        <v>44744.0</v>
      </c>
    </row>
    <row r="80">
      <c r="A80" s="5">
        <v>79.0</v>
      </c>
      <c r="B80" s="5" t="s">
        <v>295</v>
      </c>
      <c r="C80" s="5" t="s">
        <v>20</v>
      </c>
      <c r="E80" s="5">
        <v>10.0</v>
      </c>
      <c r="K80" s="5">
        <v>20000.0</v>
      </c>
      <c r="N80" s="8">
        <v>43843.0</v>
      </c>
      <c r="O80" s="5" t="s">
        <v>50</v>
      </c>
      <c r="P80" s="5" t="s">
        <v>23</v>
      </c>
      <c r="S80" s="5" t="s">
        <v>32</v>
      </c>
    </row>
    <row r="81">
      <c r="A81" s="5">
        <v>80.0</v>
      </c>
      <c r="B81" s="5" t="s">
        <v>300</v>
      </c>
      <c r="C81" s="5" t="s">
        <v>20</v>
      </c>
      <c r="E81" s="5">
        <v>10.0</v>
      </c>
      <c r="K81" s="5">
        <v>600.0</v>
      </c>
      <c r="N81" s="8">
        <v>45390.0</v>
      </c>
    </row>
    <row r="82">
      <c r="A82" s="5">
        <v>81.0</v>
      </c>
      <c r="B82" s="5" t="s">
        <v>303</v>
      </c>
      <c r="C82" s="5" t="s">
        <v>20</v>
      </c>
      <c r="E82" s="5">
        <v>10.0</v>
      </c>
      <c r="K82" s="5">
        <v>800.0</v>
      </c>
      <c r="N82" s="8">
        <v>45758.0</v>
      </c>
    </row>
    <row r="83">
      <c r="A83" s="5">
        <v>82.0</v>
      </c>
      <c r="B83" s="5" t="s">
        <v>306</v>
      </c>
      <c r="C83" s="5" t="s">
        <v>20</v>
      </c>
      <c r="E83" s="5">
        <v>10.0</v>
      </c>
      <c r="K83" s="5">
        <v>2600.0</v>
      </c>
      <c r="N83" s="8">
        <v>43840.0</v>
      </c>
    </row>
    <row r="84">
      <c r="A84" s="5">
        <v>83.0</v>
      </c>
      <c r="B84" s="5" t="s">
        <v>309</v>
      </c>
      <c r="C84" s="5" t="s">
        <v>20</v>
      </c>
      <c r="K84" s="5">
        <v>800.0</v>
      </c>
      <c r="N84" s="8">
        <v>44014.0</v>
      </c>
    </row>
    <row r="85">
      <c r="A85" s="5">
        <v>84.0</v>
      </c>
      <c r="B85" s="5" t="s">
        <v>312</v>
      </c>
      <c r="C85" s="5" t="s">
        <v>20</v>
      </c>
      <c r="K85" s="5">
        <v>500.0</v>
      </c>
      <c r="N85" s="8">
        <v>44201.0</v>
      </c>
    </row>
    <row r="86">
      <c r="A86" s="5">
        <v>85.0</v>
      </c>
      <c r="B86" s="5" t="s">
        <v>315</v>
      </c>
      <c r="C86" s="5" t="s">
        <v>20</v>
      </c>
      <c r="K86" s="5">
        <v>40.0</v>
      </c>
      <c r="N86" s="8">
        <v>44237.0</v>
      </c>
    </row>
    <row r="87">
      <c r="A87" s="5">
        <v>86.0</v>
      </c>
      <c r="B87" s="5" t="s">
        <v>317</v>
      </c>
      <c r="C87" s="5" t="s">
        <v>20</v>
      </c>
      <c r="K87" s="5">
        <v>800.0</v>
      </c>
      <c r="N87" s="8">
        <v>44033.0</v>
      </c>
    </row>
    <row r="88">
      <c r="A88" s="5">
        <v>87.0</v>
      </c>
      <c r="B88" s="5" t="s">
        <v>320</v>
      </c>
      <c r="C88" s="5" t="s">
        <v>20</v>
      </c>
      <c r="K88" s="5">
        <v>100.0</v>
      </c>
      <c r="N88" s="8">
        <v>44244.0</v>
      </c>
    </row>
    <row r="89">
      <c r="A89" s="5">
        <v>88.0</v>
      </c>
      <c r="B89" s="5" t="s">
        <v>323</v>
      </c>
      <c r="C89" s="5" t="s">
        <v>20</v>
      </c>
      <c r="K89" s="5">
        <v>10.0</v>
      </c>
      <c r="N89" s="8">
        <v>44648.0</v>
      </c>
    </row>
    <row r="90">
      <c r="A90" s="5">
        <v>89.0</v>
      </c>
      <c r="B90" s="5" t="s">
        <v>325</v>
      </c>
      <c r="C90" s="5" t="s">
        <v>20</v>
      </c>
      <c r="N90" s="8">
        <v>44848.0</v>
      </c>
    </row>
    <row r="91">
      <c r="A91" s="5">
        <v>90.0</v>
      </c>
      <c r="B91" s="5" t="s">
        <v>328</v>
      </c>
      <c r="C91" s="5" t="s">
        <v>20</v>
      </c>
      <c r="K91" s="5">
        <v>10.0</v>
      </c>
      <c r="N91" s="8">
        <v>45728.0</v>
      </c>
    </row>
    <row r="92">
      <c r="A92" s="5">
        <v>91.0</v>
      </c>
      <c r="B92" s="5" t="s">
        <v>330</v>
      </c>
      <c r="C92" s="5" t="s">
        <v>20</v>
      </c>
      <c r="K92" s="5">
        <v>200.0</v>
      </c>
      <c r="N92" s="8">
        <v>44592.0</v>
      </c>
    </row>
    <row r="93">
      <c r="A93" s="5">
        <v>92.0</v>
      </c>
      <c r="B93" s="5" t="s">
        <v>332</v>
      </c>
      <c r="C93" s="5" t="s">
        <v>20</v>
      </c>
      <c r="K93" s="5">
        <v>50.0</v>
      </c>
      <c r="N93" s="8">
        <v>44512.0</v>
      </c>
    </row>
    <row r="94">
      <c r="A94" s="5">
        <v>93.0</v>
      </c>
      <c r="B94" s="5" t="s">
        <v>334</v>
      </c>
      <c r="C94" s="5" t="s">
        <v>20</v>
      </c>
      <c r="K94" s="5">
        <v>10.0</v>
      </c>
      <c r="N94" s="8">
        <v>46137.0</v>
      </c>
    </row>
    <row r="95">
      <c r="A95" s="5">
        <v>94.0</v>
      </c>
      <c r="B95" s="5" t="s">
        <v>337</v>
      </c>
      <c r="C95" s="5" t="s">
        <v>20</v>
      </c>
      <c r="N95" s="8">
        <v>45034.0</v>
      </c>
    </row>
    <row r="96">
      <c r="A96" s="5">
        <v>95.0</v>
      </c>
      <c r="B96" s="5" t="s">
        <v>338</v>
      </c>
      <c r="C96" s="5" t="s">
        <v>20</v>
      </c>
      <c r="K96" s="5">
        <v>30.0</v>
      </c>
      <c r="N96" s="8">
        <v>44672.0</v>
      </c>
    </row>
    <row r="97">
      <c r="A97" s="5">
        <v>96.0</v>
      </c>
      <c r="B97" s="5" t="s">
        <v>341</v>
      </c>
      <c r="C97" s="5" t="s">
        <v>20</v>
      </c>
      <c r="K97" s="5">
        <v>60.0</v>
      </c>
      <c r="N97" s="8">
        <v>44691.0</v>
      </c>
    </row>
    <row r="98">
      <c r="A98" s="5">
        <v>97.0</v>
      </c>
      <c r="B98" s="5" t="s">
        <v>343</v>
      </c>
      <c r="C98" s="5" t="s">
        <v>20</v>
      </c>
      <c r="K98" s="5">
        <v>900.0</v>
      </c>
      <c r="N98" s="8">
        <v>44205.0</v>
      </c>
    </row>
    <row r="99">
      <c r="A99" s="5">
        <v>98.0</v>
      </c>
      <c r="B99" s="5" t="s">
        <v>345</v>
      </c>
      <c r="C99" s="5" t="s">
        <v>20</v>
      </c>
      <c r="K99" s="5">
        <v>60.0</v>
      </c>
      <c r="N99" s="8">
        <v>42834.0</v>
      </c>
    </row>
    <row r="100">
      <c r="A100" s="5">
        <v>99.0</v>
      </c>
      <c r="B100" s="5" t="s">
        <v>348</v>
      </c>
      <c r="C100" s="5" t="s">
        <v>20</v>
      </c>
      <c r="K100" s="5">
        <v>50.0</v>
      </c>
      <c r="N100" s="8">
        <v>44508.0</v>
      </c>
    </row>
    <row r="101">
      <c r="A101" s="5">
        <v>100.0</v>
      </c>
      <c r="B101" s="5" t="s">
        <v>350</v>
      </c>
      <c r="C101" s="5" t="s">
        <v>20</v>
      </c>
      <c r="K101" s="5">
        <v>100.0</v>
      </c>
      <c r="N101" s="8">
        <v>44488.0</v>
      </c>
    </row>
    <row r="102">
      <c r="A102" s="5">
        <v>101.0</v>
      </c>
      <c r="B102" s="5" t="s">
        <v>352</v>
      </c>
      <c r="C102" s="5" t="s">
        <v>20</v>
      </c>
      <c r="N102" s="8">
        <v>44834.0</v>
      </c>
    </row>
    <row r="103">
      <c r="A103" s="5">
        <v>102.0</v>
      </c>
      <c r="B103" s="5" t="s">
        <v>354</v>
      </c>
      <c r="C103" s="5" t="s">
        <v>20</v>
      </c>
      <c r="N103" s="8">
        <v>44536.0</v>
      </c>
    </row>
    <row r="104">
      <c r="A104" s="5">
        <v>103.0</v>
      </c>
      <c r="B104" s="5" t="s">
        <v>356</v>
      </c>
      <c r="C104" s="5" t="s">
        <v>20</v>
      </c>
      <c r="K104" s="5">
        <v>3400.0</v>
      </c>
      <c r="N104" s="8">
        <v>44769.0</v>
      </c>
    </row>
    <row r="105">
      <c r="A105" s="5">
        <v>104.0</v>
      </c>
      <c r="B105" s="5" t="s">
        <v>359</v>
      </c>
      <c r="C105" s="5" t="s">
        <v>20</v>
      </c>
      <c r="K105" s="5">
        <v>10.0</v>
      </c>
      <c r="N105" s="8">
        <v>46111.0</v>
      </c>
    </row>
    <row r="106">
      <c r="A106" s="5">
        <v>105.0</v>
      </c>
      <c r="B106" s="5" t="s">
        <v>361</v>
      </c>
      <c r="C106" s="5" t="s">
        <v>20</v>
      </c>
      <c r="K106" s="5">
        <v>800.0</v>
      </c>
      <c r="N106" s="8">
        <v>44417.0</v>
      </c>
    </row>
    <row r="107">
      <c r="A107" s="5">
        <v>106.0</v>
      </c>
      <c r="B107" s="5" t="s">
        <v>363</v>
      </c>
      <c r="C107" s="5" t="s">
        <v>20</v>
      </c>
      <c r="N107" s="8">
        <v>44717.0</v>
      </c>
    </row>
    <row r="108">
      <c r="A108" s="5">
        <v>107.0</v>
      </c>
      <c r="B108" s="5" t="s">
        <v>54</v>
      </c>
      <c r="C108" s="5" t="s">
        <v>20</v>
      </c>
      <c r="N108" s="8">
        <v>44233.0</v>
      </c>
    </row>
    <row r="109">
      <c r="A109" s="5">
        <v>108.0</v>
      </c>
      <c r="B109" s="5" t="s">
        <v>366</v>
      </c>
      <c r="C109" s="5" t="s">
        <v>20</v>
      </c>
      <c r="K109" s="5">
        <v>500.0</v>
      </c>
      <c r="N109" s="8">
        <v>44645.0</v>
      </c>
    </row>
    <row r="110">
      <c r="A110" s="5">
        <v>109.0</v>
      </c>
      <c r="B110" s="5" t="s">
        <v>368</v>
      </c>
      <c r="C110" s="5" t="s">
        <v>20</v>
      </c>
      <c r="K110" s="5">
        <v>20.0</v>
      </c>
      <c r="N110" s="8">
        <v>45682.0</v>
      </c>
    </row>
    <row r="111">
      <c r="A111" s="5">
        <v>110.0</v>
      </c>
      <c r="B111" s="5" t="s">
        <v>370</v>
      </c>
      <c r="C111" s="5" t="s">
        <v>20</v>
      </c>
      <c r="K111" s="5">
        <v>20.0</v>
      </c>
      <c r="N111" s="8">
        <v>44668.0</v>
      </c>
    </row>
    <row r="112">
      <c r="A112" s="5">
        <v>111.0</v>
      </c>
      <c r="B112" s="5" t="s">
        <v>372</v>
      </c>
      <c r="C112" s="5" t="s">
        <v>20</v>
      </c>
      <c r="N112" s="8">
        <v>44554.0</v>
      </c>
    </row>
    <row r="113">
      <c r="A113" s="5">
        <v>112.0</v>
      </c>
      <c r="B113" s="5" t="s">
        <v>374</v>
      </c>
      <c r="C113" s="5" t="s">
        <v>20</v>
      </c>
      <c r="K113" s="5">
        <v>450.0</v>
      </c>
      <c r="N113" s="8">
        <v>44470.0</v>
      </c>
    </row>
    <row r="114">
      <c r="A114" s="5">
        <v>113.0</v>
      </c>
      <c r="B114" s="5" t="s">
        <v>377</v>
      </c>
      <c r="C114" s="5" t="s">
        <v>20</v>
      </c>
      <c r="K114" s="5">
        <v>80.0</v>
      </c>
      <c r="N114" s="8">
        <v>45228.0</v>
      </c>
    </row>
    <row r="115">
      <c r="A115" s="5">
        <v>114.0</v>
      </c>
      <c r="B115" s="5" t="s">
        <v>379</v>
      </c>
      <c r="C115" s="5" t="s">
        <v>20</v>
      </c>
      <c r="N115" s="8">
        <v>44599.0</v>
      </c>
    </row>
    <row r="116">
      <c r="A116" s="5">
        <v>115.0</v>
      </c>
      <c r="B116" s="5" t="s">
        <v>381</v>
      </c>
      <c r="C116" s="5" t="s">
        <v>20</v>
      </c>
      <c r="K116" s="5">
        <v>100.0</v>
      </c>
      <c r="N116" s="8">
        <v>44827.0</v>
      </c>
    </row>
    <row r="117">
      <c r="A117" s="5">
        <v>116.0</v>
      </c>
      <c r="B117" s="5" t="s">
        <v>383</v>
      </c>
      <c r="C117" s="5" t="s">
        <v>20</v>
      </c>
      <c r="K117" s="5">
        <v>350.0</v>
      </c>
      <c r="N117" s="8">
        <v>44492.0</v>
      </c>
    </row>
    <row r="118">
      <c r="A118" s="5">
        <v>117.0</v>
      </c>
      <c r="B118" s="5" t="s">
        <v>385</v>
      </c>
      <c r="C118" s="5" t="s">
        <v>20</v>
      </c>
      <c r="K118" s="5">
        <v>150.0</v>
      </c>
      <c r="N118" s="8">
        <v>45577.0</v>
      </c>
    </row>
    <row r="119">
      <c r="A119" s="5">
        <v>118.0</v>
      </c>
      <c r="B119" s="5" t="s">
        <v>387</v>
      </c>
      <c r="C119" s="5" t="s">
        <v>20</v>
      </c>
      <c r="K119" s="5">
        <v>1000.0</v>
      </c>
      <c r="N119" s="8">
        <v>44038.0</v>
      </c>
    </row>
    <row r="120">
      <c r="A120" s="5">
        <v>119.0</v>
      </c>
      <c r="B120" s="5" t="s">
        <v>389</v>
      </c>
      <c r="C120" s="5" t="s">
        <v>20</v>
      </c>
      <c r="N120" s="8">
        <v>44390.0</v>
      </c>
    </row>
    <row r="121">
      <c r="A121" s="5">
        <v>120.0</v>
      </c>
      <c r="B121" s="5" t="s">
        <v>391</v>
      </c>
      <c r="C121" s="5" t="s">
        <v>20</v>
      </c>
      <c r="N121" s="8">
        <v>44420.0</v>
      </c>
    </row>
    <row r="122">
      <c r="A122" s="5">
        <v>121.0</v>
      </c>
      <c r="B122" s="5" t="s">
        <v>393</v>
      </c>
      <c r="C122" s="5" t="s">
        <v>20</v>
      </c>
      <c r="K122" s="5">
        <v>30.0</v>
      </c>
      <c r="N122" s="8">
        <v>44239.0</v>
      </c>
    </row>
    <row r="123">
      <c r="A123" s="5">
        <v>122.0</v>
      </c>
      <c r="B123" s="5" t="s">
        <v>396</v>
      </c>
      <c r="C123" s="5" t="s">
        <v>20</v>
      </c>
      <c r="K123" s="5">
        <v>70.0</v>
      </c>
      <c r="N123" s="8">
        <v>44231.0</v>
      </c>
    </row>
    <row r="124">
      <c r="A124" s="5">
        <v>123.0</v>
      </c>
      <c r="B124" s="5" t="s">
        <v>398</v>
      </c>
      <c r="C124" s="5" t="s">
        <v>20</v>
      </c>
      <c r="N124" s="8">
        <v>44725.0</v>
      </c>
    </row>
    <row r="125">
      <c r="A125" s="5">
        <v>124.0</v>
      </c>
      <c r="B125" s="5" t="s">
        <v>400</v>
      </c>
      <c r="C125" s="5" t="s">
        <v>20</v>
      </c>
      <c r="K125" s="5">
        <v>400.0</v>
      </c>
      <c r="N125" s="8">
        <v>44688.0</v>
      </c>
    </row>
    <row r="126">
      <c r="A126" s="5">
        <v>125.0</v>
      </c>
      <c r="B126" s="5" t="s">
        <v>402</v>
      </c>
      <c r="C126" s="5" t="s">
        <v>20</v>
      </c>
      <c r="K126" s="5">
        <v>10.0</v>
      </c>
      <c r="N126" s="8">
        <v>45901.0</v>
      </c>
    </row>
    <row r="127">
      <c r="A127" s="5">
        <v>126.0</v>
      </c>
      <c r="B127" s="5" t="s">
        <v>94</v>
      </c>
      <c r="C127" s="5" t="s">
        <v>20</v>
      </c>
      <c r="K127" s="5">
        <v>250.0</v>
      </c>
      <c r="N127" s="8">
        <v>44993.0</v>
      </c>
    </row>
    <row r="128">
      <c r="A128" s="5">
        <v>127.0</v>
      </c>
      <c r="B128" s="5" t="s">
        <v>406</v>
      </c>
      <c r="C128" s="5" t="s">
        <v>20</v>
      </c>
      <c r="D128" s="5">
        <v>80.0</v>
      </c>
      <c r="H128" s="5" t="s">
        <v>19</v>
      </c>
      <c r="I128" s="9">
        <v>46162.308344907404</v>
      </c>
      <c r="J128" s="5" t="s">
        <v>110</v>
      </c>
      <c r="K128" s="5">
        <v>200.0</v>
      </c>
      <c r="L128" s="5">
        <v>10000.0</v>
      </c>
      <c r="M128" s="5">
        <v>1010000.0</v>
      </c>
      <c r="N128" s="8">
        <v>45058.0</v>
      </c>
      <c r="O128" s="5" t="s">
        <v>22</v>
      </c>
      <c r="P128" s="5" t="s">
        <v>23</v>
      </c>
      <c r="S128" s="5" t="s">
        <v>26</v>
      </c>
    </row>
    <row r="129">
      <c r="A129" s="5">
        <v>128.0</v>
      </c>
      <c r="B129" s="5" t="s">
        <v>410</v>
      </c>
      <c r="C129" s="5" t="s">
        <v>20</v>
      </c>
      <c r="N129" s="8">
        <v>44133.0</v>
      </c>
    </row>
    <row r="130">
      <c r="A130" s="5">
        <v>129.0</v>
      </c>
      <c r="B130" s="5" t="s">
        <v>413</v>
      </c>
      <c r="C130" s="5" t="s">
        <v>20</v>
      </c>
      <c r="K130" s="5">
        <v>10.0</v>
      </c>
      <c r="N130" s="8">
        <v>44711.0</v>
      </c>
    </row>
    <row r="131">
      <c r="A131" s="5">
        <v>130.0</v>
      </c>
      <c r="B131" s="5" t="s">
        <v>416</v>
      </c>
      <c r="C131" s="5" t="s">
        <v>20</v>
      </c>
      <c r="K131" s="5">
        <v>350.0</v>
      </c>
      <c r="N131" s="8">
        <v>44077.0</v>
      </c>
    </row>
    <row r="132">
      <c r="A132" s="5">
        <v>131.0</v>
      </c>
      <c r="B132" s="5" t="s">
        <v>418</v>
      </c>
      <c r="C132" s="5" t="s">
        <v>20</v>
      </c>
      <c r="K132" s="5">
        <v>600.0</v>
      </c>
      <c r="N132" s="8">
        <v>44061.0</v>
      </c>
    </row>
    <row r="133">
      <c r="A133" s="5">
        <v>132.0</v>
      </c>
      <c r="B133" s="5" t="s">
        <v>421</v>
      </c>
      <c r="C133" s="5" t="s">
        <v>20</v>
      </c>
      <c r="N133" s="8">
        <v>45150.0</v>
      </c>
    </row>
    <row r="134">
      <c r="A134" s="5">
        <v>133.0</v>
      </c>
      <c r="B134" s="5" t="s">
        <v>423</v>
      </c>
      <c r="C134" s="5" t="s">
        <v>20</v>
      </c>
      <c r="K134" s="5">
        <v>800.0</v>
      </c>
      <c r="N134" s="8">
        <v>43526.0</v>
      </c>
    </row>
    <row r="135">
      <c r="A135" s="5">
        <v>134.0</v>
      </c>
      <c r="B135" s="5" t="s">
        <v>425</v>
      </c>
      <c r="C135" s="5" t="s">
        <v>20</v>
      </c>
      <c r="K135" s="5">
        <v>10.0</v>
      </c>
      <c r="N135" s="8">
        <v>44214.0</v>
      </c>
    </row>
    <row r="136">
      <c r="A136" s="5">
        <v>135.0</v>
      </c>
      <c r="B136" s="5" t="s">
        <v>427</v>
      </c>
      <c r="C136" s="5" t="s">
        <v>20</v>
      </c>
      <c r="N136" s="8">
        <v>44725.0</v>
      </c>
    </row>
    <row r="137">
      <c r="A137" s="5">
        <v>136.0</v>
      </c>
      <c r="B137" s="5" t="s">
        <v>430</v>
      </c>
      <c r="C137" s="5" t="s">
        <v>20</v>
      </c>
      <c r="K137" s="5">
        <v>150.0</v>
      </c>
      <c r="N137" s="8">
        <v>44643.0</v>
      </c>
    </row>
    <row r="138">
      <c r="A138" s="5">
        <v>137.0</v>
      </c>
      <c r="B138" s="5" t="s">
        <v>432</v>
      </c>
      <c r="C138" s="5" t="s">
        <v>20</v>
      </c>
      <c r="N138" s="8">
        <v>44240.0</v>
      </c>
    </row>
    <row r="139">
      <c r="A139" s="5">
        <v>138.0</v>
      </c>
      <c r="B139" s="5" t="s">
        <v>434</v>
      </c>
      <c r="C139" s="5" t="s">
        <v>20</v>
      </c>
      <c r="K139" s="5">
        <v>10.0</v>
      </c>
      <c r="N139" s="8">
        <v>44909.0</v>
      </c>
    </row>
    <row r="140">
      <c r="A140" s="5">
        <v>139.0</v>
      </c>
      <c r="B140" s="5" t="s">
        <v>436</v>
      </c>
      <c r="C140" s="5" t="s">
        <v>20</v>
      </c>
      <c r="K140" s="5">
        <v>4300.0</v>
      </c>
      <c r="N140" s="8">
        <v>44211.0</v>
      </c>
    </row>
    <row r="141">
      <c r="A141" s="5">
        <v>140.0</v>
      </c>
      <c r="B141" s="5" t="s">
        <v>438</v>
      </c>
      <c r="C141" s="5" t="s">
        <v>20</v>
      </c>
      <c r="K141" s="5">
        <v>150.0</v>
      </c>
      <c r="N141" s="8">
        <v>43885.0</v>
      </c>
    </row>
    <row r="142">
      <c r="A142" s="5">
        <v>141.0</v>
      </c>
      <c r="B142" s="5" t="s">
        <v>440</v>
      </c>
      <c r="C142" s="5" t="s">
        <v>20</v>
      </c>
      <c r="K142" s="5">
        <v>20.0</v>
      </c>
      <c r="N142" s="8">
        <v>46107.0</v>
      </c>
    </row>
    <row r="143">
      <c r="A143" s="5">
        <v>142.0</v>
      </c>
      <c r="B143" s="5" t="s">
        <v>443</v>
      </c>
      <c r="C143" s="5" t="s">
        <v>20</v>
      </c>
      <c r="K143" s="5">
        <v>1000.0</v>
      </c>
      <c r="N143" s="8">
        <v>44766.0</v>
      </c>
    </row>
    <row r="144">
      <c r="A144" s="5">
        <v>143.0</v>
      </c>
      <c r="B144" s="5" t="s">
        <v>445</v>
      </c>
      <c r="C144" s="5" t="s">
        <v>20</v>
      </c>
      <c r="K144" s="5">
        <v>20.0</v>
      </c>
      <c r="N144" s="8">
        <v>45873.0</v>
      </c>
    </row>
    <row r="145">
      <c r="A145" s="5">
        <v>144.0</v>
      </c>
      <c r="B145" s="5" t="s">
        <v>447</v>
      </c>
      <c r="C145" s="5" t="s">
        <v>20</v>
      </c>
      <c r="K145" s="5">
        <v>70.0</v>
      </c>
      <c r="N145" s="8">
        <v>44397.0</v>
      </c>
    </row>
    <row r="146">
      <c r="A146" s="5">
        <v>145.0</v>
      </c>
      <c r="B146" s="5" t="s">
        <v>449</v>
      </c>
      <c r="C146" s="5" t="s">
        <v>20</v>
      </c>
      <c r="K146" s="5">
        <v>150.0</v>
      </c>
      <c r="N146" s="8">
        <v>44592.0</v>
      </c>
    </row>
    <row r="147">
      <c r="A147" s="5">
        <v>146.0</v>
      </c>
      <c r="B147" s="5" t="s">
        <v>452</v>
      </c>
      <c r="C147" s="5" t="s">
        <v>20</v>
      </c>
      <c r="K147" s="5">
        <v>100.0</v>
      </c>
      <c r="N147" s="8">
        <v>45056.0</v>
      </c>
    </row>
    <row r="148">
      <c r="A148" s="5">
        <v>147.0</v>
      </c>
      <c r="B148" s="5" t="s">
        <v>454</v>
      </c>
      <c r="C148" s="5" t="s">
        <v>20</v>
      </c>
      <c r="K148" s="5">
        <v>90.0</v>
      </c>
      <c r="N148" s="8">
        <v>45783.0</v>
      </c>
    </row>
    <row r="149">
      <c r="A149" s="5">
        <v>148.0</v>
      </c>
      <c r="B149" s="5" t="s">
        <v>456</v>
      </c>
      <c r="C149" s="5" t="s">
        <v>20</v>
      </c>
      <c r="K149" s="5">
        <v>450.0</v>
      </c>
      <c r="N149" s="8">
        <v>44377.0</v>
      </c>
    </row>
    <row r="150">
      <c r="A150" s="5">
        <v>149.0</v>
      </c>
      <c r="B150" s="5" t="s">
        <v>459</v>
      </c>
      <c r="C150" s="5" t="s">
        <v>20</v>
      </c>
      <c r="K150" s="5">
        <v>400.0</v>
      </c>
      <c r="N150" s="8">
        <v>45255.0</v>
      </c>
    </row>
    <row r="151">
      <c r="A151" s="5">
        <v>150.0</v>
      </c>
      <c r="B151" s="5" t="s">
        <v>461</v>
      </c>
      <c r="C151" s="5" t="s">
        <v>20</v>
      </c>
      <c r="K151" s="5">
        <v>700.0</v>
      </c>
      <c r="N151" s="8">
        <v>46084.0</v>
      </c>
    </row>
    <row r="152">
      <c r="A152" s="5">
        <v>151.0</v>
      </c>
      <c r="B152" s="5" t="s">
        <v>463</v>
      </c>
      <c r="C152" s="5" t="s">
        <v>20</v>
      </c>
      <c r="K152" s="5">
        <v>70.0</v>
      </c>
      <c r="N152" s="8">
        <v>44945.0</v>
      </c>
    </row>
    <row r="153">
      <c r="A153" s="5">
        <v>152.0</v>
      </c>
      <c r="B153" s="5" t="s">
        <v>466</v>
      </c>
      <c r="C153" s="5" t="s">
        <v>20</v>
      </c>
      <c r="K153" s="5">
        <v>150.0</v>
      </c>
      <c r="N153" s="8">
        <v>44846.0</v>
      </c>
    </row>
    <row r="154">
      <c r="A154" s="5">
        <v>153.0</v>
      </c>
      <c r="B154" s="5" t="s">
        <v>470</v>
      </c>
      <c r="C154" s="5" t="s">
        <v>20</v>
      </c>
      <c r="K154" s="5">
        <v>450.0</v>
      </c>
      <c r="N154" s="8">
        <v>44606.0</v>
      </c>
    </row>
    <row r="155">
      <c r="A155" s="5">
        <v>154.0</v>
      </c>
      <c r="B155" s="5" t="s">
        <v>475</v>
      </c>
      <c r="C155" s="5" t="s">
        <v>20</v>
      </c>
      <c r="N155" s="8">
        <v>44212.0</v>
      </c>
    </row>
    <row r="156">
      <c r="A156" s="5">
        <v>155.0</v>
      </c>
      <c r="B156" s="5" t="s">
        <v>477</v>
      </c>
      <c r="C156" s="5" t="s">
        <v>20</v>
      </c>
      <c r="K156" s="5">
        <v>70.0</v>
      </c>
      <c r="N156" s="8">
        <v>44648.0</v>
      </c>
    </row>
    <row r="157">
      <c r="A157" s="5">
        <v>156.0</v>
      </c>
      <c r="B157" s="5" t="s">
        <v>479</v>
      </c>
      <c r="C157" s="5" t="s">
        <v>20</v>
      </c>
      <c r="K157" s="5">
        <v>150.0</v>
      </c>
      <c r="N157" s="8">
        <v>44497.0</v>
      </c>
    </row>
    <row r="158">
      <c r="A158" s="5">
        <v>157.0</v>
      </c>
      <c r="B158" s="5" t="s">
        <v>482</v>
      </c>
      <c r="C158" s="5" t="s">
        <v>20</v>
      </c>
      <c r="K158" s="5">
        <v>10.0</v>
      </c>
      <c r="N158" s="8">
        <v>45020.0</v>
      </c>
    </row>
    <row r="159">
      <c r="A159" s="5">
        <v>158.0</v>
      </c>
      <c r="B159" s="5" t="s">
        <v>484</v>
      </c>
      <c r="C159" s="5" t="s">
        <v>20</v>
      </c>
      <c r="K159" s="5">
        <v>150.0</v>
      </c>
      <c r="N159" s="8">
        <v>44182.0</v>
      </c>
    </row>
    <row r="160">
      <c r="A160" s="5">
        <v>159.0</v>
      </c>
      <c r="B160" s="5" t="s">
        <v>486</v>
      </c>
      <c r="C160" s="5" t="s">
        <v>20</v>
      </c>
      <c r="K160" s="5">
        <v>10.0</v>
      </c>
      <c r="N160" s="8">
        <v>44272.0</v>
      </c>
    </row>
    <row r="161">
      <c r="A161" s="5">
        <v>160.0</v>
      </c>
      <c r="B161" s="5" t="s">
        <v>490</v>
      </c>
      <c r="C161" s="5" t="s">
        <v>20</v>
      </c>
      <c r="K161" s="5">
        <v>1000.0</v>
      </c>
      <c r="N161" s="8">
        <v>44706.0</v>
      </c>
    </row>
    <row r="162">
      <c r="A162" s="5">
        <v>161.0</v>
      </c>
      <c r="B162" s="5" t="s">
        <v>496</v>
      </c>
      <c r="C162" s="5" t="s">
        <v>20</v>
      </c>
      <c r="K162" s="5">
        <v>200.0</v>
      </c>
      <c r="N162" s="8">
        <v>44610.0</v>
      </c>
    </row>
    <row r="163">
      <c r="A163" s="5">
        <v>162.0</v>
      </c>
      <c r="B163" s="5" t="s">
        <v>500</v>
      </c>
      <c r="C163" s="5" t="s">
        <v>20</v>
      </c>
      <c r="K163" s="5">
        <v>200.0</v>
      </c>
      <c r="N163" s="8">
        <v>44911.0</v>
      </c>
    </row>
    <row r="164">
      <c r="A164" s="5">
        <v>163.0</v>
      </c>
      <c r="B164" s="5" t="s">
        <v>55</v>
      </c>
      <c r="C164" s="5" t="s">
        <v>20</v>
      </c>
      <c r="N164" s="8">
        <v>44982.0</v>
      </c>
    </row>
    <row r="165">
      <c r="A165" s="5">
        <v>164.0</v>
      </c>
      <c r="B165" s="5" t="s">
        <v>505</v>
      </c>
      <c r="C165" s="5" t="s">
        <v>20</v>
      </c>
      <c r="K165" s="5">
        <v>1100.0</v>
      </c>
      <c r="N165" s="8">
        <v>42307.0</v>
      </c>
    </row>
    <row r="166">
      <c r="A166" s="5">
        <v>165.0</v>
      </c>
      <c r="B166" s="5" t="s">
        <v>508</v>
      </c>
      <c r="C166" s="5" t="s">
        <v>20</v>
      </c>
      <c r="K166" s="5">
        <v>350.0</v>
      </c>
      <c r="N166" s="8">
        <v>45428.0</v>
      </c>
    </row>
    <row r="167">
      <c r="A167" s="5">
        <v>166.0</v>
      </c>
      <c r="B167" s="5" t="s">
        <v>511</v>
      </c>
      <c r="C167" s="5" t="s">
        <v>20</v>
      </c>
      <c r="K167" s="5">
        <v>10.0</v>
      </c>
      <c r="N167" s="8">
        <v>45413.0</v>
      </c>
    </row>
    <row r="168">
      <c r="A168" s="5">
        <v>167.0</v>
      </c>
      <c r="B168" s="5" t="s">
        <v>514</v>
      </c>
      <c r="C168" s="5" t="s">
        <v>20</v>
      </c>
      <c r="N168" s="8">
        <v>44722.0</v>
      </c>
    </row>
    <row r="169">
      <c r="A169" s="5">
        <v>168.0</v>
      </c>
      <c r="B169" s="5" t="s">
        <v>517</v>
      </c>
      <c r="C169" s="5" t="s">
        <v>20</v>
      </c>
      <c r="N169" s="8">
        <v>44948.0</v>
      </c>
    </row>
    <row r="170">
      <c r="A170" s="5">
        <v>169.0</v>
      </c>
      <c r="B170" s="5" t="s">
        <v>523</v>
      </c>
      <c r="C170" s="5" t="s">
        <v>20</v>
      </c>
      <c r="N170" s="8">
        <v>44056.0</v>
      </c>
    </row>
    <row r="171">
      <c r="A171" s="5">
        <v>170.0</v>
      </c>
      <c r="B171" s="5" t="s">
        <v>526</v>
      </c>
      <c r="C171" s="5" t="s">
        <v>20</v>
      </c>
      <c r="K171" s="5">
        <v>60.0</v>
      </c>
      <c r="N171" s="8">
        <v>44910.0</v>
      </c>
    </row>
    <row r="172">
      <c r="A172" s="5">
        <v>171.0</v>
      </c>
      <c r="B172" s="5" t="s">
        <v>528</v>
      </c>
      <c r="C172" s="5" t="s">
        <v>20</v>
      </c>
      <c r="K172" s="5">
        <v>100.0</v>
      </c>
      <c r="N172" s="8">
        <v>44567.0</v>
      </c>
    </row>
    <row r="173">
      <c r="A173" s="5">
        <v>172.0</v>
      </c>
      <c r="B173" s="5" t="s">
        <v>534</v>
      </c>
      <c r="C173" s="5" t="s">
        <v>20</v>
      </c>
      <c r="N173" s="8">
        <v>44287.0</v>
      </c>
    </row>
    <row r="174">
      <c r="A174" s="5">
        <v>173.0</v>
      </c>
      <c r="B174" s="5" t="s">
        <v>537</v>
      </c>
      <c r="C174" s="5" t="s">
        <v>20</v>
      </c>
      <c r="N174" s="8">
        <v>44963.0</v>
      </c>
    </row>
    <row r="175">
      <c r="A175" s="5">
        <v>174.0</v>
      </c>
      <c r="B175" s="5" t="s">
        <v>541</v>
      </c>
      <c r="C175" s="5" t="s">
        <v>20</v>
      </c>
      <c r="K175" s="5">
        <v>30.0</v>
      </c>
      <c r="N175" s="8">
        <v>43892.0</v>
      </c>
    </row>
    <row r="176">
      <c r="A176" s="5">
        <v>175.0</v>
      </c>
      <c r="B176" s="5" t="s">
        <v>546</v>
      </c>
      <c r="C176" s="5" t="s">
        <v>20</v>
      </c>
      <c r="K176" s="5">
        <v>200.0</v>
      </c>
      <c r="N176" s="8">
        <v>43995.0</v>
      </c>
    </row>
    <row r="177">
      <c r="A177" s="5">
        <v>176.0</v>
      </c>
      <c r="B177" s="5" t="s">
        <v>548</v>
      </c>
      <c r="C177" s="5" t="s">
        <v>20</v>
      </c>
      <c r="K177" s="5">
        <v>100.0</v>
      </c>
      <c r="N177" s="8">
        <v>43933.0</v>
      </c>
    </row>
    <row r="178">
      <c r="A178" s="5">
        <v>177.0</v>
      </c>
      <c r="B178" s="5" t="s">
        <v>551</v>
      </c>
      <c r="C178" s="5" t="s">
        <v>20</v>
      </c>
      <c r="N178" s="8">
        <v>44619.0</v>
      </c>
    </row>
    <row r="179">
      <c r="A179" s="5">
        <v>178.0</v>
      </c>
      <c r="B179" s="5" t="s">
        <v>553</v>
      </c>
      <c r="C179" s="5" t="s">
        <v>20</v>
      </c>
      <c r="K179" s="5">
        <v>30.0</v>
      </c>
      <c r="N179" s="8">
        <v>44200.0</v>
      </c>
    </row>
    <row r="180">
      <c r="A180" s="5">
        <v>179.0</v>
      </c>
      <c r="B180" s="5" t="s">
        <v>557</v>
      </c>
      <c r="C180" s="5" t="s">
        <v>20</v>
      </c>
      <c r="N180" s="8">
        <v>44702.0</v>
      </c>
    </row>
    <row r="181">
      <c r="A181" s="5">
        <v>180.0</v>
      </c>
      <c r="B181" s="5" t="s">
        <v>560</v>
      </c>
      <c r="C181" s="5" t="s">
        <v>20</v>
      </c>
      <c r="K181" s="5">
        <v>1400.0</v>
      </c>
      <c r="N181" s="8">
        <v>44204.0</v>
      </c>
    </row>
    <row r="182">
      <c r="A182" s="5">
        <v>181.0</v>
      </c>
      <c r="B182" s="5" t="s">
        <v>562</v>
      </c>
      <c r="C182" s="5" t="s">
        <v>20</v>
      </c>
      <c r="N182" s="8">
        <v>45335.0</v>
      </c>
    </row>
    <row r="183">
      <c r="A183" s="5">
        <v>182.0</v>
      </c>
      <c r="B183" s="5" t="s">
        <v>566</v>
      </c>
      <c r="C183" s="5" t="s">
        <v>20</v>
      </c>
      <c r="K183" s="5">
        <v>500.0</v>
      </c>
      <c r="N183" s="8">
        <v>45786.0</v>
      </c>
    </row>
    <row r="184">
      <c r="A184" s="5">
        <v>183.0</v>
      </c>
      <c r="B184" s="5" t="s">
        <v>570</v>
      </c>
      <c r="C184" s="5" t="s">
        <v>20</v>
      </c>
      <c r="K184" s="5">
        <v>10.0</v>
      </c>
      <c r="N184" s="8">
        <v>44556.0</v>
      </c>
    </row>
    <row r="185">
      <c r="A185" s="5">
        <v>184.0</v>
      </c>
      <c r="B185" s="5" t="s">
        <v>575</v>
      </c>
      <c r="C185" s="5" t="s">
        <v>20</v>
      </c>
      <c r="K185" s="5">
        <v>20.0</v>
      </c>
      <c r="N185" s="8">
        <v>45034.0</v>
      </c>
    </row>
    <row r="186">
      <c r="A186" s="5">
        <v>185.0</v>
      </c>
      <c r="B186" s="5" t="s">
        <v>578</v>
      </c>
      <c r="C186" s="5" t="s">
        <v>20</v>
      </c>
      <c r="K186" s="5">
        <v>30.0</v>
      </c>
      <c r="N186" s="8">
        <v>44549.0</v>
      </c>
    </row>
    <row r="187">
      <c r="A187" s="5">
        <v>186.0</v>
      </c>
      <c r="B187" s="5" t="s">
        <v>581</v>
      </c>
      <c r="C187" s="5" t="s">
        <v>20</v>
      </c>
      <c r="K187" s="5">
        <v>150.0</v>
      </c>
      <c r="N187" s="8">
        <v>45156.0</v>
      </c>
    </row>
    <row r="188">
      <c r="A188" s="5">
        <v>187.0</v>
      </c>
      <c r="B188" s="5" t="s">
        <v>585</v>
      </c>
      <c r="C188" s="5" t="s">
        <v>20</v>
      </c>
      <c r="K188" s="5">
        <v>250.0</v>
      </c>
      <c r="N188" s="8">
        <v>44194.0</v>
      </c>
    </row>
    <row r="189">
      <c r="A189" s="5">
        <v>188.0</v>
      </c>
      <c r="B189" s="5" t="s">
        <v>588</v>
      </c>
      <c r="C189" s="5" t="s">
        <v>20</v>
      </c>
      <c r="K189" s="5">
        <v>40.0</v>
      </c>
      <c r="N189" s="8">
        <v>44873.0</v>
      </c>
    </row>
    <row r="190">
      <c r="A190" s="5">
        <v>189.0</v>
      </c>
      <c r="B190" s="5" t="s">
        <v>591</v>
      </c>
      <c r="C190" s="5" t="s">
        <v>20</v>
      </c>
      <c r="K190" s="5">
        <v>1700.0</v>
      </c>
      <c r="N190" s="8">
        <v>44100.0</v>
      </c>
    </row>
    <row r="191">
      <c r="A191" s="5">
        <v>190.0</v>
      </c>
      <c r="B191" s="5" t="s">
        <v>595</v>
      </c>
      <c r="C191" s="5" t="s">
        <v>20</v>
      </c>
      <c r="K191" s="5">
        <v>200.0</v>
      </c>
      <c r="N191" s="8">
        <v>44041.0</v>
      </c>
    </row>
    <row r="192">
      <c r="A192" s="5">
        <v>191.0</v>
      </c>
      <c r="B192" s="5" t="s">
        <v>597</v>
      </c>
      <c r="C192" s="5" t="s">
        <v>20</v>
      </c>
      <c r="K192" s="5">
        <v>1200.0</v>
      </c>
      <c r="N192" s="8">
        <v>44504.0</v>
      </c>
    </row>
    <row r="193">
      <c r="A193" s="5">
        <v>192.0</v>
      </c>
      <c r="B193" s="5" t="s">
        <v>600</v>
      </c>
      <c r="C193" s="5" t="s">
        <v>20</v>
      </c>
      <c r="K193" s="5">
        <v>700.0</v>
      </c>
      <c r="N193" s="8">
        <v>44239.0</v>
      </c>
    </row>
    <row r="194">
      <c r="A194" s="5">
        <v>193.0</v>
      </c>
      <c r="B194" s="5" t="s">
        <v>605</v>
      </c>
      <c r="C194" s="5" t="s">
        <v>20</v>
      </c>
      <c r="K194" s="5">
        <v>500.0</v>
      </c>
      <c r="N194" s="8">
        <v>45940.0</v>
      </c>
    </row>
    <row r="195">
      <c r="A195" s="5">
        <v>194.0</v>
      </c>
      <c r="B195" s="5" t="s">
        <v>608</v>
      </c>
      <c r="C195" s="5" t="s">
        <v>20</v>
      </c>
      <c r="N195" s="8">
        <v>44649.0</v>
      </c>
    </row>
    <row r="196">
      <c r="A196" s="5">
        <v>195.0</v>
      </c>
      <c r="B196" s="5" t="s">
        <v>610</v>
      </c>
      <c r="C196" s="5" t="s">
        <v>20</v>
      </c>
      <c r="K196" s="5">
        <v>4800.0</v>
      </c>
      <c r="N196" s="8">
        <v>45968.0</v>
      </c>
    </row>
    <row r="197">
      <c r="A197" s="5">
        <v>196.0</v>
      </c>
      <c r="B197" s="5" t="s">
        <v>615</v>
      </c>
      <c r="C197" s="5" t="s">
        <v>20</v>
      </c>
      <c r="K197" s="5">
        <v>100.0</v>
      </c>
      <c r="N197" s="8">
        <v>44366.0</v>
      </c>
    </row>
    <row r="198">
      <c r="A198" s="5">
        <v>197.0</v>
      </c>
      <c r="B198" s="5" t="s">
        <v>619</v>
      </c>
      <c r="C198" s="5" t="s">
        <v>20</v>
      </c>
      <c r="K198" s="5">
        <v>500.0</v>
      </c>
      <c r="N198" s="8">
        <v>44417.0</v>
      </c>
      <c r="O198" s="5" t="s">
        <v>22</v>
      </c>
      <c r="P198" s="5" t="s">
        <v>23</v>
      </c>
      <c r="S198" s="5" t="s">
        <v>26</v>
      </c>
    </row>
    <row r="199">
      <c r="A199" s="5">
        <v>198.0</v>
      </c>
      <c r="B199" s="5" t="s">
        <v>624</v>
      </c>
      <c r="C199" s="5" t="s">
        <v>20</v>
      </c>
      <c r="K199" s="5">
        <v>80.0</v>
      </c>
      <c r="N199" s="8">
        <v>45286.0</v>
      </c>
    </row>
    <row r="200">
      <c r="A200" s="5">
        <v>199.0</v>
      </c>
      <c r="B200" s="5" t="s">
        <v>627</v>
      </c>
      <c r="C200" s="5" t="s">
        <v>20</v>
      </c>
      <c r="N200" s="8">
        <v>45028.0</v>
      </c>
    </row>
    <row r="201">
      <c r="A201" s="5">
        <v>200.0</v>
      </c>
      <c r="B201" s="5" t="s">
        <v>631</v>
      </c>
      <c r="C201" s="5" t="s">
        <v>20</v>
      </c>
      <c r="N201" s="8">
        <v>44036.0</v>
      </c>
    </row>
    <row r="202">
      <c r="A202" s="5">
        <v>201.0</v>
      </c>
      <c r="B202" s="5" t="s">
        <v>633</v>
      </c>
      <c r="C202" s="5" t="s">
        <v>20</v>
      </c>
      <c r="K202" s="5">
        <v>60.0</v>
      </c>
      <c r="N202" s="8">
        <v>44207.0</v>
      </c>
    </row>
    <row r="203">
      <c r="A203" s="5">
        <v>202.0</v>
      </c>
      <c r="B203" s="5" t="s">
        <v>638</v>
      </c>
      <c r="C203" s="5" t="s">
        <v>20</v>
      </c>
      <c r="K203" s="5">
        <v>150.0</v>
      </c>
      <c r="N203" s="8">
        <v>45625.0</v>
      </c>
    </row>
    <row r="204">
      <c r="A204" s="5">
        <v>203.0</v>
      </c>
      <c r="B204" s="5" t="s">
        <v>641</v>
      </c>
      <c r="C204" s="5" t="s">
        <v>20</v>
      </c>
      <c r="K204" s="5">
        <v>1700.0</v>
      </c>
      <c r="N204" s="8">
        <v>44350.0</v>
      </c>
    </row>
    <row r="205">
      <c r="A205" s="5">
        <v>204.0</v>
      </c>
      <c r="B205" s="5" t="s">
        <v>99</v>
      </c>
      <c r="C205" s="5" t="s">
        <v>20</v>
      </c>
      <c r="K205" s="5">
        <v>150.0</v>
      </c>
      <c r="N205" s="8">
        <v>44047.0</v>
      </c>
    </row>
    <row r="206">
      <c r="A206" s="5">
        <v>205.0</v>
      </c>
      <c r="B206" s="5" t="s">
        <v>645</v>
      </c>
      <c r="C206" s="5" t="s">
        <v>20</v>
      </c>
      <c r="K206" s="5">
        <v>20.0</v>
      </c>
      <c r="N206" s="8">
        <v>44058.0</v>
      </c>
    </row>
    <row r="207">
      <c r="A207" s="5">
        <v>206.0</v>
      </c>
      <c r="B207" s="5" t="s">
        <v>647</v>
      </c>
      <c r="C207" s="5" t="s">
        <v>20</v>
      </c>
      <c r="K207" s="5">
        <v>150.0</v>
      </c>
      <c r="N207" s="8">
        <v>44035.0</v>
      </c>
    </row>
    <row r="208">
      <c r="A208" s="5">
        <v>207.0</v>
      </c>
      <c r="B208" s="5" t="s">
        <v>650</v>
      </c>
      <c r="C208" s="5" t="s">
        <v>20</v>
      </c>
      <c r="K208" s="5">
        <v>50.0</v>
      </c>
      <c r="N208" s="8">
        <v>44754.0</v>
      </c>
    </row>
    <row r="209">
      <c r="A209" s="5">
        <v>208.0</v>
      </c>
      <c r="B209" s="5" t="s">
        <v>652</v>
      </c>
      <c r="C209" s="5" t="s">
        <v>20</v>
      </c>
      <c r="K209" s="5">
        <v>20.0</v>
      </c>
      <c r="N209" s="8">
        <v>44092.0</v>
      </c>
    </row>
    <row r="210">
      <c r="A210" s="5">
        <v>209.0</v>
      </c>
      <c r="B210" s="5" t="s">
        <v>656</v>
      </c>
      <c r="C210" s="5" t="s">
        <v>20</v>
      </c>
      <c r="N210" s="8">
        <v>44341.0</v>
      </c>
    </row>
    <row r="211">
      <c r="A211" s="5">
        <v>210.0</v>
      </c>
      <c r="B211" s="5" t="s">
        <v>56</v>
      </c>
      <c r="C211" s="5" t="s">
        <v>20</v>
      </c>
      <c r="K211" s="5">
        <v>10.0</v>
      </c>
      <c r="N211" s="8">
        <v>44576.0</v>
      </c>
    </row>
    <row r="212">
      <c r="A212" s="5">
        <v>211.0</v>
      </c>
      <c r="B212" s="5" t="s">
        <v>660</v>
      </c>
      <c r="C212" s="5" t="s">
        <v>20</v>
      </c>
      <c r="K212" s="5">
        <v>250.0</v>
      </c>
      <c r="N212" s="8">
        <v>44571.0</v>
      </c>
    </row>
    <row r="213">
      <c r="A213" s="5">
        <v>212.0</v>
      </c>
      <c r="B213" s="5" t="s">
        <v>663</v>
      </c>
      <c r="C213" s="5" t="s">
        <v>20</v>
      </c>
      <c r="K213" s="5">
        <v>40.0</v>
      </c>
      <c r="N213" s="8">
        <v>44664.0</v>
      </c>
    </row>
    <row r="214">
      <c r="A214" s="5">
        <v>213.0</v>
      </c>
      <c r="B214" s="5" t="s">
        <v>668</v>
      </c>
      <c r="C214" s="5" t="s">
        <v>20</v>
      </c>
      <c r="K214" s="5">
        <v>30.0</v>
      </c>
      <c r="N214" s="8">
        <v>44904.0</v>
      </c>
    </row>
    <row r="215">
      <c r="A215" s="5">
        <v>214.0</v>
      </c>
      <c r="B215" s="5" t="s">
        <v>671</v>
      </c>
      <c r="C215" s="5" t="s">
        <v>20</v>
      </c>
      <c r="K215" s="5">
        <v>11000.0</v>
      </c>
      <c r="N215" s="8">
        <v>44710.0</v>
      </c>
    </row>
    <row r="216">
      <c r="A216" s="5">
        <v>215.0</v>
      </c>
      <c r="B216" s="5" t="s">
        <v>675</v>
      </c>
      <c r="C216" s="5" t="s">
        <v>20</v>
      </c>
      <c r="K216" s="5">
        <v>600.0</v>
      </c>
      <c r="N216" s="8">
        <v>44555.0</v>
      </c>
    </row>
    <row r="217">
      <c r="A217" s="5">
        <v>216.0</v>
      </c>
      <c r="B217" s="5" t="s">
        <v>679</v>
      </c>
      <c r="C217" s="5" t="s">
        <v>20</v>
      </c>
      <c r="K217" s="5">
        <v>10.0</v>
      </c>
      <c r="N217" s="8">
        <v>46132.0</v>
      </c>
    </row>
    <row r="218">
      <c r="A218" s="5">
        <v>217.0</v>
      </c>
      <c r="B218" s="5" t="s">
        <v>682</v>
      </c>
      <c r="C218" s="5" t="s">
        <v>20</v>
      </c>
      <c r="K218" s="5">
        <v>20.0</v>
      </c>
      <c r="N218" s="8">
        <v>44861.0</v>
      </c>
    </row>
    <row r="219">
      <c r="A219" s="5">
        <v>218.0</v>
      </c>
      <c r="B219" s="5" t="s">
        <v>685</v>
      </c>
      <c r="C219" s="5" t="s">
        <v>20</v>
      </c>
      <c r="K219" s="5">
        <v>30.0</v>
      </c>
      <c r="N219" s="8">
        <v>44929.0</v>
      </c>
    </row>
    <row r="220">
      <c r="A220" s="5">
        <v>219.0</v>
      </c>
      <c r="B220" s="5" t="s">
        <v>689</v>
      </c>
      <c r="C220" s="5" t="s">
        <v>20</v>
      </c>
      <c r="K220" s="5">
        <v>350.0</v>
      </c>
      <c r="N220" s="8">
        <v>44211.0</v>
      </c>
    </row>
    <row r="221">
      <c r="A221" s="5">
        <v>220.0</v>
      </c>
      <c r="B221" s="5" t="s">
        <v>691</v>
      </c>
      <c r="C221" s="5" t="s">
        <v>20</v>
      </c>
      <c r="K221" s="5">
        <v>90.0</v>
      </c>
      <c r="N221" s="8">
        <v>44114.0</v>
      </c>
    </row>
    <row r="222">
      <c r="A222" s="5">
        <v>221.0</v>
      </c>
      <c r="B222" s="5" t="s">
        <v>694</v>
      </c>
      <c r="C222" s="5" t="s">
        <v>20</v>
      </c>
      <c r="K222" s="5">
        <v>100.0</v>
      </c>
      <c r="N222" s="8">
        <v>44200.0</v>
      </c>
    </row>
    <row r="223">
      <c r="A223" s="5">
        <v>222.0</v>
      </c>
      <c r="B223" s="5" t="s">
        <v>697</v>
      </c>
      <c r="C223" s="5" t="s">
        <v>20</v>
      </c>
      <c r="K223" s="5">
        <v>10.0</v>
      </c>
      <c r="N223" s="8">
        <v>44378.0</v>
      </c>
    </row>
    <row r="224">
      <c r="A224" s="5">
        <v>223.0</v>
      </c>
      <c r="B224" s="5" t="s">
        <v>700</v>
      </c>
      <c r="C224" s="5" t="s">
        <v>20</v>
      </c>
      <c r="K224" s="5">
        <v>350.0</v>
      </c>
      <c r="N224" s="8">
        <v>43998.0</v>
      </c>
    </row>
    <row r="225">
      <c r="A225" s="5">
        <v>224.0</v>
      </c>
      <c r="B225" s="5" t="s">
        <v>57</v>
      </c>
      <c r="C225" s="5" t="s">
        <v>20</v>
      </c>
      <c r="K225" s="5">
        <v>900.0</v>
      </c>
      <c r="N225" s="8">
        <v>44374.0</v>
      </c>
    </row>
    <row r="226">
      <c r="A226" s="5">
        <v>225.0</v>
      </c>
      <c r="B226" s="5" t="s">
        <v>703</v>
      </c>
      <c r="C226" s="5" t="s">
        <v>20</v>
      </c>
      <c r="N226" s="8">
        <v>44781.0</v>
      </c>
    </row>
    <row r="227">
      <c r="A227" s="5">
        <v>226.0</v>
      </c>
      <c r="B227" s="5" t="s">
        <v>704</v>
      </c>
      <c r="C227" s="5" t="s">
        <v>20</v>
      </c>
      <c r="K227" s="5">
        <v>500.0</v>
      </c>
      <c r="N227" s="8">
        <v>44652.0</v>
      </c>
    </row>
    <row r="228">
      <c r="A228" s="5">
        <v>227.0</v>
      </c>
      <c r="B228" s="5" t="s">
        <v>58</v>
      </c>
      <c r="C228" s="5" t="s">
        <v>20</v>
      </c>
      <c r="K228" s="5">
        <v>10.0</v>
      </c>
      <c r="N228" s="8">
        <v>44064.0</v>
      </c>
    </row>
    <row r="229">
      <c r="A229" s="5">
        <v>228.0</v>
      </c>
      <c r="B229" s="5" t="s">
        <v>102</v>
      </c>
      <c r="C229" s="5" t="s">
        <v>20</v>
      </c>
      <c r="K229" s="5">
        <v>20.0</v>
      </c>
      <c r="N229" s="8">
        <v>44325.0</v>
      </c>
    </row>
    <row r="230">
      <c r="A230" s="5">
        <v>229.0</v>
      </c>
      <c r="B230" s="5" t="s">
        <v>706</v>
      </c>
      <c r="C230" s="5" t="s">
        <v>20</v>
      </c>
      <c r="K230" s="5">
        <v>350.0</v>
      </c>
      <c r="N230" s="8">
        <v>43850.0</v>
      </c>
    </row>
    <row r="231">
      <c r="A231" s="5">
        <v>230.0</v>
      </c>
      <c r="B231" s="5" t="s">
        <v>708</v>
      </c>
      <c r="C231" s="5" t="s">
        <v>20</v>
      </c>
      <c r="K231" s="5">
        <v>1300.0</v>
      </c>
      <c r="N231" s="8">
        <v>44045.0</v>
      </c>
      <c r="O231" s="5" t="s">
        <v>22</v>
      </c>
      <c r="P231" s="5" t="s">
        <v>23</v>
      </c>
      <c r="S231" s="5" t="s">
        <v>32</v>
      </c>
    </row>
    <row r="232">
      <c r="A232" s="5">
        <v>231.0</v>
      </c>
      <c r="B232" s="5" t="s">
        <v>711</v>
      </c>
      <c r="C232" s="5" t="s">
        <v>20</v>
      </c>
      <c r="N232" s="8">
        <v>44531.0</v>
      </c>
    </row>
    <row r="233">
      <c r="A233" s="5">
        <v>232.0</v>
      </c>
      <c r="B233" s="5" t="s">
        <v>712</v>
      </c>
      <c r="C233" s="5" t="s">
        <v>20</v>
      </c>
      <c r="K233" s="5">
        <v>10.0</v>
      </c>
      <c r="N233" s="8">
        <v>45380.0</v>
      </c>
    </row>
    <row r="234">
      <c r="A234" s="5">
        <v>233.0</v>
      </c>
      <c r="B234" s="5" t="s">
        <v>714</v>
      </c>
      <c r="C234" s="5" t="s">
        <v>20</v>
      </c>
      <c r="K234" s="5">
        <v>150.0</v>
      </c>
      <c r="N234" s="8">
        <v>44190.0</v>
      </c>
    </row>
    <row r="235">
      <c r="A235" s="5">
        <v>234.0</v>
      </c>
      <c r="B235" s="5" t="s">
        <v>716</v>
      </c>
      <c r="C235" s="5" t="s">
        <v>20</v>
      </c>
      <c r="K235" s="5">
        <v>90.0</v>
      </c>
      <c r="N235" s="8">
        <v>45075.0</v>
      </c>
    </row>
    <row r="236">
      <c r="A236" s="5">
        <v>235.0</v>
      </c>
      <c r="B236" s="5" t="s">
        <v>717</v>
      </c>
      <c r="C236" s="5" t="s">
        <v>20</v>
      </c>
      <c r="K236" s="5">
        <v>10.0</v>
      </c>
      <c r="N236" s="8">
        <v>44593.0</v>
      </c>
    </row>
    <row r="237">
      <c r="A237" s="5">
        <v>236.0</v>
      </c>
      <c r="B237" s="5" t="s">
        <v>720</v>
      </c>
      <c r="C237" s="5" t="s">
        <v>20</v>
      </c>
      <c r="K237" s="5">
        <v>900.0</v>
      </c>
      <c r="N237" s="8">
        <v>45431.0</v>
      </c>
    </row>
    <row r="238">
      <c r="A238" s="5">
        <v>237.0</v>
      </c>
      <c r="B238" s="5" t="s">
        <v>723</v>
      </c>
      <c r="C238" s="5" t="s">
        <v>20</v>
      </c>
      <c r="K238" s="5">
        <v>150.0</v>
      </c>
      <c r="N238" s="8">
        <v>44480.0</v>
      </c>
    </row>
    <row r="239">
      <c r="A239" s="5">
        <v>238.0</v>
      </c>
      <c r="B239" s="5" t="s">
        <v>725</v>
      </c>
      <c r="C239" s="5" t="s">
        <v>20</v>
      </c>
      <c r="K239" s="5">
        <v>1800.0</v>
      </c>
      <c r="N239" s="8">
        <v>43895.0</v>
      </c>
    </row>
    <row r="240">
      <c r="A240" s="5">
        <v>239.0</v>
      </c>
      <c r="B240" s="5" t="s">
        <v>727</v>
      </c>
      <c r="C240" s="5" t="s">
        <v>20</v>
      </c>
      <c r="K240" s="5">
        <v>10.0</v>
      </c>
      <c r="N240" s="8">
        <v>44909.0</v>
      </c>
    </row>
    <row r="241">
      <c r="A241" s="5">
        <v>240.0</v>
      </c>
      <c r="B241" s="5" t="s">
        <v>730</v>
      </c>
      <c r="C241" s="5" t="s">
        <v>20</v>
      </c>
      <c r="K241" s="5">
        <v>50.0</v>
      </c>
      <c r="N241" s="8">
        <v>45315.0</v>
      </c>
    </row>
    <row r="242">
      <c r="A242" s="5">
        <v>241.0</v>
      </c>
      <c r="B242" s="5" t="s">
        <v>732</v>
      </c>
      <c r="C242" s="5" t="s">
        <v>20</v>
      </c>
      <c r="N242" s="8">
        <v>44338.0</v>
      </c>
    </row>
    <row r="243">
      <c r="A243" s="5">
        <v>242.0</v>
      </c>
      <c r="B243" s="5" t="s">
        <v>735</v>
      </c>
      <c r="C243" s="5" t="s">
        <v>20</v>
      </c>
      <c r="K243" s="5">
        <v>10.0</v>
      </c>
      <c r="N243" s="8">
        <v>44329.0</v>
      </c>
    </row>
    <row r="244">
      <c r="A244" s="5">
        <v>243.0</v>
      </c>
      <c r="B244" s="5" t="s">
        <v>738</v>
      </c>
      <c r="C244" s="5" t="s">
        <v>20</v>
      </c>
      <c r="K244" s="5">
        <v>20.0</v>
      </c>
      <c r="N244" s="8">
        <v>44806.0</v>
      </c>
    </row>
    <row r="245">
      <c r="A245" s="5">
        <v>244.0</v>
      </c>
      <c r="B245" s="5" t="s">
        <v>104</v>
      </c>
      <c r="C245" s="5" t="s">
        <v>20</v>
      </c>
      <c r="K245" s="5">
        <v>30.0</v>
      </c>
      <c r="N245" s="8">
        <v>44604.0</v>
      </c>
    </row>
    <row r="246">
      <c r="A246" s="5">
        <v>245.0</v>
      </c>
      <c r="B246" s="5" t="s">
        <v>739</v>
      </c>
      <c r="C246" s="5" t="s">
        <v>20</v>
      </c>
      <c r="K246" s="5">
        <v>150.0</v>
      </c>
      <c r="N246" s="8">
        <v>44189.0</v>
      </c>
    </row>
    <row r="247">
      <c r="A247" s="5">
        <v>246.0</v>
      </c>
      <c r="B247" s="5" t="s">
        <v>740</v>
      </c>
      <c r="C247" s="5" t="s">
        <v>20</v>
      </c>
      <c r="K247" s="5">
        <v>150.0</v>
      </c>
      <c r="N247" s="8">
        <v>44571.0</v>
      </c>
    </row>
    <row r="248">
      <c r="A248" s="5">
        <v>247.0</v>
      </c>
      <c r="B248" s="5" t="s">
        <v>741</v>
      </c>
      <c r="C248" s="5" t="s">
        <v>20</v>
      </c>
      <c r="K248" s="5">
        <v>50.0</v>
      </c>
      <c r="N248" s="8">
        <v>45403.0</v>
      </c>
    </row>
    <row r="249">
      <c r="A249" s="5">
        <v>248.0</v>
      </c>
      <c r="B249" s="5" t="s">
        <v>742</v>
      </c>
      <c r="C249" s="5" t="s">
        <v>20</v>
      </c>
      <c r="N249" s="8">
        <v>45397.0</v>
      </c>
    </row>
    <row r="250">
      <c r="A250" s="5">
        <v>249.0</v>
      </c>
      <c r="B250" s="5" t="s">
        <v>743</v>
      </c>
      <c r="C250" s="5" t="s">
        <v>20</v>
      </c>
      <c r="K250" s="5">
        <v>30.0</v>
      </c>
      <c r="N250" s="8">
        <v>46019.0</v>
      </c>
    </row>
    <row r="251">
      <c r="A251" s="5">
        <v>250.0</v>
      </c>
      <c r="B251" s="5" t="s">
        <v>745</v>
      </c>
      <c r="C251" s="5" t="s">
        <v>20</v>
      </c>
      <c r="K251" s="5">
        <v>300.0</v>
      </c>
      <c r="N251" s="8">
        <v>44854.0</v>
      </c>
    </row>
    <row r="252">
      <c r="A252" s="5">
        <v>251.0</v>
      </c>
      <c r="B252" s="5" t="s">
        <v>746</v>
      </c>
      <c r="C252" s="5" t="s">
        <v>20</v>
      </c>
      <c r="K252" s="5">
        <v>10.0</v>
      </c>
      <c r="N252" s="8">
        <v>44669.0</v>
      </c>
    </row>
    <row r="253">
      <c r="A253" s="5">
        <v>252.0</v>
      </c>
      <c r="B253" s="5" t="s">
        <v>748</v>
      </c>
      <c r="C253" s="5" t="s">
        <v>20</v>
      </c>
      <c r="N253" s="8">
        <v>44253.0</v>
      </c>
    </row>
    <row r="254">
      <c r="A254" s="5">
        <v>253.0</v>
      </c>
      <c r="B254" s="5" t="s">
        <v>749</v>
      </c>
      <c r="C254" s="5" t="s">
        <v>20</v>
      </c>
      <c r="N254" s="8">
        <v>45500.0</v>
      </c>
    </row>
    <row r="255">
      <c r="A255" s="5">
        <v>254.0</v>
      </c>
      <c r="B255" s="5" t="s">
        <v>750</v>
      </c>
      <c r="C255" s="5" t="s">
        <v>20</v>
      </c>
      <c r="K255" s="5">
        <v>500.0</v>
      </c>
      <c r="N255" s="8">
        <v>44139.0</v>
      </c>
    </row>
    <row r="256">
      <c r="A256" s="5">
        <v>255.0</v>
      </c>
      <c r="B256" s="5" t="s">
        <v>751</v>
      </c>
      <c r="C256" s="5" t="s">
        <v>20</v>
      </c>
      <c r="K256" s="5">
        <v>20.0</v>
      </c>
      <c r="N256" s="8">
        <v>44863.0</v>
      </c>
    </row>
    <row r="257">
      <c r="A257" s="5">
        <v>256.0</v>
      </c>
      <c r="B257" s="5" t="s">
        <v>752</v>
      </c>
      <c r="C257" s="5" t="s">
        <v>20</v>
      </c>
      <c r="K257" s="5">
        <v>500.0</v>
      </c>
      <c r="N257" s="8">
        <v>44197.0</v>
      </c>
    </row>
    <row r="258">
      <c r="A258" s="5">
        <v>257.0</v>
      </c>
      <c r="B258" s="5" t="s">
        <v>754</v>
      </c>
      <c r="C258" s="5" t="s">
        <v>20</v>
      </c>
      <c r="N258" s="8">
        <v>45407.0</v>
      </c>
    </row>
    <row r="259">
      <c r="A259" s="5">
        <v>258.0</v>
      </c>
      <c r="B259" s="5" t="s">
        <v>755</v>
      </c>
      <c r="C259" s="5" t="s">
        <v>20</v>
      </c>
      <c r="K259" s="5">
        <v>40.0</v>
      </c>
      <c r="N259" s="8">
        <v>44549.0</v>
      </c>
    </row>
    <row r="260">
      <c r="A260" s="5">
        <v>259.0</v>
      </c>
      <c r="B260" s="5" t="s">
        <v>757</v>
      </c>
      <c r="C260" s="5" t="s">
        <v>20</v>
      </c>
      <c r="K260" s="5">
        <v>150.0</v>
      </c>
      <c r="N260" s="8">
        <v>44182.0</v>
      </c>
    </row>
    <row r="261">
      <c r="A261" s="5">
        <v>260.0</v>
      </c>
      <c r="B261" s="5" t="s">
        <v>759</v>
      </c>
      <c r="C261" s="5" t="s">
        <v>20</v>
      </c>
      <c r="N261" s="8">
        <v>43888.0</v>
      </c>
    </row>
    <row r="262">
      <c r="A262" s="5">
        <v>261.0</v>
      </c>
      <c r="B262" s="5" t="s">
        <v>760</v>
      </c>
      <c r="C262" s="5" t="s">
        <v>20</v>
      </c>
      <c r="K262" s="5">
        <v>900.0</v>
      </c>
      <c r="N262" s="8">
        <v>44666.0</v>
      </c>
    </row>
    <row r="263">
      <c r="A263" s="5">
        <v>262.0</v>
      </c>
      <c r="B263" s="5" t="s">
        <v>761</v>
      </c>
      <c r="C263" s="5" t="s">
        <v>20</v>
      </c>
      <c r="K263" s="5">
        <v>450.0</v>
      </c>
      <c r="N263" s="8">
        <v>44637.0</v>
      </c>
    </row>
    <row r="264">
      <c r="A264" s="5">
        <v>263.0</v>
      </c>
      <c r="B264" s="5" t="s">
        <v>762</v>
      </c>
      <c r="C264" s="5" t="s">
        <v>20</v>
      </c>
      <c r="K264" s="5">
        <v>10.0</v>
      </c>
      <c r="N264" s="8">
        <v>44912.0</v>
      </c>
    </row>
    <row r="265">
      <c r="A265" s="5">
        <v>264.0</v>
      </c>
      <c r="B265" s="5" t="s">
        <v>764</v>
      </c>
      <c r="C265" s="5" t="s">
        <v>20</v>
      </c>
      <c r="K265" s="5">
        <v>150.0</v>
      </c>
      <c r="N265" s="8">
        <v>45400.0</v>
      </c>
    </row>
    <row r="266">
      <c r="A266" s="5">
        <v>265.0</v>
      </c>
      <c r="B266" s="5" t="s">
        <v>765</v>
      </c>
      <c r="C266" s="5" t="s">
        <v>20</v>
      </c>
      <c r="K266" s="5">
        <v>150.0</v>
      </c>
      <c r="N266" s="8">
        <v>45406.0</v>
      </c>
    </row>
    <row r="267">
      <c r="A267" s="5">
        <v>266.0</v>
      </c>
      <c r="B267" s="5" t="s">
        <v>767</v>
      </c>
      <c r="C267" s="5" t="s">
        <v>20</v>
      </c>
      <c r="K267" s="5">
        <v>350.0</v>
      </c>
      <c r="N267" s="8">
        <v>43851.0</v>
      </c>
    </row>
    <row r="268">
      <c r="A268" s="5">
        <v>267.0</v>
      </c>
      <c r="B268" s="5" t="s">
        <v>769</v>
      </c>
      <c r="C268" s="5" t="s">
        <v>20</v>
      </c>
      <c r="K268" s="5">
        <v>100.0</v>
      </c>
      <c r="N268" s="8">
        <v>44190.0</v>
      </c>
    </row>
    <row r="269">
      <c r="A269" s="5">
        <v>268.0</v>
      </c>
      <c r="B269" s="5" t="s">
        <v>771</v>
      </c>
      <c r="C269" s="5" t="s">
        <v>20</v>
      </c>
      <c r="N269" s="8">
        <v>44255.0</v>
      </c>
    </row>
    <row r="270">
      <c r="A270" s="5">
        <v>269.0</v>
      </c>
      <c r="B270" s="5" t="s">
        <v>772</v>
      </c>
      <c r="C270" s="5" t="s">
        <v>20</v>
      </c>
      <c r="N270" s="8">
        <v>44483.0</v>
      </c>
    </row>
    <row r="271">
      <c r="A271" s="5">
        <v>270.0</v>
      </c>
      <c r="B271" s="5" t="s">
        <v>773</v>
      </c>
      <c r="C271" s="5" t="s">
        <v>20</v>
      </c>
      <c r="K271" s="5">
        <v>200.0</v>
      </c>
      <c r="N271" s="8">
        <v>45019.0</v>
      </c>
    </row>
    <row r="272">
      <c r="A272" s="5">
        <v>271.0</v>
      </c>
      <c r="B272" s="5" t="s">
        <v>775</v>
      </c>
      <c r="C272" s="5" t="s">
        <v>20</v>
      </c>
      <c r="N272" s="8">
        <v>44804.0</v>
      </c>
    </row>
    <row r="273">
      <c r="A273" s="5">
        <v>272.0</v>
      </c>
      <c r="B273" s="5" t="s">
        <v>776</v>
      </c>
      <c r="C273" s="5" t="s">
        <v>20</v>
      </c>
      <c r="K273" s="5">
        <v>40.0</v>
      </c>
      <c r="N273" s="8">
        <v>46088.0</v>
      </c>
    </row>
    <row r="274">
      <c r="A274" s="5">
        <v>273.0</v>
      </c>
      <c r="B274" s="5" t="s">
        <v>778</v>
      </c>
      <c r="C274" s="5" t="s">
        <v>20</v>
      </c>
      <c r="K274" s="5">
        <v>10.0</v>
      </c>
      <c r="N274" s="8">
        <v>45303.0</v>
      </c>
    </row>
    <row r="275">
      <c r="A275" s="5">
        <v>274.0</v>
      </c>
      <c r="B275" s="5" t="s">
        <v>779</v>
      </c>
      <c r="C275" s="5" t="s">
        <v>20</v>
      </c>
      <c r="K275" s="5">
        <v>10.0</v>
      </c>
      <c r="N275" s="8">
        <v>44057.0</v>
      </c>
    </row>
    <row r="276">
      <c r="A276" s="5">
        <v>275.0</v>
      </c>
      <c r="B276" s="5" t="s">
        <v>780</v>
      </c>
      <c r="C276" s="5" t="s">
        <v>20</v>
      </c>
      <c r="N276" s="8">
        <v>45150.0</v>
      </c>
    </row>
    <row r="277">
      <c r="A277" s="5">
        <v>276.0</v>
      </c>
      <c r="B277" s="5" t="s">
        <v>781</v>
      </c>
      <c r="C277" s="5" t="s">
        <v>20</v>
      </c>
      <c r="K277" s="5">
        <v>10.0</v>
      </c>
      <c r="N277" s="8">
        <v>44283.0</v>
      </c>
    </row>
    <row r="278">
      <c r="A278" s="5">
        <v>277.0</v>
      </c>
      <c r="B278" s="5" t="s">
        <v>784</v>
      </c>
      <c r="C278" s="5" t="s">
        <v>20</v>
      </c>
      <c r="N278" s="8">
        <v>46117.0</v>
      </c>
    </row>
    <row r="279">
      <c r="A279" s="5">
        <v>278.0</v>
      </c>
      <c r="B279" s="5" t="s">
        <v>786</v>
      </c>
      <c r="C279" s="5" t="s">
        <v>20</v>
      </c>
      <c r="K279" s="5">
        <v>10.0</v>
      </c>
      <c r="N279" s="8">
        <v>44884.0</v>
      </c>
    </row>
    <row r="280">
      <c r="A280" s="5">
        <v>279.0</v>
      </c>
      <c r="B280" s="5" t="s">
        <v>788</v>
      </c>
      <c r="C280" s="5" t="s">
        <v>20</v>
      </c>
      <c r="K280" s="5">
        <v>3000.0</v>
      </c>
      <c r="N280" s="8">
        <v>45394.0</v>
      </c>
    </row>
    <row r="281">
      <c r="A281" s="5">
        <v>280.0</v>
      </c>
      <c r="B281" s="5" t="s">
        <v>789</v>
      </c>
      <c r="C281" s="5" t="s">
        <v>20</v>
      </c>
      <c r="N281" s="8">
        <v>44841.0</v>
      </c>
    </row>
    <row r="282">
      <c r="A282" s="5">
        <v>281.0</v>
      </c>
      <c r="B282" s="5" t="s">
        <v>790</v>
      </c>
      <c r="C282" s="5" t="s">
        <v>20</v>
      </c>
      <c r="K282" s="5">
        <v>250.0</v>
      </c>
      <c r="N282" s="8">
        <v>44535.0</v>
      </c>
    </row>
    <row r="283">
      <c r="A283" s="5">
        <v>282.0</v>
      </c>
      <c r="B283" s="5" t="s">
        <v>791</v>
      </c>
      <c r="C283" s="5" t="s">
        <v>20</v>
      </c>
      <c r="N283" s="8">
        <v>44033.0</v>
      </c>
    </row>
    <row r="284">
      <c r="A284" s="5">
        <v>283.0</v>
      </c>
      <c r="B284" s="5" t="s">
        <v>793</v>
      </c>
      <c r="C284" s="5" t="s">
        <v>20</v>
      </c>
      <c r="K284" s="5">
        <v>200.0</v>
      </c>
      <c r="N284" s="8">
        <v>44646.0</v>
      </c>
    </row>
    <row r="285">
      <c r="A285" s="5">
        <v>284.0</v>
      </c>
      <c r="B285" s="5" t="s">
        <v>794</v>
      </c>
      <c r="C285" s="5" t="s">
        <v>20</v>
      </c>
      <c r="K285" s="5">
        <v>10.0</v>
      </c>
      <c r="N285" s="8">
        <v>44190.0</v>
      </c>
    </row>
    <row r="286">
      <c r="A286" s="5">
        <v>285.0</v>
      </c>
      <c r="B286" s="5" t="s">
        <v>795</v>
      </c>
      <c r="C286" s="5" t="s">
        <v>20</v>
      </c>
      <c r="N286" s="8">
        <v>44034.0</v>
      </c>
    </row>
    <row r="287">
      <c r="A287" s="5">
        <v>286.0</v>
      </c>
      <c r="B287" s="5" t="s">
        <v>796</v>
      </c>
      <c r="C287" s="5" t="s">
        <v>20</v>
      </c>
      <c r="K287" s="5">
        <v>150.0</v>
      </c>
      <c r="N287" s="8">
        <v>44575.0</v>
      </c>
    </row>
    <row r="288">
      <c r="A288" s="5">
        <v>287.0</v>
      </c>
      <c r="B288" s="5" t="s">
        <v>106</v>
      </c>
      <c r="C288" s="5" t="s">
        <v>20</v>
      </c>
      <c r="K288" s="5">
        <v>60.0</v>
      </c>
      <c r="N288" s="8">
        <v>44561.0</v>
      </c>
    </row>
    <row r="289">
      <c r="A289" s="5">
        <v>288.0</v>
      </c>
      <c r="B289" s="5" t="s">
        <v>798</v>
      </c>
      <c r="C289" s="5" t="s">
        <v>20</v>
      </c>
      <c r="K289" s="5">
        <v>3300.0</v>
      </c>
      <c r="N289" s="8">
        <v>46125.0</v>
      </c>
    </row>
    <row r="290">
      <c r="A290" s="5">
        <v>289.0</v>
      </c>
      <c r="B290" s="5" t="s">
        <v>800</v>
      </c>
      <c r="C290" s="5" t="s">
        <v>20</v>
      </c>
      <c r="K290" s="5">
        <v>500.0</v>
      </c>
      <c r="N290" s="8">
        <v>44976.0</v>
      </c>
    </row>
    <row r="291">
      <c r="A291" s="5">
        <v>290.0</v>
      </c>
      <c r="B291" s="5" t="s">
        <v>801</v>
      </c>
      <c r="C291" s="5" t="s">
        <v>20</v>
      </c>
      <c r="K291" s="5">
        <v>20.0</v>
      </c>
      <c r="N291" s="8">
        <v>44545.0</v>
      </c>
    </row>
    <row r="292">
      <c r="A292" s="5">
        <v>291.0</v>
      </c>
      <c r="B292" s="5" t="s">
        <v>802</v>
      </c>
      <c r="C292" s="5" t="s">
        <v>20</v>
      </c>
      <c r="N292" s="8">
        <v>45425.0</v>
      </c>
    </row>
    <row r="293">
      <c r="A293" s="5">
        <v>292.0</v>
      </c>
      <c r="B293" s="5" t="s">
        <v>803</v>
      </c>
      <c r="C293" s="5" t="s">
        <v>20</v>
      </c>
      <c r="K293" s="5">
        <v>30.0</v>
      </c>
      <c r="N293" s="8">
        <v>43946.0</v>
      </c>
    </row>
    <row r="294">
      <c r="A294" s="5">
        <v>293.0</v>
      </c>
      <c r="B294" s="5" t="s">
        <v>804</v>
      </c>
      <c r="C294" s="5" t="s">
        <v>20</v>
      </c>
      <c r="K294" s="5">
        <v>1100.0</v>
      </c>
      <c r="N294" s="8">
        <v>44360.0</v>
      </c>
    </row>
    <row r="295">
      <c r="A295" s="5">
        <v>294.0</v>
      </c>
      <c r="B295" s="5" t="s">
        <v>805</v>
      </c>
      <c r="C295" s="5" t="s">
        <v>20</v>
      </c>
      <c r="K295" s="5">
        <v>400.0</v>
      </c>
      <c r="N295" s="8">
        <v>44491.0</v>
      </c>
    </row>
    <row r="296">
      <c r="A296" s="5">
        <v>295.0</v>
      </c>
      <c r="B296" s="5" t="s">
        <v>806</v>
      </c>
      <c r="C296" s="5" t="s">
        <v>20</v>
      </c>
      <c r="K296" s="5">
        <v>250.0</v>
      </c>
      <c r="N296" s="8">
        <v>44580.0</v>
      </c>
    </row>
    <row r="297">
      <c r="A297" s="5">
        <v>296.0</v>
      </c>
      <c r="B297" s="5" t="s">
        <v>107</v>
      </c>
      <c r="C297" s="5" t="s">
        <v>20</v>
      </c>
      <c r="D297" s="5">
        <v>83.0</v>
      </c>
      <c r="H297" s="5" t="s">
        <v>19</v>
      </c>
      <c r="I297" s="9">
        <v>46156.88458333333</v>
      </c>
      <c r="J297" s="5" t="s">
        <v>109</v>
      </c>
      <c r="K297" s="5">
        <v>1100.0</v>
      </c>
      <c r="L297" s="5">
        <v>10000.0</v>
      </c>
      <c r="M297" s="5">
        <v>962000.0</v>
      </c>
      <c r="N297" s="8">
        <v>44700.0</v>
      </c>
      <c r="O297" s="5" t="s">
        <v>22</v>
      </c>
      <c r="P297" s="5" t="s">
        <v>23</v>
      </c>
      <c r="S297" s="5" t="s">
        <v>26</v>
      </c>
    </row>
    <row r="298">
      <c r="A298" s="5">
        <v>297.0</v>
      </c>
      <c r="B298" s="5" t="s">
        <v>809</v>
      </c>
      <c r="C298" s="5" t="s">
        <v>20</v>
      </c>
      <c r="K298" s="5">
        <v>20.0</v>
      </c>
      <c r="N298" s="8">
        <v>44335.0</v>
      </c>
    </row>
    <row r="299">
      <c r="A299" s="5">
        <v>298.0</v>
      </c>
      <c r="B299" s="5" t="s">
        <v>810</v>
      </c>
      <c r="C299" s="5" t="s">
        <v>20</v>
      </c>
      <c r="K299" s="5">
        <v>10.0</v>
      </c>
      <c r="N299" s="8">
        <v>44235.0</v>
      </c>
    </row>
    <row r="300">
      <c r="A300" s="5">
        <v>299.0</v>
      </c>
      <c r="B300" s="5" t="s">
        <v>811</v>
      </c>
      <c r="C300" s="5" t="s">
        <v>20</v>
      </c>
      <c r="K300" s="5">
        <v>700.0</v>
      </c>
      <c r="N300" s="8">
        <v>44487.0</v>
      </c>
    </row>
    <row r="301">
      <c r="A301" s="5">
        <v>300.0</v>
      </c>
      <c r="B301" s="5" t="s">
        <v>812</v>
      </c>
      <c r="C301" s="5" t="s">
        <v>20</v>
      </c>
      <c r="K301" s="5">
        <v>10.0</v>
      </c>
      <c r="N301" s="8">
        <v>44679.0</v>
      </c>
    </row>
    <row r="302">
      <c r="A302" s="5">
        <v>301.0</v>
      </c>
      <c r="B302" s="5" t="s">
        <v>814</v>
      </c>
      <c r="C302" s="5" t="s">
        <v>20</v>
      </c>
      <c r="K302" s="5">
        <v>5000.0</v>
      </c>
      <c r="N302" s="8">
        <v>43199.0</v>
      </c>
    </row>
    <row r="303">
      <c r="A303" s="5">
        <v>302.0</v>
      </c>
      <c r="B303" s="5" t="s">
        <v>816</v>
      </c>
      <c r="C303" s="5" t="s">
        <v>20</v>
      </c>
      <c r="K303" s="5">
        <v>10.0</v>
      </c>
      <c r="N303" s="8">
        <v>45932.0</v>
      </c>
    </row>
    <row r="304">
      <c r="A304" s="5">
        <v>303.0</v>
      </c>
      <c r="B304" s="5" t="s">
        <v>818</v>
      </c>
      <c r="C304" s="5" t="s">
        <v>20</v>
      </c>
      <c r="K304" s="5">
        <v>10.0</v>
      </c>
      <c r="N304" s="8">
        <v>44288.0</v>
      </c>
    </row>
    <row r="305">
      <c r="A305" s="5">
        <v>304.0</v>
      </c>
      <c r="B305" s="5" t="s">
        <v>819</v>
      </c>
      <c r="C305" s="5" t="s">
        <v>20</v>
      </c>
      <c r="K305" s="5">
        <v>10.0</v>
      </c>
      <c r="N305" s="8">
        <v>45119.0</v>
      </c>
    </row>
    <row r="306">
      <c r="A306" s="5">
        <v>305.0</v>
      </c>
      <c r="B306" s="5" t="s">
        <v>820</v>
      </c>
      <c r="C306" s="5" t="s">
        <v>20</v>
      </c>
      <c r="K306" s="5">
        <v>250.0</v>
      </c>
      <c r="N306" s="8">
        <v>44724.0</v>
      </c>
    </row>
    <row r="307">
      <c r="A307" s="5">
        <v>306.0</v>
      </c>
      <c r="B307" s="5" t="s">
        <v>822</v>
      </c>
      <c r="C307" s="5" t="s">
        <v>20</v>
      </c>
      <c r="K307" s="5">
        <v>150.0</v>
      </c>
      <c r="N307" s="8">
        <v>44654.0</v>
      </c>
    </row>
    <row r="308">
      <c r="A308" s="5">
        <v>307.0</v>
      </c>
      <c r="B308" s="5" t="s">
        <v>824</v>
      </c>
      <c r="C308" s="5" t="s">
        <v>20</v>
      </c>
      <c r="K308" s="5">
        <v>30.0</v>
      </c>
      <c r="N308" s="8">
        <v>45257.0</v>
      </c>
    </row>
    <row r="309">
      <c r="A309" s="5">
        <v>308.0</v>
      </c>
      <c r="B309" s="5" t="s">
        <v>825</v>
      </c>
      <c r="C309" s="5" t="s">
        <v>20</v>
      </c>
      <c r="K309" s="5">
        <v>50.0</v>
      </c>
      <c r="N309" s="8">
        <v>44751.0</v>
      </c>
    </row>
    <row r="310">
      <c r="A310" s="5">
        <v>309.0</v>
      </c>
      <c r="B310" s="5" t="s">
        <v>826</v>
      </c>
      <c r="C310" s="5" t="s">
        <v>20</v>
      </c>
      <c r="K310" s="5">
        <v>1100.0</v>
      </c>
      <c r="N310" s="8">
        <v>45078.0</v>
      </c>
    </row>
    <row r="311">
      <c r="A311" s="5">
        <v>310.0</v>
      </c>
      <c r="B311" s="5" t="s">
        <v>828</v>
      </c>
      <c r="C311" s="5" t="s">
        <v>20</v>
      </c>
      <c r="K311" s="5">
        <v>600.0</v>
      </c>
      <c r="N311" s="8">
        <v>44695.0</v>
      </c>
    </row>
    <row r="312">
      <c r="A312" s="5">
        <v>311.0</v>
      </c>
      <c r="B312" s="5" t="s">
        <v>831</v>
      </c>
      <c r="C312" s="5" t="s">
        <v>20</v>
      </c>
      <c r="K312" s="5">
        <v>250.0</v>
      </c>
      <c r="N312" s="8">
        <v>44199.0</v>
      </c>
    </row>
    <row r="313">
      <c r="A313" s="5">
        <v>312.0</v>
      </c>
      <c r="B313" s="5" t="s">
        <v>832</v>
      </c>
      <c r="C313" s="5" t="s">
        <v>20</v>
      </c>
      <c r="K313" s="5">
        <v>200.0</v>
      </c>
      <c r="N313" s="8">
        <v>44368.0</v>
      </c>
    </row>
    <row r="314">
      <c r="A314" s="5">
        <v>313.0</v>
      </c>
      <c r="B314" s="5" t="s">
        <v>833</v>
      </c>
      <c r="C314" s="5" t="s">
        <v>20</v>
      </c>
      <c r="D314" s="5">
        <v>84.0</v>
      </c>
      <c r="H314" s="5" t="s">
        <v>28</v>
      </c>
      <c r="I314" s="9">
        <v>46126.215902777774</v>
      </c>
      <c r="J314" s="5" t="s">
        <v>52</v>
      </c>
      <c r="K314" s="5">
        <v>80.0</v>
      </c>
      <c r="L314" s="5">
        <v>1600.0</v>
      </c>
      <c r="M314" s="5">
        <v>1280000.0</v>
      </c>
      <c r="N314" s="8">
        <v>44239.0</v>
      </c>
      <c r="O314" s="5" t="s">
        <v>50</v>
      </c>
      <c r="P314" s="5" t="s">
        <v>23</v>
      </c>
      <c r="S314" s="5" t="s">
        <v>32</v>
      </c>
    </row>
    <row r="315">
      <c r="A315" s="5">
        <v>314.0</v>
      </c>
      <c r="B315" s="5" t="s">
        <v>839</v>
      </c>
      <c r="C315" s="5" t="s">
        <v>20</v>
      </c>
      <c r="K315" s="5">
        <v>10.0</v>
      </c>
      <c r="N315" s="8">
        <v>46132.0</v>
      </c>
    </row>
    <row r="316">
      <c r="A316" s="5">
        <v>315.0</v>
      </c>
      <c r="B316" s="5" t="s">
        <v>841</v>
      </c>
      <c r="C316" s="5" t="s">
        <v>20</v>
      </c>
      <c r="N316" s="8">
        <v>44052.0</v>
      </c>
    </row>
    <row r="317">
      <c r="A317" s="5">
        <v>316.0</v>
      </c>
      <c r="B317" s="5" t="s">
        <v>842</v>
      </c>
      <c r="C317" s="5" t="s">
        <v>20</v>
      </c>
      <c r="K317" s="5">
        <v>20.0</v>
      </c>
      <c r="N317" s="8">
        <v>44270.0</v>
      </c>
    </row>
    <row r="318">
      <c r="A318" s="5">
        <v>317.0</v>
      </c>
      <c r="B318" s="5" t="s">
        <v>843</v>
      </c>
      <c r="C318" s="5" t="s">
        <v>20</v>
      </c>
      <c r="K318" s="5">
        <v>20.0</v>
      </c>
      <c r="N318" s="8">
        <v>45053.0</v>
      </c>
    </row>
    <row r="319">
      <c r="A319" s="5">
        <v>318.0</v>
      </c>
      <c r="B319" s="5" t="s">
        <v>844</v>
      </c>
      <c r="C319" s="5" t="s">
        <v>20</v>
      </c>
      <c r="K319" s="5">
        <v>10.0</v>
      </c>
      <c r="N319" s="8">
        <v>44806.0</v>
      </c>
    </row>
    <row r="320">
      <c r="A320" s="5">
        <v>319.0</v>
      </c>
      <c r="B320" s="5" t="s">
        <v>845</v>
      </c>
      <c r="C320" s="5" t="s">
        <v>20</v>
      </c>
      <c r="K320" s="5">
        <v>20.0</v>
      </c>
      <c r="N320" s="8">
        <v>44056.0</v>
      </c>
    </row>
    <row r="321">
      <c r="A321" s="5">
        <v>320.0</v>
      </c>
      <c r="B321" s="5" t="s">
        <v>846</v>
      </c>
      <c r="C321" s="5" t="s">
        <v>20</v>
      </c>
      <c r="K321" s="5">
        <v>20.0</v>
      </c>
      <c r="N321" s="8">
        <v>44993.0</v>
      </c>
    </row>
    <row r="322">
      <c r="A322" s="5">
        <v>321.0</v>
      </c>
      <c r="B322" s="5" t="s">
        <v>847</v>
      </c>
      <c r="C322" s="5" t="s">
        <v>20</v>
      </c>
      <c r="K322" s="5">
        <v>600.0</v>
      </c>
      <c r="N322" s="8">
        <v>44516.0</v>
      </c>
    </row>
    <row r="323">
      <c r="A323" s="5">
        <v>322.0</v>
      </c>
      <c r="B323" s="5" t="s">
        <v>848</v>
      </c>
      <c r="C323" s="5" t="s">
        <v>20</v>
      </c>
      <c r="K323" s="5">
        <v>10.0</v>
      </c>
      <c r="N323" s="8">
        <v>44706.0</v>
      </c>
      <c r="O323" s="5" t="s">
        <v>50</v>
      </c>
      <c r="P323" s="5" t="s">
        <v>23</v>
      </c>
      <c r="S323" s="5" t="s">
        <v>26</v>
      </c>
    </row>
    <row r="324">
      <c r="A324" s="5">
        <v>323.0</v>
      </c>
      <c r="B324" s="5" t="s">
        <v>849</v>
      </c>
      <c r="C324" s="5" t="s">
        <v>20</v>
      </c>
      <c r="K324" s="5">
        <v>1700.0</v>
      </c>
      <c r="N324" s="8">
        <v>45774.0</v>
      </c>
    </row>
    <row r="325">
      <c r="A325" s="5">
        <v>324.0</v>
      </c>
      <c r="B325" s="5" t="s">
        <v>850</v>
      </c>
      <c r="C325" s="5" t="s">
        <v>20</v>
      </c>
      <c r="K325" s="5">
        <v>50.0</v>
      </c>
      <c r="N325" s="8">
        <v>44592.0</v>
      </c>
    </row>
    <row r="326">
      <c r="A326" s="5">
        <v>325.0</v>
      </c>
      <c r="B326" s="5" t="s">
        <v>853</v>
      </c>
      <c r="C326" s="5" t="s">
        <v>20</v>
      </c>
      <c r="K326" s="5">
        <v>7400.0</v>
      </c>
      <c r="N326" s="8">
        <v>45707.0</v>
      </c>
    </row>
    <row r="327">
      <c r="A327" s="5">
        <v>326.0</v>
      </c>
      <c r="B327" s="5" t="s">
        <v>854</v>
      </c>
      <c r="C327" s="5" t="s">
        <v>20</v>
      </c>
      <c r="K327" s="5">
        <v>250.0</v>
      </c>
      <c r="N327" s="8">
        <v>45385.0</v>
      </c>
    </row>
    <row r="328">
      <c r="A328" s="5">
        <v>327.0</v>
      </c>
      <c r="B328" s="5" t="s">
        <v>856</v>
      </c>
      <c r="C328" s="5" t="s">
        <v>20</v>
      </c>
      <c r="K328" s="5">
        <v>10.0</v>
      </c>
      <c r="N328" s="8">
        <v>44971.0</v>
      </c>
    </row>
    <row r="329">
      <c r="A329" s="5">
        <v>328.0</v>
      </c>
      <c r="B329" s="5" t="s">
        <v>858</v>
      </c>
      <c r="C329" s="5" t="s">
        <v>20</v>
      </c>
      <c r="K329" s="5">
        <v>250.0</v>
      </c>
      <c r="N329" s="8">
        <v>45122.0</v>
      </c>
    </row>
    <row r="330">
      <c r="A330" s="5">
        <v>329.0</v>
      </c>
      <c r="B330" s="5" t="s">
        <v>860</v>
      </c>
      <c r="C330" s="5" t="s">
        <v>20</v>
      </c>
      <c r="K330" s="5">
        <v>150.0</v>
      </c>
      <c r="N330" s="8">
        <v>44473.0</v>
      </c>
    </row>
    <row r="331">
      <c r="A331" s="5">
        <v>330.0</v>
      </c>
      <c r="B331" s="5" t="s">
        <v>861</v>
      </c>
      <c r="C331" s="5" t="s">
        <v>20</v>
      </c>
      <c r="N331" s="8">
        <v>45424.0</v>
      </c>
    </row>
    <row r="332">
      <c r="A332" s="5">
        <v>331.0</v>
      </c>
      <c r="B332" s="5" t="s">
        <v>862</v>
      </c>
      <c r="C332" s="5" t="s">
        <v>20</v>
      </c>
      <c r="K332" s="5">
        <v>30.0</v>
      </c>
      <c r="N332" s="8">
        <v>44676.0</v>
      </c>
    </row>
    <row r="333">
      <c r="A333" s="5">
        <v>332.0</v>
      </c>
      <c r="B333" s="5" t="s">
        <v>863</v>
      </c>
      <c r="C333" s="5" t="s">
        <v>20</v>
      </c>
      <c r="K333" s="5">
        <v>1000.0</v>
      </c>
      <c r="N333" s="8">
        <v>43933.0</v>
      </c>
    </row>
    <row r="334">
      <c r="A334" s="5">
        <v>333.0</v>
      </c>
      <c r="B334" s="5" t="s">
        <v>864</v>
      </c>
      <c r="C334" s="5" t="s">
        <v>20</v>
      </c>
      <c r="K334" s="5">
        <v>300.0</v>
      </c>
      <c r="N334" s="8">
        <v>44607.0</v>
      </c>
    </row>
    <row r="335">
      <c r="A335" s="5">
        <v>334.0</v>
      </c>
      <c r="B335" s="5" t="s">
        <v>865</v>
      </c>
      <c r="C335" s="5" t="s">
        <v>20</v>
      </c>
      <c r="K335" s="5">
        <v>800.0</v>
      </c>
      <c r="N335" s="8">
        <v>44188.0</v>
      </c>
    </row>
    <row r="336">
      <c r="A336" s="5">
        <v>335.0</v>
      </c>
      <c r="B336" s="5" t="s">
        <v>866</v>
      </c>
      <c r="C336" s="5" t="s">
        <v>20</v>
      </c>
      <c r="K336" s="5">
        <v>10.0</v>
      </c>
      <c r="N336" s="8">
        <v>45394.0</v>
      </c>
    </row>
    <row r="337">
      <c r="A337" s="5">
        <v>336.0</v>
      </c>
      <c r="B337" s="5" t="s">
        <v>868</v>
      </c>
      <c r="C337" s="5" t="s">
        <v>20</v>
      </c>
      <c r="N337" s="8">
        <v>44037.0</v>
      </c>
    </row>
    <row r="338">
      <c r="A338" s="5">
        <v>337.0</v>
      </c>
      <c r="B338" s="5" t="s">
        <v>870</v>
      </c>
      <c r="C338" s="5" t="s">
        <v>20</v>
      </c>
      <c r="K338" s="5">
        <v>250.0</v>
      </c>
      <c r="N338" s="8">
        <v>44484.0</v>
      </c>
    </row>
    <row r="339">
      <c r="A339" s="5">
        <v>338.0</v>
      </c>
      <c r="B339" s="5" t="s">
        <v>871</v>
      </c>
      <c r="C339" s="5" t="s">
        <v>20</v>
      </c>
      <c r="N339" s="8">
        <v>44023.0</v>
      </c>
    </row>
    <row r="340">
      <c r="A340" s="5">
        <v>339.0</v>
      </c>
      <c r="B340" s="5" t="s">
        <v>873</v>
      </c>
      <c r="C340" s="5" t="s">
        <v>20</v>
      </c>
      <c r="K340" s="5">
        <v>30.0</v>
      </c>
      <c r="N340" s="8">
        <v>45466.0</v>
      </c>
    </row>
    <row r="341">
      <c r="A341" s="5">
        <v>340.0</v>
      </c>
      <c r="B341" s="5" t="s">
        <v>874</v>
      </c>
      <c r="C341" s="5" t="s">
        <v>20</v>
      </c>
      <c r="K341" s="5">
        <v>1100.0</v>
      </c>
      <c r="N341" s="8">
        <v>44224.0</v>
      </c>
    </row>
    <row r="342">
      <c r="A342" s="5">
        <v>341.0</v>
      </c>
      <c r="B342" s="5" t="s">
        <v>876</v>
      </c>
      <c r="C342" s="5" t="s">
        <v>20</v>
      </c>
      <c r="K342" s="5">
        <v>150.0</v>
      </c>
      <c r="N342" s="8">
        <v>45274.0</v>
      </c>
    </row>
    <row r="343">
      <c r="A343" s="5">
        <v>342.0</v>
      </c>
      <c r="B343" s="5" t="s">
        <v>877</v>
      </c>
      <c r="C343" s="5" t="s">
        <v>20</v>
      </c>
      <c r="K343" s="5">
        <v>600.0</v>
      </c>
      <c r="N343" s="8">
        <v>44547.0</v>
      </c>
    </row>
    <row r="344">
      <c r="A344" s="5">
        <v>343.0</v>
      </c>
      <c r="B344" s="5" t="s">
        <v>879</v>
      </c>
      <c r="C344" s="5" t="s">
        <v>20</v>
      </c>
      <c r="K344" s="5">
        <v>300.0</v>
      </c>
      <c r="N344" s="8">
        <v>44053.0</v>
      </c>
    </row>
    <row r="345">
      <c r="A345" s="5">
        <v>344.0</v>
      </c>
      <c r="B345" s="5" t="s">
        <v>880</v>
      </c>
      <c r="C345" s="5" t="s">
        <v>20</v>
      </c>
      <c r="K345" s="5">
        <v>10.0</v>
      </c>
      <c r="N345" s="8">
        <v>44836.0</v>
      </c>
    </row>
    <row r="346">
      <c r="A346" s="5">
        <v>345.0</v>
      </c>
      <c r="B346" s="5" t="s">
        <v>881</v>
      </c>
      <c r="C346" s="5" t="s">
        <v>20</v>
      </c>
      <c r="N346" s="8">
        <v>44370.0</v>
      </c>
    </row>
    <row r="347">
      <c r="A347" s="5">
        <v>346.0</v>
      </c>
      <c r="B347" s="5" t="s">
        <v>883</v>
      </c>
      <c r="C347" s="5" t="s">
        <v>20</v>
      </c>
      <c r="K347" s="5">
        <v>100.0</v>
      </c>
      <c r="N347" s="8">
        <v>44022.0</v>
      </c>
    </row>
    <row r="348">
      <c r="A348" s="5">
        <v>347.0</v>
      </c>
      <c r="B348" s="5" t="s">
        <v>884</v>
      </c>
      <c r="C348" s="5" t="s">
        <v>20</v>
      </c>
      <c r="K348" s="5">
        <v>9300.0</v>
      </c>
      <c r="N348" s="8">
        <v>43558.0</v>
      </c>
    </row>
    <row r="349">
      <c r="A349" s="5">
        <v>348.0</v>
      </c>
      <c r="B349" s="5" t="s">
        <v>886</v>
      </c>
      <c r="C349" s="5" t="s">
        <v>20</v>
      </c>
      <c r="N349" s="8">
        <v>44254.0</v>
      </c>
    </row>
    <row r="350">
      <c r="A350" s="5">
        <v>349.0</v>
      </c>
      <c r="B350" s="5" t="s">
        <v>887</v>
      </c>
      <c r="C350" s="5" t="s">
        <v>20</v>
      </c>
      <c r="K350" s="5">
        <v>500.0</v>
      </c>
      <c r="N350" s="8">
        <v>44263.0</v>
      </c>
    </row>
    <row r="351">
      <c r="A351" s="5">
        <v>350.0</v>
      </c>
      <c r="B351" s="5" t="s">
        <v>888</v>
      </c>
      <c r="C351" s="5" t="s">
        <v>20</v>
      </c>
      <c r="K351" s="5">
        <v>1900.0</v>
      </c>
      <c r="N351" s="8">
        <v>45668.0</v>
      </c>
    </row>
    <row r="352">
      <c r="A352" s="5">
        <v>351.0</v>
      </c>
      <c r="B352" s="5" t="s">
        <v>890</v>
      </c>
      <c r="C352" s="5" t="s">
        <v>20</v>
      </c>
      <c r="N352" s="8">
        <v>44345.0</v>
      </c>
    </row>
    <row r="353">
      <c r="A353" s="5">
        <v>352.0</v>
      </c>
      <c r="B353" s="5" t="s">
        <v>891</v>
      </c>
      <c r="C353" s="5" t="s">
        <v>20</v>
      </c>
      <c r="K353" s="5">
        <v>10.0</v>
      </c>
      <c r="N353" s="8">
        <v>44328.0</v>
      </c>
    </row>
    <row r="354">
      <c r="A354" s="5">
        <v>353.0</v>
      </c>
      <c r="B354" s="5" t="s">
        <v>892</v>
      </c>
      <c r="C354" s="5" t="s">
        <v>20</v>
      </c>
      <c r="N354" s="8">
        <v>44832.0</v>
      </c>
    </row>
    <row r="355">
      <c r="A355" s="5">
        <v>354.0</v>
      </c>
      <c r="B355" s="5" t="s">
        <v>894</v>
      </c>
      <c r="C355" s="5" t="s">
        <v>20</v>
      </c>
      <c r="K355" s="5">
        <v>500.0</v>
      </c>
      <c r="N355" s="8">
        <v>45726.0</v>
      </c>
    </row>
    <row r="356">
      <c r="A356" s="5">
        <v>355.0</v>
      </c>
      <c r="B356" s="5" t="s">
        <v>895</v>
      </c>
      <c r="C356" s="5" t="s">
        <v>20</v>
      </c>
      <c r="K356" s="5">
        <v>600.0</v>
      </c>
      <c r="N356" s="8">
        <v>45017.0</v>
      </c>
    </row>
    <row r="357">
      <c r="A357" s="5">
        <v>356.0</v>
      </c>
      <c r="B357" s="5" t="s">
        <v>896</v>
      </c>
      <c r="C357" s="5" t="s">
        <v>20</v>
      </c>
      <c r="N357" s="8">
        <v>44051.0</v>
      </c>
    </row>
    <row r="358">
      <c r="A358" s="5">
        <v>357.0</v>
      </c>
      <c r="B358" s="5" t="s">
        <v>897</v>
      </c>
      <c r="C358" s="5" t="s">
        <v>20</v>
      </c>
      <c r="K358" s="5">
        <v>150.0</v>
      </c>
      <c r="N358" s="8">
        <v>44877.0</v>
      </c>
    </row>
    <row r="359">
      <c r="A359" s="5">
        <v>358.0</v>
      </c>
      <c r="B359" s="5" t="s">
        <v>898</v>
      </c>
      <c r="C359" s="5" t="s">
        <v>20</v>
      </c>
      <c r="N359" s="8">
        <v>42835.0</v>
      </c>
    </row>
    <row r="360">
      <c r="A360" s="5">
        <v>359.0</v>
      </c>
      <c r="B360" s="5" t="s">
        <v>899</v>
      </c>
      <c r="C360" s="5" t="s">
        <v>20</v>
      </c>
      <c r="K360" s="5">
        <v>10.0</v>
      </c>
      <c r="N360" s="8">
        <v>45045.0</v>
      </c>
    </row>
    <row r="361">
      <c r="A361" s="5">
        <v>360.0</v>
      </c>
      <c r="B361" s="5" t="s">
        <v>900</v>
      </c>
      <c r="C361" s="5" t="s">
        <v>20</v>
      </c>
      <c r="K361" s="5">
        <v>10.0</v>
      </c>
      <c r="N361" s="8">
        <v>44047.0</v>
      </c>
    </row>
    <row r="362">
      <c r="A362" s="5">
        <v>361.0</v>
      </c>
      <c r="B362" s="5" t="s">
        <v>901</v>
      </c>
      <c r="C362" s="5" t="s">
        <v>20</v>
      </c>
      <c r="N362" s="8">
        <v>45072.0</v>
      </c>
    </row>
    <row r="363">
      <c r="A363" s="5">
        <v>362.0</v>
      </c>
      <c r="B363" s="5" t="s">
        <v>903</v>
      </c>
      <c r="C363" s="5" t="s">
        <v>20</v>
      </c>
      <c r="K363" s="5">
        <v>100.0</v>
      </c>
      <c r="N363" s="8">
        <v>44766.0</v>
      </c>
    </row>
    <row r="364">
      <c r="A364" s="5">
        <v>363.0</v>
      </c>
      <c r="B364" s="5" t="s">
        <v>904</v>
      </c>
      <c r="C364" s="5" t="s">
        <v>20</v>
      </c>
      <c r="K364" s="5">
        <v>400.0</v>
      </c>
      <c r="N364" s="8">
        <v>44499.0</v>
      </c>
    </row>
    <row r="365">
      <c r="A365" s="5">
        <v>364.0</v>
      </c>
      <c r="B365" s="5" t="s">
        <v>905</v>
      </c>
      <c r="C365" s="5" t="s">
        <v>20</v>
      </c>
      <c r="N365" s="8">
        <v>42464.0</v>
      </c>
    </row>
    <row r="366">
      <c r="A366" s="5">
        <v>365.0</v>
      </c>
      <c r="B366" s="5" t="s">
        <v>61</v>
      </c>
      <c r="C366" s="5" t="s">
        <v>20</v>
      </c>
      <c r="N366" s="8">
        <v>44690.0</v>
      </c>
    </row>
    <row r="367">
      <c r="A367" s="5">
        <v>366.0</v>
      </c>
      <c r="B367" s="5" t="s">
        <v>906</v>
      </c>
      <c r="C367" s="5" t="s">
        <v>20</v>
      </c>
      <c r="K367" s="5">
        <v>100.0</v>
      </c>
      <c r="N367" s="8">
        <v>45288.0</v>
      </c>
    </row>
    <row r="368">
      <c r="A368" s="5">
        <v>367.0</v>
      </c>
      <c r="B368" s="5" t="s">
        <v>908</v>
      </c>
      <c r="C368" s="5" t="s">
        <v>20</v>
      </c>
      <c r="N368" s="8">
        <v>44918.0</v>
      </c>
    </row>
    <row r="369">
      <c r="A369" s="5">
        <v>368.0</v>
      </c>
      <c r="B369" s="5" t="s">
        <v>910</v>
      </c>
      <c r="C369" s="5" t="s">
        <v>20</v>
      </c>
      <c r="K369" s="5">
        <v>100.0</v>
      </c>
      <c r="N369" s="8">
        <v>44874.0</v>
      </c>
    </row>
    <row r="370">
      <c r="A370" s="5">
        <v>369.0</v>
      </c>
      <c r="B370" s="5" t="s">
        <v>911</v>
      </c>
      <c r="C370" s="5" t="s">
        <v>20</v>
      </c>
      <c r="K370" s="5">
        <v>900.0</v>
      </c>
      <c r="N370" s="8">
        <v>44418.0</v>
      </c>
    </row>
    <row r="371">
      <c r="A371" s="5">
        <v>370.0</v>
      </c>
      <c r="B371" s="5" t="s">
        <v>912</v>
      </c>
      <c r="C371" s="5" t="s">
        <v>20</v>
      </c>
      <c r="K371" s="5">
        <v>60.0</v>
      </c>
      <c r="N371" s="8">
        <v>46087.0</v>
      </c>
    </row>
    <row r="372">
      <c r="A372" s="5">
        <v>371.0</v>
      </c>
      <c r="B372" s="5" t="s">
        <v>914</v>
      </c>
      <c r="C372" s="5" t="s">
        <v>20</v>
      </c>
      <c r="K372" s="5">
        <v>250.0</v>
      </c>
      <c r="N372" s="8">
        <v>44278.0</v>
      </c>
    </row>
    <row r="373">
      <c r="A373" s="5">
        <v>372.0</v>
      </c>
      <c r="B373" s="5" t="s">
        <v>916</v>
      </c>
      <c r="C373" s="5" t="s">
        <v>20</v>
      </c>
      <c r="K373" s="5">
        <v>1700.0</v>
      </c>
      <c r="N373" s="8">
        <v>44061.0</v>
      </c>
    </row>
    <row r="374">
      <c r="A374" s="5">
        <v>373.0</v>
      </c>
      <c r="B374" s="5" t="s">
        <v>917</v>
      </c>
      <c r="C374" s="5" t="s">
        <v>20</v>
      </c>
      <c r="K374" s="5">
        <v>60.0</v>
      </c>
      <c r="N374" s="8">
        <v>43860.0</v>
      </c>
    </row>
    <row r="375">
      <c r="A375" s="5">
        <v>374.0</v>
      </c>
      <c r="B375" s="5" t="s">
        <v>919</v>
      </c>
      <c r="C375" s="5" t="s">
        <v>20</v>
      </c>
      <c r="K375" s="5">
        <v>150.0</v>
      </c>
      <c r="N375" s="8">
        <v>45642.0</v>
      </c>
    </row>
    <row r="376">
      <c r="A376" s="5">
        <v>375.0</v>
      </c>
      <c r="B376" s="5" t="s">
        <v>920</v>
      </c>
      <c r="C376" s="5" t="s">
        <v>20</v>
      </c>
      <c r="K376" s="5">
        <v>150.0</v>
      </c>
      <c r="N376" s="8">
        <v>44422.0</v>
      </c>
    </row>
    <row r="377">
      <c r="A377" s="5">
        <v>376.0</v>
      </c>
      <c r="B377" s="5" t="s">
        <v>921</v>
      </c>
      <c r="C377" s="5" t="s">
        <v>20</v>
      </c>
      <c r="K377" s="5">
        <v>200.0</v>
      </c>
      <c r="N377" s="8">
        <v>44621.0</v>
      </c>
    </row>
    <row r="378">
      <c r="A378" s="5">
        <v>377.0</v>
      </c>
      <c r="B378" s="5" t="s">
        <v>922</v>
      </c>
      <c r="C378" s="5" t="s">
        <v>20</v>
      </c>
      <c r="K378" s="5">
        <v>350.0</v>
      </c>
      <c r="N378" s="8">
        <v>44385.0</v>
      </c>
    </row>
    <row r="379">
      <c r="A379" s="5">
        <v>378.0</v>
      </c>
      <c r="B379" s="5" t="s">
        <v>923</v>
      </c>
      <c r="C379" s="5" t="s">
        <v>20</v>
      </c>
      <c r="K379" s="5">
        <v>800.0</v>
      </c>
      <c r="N379" s="8">
        <v>46093.0</v>
      </c>
    </row>
    <row r="380">
      <c r="A380" s="5">
        <v>379.0</v>
      </c>
      <c r="B380" s="5" t="s">
        <v>924</v>
      </c>
      <c r="C380" s="5" t="s">
        <v>20</v>
      </c>
      <c r="K380" s="5">
        <v>1100.0</v>
      </c>
      <c r="N380" s="8">
        <v>45901.0</v>
      </c>
    </row>
    <row r="381">
      <c r="A381" s="5">
        <v>380.0</v>
      </c>
      <c r="B381" s="5" t="s">
        <v>926</v>
      </c>
      <c r="C381" s="5" t="s">
        <v>20</v>
      </c>
      <c r="K381" s="5">
        <v>10.0</v>
      </c>
      <c r="N381" s="8">
        <v>43965.0</v>
      </c>
    </row>
    <row r="382">
      <c r="A382" s="5">
        <v>381.0</v>
      </c>
      <c r="B382" s="5" t="s">
        <v>927</v>
      </c>
      <c r="C382" s="5" t="s">
        <v>20</v>
      </c>
      <c r="K382" s="5">
        <v>80.0</v>
      </c>
      <c r="N382" s="8">
        <v>44250.0</v>
      </c>
    </row>
    <row r="383">
      <c r="A383" s="5">
        <v>382.0</v>
      </c>
      <c r="B383" s="5" t="s">
        <v>928</v>
      </c>
      <c r="C383" s="5" t="s">
        <v>20</v>
      </c>
      <c r="K383" s="5">
        <v>350.0</v>
      </c>
      <c r="N383" s="8">
        <v>45987.0</v>
      </c>
    </row>
    <row r="384">
      <c r="A384" s="5">
        <v>383.0</v>
      </c>
      <c r="B384" s="5" t="s">
        <v>929</v>
      </c>
      <c r="C384" s="5" t="s">
        <v>20</v>
      </c>
      <c r="K384" s="5">
        <v>600.0</v>
      </c>
      <c r="N384" s="8">
        <v>46086.0</v>
      </c>
    </row>
    <row r="385">
      <c r="A385" s="5">
        <v>384.0</v>
      </c>
      <c r="B385" s="5" t="s">
        <v>930</v>
      </c>
      <c r="C385" s="5" t="s">
        <v>20</v>
      </c>
      <c r="K385" s="5">
        <v>200.0</v>
      </c>
      <c r="N385" s="8">
        <v>44588.0</v>
      </c>
    </row>
    <row r="386">
      <c r="A386" s="5">
        <v>385.0</v>
      </c>
      <c r="B386" s="5" t="s">
        <v>932</v>
      </c>
      <c r="C386" s="5" t="s">
        <v>20</v>
      </c>
      <c r="N386" s="8">
        <v>45016.0</v>
      </c>
    </row>
    <row r="387">
      <c r="A387" s="5">
        <v>386.0</v>
      </c>
      <c r="B387" s="5" t="s">
        <v>933</v>
      </c>
      <c r="C387" s="5" t="s">
        <v>20</v>
      </c>
      <c r="K387" s="5">
        <v>60.0</v>
      </c>
      <c r="N387" s="8">
        <v>46092.0</v>
      </c>
    </row>
    <row r="388">
      <c r="A388" s="5">
        <v>387.0</v>
      </c>
      <c r="B388" s="5" t="s">
        <v>935</v>
      </c>
      <c r="C388" s="5" t="s">
        <v>20</v>
      </c>
      <c r="K388" s="5">
        <v>500.0</v>
      </c>
      <c r="N388" s="8">
        <v>44236.0</v>
      </c>
    </row>
    <row r="389">
      <c r="A389" s="5">
        <v>388.0</v>
      </c>
      <c r="B389" s="5" t="s">
        <v>937</v>
      </c>
      <c r="C389" s="5" t="s">
        <v>20</v>
      </c>
      <c r="K389" s="5">
        <v>10.0</v>
      </c>
      <c r="N389" s="8">
        <v>44694.0</v>
      </c>
      <c r="O389" s="5" t="s">
        <v>22</v>
      </c>
      <c r="P389" s="5" t="s">
        <v>23</v>
      </c>
      <c r="S389" s="5" t="s">
        <v>32</v>
      </c>
    </row>
    <row r="390">
      <c r="A390" s="5">
        <v>389.0</v>
      </c>
      <c r="B390" s="5" t="s">
        <v>939</v>
      </c>
      <c r="C390" s="5" t="s">
        <v>20</v>
      </c>
      <c r="K390" s="5">
        <v>50.0</v>
      </c>
      <c r="N390" s="8">
        <v>44900.0</v>
      </c>
    </row>
    <row r="391">
      <c r="A391" s="5">
        <v>390.0</v>
      </c>
      <c r="B391" s="5" t="s">
        <v>940</v>
      </c>
      <c r="C391" s="5" t="s">
        <v>20</v>
      </c>
      <c r="N391" s="8">
        <v>44419.0</v>
      </c>
    </row>
    <row r="392">
      <c r="A392" s="5">
        <v>391.0</v>
      </c>
      <c r="B392" s="5" t="s">
        <v>941</v>
      </c>
      <c r="C392" s="5" t="s">
        <v>20</v>
      </c>
      <c r="N392" s="8">
        <v>44742.0</v>
      </c>
    </row>
    <row r="393">
      <c r="A393" s="5">
        <v>392.0</v>
      </c>
      <c r="B393" s="5" t="s">
        <v>943</v>
      </c>
      <c r="C393" s="5" t="s">
        <v>20</v>
      </c>
      <c r="N393" s="8">
        <v>44011.0</v>
      </c>
    </row>
    <row r="394">
      <c r="A394" s="5">
        <v>393.0</v>
      </c>
      <c r="B394" s="5" t="s">
        <v>945</v>
      </c>
      <c r="C394" s="5" t="s">
        <v>20</v>
      </c>
      <c r="K394" s="5">
        <v>1000.0</v>
      </c>
      <c r="N394" s="8">
        <v>44266.0</v>
      </c>
    </row>
    <row r="395">
      <c r="A395" s="5">
        <v>394.0</v>
      </c>
      <c r="B395" s="5" t="s">
        <v>946</v>
      </c>
      <c r="C395" s="5" t="s">
        <v>20</v>
      </c>
      <c r="K395" s="5">
        <v>400.0</v>
      </c>
      <c r="N395" s="8">
        <v>43847.0</v>
      </c>
    </row>
    <row r="396">
      <c r="A396" s="5">
        <v>395.0</v>
      </c>
      <c r="B396" s="5" t="s">
        <v>948</v>
      </c>
      <c r="C396" s="5" t="s">
        <v>20</v>
      </c>
      <c r="K396" s="5">
        <v>10.0</v>
      </c>
      <c r="N396" s="8">
        <v>45417.0</v>
      </c>
    </row>
    <row r="397">
      <c r="A397" s="5">
        <v>396.0</v>
      </c>
      <c r="B397" s="5" t="s">
        <v>949</v>
      </c>
      <c r="C397" s="5" t="s">
        <v>20</v>
      </c>
      <c r="K397" s="5">
        <v>20.0</v>
      </c>
      <c r="N397" s="8">
        <v>43853.0</v>
      </c>
    </row>
    <row r="398">
      <c r="A398" s="5">
        <v>397.0</v>
      </c>
      <c r="B398" s="5" t="s">
        <v>952</v>
      </c>
      <c r="C398" s="5" t="s">
        <v>20</v>
      </c>
      <c r="K398" s="5">
        <v>10.0</v>
      </c>
      <c r="N398" s="8">
        <v>44682.0</v>
      </c>
    </row>
    <row r="399">
      <c r="A399" s="5">
        <v>398.0</v>
      </c>
      <c r="B399" s="5" t="s">
        <v>953</v>
      </c>
      <c r="C399" s="5" t="s">
        <v>20</v>
      </c>
      <c r="K399" s="5">
        <v>80.0</v>
      </c>
      <c r="N399" s="8">
        <v>44585.0</v>
      </c>
    </row>
    <row r="400">
      <c r="A400" s="5">
        <v>399.0</v>
      </c>
      <c r="B400" s="5" t="s">
        <v>954</v>
      </c>
      <c r="C400" s="5" t="s">
        <v>20</v>
      </c>
      <c r="N400" s="8">
        <v>44839.0</v>
      </c>
    </row>
    <row r="401">
      <c r="A401" s="5">
        <v>400.0</v>
      </c>
      <c r="B401" s="5" t="s">
        <v>956</v>
      </c>
      <c r="C401" s="5" t="s">
        <v>20</v>
      </c>
      <c r="K401" s="5">
        <v>10.0</v>
      </c>
      <c r="N401" s="8">
        <v>44656.0</v>
      </c>
    </row>
    <row r="402">
      <c r="A402" s="5">
        <v>401.0</v>
      </c>
      <c r="B402" s="5" t="s">
        <v>957</v>
      </c>
      <c r="C402" s="5" t="s">
        <v>20</v>
      </c>
      <c r="K402" s="5">
        <v>90.0</v>
      </c>
      <c r="N402" s="8">
        <v>44592.0</v>
      </c>
    </row>
    <row r="403">
      <c r="A403" s="5">
        <v>402.0</v>
      </c>
      <c r="B403" s="5" t="s">
        <v>959</v>
      </c>
      <c r="C403" s="5" t="s">
        <v>20</v>
      </c>
      <c r="N403" s="8">
        <v>44769.0</v>
      </c>
    </row>
    <row r="404">
      <c r="A404" s="5">
        <v>403.0</v>
      </c>
      <c r="B404" s="5" t="s">
        <v>960</v>
      </c>
      <c r="C404" s="5" t="s">
        <v>20</v>
      </c>
      <c r="K404" s="5">
        <v>150.0</v>
      </c>
      <c r="N404" s="8">
        <v>45092.0</v>
      </c>
    </row>
    <row r="405">
      <c r="A405" s="5">
        <v>404.0</v>
      </c>
      <c r="B405" s="5" t="s">
        <v>961</v>
      </c>
      <c r="C405" s="5" t="s">
        <v>20</v>
      </c>
      <c r="N405" s="8">
        <v>45487.0</v>
      </c>
    </row>
    <row r="406">
      <c r="A406" s="5">
        <v>405.0</v>
      </c>
      <c r="B406" s="5" t="s">
        <v>963</v>
      </c>
      <c r="C406" s="5" t="s">
        <v>20</v>
      </c>
      <c r="K406" s="5">
        <v>20.0</v>
      </c>
      <c r="N406" s="8">
        <v>44401.0</v>
      </c>
    </row>
    <row r="407">
      <c r="A407" s="5">
        <v>406.0</v>
      </c>
      <c r="B407" s="5" t="s">
        <v>966</v>
      </c>
      <c r="C407" s="5" t="s">
        <v>20</v>
      </c>
      <c r="K407" s="5">
        <v>900.0</v>
      </c>
      <c r="N407" s="8">
        <v>42410.0</v>
      </c>
      <c r="O407" s="5" t="s">
        <v>22</v>
      </c>
      <c r="P407" s="5" t="s">
        <v>23</v>
      </c>
      <c r="S407" s="5" t="s">
        <v>26</v>
      </c>
    </row>
    <row r="408">
      <c r="A408" s="5">
        <v>407.0</v>
      </c>
      <c r="B408" s="5" t="s">
        <v>967</v>
      </c>
      <c r="C408" s="5" t="s">
        <v>20</v>
      </c>
      <c r="N408" s="8">
        <v>44261.0</v>
      </c>
    </row>
    <row r="409">
      <c r="A409" s="5">
        <v>408.0</v>
      </c>
      <c r="B409" s="5" t="s">
        <v>968</v>
      </c>
      <c r="C409" s="5" t="s">
        <v>20</v>
      </c>
      <c r="K409" s="5">
        <v>1000.0</v>
      </c>
      <c r="N409" s="8">
        <v>44402.0</v>
      </c>
    </row>
    <row r="410">
      <c r="A410" s="5">
        <v>409.0</v>
      </c>
      <c r="B410" s="5" t="s">
        <v>969</v>
      </c>
      <c r="C410" s="5" t="s">
        <v>20</v>
      </c>
      <c r="K410" s="5">
        <v>80.0</v>
      </c>
      <c r="N410" s="8">
        <v>44671.0</v>
      </c>
    </row>
    <row r="411">
      <c r="A411" s="5">
        <v>410.0</v>
      </c>
      <c r="B411" s="5" t="s">
        <v>970</v>
      </c>
      <c r="C411" s="5" t="s">
        <v>20</v>
      </c>
      <c r="F411" s="5">
        <v>0.1</v>
      </c>
      <c r="K411" s="5">
        <v>20.0</v>
      </c>
      <c r="N411" s="8">
        <v>44077.0</v>
      </c>
      <c r="O411" s="5" t="s">
        <v>22</v>
      </c>
      <c r="P411" s="5" t="s">
        <v>23</v>
      </c>
      <c r="S411" s="5" t="s">
        <v>32</v>
      </c>
    </row>
    <row r="412">
      <c r="A412" s="5">
        <v>411.0</v>
      </c>
      <c r="B412" s="5" t="s">
        <v>971</v>
      </c>
      <c r="C412" s="5" t="s">
        <v>20</v>
      </c>
      <c r="N412" s="8">
        <v>44227.0</v>
      </c>
    </row>
    <row r="413">
      <c r="A413" s="5">
        <v>412.0</v>
      </c>
      <c r="B413" s="5" t="s">
        <v>973</v>
      </c>
      <c r="C413" s="5" t="s">
        <v>20</v>
      </c>
      <c r="N413" s="8">
        <v>45346.0</v>
      </c>
    </row>
    <row r="414">
      <c r="A414" s="5">
        <v>413.0</v>
      </c>
      <c r="B414" s="5" t="s">
        <v>974</v>
      </c>
      <c r="C414" s="5" t="s">
        <v>20</v>
      </c>
      <c r="K414" s="5">
        <v>30.0</v>
      </c>
      <c r="N414" s="8">
        <v>45443.0</v>
      </c>
    </row>
    <row r="415">
      <c r="A415" s="5">
        <v>414.0</v>
      </c>
      <c r="B415" s="5" t="s">
        <v>975</v>
      </c>
      <c r="C415" s="5" t="s">
        <v>20</v>
      </c>
      <c r="N415" s="8">
        <v>44439.0</v>
      </c>
    </row>
    <row r="416">
      <c r="A416" s="5">
        <v>415.0</v>
      </c>
      <c r="B416" s="5" t="s">
        <v>977</v>
      </c>
      <c r="C416" s="5" t="s">
        <v>20</v>
      </c>
      <c r="K416" s="5">
        <v>70.0</v>
      </c>
      <c r="N416" s="8">
        <v>46093.0</v>
      </c>
    </row>
    <row r="417">
      <c r="A417" s="5">
        <v>416.0</v>
      </c>
      <c r="B417" s="5" t="s">
        <v>978</v>
      </c>
      <c r="C417" s="5" t="s">
        <v>20</v>
      </c>
      <c r="K417" s="5">
        <v>80.0</v>
      </c>
      <c r="N417" s="8">
        <v>44588.0</v>
      </c>
    </row>
    <row r="418">
      <c r="A418" s="5">
        <v>417.0</v>
      </c>
      <c r="B418" s="5" t="s">
        <v>979</v>
      </c>
      <c r="C418" s="5" t="s">
        <v>20</v>
      </c>
      <c r="N418" s="8">
        <v>45015.0</v>
      </c>
    </row>
    <row r="419">
      <c r="A419" s="5">
        <v>418.0</v>
      </c>
      <c r="B419" s="5" t="s">
        <v>980</v>
      </c>
      <c r="C419" s="5" t="s">
        <v>20</v>
      </c>
      <c r="K419" s="5">
        <v>70.0</v>
      </c>
      <c r="N419" s="8">
        <v>44285.0</v>
      </c>
    </row>
    <row r="420">
      <c r="A420" s="5">
        <v>419.0</v>
      </c>
      <c r="B420" s="5" t="s">
        <v>982</v>
      </c>
      <c r="C420" s="5" t="s">
        <v>20</v>
      </c>
      <c r="K420" s="5">
        <v>200.0</v>
      </c>
      <c r="N420" s="8">
        <v>45059.0</v>
      </c>
    </row>
    <row r="421">
      <c r="A421" s="5">
        <v>420.0</v>
      </c>
      <c r="B421" s="5" t="s">
        <v>983</v>
      </c>
      <c r="C421" s="5" t="s">
        <v>20</v>
      </c>
      <c r="K421" s="5">
        <v>10.0</v>
      </c>
      <c r="N421" s="8">
        <v>44837.0</v>
      </c>
    </row>
    <row r="422">
      <c r="A422" s="5">
        <v>421.0</v>
      </c>
      <c r="B422" s="5" t="s">
        <v>984</v>
      </c>
      <c r="C422" s="5" t="s">
        <v>20</v>
      </c>
      <c r="N422" s="8">
        <v>44981.0</v>
      </c>
    </row>
    <row r="423">
      <c r="A423" s="5">
        <v>422.0</v>
      </c>
      <c r="B423" s="5" t="s">
        <v>986</v>
      </c>
      <c r="C423" s="5" t="s">
        <v>20</v>
      </c>
      <c r="K423" s="5">
        <v>200.0</v>
      </c>
      <c r="N423" s="8">
        <v>44870.0</v>
      </c>
    </row>
    <row r="424">
      <c r="A424" s="5">
        <v>423.0</v>
      </c>
      <c r="B424" s="5" t="s">
        <v>987</v>
      </c>
      <c r="C424" s="5" t="s">
        <v>20</v>
      </c>
      <c r="K424" s="5">
        <v>10.0</v>
      </c>
      <c r="N424" s="8">
        <v>43876.0</v>
      </c>
    </row>
    <row r="425">
      <c r="A425" s="5">
        <v>424.0</v>
      </c>
      <c r="B425" s="5" t="s">
        <v>988</v>
      </c>
      <c r="C425" s="5" t="s">
        <v>20</v>
      </c>
      <c r="K425" s="5">
        <v>40.0</v>
      </c>
      <c r="N425" s="8">
        <v>45278.0</v>
      </c>
    </row>
    <row r="426">
      <c r="A426" s="5">
        <v>425.0</v>
      </c>
      <c r="B426" s="5" t="s">
        <v>989</v>
      </c>
      <c r="C426" s="5" t="s">
        <v>20</v>
      </c>
      <c r="N426" s="8">
        <v>44270.0</v>
      </c>
    </row>
    <row r="427">
      <c r="A427" s="5">
        <v>426.0</v>
      </c>
      <c r="B427" s="5" t="s">
        <v>990</v>
      </c>
      <c r="C427" s="5" t="s">
        <v>20</v>
      </c>
      <c r="K427" s="5">
        <v>900.0</v>
      </c>
      <c r="N427" s="8">
        <v>43960.0</v>
      </c>
    </row>
    <row r="428">
      <c r="A428" s="5">
        <v>427.0</v>
      </c>
      <c r="B428" s="5" t="s">
        <v>992</v>
      </c>
      <c r="C428" s="5" t="s">
        <v>20</v>
      </c>
      <c r="K428" s="5">
        <v>100.0</v>
      </c>
      <c r="N428" s="8">
        <v>45169.0</v>
      </c>
    </row>
    <row r="429">
      <c r="A429" s="5">
        <v>428.0</v>
      </c>
      <c r="B429" s="5" t="s">
        <v>993</v>
      </c>
      <c r="C429" s="5" t="s">
        <v>20</v>
      </c>
      <c r="N429" s="8">
        <v>44343.0</v>
      </c>
    </row>
    <row r="430">
      <c r="A430" s="5">
        <v>429.0</v>
      </c>
      <c r="B430" s="5" t="s">
        <v>994</v>
      </c>
      <c r="C430" s="5" t="s">
        <v>20</v>
      </c>
      <c r="K430" s="5">
        <v>150.0</v>
      </c>
      <c r="N430" s="8">
        <v>44321.0</v>
      </c>
    </row>
    <row r="431">
      <c r="A431" s="5">
        <v>430.0</v>
      </c>
      <c r="B431" s="5" t="s">
        <v>996</v>
      </c>
      <c r="C431" s="5" t="s">
        <v>20</v>
      </c>
      <c r="K431" s="5">
        <v>90.0</v>
      </c>
      <c r="N431" s="8">
        <v>44529.0</v>
      </c>
    </row>
    <row r="432">
      <c r="A432" s="5">
        <v>431.0</v>
      </c>
      <c r="B432" s="5" t="s">
        <v>997</v>
      </c>
      <c r="C432" s="5" t="s">
        <v>20</v>
      </c>
      <c r="K432" s="5">
        <v>100.0</v>
      </c>
      <c r="N432" s="8">
        <v>44506.0</v>
      </c>
    </row>
    <row r="433">
      <c r="A433" s="5">
        <v>432.0</v>
      </c>
      <c r="B433" s="5" t="s">
        <v>998</v>
      </c>
      <c r="C433" s="5" t="s">
        <v>20</v>
      </c>
      <c r="K433" s="5">
        <v>350.0</v>
      </c>
      <c r="N433" s="8">
        <v>44880.0</v>
      </c>
    </row>
    <row r="434">
      <c r="A434" s="5">
        <v>433.0</v>
      </c>
      <c r="B434" s="5" t="s">
        <v>1000</v>
      </c>
      <c r="C434" s="5" t="s">
        <v>20</v>
      </c>
      <c r="N434" s="8">
        <v>45375.0</v>
      </c>
    </row>
    <row r="435">
      <c r="A435" s="5">
        <v>434.0</v>
      </c>
      <c r="B435" s="5" t="s">
        <v>1001</v>
      </c>
      <c r="C435" s="5" t="s">
        <v>20</v>
      </c>
      <c r="K435" s="5">
        <v>150.0</v>
      </c>
      <c r="N435" s="8">
        <v>45612.0</v>
      </c>
    </row>
    <row r="436">
      <c r="A436" s="5">
        <v>435.0</v>
      </c>
      <c r="B436" s="5" t="s">
        <v>1003</v>
      </c>
      <c r="C436" s="5" t="s">
        <v>20</v>
      </c>
      <c r="K436" s="5">
        <v>350.0</v>
      </c>
      <c r="N436" s="8">
        <v>44273.0</v>
      </c>
    </row>
    <row r="437">
      <c r="A437" s="5">
        <v>436.0</v>
      </c>
      <c r="B437" s="5" t="s">
        <v>1004</v>
      </c>
      <c r="C437" s="5" t="s">
        <v>20</v>
      </c>
      <c r="K437" s="5">
        <v>100.0</v>
      </c>
      <c r="N437" s="8">
        <v>43177.0</v>
      </c>
    </row>
    <row r="438">
      <c r="A438" s="5">
        <v>437.0</v>
      </c>
      <c r="B438" s="5" t="s">
        <v>1007</v>
      </c>
      <c r="C438" s="5" t="s">
        <v>20</v>
      </c>
      <c r="K438" s="5">
        <v>150.0</v>
      </c>
      <c r="N438" s="8">
        <v>44216.0</v>
      </c>
    </row>
    <row r="439">
      <c r="A439" s="5">
        <v>438.0</v>
      </c>
      <c r="B439" s="5" t="s">
        <v>1008</v>
      </c>
      <c r="C439" s="5" t="s">
        <v>20</v>
      </c>
      <c r="K439" s="5">
        <v>50.0</v>
      </c>
      <c r="N439" s="8">
        <v>44068.0</v>
      </c>
    </row>
    <row r="440">
      <c r="A440" s="5">
        <v>439.0</v>
      </c>
      <c r="B440" s="5" t="s">
        <v>1009</v>
      </c>
      <c r="C440" s="5" t="s">
        <v>20</v>
      </c>
      <c r="K440" s="5">
        <v>100.0</v>
      </c>
      <c r="N440" s="8">
        <v>45754.0</v>
      </c>
    </row>
    <row r="441">
      <c r="A441" s="5">
        <v>440.0</v>
      </c>
      <c r="B441" s="5" t="s">
        <v>1011</v>
      </c>
      <c r="C441" s="5" t="s">
        <v>20</v>
      </c>
      <c r="N441" s="8">
        <v>44031.0</v>
      </c>
    </row>
    <row r="442">
      <c r="A442" s="5">
        <v>441.0</v>
      </c>
      <c r="B442" s="5" t="s">
        <v>1012</v>
      </c>
      <c r="C442" s="5" t="s">
        <v>20</v>
      </c>
      <c r="K442" s="5">
        <v>4300.0</v>
      </c>
      <c r="N442" s="8">
        <v>43233.0</v>
      </c>
      <c r="O442" s="5" t="s">
        <v>22</v>
      </c>
      <c r="P442" s="5" t="s">
        <v>23</v>
      </c>
      <c r="S442" s="5" t="s">
        <v>26</v>
      </c>
    </row>
    <row r="443">
      <c r="A443" s="5">
        <v>442.0</v>
      </c>
      <c r="B443" s="5" t="s">
        <v>1014</v>
      </c>
      <c r="C443" s="5" t="s">
        <v>20</v>
      </c>
      <c r="K443" s="5">
        <v>200.0</v>
      </c>
      <c r="N443" s="8">
        <v>44237.0</v>
      </c>
    </row>
    <row r="444">
      <c r="A444" s="5">
        <v>443.0</v>
      </c>
      <c r="B444" s="5" t="s">
        <v>1015</v>
      </c>
      <c r="C444" s="5" t="s">
        <v>20</v>
      </c>
      <c r="K444" s="5">
        <v>100.0</v>
      </c>
      <c r="N444" s="8">
        <v>44270.0</v>
      </c>
    </row>
    <row r="445">
      <c r="A445" s="5">
        <v>444.0</v>
      </c>
      <c r="B445" s="5" t="s">
        <v>1017</v>
      </c>
      <c r="C445" s="5" t="s">
        <v>20</v>
      </c>
      <c r="K445" s="5">
        <v>350.0</v>
      </c>
      <c r="N445" s="8">
        <v>44868.0</v>
      </c>
    </row>
    <row r="446">
      <c r="A446" s="5">
        <v>445.0</v>
      </c>
      <c r="B446" s="5" t="s">
        <v>1018</v>
      </c>
      <c r="C446" s="5" t="s">
        <v>20</v>
      </c>
      <c r="N446" s="8">
        <v>45020.0</v>
      </c>
    </row>
    <row r="447">
      <c r="A447" s="5">
        <v>446.0</v>
      </c>
      <c r="B447" s="5" t="s">
        <v>1019</v>
      </c>
      <c r="C447" s="5" t="s">
        <v>20</v>
      </c>
      <c r="K447" s="5">
        <v>20.0</v>
      </c>
      <c r="N447" s="8">
        <v>43080.0</v>
      </c>
    </row>
    <row r="448">
      <c r="A448" s="5">
        <v>447.0</v>
      </c>
      <c r="B448" s="5" t="s">
        <v>1021</v>
      </c>
      <c r="C448" s="5" t="s">
        <v>20</v>
      </c>
      <c r="N448" s="8">
        <v>45378.0</v>
      </c>
    </row>
    <row r="449">
      <c r="A449" s="5">
        <v>448.0</v>
      </c>
      <c r="B449" s="5" t="s">
        <v>1022</v>
      </c>
      <c r="C449" s="5" t="s">
        <v>20</v>
      </c>
      <c r="K449" s="5">
        <v>1500.0</v>
      </c>
      <c r="N449" s="8">
        <v>44176.0</v>
      </c>
    </row>
    <row r="450">
      <c r="A450" s="5">
        <v>449.0</v>
      </c>
      <c r="B450" s="5" t="s">
        <v>1024</v>
      </c>
      <c r="C450" s="5" t="s">
        <v>20</v>
      </c>
      <c r="K450" s="5">
        <v>200.0</v>
      </c>
      <c r="N450" s="8">
        <v>44349.0</v>
      </c>
    </row>
    <row r="451">
      <c r="A451" s="5">
        <v>450.0</v>
      </c>
      <c r="B451" s="5" t="s">
        <v>1025</v>
      </c>
      <c r="C451" s="5" t="s">
        <v>20</v>
      </c>
      <c r="K451" s="5">
        <v>250.0</v>
      </c>
      <c r="N451" s="8">
        <v>44900.0</v>
      </c>
    </row>
    <row r="452">
      <c r="A452" s="5">
        <v>451.0</v>
      </c>
      <c r="B452" s="5" t="s">
        <v>1027</v>
      </c>
      <c r="C452" s="5" t="s">
        <v>20</v>
      </c>
      <c r="K452" s="5">
        <v>10.0</v>
      </c>
      <c r="N452" s="8">
        <v>44728.0</v>
      </c>
    </row>
    <row r="453">
      <c r="A453" s="5">
        <v>452.0</v>
      </c>
      <c r="B453" s="5" t="s">
        <v>1029</v>
      </c>
      <c r="C453" s="5" t="s">
        <v>20</v>
      </c>
      <c r="K453" s="5">
        <v>14000.0</v>
      </c>
      <c r="N453" s="8">
        <v>43425.0</v>
      </c>
    </row>
    <row r="454">
      <c r="A454" s="5">
        <v>453.0</v>
      </c>
      <c r="B454" s="5" t="s">
        <v>1030</v>
      </c>
      <c r="C454" s="5" t="s">
        <v>20</v>
      </c>
      <c r="K454" s="5">
        <v>10.0</v>
      </c>
      <c r="N454" s="8">
        <v>44731.0</v>
      </c>
    </row>
    <row r="455">
      <c r="A455" s="5">
        <v>454.0</v>
      </c>
      <c r="B455" s="5" t="s">
        <v>1031</v>
      </c>
      <c r="C455" s="5" t="s">
        <v>20</v>
      </c>
      <c r="K455" s="5">
        <v>30.0</v>
      </c>
      <c r="N455" s="8">
        <v>45873.0</v>
      </c>
    </row>
    <row r="456">
      <c r="A456" s="5">
        <v>455.0</v>
      </c>
      <c r="B456" s="5" t="s">
        <v>118</v>
      </c>
      <c r="C456" s="5" t="s">
        <v>20</v>
      </c>
      <c r="K456" s="5">
        <v>1100.0</v>
      </c>
      <c r="N456" s="8">
        <v>44200.0</v>
      </c>
    </row>
    <row r="457">
      <c r="A457" s="5">
        <v>456.0</v>
      </c>
      <c r="B457" s="5" t="s">
        <v>1033</v>
      </c>
      <c r="C457" s="5" t="s">
        <v>20</v>
      </c>
      <c r="K457" s="5">
        <v>150.0</v>
      </c>
      <c r="N457" s="8">
        <v>44986.0</v>
      </c>
    </row>
    <row r="458">
      <c r="A458" s="5">
        <v>457.0</v>
      </c>
      <c r="B458" s="5" t="s">
        <v>1034</v>
      </c>
      <c r="C458" s="5" t="s">
        <v>20</v>
      </c>
      <c r="K458" s="5">
        <v>500.0</v>
      </c>
      <c r="N458" s="8">
        <v>45481.0</v>
      </c>
    </row>
    <row r="459">
      <c r="A459" s="5">
        <v>458.0</v>
      </c>
      <c r="B459" s="5" t="s">
        <v>1035</v>
      </c>
      <c r="C459" s="5" t="s">
        <v>20</v>
      </c>
      <c r="K459" s="5">
        <v>1200.0</v>
      </c>
      <c r="N459" s="8">
        <v>44860.0</v>
      </c>
    </row>
    <row r="460">
      <c r="A460" s="5">
        <v>459.0</v>
      </c>
      <c r="B460" s="5" t="s">
        <v>1037</v>
      </c>
      <c r="C460" s="5" t="s">
        <v>20</v>
      </c>
      <c r="K460" s="5">
        <v>300.0</v>
      </c>
      <c r="N460" s="8">
        <v>44490.0</v>
      </c>
    </row>
    <row r="461">
      <c r="A461" s="5">
        <v>460.0</v>
      </c>
      <c r="B461" s="5" t="s">
        <v>1038</v>
      </c>
      <c r="C461" s="5" t="s">
        <v>20</v>
      </c>
      <c r="K461" s="5">
        <v>10.0</v>
      </c>
      <c r="N461" s="8">
        <v>44621.0</v>
      </c>
    </row>
    <row r="462">
      <c r="A462" s="5">
        <v>461.0</v>
      </c>
      <c r="B462" s="5" t="s">
        <v>1039</v>
      </c>
      <c r="C462" s="5" t="s">
        <v>20</v>
      </c>
      <c r="K462" s="5">
        <v>900.0</v>
      </c>
      <c r="N462" s="8">
        <v>43889.0</v>
      </c>
    </row>
    <row r="463">
      <c r="A463" s="5">
        <v>462.0</v>
      </c>
      <c r="B463" s="5" t="s">
        <v>1040</v>
      </c>
      <c r="C463" s="5" t="s">
        <v>20</v>
      </c>
      <c r="K463" s="5">
        <v>40.0</v>
      </c>
      <c r="N463" s="8">
        <v>44110.0</v>
      </c>
    </row>
    <row r="464">
      <c r="A464" s="5">
        <v>463.0</v>
      </c>
      <c r="B464" s="5" t="s">
        <v>1041</v>
      </c>
      <c r="C464" s="5" t="s">
        <v>20</v>
      </c>
      <c r="K464" s="5">
        <v>40.0</v>
      </c>
      <c r="N464" s="8">
        <v>43924.0</v>
      </c>
    </row>
    <row r="465">
      <c r="A465" s="5">
        <v>464.0</v>
      </c>
      <c r="B465" s="5" t="s">
        <v>1042</v>
      </c>
      <c r="C465" s="5" t="s">
        <v>20</v>
      </c>
      <c r="K465" s="5">
        <v>60.0</v>
      </c>
      <c r="N465" s="8">
        <v>44079.0</v>
      </c>
    </row>
    <row r="466">
      <c r="A466" s="5">
        <v>465.0</v>
      </c>
      <c r="B466" s="5" t="s">
        <v>1043</v>
      </c>
      <c r="C466" s="5" t="s">
        <v>20</v>
      </c>
      <c r="K466" s="5">
        <v>150.0</v>
      </c>
      <c r="N466" s="8">
        <v>42929.0</v>
      </c>
    </row>
    <row r="467">
      <c r="A467" s="5">
        <v>466.0</v>
      </c>
      <c r="B467" s="5" t="s">
        <v>1044</v>
      </c>
      <c r="C467" s="5" t="s">
        <v>20</v>
      </c>
      <c r="K467" s="5">
        <v>50.0</v>
      </c>
      <c r="N467" s="8">
        <v>44110.0</v>
      </c>
    </row>
    <row r="468">
      <c r="A468" s="5">
        <v>467.0</v>
      </c>
      <c r="B468" s="5" t="s">
        <v>1045</v>
      </c>
      <c r="C468" s="5" t="s">
        <v>20</v>
      </c>
      <c r="N468" s="8">
        <v>45063.0</v>
      </c>
    </row>
    <row r="469">
      <c r="A469" s="5">
        <v>468.0</v>
      </c>
      <c r="B469" s="5" t="s">
        <v>1046</v>
      </c>
      <c r="C469" s="5" t="s">
        <v>20</v>
      </c>
      <c r="N469" s="8">
        <v>44272.0</v>
      </c>
    </row>
    <row r="470">
      <c r="A470" s="5">
        <v>469.0</v>
      </c>
      <c r="B470" s="5" t="s">
        <v>1048</v>
      </c>
      <c r="C470" s="5" t="s">
        <v>20</v>
      </c>
      <c r="K470" s="5">
        <v>100.0</v>
      </c>
      <c r="N470" s="8">
        <v>44940.0</v>
      </c>
    </row>
    <row r="471">
      <c r="A471" s="5">
        <v>470.0</v>
      </c>
      <c r="B471" s="5" t="s">
        <v>1050</v>
      </c>
      <c r="C471" s="5" t="s">
        <v>20</v>
      </c>
      <c r="N471" s="8">
        <v>44632.0</v>
      </c>
    </row>
    <row r="472">
      <c r="A472" s="5">
        <v>471.0</v>
      </c>
      <c r="B472" s="5" t="s">
        <v>1051</v>
      </c>
      <c r="C472" s="5" t="s">
        <v>20</v>
      </c>
      <c r="K472" s="5">
        <v>40.0</v>
      </c>
      <c r="N472" s="8">
        <v>45393.0</v>
      </c>
    </row>
    <row r="473">
      <c r="A473" s="5">
        <v>472.0</v>
      </c>
      <c r="B473" s="5" t="s">
        <v>1052</v>
      </c>
      <c r="C473" s="5" t="s">
        <v>20</v>
      </c>
      <c r="N473" s="8">
        <v>44067.0</v>
      </c>
    </row>
    <row r="474">
      <c r="A474" s="5">
        <v>473.0</v>
      </c>
      <c r="B474" s="5" t="s">
        <v>1054</v>
      </c>
      <c r="C474" s="5" t="s">
        <v>20</v>
      </c>
      <c r="K474" s="5">
        <v>2000.0</v>
      </c>
      <c r="N474" s="8">
        <v>43842.0</v>
      </c>
    </row>
    <row r="475">
      <c r="A475" s="5">
        <v>474.0</v>
      </c>
      <c r="B475" s="5" t="s">
        <v>1055</v>
      </c>
      <c r="C475" s="5" t="s">
        <v>20</v>
      </c>
      <c r="K475" s="5">
        <v>2800.0</v>
      </c>
      <c r="N475" s="8">
        <v>44387.0</v>
      </c>
    </row>
    <row r="476">
      <c r="A476" s="5">
        <v>475.0</v>
      </c>
      <c r="B476" s="5" t="s">
        <v>1056</v>
      </c>
      <c r="C476" s="5" t="s">
        <v>20</v>
      </c>
      <c r="N476" s="8">
        <v>44402.0</v>
      </c>
    </row>
    <row r="477">
      <c r="A477" s="5">
        <v>476.0</v>
      </c>
      <c r="B477" s="5" t="s">
        <v>1057</v>
      </c>
      <c r="C477" s="5" t="s">
        <v>20</v>
      </c>
      <c r="K477" s="5">
        <v>40.0</v>
      </c>
      <c r="N477" s="8">
        <v>44668.0</v>
      </c>
    </row>
    <row r="478">
      <c r="A478" s="5">
        <v>477.0</v>
      </c>
      <c r="B478" s="5" t="s">
        <v>1058</v>
      </c>
      <c r="C478" s="5" t="s">
        <v>20</v>
      </c>
      <c r="N478" s="8">
        <v>44346.0</v>
      </c>
    </row>
    <row r="479">
      <c r="A479" s="5">
        <v>478.0</v>
      </c>
      <c r="B479" s="5" t="s">
        <v>1059</v>
      </c>
      <c r="C479" s="5" t="s">
        <v>20</v>
      </c>
      <c r="K479" s="5">
        <v>90.0</v>
      </c>
      <c r="N479" s="8">
        <v>44966.0</v>
      </c>
    </row>
    <row r="480">
      <c r="A480" s="5">
        <v>479.0</v>
      </c>
      <c r="B480" s="5" t="s">
        <v>1061</v>
      </c>
      <c r="C480" s="5" t="s">
        <v>20</v>
      </c>
      <c r="K480" s="5">
        <v>150.0</v>
      </c>
      <c r="N480" s="8">
        <v>44926.0</v>
      </c>
    </row>
    <row r="481">
      <c r="A481" s="5">
        <v>480.0</v>
      </c>
      <c r="B481" s="5" t="s">
        <v>1062</v>
      </c>
      <c r="C481" s="5" t="s">
        <v>20</v>
      </c>
      <c r="K481" s="5">
        <v>200.0</v>
      </c>
      <c r="N481" s="8">
        <v>44532.0</v>
      </c>
    </row>
    <row r="482">
      <c r="A482" s="5">
        <v>481.0</v>
      </c>
      <c r="B482" s="5" t="s">
        <v>1064</v>
      </c>
      <c r="C482" s="5" t="s">
        <v>20</v>
      </c>
      <c r="K482" s="5">
        <v>1600.0</v>
      </c>
      <c r="N482" s="8">
        <v>44488.0</v>
      </c>
    </row>
    <row r="483">
      <c r="A483" s="5">
        <v>482.0</v>
      </c>
      <c r="B483" s="5" t="s">
        <v>1065</v>
      </c>
      <c r="C483" s="5" t="s">
        <v>20</v>
      </c>
      <c r="K483" s="5">
        <v>40.0</v>
      </c>
      <c r="N483" s="8">
        <v>44544.0</v>
      </c>
    </row>
    <row r="484">
      <c r="A484" s="5">
        <v>483.0</v>
      </c>
      <c r="B484" s="5" t="s">
        <v>1067</v>
      </c>
      <c r="C484" s="5" t="s">
        <v>20</v>
      </c>
      <c r="K484" s="5">
        <v>300.0</v>
      </c>
      <c r="N484" s="8">
        <v>44220.0</v>
      </c>
    </row>
    <row r="485">
      <c r="A485" s="5">
        <v>484.0</v>
      </c>
      <c r="B485" s="5" t="s">
        <v>1068</v>
      </c>
      <c r="C485" s="5" t="s">
        <v>20</v>
      </c>
      <c r="K485" s="5">
        <v>80.0</v>
      </c>
      <c r="N485" s="8">
        <v>45362.0</v>
      </c>
    </row>
    <row r="486">
      <c r="A486" s="5">
        <v>485.0</v>
      </c>
      <c r="B486" s="5" t="s">
        <v>1071</v>
      </c>
      <c r="C486" s="5" t="s">
        <v>20</v>
      </c>
      <c r="K486" s="5">
        <v>2100.0</v>
      </c>
      <c r="N486" s="8">
        <v>43139.0</v>
      </c>
    </row>
    <row r="487">
      <c r="A487" s="5">
        <v>486.0</v>
      </c>
      <c r="B487" s="5" t="s">
        <v>119</v>
      </c>
      <c r="C487" s="5" t="s">
        <v>20</v>
      </c>
      <c r="K487" s="5">
        <v>200.0</v>
      </c>
      <c r="N487" s="8">
        <v>44628.0</v>
      </c>
    </row>
    <row r="488">
      <c r="A488" s="5">
        <v>487.0</v>
      </c>
      <c r="B488" s="5" t="s">
        <v>1073</v>
      </c>
      <c r="C488" s="5" t="s">
        <v>20</v>
      </c>
      <c r="K488" s="5">
        <v>60.0</v>
      </c>
      <c r="N488" s="8">
        <v>44212.0</v>
      </c>
    </row>
    <row r="489">
      <c r="A489" s="5">
        <v>488.0</v>
      </c>
      <c r="B489" s="5" t="s">
        <v>1074</v>
      </c>
      <c r="C489" s="5" t="s">
        <v>20</v>
      </c>
      <c r="K489" s="5">
        <v>3800.0</v>
      </c>
      <c r="N489" s="8">
        <v>45044.0</v>
      </c>
    </row>
    <row r="490">
      <c r="A490" s="5">
        <v>489.0</v>
      </c>
      <c r="B490" s="5" t="s">
        <v>1076</v>
      </c>
      <c r="C490" s="5" t="s">
        <v>20</v>
      </c>
      <c r="N490" s="8">
        <v>45114.0</v>
      </c>
    </row>
    <row r="491">
      <c r="A491" s="5">
        <v>490.0</v>
      </c>
      <c r="B491" s="5" t="s">
        <v>1077</v>
      </c>
      <c r="C491" s="5" t="s">
        <v>20</v>
      </c>
      <c r="K491" s="5">
        <v>150.0</v>
      </c>
      <c r="N491" s="8">
        <v>44954.0</v>
      </c>
    </row>
    <row r="492">
      <c r="A492" s="5">
        <v>491.0</v>
      </c>
      <c r="B492" s="5" t="s">
        <v>121</v>
      </c>
      <c r="C492" s="5" t="s">
        <v>20</v>
      </c>
      <c r="K492" s="5">
        <v>10.0</v>
      </c>
      <c r="N492" s="8">
        <v>44282.0</v>
      </c>
    </row>
    <row r="493">
      <c r="A493" s="5">
        <v>492.0</v>
      </c>
      <c r="B493" s="5" t="s">
        <v>1079</v>
      </c>
      <c r="C493" s="5" t="s">
        <v>20</v>
      </c>
      <c r="K493" s="5">
        <v>200.0</v>
      </c>
      <c r="N493" s="8">
        <v>43866.0</v>
      </c>
    </row>
    <row r="494">
      <c r="A494" s="5">
        <v>493.0</v>
      </c>
      <c r="B494" s="5" t="s">
        <v>1080</v>
      </c>
      <c r="C494" s="5" t="s">
        <v>20</v>
      </c>
      <c r="K494" s="5">
        <v>100.0</v>
      </c>
      <c r="N494" s="8">
        <v>44501.0</v>
      </c>
    </row>
    <row r="495">
      <c r="A495" s="5">
        <v>494.0</v>
      </c>
      <c r="B495" s="5" t="s">
        <v>1083</v>
      </c>
      <c r="C495" s="5" t="s">
        <v>20</v>
      </c>
      <c r="K495" s="5">
        <v>3100.0</v>
      </c>
      <c r="N495" s="8">
        <v>44064.0</v>
      </c>
    </row>
    <row r="496">
      <c r="A496" s="5">
        <v>495.0</v>
      </c>
      <c r="B496" s="5" t="s">
        <v>1084</v>
      </c>
      <c r="C496" s="5" t="s">
        <v>20</v>
      </c>
      <c r="K496" s="5">
        <v>10.0</v>
      </c>
      <c r="N496" s="8">
        <v>43840.0</v>
      </c>
    </row>
    <row r="497">
      <c r="A497" s="5">
        <v>496.0</v>
      </c>
      <c r="B497" s="5" t="s">
        <v>1086</v>
      </c>
      <c r="C497" s="5" t="s">
        <v>20</v>
      </c>
      <c r="N497" s="8">
        <v>44373.0</v>
      </c>
    </row>
    <row r="498">
      <c r="A498" s="5">
        <v>497.0</v>
      </c>
      <c r="B498" s="5" t="s">
        <v>1087</v>
      </c>
      <c r="C498" s="5" t="s">
        <v>20</v>
      </c>
      <c r="K498" s="5">
        <v>350.0</v>
      </c>
      <c r="N498" s="8">
        <v>44473.0</v>
      </c>
    </row>
    <row r="499">
      <c r="A499" s="5">
        <v>498.0</v>
      </c>
      <c r="B499" s="5" t="s">
        <v>1089</v>
      </c>
      <c r="C499" s="5" t="s">
        <v>20</v>
      </c>
      <c r="K499" s="5">
        <v>250.0</v>
      </c>
      <c r="N499" s="8">
        <v>44422.0</v>
      </c>
    </row>
    <row r="500">
      <c r="A500" s="5">
        <v>499.0</v>
      </c>
      <c r="B500" s="5" t="s">
        <v>1090</v>
      </c>
      <c r="C500" s="5" t="s">
        <v>20</v>
      </c>
      <c r="K500" s="5">
        <v>60.0</v>
      </c>
      <c r="N500" s="8">
        <v>45305.0</v>
      </c>
    </row>
    <row r="501">
      <c r="A501" s="5">
        <v>500.0</v>
      </c>
      <c r="B501" s="5" t="s">
        <v>1092</v>
      </c>
      <c r="C501" s="5" t="s">
        <v>20</v>
      </c>
      <c r="K501" s="5">
        <v>200.0</v>
      </c>
      <c r="N501" s="8">
        <v>44490.0</v>
      </c>
    </row>
    <row r="502">
      <c r="A502" s="5">
        <v>501.0</v>
      </c>
      <c r="B502" s="5" t="s">
        <v>1093</v>
      </c>
      <c r="C502" s="5" t="s">
        <v>20</v>
      </c>
      <c r="N502" s="8">
        <v>44720.0</v>
      </c>
    </row>
    <row r="503">
      <c r="A503" s="5">
        <v>502.0</v>
      </c>
      <c r="B503" s="5" t="s">
        <v>1094</v>
      </c>
      <c r="C503" s="5" t="s">
        <v>20</v>
      </c>
      <c r="K503" s="5">
        <v>1300.0</v>
      </c>
      <c r="N503" s="8">
        <v>44873.0</v>
      </c>
    </row>
    <row r="504">
      <c r="A504" s="5">
        <v>503.0</v>
      </c>
      <c r="B504" s="5" t="s">
        <v>1096</v>
      </c>
      <c r="C504" s="5" t="s">
        <v>20</v>
      </c>
      <c r="N504" s="8">
        <v>45235.0</v>
      </c>
    </row>
    <row r="505">
      <c r="A505" s="5">
        <v>504.0</v>
      </c>
      <c r="B505" s="5" t="s">
        <v>1097</v>
      </c>
      <c r="C505" s="5" t="s">
        <v>20</v>
      </c>
      <c r="K505" s="5">
        <v>10.0</v>
      </c>
      <c r="N505" s="8">
        <v>46114.0</v>
      </c>
    </row>
    <row r="506">
      <c r="A506" s="5">
        <v>505.0</v>
      </c>
      <c r="B506" s="5" t="s">
        <v>1099</v>
      </c>
      <c r="C506" s="5" t="s">
        <v>20</v>
      </c>
      <c r="K506" s="5">
        <v>2800.0</v>
      </c>
      <c r="N506" s="8">
        <v>42648.0</v>
      </c>
      <c r="O506" s="5" t="s">
        <v>22</v>
      </c>
      <c r="P506" s="5" t="s">
        <v>23</v>
      </c>
      <c r="S506" s="5" t="s">
        <v>26</v>
      </c>
    </row>
    <row r="507">
      <c r="A507" s="5">
        <v>506.0</v>
      </c>
      <c r="B507" s="5" t="s">
        <v>1101</v>
      </c>
      <c r="C507" s="5" t="s">
        <v>20</v>
      </c>
      <c r="K507" s="5">
        <v>300.0</v>
      </c>
      <c r="N507" s="8">
        <v>44585.0</v>
      </c>
    </row>
    <row r="508">
      <c r="A508" s="5">
        <v>507.0</v>
      </c>
      <c r="B508" s="5" t="s">
        <v>1102</v>
      </c>
      <c r="C508" s="5" t="s">
        <v>20</v>
      </c>
      <c r="K508" s="5">
        <v>700.0</v>
      </c>
      <c r="N508" s="8">
        <v>44051.0</v>
      </c>
    </row>
    <row r="509">
      <c r="A509" s="5">
        <v>508.0</v>
      </c>
      <c r="B509" s="5" t="s">
        <v>1104</v>
      </c>
      <c r="C509" s="5" t="s">
        <v>20</v>
      </c>
      <c r="N509" s="8">
        <v>45054.0</v>
      </c>
    </row>
    <row r="510">
      <c r="A510" s="5">
        <v>509.0</v>
      </c>
      <c r="B510" s="5" t="s">
        <v>1105</v>
      </c>
      <c r="C510" s="5" t="s">
        <v>20</v>
      </c>
      <c r="K510" s="5">
        <v>10.0</v>
      </c>
      <c r="N510" s="8">
        <v>44115.0</v>
      </c>
    </row>
    <row r="511">
      <c r="A511" s="5">
        <v>510.0</v>
      </c>
      <c r="B511" s="5" t="s">
        <v>1107</v>
      </c>
      <c r="C511" s="5" t="s">
        <v>20</v>
      </c>
      <c r="K511" s="5">
        <v>400.0</v>
      </c>
      <c r="N511" s="8">
        <v>44535.0</v>
      </c>
    </row>
    <row r="512">
      <c r="A512" s="5">
        <v>511.0</v>
      </c>
      <c r="B512" s="5" t="s">
        <v>1109</v>
      </c>
      <c r="C512" s="5" t="s">
        <v>20</v>
      </c>
      <c r="K512" s="5">
        <v>60.0</v>
      </c>
      <c r="N512" s="8">
        <v>44760.0</v>
      </c>
    </row>
    <row r="513">
      <c r="A513" s="5">
        <v>512.0</v>
      </c>
      <c r="B513" s="5" t="s">
        <v>1110</v>
      </c>
      <c r="C513" s="5" t="s">
        <v>20</v>
      </c>
      <c r="K513" s="5">
        <v>1500.0</v>
      </c>
      <c r="N513" s="8">
        <v>44480.0</v>
      </c>
    </row>
    <row r="514">
      <c r="A514" s="5">
        <v>513.0</v>
      </c>
      <c r="B514" s="5" t="s">
        <v>1112</v>
      </c>
      <c r="C514" s="5" t="s">
        <v>20</v>
      </c>
      <c r="K514" s="5">
        <v>600.0</v>
      </c>
      <c r="N514" s="8">
        <v>44694.0</v>
      </c>
    </row>
    <row r="515">
      <c r="A515" s="5">
        <v>514.0</v>
      </c>
      <c r="B515" s="5" t="s">
        <v>1113</v>
      </c>
      <c r="C515" s="5" t="s">
        <v>20</v>
      </c>
      <c r="K515" s="5">
        <v>350.0</v>
      </c>
      <c r="N515" s="8">
        <v>44981.0</v>
      </c>
    </row>
    <row r="516">
      <c r="A516" s="5">
        <v>515.0</v>
      </c>
      <c r="B516" s="5" t="s">
        <v>124</v>
      </c>
      <c r="C516" s="5" t="s">
        <v>20</v>
      </c>
      <c r="K516" s="5">
        <v>2000.0</v>
      </c>
      <c r="N516" s="8">
        <v>44055.0</v>
      </c>
    </row>
    <row r="517">
      <c r="A517" s="5">
        <v>516.0</v>
      </c>
      <c r="B517" s="5" t="s">
        <v>1115</v>
      </c>
      <c r="C517" s="5" t="s">
        <v>20</v>
      </c>
      <c r="K517" s="5">
        <v>100.0</v>
      </c>
      <c r="N517" s="8">
        <v>44343.0</v>
      </c>
    </row>
    <row r="518">
      <c r="A518" s="5">
        <v>517.0</v>
      </c>
      <c r="B518" s="5" t="s">
        <v>1117</v>
      </c>
      <c r="C518" s="5" t="s">
        <v>20</v>
      </c>
      <c r="K518" s="5">
        <v>90.0</v>
      </c>
      <c r="N518" s="8">
        <v>46090.0</v>
      </c>
    </row>
    <row r="519">
      <c r="A519" s="5">
        <v>518.0</v>
      </c>
      <c r="B519" s="5" t="s">
        <v>1118</v>
      </c>
      <c r="C519" s="5" t="s">
        <v>20</v>
      </c>
      <c r="N519" s="8">
        <v>44545.0</v>
      </c>
    </row>
    <row r="520">
      <c r="A520" s="5">
        <v>519.0</v>
      </c>
      <c r="B520" s="5" t="s">
        <v>1119</v>
      </c>
      <c r="C520" s="5" t="s">
        <v>20</v>
      </c>
      <c r="K520" s="5">
        <v>30.0</v>
      </c>
      <c r="N520" s="8">
        <v>44253.0</v>
      </c>
    </row>
    <row r="521">
      <c r="A521" s="5">
        <v>520.0</v>
      </c>
      <c r="B521" s="5" t="s">
        <v>1121</v>
      </c>
      <c r="C521" s="5" t="s">
        <v>20</v>
      </c>
      <c r="K521" s="5">
        <v>90.0</v>
      </c>
      <c r="N521" s="8">
        <v>44640.0</v>
      </c>
    </row>
    <row r="522">
      <c r="A522" s="5">
        <v>521.0</v>
      </c>
      <c r="B522" s="5" t="s">
        <v>1122</v>
      </c>
      <c r="C522" s="5" t="s">
        <v>20</v>
      </c>
      <c r="K522" s="5">
        <v>700.0</v>
      </c>
      <c r="N522" s="8">
        <v>44181.0</v>
      </c>
    </row>
    <row r="523">
      <c r="A523" s="5">
        <v>522.0</v>
      </c>
      <c r="B523" s="5" t="s">
        <v>1123</v>
      </c>
      <c r="C523" s="5" t="s">
        <v>20</v>
      </c>
      <c r="K523" s="5">
        <v>150.0</v>
      </c>
      <c r="N523" s="8">
        <v>44190.0</v>
      </c>
    </row>
    <row r="524">
      <c r="A524" s="5">
        <v>523.0</v>
      </c>
      <c r="B524" s="5" t="s">
        <v>1125</v>
      </c>
      <c r="C524" s="5" t="s">
        <v>20</v>
      </c>
      <c r="K524" s="5">
        <v>40.0</v>
      </c>
      <c r="N524" s="8">
        <v>44902.0</v>
      </c>
    </row>
    <row r="525">
      <c r="A525" s="5">
        <v>524.0</v>
      </c>
      <c r="B525" s="5" t="s">
        <v>1126</v>
      </c>
      <c r="C525" s="5" t="s">
        <v>20</v>
      </c>
      <c r="K525" s="5">
        <v>56000.0</v>
      </c>
      <c r="N525" s="8">
        <v>43568.0</v>
      </c>
    </row>
    <row r="526">
      <c r="A526" s="5">
        <v>525.0</v>
      </c>
      <c r="B526" s="5" t="s">
        <v>125</v>
      </c>
      <c r="C526" s="5" t="s">
        <v>20</v>
      </c>
      <c r="K526" s="5">
        <v>500.0</v>
      </c>
      <c r="N526" s="8">
        <v>44260.0</v>
      </c>
    </row>
    <row r="527">
      <c r="A527" s="5">
        <v>526.0</v>
      </c>
      <c r="B527" s="5" t="s">
        <v>1128</v>
      </c>
      <c r="C527" s="5" t="s">
        <v>20</v>
      </c>
      <c r="K527" s="5">
        <v>2600.0</v>
      </c>
      <c r="N527" s="8">
        <v>45654.0</v>
      </c>
    </row>
    <row r="528">
      <c r="A528" s="5">
        <v>527.0</v>
      </c>
      <c r="B528" s="5" t="s">
        <v>1130</v>
      </c>
      <c r="C528" s="5" t="s">
        <v>20</v>
      </c>
      <c r="K528" s="5">
        <v>20.0</v>
      </c>
      <c r="N528" s="8">
        <v>45254.0</v>
      </c>
    </row>
    <row r="529">
      <c r="A529" s="5">
        <v>528.0</v>
      </c>
      <c r="B529" s="5" t="s">
        <v>1131</v>
      </c>
      <c r="C529" s="5" t="s">
        <v>20</v>
      </c>
      <c r="N529" s="8">
        <v>45585.0</v>
      </c>
    </row>
    <row r="530">
      <c r="A530" s="5">
        <v>529.0</v>
      </c>
      <c r="B530" s="5" t="s">
        <v>1133</v>
      </c>
      <c r="C530" s="5" t="s">
        <v>20</v>
      </c>
      <c r="K530" s="5">
        <v>10.0</v>
      </c>
      <c r="N530" s="8">
        <v>44716.0</v>
      </c>
    </row>
    <row r="531">
      <c r="A531" s="5">
        <v>530.0</v>
      </c>
      <c r="B531" s="5" t="s">
        <v>1135</v>
      </c>
      <c r="C531" s="5" t="s">
        <v>20</v>
      </c>
      <c r="K531" s="5">
        <v>450.0</v>
      </c>
      <c r="N531" s="8">
        <v>46094.0</v>
      </c>
    </row>
    <row r="532">
      <c r="A532" s="5">
        <v>531.0</v>
      </c>
      <c r="B532" s="5" t="s">
        <v>1137</v>
      </c>
      <c r="C532" s="5" t="s">
        <v>20</v>
      </c>
      <c r="K532" s="5">
        <v>100.0</v>
      </c>
      <c r="N532" s="8">
        <v>45041.0</v>
      </c>
    </row>
    <row r="533">
      <c r="A533" s="5">
        <v>532.0</v>
      </c>
      <c r="B533" s="5" t="s">
        <v>1138</v>
      </c>
      <c r="C533" s="5" t="s">
        <v>20</v>
      </c>
      <c r="K533" s="5">
        <v>100.0</v>
      </c>
      <c r="N533" s="8">
        <v>45288.0</v>
      </c>
    </row>
    <row r="534">
      <c r="A534" s="5">
        <v>533.0</v>
      </c>
      <c r="B534" s="5" t="s">
        <v>1140</v>
      </c>
      <c r="C534" s="5" t="s">
        <v>20</v>
      </c>
      <c r="K534" s="5">
        <v>100.0</v>
      </c>
      <c r="N534" s="8">
        <v>45251.0</v>
      </c>
    </row>
    <row r="535">
      <c r="A535" s="5">
        <v>534.0</v>
      </c>
      <c r="B535" s="5" t="s">
        <v>1141</v>
      </c>
      <c r="C535" s="5" t="s">
        <v>20</v>
      </c>
      <c r="K535" s="5">
        <v>100.0</v>
      </c>
      <c r="N535" s="8">
        <v>44232.0</v>
      </c>
    </row>
    <row r="536">
      <c r="A536" s="5">
        <v>535.0</v>
      </c>
      <c r="B536" s="5" t="s">
        <v>1143</v>
      </c>
      <c r="C536" s="5" t="s">
        <v>20</v>
      </c>
      <c r="K536" s="5">
        <v>250.0</v>
      </c>
      <c r="N536" s="8">
        <v>45673.0</v>
      </c>
    </row>
    <row r="537">
      <c r="A537" s="5">
        <v>536.0</v>
      </c>
      <c r="B537" s="5" t="s">
        <v>1144</v>
      </c>
      <c r="C537" s="5" t="s">
        <v>20</v>
      </c>
      <c r="K537" s="5">
        <v>300.0</v>
      </c>
      <c r="N537" s="8">
        <v>44957.0</v>
      </c>
    </row>
    <row r="538">
      <c r="A538" s="5">
        <v>537.0</v>
      </c>
      <c r="B538" s="5" t="s">
        <v>1146</v>
      </c>
      <c r="C538" s="5" t="s">
        <v>20</v>
      </c>
      <c r="N538" s="8">
        <v>44905.0</v>
      </c>
    </row>
    <row r="539">
      <c r="A539" s="5">
        <v>538.0</v>
      </c>
      <c r="B539" s="5" t="s">
        <v>1147</v>
      </c>
      <c r="C539" s="5" t="s">
        <v>20</v>
      </c>
      <c r="K539" s="5">
        <v>10.0</v>
      </c>
      <c r="N539" s="8">
        <v>44515.0</v>
      </c>
    </row>
    <row r="540">
      <c r="A540" s="5">
        <v>539.0</v>
      </c>
      <c r="B540" s="5" t="s">
        <v>1149</v>
      </c>
      <c r="C540" s="5" t="s">
        <v>20</v>
      </c>
      <c r="K540" s="5">
        <v>450.0</v>
      </c>
      <c r="N540" s="8">
        <v>44714.0</v>
      </c>
    </row>
    <row r="541">
      <c r="A541" s="5">
        <v>540.0</v>
      </c>
      <c r="B541" s="5" t="s">
        <v>1150</v>
      </c>
      <c r="C541" s="5" t="s">
        <v>20</v>
      </c>
      <c r="K541" s="5">
        <v>50.0</v>
      </c>
      <c r="N541" s="8">
        <v>44190.0</v>
      </c>
    </row>
    <row r="542">
      <c r="A542" s="5">
        <v>541.0</v>
      </c>
      <c r="B542" s="5" t="s">
        <v>1151</v>
      </c>
      <c r="C542" s="5" t="s">
        <v>20</v>
      </c>
      <c r="K542" s="5">
        <v>60.0</v>
      </c>
      <c r="N542" s="8">
        <v>44570.0</v>
      </c>
    </row>
    <row r="543">
      <c r="A543" s="5">
        <v>542.0</v>
      </c>
      <c r="B543" s="5" t="s">
        <v>126</v>
      </c>
      <c r="C543" s="5" t="s">
        <v>20</v>
      </c>
      <c r="K543" s="5">
        <v>250.0</v>
      </c>
      <c r="N543" s="8">
        <v>44629.0</v>
      </c>
    </row>
    <row r="544">
      <c r="A544" s="5">
        <v>543.0</v>
      </c>
      <c r="B544" s="5" t="s">
        <v>1152</v>
      </c>
      <c r="C544" s="5" t="s">
        <v>20</v>
      </c>
      <c r="K544" s="5">
        <v>40.0</v>
      </c>
      <c r="N544" s="8">
        <v>44076.0</v>
      </c>
    </row>
    <row r="545">
      <c r="A545" s="5">
        <v>544.0</v>
      </c>
      <c r="B545" s="5" t="s">
        <v>1153</v>
      </c>
      <c r="C545" s="5" t="s">
        <v>20</v>
      </c>
      <c r="K545" s="5">
        <v>300.0</v>
      </c>
      <c r="N545" s="8">
        <v>44125.0</v>
      </c>
    </row>
    <row r="546">
      <c r="A546" s="5">
        <v>545.0</v>
      </c>
      <c r="B546" s="5" t="s">
        <v>1154</v>
      </c>
      <c r="C546" s="5" t="s">
        <v>20</v>
      </c>
      <c r="K546" s="5">
        <v>70.0</v>
      </c>
      <c r="N546" s="8">
        <v>44612.0</v>
      </c>
    </row>
    <row r="547">
      <c r="A547" s="5">
        <v>546.0</v>
      </c>
      <c r="B547" s="5" t="s">
        <v>1155</v>
      </c>
      <c r="C547" s="5" t="s">
        <v>20</v>
      </c>
      <c r="K547" s="5">
        <v>10.0</v>
      </c>
      <c r="N547" s="8">
        <v>44702.0</v>
      </c>
    </row>
    <row r="548">
      <c r="A548" s="5">
        <v>547.0</v>
      </c>
      <c r="B548" s="5" t="s">
        <v>1156</v>
      </c>
      <c r="C548" s="5" t="s">
        <v>20</v>
      </c>
      <c r="K548" s="5">
        <v>10.0</v>
      </c>
      <c r="N548" s="8">
        <v>46115.0</v>
      </c>
    </row>
    <row r="549">
      <c r="A549" s="5">
        <v>548.0</v>
      </c>
      <c r="B549" s="5" t="s">
        <v>1157</v>
      </c>
      <c r="C549" s="5" t="s">
        <v>20</v>
      </c>
      <c r="K549" s="5">
        <v>20.0</v>
      </c>
      <c r="N549" s="8">
        <v>44256.0</v>
      </c>
    </row>
    <row r="550">
      <c r="A550" s="5">
        <v>549.0</v>
      </c>
      <c r="B550" s="5" t="s">
        <v>1158</v>
      </c>
      <c r="C550" s="5" t="s">
        <v>20</v>
      </c>
      <c r="K550" s="5">
        <v>150.0</v>
      </c>
      <c r="N550" s="8">
        <v>45958.0</v>
      </c>
    </row>
    <row r="551">
      <c r="A551" s="5">
        <v>550.0</v>
      </c>
      <c r="B551" s="5" t="s">
        <v>1159</v>
      </c>
      <c r="C551" s="5" t="s">
        <v>20</v>
      </c>
      <c r="K551" s="5">
        <v>30.0</v>
      </c>
      <c r="N551" s="8">
        <v>45279.0</v>
      </c>
    </row>
    <row r="552">
      <c r="A552" s="5">
        <v>551.0</v>
      </c>
      <c r="B552" s="5" t="s">
        <v>1160</v>
      </c>
      <c r="C552" s="5" t="s">
        <v>20</v>
      </c>
      <c r="N552" s="8">
        <v>46112.0</v>
      </c>
    </row>
    <row r="553">
      <c r="A553" s="5">
        <v>552.0</v>
      </c>
      <c r="B553" s="5" t="s">
        <v>1161</v>
      </c>
      <c r="C553" s="5" t="s">
        <v>20</v>
      </c>
      <c r="K553" s="5">
        <v>10.0</v>
      </c>
      <c r="N553" s="8">
        <v>44884.0</v>
      </c>
    </row>
    <row r="554">
      <c r="A554" s="5">
        <v>553.0</v>
      </c>
      <c r="B554" s="5" t="s">
        <v>1162</v>
      </c>
      <c r="C554" s="5" t="s">
        <v>20</v>
      </c>
      <c r="K554" s="5">
        <v>150.0</v>
      </c>
      <c r="N554" s="8">
        <v>44720.0</v>
      </c>
    </row>
    <row r="555">
      <c r="A555" s="5">
        <v>554.0</v>
      </c>
      <c r="B555" s="5" t="s">
        <v>1163</v>
      </c>
      <c r="C555" s="5" t="s">
        <v>20</v>
      </c>
      <c r="N555" s="8">
        <v>44033.0</v>
      </c>
    </row>
    <row r="556">
      <c r="A556" s="5">
        <v>555.0</v>
      </c>
      <c r="B556" s="5" t="s">
        <v>1164</v>
      </c>
      <c r="C556" s="5" t="s">
        <v>20</v>
      </c>
      <c r="K556" s="5">
        <v>150.0</v>
      </c>
      <c r="N556" s="8">
        <v>45822.0</v>
      </c>
    </row>
    <row r="557">
      <c r="A557" s="5">
        <v>556.0</v>
      </c>
      <c r="B557" s="5" t="s">
        <v>1165</v>
      </c>
      <c r="C557" s="5" t="s">
        <v>20</v>
      </c>
      <c r="N557" s="8">
        <v>44333.0</v>
      </c>
    </row>
    <row r="558">
      <c r="A558" s="5">
        <v>557.0</v>
      </c>
      <c r="B558" s="5" t="s">
        <v>1166</v>
      </c>
      <c r="C558" s="5" t="s">
        <v>20</v>
      </c>
      <c r="K558" s="5">
        <v>100.0</v>
      </c>
      <c r="N558" s="8">
        <v>44871.0</v>
      </c>
    </row>
    <row r="559">
      <c r="A559" s="5">
        <v>558.0</v>
      </c>
      <c r="B559" s="5" t="s">
        <v>1167</v>
      </c>
      <c r="C559" s="5" t="s">
        <v>20</v>
      </c>
      <c r="K559" s="5">
        <v>20.0</v>
      </c>
      <c r="N559" s="8">
        <v>44066.0</v>
      </c>
    </row>
    <row r="560">
      <c r="A560" s="5">
        <v>559.0</v>
      </c>
      <c r="B560" s="5" t="s">
        <v>1168</v>
      </c>
      <c r="C560" s="5" t="s">
        <v>20</v>
      </c>
      <c r="K560" s="5">
        <v>300.0</v>
      </c>
      <c r="N560" s="8">
        <v>46096.0</v>
      </c>
    </row>
    <row r="561">
      <c r="A561" s="5">
        <v>560.0</v>
      </c>
      <c r="B561" s="5" t="s">
        <v>1169</v>
      </c>
      <c r="C561" s="5" t="s">
        <v>20</v>
      </c>
      <c r="K561" s="5">
        <v>100.0</v>
      </c>
      <c r="N561" s="8">
        <v>45219.0</v>
      </c>
    </row>
    <row r="562">
      <c r="A562" s="5">
        <v>561.0</v>
      </c>
      <c r="B562" s="5" t="s">
        <v>1170</v>
      </c>
      <c r="C562" s="5" t="s">
        <v>20</v>
      </c>
      <c r="K562" s="5">
        <v>10.0</v>
      </c>
      <c r="N562" s="8">
        <v>46115.0</v>
      </c>
    </row>
    <row r="563">
      <c r="A563" s="5">
        <v>562.0</v>
      </c>
      <c r="B563" s="5" t="s">
        <v>1171</v>
      </c>
      <c r="C563" s="5" t="s">
        <v>20</v>
      </c>
      <c r="K563" s="5">
        <v>150.0</v>
      </c>
      <c r="N563" s="8">
        <v>45964.0</v>
      </c>
    </row>
    <row r="564">
      <c r="A564" s="5">
        <v>563.0</v>
      </c>
      <c r="B564" s="5" t="s">
        <v>1172</v>
      </c>
      <c r="C564" s="5" t="s">
        <v>20</v>
      </c>
      <c r="K564" s="5">
        <v>20.0</v>
      </c>
      <c r="N564" s="8">
        <v>44595.0</v>
      </c>
    </row>
    <row r="565">
      <c r="A565" s="5">
        <v>564.0</v>
      </c>
      <c r="B565" s="5" t="s">
        <v>1173</v>
      </c>
      <c r="C565" s="5" t="s">
        <v>20</v>
      </c>
      <c r="K565" s="5">
        <v>300.0</v>
      </c>
      <c r="N565" s="8">
        <v>43886.0</v>
      </c>
    </row>
    <row r="566">
      <c r="A566" s="5">
        <v>565.0</v>
      </c>
      <c r="B566" s="5" t="s">
        <v>1174</v>
      </c>
      <c r="C566" s="5" t="s">
        <v>20</v>
      </c>
      <c r="K566" s="5">
        <v>150.0</v>
      </c>
      <c r="N566" s="8">
        <v>44596.0</v>
      </c>
    </row>
    <row r="567">
      <c r="A567" s="5">
        <v>566.0</v>
      </c>
      <c r="B567" s="5" t="s">
        <v>1175</v>
      </c>
      <c r="C567" s="5" t="s">
        <v>20</v>
      </c>
      <c r="K567" s="5">
        <v>1100.0</v>
      </c>
      <c r="N567" s="8">
        <v>44335.0</v>
      </c>
    </row>
    <row r="568">
      <c r="A568" s="5">
        <v>567.0</v>
      </c>
      <c r="B568" s="5" t="s">
        <v>1176</v>
      </c>
      <c r="C568" s="5" t="s">
        <v>20</v>
      </c>
      <c r="K568" s="5">
        <v>2400.0</v>
      </c>
      <c r="N568" s="8">
        <v>44271.0</v>
      </c>
    </row>
    <row r="569">
      <c r="A569" s="5">
        <v>568.0</v>
      </c>
      <c r="B569" s="5" t="s">
        <v>1177</v>
      </c>
      <c r="C569" s="5" t="s">
        <v>20</v>
      </c>
      <c r="K569" s="5">
        <v>700.0</v>
      </c>
      <c r="N569" s="8">
        <v>44578.0</v>
      </c>
    </row>
    <row r="570">
      <c r="A570" s="5">
        <v>569.0</v>
      </c>
      <c r="B570" s="5" t="s">
        <v>1178</v>
      </c>
      <c r="C570" s="5" t="s">
        <v>20</v>
      </c>
      <c r="K570" s="5">
        <v>80.0</v>
      </c>
      <c r="N570" s="8">
        <v>44618.0</v>
      </c>
    </row>
    <row r="571">
      <c r="A571" s="5">
        <v>570.0</v>
      </c>
      <c r="B571" s="5" t="s">
        <v>1179</v>
      </c>
      <c r="C571" s="5" t="s">
        <v>20</v>
      </c>
      <c r="N571" s="8">
        <v>45373.0</v>
      </c>
    </row>
    <row r="572">
      <c r="A572" s="5">
        <v>571.0</v>
      </c>
      <c r="B572" s="5" t="s">
        <v>1180</v>
      </c>
      <c r="C572" s="5" t="s">
        <v>20</v>
      </c>
      <c r="N572" s="8">
        <v>44354.0</v>
      </c>
    </row>
    <row r="573">
      <c r="A573" s="5">
        <v>572.0</v>
      </c>
      <c r="B573" s="5" t="s">
        <v>1181</v>
      </c>
      <c r="C573" s="5" t="s">
        <v>20</v>
      </c>
      <c r="K573" s="5">
        <v>10.0</v>
      </c>
      <c r="N573" s="8">
        <v>44426.0</v>
      </c>
    </row>
    <row r="574">
      <c r="A574" s="5">
        <v>573.0</v>
      </c>
      <c r="B574" s="5" t="s">
        <v>1182</v>
      </c>
      <c r="C574" s="5" t="s">
        <v>20</v>
      </c>
      <c r="K574" s="5">
        <v>60.0</v>
      </c>
      <c r="N574" s="8">
        <v>44498.0</v>
      </c>
    </row>
    <row r="575">
      <c r="A575" s="5">
        <v>574.0</v>
      </c>
      <c r="B575" s="5" t="s">
        <v>1183</v>
      </c>
      <c r="C575" s="5" t="s">
        <v>20</v>
      </c>
      <c r="K575" s="5">
        <v>100.0</v>
      </c>
      <c r="N575" s="8">
        <v>44319.0</v>
      </c>
    </row>
    <row r="576">
      <c r="A576" s="5">
        <v>575.0</v>
      </c>
      <c r="B576" s="5" t="s">
        <v>1184</v>
      </c>
      <c r="C576" s="5" t="s">
        <v>20</v>
      </c>
      <c r="K576" s="5">
        <v>10.0</v>
      </c>
      <c r="N576" s="8">
        <v>45287.0</v>
      </c>
    </row>
    <row r="577">
      <c r="A577" s="5">
        <v>576.0</v>
      </c>
      <c r="B577" s="5" t="s">
        <v>1185</v>
      </c>
      <c r="C577" s="5" t="s">
        <v>20</v>
      </c>
      <c r="K577" s="5">
        <v>200.0</v>
      </c>
      <c r="N577" s="8">
        <v>44181.0</v>
      </c>
    </row>
    <row r="578">
      <c r="A578" s="5">
        <v>577.0</v>
      </c>
      <c r="B578" s="5" t="s">
        <v>1186</v>
      </c>
      <c r="C578" s="5" t="s">
        <v>20</v>
      </c>
      <c r="K578" s="5">
        <v>60.0</v>
      </c>
      <c r="N578" s="8">
        <v>44112.0</v>
      </c>
    </row>
    <row r="579">
      <c r="A579" s="5">
        <v>578.0</v>
      </c>
      <c r="B579" s="5" t="s">
        <v>129</v>
      </c>
      <c r="C579" s="5" t="s">
        <v>20</v>
      </c>
      <c r="K579" s="5">
        <v>450.0</v>
      </c>
      <c r="N579" s="8">
        <v>44663.0</v>
      </c>
    </row>
    <row r="580">
      <c r="A580" s="5">
        <v>579.0</v>
      </c>
      <c r="B580" s="5" t="s">
        <v>1187</v>
      </c>
      <c r="C580" s="5" t="s">
        <v>20</v>
      </c>
      <c r="N580" s="8">
        <v>45025.0</v>
      </c>
    </row>
    <row r="581">
      <c r="A581" s="5">
        <v>580.0</v>
      </c>
      <c r="B581" s="5" t="s">
        <v>1188</v>
      </c>
      <c r="C581" s="5" t="s">
        <v>20</v>
      </c>
      <c r="K581" s="5">
        <v>450.0</v>
      </c>
      <c r="N581" s="8">
        <v>46084.0</v>
      </c>
    </row>
    <row r="582">
      <c r="A582" s="5">
        <v>581.0</v>
      </c>
      <c r="B582" s="5" t="s">
        <v>1189</v>
      </c>
      <c r="C582" s="5" t="s">
        <v>20</v>
      </c>
      <c r="K582" s="5">
        <v>3500.0</v>
      </c>
      <c r="N582" s="8">
        <v>44899.0</v>
      </c>
    </row>
    <row r="583">
      <c r="A583" s="5">
        <v>582.0</v>
      </c>
      <c r="B583" s="5" t="s">
        <v>63</v>
      </c>
      <c r="C583" s="5" t="s">
        <v>20</v>
      </c>
      <c r="K583" s="5">
        <v>100.0</v>
      </c>
      <c r="N583" s="8">
        <v>45210.0</v>
      </c>
    </row>
    <row r="584">
      <c r="A584" s="5">
        <v>583.0</v>
      </c>
      <c r="B584" s="5" t="s">
        <v>1190</v>
      </c>
      <c r="C584" s="5" t="s">
        <v>20</v>
      </c>
      <c r="K584" s="5">
        <v>10.0</v>
      </c>
      <c r="N584" s="8">
        <v>45217.0</v>
      </c>
    </row>
    <row r="585">
      <c r="A585" s="5">
        <v>584.0</v>
      </c>
      <c r="B585" s="5" t="s">
        <v>1191</v>
      </c>
      <c r="C585" s="5" t="s">
        <v>20</v>
      </c>
      <c r="K585" s="5">
        <v>30.0</v>
      </c>
      <c r="N585" s="8">
        <v>45405.0</v>
      </c>
    </row>
    <row r="586">
      <c r="A586" s="5">
        <v>585.0</v>
      </c>
      <c r="B586" s="5" t="s">
        <v>1192</v>
      </c>
      <c r="C586" s="5" t="s">
        <v>20</v>
      </c>
      <c r="K586" s="5">
        <v>600.0</v>
      </c>
      <c r="N586" s="8">
        <v>44261.0</v>
      </c>
    </row>
    <row r="587">
      <c r="A587" s="5">
        <v>586.0</v>
      </c>
      <c r="B587" s="5" t="s">
        <v>1193</v>
      </c>
      <c r="C587" s="5" t="s">
        <v>20</v>
      </c>
      <c r="K587" s="5">
        <v>20.0</v>
      </c>
      <c r="N587" s="8">
        <v>45932.0</v>
      </c>
    </row>
    <row r="588">
      <c r="A588" s="5">
        <v>587.0</v>
      </c>
      <c r="B588" s="5" t="s">
        <v>1194</v>
      </c>
      <c r="C588" s="5" t="s">
        <v>20</v>
      </c>
      <c r="K588" s="5">
        <v>17000.0</v>
      </c>
      <c r="N588" s="8">
        <v>42920.0</v>
      </c>
    </row>
    <row r="589">
      <c r="A589" s="5">
        <v>588.0</v>
      </c>
      <c r="B589" s="5" t="s">
        <v>1195</v>
      </c>
      <c r="C589" s="5" t="s">
        <v>20</v>
      </c>
      <c r="K589" s="5">
        <v>150.0</v>
      </c>
      <c r="N589" s="8">
        <v>45180.0</v>
      </c>
    </row>
    <row r="590">
      <c r="A590" s="5">
        <v>589.0</v>
      </c>
      <c r="B590" s="5" t="s">
        <v>1196</v>
      </c>
      <c r="C590" s="5" t="s">
        <v>20</v>
      </c>
      <c r="K590" s="5">
        <v>80.0</v>
      </c>
      <c r="N590" s="8">
        <v>44244.0</v>
      </c>
    </row>
    <row r="591">
      <c r="A591" s="5">
        <v>590.0</v>
      </c>
      <c r="B591" s="5" t="s">
        <v>1197</v>
      </c>
      <c r="C591" s="5" t="s">
        <v>20</v>
      </c>
      <c r="N591" s="8">
        <v>44274.0</v>
      </c>
    </row>
    <row r="592">
      <c r="A592" s="5">
        <v>591.0</v>
      </c>
      <c r="B592" s="5" t="s">
        <v>1198</v>
      </c>
      <c r="C592" s="5" t="s">
        <v>20</v>
      </c>
      <c r="N592" s="8">
        <v>44155.0</v>
      </c>
    </row>
    <row r="593">
      <c r="A593" s="5">
        <v>592.0</v>
      </c>
      <c r="B593" s="5" t="s">
        <v>1199</v>
      </c>
      <c r="C593" s="5" t="s">
        <v>20</v>
      </c>
      <c r="K593" s="5">
        <v>400.0</v>
      </c>
      <c r="N593" s="8">
        <v>46086.0</v>
      </c>
    </row>
    <row r="594">
      <c r="A594" s="5">
        <v>593.0</v>
      </c>
      <c r="B594" s="5" t="s">
        <v>1200</v>
      </c>
      <c r="C594" s="5" t="s">
        <v>20</v>
      </c>
      <c r="N594" s="8">
        <v>44919.0</v>
      </c>
    </row>
    <row r="595">
      <c r="A595" s="5">
        <v>594.0</v>
      </c>
      <c r="B595" s="5" t="s">
        <v>1201</v>
      </c>
      <c r="C595" s="5" t="s">
        <v>20</v>
      </c>
      <c r="K595" s="5">
        <v>40.0</v>
      </c>
      <c r="N595" s="8">
        <v>44759.0</v>
      </c>
    </row>
    <row r="596">
      <c r="A596" s="5">
        <v>595.0</v>
      </c>
      <c r="B596" s="5" t="s">
        <v>1202</v>
      </c>
      <c r="C596" s="5" t="s">
        <v>20</v>
      </c>
      <c r="K596" s="5">
        <v>30.0</v>
      </c>
      <c r="N596" s="8">
        <v>44987.0</v>
      </c>
    </row>
    <row r="597">
      <c r="A597" s="5">
        <v>596.0</v>
      </c>
      <c r="B597" s="5" t="s">
        <v>1203</v>
      </c>
      <c r="C597" s="5" t="s">
        <v>20</v>
      </c>
      <c r="K597" s="5">
        <v>700.0</v>
      </c>
      <c r="N597" s="8">
        <v>42541.0</v>
      </c>
    </row>
    <row r="598">
      <c r="A598" s="5">
        <v>597.0</v>
      </c>
      <c r="B598" s="5" t="s">
        <v>1204</v>
      </c>
      <c r="C598" s="5" t="s">
        <v>20</v>
      </c>
      <c r="K598" s="5">
        <v>2900.0</v>
      </c>
      <c r="N598" s="8">
        <v>44115.0</v>
      </c>
    </row>
    <row r="599">
      <c r="A599" s="5">
        <v>598.0</v>
      </c>
      <c r="B599" s="5" t="s">
        <v>1205</v>
      </c>
      <c r="C599" s="5" t="s">
        <v>20</v>
      </c>
      <c r="K599" s="5">
        <v>100.0</v>
      </c>
      <c r="N599" s="8">
        <v>44991.0</v>
      </c>
    </row>
    <row r="600">
      <c r="A600" s="5">
        <v>599.0</v>
      </c>
      <c r="B600" s="5" t="s">
        <v>130</v>
      </c>
      <c r="C600" s="5" t="s">
        <v>20</v>
      </c>
      <c r="K600" s="5">
        <v>10.0</v>
      </c>
      <c r="N600" s="8">
        <v>44515.0</v>
      </c>
    </row>
    <row r="601">
      <c r="A601" s="5">
        <v>600.0</v>
      </c>
      <c r="B601" s="5" t="s">
        <v>1206</v>
      </c>
      <c r="C601" s="5" t="s">
        <v>20</v>
      </c>
      <c r="N601" s="8">
        <v>45424.0</v>
      </c>
    </row>
    <row r="602">
      <c r="A602" s="5">
        <v>601.0</v>
      </c>
      <c r="B602" s="5" t="s">
        <v>1207</v>
      </c>
      <c r="C602" s="5" t="s">
        <v>20</v>
      </c>
      <c r="K602" s="5">
        <v>10.0</v>
      </c>
      <c r="N602" s="8">
        <v>44078.0</v>
      </c>
    </row>
    <row r="603">
      <c r="A603" s="5">
        <v>602.0</v>
      </c>
      <c r="B603" s="5" t="s">
        <v>1075</v>
      </c>
      <c r="C603" s="5" t="s">
        <v>20</v>
      </c>
      <c r="D603" s="5">
        <v>66.0</v>
      </c>
      <c r="H603" s="5" t="s">
        <v>28</v>
      </c>
      <c r="I603" s="9">
        <v>46162.96465277778</v>
      </c>
      <c r="J603" s="5" t="s">
        <v>110</v>
      </c>
      <c r="K603" s="5">
        <v>10.0</v>
      </c>
      <c r="L603" s="5">
        <v>1100.0</v>
      </c>
      <c r="M603" s="5">
        <v>1370000.0</v>
      </c>
      <c r="N603" s="8">
        <v>45137.0</v>
      </c>
      <c r="O603" s="5" t="s">
        <v>22</v>
      </c>
      <c r="P603" s="5" t="s">
        <v>23</v>
      </c>
      <c r="S603" s="5" t="s">
        <v>32</v>
      </c>
    </row>
    <row r="604">
      <c r="A604" s="5">
        <v>603.0</v>
      </c>
      <c r="B604" s="5" t="s">
        <v>1208</v>
      </c>
      <c r="C604" s="5" t="s">
        <v>20</v>
      </c>
      <c r="K604" s="5">
        <v>10.0</v>
      </c>
      <c r="N604" s="8">
        <v>45023.0</v>
      </c>
    </row>
    <row r="605">
      <c r="A605" s="5">
        <v>604.0</v>
      </c>
      <c r="B605" s="5" t="s">
        <v>1209</v>
      </c>
      <c r="C605" s="5" t="s">
        <v>20</v>
      </c>
      <c r="K605" s="5">
        <v>500.0</v>
      </c>
      <c r="N605" s="8">
        <v>44654.0</v>
      </c>
    </row>
    <row r="606">
      <c r="A606" s="5">
        <v>605.0</v>
      </c>
      <c r="B606" s="5" t="s">
        <v>1210</v>
      </c>
      <c r="C606" s="5" t="s">
        <v>20</v>
      </c>
      <c r="K606" s="5">
        <v>150.0</v>
      </c>
      <c r="N606" s="8">
        <v>44620.0</v>
      </c>
    </row>
    <row r="607">
      <c r="A607" s="5">
        <v>606.0</v>
      </c>
      <c r="B607" s="5" t="s">
        <v>1211</v>
      </c>
      <c r="C607" s="5" t="s">
        <v>20</v>
      </c>
      <c r="N607" s="8">
        <v>45067.0</v>
      </c>
    </row>
    <row r="608">
      <c r="A608" s="5">
        <v>607.0</v>
      </c>
      <c r="B608" s="5" t="s">
        <v>1212</v>
      </c>
      <c r="C608" s="5" t="s">
        <v>20</v>
      </c>
      <c r="K608" s="5">
        <v>150.0</v>
      </c>
      <c r="N608" s="8">
        <v>44622.0</v>
      </c>
    </row>
    <row r="609">
      <c r="A609" s="5">
        <v>608.0</v>
      </c>
      <c r="B609" s="5" t="s">
        <v>1213</v>
      </c>
      <c r="C609" s="5" t="s">
        <v>20</v>
      </c>
      <c r="N609" s="8">
        <v>44307.0</v>
      </c>
    </row>
    <row r="610">
      <c r="A610" s="5">
        <v>609.0</v>
      </c>
      <c r="B610" s="5" t="s">
        <v>1214</v>
      </c>
      <c r="C610" s="5" t="s">
        <v>20</v>
      </c>
      <c r="K610" s="5">
        <v>10.0</v>
      </c>
      <c r="N610" s="8">
        <v>44489.0</v>
      </c>
    </row>
    <row r="611">
      <c r="A611" s="5">
        <v>610.0</v>
      </c>
      <c r="B611" s="5" t="s">
        <v>1215</v>
      </c>
      <c r="C611" s="5" t="s">
        <v>20</v>
      </c>
      <c r="N611" s="8">
        <v>44990.0</v>
      </c>
    </row>
    <row r="612">
      <c r="A612" s="5">
        <v>611.0</v>
      </c>
      <c r="B612" s="5" t="s">
        <v>1216</v>
      </c>
      <c r="C612" s="5" t="s">
        <v>20</v>
      </c>
      <c r="N612" s="8">
        <v>44142.0</v>
      </c>
    </row>
    <row r="613">
      <c r="A613" s="5">
        <v>612.0</v>
      </c>
      <c r="B613" s="5" t="s">
        <v>1217</v>
      </c>
      <c r="C613" s="5" t="s">
        <v>20</v>
      </c>
      <c r="K613" s="5">
        <v>250.0</v>
      </c>
      <c r="N613" s="8">
        <v>44249.0</v>
      </c>
    </row>
    <row r="614">
      <c r="A614" s="5">
        <v>613.0</v>
      </c>
      <c r="B614" s="5" t="s">
        <v>1218</v>
      </c>
      <c r="C614" s="5" t="s">
        <v>20</v>
      </c>
      <c r="K614" s="5">
        <v>60.0</v>
      </c>
      <c r="N614" s="8">
        <v>44717.0</v>
      </c>
    </row>
    <row r="615">
      <c r="A615" s="5">
        <v>614.0</v>
      </c>
      <c r="B615" s="5" t="s">
        <v>1219</v>
      </c>
      <c r="C615" s="5" t="s">
        <v>20</v>
      </c>
      <c r="K615" s="5">
        <v>20.0</v>
      </c>
      <c r="N615" s="8">
        <v>45385.0</v>
      </c>
    </row>
    <row r="616">
      <c r="A616" s="5">
        <v>615.0</v>
      </c>
      <c r="B616" s="5" t="s">
        <v>1220</v>
      </c>
      <c r="C616" s="5" t="s">
        <v>20</v>
      </c>
      <c r="N616" s="8">
        <v>44699.0</v>
      </c>
    </row>
    <row r="617">
      <c r="A617" s="5">
        <v>616.0</v>
      </c>
      <c r="B617" s="5" t="s">
        <v>1221</v>
      </c>
      <c r="C617" s="5" t="s">
        <v>20</v>
      </c>
      <c r="N617" s="8">
        <v>45125.0</v>
      </c>
    </row>
    <row r="618">
      <c r="A618" s="5">
        <v>617.0</v>
      </c>
      <c r="B618" s="5" t="s">
        <v>1222</v>
      </c>
      <c r="C618" s="5" t="s">
        <v>20</v>
      </c>
      <c r="K618" s="5">
        <v>30.0</v>
      </c>
      <c r="N618" s="8">
        <v>44481.0</v>
      </c>
    </row>
    <row r="619">
      <c r="A619" s="5">
        <v>618.0</v>
      </c>
      <c r="B619" s="5" t="s">
        <v>1223</v>
      </c>
      <c r="C619" s="5" t="s">
        <v>20</v>
      </c>
      <c r="K619" s="5">
        <v>200.0</v>
      </c>
      <c r="N619" s="8">
        <v>45695.0</v>
      </c>
    </row>
    <row r="620">
      <c r="A620" s="5">
        <v>619.0</v>
      </c>
      <c r="B620" s="5" t="s">
        <v>65</v>
      </c>
      <c r="C620" s="5" t="s">
        <v>20</v>
      </c>
      <c r="K620" s="5">
        <v>300.0</v>
      </c>
      <c r="N620" s="8">
        <v>44407.0</v>
      </c>
    </row>
    <row r="621">
      <c r="A621" s="5">
        <v>620.0</v>
      </c>
      <c r="B621" s="5" t="s">
        <v>1224</v>
      </c>
      <c r="C621" s="5" t="s">
        <v>20</v>
      </c>
      <c r="K621" s="5">
        <v>10.0</v>
      </c>
      <c r="N621" s="8">
        <v>42303.0</v>
      </c>
    </row>
    <row r="622">
      <c r="A622" s="5">
        <v>621.0</v>
      </c>
      <c r="B622" s="5" t="s">
        <v>1225</v>
      </c>
      <c r="C622" s="5" t="s">
        <v>20</v>
      </c>
      <c r="K622" s="5">
        <v>20.0</v>
      </c>
      <c r="N622" s="8">
        <v>45100.0</v>
      </c>
    </row>
    <row r="623">
      <c r="A623" s="5">
        <v>622.0</v>
      </c>
      <c r="B623" s="5" t="s">
        <v>1226</v>
      </c>
      <c r="C623" s="5" t="s">
        <v>20</v>
      </c>
      <c r="N623" s="8">
        <v>44201.0</v>
      </c>
    </row>
    <row r="624">
      <c r="A624" s="5">
        <v>623.0</v>
      </c>
      <c r="B624" s="5" t="s">
        <v>1227</v>
      </c>
      <c r="C624" s="5" t="s">
        <v>20</v>
      </c>
      <c r="K624" s="5">
        <v>40.0</v>
      </c>
      <c r="N624" s="8">
        <v>44702.0</v>
      </c>
    </row>
    <row r="625">
      <c r="A625" s="5">
        <v>624.0</v>
      </c>
      <c r="B625" s="5" t="s">
        <v>1228</v>
      </c>
      <c r="C625" s="5" t="s">
        <v>20</v>
      </c>
      <c r="K625" s="5">
        <v>150.0</v>
      </c>
      <c r="N625" s="8">
        <v>44548.0</v>
      </c>
    </row>
    <row r="626">
      <c r="A626" s="5">
        <v>625.0</v>
      </c>
      <c r="B626" s="5" t="s">
        <v>66</v>
      </c>
      <c r="C626" s="5" t="s">
        <v>20</v>
      </c>
      <c r="K626" s="5">
        <v>90.0</v>
      </c>
      <c r="N626" s="8">
        <v>45047.0</v>
      </c>
    </row>
    <row r="627">
      <c r="A627" s="5">
        <v>626.0</v>
      </c>
      <c r="B627" s="5" t="s">
        <v>1229</v>
      </c>
      <c r="C627" s="5" t="s">
        <v>20</v>
      </c>
      <c r="K627" s="5">
        <v>90.0</v>
      </c>
      <c r="N627" s="8">
        <v>44915.0</v>
      </c>
    </row>
    <row r="628">
      <c r="A628" s="5">
        <v>627.0</v>
      </c>
      <c r="B628" s="5" t="s">
        <v>1230</v>
      </c>
      <c r="C628" s="5" t="s">
        <v>20</v>
      </c>
      <c r="K628" s="5">
        <v>10.0</v>
      </c>
      <c r="N628" s="8">
        <v>44675.0</v>
      </c>
    </row>
    <row r="629">
      <c r="A629" s="5">
        <v>628.0</v>
      </c>
      <c r="B629" s="5" t="s">
        <v>1231</v>
      </c>
      <c r="C629" s="5" t="s">
        <v>20</v>
      </c>
      <c r="K629" s="5">
        <v>70.0</v>
      </c>
      <c r="N629" s="8">
        <v>45380.0</v>
      </c>
    </row>
    <row r="630">
      <c r="A630" s="5">
        <v>629.0</v>
      </c>
      <c r="B630" s="5" t="s">
        <v>1232</v>
      </c>
      <c r="C630" s="5" t="s">
        <v>20</v>
      </c>
      <c r="K630" s="5">
        <v>10.0</v>
      </c>
      <c r="N630" s="8">
        <v>45574.0</v>
      </c>
    </row>
    <row r="631">
      <c r="A631" s="5">
        <v>630.0</v>
      </c>
      <c r="B631" s="5" t="s">
        <v>1233</v>
      </c>
      <c r="C631" s="5" t="s">
        <v>20</v>
      </c>
      <c r="K631" s="5">
        <v>100.0</v>
      </c>
      <c r="N631" s="8">
        <v>45286.0</v>
      </c>
    </row>
    <row r="632">
      <c r="A632" s="5">
        <v>631.0</v>
      </c>
      <c r="B632" s="5" t="s">
        <v>1234</v>
      </c>
      <c r="C632" s="5" t="s">
        <v>20</v>
      </c>
      <c r="K632" s="5">
        <v>300.0</v>
      </c>
      <c r="N632" s="8">
        <v>44230.0</v>
      </c>
    </row>
    <row r="633">
      <c r="A633" s="5">
        <v>632.0</v>
      </c>
      <c r="B633" s="5" t="s">
        <v>1235</v>
      </c>
      <c r="C633" s="5" t="s">
        <v>20</v>
      </c>
      <c r="K633" s="5">
        <v>800.0</v>
      </c>
      <c r="N633" s="8">
        <v>44617.0</v>
      </c>
    </row>
    <row r="634">
      <c r="A634" s="5">
        <v>633.0</v>
      </c>
      <c r="B634" s="5" t="s">
        <v>1236</v>
      </c>
      <c r="C634" s="5" t="s">
        <v>20</v>
      </c>
      <c r="K634" s="5">
        <v>10.0</v>
      </c>
      <c r="N634" s="8">
        <v>45459.0</v>
      </c>
    </row>
    <row r="635">
      <c r="A635" s="5">
        <v>634.0</v>
      </c>
      <c r="B635" s="5" t="s">
        <v>1237</v>
      </c>
      <c r="C635" s="5" t="s">
        <v>20</v>
      </c>
      <c r="K635" s="5">
        <v>10.0</v>
      </c>
      <c r="N635" s="8">
        <v>44254.0</v>
      </c>
    </row>
    <row r="636">
      <c r="A636" s="5">
        <v>635.0</v>
      </c>
      <c r="B636" s="5" t="s">
        <v>1238</v>
      </c>
      <c r="C636" s="5" t="s">
        <v>20</v>
      </c>
      <c r="K636" s="5">
        <v>200.0</v>
      </c>
      <c r="N636" s="8">
        <v>44317.0</v>
      </c>
    </row>
    <row r="637">
      <c r="A637" s="5">
        <v>636.0</v>
      </c>
      <c r="B637" s="5" t="s">
        <v>1239</v>
      </c>
      <c r="C637" s="5" t="s">
        <v>20</v>
      </c>
      <c r="K637" s="5">
        <v>100.0</v>
      </c>
      <c r="N637" s="8">
        <v>44269.0</v>
      </c>
    </row>
    <row r="638">
      <c r="A638" s="5">
        <v>637.0</v>
      </c>
      <c r="B638" s="5" t="s">
        <v>1240</v>
      </c>
      <c r="C638" s="5" t="s">
        <v>20</v>
      </c>
      <c r="K638" s="5">
        <v>70.0</v>
      </c>
      <c r="N638" s="8">
        <v>44507.0</v>
      </c>
    </row>
    <row r="639">
      <c r="A639" s="5">
        <v>638.0</v>
      </c>
      <c r="B639" s="5" t="s">
        <v>1241</v>
      </c>
      <c r="C639" s="5" t="s">
        <v>20</v>
      </c>
      <c r="N639" s="8">
        <v>45339.0</v>
      </c>
    </row>
    <row r="640">
      <c r="A640" s="5">
        <v>639.0</v>
      </c>
      <c r="B640" s="5" t="s">
        <v>1242</v>
      </c>
      <c r="C640" s="5" t="s">
        <v>20</v>
      </c>
      <c r="N640" s="8">
        <v>44257.0</v>
      </c>
    </row>
    <row r="641">
      <c r="A641" s="5">
        <v>640.0</v>
      </c>
      <c r="B641" s="5" t="s">
        <v>1243</v>
      </c>
      <c r="C641" s="5" t="s">
        <v>20</v>
      </c>
      <c r="K641" s="5">
        <v>700.0</v>
      </c>
      <c r="N641" s="8">
        <v>45041.0</v>
      </c>
    </row>
    <row r="642">
      <c r="A642" s="5">
        <v>641.0</v>
      </c>
      <c r="B642" s="5" t="s">
        <v>1244</v>
      </c>
      <c r="C642" s="5" t="s">
        <v>20</v>
      </c>
      <c r="K642" s="5">
        <v>10.0</v>
      </c>
      <c r="N642" s="8">
        <v>44858.0</v>
      </c>
    </row>
    <row r="643">
      <c r="A643" s="5">
        <v>642.0</v>
      </c>
      <c r="B643" s="5" t="s">
        <v>1245</v>
      </c>
      <c r="C643" s="5" t="s">
        <v>20</v>
      </c>
      <c r="K643" s="5">
        <v>200.0</v>
      </c>
      <c r="N643" s="8">
        <v>45349.0</v>
      </c>
    </row>
    <row r="644">
      <c r="A644" s="5">
        <v>643.0</v>
      </c>
      <c r="B644" s="5" t="s">
        <v>1246</v>
      </c>
      <c r="C644" s="5" t="s">
        <v>20</v>
      </c>
      <c r="K644" s="5">
        <v>30.0</v>
      </c>
      <c r="N644" s="8">
        <v>45345.0</v>
      </c>
    </row>
    <row r="645">
      <c r="A645" s="5">
        <v>644.0</v>
      </c>
      <c r="B645" s="5" t="s">
        <v>1247</v>
      </c>
      <c r="C645" s="5" t="s">
        <v>20</v>
      </c>
      <c r="K645" s="5">
        <v>70.0</v>
      </c>
      <c r="N645" s="8">
        <v>45048.0</v>
      </c>
    </row>
    <row r="646">
      <c r="A646" s="5">
        <v>645.0</v>
      </c>
      <c r="B646" s="5" t="s">
        <v>1248</v>
      </c>
      <c r="C646" s="5" t="s">
        <v>20</v>
      </c>
      <c r="N646" s="8">
        <v>44826.0</v>
      </c>
    </row>
    <row r="647">
      <c r="A647" s="5">
        <v>646.0</v>
      </c>
      <c r="B647" s="5" t="s">
        <v>1249</v>
      </c>
      <c r="C647" s="5" t="s">
        <v>20</v>
      </c>
      <c r="K647" s="5">
        <v>350.0</v>
      </c>
      <c r="N647" s="8">
        <v>44327.0</v>
      </c>
    </row>
    <row r="648">
      <c r="A648" s="5">
        <v>647.0</v>
      </c>
      <c r="B648" s="5" t="s">
        <v>1250</v>
      </c>
      <c r="C648" s="5" t="s">
        <v>20</v>
      </c>
      <c r="N648" s="8">
        <v>45078.0</v>
      </c>
    </row>
    <row r="649">
      <c r="A649" s="5">
        <v>648.0</v>
      </c>
      <c r="B649" s="5" t="s">
        <v>1251</v>
      </c>
      <c r="C649" s="5" t="s">
        <v>20</v>
      </c>
      <c r="K649" s="5">
        <v>20.0</v>
      </c>
      <c r="N649" s="8">
        <v>44633.0</v>
      </c>
    </row>
    <row r="650">
      <c r="A650" s="5">
        <v>649.0</v>
      </c>
      <c r="B650" s="5" t="s">
        <v>1252</v>
      </c>
      <c r="C650" s="5" t="s">
        <v>20</v>
      </c>
      <c r="K650" s="5">
        <v>10.0</v>
      </c>
      <c r="N650" s="8">
        <v>44935.0</v>
      </c>
    </row>
    <row r="651">
      <c r="A651" s="5">
        <v>650.0</v>
      </c>
      <c r="B651" s="5" t="s">
        <v>1253</v>
      </c>
      <c r="C651" s="5" t="s">
        <v>20</v>
      </c>
      <c r="N651" s="8">
        <v>44508.0</v>
      </c>
    </row>
    <row r="652">
      <c r="A652" s="5">
        <v>651.0</v>
      </c>
      <c r="B652" s="5" t="s">
        <v>1254</v>
      </c>
      <c r="C652" s="5" t="s">
        <v>20</v>
      </c>
      <c r="K652" s="5">
        <v>250.0</v>
      </c>
      <c r="N652" s="8">
        <v>44886.0</v>
      </c>
    </row>
    <row r="653">
      <c r="A653" s="5">
        <v>652.0</v>
      </c>
      <c r="B653" s="5" t="s">
        <v>1255</v>
      </c>
      <c r="C653" s="5" t="s">
        <v>20</v>
      </c>
      <c r="K653" s="5">
        <v>800.0</v>
      </c>
      <c r="N653" s="8">
        <v>43652.0</v>
      </c>
    </row>
    <row r="654">
      <c r="A654" s="5">
        <v>653.0</v>
      </c>
      <c r="B654" s="5" t="s">
        <v>1256</v>
      </c>
      <c r="C654" s="5" t="s">
        <v>20</v>
      </c>
      <c r="K654" s="5">
        <v>10.0</v>
      </c>
      <c r="N654" s="8">
        <v>46115.0</v>
      </c>
    </row>
    <row r="655">
      <c r="A655" s="5">
        <v>654.0</v>
      </c>
      <c r="B655" s="5" t="s">
        <v>1257</v>
      </c>
      <c r="C655" s="5" t="s">
        <v>20</v>
      </c>
      <c r="K655" s="5">
        <v>150.0</v>
      </c>
      <c r="N655" s="8">
        <v>44928.0</v>
      </c>
    </row>
    <row r="656">
      <c r="A656" s="5">
        <v>655.0</v>
      </c>
      <c r="B656" s="5" t="s">
        <v>1258</v>
      </c>
      <c r="C656" s="5" t="s">
        <v>20</v>
      </c>
      <c r="K656" s="5">
        <v>1200.0</v>
      </c>
      <c r="N656" s="8">
        <v>44865.0</v>
      </c>
    </row>
    <row r="657">
      <c r="A657" s="5">
        <v>656.0</v>
      </c>
      <c r="B657" s="5" t="s">
        <v>1259</v>
      </c>
      <c r="C657" s="5" t="s">
        <v>20</v>
      </c>
      <c r="K657" s="5">
        <v>200.0</v>
      </c>
      <c r="N657" s="8">
        <v>44571.0</v>
      </c>
    </row>
    <row r="658">
      <c r="A658" s="5">
        <v>657.0</v>
      </c>
      <c r="B658" s="5" t="s">
        <v>1260</v>
      </c>
      <c r="C658" s="5" t="s">
        <v>20</v>
      </c>
      <c r="K658" s="5">
        <v>150.0</v>
      </c>
      <c r="N658" s="8">
        <v>44594.0</v>
      </c>
    </row>
    <row r="659">
      <c r="A659" s="5">
        <v>658.0</v>
      </c>
      <c r="B659" s="5" t="s">
        <v>1261</v>
      </c>
      <c r="C659" s="5" t="s">
        <v>20</v>
      </c>
      <c r="K659" s="5">
        <v>70.0</v>
      </c>
      <c r="N659" s="8">
        <v>45238.0</v>
      </c>
    </row>
    <row r="660">
      <c r="A660" s="5">
        <v>659.0</v>
      </c>
      <c r="B660" s="5" t="s">
        <v>1262</v>
      </c>
      <c r="C660" s="5" t="s">
        <v>20</v>
      </c>
      <c r="K660" s="5">
        <v>500.0</v>
      </c>
      <c r="N660" s="8">
        <v>44585.0</v>
      </c>
    </row>
    <row r="661">
      <c r="A661" s="5">
        <v>660.0</v>
      </c>
      <c r="B661" s="5" t="s">
        <v>1263</v>
      </c>
      <c r="C661" s="5" t="s">
        <v>20</v>
      </c>
      <c r="K661" s="5">
        <v>10.0</v>
      </c>
      <c r="N661" s="8">
        <v>45340.0</v>
      </c>
    </row>
    <row r="662">
      <c r="A662" s="5">
        <v>661.0</v>
      </c>
      <c r="B662" s="5" t="s">
        <v>1264</v>
      </c>
      <c r="C662" s="5" t="s">
        <v>20</v>
      </c>
      <c r="K662" s="5">
        <v>7800.0</v>
      </c>
      <c r="N662" s="8">
        <v>42407.0</v>
      </c>
    </row>
    <row r="663">
      <c r="A663" s="5">
        <v>662.0</v>
      </c>
      <c r="B663" s="5" t="s">
        <v>1265</v>
      </c>
      <c r="C663" s="5" t="s">
        <v>20</v>
      </c>
      <c r="K663" s="5">
        <v>400.0</v>
      </c>
      <c r="N663" s="8">
        <v>44950.0</v>
      </c>
    </row>
    <row r="664">
      <c r="A664" s="5">
        <v>663.0</v>
      </c>
      <c r="B664" s="5" t="s">
        <v>1266</v>
      </c>
      <c r="C664" s="5" t="s">
        <v>20</v>
      </c>
      <c r="K664" s="5">
        <v>30.0</v>
      </c>
      <c r="N664" s="8">
        <v>44211.0</v>
      </c>
    </row>
    <row r="665">
      <c r="A665" s="5">
        <v>664.0</v>
      </c>
      <c r="B665" s="5" t="s">
        <v>1267</v>
      </c>
      <c r="C665" s="5" t="s">
        <v>20</v>
      </c>
      <c r="K665" s="5">
        <v>50.0</v>
      </c>
      <c r="N665" s="8">
        <v>45391.0</v>
      </c>
    </row>
    <row r="666">
      <c r="A666" s="5">
        <v>665.0</v>
      </c>
      <c r="B666" s="5" t="s">
        <v>1268</v>
      </c>
      <c r="C666" s="5" t="s">
        <v>20</v>
      </c>
      <c r="K666" s="5">
        <v>60.0</v>
      </c>
      <c r="N666" s="8">
        <v>43892.0</v>
      </c>
    </row>
    <row r="667">
      <c r="A667" s="5">
        <v>666.0</v>
      </c>
      <c r="B667" s="5" t="s">
        <v>1269</v>
      </c>
      <c r="C667" s="5" t="s">
        <v>20</v>
      </c>
      <c r="K667" s="5">
        <v>200.0</v>
      </c>
      <c r="N667" s="8">
        <v>44679.0</v>
      </c>
    </row>
    <row r="668">
      <c r="A668" s="5">
        <v>667.0</v>
      </c>
      <c r="B668" s="5" t="s">
        <v>1270</v>
      </c>
      <c r="C668" s="5" t="s">
        <v>20</v>
      </c>
      <c r="K668" s="5">
        <v>70.0</v>
      </c>
      <c r="N668" s="8">
        <v>44346.0</v>
      </c>
    </row>
    <row r="669">
      <c r="A669" s="5">
        <v>668.0</v>
      </c>
      <c r="B669" s="5" t="s">
        <v>1271</v>
      </c>
      <c r="C669" s="5" t="s">
        <v>20</v>
      </c>
      <c r="K669" s="5">
        <v>150.0</v>
      </c>
      <c r="N669" s="8">
        <v>43907.0</v>
      </c>
    </row>
    <row r="670">
      <c r="A670" s="5">
        <v>669.0</v>
      </c>
      <c r="B670" s="5" t="s">
        <v>1272</v>
      </c>
      <c r="C670" s="5" t="s">
        <v>20</v>
      </c>
      <c r="N670" s="8">
        <v>44424.0</v>
      </c>
    </row>
    <row r="671">
      <c r="A671" s="5">
        <v>670.0</v>
      </c>
      <c r="B671" s="5" t="s">
        <v>1273</v>
      </c>
      <c r="C671" s="5" t="s">
        <v>20</v>
      </c>
      <c r="K671" s="5">
        <v>250.0</v>
      </c>
      <c r="N671" s="8">
        <v>44569.0</v>
      </c>
    </row>
    <row r="672">
      <c r="A672" s="5">
        <v>671.0</v>
      </c>
      <c r="B672" s="5" t="s">
        <v>1274</v>
      </c>
      <c r="C672" s="5" t="s">
        <v>20</v>
      </c>
      <c r="K672" s="5">
        <v>900.0</v>
      </c>
      <c r="N672" s="8">
        <v>44191.0</v>
      </c>
    </row>
    <row r="673">
      <c r="A673" s="5">
        <v>672.0</v>
      </c>
      <c r="B673" s="5" t="s">
        <v>1275</v>
      </c>
      <c r="C673" s="5" t="s">
        <v>20</v>
      </c>
      <c r="K673" s="5">
        <v>700.0</v>
      </c>
      <c r="N673" s="8">
        <v>44361.0</v>
      </c>
    </row>
    <row r="674">
      <c r="A674" s="5">
        <v>673.0</v>
      </c>
      <c r="B674" s="5" t="s">
        <v>1276</v>
      </c>
      <c r="C674" s="5" t="s">
        <v>20</v>
      </c>
      <c r="K674" s="5">
        <v>250.0</v>
      </c>
      <c r="N674" s="8">
        <v>44190.0</v>
      </c>
    </row>
    <row r="675">
      <c r="A675" s="5">
        <v>674.0</v>
      </c>
      <c r="B675" s="5" t="s">
        <v>1277</v>
      </c>
      <c r="C675" s="5" t="s">
        <v>20</v>
      </c>
      <c r="N675" s="8">
        <v>44664.0</v>
      </c>
    </row>
    <row r="676">
      <c r="A676" s="5">
        <v>675.0</v>
      </c>
      <c r="B676" s="5" t="s">
        <v>1278</v>
      </c>
      <c r="C676" s="5" t="s">
        <v>20</v>
      </c>
      <c r="N676" s="8">
        <v>42371.0</v>
      </c>
    </row>
    <row r="677">
      <c r="A677" s="5">
        <v>676.0</v>
      </c>
      <c r="B677" s="5" t="s">
        <v>1279</v>
      </c>
      <c r="C677" s="5" t="s">
        <v>20</v>
      </c>
      <c r="K677" s="5">
        <v>50.0</v>
      </c>
      <c r="N677" s="8">
        <v>45060.0</v>
      </c>
    </row>
    <row r="678">
      <c r="A678" s="5">
        <v>677.0</v>
      </c>
      <c r="B678" s="5" t="s">
        <v>1280</v>
      </c>
      <c r="C678" s="5" t="s">
        <v>20</v>
      </c>
      <c r="K678" s="5">
        <v>90.0</v>
      </c>
      <c r="N678" s="8">
        <v>44710.0</v>
      </c>
    </row>
    <row r="679">
      <c r="A679" s="5">
        <v>678.0</v>
      </c>
      <c r="B679" s="5" t="s">
        <v>1281</v>
      </c>
      <c r="C679" s="5" t="s">
        <v>20</v>
      </c>
      <c r="K679" s="5">
        <v>10.0</v>
      </c>
      <c r="N679" s="8">
        <v>44261.0</v>
      </c>
      <c r="O679" s="5" t="s">
        <v>50</v>
      </c>
      <c r="P679" s="5" t="s">
        <v>23</v>
      </c>
      <c r="S679" s="5" t="s">
        <v>26</v>
      </c>
    </row>
    <row r="680">
      <c r="A680" s="5">
        <v>679.0</v>
      </c>
      <c r="B680" s="5" t="s">
        <v>68</v>
      </c>
      <c r="C680" s="5" t="s">
        <v>20</v>
      </c>
      <c r="K680" s="5">
        <v>900.0</v>
      </c>
      <c r="N680" s="8">
        <v>42545.0</v>
      </c>
    </row>
    <row r="681">
      <c r="A681" s="5">
        <v>680.0</v>
      </c>
      <c r="B681" s="5" t="s">
        <v>70</v>
      </c>
      <c r="C681" s="5" t="s">
        <v>20</v>
      </c>
      <c r="N681" s="8">
        <v>44773.0</v>
      </c>
    </row>
    <row r="682">
      <c r="A682" s="5">
        <v>681.0</v>
      </c>
      <c r="B682" s="5" t="s">
        <v>1282</v>
      </c>
      <c r="C682" s="5" t="s">
        <v>20</v>
      </c>
      <c r="K682" s="5">
        <v>80.0</v>
      </c>
      <c r="N682" s="8">
        <v>44753.0</v>
      </c>
    </row>
    <row r="683">
      <c r="A683" s="5">
        <v>682.0</v>
      </c>
      <c r="B683" s="5" t="s">
        <v>1283</v>
      </c>
      <c r="C683" s="5" t="s">
        <v>20</v>
      </c>
      <c r="N683" s="8">
        <v>45100.0</v>
      </c>
    </row>
    <row r="684">
      <c r="A684" s="5">
        <v>683.0</v>
      </c>
      <c r="B684" s="5" t="s">
        <v>1284</v>
      </c>
      <c r="C684" s="5" t="s">
        <v>20</v>
      </c>
      <c r="K684" s="5">
        <v>60.0</v>
      </c>
      <c r="N684" s="8">
        <v>45237.0</v>
      </c>
    </row>
    <row r="685">
      <c r="A685" s="5">
        <v>684.0</v>
      </c>
      <c r="B685" s="5" t="s">
        <v>1285</v>
      </c>
      <c r="C685" s="5" t="s">
        <v>20</v>
      </c>
      <c r="K685" s="5">
        <v>500.0</v>
      </c>
      <c r="N685" s="8">
        <v>44752.0</v>
      </c>
    </row>
    <row r="686">
      <c r="A686" s="5">
        <v>685.0</v>
      </c>
      <c r="B686" s="5" t="s">
        <v>1286</v>
      </c>
      <c r="C686" s="5" t="s">
        <v>20</v>
      </c>
      <c r="K686" s="5">
        <v>300.0</v>
      </c>
      <c r="N686" s="8">
        <v>44332.0</v>
      </c>
    </row>
    <row r="687">
      <c r="A687" s="5">
        <v>686.0</v>
      </c>
      <c r="B687" s="5" t="s">
        <v>1287</v>
      </c>
      <c r="C687" s="5" t="s">
        <v>20</v>
      </c>
      <c r="K687" s="5">
        <v>50.0</v>
      </c>
      <c r="N687" s="8">
        <v>44604.0</v>
      </c>
    </row>
    <row r="688">
      <c r="A688" s="5">
        <v>687.0</v>
      </c>
      <c r="B688" s="5" t="s">
        <v>1288</v>
      </c>
      <c r="C688" s="5" t="s">
        <v>20</v>
      </c>
      <c r="N688" s="8">
        <v>44104.0</v>
      </c>
    </row>
    <row r="689">
      <c r="A689" s="5">
        <v>688.0</v>
      </c>
      <c r="B689" s="5" t="s">
        <v>1289</v>
      </c>
      <c r="C689" s="5" t="s">
        <v>20</v>
      </c>
      <c r="K689" s="5">
        <v>80.0</v>
      </c>
      <c r="N689" s="8">
        <v>44613.0</v>
      </c>
    </row>
    <row r="690">
      <c r="A690" s="5">
        <v>689.0</v>
      </c>
      <c r="B690" s="5" t="s">
        <v>1290</v>
      </c>
      <c r="C690" s="5" t="s">
        <v>20</v>
      </c>
      <c r="N690" s="8">
        <v>44415.0</v>
      </c>
    </row>
    <row r="691">
      <c r="A691" s="5">
        <v>690.0</v>
      </c>
      <c r="B691" s="5" t="s">
        <v>1291</v>
      </c>
      <c r="C691" s="5" t="s">
        <v>20</v>
      </c>
      <c r="N691" s="8">
        <v>44722.0</v>
      </c>
    </row>
    <row r="692">
      <c r="A692" s="5">
        <v>691.0</v>
      </c>
      <c r="B692" s="5" t="s">
        <v>1292</v>
      </c>
      <c r="C692" s="5" t="s">
        <v>20</v>
      </c>
      <c r="K692" s="5">
        <v>300.0</v>
      </c>
      <c r="N692" s="8">
        <v>45725.0</v>
      </c>
    </row>
    <row r="693">
      <c r="A693" s="5">
        <v>692.0</v>
      </c>
      <c r="B693" s="5" t="s">
        <v>1293</v>
      </c>
      <c r="C693" s="5" t="s">
        <v>20</v>
      </c>
      <c r="K693" s="5">
        <v>150.0</v>
      </c>
      <c r="N693" s="8">
        <v>45977.0</v>
      </c>
    </row>
    <row r="694">
      <c r="A694" s="5">
        <v>693.0</v>
      </c>
      <c r="B694" s="5" t="s">
        <v>1294</v>
      </c>
      <c r="C694" s="5" t="s">
        <v>20</v>
      </c>
      <c r="K694" s="5">
        <v>450.0</v>
      </c>
      <c r="N694" s="8">
        <v>43892.0</v>
      </c>
    </row>
    <row r="695">
      <c r="A695" s="5">
        <v>694.0</v>
      </c>
      <c r="B695" s="5" t="s">
        <v>1295</v>
      </c>
      <c r="C695" s="5" t="s">
        <v>20</v>
      </c>
      <c r="K695" s="5">
        <v>10.0</v>
      </c>
      <c r="N695" s="8">
        <v>45901.0</v>
      </c>
    </row>
    <row r="696">
      <c r="A696" s="5">
        <v>695.0</v>
      </c>
      <c r="B696" s="5" t="s">
        <v>1296</v>
      </c>
      <c r="C696" s="5" t="s">
        <v>20</v>
      </c>
      <c r="K696" s="5">
        <v>600.0</v>
      </c>
      <c r="N696" s="8">
        <v>44186.0</v>
      </c>
    </row>
    <row r="697">
      <c r="A697" s="5">
        <v>696.0</v>
      </c>
      <c r="B697" s="5" t="s">
        <v>1297</v>
      </c>
      <c r="C697" s="5" t="s">
        <v>20</v>
      </c>
      <c r="N697" s="8">
        <v>44210.0</v>
      </c>
    </row>
    <row r="698">
      <c r="A698" s="5">
        <v>697.0</v>
      </c>
      <c r="B698" s="5" t="s">
        <v>1298</v>
      </c>
      <c r="C698" s="5" t="s">
        <v>20</v>
      </c>
      <c r="K698" s="5">
        <v>10.0</v>
      </c>
      <c r="N698" s="8">
        <v>45358.0</v>
      </c>
    </row>
    <row r="699">
      <c r="A699" s="5">
        <v>698.0</v>
      </c>
      <c r="B699" s="5" t="s">
        <v>1299</v>
      </c>
      <c r="C699" s="5" t="s">
        <v>20</v>
      </c>
      <c r="K699" s="5">
        <v>100.0</v>
      </c>
      <c r="N699" s="8">
        <v>44342.0</v>
      </c>
    </row>
    <row r="700">
      <c r="A700" s="5">
        <v>699.0</v>
      </c>
      <c r="B700" s="5" t="s">
        <v>1300</v>
      </c>
      <c r="C700" s="5" t="s">
        <v>20</v>
      </c>
      <c r="K700" s="5">
        <v>30.0</v>
      </c>
      <c r="N700" s="8">
        <v>46108.0</v>
      </c>
    </row>
    <row r="701">
      <c r="A701" s="5">
        <v>700.0</v>
      </c>
      <c r="B701" s="5" t="s">
        <v>1301</v>
      </c>
      <c r="C701" s="5" t="s">
        <v>20</v>
      </c>
      <c r="K701" s="5">
        <v>200.0</v>
      </c>
      <c r="N701" s="8">
        <v>45217.0</v>
      </c>
    </row>
    <row r="702">
      <c r="A702" s="5">
        <v>701.0</v>
      </c>
      <c r="B702" s="5" t="s">
        <v>1302</v>
      </c>
      <c r="C702" s="5" t="s">
        <v>20</v>
      </c>
      <c r="K702" s="5">
        <v>450.0</v>
      </c>
      <c r="N702" s="8">
        <v>44066.0</v>
      </c>
    </row>
    <row r="703">
      <c r="A703" s="5">
        <v>702.0</v>
      </c>
      <c r="B703" s="5" t="s">
        <v>1303</v>
      </c>
      <c r="C703" s="5" t="s">
        <v>20</v>
      </c>
      <c r="N703" s="8">
        <v>46114.0</v>
      </c>
    </row>
    <row r="704">
      <c r="A704" s="5">
        <v>703.0</v>
      </c>
      <c r="B704" s="5" t="s">
        <v>1304</v>
      </c>
      <c r="C704" s="5" t="s">
        <v>20</v>
      </c>
      <c r="K704" s="5">
        <v>350.0</v>
      </c>
      <c r="N704" s="8">
        <v>46057.0</v>
      </c>
    </row>
    <row r="705">
      <c r="A705" s="5">
        <v>704.0</v>
      </c>
      <c r="B705" s="5" t="s">
        <v>1305</v>
      </c>
      <c r="C705" s="5" t="s">
        <v>20</v>
      </c>
      <c r="N705" s="8">
        <v>45383.0</v>
      </c>
    </row>
    <row r="706">
      <c r="A706" s="5">
        <v>705.0</v>
      </c>
      <c r="B706" s="5" t="s">
        <v>1306</v>
      </c>
      <c r="C706" s="5" t="s">
        <v>20</v>
      </c>
      <c r="N706" s="8">
        <v>42921.0</v>
      </c>
    </row>
    <row r="707">
      <c r="A707" s="5">
        <v>706.0</v>
      </c>
      <c r="B707" s="5" t="s">
        <v>1307</v>
      </c>
      <c r="C707" s="5" t="s">
        <v>20</v>
      </c>
      <c r="K707" s="5">
        <v>50.0</v>
      </c>
      <c r="N707" s="8">
        <v>44973.0</v>
      </c>
    </row>
    <row r="708">
      <c r="A708" s="5">
        <v>707.0</v>
      </c>
      <c r="B708" s="5" t="s">
        <v>1308</v>
      </c>
      <c r="C708" s="5" t="s">
        <v>20</v>
      </c>
      <c r="K708" s="5">
        <v>4100.0</v>
      </c>
      <c r="N708" s="8">
        <v>42822.0</v>
      </c>
      <c r="O708" s="5" t="s">
        <v>516</v>
      </c>
      <c r="P708" s="5" t="s">
        <v>23</v>
      </c>
      <c r="S708" s="5" t="s">
        <v>32</v>
      </c>
    </row>
    <row r="709">
      <c r="A709" s="5">
        <v>708.0</v>
      </c>
      <c r="B709" s="5" t="s">
        <v>1309</v>
      </c>
      <c r="C709" s="5" t="s">
        <v>20</v>
      </c>
      <c r="N709" s="8">
        <v>44640.0</v>
      </c>
    </row>
    <row r="710">
      <c r="A710" s="5">
        <v>709.0</v>
      </c>
      <c r="B710" s="5" t="s">
        <v>1310</v>
      </c>
      <c r="C710" s="5" t="s">
        <v>20</v>
      </c>
      <c r="K710" s="5">
        <v>2700.0</v>
      </c>
      <c r="N710" s="8">
        <v>44513.0</v>
      </c>
    </row>
    <row r="711">
      <c r="A711" s="5">
        <v>710.0</v>
      </c>
      <c r="B711" s="5" t="s">
        <v>1311</v>
      </c>
      <c r="C711" s="5" t="s">
        <v>20</v>
      </c>
      <c r="K711" s="5">
        <v>350.0</v>
      </c>
      <c r="N711" s="8">
        <v>44921.0</v>
      </c>
    </row>
    <row r="712">
      <c r="A712" s="5">
        <v>711.0</v>
      </c>
      <c r="B712" s="5" t="s">
        <v>1312</v>
      </c>
      <c r="C712" s="5" t="s">
        <v>20</v>
      </c>
      <c r="K712" s="5">
        <v>20.0</v>
      </c>
      <c r="N712" s="8">
        <v>44505.0</v>
      </c>
    </row>
    <row r="713">
      <c r="A713" s="5">
        <v>712.0</v>
      </c>
      <c r="B713" s="5" t="s">
        <v>1313</v>
      </c>
      <c r="C713" s="5" t="s">
        <v>20</v>
      </c>
      <c r="N713" s="8">
        <v>44283.0</v>
      </c>
    </row>
    <row r="714">
      <c r="A714" s="5">
        <v>713.0</v>
      </c>
      <c r="B714" s="5" t="s">
        <v>1314</v>
      </c>
      <c r="C714" s="5" t="s">
        <v>20</v>
      </c>
      <c r="K714" s="5">
        <v>100.0</v>
      </c>
      <c r="N714" s="8">
        <v>44244.0</v>
      </c>
    </row>
    <row r="715">
      <c r="A715" s="5">
        <v>714.0</v>
      </c>
      <c r="B715" s="5" t="s">
        <v>1315</v>
      </c>
      <c r="C715" s="5" t="s">
        <v>20</v>
      </c>
      <c r="N715" s="8">
        <v>45134.0</v>
      </c>
    </row>
    <row r="716">
      <c r="A716" s="5">
        <v>715.0</v>
      </c>
      <c r="B716" s="5" t="s">
        <v>1316</v>
      </c>
      <c r="C716" s="5" t="s">
        <v>20</v>
      </c>
      <c r="K716" s="5">
        <v>10.0</v>
      </c>
      <c r="N716" s="8">
        <v>44261.0</v>
      </c>
    </row>
    <row r="717">
      <c r="A717" s="5">
        <v>716.0</v>
      </c>
      <c r="B717" s="5" t="s">
        <v>1317</v>
      </c>
      <c r="C717" s="5" t="s">
        <v>20</v>
      </c>
      <c r="K717" s="5">
        <v>50.0</v>
      </c>
      <c r="N717" s="8">
        <v>44893.0</v>
      </c>
    </row>
    <row r="718">
      <c r="A718" s="5">
        <v>717.0</v>
      </c>
      <c r="B718" s="5" t="s">
        <v>1318</v>
      </c>
      <c r="C718" s="5" t="s">
        <v>20</v>
      </c>
      <c r="K718" s="5">
        <v>150.0</v>
      </c>
      <c r="N718" s="8">
        <v>44483.0</v>
      </c>
    </row>
    <row r="719">
      <c r="A719" s="5">
        <v>718.0</v>
      </c>
      <c r="B719" s="5" t="s">
        <v>1319</v>
      </c>
      <c r="C719" s="5" t="s">
        <v>20</v>
      </c>
      <c r="N719" s="8">
        <v>45022.0</v>
      </c>
    </row>
    <row r="720">
      <c r="A720" s="5">
        <v>719.0</v>
      </c>
      <c r="B720" s="5" t="s">
        <v>1320</v>
      </c>
      <c r="C720" s="5" t="s">
        <v>20</v>
      </c>
      <c r="K720" s="5">
        <v>80.0</v>
      </c>
      <c r="N720" s="8">
        <v>44365.0</v>
      </c>
    </row>
    <row r="721">
      <c r="A721" s="5">
        <v>720.0</v>
      </c>
      <c r="B721" s="5" t="s">
        <v>1321</v>
      </c>
      <c r="C721" s="5" t="s">
        <v>20</v>
      </c>
      <c r="N721" s="8">
        <v>44979.0</v>
      </c>
    </row>
    <row r="722">
      <c r="A722" s="5">
        <v>721.0</v>
      </c>
      <c r="B722" s="5" t="s">
        <v>1322</v>
      </c>
      <c r="C722" s="5" t="s">
        <v>20</v>
      </c>
      <c r="K722" s="5">
        <v>20.0</v>
      </c>
      <c r="N722" s="8">
        <v>45674.0</v>
      </c>
    </row>
    <row r="723">
      <c r="A723" s="5">
        <v>722.0</v>
      </c>
      <c r="B723" s="5" t="s">
        <v>1323</v>
      </c>
      <c r="C723" s="5" t="s">
        <v>20</v>
      </c>
      <c r="K723" s="5">
        <v>80.0</v>
      </c>
      <c r="N723" s="8">
        <v>45167.0</v>
      </c>
    </row>
    <row r="724">
      <c r="A724" s="5">
        <v>723.0</v>
      </c>
      <c r="B724" s="5" t="s">
        <v>1324</v>
      </c>
      <c r="C724" s="5" t="s">
        <v>20</v>
      </c>
      <c r="K724" s="5">
        <v>30.0</v>
      </c>
      <c r="N724" s="8">
        <v>45873.0</v>
      </c>
    </row>
    <row r="725">
      <c r="A725" s="5">
        <v>724.0</v>
      </c>
      <c r="B725" s="5" t="s">
        <v>1325</v>
      </c>
      <c r="C725" s="5" t="s">
        <v>20</v>
      </c>
      <c r="N725" s="8">
        <v>45406.0</v>
      </c>
    </row>
    <row r="726">
      <c r="A726" s="5">
        <v>725.0</v>
      </c>
      <c r="B726" s="5" t="s">
        <v>1326</v>
      </c>
      <c r="C726" s="5" t="s">
        <v>20</v>
      </c>
      <c r="K726" s="5">
        <v>10.0</v>
      </c>
      <c r="N726" s="8">
        <v>45901.0</v>
      </c>
    </row>
    <row r="727">
      <c r="A727" s="5">
        <v>726.0</v>
      </c>
      <c r="B727" s="5" t="s">
        <v>1327</v>
      </c>
      <c r="C727" s="5" t="s">
        <v>20</v>
      </c>
      <c r="K727" s="5">
        <v>1700.0</v>
      </c>
      <c r="N727" s="8">
        <v>44551.0</v>
      </c>
    </row>
    <row r="728">
      <c r="A728" s="5">
        <v>727.0</v>
      </c>
      <c r="B728" s="5" t="s">
        <v>1328</v>
      </c>
      <c r="C728" s="5" t="s">
        <v>20</v>
      </c>
      <c r="K728" s="5">
        <v>30.0</v>
      </c>
      <c r="N728" s="8">
        <v>45378.0</v>
      </c>
    </row>
    <row r="729">
      <c r="A729" s="5">
        <v>728.0</v>
      </c>
      <c r="B729" s="5" t="s">
        <v>1329</v>
      </c>
      <c r="C729" s="5" t="s">
        <v>20</v>
      </c>
      <c r="K729" s="5">
        <v>1300.0</v>
      </c>
      <c r="N729" s="8">
        <v>44210.0</v>
      </c>
    </row>
    <row r="730">
      <c r="A730" s="5">
        <v>729.0</v>
      </c>
      <c r="B730" s="5" t="s">
        <v>1330</v>
      </c>
      <c r="C730" s="5" t="s">
        <v>20</v>
      </c>
      <c r="N730" s="8">
        <v>44418.0</v>
      </c>
    </row>
    <row r="731">
      <c r="A731" s="5">
        <v>730.0</v>
      </c>
      <c r="B731" s="5" t="s">
        <v>1331</v>
      </c>
      <c r="C731" s="5" t="s">
        <v>20</v>
      </c>
      <c r="K731" s="5">
        <v>30.0</v>
      </c>
      <c r="N731" s="8">
        <v>46112.0</v>
      </c>
    </row>
    <row r="732">
      <c r="A732" s="5">
        <v>731.0</v>
      </c>
      <c r="B732" s="5" t="s">
        <v>1332</v>
      </c>
      <c r="C732" s="5" t="s">
        <v>20</v>
      </c>
      <c r="K732" s="5">
        <v>30.0</v>
      </c>
      <c r="N732" s="8">
        <v>43872.0</v>
      </c>
    </row>
    <row r="733">
      <c r="A733" s="5">
        <v>732.0</v>
      </c>
      <c r="B733" s="5" t="s">
        <v>1333</v>
      </c>
      <c r="C733" s="5" t="s">
        <v>20</v>
      </c>
      <c r="K733" s="5">
        <v>10.0</v>
      </c>
      <c r="N733" s="8">
        <v>44776.0</v>
      </c>
    </row>
    <row r="734">
      <c r="A734" s="5">
        <v>733.0</v>
      </c>
      <c r="B734" s="5" t="s">
        <v>1334</v>
      </c>
      <c r="C734" s="5" t="s">
        <v>20</v>
      </c>
      <c r="N734" s="8">
        <v>44735.0</v>
      </c>
    </row>
    <row r="735">
      <c r="A735" s="5">
        <v>734.0</v>
      </c>
      <c r="B735" s="5" t="s">
        <v>1335</v>
      </c>
      <c r="C735" s="5" t="s">
        <v>20</v>
      </c>
      <c r="N735" s="8">
        <v>44360.0</v>
      </c>
    </row>
    <row r="736">
      <c r="A736" s="5">
        <v>735.0</v>
      </c>
      <c r="B736" s="5" t="s">
        <v>1336</v>
      </c>
      <c r="C736" s="5" t="s">
        <v>20</v>
      </c>
      <c r="K736" s="5">
        <v>10.0</v>
      </c>
      <c r="N736" s="8">
        <v>44644.0</v>
      </c>
    </row>
    <row r="737">
      <c r="A737" s="5">
        <v>736.0</v>
      </c>
      <c r="B737" s="5" t="s">
        <v>1337</v>
      </c>
      <c r="C737" s="5" t="s">
        <v>20</v>
      </c>
      <c r="K737" s="5">
        <v>90.0</v>
      </c>
      <c r="N737" s="8">
        <v>44209.0</v>
      </c>
    </row>
    <row r="738">
      <c r="A738" s="5">
        <v>737.0</v>
      </c>
      <c r="B738" s="5" t="s">
        <v>1338</v>
      </c>
      <c r="C738" s="5" t="s">
        <v>20</v>
      </c>
      <c r="N738" s="8">
        <v>44696.0</v>
      </c>
    </row>
    <row r="739">
      <c r="A739" s="5">
        <v>738.0</v>
      </c>
      <c r="B739" s="5" t="s">
        <v>1339</v>
      </c>
      <c r="C739" s="5" t="s">
        <v>20</v>
      </c>
      <c r="K739" s="5">
        <v>10.0</v>
      </c>
      <c r="N739" s="8">
        <v>46121.0</v>
      </c>
    </row>
    <row r="740">
      <c r="A740" s="5">
        <v>739.0</v>
      </c>
      <c r="B740" s="5" t="s">
        <v>1340</v>
      </c>
      <c r="C740" s="5" t="s">
        <v>20</v>
      </c>
      <c r="N740" s="8">
        <v>46117.0</v>
      </c>
    </row>
    <row r="741">
      <c r="A741" s="5">
        <v>740.0</v>
      </c>
      <c r="B741" s="5" t="s">
        <v>1341</v>
      </c>
      <c r="C741" s="5" t="s">
        <v>20</v>
      </c>
      <c r="N741" s="8">
        <v>45037.0</v>
      </c>
    </row>
    <row r="742">
      <c r="A742" s="5">
        <v>741.0</v>
      </c>
      <c r="B742" s="5" t="s">
        <v>1342</v>
      </c>
      <c r="C742" s="5" t="s">
        <v>20</v>
      </c>
      <c r="K742" s="5">
        <v>1900.0</v>
      </c>
      <c r="N742" s="8">
        <v>45034.0</v>
      </c>
    </row>
    <row r="743">
      <c r="A743" s="5">
        <v>742.0</v>
      </c>
      <c r="B743" s="5" t="s">
        <v>1343</v>
      </c>
      <c r="C743" s="5" t="s">
        <v>20</v>
      </c>
      <c r="K743" s="5">
        <v>350.0</v>
      </c>
      <c r="N743" s="8">
        <v>44671.0</v>
      </c>
    </row>
    <row r="744">
      <c r="A744" s="5">
        <v>743.0</v>
      </c>
      <c r="B744" s="5" t="s">
        <v>1344</v>
      </c>
      <c r="C744" s="5" t="s">
        <v>20</v>
      </c>
      <c r="N744" s="8">
        <v>44591.0</v>
      </c>
    </row>
    <row r="745">
      <c r="A745" s="5">
        <v>744.0</v>
      </c>
      <c r="B745" s="5" t="s">
        <v>1345</v>
      </c>
      <c r="C745" s="5" t="s">
        <v>20</v>
      </c>
      <c r="K745" s="5">
        <v>20.0</v>
      </c>
      <c r="N745" s="8">
        <v>45259.0</v>
      </c>
    </row>
    <row r="746">
      <c r="A746" s="5">
        <v>745.0</v>
      </c>
      <c r="B746" s="5" t="s">
        <v>1346</v>
      </c>
      <c r="C746" s="5" t="s">
        <v>20</v>
      </c>
      <c r="N746" s="8">
        <v>45405.0</v>
      </c>
    </row>
    <row r="747">
      <c r="A747" s="5">
        <v>746.0</v>
      </c>
      <c r="B747" s="5" t="s">
        <v>1347</v>
      </c>
      <c r="C747" s="5" t="s">
        <v>20</v>
      </c>
      <c r="K747" s="5">
        <v>80.0</v>
      </c>
      <c r="N747" s="8">
        <v>44973.0</v>
      </c>
    </row>
    <row r="748">
      <c r="A748" s="5">
        <v>747.0</v>
      </c>
      <c r="B748" s="5" t="s">
        <v>1348</v>
      </c>
      <c r="C748" s="5" t="s">
        <v>20</v>
      </c>
      <c r="K748" s="5">
        <v>1200.0</v>
      </c>
      <c r="N748" s="8">
        <v>44204.0</v>
      </c>
    </row>
    <row r="749">
      <c r="A749" s="5">
        <v>748.0</v>
      </c>
      <c r="B749" s="5" t="s">
        <v>1349</v>
      </c>
      <c r="C749" s="5" t="s">
        <v>20</v>
      </c>
      <c r="K749" s="5">
        <v>500.0</v>
      </c>
      <c r="N749" s="8">
        <v>45070.0</v>
      </c>
    </row>
    <row r="750">
      <c r="A750" s="5">
        <v>749.0</v>
      </c>
      <c r="B750" s="5" t="s">
        <v>1350</v>
      </c>
      <c r="C750" s="5" t="s">
        <v>20</v>
      </c>
      <c r="K750" s="5">
        <v>30.0</v>
      </c>
      <c r="N750" s="8">
        <v>44264.0</v>
      </c>
    </row>
    <row r="751">
      <c r="A751" s="5">
        <v>750.0</v>
      </c>
      <c r="B751" s="5" t="s">
        <v>1351</v>
      </c>
      <c r="C751" s="5" t="s">
        <v>20</v>
      </c>
      <c r="K751" s="5">
        <v>70.0</v>
      </c>
      <c r="N751" s="8">
        <v>44612.0</v>
      </c>
    </row>
    <row r="752">
      <c r="A752" s="5">
        <v>751.0</v>
      </c>
      <c r="B752" s="5" t="s">
        <v>1352</v>
      </c>
      <c r="C752" s="5" t="s">
        <v>20</v>
      </c>
      <c r="K752" s="5">
        <v>50.0</v>
      </c>
      <c r="N752" s="8">
        <v>45244.0</v>
      </c>
    </row>
    <row r="753">
      <c r="A753" s="5">
        <v>752.0</v>
      </c>
      <c r="B753" s="5" t="s">
        <v>1353</v>
      </c>
      <c r="C753" s="5" t="s">
        <v>20</v>
      </c>
      <c r="N753" s="8">
        <v>44099.0</v>
      </c>
    </row>
    <row r="754">
      <c r="A754" s="5">
        <v>753.0</v>
      </c>
      <c r="B754" s="5" t="s">
        <v>1354</v>
      </c>
      <c r="C754" s="5" t="s">
        <v>20</v>
      </c>
      <c r="K754" s="5">
        <v>10.0</v>
      </c>
      <c r="N754" s="8">
        <v>45081.0</v>
      </c>
    </row>
    <row r="755">
      <c r="A755" s="5">
        <v>754.0</v>
      </c>
      <c r="B755" s="5" t="s">
        <v>1355</v>
      </c>
      <c r="C755" s="5" t="s">
        <v>20</v>
      </c>
      <c r="K755" s="5">
        <v>10.0</v>
      </c>
      <c r="N755" s="8">
        <v>45702.0</v>
      </c>
    </row>
    <row r="756">
      <c r="A756" s="5">
        <v>755.0</v>
      </c>
      <c r="B756" s="5" t="s">
        <v>1356</v>
      </c>
      <c r="C756" s="5" t="s">
        <v>20</v>
      </c>
      <c r="K756" s="5">
        <v>60.0</v>
      </c>
      <c r="N756" s="8">
        <v>44383.0</v>
      </c>
    </row>
    <row r="757">
      <c r="A757" s="5">
        <v>756.0</v>
      </c>
      <c r="B757" s="5" t="s">
        <v>1357</v>
      </c>
      <c r="C757" s="5" t="s">
        <v>20</v>
      </c>
      <c r="K757" s="5">
        <v>80.0</v>
      </c>
      <c r="N757" s="8">
        <v>44984.0</v>
      </c>
    </row>
    <row r="758">
      <c r="A758" s="5">
        <v>757.0</v>
      </c>
      <c r="B758" s="5" t="s">
        <v>1358</v>
      </c>
      <c r="C758" s="5" t="s">
        <v>20</v>
      </c>
      <c r="K758" s="5">
        <v>30.0</v>
      </c>
      <c r="N758" s="8">
        <v>45590.0</v>
      </c>
    </row>
    <row r="759">
      <c r="A759" s="5">
        <v>758.0</v>
      </c>
      <c r="B759" s="5" t="s">
        <v>1359</v>
      </c>
      <c r="C759" s="5" t="s">
        <v>20</v>
      </c>
      <c r="K759" s="5">
        <v>2400.0</v>
      </c>
      <c r="N759" s="8">
        <v>44393.0</v>
      </c>
    </row>
    <row r="760">
      <c r="A760" s="5">
        <v>759.0</v>
      </c>
      <c r="B760" s="5" t="s">
        <v>1360</v>
      </c>
      <c r="C760" s="5" t="s">
        <v>20</v>
      </c>
      <c r="K760" s="5">
        <v>800.0</v>
      </c>
      <c r="N760" s="8">
        <v>42862.0</v>
      </c>
    </row>
    <row r="761">
      <c r="A761" s="5">
        <v>760.0</v>
      </c>
      <c r="B761" s="5" t="s">
        <v>1361</v>
      </c>
      <c r="C761" s="5" t="s">
        <v>20</v>
      </c>
      <c r="N761" s="8">
        <v>44587.0</v>
      </c>
    </row>
    <row r="762">
      <c r="A762" s="5">
        <v>761.0</v>
      </c>
      <c r="B762" s="5" t="s">
        <v>1362</v>
      </c>
      <c r="C762" s="5" t="s">
        <v>20</v>
      </c>
      <c r="K762" s="5">
        <v>200.0</v>
      </c>
      <c r="N762" s="8">
        <v>45253.0</v>
      </c>
    </row>
    <row r="763">
      <c r="A763" s="5">
        <v>762.0</v>
      </c>
      <c r="B763" s="5" t="s">
        <v>1363</v>
      </c>
      <c r="C763" s="5" t="s">
        <v>20</v>
      </c>
      <c r="N763" s="8">
        <v>44737.0</v>
      </c>
    </row>
    <row r="764">
      <c r="A764" s="5">
        <v>763.0</v>
      </c>
      <c r="B764" s="5" t="s">
        <v>1364</v>
      </c>
      <c r="C764" s="5" t="s">
        <v>20</v>
      </c>
      <c r="K764" s="5">
        <v>400.0</v>
      </c>
      <c r="N764" s="8">
        <v>45429.0</v>
      </c>
    </row>
    <row r="765">
      <c r="A765" s="5">
        <v>764.0</v>
      </c>
      <c r="B765" s="5" t="s">
        <v>1365</v>
      </c>
      <c r="C765" s="5" t="s">
        <v>20</v>
      </c>
      <c r="N765" s="8">
        <v>44758.0</v>
      </c>
    </row>
    <row r="766">
      <c r="A766" s="5">
        <v>765.0</v>
      </c>
      <c r="B766" s="5" t="s">
        <v>1366</v>
      </c>
      <c r="C766" s="5" t="s">
        <v>20</v>
      </c>
      <c r="K766" s="5">
        <v>200.0</v>
      </c>
      <c r="N766" s="8">
        <v>44843.0</v>
      </c>
    </row>
    <row r="767">
      <c r="A767" s="5">
        <v>766.0</v>
      </c>
      <c r="B767" s="5" t="s">
        <v>1367</v>
      </c>
      <c r="C767" s="5" t="s">
        <v>20</v>
      </c>
      <c r="K767" s="5">
        <v>600.0</v>
      </c>
      <c r="N767" s="8">
        <v>44318.0</v>
      </c>
    </row>
    <row r="768">
      <c r="A768" s="5">
        <v>767.0</v>
      </c>
      <c r="B768" s="5" t="s">
        <v>1368</v>
      </c>
      <c r="C768" s="5" t="s">
        <v>20</v>
      </c>
      <c r="K768" s="5">
        <v>900.0</v>
      </c>
      <c r="N768" s="8">
        <v>42413.0</v>
      </c>
    </row>
    <row r="769">
      <c r="A769" s="5">
        <v>768.0</v>
      </c>
      <c r="B769" s="5" t="s">
        <v>1369</v>
      </c>
      <c r="C769" s="5" t="s">
        <v>20</v>
      </c>
      <c r="K769" s="5">
        <v>10.0</v>
      </c>
      <c r="N769" s="8">
        <v>45374.0</v>
      </c>
    </row>
    <row r="770">
      <c r="A770" s="5">
        <v>769.0</v>
      </c>
      <c r="B770" s="5" t="s">
        <v>1370</v>
      </c>
      <c r="C770" s="5" t="s">
        <v>20</v>
      </c>
      <c r="K770" s="5">
        <v>20.0</v>
      </c>
      <c r="N770" s="8">
        <v>46082.0</v>
      </c>
    </row>
    <row r="771">
      <c r="A771" s="5">
        <v>770.0</v>
      </c>
      <c r="B771" s="5" t="s">
        <v>1371</v>
      </c>
      <c r="C771" s="5" t="s">
        <v>20</v>
      </c>
      <c r="K771" s="5">
        <v>10.0</v>
      </c>
      <c r="N771" s="8">
        <v>44754.0</v>
      </c>
    </row>
    <row r="772">
      <c r="A772" s="5">
        <v>771.0</v>
      </c>
      <c r="B772" s="5" t="s">
        <v>1372</v>
      </c>
      <c r="C772" s="5" t="s">
        <v>20</v>
      </c>
      <c r="K772" s="5">
        <v>50.0</v>
      </c>
      <c r="N772" s="8">
        <v>44757.0</v>
      </c>
    </row>
    <row r="773">
      <c r="A773" s="5">
        <v>772.0</v>
      </c>
      <c r="B773" s="5" t="s">
        <v>1373</v>
      </c>
      <c r="C773" s="5" t="s">
        <v>20</v>
      </c>
      <c r="N773" s="8">
        <v>46111.0</v>
      </c>
    </row>
    <row r="774">
      <c r="A774" s="5">
        <v>773.0</v>
      </c>
      <c r="B774" s="5" t="s">
        <v>1374</v>
      </c>
      <c r="C774" s="5" t="s">
        <v>20</v>
      </c>
      <c r="K774" s="5">
        <v>80.0</v>
      </c>
      <c r="N774" s="8">
        <v>44056.0</v>
      </c>
    </row>
    <row r="775">
      <c r="A775" s="5">
        <v>774.0</v>
      </c>
      <c r="B775" s="5" t="s">
        <v>1375</v>
      </c>
      <c r="C775" s="5" t="s">
        <v>20</v>
      </c>
      <c r="K775" s="5">
        <v>20.0</v>
      </c>
      <c r="N775" s="8">
        <v>44711.0</v>
      </c>
    </row>
    <row r="776">
      <c r="A776" s="5">
        <v>775.0</v>
      </c>
      <c r="B776" s="5" t="s">
        <v>133</v>
      </c>
      <c r="C776" s="5" t="s">
        <v>20</v>
      </c>
      <c r="N776" s="8">
        <v>45080.0</v>
      </c>
    </row>
    <row r="777">
      <c r="A777" s="5">
        <v>776.0</v>
      </c>
      <c r="B777" s="5" t="s">
        <v>1376</v>
      </c>
      <c r="C777" s="5" t="s">
        <v>20</v>
      </c>
      <c r="K777" s="5">
        <v>300.0</v>
      </c>
      <c r="N777" s="8">
        <v>44595.0</v>
      </c>
    </row>
    <row r="778">
      <c r="A778" s="5">
        <v>777.0</v>
      </c>
      <c r="B778" s="5" t="s">
        <v>1377</v>
      </c>
      <c r="C778" s="5" t="s">
        <v>20</v>
      </c>
      <c r="K778" s="5">
        <v>4700.0</v>
      </c>
      <c r="N778" s="8">
        <v>43923.0</v>
      </c>
    </row>
    <row r="779">
      <c r="A779" s="5">
        <v>778.0</v>
      </c>
      <c r="B779" s="5" t="s">
        <v>1378</v>
      </c>
      <c r="C779" s="5" t="s">
        <v>20</v>
      </c>
      <c r="K779" s="5">
        <v>20.0</v>
      </c>
      <c r="N779" s="8">
        <v>44657.0</v>
      </c>
    </row>
    <row r="780">
      <c r="A780" s="5">
        <v>779.0</v>
      </c>
      <c r="B780" s="5" t="s">
        <v>1379</v>
      </c>
      <c r="C780" s="5" t="s">
        <v>20</v>
      </c>
      <c r="K780" s="5">
        <v>40.0</v>
      </c>
      <c r="N780" s="8">
        <v>44706.0</v>
      </c>
    </row>
    <row r="781">
      <c r="A781" s="5">
        <v>780.0</v>
      </c>
      <c r="B781" s="5" t="s">
        <v>1380</v>
      </c>
      <c r="C781" s="5" t="s">
        <v>20</v>
      </c>
      <c r="K781" s="5">
        <v>150.0</v>
      </c>
      <c r="N781" s="8">
        <v>44568.0</v>
      </c>
    </row>
    <row r="782">
      <c r="A782" s="5">
        <v>781.0</v>
      </c>
      <c r="B782" s="5" t="s">
        <v>1381</v>
      </c>
      <c r="C782" s="5" t="s">
        <v>20</v>
      </c>
      <c r="N782" s="8">
        <v>45376.0</v>
      </c>
    </row>
    <row r="783">
      <c r="A783" s="5">
        <v>782.0</v>
      </c>
      <c r="B783" s="5" t="s">
        <v>1382</v>
      </c>
      <c r="C783" s="5" t="s">
        <v>20</v>
      </c>
      <c r="K783" s="5">
        <v>250.0</v>
      </c>
      <c r="N783" s="8">
        <v>45287.0</v>
      </c>
    </row>
    <row r="784">
      <c r="A784" s="5">
        <v>783.0</v>
      </c>
      <c r="B784" s="5" t="s">
        <v>1383</v>
      </c>
      <c r="C784" s="5" t="s">
        <v>20</v>
      </c>
      <c r="N784" s="8">
        <v>44760.0</v>
      </c>
    </row>
    <row r="785">
      <c r="A785" s="5">
        <v>784.0</v>
      </c>
      <c r="B785" s="5" t="s">
        <v>1384</v>
      </c>
      <c r="C785" s="5" t="s">
        <v>20</v>
      </c>
      <c r="K785" s="5">
        <v>90.0</v>
      </c>
      <c r="N785" s="8">
        <v>44267.0</v>
      </c>
    </row>
    <row r="786">
      <c r="A786" s="5">
        <v>785.0</v>
      </c>
      <c r="B786" s="5" t="s">
        <v>1385</v>
      </c>
      <c r="C786" s="5" t="s">
        <v>20</v>
      </c>
      <c r="K786" s="5">
        <v>350.0</v>
      </c>
      <c r="N786" s="8">
        <v>44493.0</v>
      </c>
    </row>
    <row r="787">
      <c r="A787" s="5">
        <v>786.0</v>
      </c>
      <c r="B787" s="5" t="s">
        <v>1386</v>
      </c>
      <c r="C787" s="5" t="s">
        <v>20</v>
      </c>
      <c r="K787" s="5">
        <v>10.0</v>
      </c>
      <c r="N787" s="8">
        <v>44928.0</v>
      </c>
    </row>
    <row r="788">
      <c r="A788" s="5">
        <v>787.0</v>
      </c>
      <c r="B788" s="5" t="s">
        <v>1387</v>
      </c>
      <c r="C788" s="5" t="s">
        <v>20</v>
      </c>
      <c r="K788" s="5">
        <v>10.0</v>
      </c>
      <c r="N788" s="8">
        <v>45932.0</v>
      </c>
    </row>
    <row r="789">
      <c r="A789" s="5">
        <v>788.0</v>
      </c>
      <c r="B789" s="5" t="s">
        <v>1388</v>
      </c>
      <c r="C789" s="5" t="s">
        <v>20</v>
      </c>
      <c r="K789" s="5">
        <v>700.0</v>
      </c>
      <c r="N789" s="8">
        <v>45690.0</v>
      </c>
    </row>
    <row r="790">
      <c r="A790" s="5">
        <v>789.0</v>
      </c>
      <c r="B790" s="5" t="s">
        <v>1389</v>
      </c>
      <c r="C790" s="5" t="s">
        <v>20</v>
      </c>
      <c r="K790" s="5">
        <v>10.0</v>
      </c>
      <c r="N790" s="8">
        <v>43925.0</v>
      </c>
    </row>
    <row r="791">
      <c r="A791" s="5">
        <v>790.0</v>
      </c>
      <c r="B791" s="5" t="s">
        <v>1390</v>
      </c>
      <c r="C791" s="5" t="s">
        <v>20</v>
      </c>
      <c r="K791" s="5">
        <v>1000.0</v>
      </c>
      <c r="N791" s="8">
        <v>44250.0</v>
      </c>
    </row>
    <row r="792">
      <c r="A792" s="5">
        <v>791.0</v>
      </c>
      <c r="B792" s="5" t="s">
        <v>1391</v>
      </c>
      <c r="C792" s="5" t="s">
        <v>20</v>
      </c>
      <c r="N792" s="8">
        <v>44240.0</v>
      </c>
    </row>
    <row r="793">
      <c r="A793" s="5">
        <v>792.0</v>
      </c>
      <c r="B793" s="5" t="s">
        <v>1392</v>
      </c>
      <c r="C793" s="5" t="s">
        <v>20</v>
      </c>
      <c r="K793" s="5">
        <v>80.0</v>
      </c>
      <c r="N793" s="8">
        <v>44517.0</v>
      </c>
    </row>
    <row r="794">
      <c r="A794" s="5">
        <v>793.0</v>
      </c>
      <c r="B794" s="5" t="s">
        <v>1393</v>
      </c>
      <c r="C794" s="5" t="s">
        <v>20</v>
      </c>
      <c r="K794" s="5">
        <v>30.0</v>
      </c>
      <c r="N794" s="8">
        <v>44198.0</v>
      </c>
    </row>
    <row r="795">
      <c r="A795" s="5">
        <v>794.0</v>
      </c>
      <c r="B795" s="5" t="s">
        <v>1394</v>
      </c>
      <c r="C795" s="5" t="s">
        <v>20</v>
      </c>
      <c r="K795" s="5">
        <v>800.0</v>
      </c>
      <c r="N795" s="8">
        <v>42768.0</v>
      </c>
    </row>
    <row r="796">
      <c r="A796" s="5">
        <v>795.0</v>
      </c>
      <c r="B796" s="5" t="s">
        <v>1395</v>
      </c>
      <c r="C796" s="5" t="s">
        <v>20</v>
      </c>
      <c r="N796" s="8">
        <v>44687.0</v>
      </c>
    </row>
    <row r="797">
      <c r="A797" s="5">
        <v>796.0</v>
      </c>
      <c r="B797" s="5" t="s">
        <v>1396</v>
      </c>
      <c r="C797" s="5" t="s">
        <v>20</v>
      </c>
      <c r="K797" s="5">
        <v>60.0</v>
      </c>
      <c r="N797" s="8">
        <v>44981.0</v>
      </c>
    </row>
    <row r="798">
      <c r="A798" s="5">
        <v>797.0</v>
      </c>
      <c r="B798" s="5" t="s">
        <v>1397</v>
      </c>
      <c r="C798" s="5" t="s">
        <v>20</v>
      </c>
      <c r="K798" s="5">
        <v>200.0</v>
      </c>
      <c r="N798" s="8">
        <v>44329.0</v>
      </c>
    </row>
    <row r="799">
      <c r="A799" s="5">
        <v>798.0</v>
      </c>
      <c r="B799" s="5" t="s">
        <v>1398</v>
      </c>
      <c r="C799" s="5" t="s">
        <v>20</v>
      </c>
      <c r="K799" s="5">
        <v>800.0</v>
      </c>
      <c r="N799" s="8">
        <v>44608.0</v>
      </c>
    </row>
    <row r="800">
      <c r="A800" s="5">
        <v>799.0</v>
      </c>
      <c r="B800" s="5" t="s">
        <v>1399</v>
      </c>
      <c r="C800" s="5" t="s">
        <v>20</v>
      </c>
      <c r="K800" s="5">
        <v>3400.0</v>
      </c>
      <c r="N800" s="8">
        <v>44193.0</v>
      </c>
    </row>
    <row r="801">
      <c r="A801" s="5">
        <v>800.0</v>
      </c>
      <c r="B801" s="5" t="s">
        <v>1400</v>
      </c>
      <c r="C801" s="5" t="s">
        <v>20</v>
      </c>
      <c r="K801" s="5">
        <v>50.0</v>
      </c>
      <c r="N801" s="8">
        <v>45049.0</v>
      </c>
    </row>
    <row r="802">
      <c r="A802" s="5">
        <v>801.0</v>
      </c>
      <c r="B802" s="5" t="s">
        <v>1401</v>
      </c>
      <c r="C802" s="5" t="s">
        <v>20</v>
      </c>
      <c r="K802" s="5">
        <v>1600.0</v>
      </c>
      <c r="N802" s="8">
        <v>45809.0</v>
      </c>
    </row>
    <row r="803">
      <c r="A803" s="5">
        <v>802.0</v>
      </c>
      <c r="B803" s="5" t="s">
        <v>1402</v>
      </c>
      <c r="C803" s="5" t="s">
        <v>20</v>
      </c>
      <c r="K803" s="5">
        <v>350.0</v>
      </c>
      <c r="N803" s="8">
        <v>44777.0</v>
      </c>
    </row>
    <row r="804">
      <c r="A804" s="5">
        <v>803.0</v>
      </c>
      <c r="B804" s="5" t="s">
        <v>1403</v>
      </c>
      <c r="C804" s="5" t="s">
        <v>20</v>
      </c>
      <c r="K804" s="5">
        <v>900.0</v>
      </c>
      <c r="N804" s="8">
        <v>42500.0</v>
      </c>
    </row>
    <row r="805">
      <c r="A805" s="5">
        <v>804.0</v>
      </c>
      <c r="B805" s="5" t="s">
        <v>1404</v>
      </c>
      <c r="C805" s="5" t="s">
        <v>20</v>
      </c>
      <c r="K805" s="5">
        <v>1800.0</v>
      </c>
      <c r="N805" s="8">
        <v>45698.0</v>
      </c>
    </row>
    <row r="806">
      <c r="A806" s="5">
        <v>805.0</v>
      </c>
      <c r="B806" s="5" t="s">
        <v>1405</v>
      </c>
      <c r="C806" s="5" t="s">
        <v>20</v>
      </c>
      <c r="K806" s="5">
        <v>250.0</v>
      </c>
      <c r="N806" s="8">
        <v>44784.0</v>
      </c>
    </row>
    <row r="807">
      <c r="A807" s="5">
        <v>806.0</v>
      </c>
      <c r="B807" s="5" t="s">
        <v>1406</v>
      </c>
      <c r="C807" s="5" t="s">
        <v>20</v>
      </c>
      <c r="K807" s="5">
        <v>2000.0</v>
      </c>
      <c r="N807" s="8">
        <v>42780.0</v>
      </c>
    </row>
    <row r="808">
      <c r="A808" s="5">
        <v>807.0</v>
      </c>
      <c r="B808" s="5" t="s">
        <v>1407</v>
      </c>
      <c r="C808" s="5" t="s">
        <v>20</v>
      </c>
      <c r="K808" s="5">
        <v>250.0</v>
      </c>
      <c r="N808" s="8">
        <v>45755.0</v>
      </c>
    </row>
    <row r="809">
      <c r="A809" s="5">
        <v>808.0</v>
      </c>
      <c r="B809" s="5" t="s">
        <v>1408</v>
      </c>
      <c r="C809" s="5" t="s">
        <v>20</v>
      </c>
      <c r="K809" s="5">
        <v>40.0</v>
      </c>
      <c r="N809" s="8">
        <v>45014.0</v>
      </c>
    </row>
    <row r="810">
      <c r="A810" s="5">
        <v>809.0</v>
      </c>
      <c r="B810" s="5" t="s">
        <v>1409</v>
      </c>
      <c r="C810" s="5" t="s">
        <v>20</v>
      </c>
      <c r="K810" s="5">
        <v>1100.0</v>
      </c>
      <c r="N810" s="8">
        <v>43222.0</v>
      </c>
    </row>
    <row r="811">
      <c r="A811" s="5">
        <v>810.0</v>
      </c>
      <c r="B811" s="5" t="s">
        <v>1410</v>
      </c>
      <c r="C811" s="5" t="s">
        <v>20</v>
      </c>
      <c r="N811" s="8">
        <v>43866.0</v>
      </c>
    </row>
    <row r="812">
      <c r="A812" s="5">
        <v>811.0</v>
      </c>
      <c r="B812" s="5" t="s">
        <v>1411</v>
      </c>
      <c r="C812" s="5" t="s">
        <v>20</v>
      </c>
      <c r="K812" s="5">
        <v>400.0</v>
      </c>
      <c r="N812" s="8">
        <v>42511.0</v>
      </c>
    </row>
    <row r="813">
      <c r="A813" s="5">
        <v>812.0</v>
      </c>
      <c r="B813" s="5" t="s">
        <v>1412</v>
      </c>
      <c r="C813" s="5" t="s">
        <v>20</v>
      </c>
      <c r="K813" s="5">
        <v>1100.0</v>
      </c>
      <c r="N813" s="8">
        <v>44691.0</v>
      </c>
    </row>
    <row r="814">
      <c r="A814" s="5">
        <v>813.0</v>
      </c>
      <c r="B814" s="5" t="s">
        <v>134</v>
      </c>
      <c r="C814" s="5" t="s">
        <v>20</v>
      </c>
      <c r="K814" s="5">
        <v>10.0</v>
      </c>
      <c r="N814" s="8">
        <v>44677.0</v>
      </c>
    </row>
    <row r="815">
      <c r="A815" s="5">
        <v>814.0</v>
      </c>
      <c r="B815" s="5" t="s">
        <v>1413</v>
      </c>
      <c r="C815" s="5" t="s">
        <v>20</v>
      </c>
      <c r="K815" s="5">
        <v>200.0</v>
      </c>
      <c r="N815" s="8">
        <v>45330.0</v>
      </c>
    </row>
    <row r="816">
      <c r="A816" s="5">
        <v>815.0</v>
      </c>
      <c r="B816" s="5" t="s">
        <v>1414</v>
      </c>
      <c r="C816" s="5" t="s">
        <v>20</v>
      </c>
      <c r="K816" s="5">
        <v>200.0</v>
      </c>
      <c r="N816" s="8">
        <v>44783.0</v>
      </c>
    </row>
    <row r="817">
      <c r="A817" s="5">
        <v>816.0</v>
      </c>
      <c r="B817" s="5" t="s">
        <v>1415</v>
      </c>
      <c r="C817" s="5" t="s">
        <v>20</v>
      </c>
      <c r="K817" s="5">
        <v>10.0</v>
      </c>
      <c r="N817" s="8">
        <v>44657.0</v>
      </c>
    </row>
    <row r="818">
      <c r="A818" s="5">
        <v>817.0</v>
      </c>
      <c r="B818" s="5" t="s">
        <v>1416</v>
      </c>
      <c r="C818" s="5" t="s">
        <v>20</v>
      </c>
      <c r="K818" s="5">
        <v>1000.0</v>
      </c>
      <c r="N818" s="8">
        <v>44203.0</v>
      </c>
    </row>
    <row r="819">
      <c r="A819" s="5">
        <v>818.0</v>
      </c>
      <c r="B819" s="5" t="s">
        <v>1417</v>
      </c>
      <c r="C819" s="5" t="s">
        <v>20</v>
      </c>
      <c r="K819" s="5">
        <v>10.0</v>
      </c>
      <c r="N819" s="8">
        <v>44059.0</v>
      </c>
    </row>
    <row r="820">
      <c r="A820" s="5">
        <v>819.0</v>
      </c>
      <c r="B820" s="5" t="s">
        <v>1418</v>
      </c>
      <c r="C820" s="5" t="s">
        <v>20</v>
      </c>
      <c r="K820" s="5">
        <v>70.0</v>
      </c>
      <c r="N820" s="8">
        <v>44451.0</v>
      </c>
    </row>
    <row r="821">
      <c r="A821" s="5">
        <v>820.0</v>
      </c>
      <c r="B821" s="5" t="s">
        <v>1419</v>
      </c>
      <c r="C821" s="5" t="s">
        <v>20</v>
      </c>
      <c r="K821" s="5">
        <v>20.0</v>
      </c>
      <c r="N821" s="8">
        <v>45310.0</v>
      </c>
    </row>
    <row r="822">
      <c r="A822" s="5">
        <v>821.0</v>
      </c>
      <c r="B822" s="5" t="s">
        <v>1420</v>
      </c>
      <c r="C822" s="5" t="s">
        <v>20</v>
      </c>
      <c r="K822" s="5">
        <v>350.0</v>
      </c>
      <c r="N822" s="8">
        <v>44575.0</v>
      </c>
    </row>
    <row r="823">
      <c r="A823" s="5">
        <v>822.0</v>
      </c>
      <c r="B823" s="5" t="s">
        <v>1421</v>
      </c>
      <c r="C823" s="5" t="s">
        <v>20</v>
      </c>
      <c r="N823" s="8">
        <v>45901.0</v>
      </c>
    </row>
    <row r="824">
      <c r="A824" s="5">
        <v>823.0</v>
      </c>
      <c r="B824" s="5" t="s">
        <v>1422</v>
      </c>
      <c r="C824" s="5" t="s">
        <v>20</v>
      </c>
      <c r="K824" s="5">
        <v>250.0</v>
      </c>
      <c r="N824" s="8">
        <v>45632.0</v>
      </c>
    </row>
    <row r="825">
      <c r="A825" s="5">
        <v>824.0</v>
      </c>
      <c r="B825" s="5" t="s">
        <v>1423</v>
      </c>
      <c r="C825" s="5" t="s">
        <v>20</v>
      </c>
      <c r="K825" s="5">
        <v>500.0</v>
      </c>
      <c r="N825" s="8">
        <v>43515.0</v>
      </c>
      <c r="O825" s="5" t="s">
        <v>50</v>
      </c>
      <c r="P825" s="5" t="s">
        <v>23</v>
      </c>
      <c r="Q825" s="5" t="s">
        <v>1424</v>
      </c>
      <c r="R825" s="5">
        <v>9.0</v>
      </c>
      <c r="S825" s="5" t="s">
        <v>26</v>
      </c>
    </row>
    <row r="826">
      <c r="A826" s="5">
        <v>825.0</v>
      </c>
      <c r="B826" s="5" t="s">
        <v>1425</v>
      </c>
      <c r="C826" s="5" t="s">
        <v>20</v>
      </c>
      <c r="K826" s="5">
        <v>150.0</v>
      </c>
      <c r="N826" s="8">
        <v>45142.0</v>
      </c>
    </row>
    <row r="827">
      <c r="A827" s="5">
        <v>826.0</v>
      </c>
      <c r="B827" s="5" t="s">
        <v>1426</v>
      </c>
      <c r="C827" s="5" t="s">
        <v>20</v>
      </c>
      <c r="K827" s="5">
        <v>150.0</v>
      </c>
      <c r="N827" s="8">
        <v>43926.0</v>
      </c>
    </row>
    <row r="828">
      <c r="A828" s="5">
        <v>827.0</v>
      </c>
      <c r="B828" s="5" t="s">
        <v>1427</v>
      </c>
      <c r="C828" s="5" t="s">
        <v>20</v>
      </c>
      <c r="K828" s="5">
        <v>20.0</v>
      </c>
      <c r="N828" s="8">
        <v>44347.0</v>
      </c>
    </row>
    <row r="829">
      <c r="A829" s="5">
        <v>828.0</v>
      </c>
      <c r="B829" s="5" t="s">
        <v>1428</v>
      </c>
      <c r="C829" s="5" t="s">
        <v>20</v>
      </c>
      <c r="N829" s="8">
        <v>44722.0</v>
      </c>
    </row>
    <row r="830">
      <c r="A830" s="5">
        <v>829.0</v>
      </c>
      <c r="B830" s="5" t="s">
        <v>1429</v>
      </c>
      <c r="C830" s="5" t="s">
        <v>20</v>
      </c>
      <c r="N830" s="8">
        <v>44773.0</v>
      </c>
    </row>
    <row r="831">
      <c r="A831" s="5">
        <v>830.0</v>
      </c>
      <c r="B831" s="5" t="s">
        <v>1430</v>
      </c>
      <c r="C831" s="5" t="s">
        <v>20</v>
      </c>
      <c r="K831" s="5">
        <v>450.0</v>
      </c>
      <c r="N831" s="8">
        <v>44131.0</v>
      </c>
    </row>
    <row r="832">
      <c r="A832" s="5">
        <v>831.0</v>
      </c>
      <c r="B832" s="5" t="s">
        <v>1431</v>
      </c>
      <c r="C832" s="5" t="s">
        <v>20</v>
      </c>
      <c r="K832" s="5">
        <v>400.0</v>
      </c>
      <c r="N832" s="8">
        <v>44581.0</v>
      </c>
    </row>
    <row r="833">
      <c r="A833" s="5">
        <v>832.0</v>
      </c>
      <c r="B833" s="5" t="s">
        <v>1432</v>
      </c>
      <c r="C833" s="5" t="s">
        <v>20</v>
      </c>
      <c r="N833" s="8">
        <v>45032.0</v>
      </c>
    </row>
    <row r="834">
      <c r="A834" s="5">
        <v>833.0</v>
      </c>
      <c r="B834" s="5" t="s">
        <v>1433</v>
      </c>
      <c r="C834" s="5" t="s">
        <v>20</v>
      </c>
      <c r="K834" s="5">
        <v>30.0</v>
      </c>
      <c r="N834" s="8">
        <v>44724.0</v>
      </c>
    </row>
    <row r="835">
      <c r="A835" s="5">
        <v>834.0</v>
      </c>
      <c r="B835" s="5" t="s">
        <v>1434</v>
      </c>
      <c r="C835" s="5" t="s">
        <v>20</v>
      </c>
      <c r="K835" s="5">
        <v>9500.0</v>
      </c>
      <c r="N835" s="8">
        <v>43052.0</v>
      </c>
    </row>
    <row r="836">
      <c r="A836" s="5">
        <v>835.0</v>
      </c>
      <c r="B836" s="5" t="s">
        <v>1435</v>
      </c>
      <c r="C836" s="5" t="s">
        <v>20</v>
      </c>
      <c r="K836" s="5">
        <v>60.0</v>
      </c>
      <c r="N836" s="8">
        <v>44957.0</v>
      </c>
    </row>
    <row r="837">
      <c r="A837" s="5">
        <v>836.0</v>
      </c>
      <c r="B837" s="5" t="s">
        <v>1436</v>
      </c>
      <c r="C837" s="5" t="s">
        <v>20</v>
      </c>
      <c r="K837" s="5">
        <v>30.0</v>
      </c>
      <c r="N837" s="8">
        <v>44746.0</v>
      </c>
    </row>
    <row r="838">
      <c r="A838" s="5">
        <v>837.0</v>
      </c>
      <c r="B838" s="5" t="s">
        <v>1437</v>
      </c>
      <c r="C838" s="5" t="s">
        <v>20</v>
      </c>
      <c r="K838" s="5">
        <v>150.0</v>
      </c>
      <c r="N838" s="8">
        <v>44704.0</v>
      </c>
    </row>
    <row r="839">
      <c r="A839" s="5">
        <v>838.0</v>
      </c>
      <c r="B839" s="5" t="s">
        <v>1438</v>
      </c>
      <c r="C839" s="5" t="s">
        <v>20</v>
      </c>
      <c r="K839" s="5">
        <v>20.0</v>
      </c>
      <c r="N839" s="8">
        <v>44489.0</v>
      </c>
    </row>
    <row r="840">
      <c r="A840" s="5">
        <v>839.0</v>
      </c>
      <c r="B840" s="5" t="s">
        <v>1439</v>
      </c>
      <c r="C840" s="5" t="s">
        <v>20</v>
      </c>
      <c r="N840" s="8">
        <v>44046.0</v>
      </c>
    </row>
    <row r="841">
      <c r="A841" s="5">
        <v>840.0</v>
      </c>
      <c r="B841" s="5" t="s">
        <v>1440</v>
      </c>
      <c r="C841" s="5" t="s">
        <v>20</v>
      </c>
      <c r="K841" s="5">
        <v>10.0</v>
      </c>
      <c r="N841" s="8">
        <v>44333.0</v>
      </c>
    </row>
    <row r="842">
      <c r="A842" s="5">
        <v>841.0</v>
      </c>
      <c r="B842" s="5" t="s">
        <v>1441</v>
      </c>
      <c r="C842" s="5" t="s">
        <v>20</v>
      </c>
      <c r="K842" s="5">
        <v>600.0</v>
      </c>
      <c r="N842" s="8">
        <v>46089.0</v>
      </c>
    </row>
    <row r="843">
      <c r="A843" s="5">
        <v>842.0</v>
      </c>
      <c r="B843" s="5" t="s">
        <v>1442</v>
      </c>
      <c r="C843" s="5" t="s">
        <v>20</v>
      </c>
      <c r="K843" s="5">
        <v>60.0</v>
      </c>
      <c r="N843" s="8">
        <v>45677.0</v>
      </c>
    </row>
    <row r="844">
      <c r="A844" s="5">
        <v>843.0</v>
      </c>
      <c r="B844" s="5" t="s">
        <v>1443</v>
      </c>
      <c r="C844" s="5" t="s">
        <v>20</v>
      </c>
      <c r="N844" s="8">
        <v>45238.0</v>
      </c>
    </row>
    <row r="845">
      <c r="A845" s="5">
        <v>844.0</v>
      </c>
      <c r="B845" s="5" t="s">
        <v>1444</v>
      </c>
      <c r="C845" s="5" t="s">
        <v>20</v>
      </c>
      <c r="N845" s="8">
        <v>45043.0</v>
      </c>
    </row>
    <row r="846">
      <c r="A846" s="5">
        <v>845.0</v>
      </c>
      <c r="B846" s="5" t="s">
        <v>1445</v>
      </c>
      <c r="C846" s="5" t="s">
        <v>20</v>
      </c>
      <c r="K846" s="5">
        <v>200.0</v>
      </c>
      <c r="N846" s="8">
        <v>44201.0</v>
      </c>
    </row>
    <row r="847">
      <c r="A847" s="5">
        <v>846.0</v>
      </c>
      <c r="B847" s="5" t="s">
        <v>1446</v>
      </c>
      <c r="C847" s="5" t="s">
        <v>20</v>
      </c>
      <c r="K847" s="5">
        <v>600.0</v>
      </c>
      <c r="N847" s="8">
        <v>45731.0</v>
      </c>
    </row>
    <row r="848">
      <c r="A848" s="5">
        <v>847.0</v>
      </c>
      <c r="B848" s="5" t="s">
        <v>1447</v>
      </c>
      <c r="C848" s="5" t="s">
        <v>20</v>
      </c>
      <c r="K848" s="5">
        <v>400.0</v>
      </c>
      <c r="N848" s="8">
        <v>45055.0</v>
      </c>
    </row>
    <row r="849">
      <c r="A849" s="5">
        <v>848.0</v>
      </c>
      <c r="B849" s="5" t="s">
        <v>1448</v>
      </c>
      <c r="C849" s="5" t="s">
        <v>20</v>
      </c>
      <c r="N849" s="8">
        <v>44039.0</v>
      </c>
    </row>
    <row r="850">
      <c r="A850" s="5">
        <v>849.0</v>
      </c>
      <c r="B850" s="5" t="s">
        <v>1449</v>
      </c>
      <c r="C850" s="5" t="s">
        <v>20</v>
      </c>
      <c r="K850" s="5">
        <v>250.0</v>
      </c>
      <c r="N850" s="8">
        <v>43869.0</v>
      </c>
    </row>
    <row r="851">
      <c r="A851" s="5">
        <v>850.0</v>
      </c>
      <c r="B851" s="5" t="s">
        <v>1450</v>
      </c>
      <c r="C851" s="5" t="s">
        <v>20</v>
      </c>
      <c r="N851" s="8">
        <v>45712.0</v>
      </c>
    </row>
    <row r="852">
      <c r="A852" s="5">
        <v>851.0</v>
      </c>
      <c r="B852" s="5" t="s">
        <v>1451</v>
      </c>
      <c r="C852" s="5" t="s">
        <v>20</v>
      </c>
      <c r="K852" s="5">
        <v>700.0</v>
      </c>
      <c r="N852" s="8">
        <v>44310.0</v>
      </c>
    </row>
    <row r="853">
      <c r="A853" s="5">
        <v>852.0</v>
      </c>
      <c r="B853" s="5" t="s">
        <v>1452</v>
      </c>
      <c r="C853" s="5" t="s">
        <v>20</v>
      </c>
      <c r="K853" s="5">
        <v>150.0</v>
      </c>
      <c r="N853" s="8">
        <v>43859.0</v>
      </c>
    </row>
    <row r="854">
      <c r="A854" s="5">
        <v>853.0</v>
      </c>
      <c r="B854" s="5" t="s">
        <v>1453</v>
      </c>
      <c r="C854" s="5" t="s">
        <v>20</v>
      </c>
      <c r="N854" s="8">
        <v>44163.0</v>
      </c>
    </row>
    <row r="855">
      <c r="A855" s="5">
        <v>854.0</v>
      </c>
      <c r="B855" s="5" t="s">
        <v>1454</v>
      </c>
      <c r="C855" s="5" t="s">
        <v>20</v>
      </c>
      <c r="K855" s="5">
        <v>3200.0</v>
      </c>
      <c r="N855" s="8">
        <v>44259.0</v>
      </c>
    </row>
    <row r="856">
      <c r="A856" s="5">
        <v>855.0</v>
      </c>
      <c r="B856" s="5" t="s">
        <v>1455</v>
      </c>
      <c r="C856" s="5" t="s">
        <v>20</v>
      </c>
      <c r="K856" s="5">
        <v>800.0</v>
      </c>
      <c r="N856" s="8">
        <v>44500.0</v>
      </c>
    </row>
    <row r="857">
      <c r="A857" s="5">
        <v>856.0</v>
      </c>
      <c r="B857" s="5" t="s">
        <v>1456</v>
      </c>
      <c r="C857" s="5" t="s">
        <v>20</v>
      </c>
      <c r="N857" s="8">
        <v>44903.0</v>
      </c>
    </row>
    <row r="858">
      <c r="A858" s="5">
        <v>857.0</v>
      </c>
      <c r="B858" s="5" t="s">
        <v>1457</v>
      </c>
      <c r="C858" s="5" t="s">
        <v>20</v>
      </c>
      <c r="K858" s="5">
        <v>90.0</v>
      </c>
      <c r="N858" s="8">
        <v>44239.0</v>
      </c>
    </row>
    <row r="859">
      <c r="A859" s="5">
        <v>858.0</v>
      </c>
      <c r="B859" s="5" t="s">
        <v>1458</v>
      </c>
      <c r="C859" s="5" t="s">
        <v>20</v>
      </c>
      <c r="K859" s="5">
        <v>500.0</v>
      </c>
      <c r="N859" s="8">
        <v>44860.0</v>
      </c>
    </row>
    <row r="860">
      <c r="A860" s="5">
        <v>859.0</v>
      </c>
      <c r="B860" s="5" t="s">
        <v>1459</v>
      </c>
      <c r="C860" s="5" t="s">
        <v>20</v>
      </c>
      <c r="K860" s="5">
        <v>20.0</v>
      </c>
      <c r="N860" s="8">
        <v>44388.0</v>
      </c>
    </row>
    <row r="861">
      <c r="A861" s="5">
        <v>860.0</v>
      </c>
      <c r="B861" s="5" t="s">
        <v>1460</v>
      </c>
      <c r="C861" s="5" t="s">
        <v>20</v>
      </c>
      <c r="N861" s="8">
        <v>44648.0</v>
      </c>
    </row>
    <row r="862">
      <c r="A862" s="5">
        <v>861.0</v>
      </c>
      <c r="B862" s="5" t="s">
        <v>1461</v>
      </c>
      <c r="C862" s="5" t="s">
        <v>20</v>
      </c>
      <c r="K862" s="5">
        <v>100.0</v>
      </c>
      <c r="N862" s="8">
        <v>43937.0</v>
      </c>
    </row>
    <row r="863">
      <c r="A863" s="5">
        <v>862.0</v>
      </c>
      <c r="B863" s="5" t="s">
        <v>1462</v>
      </c>
      <c r="C863" s="5" t="s">
        <v>20</v>
      </c>
      <c r="N863" s="8">
        <v>45469.0</v>
      </c>
    </row>
    <row r="864">
      <c r="A864" s="5">
        <v>863.0</v>
      </c>
      <c r="B864" s="5" t="s">
        <v>1463</v>
      </c>
      <c r="C864" s="5" t="s">
        <v>20</v>
      </c>
      <c r="K864" s="5">
        <v>200.0</v>
      </c>
      <c r="N864" s="8">
        <v>44552.0</v>
      </c>
    </row>
    <row r="865">
      <c r="A865" s="5">
        <v>864.0</v>
      </c>
      <c r="B865" s="5" t="s">
        <v>1464</v>
      </c>
      <c r="C865" s="5" t="s">
        <v>20</v>
      </c>
      <c r="K865" s="5">
        <v>2500.0</v>
      </c>
      <c r="N865" s="8">
        <v>42896.0</v>
      </c>
    </row>
    <row r="866">
      <c r="A866" s="5">
        <v>865.0</v>
      </c>
      <c r="B866" s="5" t="s">
        <v>1465</v>
      </c>
      <c r="C866" s="5" t="s">
        <v>20</v>
      </c>
      <c r="N866" s="8">
        <v>43896.0</v>
      </c>
    </row>
    <row r="867">
      <c r="A867" s="5">
        <v>866.0</v>
      </c>
      <c r="B867" s="5" t="s">
        <v>1466</v>
      </c>
      <c r="C867" s="5" t="s">
        <v>20</v>
      </c>
      <c r="K867" s="5">
        <v>10.0</v>
      </c>
      <c r="N867" s="8">
        <v>45371.0</v>
      </c>
    </row>
    <row r="868">
      <c r="A868" s="5">
        <v>867.0</v>
      </c>
      <c r="B868" s="5" t="s">
        <v>1467</v>
      </c>
      <c r="C868" s="5" t="s">
        <v>20</v>
      </c>
      <c r="N868" s="8">
        <v>45932.0</v>
      </c>
    </row>
    <row r="869">
      <c r="A869" s="5">
        <v>868.0</v>
      </c>
      <c r="B869" s="5" t="s">
        <v>1468</v>
      </c>
      <c r="C869" s="5" t="s">
        <v>20</v>
      </c>
      <c r="K869" s="5">
        <v>30.0</v>
      </c>
      <c r="N869" s="8">
        <v>43258.0</v>
      </c>
    </row>
    <row r="870">
      <c r="A870" s="5">
        <v>869.0</v>
      </c>
      <c r="B870" s="5" t="s">
        <v>1469</v>
      </c>
      <c r="C870" s="5" t="s">
        <v>20</v>
      </c>
      <c r="K870" s="5">
        <v>10.0</v>
      </c>
      <c r="N870" s="8">
        <v>43892.0</v>
      </c>
    </row>
    <row r="871">
      <c r="A871" s="5">
        <v>870.0</v>
      </c>
      <c r="B871" s="5" t="s">
        <v>1470</v>
      </c>
      <c r="C871" s="5" t="s">
        <v>20</v>
      </c>
      <c r="K871" s="5">
        <v>10.0</v>
      </c>
      <c r="N871" s="8">
        <v>44604.0</v>
      </c>
    </row>
    <row r="872">
      <c r="A872" s="5">
        <v>871.0</v>
      </c>
      <c r="B872" s="5" t="s">
        <v>1471</v>
      </c>
      <c r="C872" s="5" t="s">
        <v>20</v>
      </c>
      <c r="K872" s="5">
        <v>30.0</v>
      </c>
      <c r="N872" s="8">
        <v>44253.0</v>
      </c>
    </row>
    <row r="873">
      <c r="A873" s="5">
        <v>872.0</v>
      </c>
      <c r="B873" s="5" t="s">
        <v>1472</v>
      </c>
      <c r="C873" s="5" t="s">
        <v>20</v>
      </c>
      <c r="K873" s="5">
        <v>20.0</v>
      </c>
      <c r="N873" s="8">
        <v>45470.0</v>
      </c>
    </row>
    <row r="874">
      <c r="A874" s="5">
        <v>873.0</v>
      </c>
      <c r="B874" s="5" t="s">
        <v>1473</v>
      </c>
      <c r="C874" s="5" t="s">
        <v>20</v>
      </c>
      <c r="K874" s="5">
        <v>300.0</v>
      </c>
      <c r="N874" s="8">
        <v>46083.0</v>
      </c>
    </row>
    <row r="875">
      <c r="A875" s="5">
        <v>874.0</v>
      </c>
      <c r="B875" s="5" t="s">
        <v>1474</v>
      </c>
      <c r="C875" s="5" t="s">
        <v>20</v>
      </c>
      <c r="K875" s="5">
        <v>20.0</v>
      </c>
      <c r="N875" s="8">
        <v>44086.0</v>
      </c>
    </row>
    <row r="876">
      <c r="A876" s="5">
        <v>875.0</v>
      </c>
      <c r="B876" s="5" t="s">
        <v>1475</v>
      </c>
      <c r="C876" s="5" t="s">
        <v>20</v>
      </c>
      <c r="K876" s="5">
        <v>250.0</v>
      </c>
      <c r="N876" s="8">
        <v>44524.0</v>
      </c>
    </row>
    <row r="877">
      <c r="A877" s="5">
        <v>876.0</v>
      </c>
      <c r="B877" s="5" t="s">
        <v>1476</v>
      </c>
      <c r="C877" s="5" t="s">
        <v>20</v>
      </c>
      <c r="N877" s="8">
        <v>45613.0</v>
      </c>
    </row>
    <row r="878">
      <c r="A878" s="5">
        <v>877.0</v>
      </c>
      <c r="B878" s="5" t="s">
        <v>1477</v>
      </c>
      <c r="C878" s="5" t="s">
        <v>20</v>
      </c>
      <c r="K878" s="5">
        <v>80.0</v>
      </c>
      <c r="N878" s="8">
        <v>43794.0</v>
      </c>
    </row>
    <row r="879">
      <c r="A879" s="5">
        <v>878.0</v>
      </c>
      <c r="B879" s="5" t="s">
        <v>1478</v>
      </c>
      <c r="C879" s="5" t="s">
        <v>20</v>
      </c>
      <c r="K879" s="5">
        <v>9200.0</v>
      </c>
      <c r="N879" s="8">
        <v>45792.0</v>
      </c>
    </row>
    <row r="880">
      <c r="A880" s="5">
        <v>879.0</v>
      </c>
      <c r="B880" s="5" t="s">
        <v>1479</v>
      </c>
      <c r="C880" s="5" t="s">
        <v>20</v>
      </c>
      <c r="K880" s="5">
        <v>10.0</v>
      </c>
      <c r="N880" s="8">
        <v>44675.0</v>
      </c>
    </row>
    <row r="881">
      <c r="A881" s="5">
        <v>880.0</v>
      </c>
      <c r="B881" s="5" t="s">
        <v>1480</v>
      </c>
      <c r="C881" s="5" t="s">
        <v>20</v>
      </c>
      <c r="K881" s="5">
        <v>2100.0</v>
      </c>
      <c r="N881" s="8">
        <v>45819.0</v>
      </c>
    </row>
    <row r="882">
      <c r="A882" s="5">
        <v>881.0</v>
      </c>
      <c r="B882" s="5" t="s">
        <v>1481</v>
      </c>
      <c r="C882" s="5" t="s">
        <v>20</v>
      </c>
      <c r="K882" s="5">
        <v>150.0</v>
      </c>
      <c r="N882" s="8">
        <v>45371.0</v>
      </c>
    </row>
    <row r="883">
      <c r="A883" s="5">
        <v>882.0</v>
      </c>
      <c r="B883" s="5" t="s">
        <v>1482</v>
      </c>
      <c r="C883" s="5" t="s">
        <v>20</v>
      </c>
      <c r="K883" s="5">
        <v>50.0</v>
      </c>
      <c r="N883" s="8">
        <v>45510.0</v>
      </c>
    </row>
    <row r="884">
      <c r="A884" s="5">
        <v>883.0</v>
      </c>
      <c r="B884" s="5" t="s">
        <v>136</v>
      </c>
      <c r="C884" s="5" t="s">
        <v>20</v>
      </c>
      <c r="K884" s="5">
        <v>1800.0</v>
      </c>
      <c r="N884" s="8">
        <v>42535.0</v>
      </c>
    </row>
    <row r="885">
      <c r="A885" s="5">
        <v>884.0</v>
      </c>
      <c r="B885" s="5" t="s">
        <v>1483</v>
      </c>
      <c r="C885" s="5" t="s">
        <v>20</v>
      </c>
      <c r="K885" s="5">
        <v>1300.0</v>
      </c>
      <c r="N885" s="8">
        <v>45469.0</v>
      </c>
    </row>
    <row r="886">
      <c r="A886" s="5">
        <v>885.0</v>
      </c>
      <c r="B886" s="5" t="s">
        <v>1484</v>
      </c>
      <c r="C886" s="5" t="s">
        <v>20</v>
      </c>
      <c r="N886" s="8">
        <v>44303.0</v>
      </c>
    </row>
    <row r="887">
      <c r="A887" s="5">
        <v>886.0</v>
      </c>
      <c r="B887" s="5" t="s">
        <v>1485</v>
      </c>
      <c r="C887" s="5" t="s">
        <v>20</v>
      </c>
      <c r="K887" s="5">
        <v>250.0</v>
      </c>
      <c r="N887" s="8">
        <v>44349.0</v>
      </c>
    </row>
    <row r="888">
      <c r="A888" s="5">
        <v>887.0</v>
      </c>
      <c r="B888" s="5" t="s">
        <v>1486</v>
      </c>
      <c r="C888" s="5" t="s">
        <v>20</v>
      </c>
      <c r="N888" s="8">
        <v>44896.0</v>
      </c>
    </row>
    <row r="889">
      <c r="A889" s="5">
        <v>888.0</v>
      </c>
      <c r="B889" s="5" t="s">
        <v>1487</v>
      </c>
      <c r="C889" s="5" t="s">
        <v>20</v>
      </c>
      <c r="K889" s="5">
        <v>250.0</v>
      </c>
      <c r="N889" s="8">
        <v>44538.0</v>
      </c>
    </row>
    <row r="890">
      <c r="A890" s="5">
        <v>889.0</v>
      </c>
      <c r="B890" s="5" t="s">
        <v>1488</v>
      </c>
      <c r="C890" s="5" t="s">
        <v>20</v>
      </c>
      <c r="K890" s="5">
        <v>300.0</v>
      </c>
      <c r="N890" s="8">
        <v>44688.0</v>
      </c>
    </row>
    <row r="891">
      <c r="A891" s="5">
        <v>890.0</v>
      </c>
      <c r="B891" s="5" t="s">
        <v>1489</v>
      </c>
      <c r="C891" s="5" t="s">
        <v>20</v>
      </c>
      <c r="N891" s="8">
        <v>45204.0</v>
      </c>
    </row>
    <row r="892">
      <c r="A892" s="5">
        <v>891.0</v>
      </c>
      <c r="B892" s="5" t="s">
        <v>1490</v>
      </c>
      <c r="C892" s="5" t="s">
        <v>20</v>
      </c>
      <c r="K892" s="5">
        <v>10.0</v>
      </c>
      <c r="N892" s="8">
        <v>45015.0</v>
      </c>
    </row>
    <row r="893">
      <c r="A893" s="5">
        <v>892.0</v>
      </c>
      <c r="B893" s="5" t="s">
        <v>1491</v>
      </c>
      <c r="C893" s="5" t="s">
        <v>20</v>
      </c>
      <c r="K893" s="5">
        <v>400.0</v>
      </c>
      <c r="N893" s="8">
        <v>44157.0</v>
      </c>
    </row>
    <row r="894">
      <c r="A894" s="5">
        <v>893.0</v>
      </c>
      <c r="B894" s="5" t="s">
        <v>1492</v>
      </c>
      <c r="C894" s="5" t="s">
        <v>20</v>
      </c>
      <c r="N894" s="8">
        <v>46115.0</v>
      </c>
    </row>
    <row r="895">
      <c r="A895" s="5">
        <v>894.0</v>
      </c>
      <c r="B895" s="5" t="s">
        <v>1493</v>
      </c>
      <c r="C895" s="5" t="s">
        <v>20</v>
      </c>
      <c r="K895" s="5">
        <v>150.0</v>
      </c>
      <c r="N895" s="8">
        <v>44964.0</v>
      </c>
    </row>
    <row r="896">
      <c r="A896" s="5">
        <v>895.0</v>
      </c>
      <c r="B896" s="5" t="s">
        <v>1494</v>
      </c>
      <c r="C896" s="5" t="s">
        <v>20</v>
      </c>
      <c r="K896" s="5">
        <v>20.0</v>
      </c>
      <c r="N896" s="8">
        <v>44279.0</v>
      </c>
    </row>
    <row r="897">
      <c r="A897" s="5">
        <v>896.0</v>
      </c>
      <c r="B897" s="5" t="s">
        <v>1495</v>
      </c>
      <c r="C897" s="5" t="s">
        <v>20</v>
      </c>
      <c r="N897" s="8">
        <v>44899.0</v>
      </c>
    </row>
    <row r="898">
      <c r="A898" s="5">
        <v>897.0</v>
      </c>
      <c r="B898" s="5" t="s">
        <v>1496</v>
      </c>
      <c r="C898" s="5" t="s">
        <v>20</v>
      </c>
      <c r="K898" s="5">
        <v>400.0</v>
      </c>
      <c r="N898" s="8">
        <v>44385.0</v>
      </c>
    </row>
    <row r="899">
      <c r="A899" s="5">
        <v>898.0</v>
      </c>
      <c r="B899" s="5" t="s">
        <v>1497</v>
      </c>
      <c r="C899" s="5" t="s">
        <v>20</v>
      </c>
      <c r="K899" s="5">
        <v>20.0</v>
      </c>
      <c r="N899" s="8">
        <v>45057.0</v>
      </c>
    </row>
    <row r="900">
      <c r="A900" s="5">
        <v>899.0</v>
      </c>
      <c r="B900" s="5" t="s">
        <v>1498</v>
      </c>
      <c r="C900" s="5" t="s">
        <v>20</v>
      </c>
      <c r="N900" s="8">
        <v>44122.0</v>
      </c>
    </row>
    <row r="901">
      <c r="A901" s="5">
        <v>900.0</v>
      </c>
      <c r="B901" s="5" t="s">
        <v>1499</v>
      </c>
      <c r="C901" s="5" t="s">
        <v>20</v>
      </c>
      <c r="K901" s="5">
        <v>20.0</v>
      </c>
      <c r="N901" s="8">
        <v>44292.0</v>
      </c>
    </row>
    <row r="902">
      <c r="A902" s="5">
        <v>901.0</v>
      </c>
      <c r="B902" s="5" t="s">
        <v>1500</v>
      </c>
      <c r="C902" s="5" t="s">
        <v>20</v>
      </c>
      <c r="K902" s="5">
        <v>4900.0</v>
      </c>
      <c r="N902" s="8">
        <v>44359.0</v>
      </c>
    </row>
    <row r="903">
      <c r="A903" s="5">
        <v>902.0</v>
      </c>
      <c r="B903" s="5" t="s">
        <v>1501</v>
      </c>
      <c r="C903" s="5" t="s">
        <v>20</v>
      </c>
      <c r="N903" s="8">
        <v>44403.0</v>
      </c>
    </row>
    <row r="904">
      <c r="A904" s="5">
        <v>903.0</v>
      </c>
      <c r="B904" s="5" t="s">
        <v>1502</v>
      </c>
      <c r="C904" s="5" t="s">
        <v>20</v>
      </c>
      <c r="K904" s="5">
        <v>1000.0</v>
      </c>
      <c r="N904" s="8">
        <v>44566.0</v>
      </c>
    </row>
    <row r="905">
      <c r="A905" s="5">
        <v>904.0</v>
      </c>
      <c r="B905" s="5" t="s">
        <v>1503</v>
      </c>
      <c r="C905" s="5" t="s">
        <v>20</v>
      </c>
      <c r="N905" s="8">
        <v>44750.0</v>
      </c>
    </row>
    <row r="906">
      <c r="A906" s="5">
        <v>905.0</v>
      </c>
      <c r="B906" s="5" t="s">
        <v>1504</v>
      </c>
      <c r="C906" s="5" t="s">
        <v>20</v>
      </c>
      <c r="N906" s="8">
        <v>42527.0</v>
      </c>
    </row>
    <row r="907">
      <c r="A907" s="5">
        <v>906.0</v>
      </c>
      <c r="B907" s="5" t="s">
        <v>1505</v>
      </c>
      <c r="C907" s="5" t="s">
        <v>20</v>
      </c>
      <c r="K907" s="5">
        <v>30.0</v>
      </c>
      <c r="N907" s="8">
        <v>44044.0</v>
      </c>
    </row>
    <row r="908">
      <c r="A908" s="5">
        <v>907.0</v>
      </c>
      <c r="B908" s="5" t="s">
        <v>1506</v>
      </c>
      <c r="C908" s="5" t="s">
        <v>20</v>
      </c>
      <c r="K908" s="5">
        <v>350.0</v>
      </c>
      <c r="N908" s="8">
        <v>44170.0</v>
      </c>
    </row>
    <row r="909">
      <c r="A909" s="5">
        <v>908.0</v>
      </c>
      <c r="B909" s="5" t="s">
        <v>1507</v>
      </c>
      <c r="C909" s="5" t="s">
        <v>20</v>
      </c>
      <c r="N909" s="8">
        <v>46118.0</v>
      </c>
    </row>
    <row r="910">
      <c r="A910" s="5">
        <v>909.0</v>
      </c>
      <c r="B910" s="5" t="s">
        <v>1508</v>
      </c>
      <c r="C910" s="5" t="s">
        <v>20</v>
      </c>
      <c r="K910" s="5">
        <v>2800.0</v>
      </c>
      <c r="N910" s="8">
        <v>42962.0</v>
      </c>
    </row>
    <row r="911">
      <c r="A911" s="5">
        <v>910.0</v>
      </c>
      <c r="B911" s="5" t="s">
        <v>1509</v>
      </c>
      <c r="C911" s="5" t="s">
        <v>20</v>
      </c>
      <c r="K911" s="5">
        <v>500.0</v>
      </c>
      <c r="N911" s="8">
        <v>45873.0</v>
      </c>
    </row>
    <row r="912">
      <c r="A912" s="5">
        <v>911.0</v>
      </c>
      <c r="B912" s="5" t="s">
        <v>1510</v>
      </c>
      <c r="C912" s="5" t="s">
        <v>20</v>
      </c>
      <c r="K912" s="5">
        <v>1300.0</v>
      </c>
      <c r="N912" s="8">
        <v>44330.0</v>
      </c>
    </row>
    <row r="913">
      <c r="A913" s="5">
        <v>912.0</v>
      </c>
      <c r="B913" s="5" t="s">
        <v>1511</v>
      </c>
      <c r="C913" s="5" t="s">
        <v>20</v>
      </c>
      <c r="K913" s="5">
        <v>700.0</v>
      </c>
      <c r="N913" s="8">
        <v>44500.0</v>
      </c>
    </row>
    <row r="914">
      <c r="A914" s="5">
        <v>913.0</v>
      </c>
      <c r="B914" s="5" t="s">
        <v>1512</v>
      </c>
      <c r="C914" s="5" t="s">
        <v>20</v>
      </c>
      <c r="N914" s="8">
        <v>42896.0</v>
      </c>
    </row>
    <row r="915">
      <c r="A915" s="5">
        <v>914.0</v>
      </c>
      <c r="B915" s="5" t="s">
        <v>1513</v>
      </c>
      <c r="C915" s="5" t="s">
        <v>20</v>
      </c>
      <c r="N915" s="8">
        <v>45443.0</v>
      </c>
    </row>
    <row r="916">
      <c r="A916" s="5">
        <v>915.0</v>
      </c>
      <c r="B916" s="5" t="s">
        <v>1514</v>
      </c>
      <c r="C916" s="5" t="s">
        <v>20</v>
      </c>
      <c r="K916" s="5">
        <v>250.0</v>
      </c>
      <c r="N916" s="8">
        <v>44266.0</v>
      </c>
    </row>
    <row r="917">
      <c r="A917" s="5">
        <v>916.0</v>
      </c>
      <c r="B917" s="5" t="s">
        <v>1515</v>
      </c>
      <c r="C917" s="5" t="s">
        <v>20</v>
      </c>
      <c r="K917" s="5">
        <v>250.0</v>
      </c>
      <c r="N917" s="8">
        <v>44188.0</v>
      </c>
    </row>
    <row r="918">
      <c r="A918" s="5">
        <v>917.0</v>
      </c>
      <c r="B918" s="5" t="s">
        <v>1516</v>
      </c>
      <c r="C918" s="5" t="s">
        <v>20</v>
      </c>
      <c r="N918" s="8">
        <v>45313.0</v>
      </c>
    </row>
    <row r="919">
      <c r="A919" s="5">
        <v>918.0</v>
      </c>
      <c r="B919" s="5" t="s">
        <v>1517</v>
      </c>
      <c r="C919" s="5" t="s">
        <v>20</v>
      </c>
      <c r="K919" s="5">
        <v>20.0</v>
      </c>
      <c r="N919" s="8">
        <v>44309.0</v>
      </c>
    </row>
    <row r="920">
      <c r="A920" s="5">
        <v>919.0</v>
      </c>
      <c r="B920" s="5" t="s">
        <v>1518</v>
      </c>
      <c r="C920" s="5" t="s">
        <v>20</v>
      </c>
      <c r="K920" s="5">
        <v>200.0</v>
      </c>
      <c r="N920" s="8">
        <v>44552.0</v>
      </c>
    </row>
    <row r="921">
      <c r="A921" s="5">
        <v>920.0</v>
      </c>
      <c r="B921" s="5" t="s">
        <v>1519</v>
      </c>
      <c r="C921" s="5" t="s">
        <v>20</v>
      </c>
      <c r="N921" s="8">
        <v>43964.0</v>
      </c>
    </row>
    <row r="922">
      <c r="A922" s="5">
        <v>921.0</v>
      </c>
      <c r="B922" s="5" t="s">
        <v>1520</v>
      </c>
      <c r="C922" s="5" t="s">
        <v>20</v>
      </c>
      <c r="K922" s="5">
        <v>70.0</v>
      </c>
      <c r="N922" s="8">
        <v>44017.0</v>
      </c>
    </row>
    <row r="923">
      <c r="A923" s="5">
        <v>922.0</v>
      </c>
      <c r="B923" s="5" t="s">
        <v>1521</v>
      </c>
      <c r="C923" s="5" t="s">
        <v>20</v>
      </c>
      <c r="K923" s="5">
        <v>450.0</v>
      </c>
      <c r="N923" s="8">
        <v>44796.0</v>
      </c>
    </row>
    <row r="924">
      <c r="A924" s="5">
        <v>923.0</v>
      </c>
      <c r="B924" s="5" t="s">
        <v>1522</v>
      </c>
      <c r="C924" s="5" t="s">
        <v>20</v>
      </c>
      <c r="F924" s="5">
        <v>0.07</v>
      </c>
      <c r="N924" s="8">
        <v>44489.0</v>
      </c>
    </row>
    <row r="925">
      <c r="A925" s="5">
        <v>924.0</v>
      </c>
      <c r="B925" s="5" t="s">
        <v>1523</v>
      </c>
      <c r="C925" s="5" t="s">
        <v>20</v>
      </c>
      <c r="K925" s="5">
        <v>10.0</v>
      </c>
      <c r="N925" s="8">
        <v>45932.0</v>
      </c>
    </row>
    <row r="926">
      <c r="A926" s="5">
        <v>925.0</v>
      </c>
      <c r="B926" s="5" t="s">
        <v>1524</v>
      </c>
      <c r="C926" s="5" t="s">
        <v>20</v>
      </c>
      <c r="N926" s="8">
        <v>44558.0</v>
      </c>
    </row>
    <row r="927">
      <c r="A927" s="5">
        <v>926.0</v>
      </c>
      <c r="B927" s="5" t="s">
        <v>1525</v>
      </c>
      <c r="C927" s="5" t="s">
        <v>20</v>
      </c>
      <c r="N927" s="8">
        <v>44893.0</v>
      </c>
    </row>
    <row r="928">
      <c r="A928" s="5">
        <v>927.0</v>
      </c>
      <c r="B928" s="5" t="s">
        <v>1526</v>
      </c>
      <c r="C928" s="5" t="s">
        <v>20</v>
      </c>
      <c r="K928" s="5">
        <v>3500.0</v>
      </c>
      <c r="N928" s="8">
        <v>44054.0</v>
      </c>
    </row>
    <row r="929">
      <c r="A929" s="5">
        <v>928.0</v>
      </c>
      <c r="B929" s="5" t="s">
        <v>137</v>
      </c>
      <c r="C929" s="5" t="s">
        <v>20</v>
      </c>
      <c r="K929" s="5">
        <v>200.0</v>
      </c>
      <c r="N929" s="8">
        <v>44376.0</v>
      </c>
    </row>
    <row r="930">
      <c r="A930" s="5">
        <v>929.0</v>
      </c>
      <c r="B930" s="5" t="s">
        <v>1527</v>
      </c>
      <c r="C930" s="5" t="s">
        <v>20</v>
      </c>
      <c r="K930" s="5">
        <v>10.0</v>
      </c>
      <c r="N930" s="8">
        <v>44860.0</v>
      </c>
    </row>
    <row r="931">
      <c r="A931" s="5">
        <v>930.0</v>
      </c>
      <c r="B931" s="5" t="s">
        <v>1528</v>
      </c>
      <c r="C931" s="5" t="s">
        <v>20</v>
      </c>
      <c r="K931" s="5">
        <v>30.0</v>
      </c>
      <c r="N931" s="8">
        <v>44249.0</v>
      </c>
    </row>
    <row r="932">
      <c r="A932" s="5">
        <v>931.0</v>
      </c>
      <c r="B932" s="5" t="s">
        <v>1529</v>
      </c>
      <c r="C932" s="5" t="s">
        <v>20</v>
      </c>
      <c r="K932" s="5">
        <v>10.0</v>
      </c>
      <c r="N932" s="8">
        <v>44079.0</v>
      </c>
    </row>
    <row r="933">
      <c r="A933" s="5">
        <v>932.0</v>
      </c>
      <c r="B933" s="5" t="s">
        <v>1530</v>
      </c>
      <c r="C933" s="5" t="s">
        <v>20</v>
      </c>
      <c r="N933" s="8">
        <v>44241.0</v>
      </c>
    </row>
    <row r="934">
      <c r="A934" s="5">
        <v>933.0</v>
      </c>
      <c r="B934" s="5" t="s">
        <v>1531</v>
      </c>
      <c r="C934" s="5" t="s">
        <v>20</v>
      </c>
      <c r="N934" s="8">
        <v>46113.0</v>
      </c>
    </row>
    <row r="935">
      <c r="A935" s="5">
        <v>934.0</v>
      </c>
      <c r="B935" s="5" t="s">
        <v>1532</v>
      </c>
      <c r="C935" s="5" t="s">
        <v>20</v>
      </c>
      <c r="K935" s="5">
        <v>20.0</v>
      </c>
      <c r="N935" s="8">
        <v>44665.0</v>
      </c>
    </row>
    <row r="936">
      <c r="A936" s="5">
        <v>935.0</v>
      </c>
      <c r="B936" s="5" t="s">
        <v>1533</v>
      </c>
      <c r="C936" s="5" t="s">
        <v>20</v>
      </c>
      <c r="K936" s="5">
        <v>400.0</v>
      </c>
      <c r="N936" s="8">
        <v>43637.0</v>
      </c>
    </row>
    <row r="937">
      <c r="A937" s="5">
        <v>936.0</v>
      </c>
      <c r="B937" s="5" t="s">
        <v>1534</v>
      </c>
      <c r="C937" s="5" t="s">
        <v>20</v>
      </c>
      <c r="K937" s="5">
        <v>6300.0</v>
      </c>
      <c r="N937" s="8">
        <v>42860.0</v>
      </c>
      <c r="O937" s="5" t="s">
        <v>50</v>
      </c>
      <c r="P937" s="5" t="s">
        <v>23</v>
      </c>
      <c r="S937" s="5" t="s">
        <v>32</v>
      </c>
    </row>
    <row r="938">
      <c r="A938" s="5">
        <v>937.0</v>
      </c>
      <c r="B938" s="5" t="s">
        <v>1535</v>
      </c>
      <c r="C938" s="5" t="s">
        <v>20</v>
      </c>
      <c r="N938" s="8">
        <v>44990.0</v>
      </c>
    </row>
    <row r="939">
      <c r="A939" s="5">
        <v>938.0</v>
      </c>
      <c r="B939" s="5" t="s">
        <v>1536</v>
      </c>
      <c r="C939" s="5" t="s">
        <v>20</v>
      </c>
      <c r="K939" s="5">
        <v>90.0</v>
      </c>
      <c r="N939" s="8">
        <v>44063.0</v>
      </c>
    </row>
    <row r="940">
      <c r="A940" s="5">
        <v>939.0</v>
      </c>
      <c r="B940" s="5" t="s">
        <v>1537</v>
      </c>
      <c r="C940" s="5" t="s">
        <v>20</v>
      </c>
      <c r="K940" s="5">
        <v>30.0</v>
      </c>
      <c r="N940" s="8">
        <v>45601.0</v>
      </c>
    </row>
    <row r="941">
      <c r="A941" s="5">
        <v>940.0</v>
      </c>
      <c r="B941" s="5" t="s">
        <v>1538</v>
      </c>
      <c r="C941" s="5" t="s">
        <v>20</v>
      </c>
      <c r="K941" s="5">
        <v>10.0</v>
      </c>
      <c r="N941" s="8">
        <v>44580.0</v>
      </c>
    </row>
    <row r="942">
      <c r="A942" s="5">
        <v>941.0</v>
      </c>
      <c r="B942" s="5" t="s">
        <v>1539</v>
      </c>
      <c r="C942" s="5" t="s">
        <v>20</v>
      </c>
      <c r="K942" s="5">
        <v>250.0</v>
      </c>
      <c r="N942" s="8">
        <v>44565.0</v>
      </c>
    </row>
    <row r="943">
      <c r="A943" s="5">
        <v>942.0</v>
      </c>
      <c r="B943" s="5" t="s">
        <v>1540</v>
      </c>
      <c r="C943" s="5" t="s">
        <v>20</v>
      </c>
      <c r="N943" s="8">
        <v>44830.0</v>
      </c>
    </row>
    <row r="944">
      <c r="A944" s="5">
        <v>943.0</v>
      </c>
      <c r="B944" s="5" t="s">
        <v>1541</v>
      </c>
      <c r="C944" s="5" t="s">
        <v>20</v>
      </c>
      <c r="K944" s="5">
        <v>700.0</v>
      </c>
      <c r="N944" s="8">
        <v>44182.0</v>
      </c>
    </row>
    <row r="945">
      <c r="A945" s="5">
        <v>944.0</v>
      </c>
      <c r="B945" s="5" t="s">
        <v>1542</v>
      </c>
      <c r="C945" s="5" t="s">
        <v>20</v>
      </c>
      <c r="K945" s="5">
        <v>50.0</v>
      </c>
      <c r="N945" s="8">
        <v>46134.0</v>
      </c>
    </row>
    <row r="946">
      <c r="A946" s="5">
        <v>945.0</v>
      </c>
      <c r="B946" s="5" t="s">
        <v>1543</v>
      </c>
      <c r="C946" s="5" t="s">
        <v>20</v>
      </c>
      <c r="N946" s="8">
        <v>44960.0</v>
      </c>
    </row>
    <row r="947">
      <c r="A947" s="5">
        <v>946.0</v>
      </c>
      <c r="B947" s="5" t="s">
        <v>1544</v>
      </c>
      <c r="C947" s="5" t="s">
        <v>20</v>
      </c>
      <c r="K947" s="5">
        <v>700.0</v>
      </c>
      <c r="N947" s="8">
        <v>43892.0</v>
      </c>
    </row>
    <row r="948">
      <c r="A948" s="5">
        <v>947.0</v>
      </c>
      <c r="B948" s="5" t="s">
        <v>1545</v>
      </c>
      <c r="C948" s="5" t="s">
        <v>20</v>
      </c>
      <c r="K948" s="5">
        <v>60.0</v>
      </c>
      <c r="N948" s="8">
        <v>44723.0</v>
      </c>
    </row>
    <row r="949">
      <c r="A949" s="5">
        <v>948.0</v>
      </c>
      <c r="B949" s="5" t="s">
        <v>1546</v>
      </c>
      <c r="C949" s="5" t="s">
        <v>20</v>
      </c>
      <c r="K949" s="5">
        <v>20.0</v>
      </c>
      <c r="N949" s="8">
        <v>45411.0</v>
      </c>
    </row>
    <row r="950">
      <c r="A950" s="5">
        <v>949.0</v>
      </c>
      <c r="B950" s="5" t="s">
        <v>1547</v>
      </c>
      <c r="C950" s="5" t="s">
        <v>20</v>
      </c>
      <c r="K950" s="5">
        <v>200.0</v>
      </c>
      <c r="N950" s="8">
        <v>44637.0</v>
      </c>
    </row>
    <row r="951">
      <c r="A951" s="5">
        <v>950.0</v>
      </c>
      <c r="B951" s="5" t="s">
        <v>1548</v>
      </c>
      <c r="C951" s="5" t="s">
        <v>20</v>
      </c>
      <c r="K951" s="5">
        <v>10.0</v>
      </c>
      <c r="N951" s="8">
        <v>44813.0</v>
      </c>
    </row>
    <row r="952">
      <c r="A952" s="5">
        <v>951.0</v>
      </c>
      <c r="B952" s="5" t="s">
        <v>1549</v>
      </c>
      <c r="C952" s="5" t="s">
        <v>20</v>
      </c>
      <c r="K952" s="5">
        <v>1200.0</v>
      </c>
      <c r="N952" s="8">
        <v>43958.0</v>
      </c>
    </row>
    <row r="953">
      <c r="A953" s="5">
        <v>952.0</v>
      </c>
      <c r="B953" s="5" t="s">
        <v>1550</v>
      </c>
      <c r="C953" s="5" t="s">
        <v>20</v>
      </c>
      <c r="K953" s="5">
        <v>30.0</v>
      </c>
      <c r="N953" s="8">
        <v>45355.0</v>
      </c>
    </row>
    <row r="954">
      <c r="A954" s="5">
        <v>953.0</v>
      </c>
      <c r="B954" s="5" t="s">
        <v>1551</v>
      </c>
      <c r="C954" s="5" t="s">
        <v>20</v>
      </c>
      <c r="N954" s="8">
        <v>44604.0</v>
      </c>
    </row>
    <row r="955">
      <c r="A955" s="5">
        <v>954.0</v>
      </c>
      <c r="B955" s="5" t="s">
        <v>1552</v>
      </c>
      <c r="C955" s="5" t="s">
        <v>20</v>
      </c>
      <c r="K955" s="5">
        <v>60.0</v>
      </c>
      <c r="N955" s="8">
        <v>45436.0</v>
      </c>
    </row>
    <row r="956">
      <c r="A956" s="5">
        <v>955.0</v>
      </c>
      <c r="B956" s="5" t="s">
        <v>1553</v>
      </c>
      <c r="C956" s="5" t="s">
        <v>20</v>
      </c>
      <c r="K956" s="5">
        <v>600.0</v>
      </c>
      <c r="N956" s="8">
        <v>43843.0</v>
      </c>
    </row>
    <row r="957">
      <c r="A957" s="5">
        <v>956.0</v>
      </c>
      <c r="B957" s="5" t="s">
        <v>1554</v>
      </c>
      <c r="C957" s="5" t="s">
        <v>20</v>
      </c>
      <c r="N957" s="8">
        <v>44066.0</v>
      </c>
    </row>
    <row r="958">
      <c r="A958" s="5">
        <v>957.0</v>
      </c>
      <c r="B958" s="5" t="s">
        <v>1555</v>
      </c>
      <c r="C958" s="5" t="s">
        <v>20</v>
      </c>
      <c r="K958" s="5">
        <v>5200.0</v>
      </c>
      <c r="N958" s="8">
        <v>44181.0</v>
      </c>
    </row>
    <row r="959">
      <c r="A959" s="5">
        <v>958.0</v>
      </c>
      <c r="B959" s="5" t="s">
        <v>1556</v>
      </c>
      <c r="C959" s="5" t="s">
        <v>20</v>
      </c>
      <c r="N959" s="8">
        <v>44575.0</v>
      </c>
    </row>
    <row r="960">
      <c r="A960" s="5">
        <v>959.0</v>
      </c>
      <c r="B960" s="5" t="s">
        <v>1557</v>
      </c>
      <c r="C960" s="5" t="s">
        <v>20</v>
      </c>
      <c r="K960" s="5">
        <v>600.0</v>
      </c>
      <c r="N960" s="8">
        <v>44301.0</v>
      </c>
    </row>
    <row r="961">
      <c r="A961" s="5">
        <v>960.0</v>
      </c>
      <c r="B961" s="5" t="s">
        <v>1558</v>
      </c>
      <c r="C961" s="5" t="s">
        <v>20</v>
      </c>
      <c r="K961" s="5">
        <v>40.0</v>
      </c>
      <c r="N961" s="8">
        <v>44096.0</v>
      </c>
    </row>
    <row r="962">
      <c r="A962" s="5">
        <v>961.0</v>
      </c>
      <c r="B962" s="5" t="s">
        <v>1559</v>
      </c>
      <c r="C962" s="5" t="s">
        <v>20</v>
      </c>
      <c r="N962" s="8">
        <v>44391.0</v>
      </c>
    </row>
    <row r="963">
      <c r="A963" s="5">
        <v>962.0</v>
      </c>
      <c r="B963" s="5" t="s">
        <v>1560</v>
      </c>
      <c r="C963" s="5" t="s">
        <v>20</v>
      </c>
      <c r="N963" s="8">
        <v>44565.0</v>
      </c>
    </row>
    <row r="964">
      <c r="A964" s="5">
        <v>963.0</v>
      </c>
      <c r="B964" s="5" t="s">
        <v>1561</v>
      </c>
      <c r="C964" s="5" t="s">
        <v>20</v>
      </c>
      <c r="K964" s="5">
        <v>60.0</v>
      </c>
      <c r="N964" s="8">
        <v>44548.0</v>
      </c>
    </row>
    <row r="965">
      <c r="A965" s="5">
        <v>964.0</v>
      </c>
      <c r="B965" s="5" t="s">
        <v>1562</v>
      </c>
      <c r="C965" s="5" t="s">
        <v>20</v>
      </c>
      <c r="K965" s="5">
        <v>10.0</v>
      </c>
      <c r="N965" s="8">
        <v>45008.0</v>
      </c>
    </row>
    <row r="966">
      <c r="A966" s="5">
        <v>965.0</v>
      </c>
      <c r="B966" s="5" t="s">
        <v>1563</v>
      </c>
      <c r="C966" s="5" t="s">
        <v>20</v>
      </c>
      <c r="N966" s="8">
        <v>44226.0</v>
      </c>
    </row>
    <row r="967">
      <c r="A967" s="5">
        <v>966.0</v>
      </c>
      <c r="B967" s="5" t="s">
        <v>1564</v>
      </c>
      <c r="C967" s="5" t="s">
        <v>20</v>
      </c>
      <c r="K967" s="5">
        <v>150.0</v>
      </c>
      <c r="N967" s="8">
        <v>44262.0</v>
      </c>
    </row>
    <row r="968">
      <c r="A968" s="5">
        <v>967.0</v>
      </c>
      <c r="B968" s="5" t="s">
        <v>1565</v>
      </c>
      <c r="C968" s="5" t="s">
        <v>20</v>
      </c>
      <c r="K968" s="5">
        <v>50.0</v>
      </c>
      <c r="N968" s="8">
        <v>44681.0</v>
      </c>
    </row>
    <row r="969">
      <c r="A969" s="5">
        <v>968.0</v>
      </c>
      <c r="B969" s="5" t="s">
        <v>1566</v>
      </c>
      <c r="C969" s="5" t="s">
        <v>20</v>
      </c>
      <c r="N969" s="8">
        <v>44982.0</v>
      </c>
    </row>
    <row r="970">
      <c r="A970" s="5">
        <v>969.0</v>
      </c>
      <c r="B970" s="5" t="s">
        <v>1567</v>
      </c>
      <c r="C970" s="5" t="s">
        <v>20</v>
      </c>
      <c r="K970" s="5">
        <v>150.0</v>
      </c>
      <c r="N970" s="8">
        <v>44630.0</v>
      </c>
    </row>
    <row r="971">
      <c r="A971" s="5">
        <v>970.0</v>
      </c>
      <c r="B971" s="5" t="s">
        <v>1568</v>
      </c>
      <c r="C971" s="5" t="s">
        <v>20</v>
      </c>
      <c r="K971" s="5">
        <v>30.0</v>
      </c>
      <c r="N971" s="8">
        <v>44997.0</v>
      </c>
    </row>
    <row r="972">
      <c r="A972" s="5">
        <v>971.0</v>
      </c>
      <c r="B972" s="5" t="s">
        <v>1569</v>
      </c>
      <c r="C972" s="5" t="s">
        <v>20</v>
      </c>
      <c r="K972" s="5">
        <v>30.0</v>
      </c>
      <c r="N972" s="8">
        <v>45609.0</v>
      </c>
    </row>
    <row r="973">
      <c r="A973" s="5">
        <v>972.0</v>
      </c>
      <c r="B973" s="5" t="s">
        <v>1570</v>
      </c>
      <c r="C973" s="5" t="s">
        <v>20</v>
      </c>
      <c r="K973" s="5">
        <v>40.0</v>
      </c>
      <c r="N973" s="8">
        <v>46007.0</v>
      </c>
    </row>
    <row r="974">
      <c r="A974" s="5">
        <v>973.0</v>
      </c>
      <c r="B974" s="5" t="s">
        <v>1571</v>
      </c>
      <c r="C974" s="5" t="s">
        <v>20</v>
      </c>
      <c r="N974" s="8">
        <v>44296.0</v>
      </c>
    </row>
    <row r="975">
      <c r="A975" s="5">
        <v>974.0</v>
      </c>
      <c r="B975" s="5" t="s">
        <v>1572</v>
      </c>
      <c r="C975" s="5" t="s">
        <v>20</v>
      </c>
      <c r="K975" s="5">
        <v>20.0</v>
      </c>
      <c r="N975" s="8">
        <v>44883.0</v>
      </c>
    </row>
    <row r="976">
      <c r="A976" s="5">
        <v>975.0</v>
      </c>
      <c r="B976" s="5" t="s">
        <v>1573</v>
      </c>
      <c r="C976" s="5" t="s">
        <v>20</v>
      </c>
      <c r="N976" s="8">
        <v>46122.0</v>
      </c>
    </row>
    <row r="977">
      <c r="A977" s="5">
        <v>976.0</v>
      </c>
      <c r="B977" s="5" t="s">
        <v>1574</v>
      </c>
      <c r="C977" s="5" t="s">
        <v>20</v>
      </c>
      <c r="N977" s="8">
        <v>45395.0</v>
      </c>
    </row>
    <row r="978">
      <c r="A978" s="5">
        <v>977.0</v>
      </c>
      <c r="B978" s="5" t="s">
        <v>71</v>
      </c>
      <c r="C978" s="5" t="s">
        <v>20</v>
      </c>
      <c r="N978" s="8">
        <v>44992.0</v>
      </c>
    </row>
    <row r="979">
      <c r="A979" s="5">
        <v>978.0</v>
      </c>
      <c r="B979" s="5" t="s">
        <v>1575</v>
      </c>
      <c r="C979" s="5" t="s">
        <v>20</v>
      </c>
      <c r="K979" s="5">
        <v>250.0</v>
      </c>
      <c r="N979" s="8">
        <v>45901.0</v>
      </c>
    </row>
    <row r="980">
      <c r="A980" s="5">
        <v>979.0</v>
      </c>
      <c r="B980" s="5" t="s">
        <v>1576</v>
      </c>
      <c r="C980" s="5" t="s">
        <v>20</v>
      </c>
      <c r="K980" s="5">
        <v>90.0</v>
      </c>
      <c r="N980" s="8">
        <v>44485.0</v>
      </c>
    </row>
    <row r="981">
      <c r="A981" s="5">
        <v>980.0</v>
      </c>
      <c r="B981" s="5" t="s">
        <v>1577</v>
      </c>
      <c r="C981" s="5" t="s">
        <v>20</v>
      </c>
      <c r="N981" s="8">
        <v>45147.0</v>
      </c>
    </row>
    <row r="982">
      <c r="A982" s="5">
        <v>981.0</v>
      </c>
      <c r="B982" s="5" t="s">
        <v>1578</v>
      </c>
      <c r="C982" s="5" t="s">
        <v>20</v>
      </c>
      <c r="N982" s="8">
        <v>44898.0</v>
      </c>
    </row>
    <row r="983">
      <c r="A983" s="5">
        <v>982.0</v>
      </c>
      <c r="B983" s="5" t="s">
        <v>1579</v>
      </c>
      <c r="C983" s="5" t="s">
        <v>20</v>
      </c>
      <c r="K983" s="5">
        <v>10.0</v>
      </c>
      <c r="N983" s="8">
        <v>45901.0</v>
      </c>
    </row>
    <row r="984">
      <c r="A984" s="5">
        <v>983.0</v>
      </c>
      <c r="B984" s="5" t="s">
        <v>1580</v>
      </c>
      <c r="C984" s="5" t="s">
        <v>20</v>
      </c>
      <c r="K984" s="5">
        <v>60.0</v>
      </c>
      <c r="N984" s="8">
        <v>44619.0</v>
      </c>
    </row>
    <row r="985">
      <c r="A985" s="5">
        <v>984.0</v>
      </c>
      <c r="B985" s="5" t="s">
        <v>1581</v>
      </c>
      <c r="C985" s="5" t="s">
        <v>20</v>
      </c>
      <c r="K985" s="5">
        <v>80.0</v>
      </c>
      <c r="N985" s="8">
        <v>44753.0</v>
      </c>
    </row>
    <row r="986">
      <c r="A986" s="5">
        <v>985.0</v>
      </c>
      <c r="B986" s="5" t="s">
        <v>1582</v>
      </c>
      <c r="C986" s="5" t="s">
        <v>20</v>
      </c>
      <c r="K986" s="5">
        <v>100.0</v>
      </c>
      <c r="N986" s="8">
        <v>45630.0</v>
      </c>
    </row>
    <row r="987">
      <c r="A987" s="5">
        <v>986.0</v>
      </c>
      <c r="B987" s="5" t="s">
        <v>1583</v>
      </c>
      <c r="C987" s="5" t="s">
        <v>20</v>
      </c>
      <c r="K987" s="5">
        <v>6900.0</v>
      </c>
      <c r="N987" s="8">
        <v>44204.0</v>
      </c>
    </row>
    <row r="988">
      <c r="A988" s="5">
        <v>987.0</v>
      </c>
      <c r="B988" s="5" t="s">
        <v>1584</v>
      </c>
      <c r="C988" s="5" t="s">
        <v>20</v>
      </c>
      <c r="K988" s="5">
        <v>600.0</v>
      </c>
      <c r="N988" s="8">
        <v>44199.0</v>
      </c>
    </row>
    <row r="989">
      <c r="A989" s="5">
        <v>988.0</v>
      </c>
      <c r="B989" s="5" t="s">
        <v>1585</v>
      </c>
      <c r="C989" s="5" t="s">
        <v>20</v>
      </c>
      <c r="K989" s="5">
        <v>40.0</v>
      </c>
      <c r="N989" s="8">
        <v>44500.0</v>
      </c>
    </row>
    <row r="990">
      <c r="A990" s="5">
        <v>989.0</v>
      </c>
      <c r="B990" s="5" t="s">
        <v>1586</v>
      </c>
      <c r="C990" s="5" t="s">
        <v>20</v>
      </c>
      <c r="K990" s="5">
        <v>300.0</v>
      </c>
      <c r="N990" s="8">
        <v>44549.0</v>
      </c>
    </row>
    <row r="991">
      <c r="A991" s="5">
        <v>990.0</v>
      </c>
      <c r="B991" s="5" t="s">
        <v>1587</v>
      </c>
      <c r="C991" s="5" t="s">
        <v>20</v>
      </c>
      <c r="K991" s="5">
        <v>20.0</v>
      </c>
      <c r="N991" s="8">
        <v>45015.0</v>
      </c>
    </row>
    <row r="992">
      <c r="A992" s="5">
        <v>991.0</v>
      </c>
      <c r="B992" s="5" t="s">
        <v>1588</v>
      </c>
      <c r="C992" s="5" t="s">
        <v>20</v>
      </c>
      <c r="K992" s="5">
        <v>80.0</v>
      </c>
      <c r="N992" s="8">
        <v>45371.0</v>
      </c>
    </row>
    <row r="993">
      <c r="A993" s="5">
        <v>992.0</v>
      </c>
      <c r="B993" s="5" t="s">
        <v>1589</v>
      </c>
      <c r="C993" s="5" t="s">
        <v>20</v>
      </c>
      <c r="K993" s="5">
        <v>10.0</v>
      </c>
      <c r="N993" s="8">
        <v>44638.0</v>
      </c>
    </row>
    <row r="994">
      <c r="A994" s="5">
        <v>993.0</v>
      </c>
      <c r="B994" s="5" t="s">
        <v>1590</v>
      </c>
      <c r="C994" s="5" t="s">
        <v>20</v>
      </c>
      <c r="N994" s="8">
        <v>45384.0</v>
      </c>
    </row>
    <row r="995">
      <c r="A995" s="5">
        <v>994.0</v>
      </c>
      <c r="B995" s="5" t="s">
        <v>1591</v>
      </c>
      <c r="C995" s="5" t="s">
        <v>20</v>
      </c>
      <c r="K995" s="5">
        <v>150.0</v>
      </c>
      <c r="N995" s="8">
        <v>44697.0</v>
      </c>
    </row>
    <row r="996">
      <c r="A996" s="5">
        <v>995.0</v>
      </c>
      <c r="B996" s="5" t="s">
        <v>1592</v>
      </c>
      <c r="C996" s="5" t="s">
        <v>20</v>
      </c>
      <c r="K996" s="5">
        <v>150.0</v>
      </c>
      <c r="N996" s="8">
        <v>44187.0</v>
      </c>
    </row>
    <row r="997">
      <c r="A997" s="5">
        <v>996.0</v>
      </c>
      <c r="B997" s="5" t="s">
        <v>1593</v>
      </c>
      <c r="C997" s="5" t="s">
        <v>20</v>
      </c>
      <c r="K997" s="5">
        <v>50.0</v>
      </c>
      <c r="N997" s="8">
        <v>45108.0</v>
      </c>
    </row>
    <row r="998">
      <c r="A998" s="5">
        <v>997.0</v>
      </c>
      <c r="B998" s="5" t="s">
        <v>1594</v>
      </c>
      <c r="C998" s="5" t="s">
        <v>20</v>
      </c>
      <c r="K998" s="5">
        <v>450.0</v>
      </c>
      <c r="N998" s="8">
        <v>44554.0</v>
      </c>
    </row>
    <row r="999">
      <c r="A999" s="5">
        <v>998.0</v>
      </c>
      <c r="B999" s="5" t="s">
        <v>1595</v>
      </c>
      <c r="C999" s="5" t="s">
        <v>20</v>
      </c>
      <c r="K999" s="5">
        <v>100.0</v>
      </c>
      <c r="N999" s="8">
        <v>43891.0</v>
      </c>
    </row>
    <row r="1000">
      <c r="A1000" s="5">
        <v>999.0</v>
      </c>
      <c r="B1000" s="5" t="s">
        <v>1596</v>
      </c>
      <c r="C1000" s="5" t="s">
        <v>20</v>
      </c>
      <c r="N1000" s="8">
        <v>45034.0</v>
      </c>
    </row>
    <row r="1001">
      <c r="A1001" s="5">
        <v>1000.0</v>
      </c>
      <c r="B1001" s="5" t="s">
        <v>1597</v>
      </c>
      <c r="C1001" s="5" t="s">
        <v>20</v>
      </c>
      <c r="K1001" s="5">
        <v>20.0</v>
      </c>
      <c r="N1001" s="8">
        <v>45298.0</v>
      </c>
    </row>
    <row r="1002">
      <c r="A1002" s="5">
        <v>1001.0</v>
      </c>
      <c r="B1002" s="5" t="s">
        <v>1598</v>
      </c>
      <c r="C1002" s="5" t="s">
        <v>20</v>
      </c>
      <c r="N1002" s="8">
        <v>44813.0</v>
      </c>
    </row>
    <row r="1003">
      <c r="A1003" s="5">
        <v>1002.0</v>
      </c>
      <c r="B1003" s="5" t="s">
        <v>1599</v>
      </c>
      <c r="C1003" s="5" t="s">
        <v>20</v>
      </c>
      <c r="K1003" s="5">
        <v>350.0</v>
      </c>
      <c r="N1003" s="8">
        <v>44271.0</v>
      </c>
    </row>
    <row r="1004">
      <c r="A1004" s="5">
        <v>1003.0</v>
      </c>
      <c r="B1004" s="5" t="s">
        <v>1600</v>
      </c>
      <c r="C1004" s="5" t="s">
        <v>20</v>
      </c>
      <c r="K1004" s="5">
        <v>10.0</v>
      </c>
      <c r="N1004" s="8">
        <v>43902.0</v>
      </c>
    </row>
    <row r="1005">
      <c r="A1005" s="5">
        <v>1004.0</v>
      </c>
      <c r="B1005" s="5" t="s">
        <v>1601</v>
      </c>
      <c r="C1005" s="5" t="s">
        <v>20</v>
      </c>
      <c r="K1005" s="5">
        <v>300.0</v>
      </c>
      <c r="N1005" s="8">
        <v>44863.0</v>
      </c>
    </row>
    <row r="1006">
      <c r="A1006" s="5">
        <v>1005.0</v>
      </c>
      <c r="B1006" s="5" t="s">
        <v>1602</v>
      </c>
      <c r="C1006" s="5" t="s">
        <v>20</v>
      </c>
      <c r="K1006" s="5">
        <v>500.0</v>
      </c>
      <c r="N1006" s="8">
        <v>43872.0</v>
      </c>
    </row>
    <row r="1007">
      <c r="A1007" s="5">
        <v>1006.0</v>
      </c>
      <c r="B1007" s="5" t="s">
        <v>1603</v>
      </c>
      <c r="C1007" s="5" t="s">
        <v>20</v>
      </c>
      <c r="N1007" s="8">
        <v>44863.0</v>
      </c>
    </row>
    <row r="1008">
      <c r="A1008" s="5">
        <v>1007.0</v>
      </c>
      <c r="B1008" s="5" t="s">
        <v>1604</v>
      </c>
      <c r="C1008" s="5" t="s">
        <v>20</v>
      </c>
      <c r="K1008" s="5">
        <v>30.0</v>
      </c>
      <c r="N1008" s="8">
        <v>45455.0</v>
      </c>
    </row>
    <row r="1009">
      <c r="A1009" s="5">
        <v>1008.0</v>
      </c>
      <c r="B1009" s="5" t="s">
        <v>1605</v>
      </c>
      <c r="C1009" s="5" t="s">
        <v>20</v>
      </c>
      <c r="N1009" s="8">
        <v>45251.0</v>
      </c>
    </row>
    <row r="1010">
      <c r="A1010" s="5">
        <v>1009.0</v>
      </c>
      <c r="B1010" s="5" t="s">
        <v>1606</v>
      </c>
      <c r="C1010" s="5" t="s">
        <v>20</v>
      </c>
      <c r="K1010" s="5">
        <v>40.0</v>
      </c>
      <c r="N1010" s="8">
        <v>44880.0</v>
      </c>
    </row>
    <row r="1011">
      <c r="A1011" s="5">
        <v>1010.0</v>
      </c>
      <c r="B1011" s="5" t="s">
        <v>1607</v>
      </c>
      <c r="C1011" s="5" t="s">
        <v>20</v>
      </c>
      <c r="K1011" s="5">
        <v>10.0</v>
      </c>
      <c r="N1011" s="8">
        <v>45274.0</v>
      </c>
    </row>
    <row r="1012">
      <c r="A1012" s="5">
        <v>1011.0</v>
      </c>
      <c r="B1012" s="5" t="s">
        <v>1608</v>
      </c>
      <c r="C1012" s="5" t="s">
        <v>20</v>
      </c>
      <c r="K1012" s="5">
        <v>20.0</v>
      </c>
      <c r="N1012" s="8">
        <v>45019.0</v>
      </c>
    </row>
    <row r="1013">
      <c r="A1013" s="5">
        <v>1012.0</v>
      </c>
      <c r="B1013" s="5" t="s">
        <v>1609</v>
      </c>
      <c r="C1013" s="5" t="s">
        <v>20</v>
      </c>
      <c r="K1013" s="5">
        <v>60.0</v>
      </c>
      <c r="N1013" s="8">
        <v>45873.0</v>
      </c>
    </row>
    <row r="1014">
      <c r="A1014" s="5">
        <v>1013.0</v>
      </c>
      <c r="B1014" s="5" t="s">
        <v>1610</v>
      </c>
      <c r="C1014" s="5" t="s">
        <v>20</v>
      </c>
      <c r="K1014" s="5">
        <v>1600.0</v>
      </c>
      <c r="N1014" s="8">
        <v>45309.0</v>
      </c>
    </row>
    <row r="1015">
      <c r="A1015" s="5">
        <v>1014.0</v>
      </c>
      <c r="B1015" s="5" t="s">
        <v>1611</v>
      </c>
      <c r="C1015" s="5" t="s">
        <v>20</v>
      </c>
      <c r="N1015" s="8">
        <v>42879.0</v>
      </c>
    </row>
    <row r="1016">
      <c r="A1016" s="5">
        <v>1015.0</v>
      </c>
      <c r="B1016" s="5" t="s">
        <v>1612</v>
      </c>
      <c r="C1016" s="5" t="s">
        <v>20</v>
      </c>
      <c r="N1016" s="8">
        <v>44695.0</v>
      </c>
    </row>
    <row r="1017">
      <c r="A1017" s="5">
        <v>1016.0</v>
      </c>
      <c r="B1017" s="5" t="s">
        <v>1613</v>
      </c>
      <c r="C1017" s="5" t="s">
        <v>20</v>
      </c>
      <c r="K1017" s="5">
        <v>60.0</v>
      </c>
      <c r="N1017" s="8">
        <v>45344.0</v>
      </c>
    </row>
    <row r="1018">
      <c r="A1018" s="5">
        <v>1017.0</v>
      </c>
      <c r="B1018" s="5" t="s">
        <v>1614</v>
      </c>
      <c r="C1018" s="5" t="s">
        <v>20</v>
      </c>
      <c r="K1018" s="5">
        <v>80.0</v>
      </c>
      <c r="N1018" s="8">
        <v>45336.0</v>
      </c>
    </row>
    <row r="1019">
      <c r="A1019" s="5">
        <v>1018.0</v>
      </c>
      <c r="B1019" s="5" t="s">
        <v>1615</v>
      </c>
      <c r="C1019" s="5" t="s">
        <v>20</v>
      </c>
      <c r="N1019" s="8">
        <v>44171.0</v>
      </c>
    </row>
    <row r="1020">
      <c r="A1020" s="5">
        <v>1019.0</v>
      </c>
      <c r="B1020" s="5" t="s">
        <v>1616</v>
      </c>
      <c r="C1020" s="5" t="s">
        <v>20</v>
      </c>
      <c r="K1020" s="5">
        <v>250.0</v>
      </c>
      <c r="N1020" s="8">
        <v>45620.0</v>
      </c>
    </row>
    <row r="1021">
      <c r="A1021" s="5">
        <v>1020.0</v>
      </c>
      <c r="B1021" s="5" t="s">
        <v>1617</v>
      </c>
      <c r="C1021" s="5" t="s">
        <v>20</v>
      </c>
      <c r="K1021" s="5">
        <v>3100.0</v>
      </c>
      <c r="N1021" s="8">
        <v>44489.0</v>
      </c>
    </row>
    <row r="1022">
      <c r="A1022" s="5">
        <v>1021.0</v>
      </c>
      <c r="B1022" s="5" t="s">
        <v>1618</v>
      </c>
      <c r="C1022" s="5" t="s">
        <v>20</v>
      </c>
      <c r="K1022" s="5">
        <v>150.0</v>
      </c>
      <c r="N1022" s="8">
        <v>44856.0</v>
      </c>
    </row>
    <row r="1023">
      <c r="A1023" s="5">
        <v>1022.0</v>
      </c>
      <c r="B1023" s="5" t="s">
        <v>1619</v>
      </c>
      <c r="C1023" s="5" t="s">
        <v>20</v>
      </c>
      <c r="K1023" s="5">
        <v>300.0</v>
      </c>
      <c r="N1023" s="8">
        <v>44067.0</v>
      </c>
    </row>
    <row r="1024">
      <c r="A1024" s="5">
        <v>1023.0</v>
      </c>
      <c r="B1024" s="5" t="s">
        <v>1620</v>
      </c>
      <c r="C1024" s="5" t="s">
        <v>20</v>
      </c>
      <c r="K1024" s="5">
        <v>150.0</v>
      </c>
      <c r="N1024" s="8">
        <v>44657.0</v>
      </c>
    </row>
    <row r="1025">
      <c r="A1025" s="5">
        <v>1024.0</v>
      </c>
      <c r="B1025" s="5" t="s">
        <v>1621</v>
      </c>
      <c r="C1025" s="5" t="s">
        <v>20</v>
      </c>
      <c r="K1025" s="5">
        <v>300.0</v>
      </c>
      <c r="N1025" s="8">
        <v>44961.0</v>
      </c>
    </row>
    <row r="1026">
      <c r="A1026" s="5">
        <v>1025.0</v>
      </c>
      <c r="B1026" s="5" t="s">
        <v>143</v>
      </c>
      <c r="C1026" s="5" t="s">
        <v>20</v>
      </c>
      <c r="K1026" s="5">
        <v>150.0</v>
      </c>
      <c r="N1026" s="8">
        <v>44335.0</v>
      </c>
    </row>
    <row r="1027">
      <c r="A1027" s="5">
        <v>1026.0</v>
      </c>
      <c r="B1027" s="5" t="s">
        <v>1622</v>
      </c>
      <c r="C1027" s="5" t="s">
        <v>20</v>
      </c>
      <c r="K1027" s="5">
        <v>60.0</v>
      </c>
      <c r="N1027" s="8">
        <v>45001.0</v>
      </c>
    </row>
    <row r="1028">
      <c r="A1028" s="5">
        <v>1027.0</v>
      </c>
      <c r="B1028" s="5" t="s">
        <v>1623</v>
      </c>
      <c r="C1028" s="5" t="s">
        <v>20</v>
      </c>
      <c r="N1028" s="8">
        <v>45143.0</v>
      </c>
    </row>
    <row r="1029">
      <c r="A1029" s="5">
        <v>1028.0</v>
      </c>
      <c r="B1029" s="5" t="s">
        <v>1624</v>
      </c>
      <c r="C1029" s="5" t="s">
        <v>20</v>
      </c>
      <c r="N1029" s="8">
        <v>44076.0</v>
      </c>
    </row>
    <row r="1030">
      <c r="A1030" s="5">
        <v>1029.0</v>
      </c>
      <c r="B1030" s="5" t="s">
        <v>1625</v>
      </c>
      <c r="C1030" s="5" t="s">
        <v>20</v>
      </c>
      <c r="K1030" s="5">
        <v>600.0</v>
      </c>
      <c r="N1030" s="8">
        <v>44560.0</v>
      </c>
    </row>
    <row r="1031">
      <c r="A1031" s="5">
        <v>1030.0</v>
      </c>
      <c r="B1031" s="5" t="s">
        <v>1626</v>
      </c>
      <c r="C1031" s="5" t="s">
        <v>20</v>
      </c>
      <c r="K1031" s="5">
        <v>400.0</v>
      </c>
      <c r="N1031" s="8">
        <v>44616.0</v>
      </c>
    </row>
    <row r="1032">
      <c r="A1032" s="5">
        <v>1031.0</v>
      </c>
      <c r="B1032" s="5" t="s">
        <v>1627</v>
      </c>
      <c r="C1032" s="5" t="s">
        <v>20</v>
      </c>
      <c r="K1032" s="5">
        <v>10.0</v>
      </c>
      <c r="N1032" s="8">
        <v>45382.0</v>
      </c>
    </row>
    <row r="1033">
      <c r="A1033" s="5">
        <v>1032.0</v>
      </c>
      <c r="B1033" s="5" t="s">
        <v>1628</v>
      </c>
      <c r="C1033" s="5" t="s">
        <v>20</v>
      </c>
      <c r="K1033" s="5">
        <v>70.0</v>
      </c>
      <c r="N1033" s="8">
        <v>45044.0</v>
      </c>
    </row>
    <row r="1034">
      <c r="A1034" s="5">
        <v>1033.0</v>
      </c>
      <c r="B1034" s="5" t="s">
        <v>1629</v>
      </c>
      <c r="C1034" s="5" t="s">
        <v>20</v>
      </c>
      <c r="K1034" s="5">
        <v>90.0</v>
      </c>
      <c r="N1034" s="8">
        <v>44176.0</v>
      </c>
    </row>
    <row r="1035">
      <c r="A1035" s="5">
        <v>1034.0</v>
      </c>
      <c r="B1035" s="5" t="s">
        <v>1630</v>
      </c>
      <c r="C1035" s="5" t="s">
        <v>20</v>
      </c>
      <c r="K1035" s="5">
        <v>10.0</v>
      </c>
      <c r="N1035" s="8">
        <v>44583.0</v>
      </c>
    </row>
    <row r="1036">
      <c r="A1036" s="5">
        <v>1035.0</v>
      </c>
      <c r="B1036" s="5" t="s">
        <v>1631</v>
      </c>
      <c r="C1036" s="5" t="s">
        <v>20</v>
      </c>
      <c r="N1036" s="8">
        <v>44343.0</v>
      </c>
    </row>
    <row r="1037">
      <c r="A1037" s="5">
        <v>1036.0</v>
      </c>
      <c r="B1037" s="5" t="s">
        <v>1632</v>
      </c>
      <c r="C1037" s="5" t="s">
        <v>20</v>
      </c>
      <c r="K1037" s="5">
        <v>150.0</v>
      </c>
      <c r="N1037" s="8">
        <v>44996.0</v>
      </c>
    </row>
    <row r="1038">
      <c r="A1038" s="5">
        <v>1037.0</v>
      </c>
      <c r="B1038" s="5" t="s">
        <v>1633</v>
      </c>
      <c r="C1038" s="5" t="s">
        <v>20</v>
      </c>
      <c r="K1038" s="5">
        <v>250.0</v>
      </c>
      <c r="N1038" s="8">
        <v>44364.0</v>
      </c>
    </row>
    <row r="1039">
      <c r="A1039" s="5">
        <v>1038.0</v>
      </c>
      <c r="B1039" s="5" t="s">
        <v>1634</v>
      </c>
      <c r="C1039" s="5" t="s">
        <v>20</v>
      </c>
      <c r="K1039" s="5">
        <v>250.0</v>
      </c>
      <c r="N1039" s="8">
        <v>44254.0</v>
      </c>
    </row>
    <row r="1040">
      <c r="A1040" s="5">
        <v>1039.0</v>
      </c>
      <c r="B1040" s="5" t="s">
        <v>1635</v>
      </c>
      <c r="C1040" s="5" t="s">
        <v>20</v>
      </c>
      <c r="N1040" s="8">
        <v>43846.0</v>
      </c>
    </row>
    <row r="1041">
      <c r="A1041" s="5">
        <v>1040.0</v>
      </c>
      <c r="B1041" s="5" t="s">
        <v>1636</v>
      </c>
      <c r="C1041" s="5" t="s">
        <v>20</v>
      </c>
      <c r="K1041" s="5">
        <v>700.0</v>
      </c>
      <c r="N1041" s="8">
        <v>46081.0</v>
      </c>
    </row>
    <row r="1042">
      <c r="A1042" s="5">
        <v>1041.0</v>
      </c>
      <c r="B1042" s="5" t="s">
        <v>1637</v>
      </c>
      <c r="C1042" s="5" t="s">
        <v>20</v>
      </c>
      <c r="K1042" s="5">
        <v>150.0</v>
      </c>
      <c r="N1042" s="8">
        <v>44695.0</v>
      </c>
    </row>
    <row r="1043">
      <c r="A1043" s="5">
        <v>1042.0</v>
      </c>
      <c r="B1043" s="5" t="s">
        <v>1638</v>
      </c>
      <c r="C1043" s="5" t="s">
        <v>20</v>
      </c>
      <c r="N1043" s="8">
        <v>44500.0</v>
      </c>
    </row>
    <row r="1044">
      <c r="A1044" s="5">
        <v>1043.0</v>
      </c>
      <c r="B1044" s="5" t="s">
        <v>1639</v>
      </c>
      <c r="C1044" s="5" t="s">
        <v>20</v>
      </c>
      <c r="K1044" s="5">
        <v>900.0</v>
      </c>
      <c r="N1044" s="8">
        <v>44239.0</v>
      </c>
    </row>
    <row r="1045">
      <c r="A1045" s="5">
        <v>1044.0</v>
      </c>
      <c r="B1045" s="5" t="s">
        <v>1640</v>
      </c>
      <c r="C1045" s="5" t="s">
        <v>20</v>
      </c>
      <c r="K1045" s="5">
        <v>20.0</v>
      </c>
      <c r="N1045" s="8">
        <v>45673.0</v>
      </c>
    </row>
    <row r="1046">
      <c r="A1046" s="5">
        <v>1045.0</v>
      </c>
      <c r="B1046" s="5" t="s">
        <v>1641</v>
      </c>
      <c r="C1046" s="5" t="s">
        <v>20</v>
      </c>
      <c r="K1046" s="5">
        <v>700.0</v>
      </c>
      <c r="N1046" s="8">
        <v>43133.0</v>
      </c>
    </row>
    <row r="1047">
      <c r="A1047" s="5">
        <v>1046.0</v>
      </c>
      <c r="B1047" s="5" t="s">
        <v>1642</v>
      </c>
      <c r="C1047" s="5" t="s">
        <v>20</v>
      </c>
      <c r="N1047" s="8">
        <v>44349.0</v>
      </c>
    </row>
    <row r="1048">
      <c r="A1048" s="5">
        <v>1047.0</v>
      </c>
      <c r="B1048" s="5" t="s">
        <v>1643</v>
      </c>
      <c r="C1048" s="5" t="s">
        <v>20</v>
      </c>
      <c r="K1048" s="5">
        <v>250.0</v>
      </c>
      <c r="N1048" s="8">
        <v>45146.0</v>
      </c>
    </row>
    <row r="1049">
      <c r="A1049" s="5">
        <v>1048.0</v>
      </c>
      <c r="B1049" s="5" t="s">
        <v>1644</v>
      </c>
      <c r="C1049" s="5" t="s">
        <v>20</v>
      </c>
      <c r="K1049" s="5">
        <v>200.0</v>
      </c>
      <c r="N1049" s="8">
        <v>44565.0</v>
      </c>
    </row>
    <row r="1050">
      <c r="A1050" s="5">
        <v>1049.0</v>
      </c>
      <c r="B1050" s="5" t="s">
        <v>1645</v>
      </c>
      <c r="C1050" s="5" t="s">
        <v>20</v>
      </c>
      <c r="N1050" s="8">
        <v>44897.0</v>
      </c>
    </row>
    <row r="1051">
      <c r="A1051" s="5">
        <v>1050.0</v>
      </c>
      <c r="B1051" s="5" t="s">
        <v>1646</v>
      </c>
      <c r="C1051" s="5" t="s">
        <v>20</v>
      </c>
      <c r="K1051" s="5">
        <v>2800.0</v>
      </c>
      <c r="N1051" s="8">
        <v>45660.0</v>
      </c>
    </row>
    <row r="1052">
      <c r="A1052" s="5">
        <v>1051.0</v>
      </c>
      <c r="B1052" s="5" t="s">
        <v>1647</v>
      </c>
      <c r="C1052" s="5" t="s">
        <v>20</v>
      </c>
      <c r="K1052" s="5">
        <v>350.0</v>
      </c>
      <c r="N1052" s="8">
        <v>44256.0</v>
      </c>
    </row>
    <row r="1053">
      <c r="A1053" s="5">
        <v>1052.0</v>
      </c>
      <c r="B1053" s="5" t="s">
        <v>1648</v>
      </c>
      <c r="C1053" s="5" t="s">
        <v>20</v>
      </c>
      <c r="K1053" s="5">
        <v>1400.0</v>
      </c>
      <c r="N1053" s="8">
        <v>44255.0</v>
      </c>
    </row>
    <row r="1054">
      <c r="A1054" s="5">
        <v>1053.0</v>
      </c>
      <c r="B1054" s="5" t="s">
        <v>1649</v>
      </c>
      <c r="C1054" s="5" t="s">
        <v>20</v>
      </c>
      <c r="N1054" s="8">
        <v>44279.0</v>
      </c>
    </row>
    <row r="1055">
      <c r="A1055" s="5">
        <v>1054.0</v>
      </c>
      <c r="B1055" s="5" t="s">
        <v>1650</v>
      </c>
      <c r="C1055" s="5" t="s">
        <v>20</v>
      </c>
      <c r="K1055" s="5">
        <v>10.0</v>
      </c>
      <c r="N1055" s="8">
        <v>45692.0</v>
      </c>
    </row>
    <row r="1056">
      <c r="A1056" s="5">
        <v>1055.0</v>
      </c>
      <c r="B1056" s="5" t="s">
        <v>1651</v>
      </c>
      <c r="C1056" s="5" t="s">
        <v>20</v>
      </c>
      <c r="N1056" s="8">
        <v>44214.0</v>
      </c>
    </row>
    <row r="1057">
      <c r="A1057" s="5">
        <v>1056.0</v>
      </c>
      <c r="B1057" s="5" t="s">
        <v>1652</v>
      </c>
      <c r="C1057" s="5" t="s">
        <v>20</v>
      </c>
      <c r="N1057" s="8">
        <v>44990.0</v>
      </c>
    </row>
    <row r="1058">
      <c r="A1058" s="5">
        <v>1057.0</v>
      </c>
      <c r="B1058" s="5" t="s">
        <v>1653</v>
      </c>
      <c r="C1058" s="5" t="s">
        <v>20</v>
      </c>
      <c r="K1058" s="5">
        <v>1300.0</v>
      </c>
      <c r="N1058" s="8">
        <v>44083.0</v>
      </c>
    </row>
    <row r="1059">
      <c r="A1059" s="5">
        <v>1058.0</v>
      </c>
      <c r="B1059" s="5" t="s">
        <v>1654</v>
      </c>
      <c r="C1059" s="5" t="s">
        <v>20</v>
      </c>
      <c r="K1059" s="5">
        <v>30.0</v>
      </c>
      <c r="N1059" s="8">
        <v>45252.0</v>
      </c>
    </row>
    <row r="1060">
      <c r="A1060" s="5">
        <v>1059.0</v>
      </c>
      <c r="B1060" s="5" t="s">
        <v>1655</v>
      </c>
      <c r="C1060" s="5" t="s">
        <v>20</v>
      </c>
      <c r="N1060" s="8">
        <v>44643.0</v>
      </c>
    </row>
    <row r="1061">
      <c r="A1061" s="5">
        <v>1060.0</v>
      </c>
      <c r="B1061" s="5" t="s">
        <v>1656</v>
      </c>
      <c r="C1061" s="5" t="s">
        <v>20</v>
      </c>
      <c r="K1061" s="5">
        <v>10.0</v>
      </c>
      <c r="N1061" s="8">
        <v>44017.0</v>
      </c>
    </row>
    <row r="1062">
      <c r="A1062" s="5">
        <v>1061.0</v>
      </c>
      <c r="B1062" s="5" t="s">
        <v>1657</v>
      </c>
      <c r="C1062" s="5" t="s">
        <v>20</v>
      </c>
      <c r="K1062" s="5">
        <v>70.0</v>
      </c>
      <c r="N1062" s="8">
        <v>44852.0</v>
      </c>
    </row>
    <row r="1063">
      <c r="A1063" s="5">
        <v>1062.0</v>
      </c>
      <c r="B1063" s="5" t="s">
        <v>1658</v>
      </c>
      <c r="C1063" s="5" t="s">
        <v>20</v>
      </c>
      <c r="K1063" s="5">
        <v>10.0</v>
      </c>
      <c r="N1063" s="8">
        <v>44404.0</v>
      </c>
    </row>
    <row r="1064">
      <c r="A1064" s="5">
        <v>1063.0</v>
      </c>
      <c r="B1064" s="5" t="s">
        <v>1659</v>
      </c>
      <c r="C1064" s="5" t="s">
        <v>20</v>
      </c>
      <c r="K1064" s="5">
        <v>10.0</v>
      </c>
      <c r="N1064" s="8">
        <v>44193.0</v>
      </c>
    </row>
    <row r="1065">
      <c r="A1065" s="5">
        <v>1064.0</v>
      </c>
      <c r="B1065" s="5" t="s">
        <v>1660</v>
      </c>
      <c r="C1065" s="5" t="s">
        <v>20</v>
      </c>
      <c r="K1065" s="5">
        <v>1000.0</v>
      </c>
      <c r="N1065" s="8">
        <v>44178.0</v>
      </c>
    </row>
    <row r="1066">
      <c r="A1066" s="5">
        <v>1065.0</v>
      </c>
      <c r="B1066" s="5" t="s">
        <v>1661</v>
      </c>
      <c r="C1066" s="5" t="s">
        <v>20</v>
      </c>
      <c r="K1066" s="5">
        <v>250.0</v>
      </c>
      <c r="N1066" s="8">
        <v>43252.0</v>
      </c>
    </row>
    <row r="1067">
      <c r="A1067" s="5">
        <v>1066.0</v>
      </c>
      <c r="B1067" s="5" t="s">
        <v>1662</v>
      </c>
      <c r="C1067" s="5" t="s">
        <v>20</v>
      </c>
      <c r="K1067" s="5">
        <v>1100.0</v>
      </c>
      <c r="N1067" s="8">
        <v>44332.0</v>
      </c>
    </row>
    <row r="1068">
      <c r="A1068" s="5">
        <v>1067.0</v>
      </c>
      <c r="B1068" s="5" t="s">
        <v>1663</v>
      </c>
      <c r="C1068" s="5" t="s">
        <v>20</v>
      </c>
      <c r="K1068" s="5">
        <v>250.0</v>
      </c>
      <c r="N1068" s="8">
        <v>45431.0</v>
      </c>
    </row>
    <row r="1069">
      <c r="A1069" s="5">
        <v>1068.0</v>
      </c>
      <c r="B1069" s="5" t="s">
        <v>1664</v>
      </c>
      <c r="C1069" s="5" t="s">
        <v>20</v>
      </c>
      <c r="K1069" s="5">
        <v>20.0</v>
      </c>
      <c r="N1069" s="8">
        <v>45360.0</v>
      </c>
    </row>
    <row r="1070">
      <c r="A1070" s="5">
        <v>1069.0</v>
      </c>
      <c r="B1070" s="5" t="s">
        <v>1665</v>
      </c>
      <c r="C1070" s="5" t="s">
        <v>20</v>
      </c>
      <c r="K1070" s="5">
        <v>150.0</v>
      </c>
      <c r="N1070" s="8">
        <v>46122.0</v>
      </c>
    </row>
    <row r="1071">
      <c r="A1071" s="5">
        <v>1070.0</v>
      </c>
      <c r="B1071" s="5" t="s">
        <v>1666</v>
      </c>
      <c r="C1071" s="5" t="s">
        <v>20</v>
      </c>
      <c r="K1071" s="5">
        <v>300.0</v>
      </c>
      <c r="N1071" s="8">
        <v>44946.0</v>
      </c>
    </row>
    <row r="1072">
      <c r="A1072" s="5">
        <v>1071.0</v>
      </c>
      <c r="B1072" s="5" t="s">
        <v>148</v>
      </c>
      <c r="C1072" s="5" t="s">
        <v>20</v>
      </c>
      <c r="K1072" s="5">
        <v>200.0</v>
      </c>
      <c r="N1072" s="8">
        <v>44555.0</v>
      </c>
    </row>
    <row r="1073">
      <c r="A1073" s="5">
        <v>1072.0</v>
      </c>
      <c r="B1073" s="5" t="s">
        <v>1667</v>
      </c>
      <c r="C1073" s="5" t="s">
        <v>20</v>
      </c>
      <c r="K1073" s="5">
        <v>150.0</v>
      </c>
      <c r="N1073" s="8">
        <v>44545.0</v>
      </c>
    </row>
    <row r="1074">
      <c r="A1074" s="5">
        <v>1073.0</v>
      </c>
      <c r="B1074" s="5" t="s">
        <v>1668</v>
      </c>
      <c r="C1074" s="5" t="s">
        <v>20</v>
      </c>
      <c r="K1074" s="5">
        <v>80.0</v>
      </c>
      <c r="N1074" s="8">
        <v>44669.0</v>
      </c>
    </row>
    <row r="1075">
      <c r="A1075" s="5">
        <v>1074.0</v>
      </c>
      <c r="B1075" s="5" t="s">
        <v>1669</v>
      </c>
      <c r="C1075" s="5" t="s">
        <v>20</v>
      </c>
      <c r="N1075" s="8">
        <v>43875.0</v>
      </c>
    </row>
    <row r="1076">
      <c r="A1076" s="5">
        <v>1075.0</v>
      </c>
      <c r="B1076" s="5" t="s">
        <v>1670</v>
      </c>
      <c r="C1076" s="5" t="s">
        <v>20</v>
      </c>
      <c r="K1076" s="5">
        <v>150.0</v>
      </c>
      <c r="N1076" s="8">
        <v>45593.0</v>
      </c>
    </row>
    <row r="1077">
      <c r="A1077" s="5">
        <v>1076.0</v>
      </c>
      <c r="B1077" s="5" t="s">
        <v>1671</v>
      </c>
      <c r="C1077" s="5" t="s">
        <v>20</v>
      </c>
      <c r="K1077" s="5">
        <v>20.0</v>
      </c>
      <c r="N1077" s="8">
        <v>44037.0</v>
      </c>
    </row>
    <row r="1078">
      <c r="A1078" s="5">
        <v>1077.0</v>
      </c>
      <c r="B1078" s="5" t="s">
        <v>1672</v>
      </c>
      <c r="C1078" s="5" t="s">
        <v>20</v>
      </c>
      <c r="K1078" s="5">
        <v>3300.0</v>
      </c>
      <c r="N1078" s="8">
        <v>42520.0</v>
      </c>
    </row>
    <row r="1079">
      <c r="A1079" s="5">
        <v>1078.0</v>
      </c>
      <c r="B1079" s="5" t="s">
        <v>1673</v>
      </c>
      <c r="C1079" s="5" t="s">
        <v>20</v>
      </c>
      <c r="K1079" s="5">
        <v>300.0</v>
      </c>
      <c r="N1079" s="8">
        <v>44111.0</v>
      </c>
    </row>
    <row r="1080">
      <c r="A1080" s="5">
        <v>1079.0</v>
      </c>
      <c r="B1080" s="5" t="s">
        <v>1674</v>
      </c>
      <c r="C1080" s="5" t="s">
        <v>20</v>
      </c>
      <c r="K1080" s="5">
        <v>300.0</v>
      </c>
      <c r="N1080" s="8">
        <v>46074.0</v>
      </c>
    </row>
    <row r="1081">
      <c r="A1081" s="5">
        <v>1080.0</v>
      </c>
      <c r="B1081" s="5" t="s">
        <v>1675</v>
      </c>
      <c r="C1081" s="5" t="s">
        <v>20</v>
      </c>
      <c r="K1081" s="5">
        <v>250.0</v>
      </c>
      <c r="N1081" s="8">
        <v>45699.0</v>
      </c>
    </row>
    <row r="1082">
      <c r="A1082" s="5">
        <v>1081.0</v>
      </c>
      <c r="B1082" s="5" t="s">
        <v>1676</v>
      </c>
      <c r="C1082" s="5" t="s">
        <v>20</v>
      </c>
      <c r="K1082" s="5">
        <v>80.0</v>
      </c>
      <c r="N1082" s="8">
        <v>44776.0</v>
      </c>
    </row>
    <row r="1083">
      <c r="A1083" s="5">
        <v>1082.0</v>
      </c>
      <c r="B1083" s="5" t="s">
        <v>1677</v>
      </c>
      <c r="C1083" s="5" t="s">
        <v>20</v>
      </c>
      <c r="K1083" s="5">
        <v>150.0</v>
      </c>
      <c r="N1083" s="8">
        <v>43444.0</v>
      </c>
    </row>
    <row r="1084">
      <c r="A1084" s="5">
        <v>1083.0</v>
      </c>
      <c r="B1084" s="5" t="s">
        <v>1678</v>
      </c>
      <c r="C1084" s="5" t="s">
        <v>20</v>
      </c>
      <c r="K1084" s="5">
        <v>200.0</v>
      </c>
      <c r="N1084" s="8">
        <v>45081.0</v>
      </c>
    </row>
    <row r="1085">
      <c r="A1085" s="5">
        <v>1084.0</v>
      </c>
      <c r="B1085" s="5" t="s">
        <v>1103</v>
      </c>
      <c r="C1085" s="5" t="s">
        <v>20</v>
      </c>
      <c r="D1085" s="5">
        <v>77.0</v>
      </c>
      <c r="H1085" s="5" t="s">
        <v>33</v>
      </c>
      <c r="I1085" s="9">
        <v>46131.55978009259</v>
      </c>
      <c r="J1085" s="5" t="s">
        <v>52</v>
      </c>
      <c r="K1085" s="5">
        <v>1300.0</v>
      </c>
      <c r="L1085" s="5">
        <v>50.0</v>
      </c>
      <c r="M1085" s="5">
        <v>207000.0</v>
      </c>
      <c r="N1085" s="8">
        <v>44216.0</v>
      </c>
      <c r="O1085" s="5" t="s">
        <v>50</v>
      </c>
      <c r="P1085" s="5" t="s">
        <v>23</v>
      </c>
      <c r="S1085" s="5" t="s">
        <v>1106</v>
      </c>
    </row>
    <row r="1086">
      <c r="A1086" s="5">
        <v>1085.0</v>
      </c>
      <c r="B1086" s="5" t="s">
        <v>1679</v>
      </c>
      <c r="C1086" s="5" t="s">
        <v>20</v>
      </c>
      <c r="K1086" s="5">
        <v>30.0</v>
      </c>
      <c r="N1086" s="8">
        <v>45034.0</v>
      </c>
    </row>
    <row r="1087">
      <c r="A1087" s="5">
        <v>1086.0</v>
      </c>
      <c r="B1087" s="5" t="s">
        <v>1680</v>
      </c>
      <c r="C1087" s="5" t="s">
        <v>20</v>
      </c>
      <c r="K1087" s="5">
        <v>450.0</v>
      </c>
      <c r="N1087" s="8">
        <v>43260.0</v>
      </c>
    </row>
    <row r="1088">
      <c r="A1088" s="5">
        <v>1087.0</v>
      </c>
      <c r="B1088" s="5" t="s">
        <v>1681</v>
      </c>
      <c r="C1088" s="5" t="s">
        <v>20</v>
      </c>
      <c r="K1088" s="5">
        <v>10.0</v>
      </c>
      <c r="N1088" s="8">
        <v>45391.0</v>
      </c>
    </row>
    <row r="1089">
      <c r="A1089" s="5">
        <v>1088.0</v>
      </c>
      <c r="B1089" s="5" t="s">
        <v>1682</v>
      </c>
      <c r="C1089" s="5" t="s">
        <v>20</v>
      </c>
      <c r="K1089" s="5">
        <v>10.0</v>
      </c>
      <c r="N1089" s="8">
        <v>44710.0</v>
      </c>
    </row>
    <row r="1090">
      <c r="A1090" s="5">
        <v>1089.0</v>
      </c>
      <c r="B1090" s="5" t="s">
        <v>1683</v>
      </c>
      <c r="C1090" s="5" t="s">
        <v>20</v>
      </c>
      <c r="K1090" s="5">
        <v>700.0</v>
      </c>
      <c r="N1090" s="8">
        <v>45522.0</v>
      </c>
    </row>
    <row r="1091">
      <c r="A1091" s="5">
        <v>1090.0</v>
      </c>
      <c r="B1091" s="5" t="s">
        <v>1684</v>
      </c>
      <c r="C1091" s="5" t="s">
        <v>20</v>
      </c>
      <c r="N1091" s="8">
        <v>44222.0</v>
      </c>
    </row>
    <row r="1092">
      <c r="A1092" s="5">
        <v>1091.0</v>
      </c>
      <c r="B1092" s="5" t="s">
        <v>1685</v>
      </c>
      <c r="C1092" s="5" t="s">
        <v>20</v>
      </c>
      <c r="K1092" s="5">
        <v>10.0</v>
      </c>
      <c r="N1092" s="8">
        <v>44200.0</v>
      </c>
    </row>
    <row r="1093">
      <c r="A1093" s="5">
        <v>1092.0</v>
      </c>
      <c r="B1093" s="5" t="s">
        <v>1686</v>
      </c>
      <c r="C1093" s="5" t="s">
        <v>20</v>
      </c>
      <c r="K1093" s="5">
        <v>3100.0</v>
      </c>
      <c r="N1093" s="8">
        <v>44557.0</v>
      </c>
    </row>
    <row r="1094">
      <c r="A1094" s="5">
        <v>1093.0</v>
      </c>
      <c r="B1094" s="5" t="s">
        <v>1687</v>
      </c>
      <c r="C1094" s="5" t="s">
        <v>20</v>
      </c>
      <c r="K1094" s="5">
        <v>150.0</v>
      </c>
      <c r="N1094" s="8">
        <v>44228.0</v>
      </c>
    </row>
    <row r="1095">
      <c r="A1095" s="5">
        <v>1094.0</v>
      </c>
      <c r="B1095" s="5" t="s">
        <v>1688</v>
      </c>
      <c r="C1095" s="5" t="s">
        <v>20</v>
      </c>
      <c r="K1095" s="5">
        <v>400.0</v>
      </c>
      <c r="N1095" s="8">
        <v>44535.0</v>
      </c>
    </row>
    <row r="1096">
      <c r="A1096" s="5">
        <v>1095.0</v>
      </c>
      <c r="B1096" s="5" t="s">
        <v>1689</v>
      </c>
      <c r="C1096" s="5" t="s">
        <v>20</v>
      </c>
      <c r="K1096" s="5">
        <v>600.0</v>
      </c>
      <c r="N1096" s="8">
        <v>44852.0</v>
      </c>
    </row>
    <row r="1097">
      <c r="A1097" s="5">
        <v>1096.0</v>
      </c>
      <c r="B1097" s="5" t="s">
        <v>1690</v>
      </c>
      <c r="C1097" s="5" t="s">
        <v>20</v>
      </c>
      <c r="K1097" s="5">
        <v>450.0</v>
      </c>
      <c r="N1097" s="8">
        <v>45014.0</v>
      </c>
    </row>
    <row r="1098">
      <c r="A1098" s="5">
        <v>1097.0</v>
      </c>
      <c r="B1098" s="5" t="s">
        <v>1691</v>
      </c>
      <c r="C1098" s="5" t="s">
        <v>20</v>
      </c>
      <c r="K1098" s="5">
        <v>60.0</v>
      </c>
      <c r="N1098" s="8">
        <v>44973.0</v>
      </c>
    </row>
    <row r="1099">
      <c r="A1099" s="5">
        <v>1098.0</v>
      </c>
      <c r="B1099" s="5" t="s">
        <v>1692</v>
      </c>
      <c r="C1099" s="5" t="s">
        <v>20</v>
      </c>
      <c r="K1099" s="5">
        <v>50.0</v>
      </c>
      <c r="N1099" s="8">
        <v>44293.0</v>
      </c>
    </row>
    <row r="1100">
      <c r="A1100" s="5">
        <v>1099.0</v>
      </c>
      <c r="B1100" s="5" t="s">
        <v>1693</v>
      </c>
      <c r="C1100" s="5" t="s">
        <v>20</v>
      </c>
      <c r="K1100" s="5">
        <v>600.0</v>
      </c>
      <c r="N1100" s="8">
        <v>46097.0</v>
      </c>
    </row>
    <row r="1101">
      <c r="A1101" s="5">
        <v>1100.0</v>
      </c>
      <c r="B1101" s="5" t="s">
        <v>1694</v>
      </c>
      <c r="C1101" s="5" t="s">
        <v>20</v>
      </c>
      <c r="K1101" s="5">
        <v>150.0</v>
      </c>
      <c r="N1101" s="8">
        <v>44672.0</v>
      </c>
    </row>
    <row r="1102">
      <c r="A1102" s="5">
        <v>1101.0</v>
      </c>
      <c r="B1102" s="5" t="s">
        <v>1695</v>
      </c>
      <c r="C1102" s="5" t="s">
        <v>20</v>
      </c>
      <c r="K1102" s="5">
        <v>350.0</v>
      </c>
      <c r="N1102" s="8">
        <v>45602.0</v>
      </c>
    </row>
    <row r="1103">
      <c r="A1103" s="5">
        <v>1102.0</v>
      </c>
      <c r="B1103" s="5" t="s">
        <v>1696</v>
      </c>
      <c r="C1103" s="5" t="s">
        <v>20</v>
      </c>
      <c r="K1103" s="5">
        <v>100.0</v>
      </c>
      <c r="N1103" s="8">
        <v>45737.0</v>
      </c>
    </row>
    <row r="1104">
      <c r="A1104" s="5">
        <v>1103.0</v>
      </c>
      <c r="B1104" s="5" t="s">
        <v>1697</v>
      </c>
      <c r="C1104" s="5" t="s">
        <v>20</v>
      </c>
      <c r="K1104" s="5">
        <v>400.0</v>
      </c>
      <c r="N1104" s="8">
        <v>43148.0</v>
      </c>
    </row>
    <row r="1105">
      <c r="A1105" s="5">
        <v>1104.0</v>
      </c>
      <c r="B1105" s="5" t="s">
        <v>1698</v>
      </c>
      <c r="C1105" s="5" t="s">
        <v>20</v>
      </c>
      <c r="K1105" s="5">
        <v>10.0</v>
      </c>
      <c r="N1105" s="8">
        <v>44808.0</v>
      </c>
    </row>
    <row r="1106">
      <c r="A1106" s="5">
        <v>1105.0</v>
      </c>
      <c r="B1106" s="5" t="s">
        <v>1699</v>
      </c>
      <c r="C1106" s="5" t="s">
        <v>20</v>
      </c>
      <c r="K1106" s="5">
        <v>10.0</v>
      </c>
      <c r="N1106" s="8">
        <v>45901.0</v>
      </c>
    </row>
    <row r="1107">
      <c r="A1107" s="5">
        <v>1106.0</v>
      </c>
      <c r="B1107" s="5" t="s">
        <v>1700</v>
      </c>
      <c r="C1107" s="5" t="s">
        <v>20</v>
      </c>
      <c r="K1107" s="5">
        <v>600.0</v>
      </c>
      <c r="N1107" s="8">
        <v>42689.0</v>
      </c>
    </row>
    <row r="1108">
      <c r="A1108" s="5">
        <v>1107.0</v>
      </c>
      <c r="B1108" s="5" t="s">
        <v>1701</v>
      </c>
      <c r="C1108" s="5" t="s">
        <v>20</v>
      </c>
      <c r="K1108" s="5">
        <v>300.0</v>
      </c>
      <c r="N1108" s="8">
        <v>45401.0</v>
      </c>
    </row>
    <row r="1109">
      <c r="A1109" s="5">
        <v>1108.0</v>
      </c>
      <c r="B1109" s="5" t="s">
        <v>1702</v>
      </c>
      <c r="C1109" s="5" t="s">
        <v>20</v>
      </c>
      <c r="K1109" s="5">
        <v>10.0</v>
      </c>
      <c r="N1109" s="8">
        <v>45275.0</v>
      </c>
    </row>
    <row r="1110">
      <c r="A1110" s="5">
        <v>1109.0</v>
      </c>
      <c r="B1110" s="5" t="s">
        <v>1703</v>
      </c>
      <c r="C1110" s="5" t="s">
        <v>20</v>
      </c>
      <c r="N1110" s="8">
        <v>44066.0</v>
      </c>
    </row>
    <row r="1111">
      <c r="A1111" s="5">
        <v>1110.0</v>
      </c>
      <c r="B1111" s="5" t="s">
        <v>1704</v>
      </c>
      <c r="C1111" s="5" t="s">
        <v>20</v>
      </c>
      <c r="K1111" s="5">
        <v>200.0</v>
      </c>
      <c r="N1111" s="8">
        <v>44261.0</v>
      </c>
    </row>
    <row r="1112">
      <c r="A1112" s="5">
        <v>1111.0</v>
      </c>
      <c r="B1112" s="5" t="s">
        <v>73</v>
      </c>
      <c r="C1112" s="5" t="s">
        <v>20</v>
      </c>
      <c r="N1112" s="8">
        <v>44490.0</v>
      </c>
    </row>
    <row r="1113">
      <c r="A1113" s="5">
        <v>1112.0</v>
      </c>
      <c r="B1113" s="5" t="s">
        <v>1705</v>
      </c>
      <c r="C1113" s="5" t="s">
        <v>20</v>
      </c>
      <c r="K1113" s="5">
        <v>20.0</v>
      </c>
      <c r="N1113" s="8">
        <v>45268.0</v>
      </c>
    </row>
    <row r="1114">
      <c r="A1114" s="5">
        <v>1113.0</v>
      </c>
      <c r="B1114" s="5" t="s">
        <v>1706</v>
      </c>
      <c r="C1114" s="5" t="s">
        <v>20</v>
      </c>
      <c r="K1114" s="5">
        <v>30.0</v>
      </c>
      <c r="N1114" s="8">
        <v>44414.0</v>
      </c>
    </row>
    <row r="1115">
      <c r="A1115" s="5">
        <v>1114.0</v>
      </c>
      <c r="B1115" s="5" t="s">
        <v>1707</v>
      </c>
      <c r="C1115" s="5" t="s">
        <v>20</v>
      </c>
      <c r="K1115" s="5">
        <v>30.0</v>
      </c>
      <c r="N1115" s="8">
        <v>44322.0</v>
      </c>
    </row>
    <row r="1116">
      <c r="A1116" s="5">
        <v>1115.0</v>
      </c>
      <c r="B1116" s="5" t="s">
        <v>1708</v>
      </c>
      <c r="C1116" s="5" t="s">
        <v>20</v>
      </c>
      <c r="N1116" s="8">
        <v>44317.0</v>
      </c>
    </row>
    <row r="1117">
      <c r="A1117" s="5">
        <v>1116.0</v>
      </c>
      <c r="B1117" s="5" t="s">
        <v>1709</v>
      </c>
      <c r="C1117" s="5" t="s">
        <v>20</v>
      </c>
      <c r="K1117" s="5">
        <v>10.0</v>
      </c>
      <c r="N1117" s="8">
        <v>45023.0</v>
      </c>
    </row>
    <row r="1118">
      <c r="A1118" s="5">
        <v>1117.0</v>
      </c>
      <c r="B1118" s="5" t="s">
        <v>1710</v>
      </c>
      <c r="C1118" s="5" t="s">
        <v>20</v>
      </c>
      <c r="N1118" s="8">
        <v>45439.0</v>
      </c>
    </row>
    <row r="1119">
      <c r="A1119" s="5">
        <v>1118.0</v>
      </c>
      <c r="B1119" s="5" t="s">
        <v>1711</v>
      </c>
      <c r="C1119" s="5" t="s">
        <v>20</v>
      </c>
      <c r="K1119" s="5">
        <v>1200.0</v>
      </c>
      <c r="N1119" s="8">
        <v>44113.0</v>
      </c>
    </row>
    <row r="1120">
      <c r="A1120" s="5">
        <v>1119.0</v>
      </c>
      <c r="B1120" s="5" t="s">
        <v>1712</v>
      </c>
      <c r="C1120" s="5" t="s">
        <v>20</v>
      </c>
      <c r="K1120" s="5">
        <v>90.0</v>
      </c>
      <c r="N1120" s="8">
        <v>46083.0</v>
      </c>
    </row>
    <row r="1121">
      <c r="A1121" s="5">
        <v>1120.0</v>
      </c>
      <c r="B1121" s="5" t="s">
        <v>1713</v>
      </c>
      <c r="C1121" s="5" t="s">
        <v>20</v>
      </c>
      <c r="K1121" s="5">
        <v>150.0</v>
      </c>
      <c r="N1121" s="8">
        <v>45327.0</v>
      </c>
    </row>
    <row r="1122">
      <c r="A1122" s="5">
        <v>1121.0</v>
      </c>
      <c r="B1122" s="5" t="s">
        <v>1714</v>
      </c>
      <c r="C1122" s="5" t="s">
        <v>20</v>
      </c>
      <c r="K1122" s="5">
        <v>10.0</v>
      </c>
      <c r="N1122" s="8">
        <v>45107.0</v>
      </c>
    </row>
    <row r="1123">
      <c r="A1123" s="5">
        <v>1122.0</v>
      </c>
      <c r="B1123" s="5" t="s">
        <v>1715</v>
      </c>
      <c r="C1123" s="5" t="s">
        <v>20</v>
      </c>
      <c r="K1123" s="5">
        <v>200.0</v>
      </c>
      <c r="N1123" s="8">
        <v>45636.0</v>
      </c>
    </row>
    <row r="1124">
      <c r="A1124" s="5">
        <v>1123.0</v>
      </c>
      <c r="B1124" s="5" t="s">
        <v>1716</v>
      </c>
      <c r="C1124" s="5" t="s">
        <v>20</v>
      </c>
      <c r="K1124" s="5">
        <v>150.0</v>
      </c>
      <c r="N1124" s="8">
        <v>45454.0</v>
      </c>
    </row>
    <row r="1125">
      <c r="A1125" s="5">
        <v>1124.0</v>
      </c>
      <c r="B1125" s="5" t="s">
        <v>1717</v>
      </c>
      <c r="C1125" s="5" t="s">
        <v>20</v>
      </c>
      <c r="K1125" s="5">
        <v>40.0</v>
      </c>
      <c r="N1125" s="8">
        <v>45137.0</v>
      </c>
    </row>
    <row r="1126">
      <c r="A1126" s="5">
        <v>1125.0</v>
      </c>
      <c r="B1126" s="5" t="s">
        <v>1718</v>
      </c>
      <c r="C1126" s="5" t="s">
        <v>20</v>
      </c>
      <c r="K1126" s="5">
        <v>90.0</v>
      </c>
      <c r="N1126" s="8">
        <v>44856.0</v>
      </c>
    </row>
    <row r="1127">
      <c r="A1127" s="5">
        <v>1126.0</v>
      </c>
      <c r="B1127" s="5" t="s">
        <v>1719</v>
      </c>
      <c r="C1127" s="5" t="s">
        <v>20</v>
      </c>
      <c r="K1127" s="5">
        <v>20.0</v>
      </c>
      <c r="N1127" s="8">
        <v>46100.0</v>
      </c>
    </row>
    <row r="1128">
      <c r="A1128" s="5">
        <v>1127.0</v>
      </c>
      <c r="B1128" s="5" t="s">
        <v>1720</v>
      </c>
      <c r="C1128" s="5" t="s">
        <v>20</v>
      </c>
      <c r="K1128" s="5">
        <v>80.0</v>
      </c>
      <c r="N1128" s="8">
        <v>44602.0</v>
      </c>
    </row>
    <row r="1129">
      <c r="A1129" s="5">
        <v>1128.0</v>
      </c>
      <c r="B1129" s="5" t="s">
        <v>1721</v>
      </c>
      <c r="C1129" s="5" t="s">
        <v>20</v>
      </c>
      <c r="K1129" s="5">
        <v>450.0</v>
      </c>
      <c r="N1129" s="8">
        <v>43630.0</v>
      </c>
    </row>
    <row r="1130">
      <c r="A1130" s="5">
        <v>1129.0</v>
      </c>
      <c r="B1130" s="5" t="s">
        <v>1108</v>
      </c>
      <c r="C1130" s="5" t="s">
        <v>20</v>
      </c>
      <c r="D1130" s="5">
        <v>86.0</v>
      </c>
      <c r="H1130" s="5" t="s">
        <v>28</v>
      </c>
      <c r="I1130" s="9">
        <v>46077.36798611111</v>
      </c>
      <c r="J1130" s="5" t="s">
        <v>965</v>
      </c>
      <c r="K1130" s="5">
        <v>8500.0</v>
      </c>
      <c r="L1130" s="5">
        <v>1800.0</v>
      </c>
      <c r="M1130" s="5">
        <v>1420000.0</v>
      </c>
      <c r="N1130" s="8">
        <v>44872.0</v>
      </c>
      <c r="O1130" s="5" t="s">
        <v>22</v>
      </c>
      <c r="P1130" s="5" t="s">
        <v>23</v>
      </c>
      <c r="S1130" s="5" t="s">
        <v>32</v>
      </c>
    </row>
    <row r="1131">
      <c r="A1131" s="5">
        <v>1130.0</v>
      </c>
      <c r="B1131" s="5" t="s">
        <v>1722</v>
      </c>
      <c r="C1131" s="5" t="s">
        <v>20</v>
      </c>
      <c r="K1131" s="5">
        <v>60.0</v>
      </c>
      <c r="N1131" s="8">
        <v>45037.0</v>
      </c>
    </row>
    <row r="1132">
      <c r="A1132" s="5">
        <v>1131.0</v>
      </c>
      <c r="B1132" s="5" t="s">
        <v>1723</v>
      </c>
      <c r="C1132" s="5" t="s">
        <v>20</v>
      </c>
      <c r="K1132" s="5">
        <v>20.0</v>
      </c>
      <c r="N1132" s="8">
        <v>46102.0</v>
      </c>
    </row>
    <row r="1133">
      <c r="A1133" s="5">
        <v>1132.0</v>
      </c>
      <c r="B1133" s="5" t="s">
        <v>1724</v>
      </c>
      <c r="C1133" s="5" t="s">
        <v>20</v>
      </c>
      <c r="K1133" s="5">
        <v>100.0</v>
      </c>
      <c r="N1133" s="8">
        <v>44739.0</v>
      </c>
    </row>
    <row r="1134">
      <c r="A1134" s="5">
        <v>1133.0</v>
      </c>
      <c r="B1134" s="5" t="s">
        <v>1725</v>
      </c>
      <c r="C1134" s="5" t="s">
        <v>20</v>
      </c>
      <c r="K1134" s="5">
        <v>200.0</v>
      </c>
      <c r="N1134" s="8">
        <v>45612.0</v>
      </c>
    </row>
    <row r="1135">
      <c r="A1135" s="5">
        <v>1134.0</v>
      </c>
      <c r="B1135" s="5" t="s">
        <v>1726</v>
      </c>
      <c r="C1135" s="5" t="s">
        <v>20</v>
      </c>
      <c r="K1135" s="5">
        <v>80.0</v>
      </c>
      <c r="N1135" s="8">
        <v>43918.0</v>
      </c>
    </row>
    <row r="1136">
      <c r="A1136" s="5">
        <v>1135.0</v>
      </c>
      <c r="B1136" s="5" t="s">
        <v>1727</v>
      </c>
      <c r="C1136" s="5" t="s">
        <v>20</v>
      </c>
      <c r="N1136" s="8">
        <v>42545.0</v>
      </c>
    </row>
    <row r="1137">
      <c r="A1137" s="5">
        <v>1136.0</v>
      </c>
      <c r="B1137" s="5" t="s">
        <v>1728</v>
      </c>
      <c r="C1137" s="5" t="s">
        <v>20</v>
      </c>
      <c r="K1137" s="5">
        <v>10.0</v>
      </c>
      <c r="N1137" s="8">
        <v>44804.0</v>
      </c>
    </row>
    <row r="1138">
      <c r="A1138" s="5">
        <v>1137.0</v>
      </c>
      <c r="B1138" s="5" t="s">
        <v>1729</v>
      </c>
      <c r="C1138" s="5" t="s">
        <v>20</v>
      </c>
      <c r="K1138" s="5">
        <v>100.0</v>
      </c>
      <c r="N1138" s="8">
        <v>44997.0</v>
      </c>
    </row>
    <row r="1139">
      <c r="A1139" s="5">
        <v>1138.0</v>
      </c>
      <c r="B1139" s="5" t="s">
        <v>1730</v>
      </c>
      <c r="C1139" s="5" t="s">
        <v>20</v>
      </c>
      <c r="K1139" s="5">
        <v>300.0</v>
      </c>
      <c r="N1139" s="8">
        <v>45503.0</v>
      </c>
    </row>
    <row r="1140">
      <c r="A1140" s="5">
        <v>1139.0</v>
      </c>
      <c r="B1140" s="5" t="s">
        <v>1731</v>
      </c>
      <c r="C1140" s="5" t="s">
        <v>20</v>
      </c>
      <c r="K1140" s="5">
        <v>250.0</v>
      </c>
      <c r="N1140" s="8">
        <v>44543.0</v>
      </c>
    </row>
    <row r="1141">
      <c r="A1141" s="5">
        <v>1140.0</v>
      </c>
      <c r="B1141" s="5" t="s">
        <v>1732</v>
      </c>
      <c r="C1141" s="5" t="s">
        <v>20</v>
      </c>
      <c r="K1141" s="5">
        <v>80.0</v>
      </c>
      <c r="N1141" s="8">
        <v>45386.0</v>
      </c>
    </row>
    <row r="1142">
      <c r="A1142" s="5">
        <v>1141.0</v>
      </c>
      <c r="B1142" s="5" t="s">
        <v>1733</v>
      </c>
      <c r="C1142" s="5" t="s">
        <v>20</v>
      </c>
      <c r="N1142" s="8">
        <v>44093.0</v>
      </c>
    </row>
    <row r="1143">
      <c r="A1143" s="5">
        <v>1142.0</v>
      </c>
      <c r="B1143" s="5" t="s">
        <v>1734</v>
      </c>
      <c r="C1143" s="5" t="s">
        <v>20</v>
      </c>
      <c r="K1143" s="5">
        <v>500.0</v>
      </c>
      <c r="N1143" s="8">
        <v>44491.0</v>
      </c>
    </row>
    <row r="1144">
      <c r="A1144" s="5">
        <v>1143.0</v>
      </c>
      <c r="B1144" s="5" t="s">
        <v>1735</v>
      </c>
      <c r="C1144" s="5" t="s">
        <v>20</v>
      </c>
      <c r="N1144" s="8">
        <v>44056.0</v>
      </c>
    </row>
    <row r="1145">
      <c r="A1145" s="5">
        <v>1144.0</v>
      </c>
      <c r="B1145" s="5" t="s">
        <v>1736</v>
      </c>
      <c r="C1145" s="5" t="s">
        <v>20</v>
      </c>
      <c r="K1145" s="5">
        <v>150.0</v>
      </c>
      <c r="N1145" s="8">
        <v>44045.0</v>
      </c>
    </row>
    <row r="1146">
      <c r="A1146" s="5">
        <v>1145.0</v>
      </c>
      <c r="B1146" s="5" t="s">
        <v>1737</v>
      </c>
      <c r="C1146" s="5" t="s">
        <v>20</v>
      </c>
      <c r="K1146" s="5">
        <v>40.0</v>
      </c>
      <c r="N1146" s="8">
        <v>45674.0</v>
      </c>
    </row>
    <row r="1147">
      <c r="A1147" s="5">
        <v>1146.0</v>
      </c>
      <c r="B1147" s="5" t="s">
        <v>1738</v>
      </c>
      <c r="C1147" s="5" t="s">
        <v>20</v>
      </c>
      <c r="K1147" s="5">
        <v>5000.0</v>
      </c>
      <c r="N1147" s="8">
        <v>44872.0</v>
      </c>
    </row>
    <row r="1148">
      <c r="A1148" s="5">
        <v>1147.0</v>
      </c>
      <c r="B1148" s="5" t="s">
        <v>1739</v>
      </c>
      <c r="C1148" s="5" t="s">
        <v>20</v>
      </c>
      <c r="N1148" s="8">
        <v>44396.0</v>
      </c>
    </row>
    <row r="1149">
      <c r="A1149" s="5">
        <v>1148.0</v>
      </c>
      <c r="B1149" s="5" t="s">
        <v>1740</v>
      </c>
      <c r="C1149" s="5" t="s">
        <v>20</v>
      </c>
      <c r="N1149" s="8">
        <v>44279.0</v>
      </c>
    </row>
    <row r="1150">
      <c r="A1150" s="5">
        <v>1149.0</v>
      </c>
      <c r="B1150" s="5" t="s">
        <v>1741</v>
      </c>
      <c r="C1150" s="5" t="s">
        <v>20</v>
      </c>
      <c r="K1150" s="5">
        <v>900.0</v>
      </c>
      <c r="N1150" s="8">
        <v>44722.0</v>
      </c>
    </row>
    <row r="1151">
      <c r="A1151" s="5">
        <v>1150.0</v>
      </c>
      <c r="B1151" s="5" t="s">
        <v>1742</v>
      </c>
      <c r="C1151" s="5" t="s">
        <v>20</v>
      </c>
      <c r="N1151" s="8">
        <v>44976.0</v>
      </c>
    </row>
    <row r="1152">
      <c r="A1152" s="5">
        <v>1151.0</v>
      </c>
      <c r="B1152" s="5" t="s">
        <v>1743</v>
      </c>
      <c r="C1152" s="5" t="s">
        <v>20</v>
      </c>
      <c r="N1152" s="8">
        <v>44757.0</v>
      </c>
    </row>
    <row r="1153">
      <c r="A1153" s="5">
        <v>1152.0</v>
      </c>
      <c r="B1153" s="5" t="s">
        <v>1744</v>
      </c>
      <c r="C1153" s="5" t="s">
        <v>20</v>
      </c>
      <c r="N1153" s="8">
        <v>44525.0</v>
      </c>
    </row>
    <row r="1154">
      <c r="A1154" s="5">
        <v>1153.0</v>
      </c>
      <c r="B1154" s="5" t="s">
        <v>1745</v>
      </c>
      <c r="C1154" s="5" t="s">
        <v>20</v>
      </c>
      <c r="K1154" s="5">
        <v>1400.0</v>
      </c>
      <c r="N1154" s="8">
        <v>46083.0</v>
      </c>
    </row>
    <row r="1155">
      <c r="A1155" s="5">
        <v>1154.0</v>
      </c>
      <c r="B1155" s="5" t="s">
        <v>1746</v>
      </c>
      <c r="C1155" s="5" t="s">
        <v>20</v>
      </c>
      <c r="K1155" s="5">
        <v>150.0</v>
      </c>
      <c r="N1155" s="8">
        <v>44875.0</v>
      </c>
    </row>
    <row r="1156">
      <c r="A1156" s="5">
        <v>1155.0</v>
      </c>
      <c r="B1156" s="5" t="s">
        <v>1747</v>
      </c>
      <c r="C1156" s="5" t="s">
        <v>20</v>
      </c>
      <c r="K1156" s="5">
        <v>10.0</v>
      </c>
      <c r="N1156" s="8">
        <v>43956.0</v>
      </c>
    </row>
    <row r="1157">
      <c r="A1157" s="5">
        <v>1156.0</v>
      </c>
      <c r="B1157" s="5" t="s">
        <v>1748</v>
      </c>
      <c r="C1157" s="5" t="s">
        <v>20</v>
      </c>
      <c r="K1157" s="5">
        <v>10.0</v>
      </c>
      <c r="N1157" s="8">
        <v>46119.0</v>
      </c>
    </row>
    <row r="1158">
      <c r="A1158" s="5">
        <v>1157.0</v>
      </c>
      <c r="B1158" s="5" t="s">
        <v>1749</v>
      </c>
      <c r="C1158" s="5" t="s">
        <v>20</v>
      </c>
      <c r="N1158" s="8">
        <v>46108.0</v>
      </c>
    </row>
    <row r="1159">
      <c r="A1159" s="5">
        <v>1158.0</v>
      </c>
      <c r="B1159" s="5" t="s">
        <v>1750</v>
      </c>
      <c r="C1159" s="5" t="s">
        <v>20</v>
      </c>
      <c r="K1159" s="5">
        <v>70.0</v>
      </c>
      <c r="N1159" s="8">
        <v>44046.0</v>
      </c>
    </row>
    <row r="1160">
      <c r="A1160" s="5">
        <v>1159.0</v>
      </c>
      <c r="B1160" s="5" t="s">
        <v>1751</v>
      </c>
      <c r="C1160" s="5" t="s">
        <v>20</v>
      </c>
      <c r="K1160" s="5">
        <v>70.0</v>
      </c>
      <c r="N1160" s="8">
        <v>44511.0</v>
      </c>
    </row>
    <row r="1161">
      <c r="A1161" s="5">
        <v>1160.0</v>
      </c>
      <c r="B1161" s="5" t="s">
        <v>1752</v>
      </c>
      <c r="C1161" s="5" t="s">
        <v>20</v>
      </c>
      <c r="K1161" s="5">
        <v>500.0</v>
      </c>
      <c r="N1161" s="8">
        <v>45733.0</v>
      </c>
    </row>
    <row r="1162">
      <c r="A1162" s="5">
        <v>1161.0</v>
      </c>
      <c r="B1162" s="5" t="s">
        <v>1753</v>
      </c>
      <c r="C1162" s="5" t="s">
        <v>20</v>
      </c>
      <c r="K1162" s="5">
        <v>30.0</v>
      </c>
      <c r="N1162" s="8">
        <v>45048.0</v>
      </c>
    </row>
    <row r="1163">
      <c r="A1163" s="5">
        <v>1162.0</v>
      </c>
      <c r="B1163" s="5" t="s">
        <v>1754</v>
      </c>
      <c r="C1163" s="5" t="s">
        <v>20</v>
      </c>
      <c r="N1163" s="8">
        <v>44555.0</v>
      </c>
    </row>
    <row r="1164">
      <c r="A1164" s="5">
        <v>1163.0</v>
      </c>
      <c r="B1164" s="5" t="s">
        <v>1755</v>
      </c>
      <c r="C1164" s="5" t="s">
        <v>20</v>
      </c>
      <c r="K1164" s="5">
        <v>400.0</v>
      </c>
      <c r="N1164" s="8">
        <v>45480.0</v>
      </c>
    </row>
    <row r="1165">
      <c r="A1165" s="5">
        <v>1164.0</v>
      </c>
      <c r="B1165" s="5" t="s">
        <v>1756</v>
      </c>
      <c r="C1165" s="5" t="s">
        <v>20</v>
      </c>
      <c r="K1165" s="5">
        <v>250.0</v>
      </c>
      <c r="N1165" s="8">
        <v>44999.0</v>
      </c>
    </row>
    <row r="1166">
      <c r="A1166" s="5">
        <v>1165.0</v>
      </c>
      <c r="B1166" s="5" t="s">
        <v>1757</v>
      </c>
      <c r="C1166" s="5" t="s">
        <v>20</v>
      </c>
      <c r="K1166" s="5">
        <v>60.0</v>
      </c>
      <c r="N1166" s="8">
        <v>43895.0</v>
      </c>
    </row>
    <row r="1167">
      <c r="A1167" s="5">
        <v>1166.0</v>
      </c>
      <c r="B1167" s="5" t="s">
        <v>1758</v>
      </c>
      <c r="C1167" s="5" t="s">
        <v>20</v>
      </c>
      <c r="K1167" s="5">
        <v>70.0</v>
      </c>
      <c r="N1167" s="8">
        <v>44227.0</v>
      </c>
    </row>
    <row r="1168">
      <c r="A1168" s="5">
        <v>1167.0</v>
      </c>
      <c r="B1168" s="5" t="s">
        <v>1759</v>
      </c>
      <c r="C1168" s="5" t="s">
        <v>20</v>
      </c>
      <c r="K1168" s="5">
        <v>1000.0</v>
      </c>
      <c r="N1168" s="8">
        <v>45417.0</v>
      </c>
    </row>
    <row r="1169">
      <c r="A1169" s="5">
        <v>1168.0</v>
      </c>
      <c r="B1169" s="5" t="s">
        <v>1760</v>
      </c>
      <c r="C1169" s="5" t="s">
        <v>20</v>
      </c>
      <c r="K1169" s="5">
        <v>20.0</v>
      </c>
      <c r="N1169" s="8">
        <v>45873.0</v>
      </c>
    </row>
    <row r="1170">
      <c r="A1170" s="5">
        <v>1169.0</v>
      </c>
      <c r="B1170" s="5" t="s">
        <v>1761</v>
      </c>
      <c r="C1170" s="5" t="s">
        <v>20</v>
      </c>
      <c r="K1170" s="5">
        <v>100.0</v>
      </c>
      <c r="N1170" s="8">
        <v>45671.0</v>
      </c>
    </row>
    <row r="1171">
      <c r="A1171" s="5">
        <v>1170.0</v>
      </c>
      <c r="B1171" s="5" t="s">
        <v>1762</v>
      </c>
      <c r="C1171" s="5" t="s">
        <v>20</v>
      </c>
      <c r="K1171" s="5">
        <v>40.0</v>
      </c>
      <c r="N1171" s="8">
        <v>46122.0</v>
      </c>
    </row>
    <row r="1172">
      <c r="A1172" s="5">
        <v>1171.0</v>
      </c>
      <c r="B1172" s="5" t="s">
        <v>1763</v>
      </c>
      <c r="C1172" s="5" t="s">
        <v>20</v>
      </c>
      <c r="K1172" s="5">
        <v>400.0</v>
      </c>
      <c r="N1172" s="8">
        <v>44556.0</v>
      </c>
    </row>
    <row r="1173">
      <c r="A1173" s="5">
        <v>1172.0</v>
      </c>
      <c r="B1173" s="5" t="s">
        <v>1764</v>
      </c>
      <c r="C1173" s="5" t="s">
        <v>20</v>
      </c>
      <c r="K1173" s="5">
        <v>40.0</v>
      </c>
      <c r="N1173" s="8">
        <v>44984.0</v>
      </c>
    </row>
    <row r="1174">
      <c r="A1174" s="5">
        <v>1173.0</v>
      </c>
      <c r="B1174" s="5" t="s">
        <v>1765</v>
      </c>
      <c r="C1174" s="5" t="s">
        <v>20</v>
      </c>
      <c r="K1174" s="5">
        <v>200.0</v>
      </c>
      <c r="N1174" s="8">
        <v>44261.0</v>
      </c>
    </row>
    <row r="1175">
      <c r="A1175" s="5">
        <v>1174.0</v>
      </c>
      <c r="B1175" s="5" t="s">
        <v>1766</v>
      </c>
      <c r="C1175" s="5" t="s">
        <v>20</v>
      </c>
      <c r="K1175" s="5">
        <v>80.0</v>
      </c>
      <c r="N1175" s="8">
        <v>43247.0</v>
      </c>
    </row>
    <row r="1176">
      <c r="A1176" s="5">
        <v>1175.0</v>
      </c>
      <c r="B1176" s="5" t="s">
        <v>1767</v>
      </c>
      <c r="C1176" s="5" t="s">
        <v>20</v>
      </c>
      <c r="K1176" s="5">
        <v>100.0</v>
      </c>
      <c r="N1176" s="8">
        <v>44610.0</v>
      </c>
    </row>
    <row r="1177">
      <c r="A1177" s="5">
        <v>1176.0</v>
      </c>
      <c r="B1177" s="5" t="s">
        <v>1768</v>
      </c>
      <c r="C1177" s="5" t="s">
        <v>20</v>
      </c>
      <c r="K1177" s="5">
        <v>100.0</v>
      </c>
      <c r="N1177" s="8">
        <v>44320.0</v>
      </c>
    </row>
    <row r="1178">
      <c r="A1178" s="5">
        <v>1177.0</v>
      </c>
      <c r="B1178" s="5" t="s">
        <v>1769</v>
      </c>
      <c r="C1178" s="5" t="s">
        <v>20</v>
      </c>
      <c r="N1178" s="8">
        <v>45470.0</v>
      </c>
    </row>
    <row r="1179">
      <c r="A1179" s="5">
        <v>1178.0</v>
      </c>
      <c r="B1179" s="5" t="s">
        <v>1770</v>
      </c>
      <c r="C1179" s="5" t="s">
        <v>20</v>
      </c>
      <c r="K1179" s="5">
        <v>10.0</v>
      </c>
      <c r="N1179" s="8">
        <v>44617.0</v>
      </c>
    </row>
    <row r="1180">
      <c r="A1180" s="5">
        <v>1179.0</v>
      </c>
      <c r="B1180" s="5" t="s">
        <v>1114</v>
      </c>
      <c r="C1180" s="5" t="s">
        <v>20</v>
      </c>
      <c r="D1180" s="5">
        <v>78.0</v>
      </c>
      <c r="H1180" s="5" t="s">
        <v>28</v>
      </c>
      <c r="I1180" s="9">
        <v>46118.03753472222</v>
      </c>
      <c r="J1180" s="5" t="s">
        <v>21</v>
      </c>
      <c r="K1180" s="5">
        <v>22000.0</v>
      </c>
      <c r="L1180" s="5">
        <v>1600.0</v>
      </c>
      <c r="M1180" s="5">
        <v>1340000.0</v>
      </c>
      <c r="N1180" s="8">
        <v>42449.0</v>
      </c>
      <c r="O1180" s="5" t="s">
        <v>22</v>
      </c>
      <c r="P1180" s="5" t="s">
        <v>23</v>
      </c>
      <c r="S1180" s="5" t="s">
        <v>32</v>
      </c>
    </row>
    <row r="1181">
      <c r="A1181" s="5">
        <v>1180.0</v>
      </c>
      <c r="B1181" s="5" t="s">
        <v>1116</v>
      </c>
      <c r="C1181" s="5" t="s">
        <v>20</v>
      </c>
      <c r="D1181" s="5">
        <v>79.0</v>
      </c>
      <c r="H1181" s="5" t="s">
        <v>19</v>
      </c>
      <c r="I1181" s="9">
        <v>46123.03303240741</v>
      </c>
      <c r="J1181" s="5" t="s">
        <v>52</v>
      </c>
      <c r="K1181" s="5">
        <v>5800.0</v>
      </c>
      <c r="L1181" s="5">
        <v>13000.0</v>
      </c>
      <c r="M1181" s="5">
        <v>1180000.0</v>
      </c>
      <c r="N1181" s="8">
        <v>42299.0</v>
      </c>
      <c r="O1181" s="5" t="s">
        <v>22</v>
      </c>
      <c r="P1181" s="5" t="s">
        <v>23</v>
      </c>
      <c r="S1181" s="5" t="s">
        <v>26</v>
      </c>
    </row>
    <row r="1182">
      <c r="A1182" s="5">
        <v>1181.0</v>
      </c>
      <c r="B1182" s="5" t="s">
        <v>1771</v>
      </c>
      <c r="C1182" s="5" t="s">
        <v>20</v>
      </c>
      <c r="K1182" s="5">
        <v>300.0</v>
      </c>
      <c r="N1182" s="8">
        <v>45636.0</v>
      </c>
    </row>
    <row r="1183">
      <c r="A1183" s="5">
        <v>1182.0</v>
      </c>
      <c r="B1183" s="5" t="s">
        <v>1772</v>
      </c>
      <c r="C1183" s="5" t="s">
        <v>20</v>
      </c>
      <c r="K1183" s="5">
        <v>10.0</v>
      </c>
      <c r="N1183" s="8">
        <v>45313.0</v>
      </c>
    </row>
    <row r="1184">
      <c r="A1184" s="5">
        <v>1183.0</v>
      </c>
      <c r="B1184" s="5" t="s">
        <v>1773</v>
      </c>
      <c r="C1184" s="5" t="s">
        <v>20</v>
      </c>
      <c r="K1184" s="5">
        <v>300.0</v>
      </c>
      <c r="N1184" s="8">
        <v>45369.0</v>
      </c>
    </row>
    <row r="1185">
      <c r="A1185" s="5">
        <v>1184.0</v>
      </c>
      <c r="B1185" s="5" t="s">
        <v>1774</v>
      </c>
      <c r="C1185" s="5" t="s">
        <v>20</v>
      </c>
      <c r="K1185" s="5">
        <v>100.0</v>
      </c>
      <c r="N1185" s="8">
        <v>45293.0</v>
      </c>
    </row>
    <row r="1186">
      <c r="A1186" s="5">
        <v>1185.0</v>
      </c>
      <c r="B1186" s="5" t="s">
        <v>1775</v>
      </c>
      <c r="C1186" s="5" t="s">
        <v>20</v>
      </c>
      <c r="N1186" s="8">
        <v>44221.0</v>
      </c>
    </row>
    <row r="1187">
      <c r="A1187" s="5">
        <v>1186.0</v>
      </c>
      <c r="B1187" s="5" t="s">
        <v>1776</v>
      </c>
      <c r="C1187" s="5" t="s">
        <v>20</v>
      </c>
      <c r="K1187" s="5">
        <v>10.0</v>
      </c>
      <c r="N1187" s="8">
        <v>44661.0</v>
      </c>
    </row>
    <row r="1188">
      <c r="A1188" s="5">
        <v>1187.0</v>
      </c>
      <c r="B1188" s="5" t="s">
        <v>1777</v>
      </c>
      <c r="C1188" s="5" t="s">
        <v>20</v>
      </c>
      <c r="K1188" s="5">
        <v>60.0</v>
      </c>
      <c r="N1188" s="8">
        <v>44533.0</v>
      </c>
    </row>
    <row r="1189">
      <c r="A1189" s="5">
        <v>1188.0</v>
      </c>
      <c r="B1189" s="5" t="s">
        <v>1778</v>
      </c>
      <c r="C1189" s="5" t="s">
        <v>20</v>
      </c>
      <c r="N1189" s="8">
        <v>45262.0</v>
      </c>
    </row>
    <row r="1190">
      <c r="A1190" s="5">
        <v>1189.0</v>
      </c>
      <c r="B1190" s="5" t="s">
        <v>1779</v>
      </c>
      <c r="C1190" s="5" t="s">
        <v>20</v>
      </c>
      <c r="K1190" s="5">
        <v>200.0</v>
      </c>
      <c r="N1190" s="8">
        <v>44692.0</v>
      </c>
    </row>
    <row r="1191">
      <c r="A1191" s="5">
        <v>1190.0</v>
      </c>
      <c r="B1191" s="5" t="s">
        <v>1780</v>
      </c>
      <c r="C1191" s="5" t="s">
        <v>20</v>
      </c>
      <c r="K1191" s="5">
        <v>100.0</v>
      </c>
      <c r="N1191" s="8">
        <v>44600.0</v>
      </c>
    </row>
    <row r="1192">
      <c r="A1192" s="5">
        <v>1191.0</v>
      </c>
      <c r="B1192" s="5" t="s">
        <v>1781</v>
      </c>
      <c r="C1192" s="5" t="s">
        <v>20</v>
      </c>
      <c r="N1192" s="8">
        <v>44981.0</v>
      </c>
    </row>
    <row r="1193">
      <c r="A1193" s="5">
        <v>1192.0</v>
      </c>
      <c r="B1193" s="5" t="s">
        <v>1782</v>
      </c>
      <c r="C1193" s="5" t="s">
        <v>20</v>
      </c>
      <c r="N1193" s="8">
        <v>44434.0</v>
      </c>
    </row>
    <row r="1194">
      <c r="A1194" s="5">
        <v>1193.0</v>
      </c>
      <c r="B1194" s="5" t="s">
        <v>1783</v>
      </c>
      <c r="C1194" s="5" t="s">
        <v>20</v>
      </c>
      <c r="K1194" s="5">
        <v>400.0</v>
      </c>
      <c r="N1194" s="8">
        <v>44570.0</v>
      </c>
    </row>
    <row r="1195">
      <c r="A1195" s="5">
        <v>1194.0</v>
      </c>
      <c r="B1195" s="5" t="s">
        <v>1784</v>
      </c>
      <c r="C1195" s="5" t="s">
        <v>20</v>
      </c>
      <c r="K1195" s="5">
        <v>1400.0</v>
      </c>
      <c r="N1195" s="8">
        <v>45734.0</v>
      </c>
    </row>
    <row r="1196">
      <c r="A1196" s="5">
        <v>1195.0</v>
      </c>
      <c r="B1196" s="5" t="s">
        <v>1785</v>
      </c>
      <c r="C1196" s="5" t="s">
        <v>20</v>
      </c>
      <c r="K1196" s="5">
        <v>10.0</v>
      </c>
      <c r="N1196" s="8">
        <v>44119.0</v>
      </c>
    </row>
    <row r="1197">
      <c r="A1197" s="5">
        <v>1196.0</v>
      </c>
      <c r="B1197" s="5" t="s">
        <v>1786</v>
      </c>
      <c r="C1197" s="5" t="s">
        <v>20</v>
      </c>
      <c r="K1197" s="5">
        <v>150.0</v>
      </c>
      <c r="N1197" s="8">
        <v>44591.0</v>
      </c>
    </row>
    <row r="1198">
      <c r="A1198" s="5">
        <v>1197.0</v>
      </c>
      <c r="B1198" s="5" t="s">
        <v>74</v>
      </c>
      <c r="C1198" s="5" t="s">
        <v>20</v>
      </c>
      <c r="K1198" s="5">
        <v>20.0</v>
      </c>
      <c r="N1198" s="8">
        <v>45002.0</v>
      </c>
    </row>
    <row r="1199">
      <c r="A1199" s="5">
        <v>1198.0</v>
      </c>
      <c r="B1199" s="5" t="s">
        <v>1787</v>
      </c>
      <c r="C1199" s="5" t="s">
        <v>20</v>
      </c>
      <c r="N1199" s="8">
        <v>45260.0</v>
      </c>
    </row>
    <row r="1200">
      <c r="A1200" s="5">
        <v>1199.0</v>
      </c>
      <c r="B1200" s="5" t="s">
        <v>1788</v>
      </c>
      <c r="C1200" s="5" t="s">
        <v>20</v>
      </c>
      <c r="K1200" s="5">
        <v>600.0</v>
      </c>
      <c r="N1200" s="8">
        <v>45038.0</v>
      </c>
    </row>
    <row r="1201">
      <c r="A1201" s="5">
        <v>1200.0</v>
      </c>
      <c r="B1201" s="5" t="s">
        <v>1789</v>
      </c>
      <c r="C1201" s="5" t="s">
        <v>20</v>
      </c>
      <c r="K1201" s="5">
        <v>40.0</v>
      </c>
      <c r="N1201" s="8">
        <v>44595.0</v>
      </c>
    </row>
    <row r="1202">
      <c r="A1202" s="5">
        <v>1201.0</v>
      </c>
      <c r="B1202" s="5" t="s">
        <v>1120</v>
      </c>
      <c r="C1202" s="5" t="s">
        <v>20</v>
      </c>
      <c r="D1202" s="5">
        <v>86.0</v>
      </c>
      <c r="H1202" s="5" t="s">
        <v>494</v>
      </c>
      <c r="I1202" s="9">
        <v>46124.92628472222</v>
      </c>
      <c r="J1202" s="5" t="s">
        <v>52</v>
      </c>
      <c r="K1202" s="5">
        <v>6500.0</v>
      </c>
      <c r="L1202" s="5">
        <v>350.0</v>
      </c>
      <c r="M1202" s="5">
        <v>1090000.0</v>
      </c>
      <c r="N1202" s="8">
        <v>44195.0</v>
      </c>
      <c r="O1202" s="5" t="s">
        <v>22</v>
      </c>
      <c r="P1202" s="5" t="s">
        <v>23</v>
      </c>
      <c r="S1202" s="5" t="s">
        <v>26</v>
      </c>
    </row>
    <row r="1203">
      <c r="A1203" s="5">
        <v>1202.0</v>
      </c>
      <c r="B1203" s="5" t="s">
        <v>1790</v>
      </c>
      <c r="C1203" s="5" t="s">
        <v>20</v>
      </c>
      <c r="K1203" s="5">
        <v>10.0</v>
      </c>
      <c r="N1203" s="8">
        <v>45044.0</v>
      </c>
    </row>
    <row r="1204">
      <c r="A1204" s="5">
        <v>1203.0</v>
      </c>
      <c r="B1204" s="5" t="s">
        <v>1791</v>
      </c>
      <c r="C1204" s="5" t="s">
        <v>20</v>
      </c>
      <c r="K1204" s="5">
        <v>200.0</v>
      </c>
      <c r="N1204" s="8">
        <v>44912.0</v>
      </c>
    </row>
    <row r="1205">
      <c r="A1205" s="5">
        <v>1204.0</v>
      </c>
      <c r="B1205" s="5" t="s">
        <v>1792</v>
      </c>
      <c r="C1205" s="5" t="s">
        <v>20</v>
      </c>
      <c r="N1205" s="8">
        <v>45341.0</v>
      </c>
    </row>
    <row r="1206">
      <c r="A1206" s="5">
        <v>1205.0</v>
      </c>
      <c r="B1206" s="5" t="s">
        <v>1793</v>
      </c>
      <c r="C1206" s="5" t="s">
        <v>20</v>
      </c>
      <c r="K1206" s="5">
        <v>100.0</v>
      </c>
      <c r="N1206" s="8">
        <v>44536.0</v>
      </c>
    </row>
    <row r="1207">
      <c r="A1207" s="5">
        <v>1206.0</v>
      </c>
      <c r="B1207" s="5" t="s">
        <v>1794</v>
      </c>
      <c r="C1207" s="5" t="s">
        <v>20</v>
      </c>
      <c r="N1207" s="8">
        <v>44703.0</v>
      </c>
    </row>
    <row r="1208">
      <c r="A1208" s="5">
        <v>1207.0</v>
      </c>
      <c r="B1208" s="5" t="s">
        <v>1795</v>
      </c>
      <c r="C1208" s="5" t="s">
        <v>20</v>
      </c>
      <c r="K1208" s="5">
        <v>800.0</v>
      </c>
      <c r="N1208" s="8">
        <v>44666.0</v>
      </c>
    </row>
    <row r="1209">
      <c r="A1209" s="5">
        <v>1208.0</v>
      </c>
      <c r="B1209" s="5" t="s">
        <v>1796</v>
      </c>
      <c r="C1209" s="5" t="s">
        <v>20</v>
      </c>
      <c r="N1209" s="8">
        <v>45028.0</v>
      </c>
    </row>
    <row r="1210">
      <c r="A1210" s="5">
        <v>1209.0</v>
      </c>
      <c r="B1210" s="5" t="s">
        <v>1797</v>
      </c>
      <c r="C1210" s="5" t="s">
        <v>20</v>
      </c>
      <c r="K1210" s="5">
        <v>100.0</v>
      </c>
      <c r="N1210" s="8">
        <v>45327.0</v>
      </c>
    </row>
    <row r="1211">
      <c r="A1211" s="5">
        <v>1210.0</v>
      </c>
      <c r="B1211" s="5" t="s">
        <v>1798</v>
      </c>
      <c r="C1211" s="5" t="s">
        <v>20</v>
      </c>
      <c r="K1211" s="5">
        <v>250.0</v>
      </c>
      <c r="N1211" s="8">
        <v>44633.0</v>
      </c>
    </row>
    <row r="1212">
      <c r="A1212" s="5">
        <v>1211.0</v>
      </c>
      <c r="B1212" s="5" t="s">
        <v>1799</v>
      </c>
      <c r="C1212" s="5" t="s">
        <v>20</v>
      </c>
      <c r="K1212" s="5">
        <v>100.0</v>
      </c>
      <c r="N1212" s="8">
        <v>46087.0</v>
      </c>
    </row>
    <row r="1213">
      <c r="A1213" s="5">
        <v>1212.0</v>
      </c>
      <c r="B1213" s="5" t="s">
        <v>1800</v>
      </c>
      <c r="C1213" s="5" t="s">
        <v>20</v>
      </c>
      <c r="K1213" s="5">
        <v>600.0</v>
      </c>
      <c r="N1213" s="8">
        <v>45452.0</v>
      </c>
    </row>
    <row r="1214">
      <c r="A1214" s="5">
        <v>1213.0</v>
      </c>
      <c r="B1214" s="5" t="s">
        <v>1801</v>
      </c>
      <c r="C1214" s="5" t="s">
        <v>20</v>
      </c>
      <c r="K1214" s="5">
        <v>80.0</v>
      </c>
      <c r="N1214" s="8">
        <v>44321.0</v>
      </c>
    </row>
    <row r="1215">
      <c r="A1215" s="5">
        <v>1214.0</v>
      </c>
      <c r="B1215" s="5" t="s">
        <v>1802</v>
      </c>
      <c r="C1215" s="5" t="s">
        <v>20</v>
      </c>
      <c r="K1215" s="5">
        <v>90.0</v>
      </c>
      <c r="N1215" s="8">
        <v>45691.0</v>
      </c>
    </row>
    <row r="1216">
      <c r="A1216" s="5">
        <v>1215.0</v>
      </c>
      <c r="B1216" s="5" t="s">
        <v>1803</v>
      </c>
      <c r="C1216" s="5" t="s">
        <v>20</v>
      </c>
      <c r="K1216" s="5">
        <v>10.0</v>
      </c>
      <c r="N1216" s="8">
        <v>44859.0</v>
      </c>
    </row>
    <row r="1217">
      <c r="A1217" s="5">
        <v>1216.0</v>
      </c>
      <c r="B1217" s="5" t="s">
        <v>1804</v>
      </c>
      <c r="C1217" s="5" t="s">
        <v>20</v>
      </c>
      <c r="K1217" s="5">
        <v>47000.0</v>
      </c>
      <c r="N1217" s="8">
        <v>44626.0</v>
      </c>
      <c r="O1217" s="5" t="s">
        <v>22</v>
      </c>
      <c r="P1217" s="5" t="s">
        <v>23</v>
      </c>
      <c r="S1217" s="5" t="s">
        <v>26</v>
      </c>
    </row>
    <row r="1218">
      <c r="A1218" s="5">
        <v>1217.0</v>
      </c>
      <c r="B1218" s="5" t="s">
        <v>75</v>
      </c>
      <c r="C1218" s="5" t="s">
        <v>20</v>
      </c>
      <c r="K1218" s="5">
        <v>10.0</v>
      </c>
      <c r="N1218" s="8">
        <v>44864.0</v>
      </c>
    </row>
    <row r="1219">
      <c r="A1219" s="5">
        <v>1218.0</v>
      </c>
      <c r="B1219" s="5" t="s">
        <v>1805</v>
      </c>
      <c r="C1219" s="5" t="s">
        <v>20</v>
      </c>
      <c r="K1219" s="5">
        <v>2300.0</v>
      </c>
      <c r="N1219" s="8">
        <v>44696.0</v>
      </c>
    </row>
    <row r="1220">
      <c r="A1220" s="5">
        <v>1219.0</v>
      </c>
      <c r="B1220" s="5" t="s">
        <v>1806</v>
      </c>
      <c r="C1220" s="5" t="s">
        <v>20</v>
      </c>
      <c r="K1220" s="5">
        <v>10.0</v>
      </c>
      <c r="N1220" s="8">
        <v>43045.0</v>
      </c>
    </row>
    <row r="1221">
      <c r="A1221" s="5">
        <v>1220.0</v>
      </c>
      <c r="B1221" s="5" t="s">
        <v>1807</v>
      </c>
      <c r="C1221" s="5" t="s">
        <v>20</v>
      </c>
      <c r="N1221" s="8">
        <v>44967.0</v>
      </c>
    </row>
    <row r="1222">
      <c r="A1222" s="5">
        <v>1221.0</v>
      </c>
      <c r="B1222" s="5" t="s">
        <v>1808</v>
      </c>
      <c r="C1222" s="5" t="s">
        <v>20</v>
      </c>
      <c r="K1222" s="5">
        <v>350.0</v>
      </c>
      <c r="N1222" s="8">
        <v>44179.0</v>
      </c>
    </row>
    <row r="1223">
      <c r="A1223" s="5">
        <v>1222.0</v>
      </c>
      <c r="B1223" s="5" t="s">
        <v>1809</v>
      </c>
      <c r="C1223" s="5" t="s">
        <v>20</v>
      </c>
      <c r="K1223" s="5">
        <v>20.0</v>
      </c>
      <c r="N1223" s="8">
        <v>45248.0</v>
      </c>
    </row>
    <row r="1224">
      <c r="A1224" s="5">
        <v>1223.0</v>
      </c>
      <c r="B1224" s="5" t="s">
        <v>1810</v>
      </c>
      <c r="C1224" s="5" t="s">
        <v>20</v>
      </c>
      <c r="K1224" s="5">
        <v>7500.0</v>
      </c>
      <c r="N1224" s="8">
        <v>43812.0</v>
      </c>
    </row>
    <row r="1225">
      <c r="A1225" s="5">
        <v>1224.0</v>
      </c>
      <c r="B1225" s="5" t="s">
        <v>1811</v>
      </c>
      <c r="C1225" s="5" t="s">
        <v>20</v>
      </c>
      <c r="K1225" s="5">
        <v>90.0</v>
      </c>
      <c r="N1225" s="8">
        <v>44187.0</v>
      </c>
    </row>
    <row r="1226">
      <c r="A1226" s="5">
        <v>1225.0</v>
      </c>
      <c r="B1226" s="5" t="s">
        <v>1812</v>
      </c>
      <c r="C1226" s="5" t="s">
        <v>20</v>
      </c>
      <c r="K1226" s="5">
        <v>150.0</v>
      </c>
      <c r="N1226" s="8">
        <v>44221.0</v>
      </c>
    </row>
    <row r="1227">
      <c r="A1227" s="5">
        <v>1226.0</v>
      </c>
      <c r="B1227" s="5" t="s">
        <v>1813</v>
      </c>
      <c r="C1227" s="5" t="s">
        <v>20</v>
      </c>
      <c r="K1227" s="5">
        <v>200.0</v>
      </c>
      <c r="N1227" s="8">
        <v>44534.0</v>
      </c>
    </row>
    <row r="1228">
      <c r="A1228" s="5">
        <v>1227.0</v>
      </c>
      <c r="B1228" s="5" t="s">
        <v>1814</v>
      </c>
      <c r="C1228" s="5" t="s">
        <v>20</v>
      </c>
      <c r="N1228" s="8">
        <v>44578.0</v>
      </c>
    </row>
    <row r="1229">
      <c r="A1229" s="5">
        <v>1228.0</v>
      </c>
      <c r="B1229" s="5" t="s">
        <v>1815</v>
      </c>
      <c r="C1229" s="5" t="s">
        <v>20</v>
      </c>
      <c r="K1229" s="5">
        <v>100.0</v>
      </c>
      <c r="N1229" s="8">
        <v>44371.0</v>
      </c>
    </row>
    <row r="1230">
      <c r="A1230" s="5">
        <v>1229.0</v>
      </c>
      <c r="B1230" s="5" t="s">
        <v>1816</v>
      </c>
      <c r="C1230" s="5" t="s">
        <v>20</v>
      </c>
      <c r="K1230" s="5">
        <v>450.0</v>
      </c>
      <c r="N1230" s="8">
        <v>44049.0</v>
      </c>
    </row>
    <row r="1231">
      <c r="A1231" s="5">
        <v>1230.0</v>
      </c>
      <c r="B1231" s="5" t="s">
        <v>1817</v>
      </c>
      <c r="C1231" s="5" t="s">
        <v>20</v>
      </c>
      <c r="K1231" s="5">
        <v>200.0</v>
      </c>
      <c r="N1231" s="8">
        <v>44623.0</v>
      </c>
    </row>
    <row r="1232">
      <c r="A1232" s="5">
        <v>1231.0</v>
      </c>
      <c r="B1232" s="5" t="s">
        <v>1818</v>
      </c>
      <c r="C1232" s="5" t="s">
        <v>20</v>
      </c>
      <c r="K1232" s="5">
        <v>7800.0</v>
      </c>
      <c r="N1232" s="8">
        <v>44122.0</v>
      </c>
    </row>
    <row r="1233">
      <c r="A1233" s="5">
        <v>1232.0</v>
      </c>
      <c r="B1233" s="5" t="s">
        <v>1819</v>
      </c>
      <c r="C1233" s="5" t="s">
        <v>20</v>
      </c>
      <c r="K1233" s="5">
        <v>150.0</v>
      </c>
      <c r="N1233" s="8">
        <v>44189.0</v>
      </c>
    </row>
    <row r="1234">
      <c r="A1234" s="5">
        <v>1233.0</v>
      </c>
      <c r="B1234" s="5" t="s">
        <v>1820</v>
      </c>
      <c r="C1234" s="5" t="s">
        <v>20</v>
      </c>
      <c r="K1234" s="5">
        <v>100.0</v>
      </c>
      <c r="N1234" s="8">
        <v>44335.0</v>
      </c>
    </row>
    <row r="1235">
      <c r="A1235" s="5">
        <v>1234.0</v>
      </c>
      <c r="B1235" s="5" t="s">
        <v>151</v>
      </c>
      <c r="C1235" s="5" t="s">
        <v>20</v>
      </c>
      <c r="K1235" s="5">
        <v>100.0</v>
      </c>
      <c r="N1235" s="8">
        <v>44537.0</v>
      </c>
    </row>
    <row r="1236">
      <c r="A1236" s="5">
        <v>1235.0</v>
      </c>
      <c r="B1236" s="5" t="s">
        <v>1821</v>
      </c>
      <c r="C1236" s="5" t="s">
        <v>20</v>
      </c>
      <c r="K1236" s="5">
        <v>300.0</v>
      </c>
      <c r="N1236" s="8">
        <v>45392.0</v>
      </c>
    </row>
    <row r="1237">
      <c r="A1237" s="5">
        <v>1236.0</v>
      </c>
      <c r="B1237" s="5" t="s">
        <v>1822</v>
      </c>
      <c r="C1237" s="5" t="s">
        <v>20</v>
      </c>
      <c r="K1237" s="5">
        <v>500.0</v>
      </c>
      <c r="N1237" s="8">
        <v>43945.0</v>
      </c>
    </row>
    <row r="1238">
      <c r="A1238" s="5">
        <v>1237.0</v>
      </c>
      <c r="B1238" s="5" t="s">
        <v>1823</v>
      </c>
      <c r="C1238" s="5" t="s">
        <v>20</v>
      </c>
      <c r="K1238" s="5">
        <v>150.0</v>
      </c>
      <c r="N1238" s="8">
        <v>44206.0</v>
      </c>
    </row>
    <row r="1239">
      <c r="A1239" s="5">
        <v>1238.0</v>
      </c>
      <c r="B1239" s="5" t="s">
        <v>1824</v>
      </c>
      <c r="C1239" s="5" t="s">
        <v>20</v>
      </c>
      <c r="K1239" s="5">
        <v>10.0</v>
      </c>
      <c r="N1239" s="8">
        <v>45144.0</v>
      </c>
    </row>
    <row r="1240">
      <c r="A1240" s="5">
        <v>1239.0</v>
      </c>
      <c r="B1240" s="5" t="s">
        <v>1825</v>
      </c>
      <c r="C1240" s="5" t="s">
        <v>20</v>
      </c>
      <c r="N1240" s="8">
        <v>44735.0</v>
      </c>
    </row>
    <row r="1241">
      <c r="A1241" s="5">
        <v>1240.0</v>
      </c>
      <c r="B1241" s="5" t="s">
        <v>1826</v>
      </c>
      <c r="C1241" s="5" t="s">
        <v>20</v>
      </c>
      <c r="N1241" s="8">
        <v>44919.0</v>
      </c>
    </row>
    <row r="1242">
      <c r="A1242" s="5">
        <v>1241.0</v>
      </c>
      <c r="B1242" s="5" t="s">
        <v>1827</v>
      </c>
      <c r="C1242" s="5" t="s">
        <v>20</v>
      </c>
      <c r="K1242" s="5">
        <v>150.0</v>
      </c>
      <c r="N1242" s="8">
        <v>45311.0</v>
      </c>
    </row>
    <row r="1243">
      <c r="A1243" s="5">
        <v>1242.0</v>
      </c>
      <c r="B1243" s="5" t="s">
        <v>1828</v>
      </c>
      <c r="C1243" s="5" t="s">
        <v>20</v>
      </c>
      <c r="K1243" s="5">
        <v>50.0</v>
      </c>
      <c r="N1243" s="8">
        <v>45873.0</v>
      </c>
    </row>
    <row r="1244">
      <c r="A1244" s="5">
        <v>1243.0</v>
      </c>
      <c r="B1244" s="5" t="s">
        <v>1829</v>
      </c>
      <c r="C1244" s="5" t="s">
        <v>20</v>
      </c>
      <c r="N1244" s="8">
        <v>45374.0</v>
      </c>
    </row>
    <row r="1245">
      <c r="A1245" s="5">
        <v>1244.0</v>
      </c>
      <c r="B1245" s="5" t="s">
        <v>1830</v>
      </c>
      <c r="C1245" s="5" t="s">
        <v>20</v>
      </c>
      <c r="K1245" s="5">
        <v>50.0</v>
      </c>
      <c r="N1245" s="8">
        <v>44249.0</v>
      </c>
    </row>
    <row r="1246">
      <c r="A1246" s="5">
        <v>1245.0</v>
      </c>
      <c r="B1246" s="5" t="s">
        <v>1831</v>
      </c>
      <c r="C1246" s="5" t="s">
        <v>20</v>
      </c>
      <c r="K1246" s="5">
        <v>40.0</v>
      </c>
      <c r="N1246" s="8">
        <v>45901.0</v>
      </c>
    </row>
    <row r="1247">
      <c r="A1247" s="5">
        <v>1246.0</v>
      </c>
      <c r="B1247" s="5" t="s">
        <v>1832</v>
      </c>
      <c r="C1247" s="5" t="s">
        <v>20</v>
      </c>
      <c r="N1247" s="8">
        <v>44504.0</v>
      </c>
    </row>
    <row r="1248">
      <c r="A1248" s="5">
        <v>1247.0</v>
      </c>
      <c r="B1248" s="5" t="s">
        <v>1833</v>
      </c>
      <c r="C1248" s="5" t="s">
        <v>20</v>
      </c>
      <c r="G1248" s="5">
        <v>0.37</v>
      </c>
      <c r="K1248" s="5">
        <v>3800.0</v>
      </c>
      <c r="N1248" s="8">
        <v>42329.0</v>
      </c>
      <c r="O1248" s="5" t="s">
        <v>22</v>
      </c>
      <c r="P1248" s="5" t="s">
        <v>23</v>
      </c>
      <c r="S1248" s="5" t="s">
        <v>26</v>
      </c>
    </row>
    <row r="1249">
      <c r="A1249" s="5">
        <v>1248.0</v>
      </c>
      <c r="B1249" s="5" t="s">
        <v>1834</v>
      </c>
      <c r="C1249" s="5" t="s">
        <v>20</v>
      </c>
      <c r="K1249" s="5">
        <v>20.0</v>
      </c>
      <c r="N1249" s="8">
        <v>44187.0</v>
      </c>
    </row>
    <row r="1250">
      <c r="A1250" s="5">
        <v>1249.0</v>
      </c>
      <c r="B1250" s="5" t="s">
        <v>1835</v>
      </c>
      <c r="C1250" s="5" t="s">
        <v>20</v>
      </c>
      <c r="K1250" s="5">
        <v>1000.0</v>
      </c>
      <c r="N1250" s="8">
        <v>44588.0</v>
      </c>
    </row>
    <row r="1251">
      <c r="A1251" s="5">
        <v>1250.0</v>
      </c>
      <c r="B1251" s="5" t="s">
        <v>1836</v>
      </c>
      <c r="C1251" s="5" t="s">
        <v>20</v>
      </c>
      <c r="K1251" s="5">
        <v>150.0</v>
      </c>
      <c r="N1251" s="8">
        <v>44816.0</v>
      </c>
    </row>
    <row r="1252">
      <c r="A1252" s="5">
        <v>1251.0</v>
      </c>
      <c r="B1252" s="5" t="s">
        <v>1837</v>
      </c>
      <c r="C1252" s="5" t="s">
        <v>20</v>
      </c>
      <c r="K1252" s="5">
        <v>10.0</v>
      </c>
      <c r="N1252" s="8">
        <v>44190.0</v>
      </c>
    </row>
    <row r="1253">
      <c r="A1253" s="5">
        <v>1252.0</v>
      </c>
      <c r="B1253" s="5" t="s">
        <v>1838</v>
      </c>
      <c r="C1253" s="5" t="s">
        <v>20</v>
      </c>
      <c r="K1253" s="5">
        <v>700.0</v>
      </c>
      <c r="N1253" s="8">
        <v>44214.0</v>
      </c>
    </row>
    <row r="1254">
      <c r="A1254" s="5">
        <v>1253.0</v>
      </c>
      <c r="B1254" s="5" t="s">
        <v>1839</v>
      </c>
      <c r="C1254" s="5" t="s">
        <v>20</v>
      </c>
      <c r="K1254" s="5">
        <v>400.0</v>
      </c>
      <c r="N1254" s="8">
        <v>46082.0</v>
      </c>
    </row>
    <row r="1255">
      <c r="A1255" s="5">
        <v>1254.0</v>
      </c>
      <c r="B1255" s="5" t="s">
        <v>1840</v>
      </c>
      <c r="C1255" s="5" t="s">
        <v>20</v>
      </c>
      <c r="K1255" s="5">
        <v>12000.0</v>
      </c>
      <c r="N1255" s="8">
        <v>42894.0</v>
      </c>
    </row>
    <row r="1256">
      <c r="A1256" s="5">
        <v>1255.0</v>
      </c>
      <c r="B1256" s="5" t="s">
        <v>1841</v>
      </c>
      <c r="C1256" s="5" t="s">
        <v>20</v>
      </c>
      <c r="K1256" s="5">
        <v>20.0</v>
      </c>
      <c r="N1256" s="8">
        <v>45702.0</v>
      </c>
    </row>
    <row r="1257">
      <c r="A1257" s="5">
        <v>1256.0</v>
      </c>
      <c r="B1257" s="5" t="s">
        <v>1842</v>
      </c>
      <c r="C1257" s="5" t="s">
        <v>20</v>
      </c>
      <c r="K1257" s="5">
        <v>80.0</v>
      </c>
      <c r="N1257" s="8">
        <v>44082.0</v>
      </c>
    </row>
    <row r="1258">
      <c r="A1258" s="5">
        <v>1257.0</v>
      </c>
      <c r="B1258" s="5" t="s">
        <v>1843</v>
      </c>
      <c r="C1258" s="5" t="s">
        <v>20</v>
      </c>
      <c r="K1258" s="5">
        <v>40.0</v>
      </c>
      <c r="N1258" s="8">
        <v>45314.0</v>
      </c>
    </row>
    <row r="1259">
      <c r="A1259" s="5">
        <v>1258.0</v>
      </c>
      <c r="B1259" s="5" t="s">
        <v>1844</v>
      </c>
      <c r="C1259" s="5" t="s">
        <v>20</v>
      </c>
      <c r="K1259" s="5">
        <v>20.0</v>
      </c>
      <c r="N1259" s="8">
        <v>45236.0</v>
      </c>
    </row>
    <row r="1260">
      <c r="A1260" s="5">
        <v>1259.0</v>
      </c>
      <c r="B1260" s="5" t="s">
        <v>1845</v>
      </c>
      <c r="C1260" s="5" t="s">
        <v>20</v>
      </c>
      <c r="K1260" s="5">
        <v>150.0</v>
      </c>
      <c r="N1260" s="8">
        <v>44322.0</v>
      </c>
    </row>
    <row r="1261">
      <c r="A1261" s="5">
        <v>1260.0</v>
      </c>
      <c r="B1261" s="5" t="s">
        <v>1846</v>
      </c>
      <c r="C1261" s="5" t="s">
        <v>20</v>
      </c>
      <c r="K1261" s="5">
        <v>4600.0</v>
      </c>
      <c r="N1261" s="8">
        <v>44493.0</v>
      </c>
    </row>
    <row r="1262">
      <c r="A1262" s="5">
        <v>1261.0</v>
      </c>
      <c r="B1262" s="5" t="s">
        <v>1847</v>
      </c>
      <c r="C1262" s="5" t="s">
        <v>20</v>
      </c>
      <c r="K1262" s="5">
        <v>1300.0</v>
      </c>
      <c r="N1262" s="8">
        <v>44263.0</v>
      </c>
    </row>
    <row r="1263">
      <c r="A1263" s="5">
        <v>1262.0</v>
      </c>
      <c r="B1263" s="5" t="s">
        <v>1848</v>
      </c>
      <c r="C1263" s="5" t="s">
        <v>20</v>
      </c>
      <c r="K1263" s="5">
        <v>200.0</v>
      </c>
      <c r="N1263" s="8">
        <v>45722.0</v>
      </c>
    </row>
    <row r="1264">
      <c r="A1264" s="5">
        <v>1263.0</v>
      </c>
      <c r="B1264" s="5" t="s">
        <v>1849</v>
      </c>
      <c r="C1264" s="5" t="s">
        <v>20</v>
      </c>
      <c r="K1264" s="5">
        <v>40.0</v>
      </c>
      <c r="N1264" s="8">
        <v>44945.0</v>
      </c>
    </row>
    <row r="1265">
      <c r="A1265" s="5">
        <v>1264.0</v>
      </c>
      <c r="B1265" s="5" t="s">
        <v>1850</v>
      </c>
      <c r="C1265" s="5" t="s">
        <v>20</v>
      </c>
      <c r="K1265" s="5">
        <v>150.0</v>
      </c>
      <c r="N1265" s="8">
        <v>44915.0</v>
      </c>
    </row>
    <row r="1266">
      <c r="A1266" s="5">
        <v>1265.0</v>
      </c>
      <c r="B1266" s="5" t="s">
        <v>1851</v>
      </c>
      <c r="C1266" s="5" t="s">
        <v>20</v>
      </c>
      <c r="K1266" s="5">
        <v>1400.0</v>
      </c>
      <c r="N1266" s="8">
        <v>44035.0</v>
      </c>
    </row>
    <row r="1267">
      <c r="A1267" s="5">
        <v>1266.0</v>
      </c>
      <c r="B1267" s="5" t="s">
        <v>153</v>
      </c>
      <c r="C1267" s="5" t="s">
        <v>20</v>
      </c>
      <c r="K1267" s="5">
        <v>150.0</v>
      </c>
      <c r="N1267" s="8">
        <v>44503.0</v>
      </c>
    </row>
    <row r="1268">
      <c r="A1268" s="5">
        <v>1267.0</v>
      </c>
      <c r="B1268" s="5" t="s">
        <v>1852</v>
      </c>
      <c r="C1268" s="5" t="s">
        <v>20</v>
      </c>
      <c r="K1268" s="5">
        <v>200.0</v>
      </c>
      <c r="N1268" s="8">
        <v>46111.0</v>
      </c>
    </row>
    <row r="1269">
      <c r="A1269" s="5">
        <v>1268.0</v>
      </c>
      <c r="B1269" s="5" t="s">
        <v>1853</v>
      </c>
      <c r="C1269" s="5" t="s">
        <v>20</v>
      </c>
      <c r="K1269" s="5">
        <v>30.0</v>
      </c>
      <c r="N1269" s="8">
        <v>44862.0</v>
      </c>
    </row>
    <row r="1270">
      <c r="A1270" s="5">
        <v>1269.0</v>
      </c>
      <c r="B1270" s="5" t="s">
        <v>1854</v>
      </c>
      <c r="C1270" s="5" t="s">
        <v>20</v>
      </c>
      <c r="K1270" s="5">
        <v>1500.0</v>
      </c>
      <c r="N1270" s="8">
        <v>43894.0</v>
      </c>
    </row>
    <row r="1271">
      <c r="A1271" s="5">
        <v>1270.0</v>
      </c>
      <c r="B1271" s="5" t="s">
        <v>1855</v>
      </c>
      <c r="C1271" s="5" t="s">
        <v>20</v>
      </c>
      <c r="N1271" s="8">
        <v>44100.0</v>
      </c>
    </row>
    <row r="1272">
      <c r="A1272" s="5">
        <v>1271.0</v>
      </c>
      <c r="B1272" s="5" t="s">
        <v>1856</v>
      </c>
      <c r="C1272" s="5" t="s">
        <v>20</v>
      </c>
      <c r="K1272" s="5">
        <v>40.0</v>
      </c>
      <c r="N1272" s="8">
        <v>44192.0</v>
      </c>
    </row>
    <row r="1273">
      <c r="A1273" s="5">
        <v>1272.0</v>
      </c>
      <c r="B1273" s="5" t="s">
        <v>1857</v>
      </c>
      <c r="C1273" s="5" t="s">
        <v>20</v>
      </c>
      <c r="N1273" s="8">
        <v>45208.0</v>
      </c>
    </row>
    <row r="1274">
      <c r="A1274" s="5">
        <v>1273.0</v>
      </c>
      <c r="B1274" s="5" t="s">
        <v>1858</v>
      </c>
      <c r="C1274" s="5" t="s">
        <v>20</v>
      </c>
      <c r="K1274" s="5">
        <v>2100.0</v>
      </c>
      <c r="N1274" s="8">
        <v>44374.0</v>
      </c>
    </row>
    <row r="1275">
      <c r="A1275" s="5">
        <v>1274.0</v>
      </c>
      <c r="B1275" s="5" t="s">
        <v>1859</v>
      </c>
      <c r="C1275" s="5" t="s">
        <v>20</v>
      </c>
      <c r="N1275" s="8">
        <v>45345.0</v>
      </c>
    </row>
    <row r="1276">
      <c r="A1276" s="5">
        <v>1275.0</v>
      </c>
      <c r="B1276" s="5" t="s">
        <v>1860</v>
      </c>
      <c r="C1276" s="5" t="s">
        <v>20</v>
      </c>
      <c r="K1276" s="5">
        <v>600.0</v>
      </c>
      <c r="N1276" s="8">
        <v>43840.0</v>
      </c>
    </row>
    <row r="1277">
      <c r="A1277" s="5">
        <v>1276.0</v>
      </c>
      <c r="B1277" s="5" t="s">
        <v>1861</v>
      </c>
      <c r="C1277" s="5" t="s">
        <v>20</v>
      </c>
      <c r="N1277" s="8">
        <v>44717.0</v>
      </c>
    </row>
    <row r="1278">
      <c r="A1278" s="5">
        <v>1277.0</v>
      </c>
      <c r="B1278" s="5" t="s">
        <v>1862</v>
      </c>
      <c r="C1278" s="5" t="s">
        <v>20</v>
      </c>
      <c r="K1278" s="5">
        <v>10.0</v>
      </c>
      <c r="N1278" s="8">
        <v>44587.0</v>
      </c>
    </row>
    <row r="1279">
      <c r="A1279" s="5">
        <v>1278.0</v>
      </c>
      <c r="B1279" s="5" t="s">
        <v>1863</v>
      </c>
      <c r="C1279" s="5" t="s">
        <v>20</v>
      </c>
      <c r="N1279" s="8">
        <v>44716.0</v>
      </c>
    </row>
    <row r="1280">
      <c r="A1280" s="5">
        <v>1279.0</v>
      </c>
      <c r="B1280" s="5" t="s">
        <v>1864</v>
      </c>
      <c r="C1280" s="5" t="s">
        <v>20</v>
      </c>
      <c r="K1280" s="5">
        <v>350.0</v>
      </c>
      <c r="N1280" s="8">
        <v>44719.0</v>
      </c>
    </row>
    <row r="1281">
      <c r="A1281" s="5">
        <v>1280.0</v>
      </c>
      <c r="B1281" s="5" t="s">
        <v>1865</v>
      </c>
      <c r="C1281" s="5" t="s">
        <v>20</v>
      </c>
      <c r="K1281" s="5">
        <v>800.0</v>
      </c>
      <c r="N1281" s="8">
        <v>44717.0</v>
      </c>
    </row>
    <row r="1282">
      <c r="A1282" s="5">
        <v>1281.0</v>
      </c>
      <c r="B1282" s="5" t="s">
        <v>1866</v>
      </c>
      <c r="C1282" s="5" t="s">
        <v>20</v>
      </c>
      <c r="K1282" s="5">
        <v>70.0</v>
      </c>
      <c r="N1282" s="8">
        <v>44630.0</v>
      </c>
    </row>
    <row r="1283">
      <c r="A1283" s="5">
        <v>1282.0</v>
      </c>
      <c r="B1283" s="5" t="s">
        <v>1867</v>
      </c>
      <c r="C1283" s="5" t="s">
        <v>20</v>
      </c>
      <c r="N1283" s="8">
        <v>45119.0</v>
      </c>
    </row>
    <row r="1284">
      <c r="A1284" s="5">
        <v>1283.0</v>
      </c>
      <c r="B1284" s="5" t="s">
        <v>1868</v>
      </c>
      <c r="C1284" s="5" t="s">
        <v>20</v>
      </c>
      <c r="K1284" s="5">
        <v>20.0</v>
      </c>
      <c r="N1284" s="8">
        <v>44994.0</v>
      </c>
    </row>
    <row r="1285">
      <c r="A1285" s="5">
        <v>1284.0</v>
      </c>
      <c r="B1285" s="5" t="s">
        <v>1869</v>
      </c>
      <c r="C1285" s="5" t="s">
        <v>20</v>
      </c>
      <c r="K1285" s="5">
        <v>200.0</v>
      </c>
      <c r="N1285" s="8">
        <v>44180.0</v>
      </c>
    </row>
    <row r="1286">
      <c r="A1286" s="5">
        <v>1285.0</v>
      </c>
      <c r="B1286" s="5" t="s">
        <v>1870</v>
      </c>
      <c r="C1286" s="5" t="s">
        <v>20</v>
      </c>
      <c r="N1286" s="8">
        <v>44107.0</v>
      </c>
    </row>
    <row r="1287">
      <c r="A1287" s="5">
        <v>1286.0</v>
      </c>
      <c r="B1287" s="5" t="s">
        <v>1871</v>
      </c>
      <c r="C1287" s="5" t="s">
        <v>20</v>
      </c>
      <c r="K1287" s="5">
        <v>80.0</v>
      </c>
      <c r="N1287" s="8">
        <v>44194.0</v>
      </c>
    </row>
    <row r="1288">
      <c r="A1288" s="5">
        <v>1287.0</v>
      </c>
      <c r="B1288" s="5" t="s">
        <v>1872</v>
      </c>
      <c r="C1288" s="5" t="s">
        <v>20</v>
      </c>
      <c r="N1288" s="8">
        <v>44698.0</v>
      </c>
    </row>
    <row r="1289">
      <c r="A1289" s="5">
        <v>1288.0</v>
      </c>
      <c r="B1289" s="5" t="s">
        <v>1873</v>
      </c>
      <c r="C1289" s="5" t="s">
        <v>20</v>
      </c>
      <c r="K1289" s="5">
        <v>500.0</v>
      </c>
      <c r="N1289" s="8">
        <v>44050.0</v>
      </c>
    </row>
    <row r="1290">
      <c r="A1290" s="5">
        <v>1289.0</v>
      </c>
      <c r="B1290" s="5" t="s">
        <v>1874</v>
      </c>
      <c r="C1290" s="5" t="s">
        <v>20</v>
      </c>
      <c r="K1290" s="5">
        <v>1000.0</v>
      </c>
      <c r="N1290" s="8">
        <v>45265.0</v>
      </c>
    </row>
    <row r="1291">
      <c r="A1291" s="5">
        <v>1290.0</v>
      </c>
      <c r="B1291" s="5" t="s">
        <v>1875</v>
      </c>
      <c r="C1291" s="5" t="s">
        <v>20</v>
      </c>
      <c r="K1291" s="5">
        <v>10.0</v>
      </c>
      <c r="N1291" s="8">
        <v>44992.0</v>
      </c>
    </row>
    <row r="1292">
      <c r="A1292" s="5">
        <v>1291.0</v>
      </c>
      <c r="B1292" s="5" t="s">
        <v>1876</v>
      </c>
      <c r="C1292" s="5" t="s">
        <v>20</v>
      </c>
      <c r="N1292" s="8">
        <v>45047.0</v>
      </c>
    </row>
    <row r="1293">
      <c r="A1293" s="5">
        <v>1292.0</v>
      </c>
      <c r="B1293" s="5" t="s">
        <v>1877</v>
      </c>
      <c r="C1293" s="5" t="s">
        <v>20</v>
      </c>
      <c r="K1293" s="5">
        <v>30.0</v>
      </c>
      <c r="N1293" s="8">
        <v>44722.0</v>
      </c>
    </row>
    <row r="1294">
      <c r="A1294" s="5">
        <v>1293.0</v>
      </c>
      <c r="B1294" s="5" t="s">
        <v>1878</v>
      </c>
      <c r="C1294" s="5" t="s">
        <v>20</v>
      </c>
      <c r="K1294" s="5">
        <v>60.0</v>
      </c>
      <c r="N1294" s="8">
        <v>45486.0</v>
      </c>
    </row>
    <row r="1295">
      <c r="A1295" s="5">
        <v>1294.0</v>
      </c>
      <c r="B1295" s="5" t="s">
        <v>1879</v>
      </c>
      <c r="C1295" s="5" t="s">
        <v>20</v>
      </c>
      <c r="K1295" s="5">
        <v>10.0</v>
      </c>
      <c r="N1295" s="8">
        <v>45397.0</v>
      </c>
    </row>
    <row r="1296">
      <c r="A1296" s="5">
        <v>1295.0</v>
      </c>
      <c r="B1296" s="5" t="s">
        <v>1880</v>
      </c>
      <c r="C1296" s="5" t="s">
        <v>20</v>
      </c>
      <c r="N1296" s="8">
        <v>44059.0</v>
      </c>
    </row>
    <row r="1297">
      <c r="A1297" s="5">
        <v>1296.0</v>
      </c>
      <c r="B1297" s="5" t="s">
        <v>1881</v>
      </c>
      <c r="C1297" s="5" t="s">
        <v>20</v>
      </c>
      <c r="N1297" s="8">
        <v>44255.0</v>
      </c>
    </row>
    <row r="1298">
      <c r="A1298" s="5">
        <v>1297.0</v>
      </c>
      <c r="B1298" s="5" t="s">
        <v>1882</v>
      </c>
      <c r="C1298" s="5" t="s">
        <v>20</v>
      </c>
      <c r="K1298" s="5">
        <v>20.0</v>
      </c>
      <c r="N1298" s="8">
        <v>44952.0</v>
      </c>
    </row>
    <row r="1299">
      <c r="A1299" s="5">
        <v>1298.0</v>
      </c>
      <c r="B1299" s="5" t="s">
        <v>1883</v>
      </c>
      <c r="C1299" s="5" t="s">
        <v>20</v>
      </c>
      <c r="K1299" s="5">
        <v>10.0</v>
      </c>
      <c r="N1299" s="8">
        <v>44757.0</v>
      </c>
    </row>
    <row r="1300">
      <c r="A1300" s="5">
        <v>1299.0</v>
      </c>
      <c r="B1300" s="5" t="s">
        <v>1884</v>
      </c>
      <c r="C1300" s="5" t="s">
        <v>20</v>
      </c>
      <c r="K1300" s="5">
        <v>150.0</v>
      </c>
      <c r="N1300" s="8">
        <v>44565.0</v>
      </c>
    </row>
    <row r="1301">
      <c r="A1301" s="5">
        <v>1300.0</v>
      </c>
      <c r="B1301" s="5" t="s">
        <v>1885</v>
      </c>
      <c r="C1301" s="5" t="s">
        <v>20</v>
      </c>
      <c r="K1301" s="5">
        <v>200.0</v>
      </c>
      <c r="N1301" s="8">
        <v>44320.0</v>
      </c>
    </row>
    <row r="1302">
      <c r="A1302" s="5">
        <v>1301.0</v>
      </c>
      <c r="B1302" s="5" t="s">
        <v>1886</v>
      </c>
      <c r="C1302" s="5" t="s">
        <v>20</v>
      </c>
      <c r="K1302" s="5">
        <v>20.0</v>
      </c>
      <c r="N1302" s="8">
        <v>44486.0</v>
      </c>
    </row>
    <row r="1303">
      <c r="A1303" s="5">
        <v>1302.0</v>
      </c>
      <c r="B1303" s="5" t="s">
        <v>1887</v>
      </c>
      <c r="C1303" s="5" t="s">
        <v>20</v>
      </c>
      <c r="K1303" s="5">
        <v>500.0</v>
      </c>
      <c r="N1303" s="8">
        <v>42326.0</v>
      </c>
    </row>
    <row r="1304">
      <c r="A1304" s="5">
        <v>1303.0</v>
      </c>
      <c r="B1304" s="5" t="s">
        <v>1888</v>
      </c>
      <c r="C1304" s="5" t="s">
        <v>20</v>
      </c>
      <c r="N1304" s="8">
        <v>44561.0</v>
      </c>
    </row>
    <row r="1305">
      <c r="A1305" s="5">
        <v>1304.0</v>
      </c>
      <c r="B1305" s="5" t="s">
        <v>1889</v>
      </c>
      <c r="C1305" s="5" t="s">
        <v>20</v>
      </c>
      <c r="K1305" s="5">
        <v>100.0</v>
      </c>
      <c r="N1305" s="8">
        <v>46087.0</v>
      </c>
    </row>
    <row r="1306">
      <c r="A1306" s="5">
        <v>1305.0</v>
      </c>
      <c r="B1306" s="5" t="s">
        <v>1890</v>
      </c>
      <c r="C1306" s="5" t="s">
        <v>20</v>
      </c>
      <c r="K1306" s="5">
        <v>250.0</v>
      </c>
      <c r="N1306" s="8">
        <v>44107.0</v>
      </c>
    </row>
    <row r="1307">
      <c r="A1307" s="5">
        <v>1306.0</v>
      </c>
      <c r="B1307" s="5" t="s">
        <v>1891</v>
      </c>
      <c r="C1307" s="5" t="s">
        <v>20</v>
      </c>
      <c r="K1307" s="5">
        <v>1400.0</v>
      </c>
      <c r="N1307" s="8">
        <v>45571.0</v>
      </c>
    </row>
    <row r="1308">
      <c r="A1308" s="5">
        <v>1307.0</v>
      </c>
      <c r="B1308" s="5" t="s">
        <v>1892</v>
      </c>
      <c r="C1308" s="5" t="s">
        <v>20</v>
      </c>
      <c r="N1308" s="8">
        <v>45110.0</v>
      </c>
    </row>
    <row r="1309">
      <c r="A1309" s="5">
        <v>1308.0</v>
      </c>
      <c r="B1309" s="5" t="s">
        <v>1893</v>
      </c>
      <c r="C1309" s="5" t="s">
        <v>20</v>
      </c>
      <c r="K1309" s="5">
        <v>50.0</v>
      </c>
      <c r="N1309" s="8">
        <v>45549.0</v>
      </c>
    </row>
    <row r="1310">
      <c r="A1310" s="5">
        <v>1309.0</v>
      </c>
      <c r="B1310" s="5" t="s">
        <v>1894</v>
      </c>
      <c r="C1310" s="5" t="s">
        <v>20</v>
      </c>
      <c r="K1310" s="5">
        <v>150.0</v>
      </c>
      <c r="N1310" s="8">
        <v>44666.0</v>
      </c>
    </row>
    <row r="1311">
      <c r="A1311" s="5">
        <v>1310.0</v>
      </c>
      <c r="B1311" s="5" t="s">
        <v>1895</v>
      </c>
      <c r="C1311" s="5" t="s">
        <v>20</v>
      </c>
      <c r="K1311" s="5">
        <v>10.0</v>
      </c>
      <c r="N1311" s="8">
        <v>44710.0</v>
      </c>
    </row>
    <row r="1312">
      <c r="A1312" s="5">
        <v>1311.0</v>
      </c>
      <c r="B1312" s="5" t="s">
        <v>1896</v>
      </c>
      <c r="C1312" s="5" t="s">
        <v>20</v>
      </c>
      <c r="K1312" s="5">
        <v>10.0</v>
      </c>
      <c r="N1312" s="8">
        <v>44757.0</v>
      </c>
    </row>
    <row r="1313">
      <c r="A1313" s="5">
        <v>1312.0</v>
      </c>
      <c r="B1313" s="5" t="s">
        <v>1897</v>
      </c>
      <c r="C1313" s="5" t="s">
        <v>20</v>
      </c>
      <c r="K1313" s="5">
        <v>20.0</v>
      </c>
      <c r="N1313" s="8">
        <v>44681.0</v>
      </c>
    </row>
    <row r="1314">
      <c r="A1314" s="5">
        <v>1313.0</v>
      </c>
      <c r="B1314" s="5" t="s">
        <v>1898</v>
      </c>
      <c r="C1314" s="5" t="s">
        <v>20</v>
      </c>
      <c r="N1314" s="8">
        <v>44041.0</v>
      </c>
    </row>
    <row r="1315">
      <c r="A1315" s="5">
        <v>1314.0</v>
      </c>
      <c r="B1315" s="5" t="s">
        <v>1899</v>
      </c>
      <c r="C1315" s="5" t="s">
        <v>20</v>
      </c>
      <c r="N1315" s="8">
        <v>44938.0</v>
      </c>
    </row>
    <row r="1316">
      <c r="A1316" s="5">
        <v>1315.0</v>
      </c>
      <c r="B1316" s="5" t="s">
        <v>1900</v>
      </c>
      <c r="C1316" s="5" t="s">
        <v>20</v>
      </c>
      <c r="K1316" s="5">
        <v>6500.0</v>
      </c>
      <c r="N1316" s="8">
        <v>45378.0</v>
      </c>
    </row>
    <row r="1317">
      <c r="A1317" s="5">
        <v>1316.0</v>
      </c>
      <c r="B1317" s="5" t="s">
        <v>1901</v>
      </c>
      <c r="C1317" s="5" t="s">
        <v>20</v>
      </c>
      <c r="K1317" s="5">
        <v>20.0</v>
      </c>
      <c r="N1317" s="8">
        <v>44899.0</v>
      </c>
    </row>
    <row r="1318">
      <c r="A1318" s="5">
        <v>1317.0</v>
      </c>
      <c r="B1318" s="5" t="s">
        <v>1902</v>
      </c>
      <c r="C1318" s="5" t="s">
        <v>20</v>
      </c>
      <c r="K1318" s="5">
        <v>150.0</v>
      </c>
      <c r="N1318" s="8">
        <v>45387.0</v>
      </c>
    </row>
    <row r="1319">
      <c r="A1319" s="5">
        <v>1318.0</v>
      </c>
      <c r="B1319" s="5" t="s">
        <v>1903</v>
      </c>
      <c r="C1319" s="5" t="s">
        <v>20</v>
      </c>
      <c r="K1319" s="5">
        <v>1000.0</v>
      </c>
      <c r="N1319" s="8">
        <v>44237.0</v>
      </c>
    </row>
    <row r="1320">
      <c r="A1320" s="5">
        <v>1319.0</v>
      </c>
      <c r="B1320" s="5" t="s">
        <v>1904</v>
      </c>
      <c r="C1320" s="5" t="s">
        <v>20</v>
      </c>
      <c r="K1320" s="5">
        <v>20.0</v>
      </c>
      <c r="N1320" s="8">
        <v>45386.0</v>
      </c>
    </row>
    <row r="1321">
      <c r="A1321" s="5">
        <v>1320.0</v>
      </c>
      <c r="B1321" s="5" t="s">
        <v>1905</v>
      </c>
      <c r="C1321" s="5" t="s">
        <v>20</v>
      </c>
      <c r="K1321" s="5">
        <v>40.0</v>
      </c>
      <c r="N1321" s="8">
        <v>44640.0</v>
      </c>
    </row>
    <row r="1322">
      <c r="A1322" s="5">
        <v>1321.0</v>
      </c>
      <c r="B1322" s="5" t="s">
        <v>1906</v>
      </c>
      <c r="C1322" s="5" t="s">
        <v>20</v>
      </c>
      <c r="K1322" s="5">
        <v>30.0</v>
      </c>
      <c r="N1322" s="8">
        <v>44937.0</v>
      </c>
    </row>
    <row r="1323">
      <c r="A1323" s="5">
        <v>1322.0</v>
      </c>
      <c r="B1323" s="5" t="s">
        <v>1907</v>
      </c>
      <c r="C1323" s="5" t="s">
        <v>20</v>
      </c>
      <c r="K1323" s="5">
        <v>20.0</v>
      </c>
      <c r="N1323" s="8">
        <v>44976.0</v>
      </c>
    </row>
    <row r="1324">
      <c r="A1324" s="5">
        <v>1323.0</v>
      </c>
      <c r="B1324" s="5" t="s">
        <v>1908</v>
      </c>
      <c r="C1324" s="5" t="s">
        <v>20</v>
      </c>
      <c r="K1324" s="5">
        <v>250.0</v>
      </c>
      <c r="N1324" s="8">
        <v>45025.0</v>
      </c>
    </row>
    <row r="1325">
      <c r="A1325" s="5">
        <v>1324.0</v>
      </c>
      <c r="B1325" s="5" t="s">
        <v>1909</v>
      </c>
      <c r="C1325" s="5" t="s">
        <v>20</v>
      </c>
      <c r="N1325" s="8">
        <v>43239.0</v>
      </c>
    </row>
    <row r="1326">
      <c r="A1326" s="5">
        <v>1325.0</v>
      </c>
      <c r="B1326" s="5" t="s">
        <v>1910</v>
      </c>
      <c r="C1326" s="5" t="s">
        <v>20</v>
      </c>
      <c r="N1326" s="8">
        <v>44360.0</v>
      </c>
    </row>
    <row r="1327">
      <c r="A1327" s="5">
        <v>1326.0</v>
      </c>
      <c r="B1327" s="5" t="s">
        <v>1911</v>
      </c>
      <c r="C1327" s="5" t="s">
        <v>20</v>
      </c>
      <c r="N1327" s="8">
        <v>44683.0</v>
      </c>
    </row>
    <row r="1328">
      <c r="A1328" s="5">
        <v>1327.0</v>
      </c>
      <c r="B1328" s="5" t="s">
        <v>1912</v>
      </c>
      <c r="C1328" s="5" t="s">
        <v>20</v>
      </c>
      <c r="K1328" s="5">
        <v>60.0</v>
      </c>
      <c r="N1328" s="8">
        <v>44728.0</v>
      </c>
    </row>
    <row r="1329">
      <c r="A1329" s="5">
        <v>1328.0</v>
      </c>
      <c r="B1329" s="5" t="s">
        <v>1913</v>
      </c>
      <c r="C1329" s="5" t="s">
        <v>20</v>
      </c>
      <c r="K1329" s="5">
        <v>100.0</v>
      </c>
      <c r="N1329" s="8">
        <v>44363.0</v>
      </c>
    </row>
    <row r="1330">
      <c r="A1330" s="5">
        <v>1329.0</v>
      </c>
      <c r="B1330" s="5" t="s">
        <v>1914</v>
      </c>
      <c r="C1330" s="5" t="s">
        <v>20</v>
      </c>
      <c r="K1330" s="5">
        <v>10.0</v>
      </c>
      <c r="N1330" s="8">
        <v>46117.0</v>
      </c>
    </row>
    <row r="1331">
      <c r="A1331" s="5">
        <v>1330.0</v>
      </c>
      <c r="B1331" s="5" t="s">
        <v>1915</v>
      </c>
      <c r="C1331" s="5" t="s">
        <v>20</v>
      </c>
      <c r="K1331" s="5">
        <v>1600.0</v>
      </c>
      <c r="N1331" s="8">
        <v>46032.0</v>
      </c>
    </row>
    <row r="1332">
      <c r="A1332" s="5">
        <v>1331.0</v>
      </c>
      <c r="B1332" s="5" t="s">
        <v>1916</v>
      </c>
      <c r="C1332" s="5" t="s">
        <v>20</v>
      </c>
      <c r="K1332" s="5">
        <v>150.0</v>
      </c>
      <c r="N1332" s="8">
        <v>45299.0</v>
      </c>
    </row>
    <row r="1333">
      <c r="A1333" s="5">
        <v>1332.0</v>
      </c>
      <c r="B1333" s="5" t="s">
        <v>1917</v>
      </c>
      <c r="C1333" s="5" t="s">
        <v>20</v>
      </c>
      <c r="K1333" s="5">
        <v>200.0</v>
      </c>
      <c r="N1333" s="8">
        <v>44047.0</v>
      </c>
    </row>
    <row r="1334">
      <c r="A1334" s="5">
        <v>1333.0</v>
      </c>
      <c r="B1334" s="5" t="s">
        <v>1918</v>
      </c>
      <c r="C1334" s="5" t="s">
        <v>20</v>
      </c>
      <c r="K1334" s="5">
        <v>150.0</v>
      </c>
      <c r="N1334" s="8">
        <v>42508.0</v>
      </c>
    </row>
    <row r="1335">
      <c r="A1335" s="5">
        <v>1334.0</v>
      </c>
      <c r="B1335" s="5" t="s">
        <v>1919</v>
      </c>
      <c r="C1335" s="5" t="s">
        <v>20</v>
      </c>
      <c r="K1335" s="5">
        <v>200.0</v>
      </c>
      <c r="N1335" s="8">
        <v>44238.0</v>
      </c>
    </row>
    <row r="1336">
      <c r="A1336" s="5">
        <v>1335.0</v>
      </c>
      <c r="B1336" s="5" t="s">
        <v>1920</v>
      </c>
      <c r="C1336" s="5" t="s">
        <v>20</v>
      </c>
      <c r="K1336" s="5">
        <v>450.0</v>
      </c>
      <c r="N1336" s="8">
        <v>42893.0</v>
      </c>
    </row>
    <row r="1337">
      <c r="A1337" s="5">
        <v>1336.0</v>
      </c>
      <c r="B1337" s="5" t="s">
        <v>1921</v>
      </c>
      <c r="C1337" s="5" t="s">
        <v>20</v>
      </c>
      <c r="K1337" s="5">
        <v>20.0</v>
      </c>
      <c r="N1337" s="8">
        <v>44242.0</v>
      </c>
    </row>
    <row r="1338">
      <c r="A1338" s="5">
        <v>1337.0</v>
      </c>
      <c r="B1338" s="5" t="s">
        <v>1922</v>
      </c>
      <c r="C1338" s="5" t="s">
        <v>20</v>
      </c>
      <c r="K1338" s="5">
        <v>30.0</v>
      </c>
      <c r="N1338" s="8">
        <v>44260.0</v>
      </c>
    </row>
    <row r="1339">
      <c r="A1339" s="5">
        <v>1338.0</v>
      </c>
      <c r="B1339" s="5" t="s">
        <v>1923</v>
      </c>
      <c r="C1339" s="5" t="s">
        <v>20</v>
      </c>
      <c r="N1339" s="8">
        <v>44573.0</v>
      </c>
    </row>
    <row r="1340">
      <c r="A1340" s="5">
        <v>1339.0</v>
      </c>
      <c r="B1340" s="5" t="s">
        <v>1924</v>
      </c>
      <c r="C1340" s="5" t="s">
        <v>20</v>
      </c>
      <c r="N1340" s="8">
        <v>43893.0</v>
      </c>
    </row>
    <row r="1341">
      <c r="A1341" s="5">
        <v>1340.0</v>
      </c>
      <c r="B1341" s="5" t="s">
        <v>1925</v>
      </c>
      <c r="C1341" s="5" t="s">
        <v>20</v>
      </c>
      <c r="K1341" s="5">
        <v>600.0</v>
      </c>
      <c r="N1341" s="8">
        <v>44858.0</v>
      </c>
    </row>
    <row r="1342">
      <c r="A1342" s="5">
        <v>1341.0</v>
      </c>
      <c r="B1342" s="5" t="s">
        <v>1926</v>
      </c>
      <c r="C1342" s="5" t="s">
        <v>20</v>
      </c>
      <c r="K1342" s="5">
        <v>40.0</v>
      </c>
      <c r="N1342" s="8">
        <v>45022.0</v>
      </c>
    </row>
    <row r="1343">
      <c r="A1343" s="5">
        <v>1342.0</v>
      </c>
      <c r="B1343" s="5" t="s">
        <v>1927</v>
      </c>
      <c r="C1343" s="5" t="s">
        <v>20</v>
      </c>
      <c r="K1343" s="5">
        <v>250.0</v>
      </c>
      <c r="N1343" s="8">
        <v>44113.0</v>
      </c>
    </row>
    <row r="1344">
      <c r="A1344" s="5">
        <v>1343.0</v>
      </c>
      <c r="B1344" s="5" t="s">
        <v>1928</v>
      </c>
      <c r="C1344" s="5" t="s">
        <v>20</v>
      </c>
      <c r="K1344" s="5">
        <v>20.0</v>
      </c>
      <c r="N1344" s="8">
        <v>44509.0</v>
      </c>
    </row>
    <row r="1345">
      <c r="A1345" s="5">
        <v>1344.0</v>
      </c>
      <c r="B1345" s="5" t="s">
        <v>1929</v>
      </c>
      <c r="C1345" s="5" t="s">
        <v>20</v>
      </c>
      <c r="K1345" s="5">
        <v>60.0</v>
      </c>
      <c r="N1345" s="8">
        <v>44262.0</v>
      </c>
    </row>
    <row r="1346">
      <c r="A1346" s="5">
        <v>1345.0</v>
      </c>
      <c r="B1346" s="5" t="s">
        <v>1930</v>
      </c>
      <c r="C1346" s="5" t="s">
        <v>20</v>
      </c>
      <c r="N1346" s="8">
        <v>44525.0</v>
      </c>
    </row>
    <row r="1347">
      <c r="A1347" s="5">
        <v>1346.0</v>
      </c>
      <c r="B1347" s="5" t="s">
        <v>1931</v>
      </c>
      <c r="C1347" s="5" t="s">
        <v>20</v>
      </c>
      <c r="K1347" s="5">
        <v>10.0</v>
      </c>
      <c r="N1347" s="8">
        <v>43195.0</v>
      </c>
    </row>
    <row r="1348">
      <c r="A1348" s="5">
        <v>1347.0</v>
      </c>
      <c r="B1348" s="5" t="s">
        <v>1932</v>
      </c>
      <c r="C1348" s="5" t="s">
        <v>20</v>
      </c>
      <c r="K1348" s="5">
        <v>60.0</v>
      </c>
      <c r="N1348" s="8">
        <v>44925.0</v>
      </c>
    </row>
    <row r="1349">
      <c r="A1349" s="5">
        <v>1348.0</v>
      </c>
      <c r="B1349" s="5" t="s">
        <v>1933</v>
      </c>
      <c r="C1349" s="5" t="s">
        <v>20</v>
      </c>
      <c r="K1349" s="5">
        <v>200.0</v>
      </c>
      <c r="N1349" s="8">
        <v>44734.0</v>
      </c>
    </row>
    <row r="1350">
      <c r="A1350" s="5">
        <v>1349.0</v>
      </c>
      <c r="B1350" s="5" t="s">
        <v>1934</v>
      </c>
      <c r="C1350" s="5" t="s">
        <v>20</v>
      </c>
      <c r="K1350" s="5">
        <v>350.0</v>
      </c>
      <c r="N1350" s="8">
        <v>44189.0</v>
      </c>
    </row>
    <row r="1351">
      <c r="A1351" s="5">
        <v>1350.0</v>
      </c>
      <c r="B1351" s="5" t="s">
        <v>1935</v>
      </c>
      <c r="C1351" s="5" t="s">
        <v>20</v>
      </c>
      <c r="K1351" s="5">
        <v>100.0</v>
      </c>
      <c r="N1351" s="8">
        <v>44333.0</v>
      </c>
    </row>
    <row r="1352">
      <c r="A1352" s="5">
        <v>1351.0</v>
      </c>
      <c r="B1352" s="5" t="s">
        <v>1936</v>
      </c>
      <c r="C1352" s="5" t="s">
        <v>20</v>
      </c>
      <c r="K1352" s="5">
        <v>500.0</v>
      </c>
      <c r="N1352" s="8">
        <v>45468.0</v>
      </c>
    </row>
    <row r="1353">
      <c r="A1353" s="5">
        <v>1352.0</v>
      </c>
      <c r="B1353" s="5" t="s">
        <v>1937</v>
      </c>
      <c r="C1353" s="5" t="s">
        <v>20</v>
      </c>
      <c r="K1353" s="5">
        <v>1600.0</v>
      </c>
      <c r="N1353" s="8">
        <v>44959.0</v>
      </c>
    </row>
    <row r="1354">
      <c r="A1354" s="5">
        <v>1353.0</v>
      </c>
      <c r="B1354" s="5" t="s">
        <v>1938</v>
      </c>
      <c r="C1354" s="5" t="s">
        <v>20</v>
      </c>
      <c r="K1354" s="5">
        <v>200.0</v>
      </c>
      <c r="N1354" s="8">
        <v>44665.0</v>
      </c>
    </row>
    <row r="1355">
      <c r="A1355" s="5">
        <v>1354.0</v>
      </c>
      <c r="B1355" s="5" t="s">
        <v>1939</v>
      </c>
      <c r="C1355" s="5" t="s">
        <v>20</v>
      </c>
      <c r="N1355" s="8">
        <v>45600.0</v>
      </c>
    </row>
    <row r="1356">
      <c r="A1356" s="5">
        <v>1355.0</v>
      </c>
      <c r="B1356" s="5" t="s">
        <v>1940</v>
      </c>
      <c r="C1356" s="5" t="s">
        <v>20</v>
      </c>
      <c r="K1356" s="5">
        <v>10.0</v>
      </c>
      <c r="N1356" s="8">
        <v>44934.0</v>
      </c>
    </row>
    <row r="1357">
      <c r="A1357" s="5">
        <v>1356.0</v>
      </c>
      <c r="B1357" s="5" t="s">
        <v>1941</v>
      </c>
      <c r="C1357" s="5" t="s">
        <v>20</v>
      </c>
      <c r="N1357" s="8">
        <v>44618.0</v>
      </c>
    </row>
    <row r="1358">
      <c r="A1358" s="5">
        <v>1357.0</v>
      </c>
      <c r="B1358" s="5" t="s">
        <v>1942</v>
      </c>
      <c r="C1358" s="5" t="s">
        <v>20</v>
      </c>
      <c r="N1358" s="8">
        <v>44722.0</v>
      </c>
    </row>
    <row r="1359">
      <c r="A1359" s="5">
        <v>1358.0</v>
      </c>
      <c r="B1359" s="5" t="s">
        <v>155</v>
      </c>
      <c r="C1359" s="5" t="s">
        <v>20</v>
      </c>
      <c r="K1359" s="5">
        <v>600.0</v>
      </c>
      <c r="N1359" s="8">
        <v>43895.0</v>
      </c>
    </row>
    <row r="1360">
      <c r="A1360" s="5">
        <v>1359.0</v>
      </c>
      <c r="B1360" s="5" t="s">
        <v>1943</v>
      </c>
      <c r="C1360" s="5" t="s">
        <v>20</v>
      </c>
      <c r="K1360" s="5">
        <v>40.0</v>
      </c>
      <c r="N1360" s="8">
        <v>44742.0</v>
      </c>
    </row>
    <row r="1361">
      <c r="A1361" s="5">
        <v>1360.0</v>
      </c>
      <c r="B1361" s="5" t="s">
        <v>1944</v>
      </c>
      <c r="C1361" s="5" t="s">
        <v>20</v>
      </c>
      <c r="K1361" s="5">
        <v>10.0</v>
      </c>
      <c r="N1361" s="8">
        <v>45873.0</v>
      </c>
    </row>
    <row r="1362">
      <c r="A1362" s="5">
        <v>1361.0</v>
      </c>
      <c r="B1362" s="5" t="s">
        <v>1945</v>
      </c>
      <c r="C1362" s="5" t="s">
        <v>20</v>
      </c>
      <c r="N1362" s="8">
        <v>44254.0</v>
      </c>
    </row>
    <row r="1363">
      <c r="A1363" s="5">
        <v>1362.0</v>
      </c>
      <c r="B1363" s="5" t="s">
        <v>1946</v>
      </c>
      <c r="C1363" s="5" t="s">
        <v>20</v>
      </c>
      <c r="K1363" s="5">
        <v>200.0</v>
      </c>
      <c r="N1363" s="8">
        <v>45159.0</v>
      </c>
    </row>
    <row r="1364">
      <c r="A1364" s="5">
        <v>1363.0</v>
      </c>
      <c r="B1364" s="5" t="s">
        <v>1947</v>
      </c>
      <c r="C1364" s="5" t="s">
        <v>20</v>
      </c>
      <c r="K1364" s="5">
        <v>350.0</v>
      </c>
      <c r="N1364" s="8">
        <v>45013.0</v>
      </c>
    </row>
    <row r="1365">
      <c r="A1365" s="5">
        <v>1364.0</v>
      </c>
      <c r="B1365" s="5" t="s">
        <v>77</v>
      </c>
      <c r="C1365" s="5" t="s">
        <v>20</v>
      </c>
      <c r="K1365" s="5">
        <v>70.0</v>
      </c>
      <c r="N1365" s="8">
        <v>44860.0</v>
      </c>
    </row>
    <row r="1366">
      <c r="A1366" s="5">
        <v>1365.0</v>
      </c>
      <c r="B1366" s="5" t="s">
        <v>1948</v>
      </c>
      <c r="C1366" s="5" t="s">
        <v>20</v>
      </c>
      <c r="K1366" s="5">
        <v>10.0</v>
      </c>
      <c r="N1366" s="8">
        <v>44841.0</v>
      </c>
    </row>
    <row r="1367">
      <c r="A1367" s="5">
        <v>1366.0</v>
      </c>
      <c r="B1367" s="5" t="s">
        <v>1949</v>
      </c>
      <c r="C1367" s="5" t="s">
        <v>20</v>
      </c>
      <c r="K1367" s="5">
        <v>1000.0</v>
      </c>
      <c r="N1367" s="8">
        <v>45582.0</v>
      </c>
    </row>
    <row r="1368">
      <c r="A1368" s="5">
        <v>1367.0</v>
      </c>
      <c r="B1368" s="5" t="s">
        <v>1950</v>
      </c>
      <c r="C1368" s="5" t="s">
        <v>20</v>
      </c>
      <c r="K1368" s="5">
        <v>150.0</v>
      </c>
      <c r="N1368" s="8">
        <v>45250.0</v>
      </c>
    </row>
    <row r="1369">
      <c r="A1369" s="5">
        <v>1368.0</v>
      </c>
      <c r="B1369" s="5" t="s">
        <v>1951</v>
      </c>
      <c r="C1369" s="5" t="s">
        <v>20</v>
      </c>
      <c r="K1369" s="5">
        <v>150.0</v>
      </c>
      <c r="N1369" s="8">
        <v>44920.0</v>
      </c>
    </row>
    <row r="1370">
      <c r="A1370" s="5">
        <v>1369.0</v>
      </c>
      <c r="B1370" s="5" t="s">
        <v>1952</v>
      </c>
      <c r="C1370" s="5" t="s">
        <v>20</v>
      </c>
      <c r="N1370" s="8">
        <v>44123.0</v>
      </c>
    </row>
    <row r="1371">
      <c r="A1371" s="5">
        <v>1370.0</v>
      </c>
      <c r="B1371" s="5" t="s">
        <v>79</v>
      </c>
      <c r="C1371" s="5" t="s">
        <v>20</v>
      </c>
      <c r="K1371" s="5">
        <v>1500.0</v>
      </c>
      <c r="N1371" s="8">
        <v>44762.0</v>
      </c>
    </row>
    <row r="1372">
      <c r="A1372" s="5">
        <v>1371.0</v>
      </c>
      <c r="B1372" s="5" t="s">
        <v>1953</v>
      </c>
      <c r="C1372" s="5" t="s">
        <v>20</v>
      </c>
      <c r="K1372" s="5">
        <v>10.0</v>
      </c>
      <c r="N1372" s="8">
        <v>44276.0</v>
      </c>
    </row>
    <row r="1373">
      <c r="A1373" s="5">
        <v>1372.0</v>
      </c>
      <c r="B1373" s="5" t="s">
        <v>1954</v>
      </c>
      <c r="C1373" s="5" t="s">
        <v>20</v>
      </c>
      <c r="K1373" s="5">
        <v>300.0</v>
      </c>
      <c r="N1373" s="8">
        <v>44959.0</v>
      </c>
    </row>
    <row r="1374">
      <c r="A1374" s="5">
        <v>1373.0</v>
      </c>
      <c r="B1374" s="5" t="s">
        <v>1955</v>
      </c>
      <c r="C1374" s="5" t="s">
        <v>20</v>
      </c>
      <c r="K1374" s="5">
        <v>20.0</v>
      </c>
      <c r="N1374" s="8">
        <v>45334.0</v>
      </c>
    </row>
    <row r="1375">
      <c r="A1375" s="5">
        <v>1374.0</v>
      </c>
      <c r="B1375" s="5" t="s">
        <v>1956</v>
      </c>
      <c r="C1375" s="5" t="s">
        <v>20</v>
      </c>
      <c r="N1375" s="8">
        <v>44573.0</v>
      </c>
    </row>
    <row r="1376">
      <c r="A1376" s="5">
        <v>1375.0</v>
      </c>
      <c r="B1376" s="5" t="s">
        <v>159</v>
      </c>
      <c r="C1376" s="5" t="s">
        <v>20</v>
      </c>
      <c r="K1376" s="5">
        <v>2500.0</v>
      </c>
      <c r="N1376" s="8">
        <v>44092.0</v>
      </c>
    </row>
    <row r="1377">
      <c r="A1377" s="5">
        <v>1376.0</v>
      </c>
      <c r="B1377" s="5" t="s">
        <v>1957</v>
      </c>
      <c r="C1377" s="5" t="s">
        <v>20</v>
      </c>
      <c r="N1377" s="8">
        <v>44800.0</v>
      </c>
    </row>
    <row r="1378">
      <c r="A1378" s="5">
        <v>1377.0</v>
      </c>
      <c r="B1378" s="5" t="s">
        <v>1958</v>
      </c>
      <c r="C1378" s="5" t="s">
        <v>20</v>
      </c>
      <c r="N1378" s="8">
        <v>44973.0</v>
      </c>
    </row>
    <row r="1379">
      <c r="A1379" s="5">
        <v>1378.0</v>
      </c>
      <c r="B1379" s="5" t="s">
        <v>1959</v>
      </c>
      <c r="C1379" s="5" t="s">
        <v>20</v>
      </c>
      <c r="K1379" s="5">
        <v>10.0</v>
      </c>
      <c r="N1379" s="8">
        <v>44333.0</v>
      </c>
    </row>
    <row r="1380">
      <c r="A1380" s="5">
        <v>1379.0</v>
      </c>
      <c r="B1380" s="5" t="s">
        <v>1960</v>
      </c>
      <c r="C1380" s="5" t="s">
        <v>20</v>
      </c>
      <c r="K1380" s="5">
        <v>400.0</v>
      </c>
      <c r="N1380" s="8">
        <v>44187.0</v>
      </c>
    </row>
    <row r="1381">
      <c r="A1381" s="5">
        <v>1380.0</v>
      </c>
      <c r="B1381" s="5" t="s">
        <v>1961</v>
      </c>
      <c r="C1381" s="5" t="s">
        <v>20</v>
      </c>
      <c r="K1381" s="5">
        <v>400.0</v>
      </c>
      <c r="N1381" s="8">
        <v>46095.0</v>
      </c>
    </row>
    <row r="1382">
      <c r="A1382" s="5">
        <v>1381.0</v>
      </c>
      <c r="B1382" s="5" t="s">
        <v>1962</v>
      </c>
      <c r="C1382" s="5" t="s">
        <v>20</v>
      </c>
      <c r="K1382" s="5">
        <v>10.0</v>
      </c>
      <c r="N1382" s="8">
        <v>44963.0</v>
      </c>
    </row>
    <row r="1383">
      <c r="A1383" s="5">
        <v>1382.0</v>
      </c>
      <c r="B1383" s="5" t="s">
        <v>1963</v>
      </c>
      <c r="C1383" s="5" t="s">
        <v>20</v>
      </c>
      <c r="N1383" s="8">
        <v>44407.0</v>
      </c>
    </row>
    <row r="1384">
      <c r="A1384" s="5">
        <v>1383.0</v>
      </c>
      <c r="B1384" s="5" t="s">
        <v>1964</v>
      </c>
      <c r="C1384" s="5" t="s">
        <v>20</v>
      </c>
      <c r="K1384" s="5">
        <v>700.0</v>
      </c>
      <c r="N1384" s="8">
        <v>44606.0</v>
      </c>
    </row>
    <row r="1385">
      <c r="A1385" s="5">
        <v>1384.0</v>
      </c>
      <c r="B1385" s="5" t="s">
        <v>1965</v>
      </c>
      <c r="C1385" s="5" t="s">
        <v>20</v>
      </c>
      <c r="K1385" s="5">
        <v>150.0</v>
      </c>
      <c r="N1385" s="8">
        <v>45660.0</v>
      </c>
    </row>
    <row r="1386">
      <c r="A1386" s="5">
        <v>1385.0</v>
      </c>
      <c r="B1386" s="5" t="s">
        <v>1966</v>
      </c>
      <c r="C1386" s="5" t="s">
        <v>20</v>
      </c>
      <c r="K1386" s="5">
        <v>20.0</v>
      </c>
      <c r="N1386" s="8">
        <v>43884.0</v>
      </c>
    </row>
    <row r="1387">
      <c r="A1387" s="5">
        <v>1386.0</v>
      </c>
      <c r="B1387" s="5" t="s">
        <v>1967</v>
      </c>
      <c r="C1387" s="5" t="s">
        <v>20</v>
      </c>
      <c r="K1387" s="5">
        <v>10.0</v>
      </c>
      <c r="N1387" s="8">
        <v>45034.0</v>
      </c>
    </row>
    <row r="1388">
      <c r="A1388" s="5">
        <v>1387.0</v>
      </c>
      <c r="B1388" s="5" t="s">
        <v>1968</v>
      </c>
      <c r="C1388" s="5" t="s">
        <v>20</v>
      </c>
      <c r="N1388" s="8">
        <v>44092.0</v>
      </c>
    </row>
    <row r="1389">
      <c r="A1389" s="5">
        <v>1388.0</v>
      </c>
      <c r="B1389" s="5" t="s">
        <v>1969</v>
      </c>
      <c r="C1389" s="5" t="s">
        <v>20</v>
      </c>
      <c r="K1389" s="5">
        <v>250.0</v>
      </c>
      <c r="N1389" s="8">
        <v>45237.0</v>
      </c>
    </row>
    <row r="1390">
      <c r="A1390" s="5">
        <v>1389.0</v>
      </c>
      <c r="B1390" s="5" t="s">
        <v>1970</v>
      </c>
      <c r="C1390" s="5" t="s">
        <v>20</v>
      </c>
      <c r="K1390" s="5">
        <v>10.0</v>
      </c>
      <c r="N1390" s="8">
        <v>46121.0</v>
      </c>
    </row>
    <row r="1391">
      <c r="A1391" s="5">
        <v>1390.0</v>
      </c>
      <c r="B1391" s="5" t="s">
        <v>1971</v>
      </c>
      <c r="C1391" s="5" t="s">
        <v>20</v>
      </c>
      <c r="K1391" s="5">
        <v>350.0</v>
      </c>
      <c r="N1391" s="8">
        <v>44063.0</v>
      </c>
    </row>
    <row r="1392">
      <c r="A1392" s="5">
        <v>1391.0</v>
      </c>
      <c r="B1392" s="5" t="s">
        <v>1972</v>
      </c>
      <c r="C1392" s="5" t="s">
        <v>20</v>
      </c>
      <c r="K1392" s="5">
        <v>150.0</v>
      </c>
      <c r="N1392" s="8">
        <v>44685.0</v>
      </c>
    </row>
    <row r="1393">
      <c r="A1393" s="5">
        <v>1392.0</v>
      </c>
      <c r="B1393" s="5" t="s">
        <v>1973</v>
      </c>
      <c r="C1393" s="5" t="s">
        <v>20</v>
      </c>
      <c r="N1393" s="8">
        <v>44784.0</v>
      </c>
    </row>
    <row r="1394">
      <c r="A1394" s="5">
        <v>1393.0</v>
      </c>
      <c r="B1394" s="5" t="s">
        <v>1974</v>
      </c>
      <c r="C1394" s="5" t="s">
        <v>20</v>
      </c>
      <c r="K1394" s="5">
        <v>30.0</v>
      </c>
      <c r="N1394" s="8">
        <v>44779.0</v>
      </c>
    </row>
    <row r="1395">
      <c r="A1395" s="5">
        <v>1394.0</v>
      </c>
      <c r="B1395" s="5" t="s">
        <v>1975</v>
      </c>
      <c r="C1395" s="5" t="s">
        <v>20</v>
      </c>
      <c r="K1395" s="5">
        <v>100.0</v>
      </c>
      <c r="N1395" s="8">
        <v>44540.0</v>
      </c>
    </row>
    <row r="1396">
      <c r="A1396" s="5">
        <v>1395.0</v>
      </c>
      <c r="B1396" s="5" t="s">
        <v>1976</v>
      </c>
      <c r="C1396" s="5" t="s">
        <v>20</v>
      </c>
      <c r="K1396" s="5">
        <v>700.0</v>
      </c>
      <c r="N1396" s="8">
        <v>45660.0</v>
      </c>
    </row>
    <row r="1397">
      <c r="A1397" s="5">
        <v>1396.0</v>
      </c>
      <c r="B1397" s="5" t="s">
        <v>1977</v>
      </c>
      <c r="C1397" s="5" t="s">
        <v>20</v>
      </c>
      <c r="K1397" s="5">
        <v>300.0</v>
      </c>
      <c r="N1397" s="8">
        <v>44647.0</v>
      </c>
    </row>
    <row r="1398">
      <c r="A1398" s="5">
        <v>1397.0</v>
      </c>
      <c r="B1398" s="5" t="s">
        <v>1978</v>
      </c>
      <c r="C1398" s="5" t="s">
        <v>20</v>
      </c>
      <c r="K1398" s="5">
        <v>10.0</v>
      </c>
      <c r="N1398" s="8">
        <v>44603.0</v>
      </c>
    </row>
    <row r="1399">
      <c r="A1399" s="5">
        <v>1398.0</v>
      </c>
      <c r="B1399" s="5" t="s">
        <v>1979</v>
      </c>
      <c r="C1399" s="5" t="s">
        <v>20</v>
      </c>
      <c r="K1399" s="5">
        <v>20.0</v>
      </c>
      <c r="N1399" s="8">
        <v>44550.0</v>
      </c>
    </row>
    <row r="1400">
      <c r="A1400" s="5">
        <v>1399.0</v>
      </c>
      <c r="B1400" s="5" t="s">
        <v>1980</v>
      </c>
      <c r="C1400" s="5" t="s">
        <v>20</v>
      </c>
      <c r="K1400" s="5">
        <v>30.0</v>
      </c>
      <c r="N1400" s="8">
        <v>45002.0</v>
      </c>
    </row>
    <row r="1401">
      <c r="A1401" s="5">
        <v>1400.0</v>
      </c>
      <c r="B1401" s="5" t="s">
        <v>1981</v>
      </c>
      <c r="C1401" s="5" t="s">
        <v>20</v>
      </c>
      <c r="N1401" s="8">
        <v>44236.0</v>
      </c>
    </row>
    <row r="1402">
      <c r="A1402" s="5">
        <v>1401.0</v>
      </c>
      <c r="B1402" s="5" t="s">
        <v>1982</v>
      </c>
      <c r="C1402" s="5" t="s">
        <v>20</v>
      </c>
      <c r="K1402" s="5">
        <v>20.0</v>
      </c>
      <c r="N1402" s="8">
        <v>45329.0</v>
      </c>
    </row>
    <row r="1403">
      <c r="A1403" s="5">
        <v>1402.0</v>
      </c>
      <c r="B1403" s="5" t="s">
        <v>1983</v>
      </c>
      <c r="C1403" s="5" t="s">
        <v>20</v>
      </c>
      <c r="K1403" s="5">
        <v>600.0</v>
      </c>
      <c r="N1403" s="8">
        <v>44176.0</v>
      </c>
    </row>
    <row r="1404">
      <c r="A1404" s="5">
        <v>1403.0</v>
      </c>
      <c r="B1404" s="5" t="s">
        <v>1984</v>
      </c>
      <c r="C1404" s="5" t="s">
        <v>20</v>
      </c>
      <c r="K1404" s="5">
        <v>250.0</v>
      </c>
      <c r="N1404" s="8">
        <v>44920.0</v>
      </c>
    </row>
    <row r="1405">
      <c r="A1405" s="5">
        <v>1404.0</v>
      </c>
      <c r="B1405" s="5" t="s">
        <v>1985</v>
      </c>
      <c r="C1405" s="5" t="s">
        <v>20</v>
      </c>
      <c r="K1405" s="5">
        <v>30.0</v>
      </c>
      <c r="N1405" s="8">
        <v>44103.0</v>
      </c>
    </row>
    <row r="1406">
      <c r="A1406" s="5">
        <v>1405.0</v>
      </c>
      <c r="B1406" s="5" t="s">
        <v>1986</v>
      </c>
      <c r="C1406" s="5" t="s">
        <v>20</v>
      </c>
      <c r="K1406" s="5">
        <v>70.0</v>
      </c>
      <c r="N1406" s="8">
        <v>45656.0</v>
      </c>
    </row>
    <row r="1407">
      <c r="A1407" s="5">
        <v>1406.0</v>
      </c>
      <c r="B1407" s="5" t="s">
        <v>161</v>
      </c>
      <c r="C1407" s="5" t="s">
        <v>20</v>
      </c>
      <c r="K1407" s="5">
        <v>4000.0</v>
      </c>
      <c r="N1407" s="8">
        <v>44192.0</v>
      </c>
    </row>
    <row r="1408">
      <c r="A1408" s="5">
        <v>1407.0</v>
      </c>
      <c r="B1408" s="5" t="s">
        <v>1987</v>
      </c>
      <c r="C1408" s="5" t="s">
        <v>20</v>
      </c>
      <c r="K1408" s="5">
        <v>40.0</v>
      </c>
      <c r="N1408" s="8">
        <v>45309.0</v>
      </c>
    </row>
    <row r="1409">
      <c r="A1409" s="5">
        <v>1408.0</v>
      </c>
      <c r="B1409" s="5" t="s">
        <v>1988</v>
      </c>
      <c r="C1409" s="5" t="s">
        <v>20</v>
      </c>
      <c r="K1409" s="5">
        <v>450.0</v>
      </c>
      <c r="N1409" s="8">
        <v>45873.0</v>
      </c>
    </row>
    <row r="1410">
      <c r="A1410" s="5">
        <v>1409.0</v>
      </c>
      <c r="B1410" s="5" t="s">
        <v>1989</v>
      </c>
      <c r="C1410" s="5" t="s">
        <v>20</v>
      </c>
      <c r="K1410" s="5">
        <v>80.0</v>
      </c>
      <c r="N1410" s="8">
        <v>45402.0</v>
      </c>
    </row>
    <row r="1411">
      <c r="A1411" s="5">
        <v>1410.0</v>
      </c>
      <c r="B1411" s="5" t="s">
        <v>1990</v>
      </c>
      <c r="C1411" s="5" t="s">
        <v>20</v>
      </c>
      <c r="K1411" s="5">
        <v>100.0</v>
      </c>
      <c r="N1411" s="8">
        <v>44305.0</v>
      </c>
    </row>
    <row r="1412">
      <c r="A1412" s="5">
        <v>1411.0</v>
      </c>
      <c r="B1412" s="5" t="s">
        <v>1991</v>
      </c>
      <c r="C1412" s="5" t="s">
        <v>20</v>
      </c>
      <c r="K1412" s="5">
        <v>250.0</v>
      </c>
      <c r="N1412" s="8">
        <v>45290.0</v>
      </c>
    </row>
    <row r="1413">
      <c r="A1413" s="5">
        <v>1412.0</v>
      </c>
      <c r="B1413" s="5" t="s">
        <v>1992</v>
      </c>
      <c r="C1413" s="5" t="s">
        <v>20</v>
      </c>
      <c r="K1413" s="5">
        <v>250.0</v>
      </c>
      <c r="N1413" s="8">
        <v>44487.0</v>
      </c>
    </row>
    <row r="1414">
      <c r="A1414" s="5">
        <v>1413.0</v>
      </c>
      <c r="B1414" s="5" t="s">
        <v>1993</v>
      </c>
      <c r="C1414" s="5" t="s">
        <v>20</v>
      </c>
      <c r="K1414" s="5">
        <v>150.0</v>
      </c>
      <c r="N1414" s="8">
        <v>45675.0</v>
      </c>
    </row>
    <row r="1415">
      <c r="A1415" s="5">
        <v>1414.0</v>
      </c>
      <c r="B1415" s="5" t="s">
        <v>1994</v>
      </c>
      <c r="C1415" s="5" t="s">
        <v>20</v>
      </c>
      <c r="K1415" s="5">
        <v>1400.0</v>
      </c>
      <c r="N1415" s="8">
        <v>44657.0</v>
      </c>
    </row>
    <row r="1416">
      <c r="A1416" s="5">
        <v>1415.0</v>
      </c>
      <c r="B1416" s="5" t="s">
        <v>1995</v>
      </c>
      <c r="C1416" s="5" t="s">
        <v>20</v>
      </c>
      <c r="K1416" s="5">
        <v>100.0</v>
      </c>
      <c r="N1416" s="8">
        <v>44230.0</v>
      </c>
    </row>
    <row r="1417">
      <c r="A1417" s="5">
        <v>1416.0</v>
      </c>
      <c r="B1417" s="5" t="s">
        <v>1996</v>
      </c>
      <c r="C1417" s="5" t="s">
        <v>20</v>
      </c>
      <c r="K1417" s="5">
        <v>90.0</v>
      </c>
      <c r="N1417" s="8">
        <v>45729.0</v>
      </c>
    </row>
    <row r="1418">
      <c r="A1418" s="5">
        <v>1417.0</v>
      </c>
      <c r="B1418" s="5" t="s">
        <v>1997</v>
      </c>
      <c r="C1418" s="5" t="s">
        <v>20</v>
      </c>
      <c r="K1418" s="5">
        <v>10.0</v>
      </c>
      <c r="N1418" s="8">
        <v>44320.0</v>
      </c>
    </row>
    <row r="1419">
      <c r="A1419" s="5">
        <v>1418.0</v>
      </c>
      <c r="B1419" s="5" t="s">
        <v>1998</v>
      </c>
      <c r="C1419" s="5" t="s">
        <v>20</v>
      </c>
      <c r="N1419" s="8">
        <v>45332.0</v>
      </c>
    </row>
    <row r="1420">
      <c r="A1420" s="5">
        <v>1419.0</v>
      </c>
      <c r="B1420" s="5" t="s">
        <v>1999</v>
      </c>
      <c r="C1420" s="5" t="s">
        <v>20</v>
      </c>
      <c r="K1420" s="5">
        <v>100.0</v>
      </c>
      <c r="N1420" s="8">
        <v>44496.0</v>
      </c>
    </row>
    <row r="1421">
      <c r="A1421" s="5">
        <v>1420.0</v>
      </c>
      <c r="B1421" s="5" t="s">
        <v>2000</v>
      </c>
      <c r="C1421" s="5" t="s">
        <v>20</v>
      </c>
      <c r="K1421" s="5">
        <v>1400.0</v>
      </c>
      <c r="N1421" s="8">
        <v>44573.0</v>
      </c>
    </row>
    <row r="1422">
      <c r="A1422" s="5">
        <v>1421.0</v>
      </c>
      <c r="B1422" s="5" t="s">
        <v>2001</v>
      </c>
      <c r="C1422" s="5" t="s">
        <v>20</v>
      </c>
      <c r="N1422" s="8">
        <v>44717.0</v>
      </c>
    </row>
    <row r="1423">
      <c r="A1423" s="5">
        <v>1422.0</v>
      </c>
      <c r="B1423" s="5" t="s">
        <v>2002</v>
      </c>
      <c r="C1423" s="5" t="s">
        <v>20</v>
      </c>
      <c r="K1423" s="5">
        <v>150.0</v>
      </c>
      <c r="N1423" s="8">
        <v>44745.0</v>
      </c>
    </row>
    <row r="1424">
      <c r="A1424" s="5">
        <v>1423.0</v>
      </c>
      <c r="B1424" s="5" t="s">
        <v>2003</v>
      </c>
      <c r="C1424" s="5" t="s">
        <v>20</v>
      </c>
      <c r="K1424" s="5">
        <v>300.0</v>
      </c>
      <c r="N1424" s="8">
        <v>44191.0</v>
      </c>
    </row>
    <row r="1425">
      <c r="A1425" s="5">
        <v>1424.0</v>
      </c>
      <c r="B1425" s="5" t="s">
        <v>162</v>
      </c>
      <c r="C1425" s="5" t="s">
        <v>20</v>
      </c>
      <c r="K1425" s="5">
        <v>20.0</v>
      </c>
      <c r="N1425" s="8">
        <v>45260.0</v>
      </c>
    </row>
    <row r="1426">
      <c r="A1426" s="5">
        <v>1425.0</v>
      </c>
      <c r="B1426" s="5" t="s">
        <v>2004</v>
      </c>
      <c r="C1426" s="5" t="s">
        <v>20</v>
      </c>
      <c r="K1426" s="5">
        <v>10.0</v>
      </c>
      <c r="N1426" s="8">
        <v>44261.0</v>
      </c>
    </row>
    <row r="1427">
      <c r="A1427" s="5">
        <v>1426.0</v>
      </c>
      <c r="B1427" s="5" t="s">
        <v>2005</v>
      </c>
      <c r="C1427" s="5" t="s">
        <v>20</v>
      </c>
      <c r="K1427" s="5">
        <v>800.0</v>
      </c>
      <c r="N1427" s="8">
        <v>45670.0</v>
      </c>
    </row>
    <row r="1428">
      <c r="A1428" s="5">
        <v>1427.0</v>
      </c>
      <c r="B1428" s="5" t="s">
        <v>2006</v>
      </c>
      <c r="C1428" s="5" t="s">
        <v>20</v>
      </c>
      <c r="K1428" s="5">
        <v>90.0</v>
      </c>
      <c r="N1428" s="8">
        <v>45660.0</v>
      </c>
    </row>
    <row r="1429">
      <c r="A1429" s="5">
        <v>1428.0</v>
      </c>
      <c r="B1429" s="5" t="s">
        <v>2007</v>
      </c>
      <c r="C1429" s="5" t="s">
        <v>20</v>
      </c>
      <c r="K1429" s="5">
        <v>20.0</v>
      </c>
      <c r="N1429" s="8">
        <v>44188.0</v>
      </c>
    </row>
    <row r="1430">
      <c r="A1430" s="5">
        <v>1429.0</v>
      </c>
      <c r="B1430" s="5" t="s">
        <v>2008</v>
      </c>
      <c r="C1430" s="5" t="s">
        <v>20</v>
      </c>
      <c r="K1430" s="5">
        <v>20.0</v>
      </c>
      <c r="N1430" s="8">
        <v>44940.0</v>
      </c>
    </row>
    <row r="1431">
      <c r="A1431" s="5">
        <v>1430.0</v>
      </c>
      <c r="B1431" s="5" t="s">
        <v>2009</v>
      </c>
      <c r="C1431" s="5" t="s">
        <v>20</v>
      </c>
      <c r="K1431" s="5">
        <v>400.0</v>
      </c>
      <c r="N1431" s="8">
        <v>44045.0</v>
      </c>
    </row>
    <row r="1432">
      <c r="A1432" s="5">
        <v>1431.0</v>
      </c>
      <c r="B1432" s="5" t="s">
        <v>2010</v>
      </c>
      <c r="C1432" s="5" t="s">
        <v>20</v>
      </c>
      <c r="K1432" s="5">
        <v>100.0</v>
      </c>
      <c r="N1432" s="8">
        <v>44623.0</v>
      </c>
    </row>
    <row r="1433">
      <c r="A1433" s="5">
        <v>1432.0</v>
      </c>
      <c r="B1433" s="5" t="s">
        <v>2011</v>
      </c>
      <c r="C1433" s="5" t="s">
        <v>20</v>
      </c>
      <c r="K1433" s="5">
        <v>10.0</v>
      </c>
      <c r="N1433" s="8">
        <v>44752.0</v>
      </c>
    </row>
    <row r="1434">
      <c r="A1434" s="5">
        <v>1433.0</v>
      </c>
      <c r="B1434" s="5" t="s">
        <v>2012</v>
      </c>
      <c r="C1434" s="5" t="s">
        <v>20</v>
      </c>
      <c r="K1434" s="5">
        <v>600.0</v>
      </c>
      <c r="N1434" s="8">
        <v>43794.0</v>
      </c>
    </row>
    <row r="1435">
      <c r="A1435" s="5">
        <v>1434.0</v>
      </c>
      <c r="B1435" s="5" t="s">
        <v>2013</v>
      </c>
      <c r="C1435" s="5" t="s">
        <v>20</v>
      </c>
      <c r="K1435" s="5">
        <v>3000.0</v>
      </c>
      <c r="N1435" s="8">
        <v>42326.0</v>
      </c>
    </row>
    <row r="1436">
      <c r="A1436" s="5">
        <v>1435.0</v>
      </c>
      <c r="B1436" s="5" t="s">
        <v>2014</v>
      </c>
      <c r="C1436" s="5" t="s">
        <v>20</v>
      </c>
      <c r="N1436" s="8">
        <v>44462.0</v>
      </c>
    </row>
    <row r="1437">
      <c r="A1437" s="5">
        <v>1436.0</v>
      </c>
      <c r="B1437" s="5" t="s">
        <v>2015</v>
      </c>
      <c r="C1437" s="5" t="s">
        <v>20</v>
      </c>
      <c r="K1437" s="5">
        <v>200.0</v>
      </c>
      <c r="N1437" s="8">
        <v>44611.0</v>
      </c>
    </row>
    <row r="1438">
      <c r="A1438" s="5">
        <v>1437.0</v>
      </c>
      <c r="B1438" s="5" t="s">
        <v>2016</v>
      </c>
      <c r="C1438" s="5" t="s">
        <v>20</v>
      </c>
      <c r="K1438" s="5">
        <v>50.0</v>
      </c>
      <c r="N1438" s="8">
        <v>43842.0</v>
      </c>
    </row>
    <row r="1439">
      <c r="A1439" s="5">
        <v>1438.0</v>
      </c>
      <c r="B1439" s="5" t="s">
        <v>2017</v>
      </c>
      <c r="C1439" s="5" t="s">
        <v>20</v>
      </c>
      <c r="K1439" s="5">
        <v>150.0</v>
      </c>
      <c r="N1439" s="8">
        <v>44375.0</v>
      </c>
    </row>
    <row r="1440">
      <c r="A1440" s="5">
        <v>1439.0</v>
      </c>
      <c r="B1440" s="5" t="s">
        <v>2018</v>
      </c>
      <c r="C1440" s="5" t="s">
        <v>20</v>
      </c>
      <c r="K1440" s="5">
        <v>1200.0</v>
      </c>
      <c r="N1440" s="8">
        <v>43878.0</v>
      </c>
    </row>
    <row r="1441">
      <c r="A1441" s="5">
        <v>1440.0</v>
      </c>
      <c r="B1441" s="5" t="s">
        <v>2019</v>
      </c>
      <c r="C1441" s="5" t="s">
        <v>20</v>
      </c>
      <c r="K1441" s="5">
        <v>20.0</v>
      </c>
      <c r="N1441" s="8">
        <v>44387.0</v>
      </c>
    </row>
    <row r="1442">
      <c r="A1442" s="5">
        <v>1441.0</v>
      </c>
      <c r="B1442" s="5" t="s">
        <v>2020</v>
      </c>
      <c r="C1442" s="5" t="s">
        <v>20</v>
      </c>
      <c r="N1442" s="8">
        <v>46115.0</v>
      </c>
    </row>
    <row r="1443">
      <c r="A1443" s="5">
        <v>1442.0</v>
      </c>
      <c r="B1443" s="5" t="s">
        <v>2021</v>
      </c>
      <c r="C1443" s="5" t="s">
        <v>20</v>
      </c>
      <c r="N1443" s="8">
        <v>44073.0</v>
      </c>
    </row>
    <row r="1444">
      <c r="A1444" s="5">
        <v>1443.0</v>
      </c>
      <c r="B1444" s="5" t="s">
        <v>164</v>
      </c>
      <c r="C1444" s="5" t="s">
        <v>20</v>
      </c>
      <c r="K1444" s="5">
        <v>60.0</v>
      </c>
      <c r="N1444" s="8">
        <v>45031.0</v>
      </c>
    </row>
    <row r="1445">
      <c r="A1445" s="5">
        <v>1444.0</v>
      </c>
      <c r="B1445" s="5" t="s">
        <v>2022</v>
      </c>
      <c r="C1445" s="5" t="s">
        <v>20</v>
      </c>
      <c r="N1445" s="8">
        <v>44056.0</v>
      </c>
    </row>
    <row r="1446">
      <c r="A1446" s="5">
        <v>1445.0</v>
      </c>
      <c r="B1446" s="5" t="s">
        <v>2023</v>
      </c>
      <c r="C1446" s="5" t="s">
        <v>20</v>
      </c>
      <c r="N1446" s="8">
        <v>44033.0</v>
      </c>
    </row>
    <row r="1447">
      <c r="A1447" s="5">
        <v>1446.0</v>
      </c>
      <c r="B1447" s="5" t="s">
        <v>2024</v>
      </c>
      <c r="C1447" s="5" t="s">
        <v>20</v>
      </c>
      <c r="K1447" s="5">
        <v>800.0</v>
      </c>
      <c r="N1447" s="8">
        <v>44356.0</v>
      </c>
    </row>
    <row r="1448">
      <c r="A1448" s="5">
        <v>1447.0</v>
      </c>
      <c r="B1448" s="5" t="s">
        <v>2025</v>
      </c>
      <c r="C1448" s="5" t="s">
        <v>20</v>
      </c>
      <c r="K1448" s="5">
        <v>20.0</v>
      </c>
      <c r="N1448" s="8">
        <v>45355.0</v>
      </c>
    </row>
    <row r="1449">
      <c r="A1449" s="5">
        <v>1448.0</v>
      </c>
      <c r="B1449" s="5" t="s">
        <v>2026</v>
      </c>
      <c r="C1449" s="5" t="s">
        <v>20</v>
      </c>
      <c r="K1449" s="5">
        <v>20.0</v>
      </c>
      <c r="N1449" s="8">
        <v>43561.0</v>
      </c>
    </row>
    <row r="1450">
      <c r="A1450" s="5">
        <v>1449.0</v>
      </c>
      <c r="B1450" s="5" t="s">
        <v>2027</v>
      </c>
      <c r="C1450" s="5" t="s">
        <v>20</v>
      </c>
      <c r="K1450" s="5">
        <v>60.0</v>
      </c>
      <c r="N1450" s="8">
        <v>45569.0</v>
      </c>
    </row>
    <row r="1451">
      <c r="A1451" s="5">
        <v>1450.0</v>
      </c>
      <c r="B1451" s="5" t="s">
        <v>2028</v>
      </c>
      <c r="C1451" s="5" t="s">
        <v>20</v>
      </c>
      <c r="N1451" s="8">
        <v>45024.0</v>
      </c>
    </row>
    <row r="1452">
      <c r="A1452" s="5">
        <v>1451.0</v>
      </c>
      <c r="B1452" s="5" t="s">
        <v>2029</v>
      </c>
      <c r="C1452" s="5" t="s">
        <v>20</v>
      </c>
      <c r="N1452" s="8">
        <v>44280.0</v>
      </c>
    </row>
    <row r="1453">
      <c r="A1453" s="5">
        <v>1452.0</v>
      </c>
      <c r="B1453" s="5" t="s">
        <v>2030</v>
      </c>
      <c r="C1453" s="5" t="s">
        <v>20</v>
      </c>
      <c r="N1453" s="8">
        <v>44287.0</v>
      </c>
    </row>
    <row r="1454">
      <c r="A1454" s="5">
        <v>1453.0</v>
      </c>
      <c r="B1454" s="5" t="s">
        <v>2031</v>
      </c>
      <c r="C1454" s="5" t="s">
        <v>20</v>
      </c>
      <c r="K1454" s="5">
        <v>150.0</v>
      </c>
      <c r="N1454" s="8">
        <v>44809.0</v>
      </c>
    </row>
    <row r="1455">
      <c r="A1455" s="5">
        <v>1454.0</v>
      </c>
      <c r="B1455" s="5" t="s">
        <v>2032</v>
      </c>
      <c r="C1455" s="5" t="s">
        <v>20</v>
      </c>
      <c r="K1455" s="5">
        <v>150.0</v>
      </c>
      <c r="N1455" s="8">
        <v>45296.0</v>
      </c>
    </row>
    <row r="1456">
      <c r="A1456" s="5">
        <v>1455.0</v>
      </c>
      <c r="B1456" s="5" t="s">
        <v>2033</v>
      </c>
      <c r="C1456" s="5" t="s">
        <v>20</v>
      </c>
      <c r="K1456" s="5">
        <v>450.0</v>
      </c>
      <c r="N1456" s="8">
        <v>44211.0</v>
      </c>
    </row>
    <row r="1457">
      <c r="A1457" s="5">
        <v>1456.0</v>
      </c>
      <c r="B1457" s="5" t="s">
        <v>166</v>
      </c>
      <c r="C1457" s="5" t="s">
        <v>20</v>
      </c>
      <c r="N1457" s="8">
        <v>44706.0</v>
      </c>
    </row>
    <row r="1458">
      <c r="A1458" s="5">
        <v>1457.0</v>
      </c>
      <c r="B1458" s="5" t="s">
        <v>2034</v>
      </c>
      <c r="C1458" s="5" t="s">
        <v>20</v>
      </c>
      <c r="K1458" s="5">
        <v>500.0</v>
      </c>
      <c r="N1458" s="8">
        <v>44609.0</v>
      </c>
    </row>
    <row r="1459">
      <c r="A1459" s="5">
        <v>1458.0</v>
      </c>
      <c r="B1459" s="5" t="s">
        <v>2035</v>
      </c>
      <c r="C1459" s="5" t="s">
        <v>20</v>
      </c>
      <c r="K1459" s="5">
        <v>100.0</v>
      </c>
      <c r="N1459" s="8">
        <v>44063.0</v>
      </c>
    </row>
    <row r="1460">
      <c r="A1460" s="5">
        <v>1459.0</v>
      </c>
      <c r="B1460" s="5" t="s">
        <v>2036</v>
      </c>
      <c r="C1460" s="5" t="s">
        <v>20</v>
      </c>
      <c r="K1460" s="5">
        <v>30.0</v>
      </c>
      <c r="N1460" s="8">
        <v>45335.0</v>
      </c>
    </row>
    <row r="1461">
      <c r="A1461" s="5">
        <v>1460.0</v>
      </c>
      <c r="B1461" s="5" t="s">
        <v>2037</v>
      </c>
      <c r="C1461" s="5" t="s">
        <v>20</v>
      </c>
      <c r="N1461" s="8">
        <v>46117.0</v>
      </c>
    </row>
    <row r="1462">
      <c r="A1462" s="5">
        <v>1461.0</v>
      </c>
      <c r="B1462" s="5" t="s">
        <v>2038</v>
      </c>
      <c r="C1462" s="5" t="s">
        <v>20</v>
      </c>
      <c r="K1462" s="5">
        <v>350.0</v>
      </c>
      <c r="N1462" s="8">
        <v>44229.0</v>
      </c>
    </row>
    <row r="1463">
      <c r="A1463" s="5">
        <v>1462.0</v>
      </c>
      <c r="B1463" s="5" t="s">
        <v>2039</v>
      </c>
      <c r="C1463" s="5" t="s">
        <v>20</v>
      </c>
      <c r="K1463" s="5">
        <v>200.0</v>
      </c>
      <c r="N1463" s="8">
        <v>45224.0</v>
      </c>
    </row>
    <row r="1464">
      <c r="A1464" s="5">
        <v>1463.0</v>
      </c>
      <c r="B1464" s="5" t="s">
        <v>2040</v>
      </c>
      <c r="C1464" s="5" t="s">
        <v>20</v>
      </c>
      <c r="K1464" s="5">
        <v>700.0</v>
      </c>
      <c r="N1464" s="8">
        <v>44235.0</v>
      </c>
    </row>
    <row r="1465">
      <c r="A1465" s="5">
        <v>1464.0</v>
      </c>
      <c r="B1465" s="5" t="s">
        <v>2041</v>
      </c>
      <c r="C1465" s="5" t="s">
        <v>20</v>
      </c>
      <c r="K1465" s="5">
        <v>150.0</v>
      </c>
      <c r="N1465" s="8">
        <v>44186.0</v>
      </c>
    </row>
    <row r="1466">
      <c r="A1466" s="5">
        <v>1465.0</v>
      </c>
      <c r="B1466" s="5" t="s">
        <v>2042</v>
      </c>
      <c r="C1466" s="5" t="s">
        <v>20</v>
      </c>
      <c r="N1466" s="8">
        <v>45396.0</v>
      </c>
    </row>
    <row r="1467">
      <c r="A1467" s="5">
        <v>1466.0</v>
      </c>
      <c r="B1467" s="5" t="s">
        <v>2043</v>
      </c>
      <c r="C1467" s="5" t="s">
        <v>20</v>
      </c>
      <c r="K1467" s="5">
        <v>200.0</v>
      </c>
      <c r="N1467" s="8">
        <v>45873.0</v>
      </c>
    </row>
    <row r="1468">
      <c r="A1468" s="5">
        <v>1467.0</v>
      </c>
      <c r="B1468" s="5" t="s">
        <v>2044</v>
      </c>
      <c r="C1468" s="5" t="s">
        <v>20</v>
      </c>
      <c r="K1468" s="5">
        <v>30.0</v>
      </c>
      <c r="N1468" s="8">
        <v>45824.0</v>
      </c>
    </row>
    <row r="1469">
      <c r="A1469" s="5">
        <v>1468.0</v>
      </c>
      <c r="B1469" s="5" t="s">
        <v>2045</v>
      </c>
      <c r="C1469" s="5" t="s">
        <v>20</v>
      </c>
      <c r="K1469" s="5">
        <v>80.0</v>
      </c>
      <c r="N1469" s="8">
        <v>45833.0</v>
      </c>
    </row>
    <row r="1470">
      <c r="A1470" s="5">
        <v>1469.0</v>
      </c>
      <c r="B1470" s="5" t="s">
        <v>2046</v>
      </c>
      <c r="C1470" s="5" t="s">
        <v>20</v>
      </c>
      <c r="K1470" s="5">
        <v>250.0</v>
      </c>
      <c r="N1470" s="8">
        <v>44669.0</v>
      </c>
    </row>
    <row r="1471">
      <c r="A1471" s="5">
        <v>1470.0</v>
      </c>
      <c r="B1471" s="5" t="s">
        <v>2047</v>
      </c>
      <c r="C1471" s="5" t="s">
        <v>20</v>
      </c>
      <c r="K1471" s="5">
        <v>100.0</v>
      </c>
      <c r="N1471" s="8">
        <v>45048.0</v>
      </c>
    </row>
    <row r="1472">
      <c r="A1472" s="5">
        <v>1471.0</v>
      </c>
      <c r="B1472" s="5" t="s">
        <v>2048</v>
      </c>
      <c r="C1472" s="5" t="s">
        <v>20</v>
      </c>
      <c r="K1472" s="5">
        <v>300.0</v>
      </c>
      <c r="N1472" s="8">
        <v>45457.0</v>
      </c>
    </row>
    <row r="1473">
      <c r="A1473" s="5">
        <v>1472.0</v>
      </c>
      <c r="B1473" s="5" t="s">
        <v>2049</v>
      </c>
      <c r="C1473" s="5" t="s">
        <v>20</v>
      </c>
      <c r="K1473" s="5">
        <v>70.0</v>
      </c>
      <c r="N1473" s="8">
        <v>45019.0</v>
      </c>
    </row>
    <row r="1474">
      <c r="A1474" s="5">
        <v>1473.0</v>
      </c>
      <c r="B1474" s="5" t="s">
        <v>2050</v>
      </c>
      <c r="C1474" s="5" t="s">
        <v>20</v>
      </c>
      <c r="K1474" s="5">
        <v>900.0</v>
      </c>
      <c r="N1474" s="8">
        <v>44535.0</v>
      </c>
    </row>
    <row r="1475">
      <c r="A1475" s="5">
        <v>1474.0</v>
      </c>
      <c r="B1475" s="5" t="s">
        <v>2051</v>
      </c>
      <c r="C1475" s="5" t="s">
        <v>20</v>
      </c>
      <c r="K1475" s="5">
        <v>10.0</v>
      </c>
      <c r="N1475" s="8">
        <v>46115.0</v>
      </c>
    </row>
    <row r="1476">
      <c r="A1476" s="5">
        <v>1475.0</v>
      </c>
      <c r="B1476" s="5" t="s">
        <v>2052</v>
      </c>
      <c r="C1476" s="5" t="s">
        <v>20</v>
      </c>
      <c r="K1476" s="5">
        <v>20.0</v>
      </c>
      <c r="N1476" s="8">
        <v>45349.0</v>
      </c>
    </row>
    <row r="1477">
      <c r="A1477" s="5">
        <v>1476.0</v>
      </c>
      <c r="B1477" s="5" t="s">
        <v>2053</v>
      </c>
      <c r="C1477" s="5" t="s">
        <v>20</v>
      </c>
      <c r="K1477" s="5">
        <v>200.0</v>
      </c>
      <c r="N1477" s="8">
        <v>44806.0</v>
      </c>
    </row>
    <row r="1478">
      <c r="A1478" s="5">
        <v>1477.0</v>
      </c>
      <c r="B1478" s="5" t="s">
        <v>2054</v>
      </c>
      <c r="C1478" s="5" t="s">
        <v>20</v>
      </c>
      <c r="K1478" s="5">
        <v>40.0</v>
      </c>
      <c r="N1478" s="8">
        <v>42867.0</v>
      </c>
    </row>
    <row r="1479">
      <c r="A1479" s="5">
        <v>1478.0</v>
      </c>
      <c r="B1479" s="5" t="s">
        <v>2055</v>
      </c>
      <c r="C1479" s="5" t="s">
        <v>20</v>
      </c>
      <c r="K1479" s="5">
        <v>90.0</v>
      </c>
      <c r="N1479" s="8">
        <v>45081.0</v>
      </c>
    </row>
    <row r="1480">
      <c r="A1480" s="5">
        <v>1479.0</v>
      </c>
      <c r="B1480" s="5" t="s">
        <v>2056</v>
      </c>
      <c r="C1480" s="5" t="s">
        <v>20</v>
      </c>
      <c r="N1480" s="8">
        <v>45240.0</v>
      </c>
    </row>
    <row r="1481">
      <c r="A1481" s="5">
        <v>1480.0</v>
      </c>
      <c r="B1481" s="5" t="s">
        <v>2057</v>
      </c>
      <c r="C1481" s="5" t="s">
        <v>20</v>
      </c>
      <c r="K1481" s="5">
        <v>1100.0</v>
      </c>
      <c r="N1481" s="8">
        <v>46086.0</v>
      </c>
    </row>
    <row r="1482">
      <c r="A1482" s="5">
        <v>1481.0</v>
      </c>
      <c r="B1482" s="5" t="s">
        <v>80</v>
      </c>
      <c r="C1482" s="5" t="s">
        <v>20</v>
      </c>
      <c r="K1482" s="5">
        <v>250.0</v>
      </c>
      <c r="N1482" s="8">
        <v>44227.0</v>
      </c>
    </row>
    <row r="1483">
      <c r="A1483" s="5">
        <v>1482.0</v>
      </c>
      <c r="B1483" s="5" t="s">
        <v>2058</v>
      </c>
      <c r="C1483" s="5" t="s">
        <v>20</v>
      </c>
      <c r="K1483" s="5">
        <v>1000.0</v>
      </c>
      <c r="N1483" s="8">
        <v>44197.0</v>
      </c>
    </row>
    <row r="1484">
      <c r="A1484" s="5">
        <v>1483.0</v>
      </c>
      <c r="B1484" s="5" t="s">
        <v>2059</v>
      </c>
      <c r="C1484" s="5" t="s">
        <v>20</v>
      </c>
      <c r="K1484" s="5">
        <v>150.0</v>
      </c>
      <c r="N1484" s="8">
        <v>45194.0</v>
      </c>
    </row>
    <row r="1485">
      <c r="A1485" s="5">
        <v>1484.0</v>
      </c>
      <c r="B1485" s="5" t="s">
        <v>2060</v>
      </c>
      <c r="C1485" s="5" t="s">
        <v>20</v>
      </c>
      <c r="N1485" s="8">
        <v>44918.0</v>
      </c>
    </row>
    <row r="1486">
      <c r="A1486" s="5">
        <v>1485.0</v>
      </c>
      <c r="B1486" s="5" t="s">
        <v>2061</v>
      </c>
      <c r="C1486" s="5" t="s">
        <v>20</v>
      </c>
      <c r="K1486" s="5">
        <v>50.0</v>
      </c>
      <c r="N1486" s="8">
        <v>45328.0</v>
      </c>
    </row>
    <row r="1487">
      <c r="A1487" s="5">
        <v>1486.0</v>
      </c>
      <c r="B1487" s="5" t="s">
        <v>2062</v>
      </c>
      <c r="C1487" s="5" t="s">
        <v>20</v>
      </c>
      <c r="K1487" s="5">
        <v>20.0</v>
      </c>
      <c r="N1487" s="8">
        <v>43940.0</v>
      </c>
    </row>
    <row r="1488">
      <c r="A1488" s="5">
        <v>1487.0</v>
      </c>
      <c r="B1488" s="5" t="s">
        <v>2063</v>
      </c>
      <c r="C1488" s="5" t="s">
        <v>20</v>
      </c>
      <c r="K1488" s="5">
        <v>70.0</v>
      </c>
      <c r="N1488" s="8">
        <v>45073.0</v>
      </c>
    </row>
    <row r="1489">
      <c r="A1489" s="5">
        <v>1488.0</v>
      </c>
      <c r="B1489" s="5" t="s">
        <v>2064</v>
      </c>
      <c r="C1489" s="5" t="s">
        <v>20</v>
      </c>
      <c r="K1489" s="5">
        <v>200.0</v>
      </c>
      <c r="N1489" s="8">
        <v>44149.0</v>
      </c>
    </row>
    <row r="1490">
      <c r="A1490" s="5">
        <v>1489.0</v>
      </c>
      <c r="B1490" s="5" t="s">
        <v>2065</v>
      </c>
      <c r="C1490" s="5" t="s">
        <v>20</v>
      </c>
      <c r="K1490" s="5">
        <v>40.0</v>
      </c>
      <c r="N1490" s="8">
        <v>44644.0</v>
      </c>
    </row>
    <row r="1491">
      <c r="A1491" s="5">
        <v>1490.0</v>
      </c>
      <c r="B1491" s="5" t="s">
        <v>2066</v>
      </c>
      <c r="C1491" s="5" t="s">
        <v>20</v>
      </c>
      <c r="N1491" s="8">
        <v>44684.0</v>
      </c>
    </row>
    <row r="1492">
      <c r="A1492" s="5">
        <v>1491.0</v>
      </c>
      <c r="B1492" s="5" t="s">
        <v>2067</v>
      </c>
      <c r="C1492" s="5" t="s">
        <v>20</v>
      </c>
      <c r="K1492" s="5">
        <v>100.0</v>
      </c>
      <c r="N1492" s="8">
        <v>44334.0</v>
      </c>
    </row>
    <row r="1493">
      <c r="A1493" s="5">
        <v>1492.0</v>
      </c>
      <c r="B1493" s="5" t="s">
        <v>2068</v>
      </c>
      <c r="C1493" s="5" t="s">
        <v>20</v>
      </c>
      <c r="N1493" s="8">
        <v>44209.0</v>
      </c>
    </row>
    <row r="1494">
      <c r="A1494" s="5">
        <v>1493.0</v>
      </c>
      <c r="B1494" s="5" t="s">
        <v>2069</v>
      </c>
      <c r="C1494" s="5" t="s">
        <v>20</v>
      </c>
      <c r="K1494" s="5">
        <v>350.0</v>
      </c>
      <c r="N1494" s="8">
        <v>44055.0</v>
      </c>
    </row>
    <row r="1495">
      <c r="A1495" s="5">
        <v>1494.0</v>
      </c>
      <c r="B1495" s="5" t="s">
        <v>2070</v>
      </c>
      <c r="C1495" s="5" t="s">
        <v>20</v>
      </c>
      <c r="K1495" s="5">
        <v>90.0</v>
      </c>
      <c r="N1495" s="8">
        <v>44076.0</v>
      </c>
    </row>
    <row r="1496">
      <c r="A1496" s="5">
        <v>1495.0</v>
      </c>
      <c r="B1496" s="5" t="s">
        <v>2071</v>
      </c>
      <c r="C1496" s="5" t="s">
        <v>20</v>
      </c>
      <c r="K1496" s="5">
        <v>700.0</v>
      </c>
      <c r="N1496" s="8">
        <v>45101.0</v>
      </c>
    </row>
    <row r="1497">
      <c r="A1497" s="5">
        <v>1496.0</v>
      </c>
      <c r="B1497" s="5" t="s">
        <v>2072</v>
      </c>
      <c r="C1497" s="5" t="s">
        <v>20</v>
      </c>
      <c r="K1497" s="5">
        <v>10.0</v>
      </c>
      <c r="N1497" s="8">
        <v>44756.0</v>
      </c>
    </row>
    <row r="1498">
      <c r="A1498" s="5">
        <v>1497.0</v>
      </c>
      <c r="B1498" s="5" t="s">
        <v>2073</v>
      </c>
      <c r="C1498" s="5" t="s">
        <v>20</v>
      </c>
      <c r="K1498" s="5">
        <v>150.0</v>
      </c>
      <c r="N1498" s="8">
        <v>43896.0</v>
      </c>
    </row>
    <row r="1499">
      <c r="A1499" s="5">
        <v>1498.0</v>
      </c>
      <c r="B1499" s="5" t="s">
        <v>2074</v>
      </c>
      <c r="C1499" s="5" t="s">
        <v>20</v>
      </c>
      <c r="K1499" s="5">
        <v>20.0</v>
      </c>
      <c r="N1499" s="8">
        <v>46134.0</v>
      </c>
    </row>
    <row r="1500">
      <c r="A1500" s="5">
        <v>1499.0</v>
      </c>
      <c r="B1500" s="5" t="s">
        <v>2075</v>
      </c>
      <c r="C1500" s="5" t="s">
        <v>20</v>
      </c>
      <c r="K1500" s="5">
        <v>70.0</v>
      </c>
      <c r="N1500" s="8">
        <v>44629.0</v>
      </c>
    </row>
    <row r="1501">
      <c r="A1501" s="5">
        <v>1500.0</v>
      </c>
      <c r="B1501" s="5" t="s">
        <v>2076</v>
      </c>
      <c r="C1501" s="5" t="s">
        <v>20</v>
      </c>
      <c r="K1501" s="5">
        <v>10.0</v>
      </c>
      <c r="N1501" s="8">
        <v>44979.0</v>
      </c>
    </row>
    <row r="1502">
      <c r="A1502" s="5">
        <v>1501.0</v>
      </c>
      <c r="B1502" s="5" t="s">
        <v>2077</v>
      </c>
      <c r="C1502" s="5" t="s">
        <v>20</v>
      </c>
      <c r="N1502" s="8">
        <v>44663.0</v>
      </c>
    </row>
    <row r="1503">
      <c r="A1503" s="5">
        <v>1502.0</v>
      </c>
      <c r="B1503" s="5" t="s">
        <v>2078</v>
      </c>
      <c r="C1503" s="5" t="s">
        <v>20</v>
      </c>
      <c r="K1503" s="5">
        <v>100.0</v>
      </c>
      <c r="N1503" s="8">
        <v>45355.0</v>
      </c>
    </row>
    <row r="1504">
      <c r="A1504" s="5">
        <v>1503.0</v>
      </c>
      <c r="B1504" s="5" t="s">
        <v>82</v>
      </c>
      <c r="C1504" s="5" t="s">
        <v>20</v>
      </c>
      <c r="K1504" s="5">
        <v>40.0</v>
      </c>
      <c r="N1504" s="8">
        <v>44946.0</v>
      </c>
    </row>
    <row r="1505">
      <c r="A1505" s="5">
        <v>1504.0</v>
      </c>
      <c r="B1505" s="5" t="s">
        <v>2079</v>
      </c>
      <c r="C1505" s="5" t="s">
        <v>20</v>
      </c>
      <c r="K1505" s="5">
        <v>10.0</v>
      </c>
      <c r="N1505" s="8">
        <v>44486.0</v>
      </c>
    </row>
    <row r="1506">
      <c r="A1506" s="5">
        <v>1505.0</v>
      </c>
      <c r="B1506" s="5" t="s">
        <v>2080</v>
      </c>
      <c r="C1506" s="5" t="s">
        <v>20</v>
      </c>
      <c r="K1506" s="5">
        <v>100.0</v>
      </c>
      <c r="N1506" s="8">
        <v>44540.0</v>
      </c>
    </row>
    <row r="1507">
      <c r="A1507" s="5">
        <v>1506.0</v>
      </c>
      <c r="B1507" s="5" t="s">
        <v>2081</v>
      </c>
      <c r="C1507" s="5" t="s">
        <v>20</v>
      </c>
      <c r="K1507" s="5">
        <v>30.0</v>
      </c>
      <c r="N1507" s="8">
        <v>44176.0</v>
      </c>
    </row>
    <row r="1508">
      <c r="A1508" s="5">
        <v>1507.0</v>
      </c>
      <c r="B1508" s="5" t="s">
        <v>2082</v>
      </c>
      <c r="C1508" s="5" t="s">
        <v>20</v>
      </c>
      <c r="K1508" s="5">
        <v>150.0</v>
      </c>
      <c r="N1508" s="8">
        <v>44962.0</v>
      </c>
    </row>
    <row r="1509">
      <c r="A1509" s="5">
        <v>1508.0</v>
      </c>
      <c r="B1509" s="5" t="s">
        <v>2083</v>
      </c>
      <c r="C1509" s="5" t="s">
        <v>20</v>
      </c>
      <c r="K1509" s="5">
        <v>150.0</v>
      </c>
      <c r="N1509" s="8">
        <v>45001.0</v>
      </c>
    </row>
    <row r="1510">
      <c r="A1510" s="5">
        <v>1509.0</v>
      </c>
      <c r="B1510" s="5" t="s">
        <v>2084</v>
      </c>
      <c r="C1510" s="5" t="s">
        <v>20</v>
      </c>
      <c r="K1510" s="5">
        <v>50.0</v>
      </c>
      <c r="N1510" s="8">
        <v>45157.0</v>
      </c>
    </row>
    <row r="1511">
      <c r="A1511" s="5">
        <v>1510.0</v>
      </c>
      <c r="B1511" s="5" t="s">
        <v>2085</v>
      </c>
      <c r="C1511" s="5" t="s">
        <v>20</v>
      </c>
      <c r="N1511" s="8">
        <v>45034.0</v>
      </c>
    </row>
    <row r="1512">
      <c r="A1512" s="5">
        <v>1511.0</v>
      </c>
      <c r="B1512" s="5" t="s">
        <v>2086</v>
      </c>
      <c r="C1512" s="5" t="s">
        <v>20</v>
      </c>
      <c r="N1512" s="8">
        <v>44781.0</v>
      </c>
    </row>
    <row r="1513">
      <c r="A1513" s="5">
        <v>1512.0</v>
      </c>
      <c r="B1513" s="5" t="s">
        <v>168</v>
      </c>
      <c r="C1513" s="5" t="s">
        <v>20</v>
      </c>
      <c r="K1513" s="5">
        <v>150.0</v>
      </c>
      <c r="N1513" s="8">
        <v>44908.0</v>
      </c>
    </row>
    <row r="1514">
      <c r="A1514" s="5">
        <v>1513.0</v>
      </c>
      <c r="B1514" s="5" t="s">
        <v>2087</v>
      </c>
      <c r="C1514" s="5" t="s">
        <v>20</v>
      </c>
      <c r="K1514" s="5">
        <v>500.0</v>
      </c>
      <c r="N1514" s="8">
        <v>45068.0</v>
      </c>
    </row>
    <row r="1515">
      <c r="A1515" s="5">
        <v>1514.0</v>
      </c>
      <c r="B1515" s="5" t="s">
        <v>2088</v>
      </c>
      <c r="C1515" s="5" t="s">
        <v>20</v>
      </c>
      <c r="N1515" s="8">
        <v>44744.0</v>
      </c>
    </row>
    <row r="1516">
      <c r="A1516" s="5">
        <v>1515.0</v>
      </c>
      <c r="B1516" s="5" t="s">
        <v>2089</v>
      </c>
      <c r="C1516" s="5" t="s">
        <v>20</v>
      </c>
      <c r="K1516" s="5">
        <v>90.0</v>
      </c>
      <c r="N1516" s="8">
        <v>44314.0</v>
      </c>
    </row>
    <row r="1517">
      <c r="A1517" s="5">
        <v>1516.0</v>
      </c>
      <c r="B1517" s="5" t="s">
        <v>2090</v>
      </c>
      <c r="C1517" s="5" t="s">
        <v>20</v>
      </c>
      <c r="K1517" s="5">
        <v>150.0</v>
      </c>
      <c r="N1517" s="8">
        <v>45347.0</v>
      </c>
    </row>
    <row r="1518">
      <c r="A1518" s="5">
        <v>1517.0</v>
      </c>
      <c r="B1518" s="5" t="s">
        <v>2091</v>
      </c>
      <c r="C1518" s="5" t="s">
        <v>20</v>
      </c>
      <c r="K1518" s="5">
        <v>90.0</v>
      </c>
      <c r="N1518" s="8">
        <v>44590.0</v>
      </c>
    </row>
    <row r="1519">
      <c r="A1519" s="5">
        <v>1518.0</v>
      </c>
      <c r="B1519" s="5" t="s">
        <v>2092</v>
      </c>
      <c r="C1519" s="5" t="s">
        <v>20</v>
      </c>
      <c r="K1519" s="5">
        <v>200.0</v>
      </c>
      <c r="N1519" s="8">
        <v>44922.0</v>
      </c>
    </row>
    <row r="1520">
      <c r="A1520" s="5">
        <v>1519.0</v>
      </c>
      <c r="B1520" s="5" t="s">
        <v>2093</v>
      </c>
      <c r="C1520" s="5" t="s">
        <v>20</v>
      </c>
      <c r="K1520" s="5">
        <v>60.0</v>
      </c>
      <c r="N1520" s="8">
        <v>43876.0</v>
      </c>
    </row>
    <row r="1521">
      <c r="A1521" s="5">
        <v>1520.0</v>
      </c>
      <c r="B1521" s="5" t="s">
        <v>2094</v>
      </c>
      <c r="C1521" s="5" t="s">
        <v>20</v>
      </c>
      <c r="K1521" s="5">
        <v>200.0</v>
      </c>
      <c r="N1521" s="8">
        <v>44661.0</v>
      </c>
    </row>
    <row r="1522">
      <c r="A1522" s="5">
        <v>1521.0</v>
      </c>
      <c r="B1522" s="5" t="s">
        <v>2095</v>
      </c>
      <c r="C1522" s="5" t="s">
        <v>20</v>
      </c>
      <c r="K1522" s="5">
        <v>30.0</v>
      </c>
      <c r="N1522" s="8">
        <v>44488.0</v>
      </c>
    </row>
    <row r="1523">
      <c r="A1523" s="5">
        <v>1522.0</v>
      </c>
      <c r="B1523" s="5" t="s">
        <v>2096</v>
      </c>
      <c r="C1523" s="5" t="s">
        <v>20</v>
      </c>
      <c r="K1523" s="5">
        <v>700.0</v>
      </c>
      <c r="N1523" s="8">
        <v>45405.0</v>
      </c>
    </row>
    <row r="1524">
      <c r="A1524" s="5">
        <v>1523.0</v>
      </c>
      <c r="B1524" s="5" t="s">
        <v>2097</v>
      </c>
      <c r="C1524" s="5" t="s">
        <v>20</v>
      </c>
      <c r="N1524" s="8">
        <v>44034.0</v>
      </c>
    </row>
    <row r="1525">
      <c r="A1525" s="5">
        <v>1524.0</v>
      </c>
      <c r="B1525" s="5" t="s">
        <v>170</v>
      </c>
      <c r="C1525" s="5" t="s">
        <v>20</v>
      </c>
      <c r="K1525" s="5">
        <v>30.0</v>
      </c>
      <c r="N1525" s="8">
        <v>45000.0</v>
      </c>
    </row>
    <row r="1526">
      <c r="A1526" s="5">
        <v>1525.0</v>
      </c>
      <c r="B1526" s="5" t="s">
        <v>2098</v>
      </c>
      <c r="C1526" s="5" t="s">
        <v>20</v>
      </c>
      <c r="K1526" s="5">
        <v>90.0</v>
      </c>
      <c r="N1526" s="8">
        <v>46002.0</v>
      </c>
    </row>
    <row r="1527">
      <c r="A1527" s="5">
        <v>1526.0</v>
      </c>
      <c r="B1527" s="5" t="s">
        <v>2099</v>
      </c>
      <c r="C1527" s="5" t="s">
        <v>20</v>
      </c>
      <c r="K1527" s="5">
        <v>600.0</v>
      </c>
      <c r="N1527" s="8">
        <v>44257.0</v>
      </c>
    </row>
    <row r="1528">
      <c r="A1528" s="5">
        <v>1527.0</v>
      </c>
      <c r="B1528" s="5" t="s">
        <v>2100</v>
      </c>
      <c r="C1528" s="5" t="s">
        <v>20</v>
      </c>
      <c r="N1528" s="8">
        <v>45002.0</v>
      </c>
    </row>
    <row r="1529">
      <c r="A1529" s="5">
        <v>1528.0</v>
      </c>
      <c r="B1529" s="5" t="s">
        <v>2101</v>
      </c>
      <c r="C1529" s="5" t="s">
        <v>20</v>
      </c>
      <c r="N1529" s="8">
        <v>44841.0</v>
      </c>
    </row>
    <row r="1530">
      <c r="A1530" s="5">
        <v>1529.0</v>
      </c>
      <c r="B1530" s="5" t="s">
        <v>2102</v>
      </c>
      <c r="C1530" s="5" t="s">
        <v>20</v>
      </c>
      <c r="K1530" s="5">
        <v>60.0</v>
      </c>
      <c r="N1530" s="8">
        <v>45031.0</v>
      </c>
    </row>
    <row r="1531">
      <c r="A1531" s="5">
        <v>1530.0</v>
      </c>
      <c r="B1531" s="5" t="s">
        <v>2103</v>
      </c>
      <c r="C1531" s="5" t="s">
        <v>20</v>
      </c>
      <c r="K1531" s="5">
        <v>90.0</v>
      </c>
      <c r="N1531" s="8">
        <v>44299.0</v>
      </c>
    </row>
    <row r="1532">
      <c r="A1532" s="5">
        <v>1531.0</v>
      </c>
      <c r="B1532" s="5" t="s">
        <v>2104</v>
      </c>
      <c r="C1532" s="5" t="s">
        <v>20</v>
      </c>
      <c r="K1532" s="5">
        <v>500.0</v>
      </c>
      <c r="N1532" s="8">
        <v>42792.0</v>
      </c>
    </row>
    <row r="1533">
      <c r="A1533" s="5">
        <v>1532.0</v>
      </c>
      <c r="B1533" s="5" t="s">
        <v>2105</v>
      </c>
      <c r="C1533" s="5" t="s">
        <v>20</v>
      </c>
      <c r="K1533" s="5">
        <v>2100.0</v>
      </c>
      <c r="N1533" s="8">
        <v>46083.0</v>
      </c>
    </row>
    <row r="1534">
      <c r="A1534" s="5">
        <v>1533.0</v>
      </c>
      <c r="B1534" s="5" t="s">
        <v>2106</v>
      </c>
      <c r="C1534" s="5" t="s">
        <v>20</v>
      </c>
      <c r="K1534" s="5">
        <v>450.0</v>
      </c>
      <c r="N1534" s="8">
        <v>45340.0</v>
      </c>
    </row>
    <row r="1535">
      <c r="A1535" s="5">
        <v>1534.0</v>
      </c>
      <c r="B1535" s="5" t="s">
        <v>2107</v>
      </c>
      <c r="C1535" s="5" t="s">
        <v>20</v>
      </c>
      <c r="K1535" s="5">
        <v>70.0</v>
      </c>
      <c r="N1535" s="8">
        <v>45619.0</v>
      </c>
    </row>
    <row r="1536">
      <c r="A1536" s="5">
        <v>1535.0</v>
      </c>
      <c r="B1536" s="5" t="s">
        <v>2108</v>
      </c>
      <c r="C1536" s="5" t="s">
        <v>20</v>
      </c>
      <c r="K1536" s="5">
        <v>900.0</v>
      </c>
      <c r="N1536" s="8">
        <v>44323.0</v>
      </c>
    </row>
    <row r="1537">
      <c r="A1537" s="5">
        <v>1536.0</v>
      </c>
      <c r="B1537" s="5" t="s">
        <v>2109</v>
      </c>
      <c r="C1537" s="5" t="s">
        <v>20</v>
      </c>
      <c r="N1537" s="8">
        <v>43252.0</v>
      </c>
    </row>
    <row r="1538">
      <c r="A1538" s="5">
        <v>1537.0</v>
      </c>
      <c r="B1538" s="5" t="s">
        <v>2110</v>
      </c>
      <c r="C1538" s="5" t="s">
        <v>20</v>
      </c>
      <c r="K1538" s="5">
        <v>600.0</v>
      </c>
      <c r="N1538" s="8">
        <v>45602.0</v>
      </c>
    </row>
    <row r="1539">
      <c r="A1539" s="5">
        <v>1538.0</v>
      </c>
      <c r="B1539" s="5" t="s">
        <v>2111</v>
      </c>
      <c r="C1539" s="5" t="s">
        <v>20</v>
      </c>
      <c r="N1539" s="8">
        <v>44247.0</v>
      </c>
    </row>
    <row r="1540">
      <c r="A1540" s="5">
        <v>1539.0</v>
      </c>
      <c r="B1540" s="5" t="s">
        <v>2112</v>
      </c>
      <c r="C1540" s="5" t="s">
        <v>20</v>
      </c>
      <c r="K1540" s="5">
        <v>250.0</v>
      </c>
      <c r="N1540" s="8">
        <v>44394.0</v>
      </c>
    </row>
    <row r="1541">
      <c r="A1541" s="5">
        <v>1540.0</v>
      </c>
      <c r="B1541" s="5" t="s">
        <v>2113</v>
      </c>
      <c r="C1541" s="5" t="s">
        <v>20</v>
      </c>
      <c r="K1541" s="5">
        <v>450.0</v>
      </c>
      <c r="N1541" s="8">
        <v>44703.0</v>
      </c>
    </row>
    <row r="1542">
      <c r="A1542" s="5">
        <v>1541.0</v>
      </c>
      <c r="B1542" s="5" t="s">
        <v>2114</v>
      </c>
      <c r="C1542" s="5" t="s">
        <v>20</v>
      </c>
      <c r="K1542" s="5">
        <v>2000.0</v>
      </c>
      <c r="N1542" s="8">
        <v>44716.0</v>
      </c>
    </row>
    <row r="1543">
      <c r="A1543" s="5">
        <v>1542.0</v>
      </c>
      <c r="B1543" s="5" t="s">
        <v>2115</v>
      </c>
      <c r="C1543" s="5" t="s">
        <v>20</v>
      </c>
      <c r="N1543" s="8">
        <v>44325.0</v>
      </c>
    </row>
    <row r="1544">
      <c r="A1544" s="5">
        <v>1543.0</v>
      </c>
      <c r="B1544" s="5" t="s">
        <v>2116</v>
      </c>
      <c r="C1544" s="5" t="s">
        <v>20</v>
      </c>
      <c r="N1544" s="8">
        <v>44489.0</v>
      </c>
    </row>
    <row r="1545">
      <c r="A1545" s="5">
        <v>1544.0</v>
      </c>
      <c r="B1545" s="5" t="s">
        <v>2117</v>
      </c>
      <c r="C1545" s="5" t="s">
        <v>20</v>
      </c>
      <c r="K1545" s="5">
        <v>21000.0</v>
      </c>
      <c r="N1545" s="8">
        <v>44253.0</v>
      </c>
    </row>
    <row r="1546">
      <c r="A1546" s="5">
        <v>1545.0</v>
      </c>
      <c r="B1546" s="5" t="s">
        <v>2118</v>
      </c>
      <c r="C1546" s="5" t="s">
        <v>20</v>
      </c>
      <c r="K1546" s="5">
        <v>150.0</v>
      </c>
      <c r="N1546" s="8">
        <v>45356.0</v>
      </c>
    </row>
    <row r="1547">
      <c r="A1547" s="5">
        <v>1546.0</v>
      </c>
      <c r="B1547" s="5" t="s">
        <v>2119</v>
      </c>
      <c r="C1547" s="5" t="s">
        <v>20</v>
      </c>
      <c r="K1547" s="5">
        <v>200.0</v>
      </c>
      <c r="N1547" s="8">
        <v>44367.0</v>
      </c>
    </row>
    <row r="1548">
      <c r="A1548" s="5">
        <v>1547.0</v>
      </c>
      <c r="B1548" s="5" t="s">
        <v>2120</v>
      </c>
      <c r="C1548" s="5" t="s">
        <v>20</v>
      </c>
      <c r="K1548" s="5">
        <v>10.0</v>
      </c>
      <c r="N1548" s="8">
        <v>45094.0</v>
      </c>
    </row>
    <row r="1549">
      <c r="A1549" s="5">
        <v>1548.0</v>
      </c>
      <c r="B1549" s="5" t="s">
        <v>2121</v>
      </c>
      <c r="C1549" s="5" t="s">
        <v>20</v>
      </c>
      <c r="K1549" s="5">
        <v>150.0</v>
      </c>
      <c r="N1549" s="8">
        <v>44534.0</v>
      </c>
    </row>
    <row r="1550">
      <c r="A1550" s="5">
        <v>1549.0</v>
      </c>
      <c r="B1550" s="5" t="s">
        <v>2122</v>
      </c>
      <c r="C1550" s="5" t="s">
        <v>20</v>
      </c>
      <c r="K1550" s="5">
        <v>1100.0</v>
      </c>
      <c r="N1550" s="8">
        <v>44097.0</v>
      </c>
    </row>
    <row r="1551">
      <c r="A1551" s="5">
        <v>1550.0</v>
      </c>
      <c r="B1551" s="5" t="s">
        <v>2123</v>
      </c>
      <c r="C1551" s="5" t="s">
        <v>20</v>
      </c>
      <c r="K1551" s="5">
        <v>700.0</v>
      </c>
      <c r="N1551" s="8">
        <v>44187.0</v>
      </c>
    </row>
    <row r="1552">
      <c r="A1552" s="5">
        <v>1551.0</v>
      </c>
      <c r="B1552" s="5" t="s">
        <v>2124</v>
      </c>
      <c r="C1552" s="5" t="s">
        <v>20</v>
      </c>
      <c r="K1552" s="5">
        <v>400.0</v>
      </c>
      <c r="N1552" s="8">
        <v>44634.0</v>
      </c>
    </row>
    <row r="1553">
      <c r="A1553" s="5">
        <v>1552.0</v>
      </c>
      <c r="B1553" s="5" t="s">
        <v>2125</v>
      </c>
      <c r="C1553" s="5" t="s">
        <v>20</v>
      </c>
      <c r="K1553" s="5">
        <v>20.0</v>
      </c>
      <c r="N1553" s="8">
        <v>44371.0</v>
      </c>
    </row>
    <row r="1554">
      <c r="A1554" s="5">
        <v>1553.0</v>
      </c>
      <c r="B1554" s="5" t="s">
        <v>2126</v>
      </c>
      <c r="C1554" s="5" t="s">
        <v>20</v>
      </c>
      <c r="K1554" s="5">
        <v>250.0</v>
      </c>
      <c r="N1554" s="8">
        <v>44060.0</v>
      </c>
    </row>
    <row r="1555">
      <c r="A1555" s="5">
        <v>1554.0</v>
      </c>
      <c r="B1555" s="5" t="s">
        <v>2127</v>
      </c>
      <c r="C1555" s="5" t="s">
        <v>20</v>
      </c>
      <c r="K1555" s="5">
        <v>10.0</v>
      </c>
      <c r="N1555" s="8">
        <v>44227.0</v>
      </c>
    </row>
    <row r="1556">
      <c r="A1556" s="5">
        <v>1555.0</v>
      </c>
      <c r="B1556" s="5" t="s">
        <v>2128</v>
      </c>
      <c r="C1556" s="5" t="s">
        <v>20</v>
      </c>
      <c r="N1556" s="8">
        <v>44426.0</v>
      </c>
    </row>
    <row r="1557">
      <c r="A1557" s="5">
        <v>1556.0</v>
      </c>
      <c r="B1557" s="5" t="s">
        <v>2129</v>
      </c>
      <c r="C1557" s="5" t="s">
        <v>20</v>
      </c>
      <c r="N1557" s="8">
        <v>42477.0</v>
      </c>
    </row>
    <row r="1558">
      <c r="A1558" s="5">
        <v>1557.0</v>
      </c>
      <c r="B1558" s="5" t="s">
        <v>2130</v>
      </c>
      <c r="C1558" s="5" t="s">
        <v>20</v>
      </c>
      <c r="N1558" s="8">
        <v>45396.0</v>
      </c>
    </row>
    <row r="1559">
      <c r="A1559" s="5">
        <v>1558.0</v>
      </c>
      <c r="B1559" s="5" t="s">
        <v>1136</v>
      </c>
      <c r="C1559" s="5" t="s">
        <v>20</v>
      </c>
      <c r="D1559" s="5">
        <v>81.0</v>
      </c>
      <c r="H1559" s="5" t="s">
        <v>19</v>
      </c>
      <c r="I1559" s="9">
        <v>46084.92936342592</v>
      </c>
      <c r="K1559" s="5">
        <v>29000.0</v>
      </c>
      <c r="L1559" s="5">
        <v>13000.0</v>
      </c>
      <c r="M1559" s="5">
        <v>1130000.0</v>
      </c>
      <c r="N1559" s="8">
        <v>42432.0</v>
      </c>
      <c r="O1559" s="5" t="s">
        <v>22</v>
      </c>
      <c r="P1559" s="5" t="s">
        <v>23</v>
      </c>
      <c r="S1559" s="5" t="s">
        <v>26</v>
      </c>
    </row>
    <row r="1560">
      <c r="A1560" s="5">
        <v>1559.0</v>
      </c>
      <c r="B1560" s="5" t="s">
        <v>2131</v>
      </c>
      <c r="C1560" s="5" t="s">
        <v>20</v>
      </c>
      <c r="N1560" s="8">
        <v>44942.0</v>
      </c>
    </row>
    <row r="1561">
      <c r="A1561" s="5">
        <v>1560.0</v>
      </c>
      <c r="B1561" s="5" t="s">
        <v>2132</v>
      </c>
      <c r="C1561" s="5" t="s">
        <v>20</v>
      </c>
      <c r="K1561" s="5">
        <v>40.0</v>
      </c>
      <c r="N1561" s="8">
        <v>45208.0</v>
      </c>
    </row>
    <row r="1562">
      <c r="A1562" s="5">
        <v>1561.0</v>
      </c>
      <c r="B1562" s="5" t="s">
        <v>2133</v>
      </c>
      <c r="C1562" s="5" t="s">
        <v>20</v>
      </c>
      <c r="K1562" s="5">
        <v>250.0</v>
      </c>
      <c r="N1562" s="8">
        <v>45580.0</v>
      </c>
    </row>
    <row r="1563">
      <c r="A1563" s="5">
        <v>1562.0</v>
      </c>
      <c r="B1563" s="5" t="s">
        <v>2134</v>
      </c>
      <c r="C1563" s="5" t="s">
        <v>20</v>
      </c>
      <c r="N1563" s="8">
        <v>46116.0</v>
      </c>
    </row>
    <row r="1564">
      <c r="A1564" s="5">
        <v>1563.0</v>
      </c>
      <c r="B1564" s="5" t="s">
        <v>2135</v>
      </c>
      <c r="C1564" s="5" t="s">
        <v>20</v>
      </c>
      <c r="K1564" s="5">
        <v>150.0</v>
      </c>
      <c r="N1564" s="8">
        <v>44359.0</v>
      </c>
    </row>
    <row r="1565">
      <c r="A1565" s="5">
        <v>1564.0</v>
      </c>
      <c r="B1565" s="5" t="s">
        <v>2136</v>
      </c>
      <c r="C1565" s="5" t="s">
        <v>20</v>
      </c>
      <c r="N1565" s="8">
        <v>45075.0</v>
      </c>
    </row>
    <row r="1566">
      <c r="A1566" s="5">
        <v>1565.0</v>
      </c>
      <c r="B1566" s="5" t="s">
        <v>2137</v>
      </c>
      <c r="C1566" s="5" t="s">
        <v>20</v>
      </c>
      <c r="K1566" s="5">
        <v>3600.0</v>
      </c>
      <c r="N1566" s="8">
        <v>44649.0</v>
      </c>
    </row>
    <row r="1567">
      <c r="A1567" s="5">
        <v>1566.0</v>
      </c>
      <c r="B1567" s="5" t="s">
        <v>2138</v>
      </c>
      <c r="C1567" s="5" t="s">
        <v>20</v>
      </c>
      <c r="K1567" s="5">
        <v>100.0</v>
      </c>
      <c r="N1567" s="8">
        <v>44893.0</v>
      </c>
    </row>
    <row r="1568">
      <c r="A1568" s="5">
        <v>1567.0</v>
      </c>
      <c r="B1568" s="5" t="s">
        <v>2139</v>
      </c>
      <c r="C1568" s="5" t="s">
        <v>20</v>
      </c>
      <c r="N1568" s="8">
        <v>44860.0</v>
      </c>
    </row>
    <row r="1569">
      <c r="A1569" s="5">
        <v>1568.0</v>
      </c>
      <c r="B1569" s="5" t="s">
        <v>2140</v>
      </c>
      <c r="C1569" s="5" t="s">
        <v>20</v>
      </c>
      <c r="K1569" s="5">
        <v>10.0</v>
      </c>
      <c r="N1569" s="8">
        <v>44530.0</v>
      </c>
    </row>
    <row r="1570">
      <c r="A1570" s="5">
        <v>1569.0</v>
      </c>
      <c r="B1570" s="5" t="s">
        <v>2141</v>
      </c>
      <c r="C1570" s="5" t="s">
        <v>20</v>
      </c>
      <c r="N1570" s="8">
        <v>44383.0</v>
      </c>
    </row>
    <row r="1571">
      <c r="A1571" s="5">
        <v>1570.0</v>
      </c>
      <c r="B1571" s="5" t="s">
        <v>2142</v>
      </c>
      <c r="C1571" s="5" t="s">
        <v>20</v>
      </c>
      <c r="K1571" s="5">
        <v>70.0</v>
      </c>
      <c r="N1571" s="8">
        <v>44630.0</v>
      </c>
    </row>
    <row r="1572">
      <c r="A1572" s="5">
        <v>1571.0</v>
      </c>
      <c r="B1572" s="5" t="s">
        <v>2143</v>
      </c>
      <c r="C1572" s="5" t="s">
        <v>20</v>
      </c>
      <c r="K1572" s="5">
        <v>10.0</v>
      </c>
      <c r="N1572" s="8">
        <v>44917.0</v>
      </c>
    </row>
    <row r="1573">
      <c r="A1573" s="5">
        <v>1572.0</v>
      </c>
      <c r="B1573" s="5" t="s">
        <v>2144</v>
      </c>
      <c r="C1573" s="5" t="s">
        <v>20</v>
      </c>
      <c r="K1573" s="5">
        <v>10.0</v>
      </c>
      <c r="N1573" s="8">
        <v>45585.0</v>
      </c>
    </row>
    <row r="1574">
      <c r="A1574" s="5">
        <v>1573.0</v>
      </c>
      <c r="B1574" s="5" t="s">
        <v>2145</v>
      </c>
      <c r="C1574" s="5" t="s">
        <v>20</v>
      </c>
      <c r="K1574" s="5">
        <v>40.0</v>
      </c>
      <c r="N1574" s="8">
        <v>44524.0</v>
      </c>
    </row>
    <row r="1575">
      <c r="A1575" s="5">
        <v>1574.0</v>
      </c>
      <c r="B1575" s="5" t="s">
        <v>2146</v>
      </c>
      <c r="C1575" s="5" t="s">
        <v>20</v>
      </c>
      <c r="K1575" s="5">
        <v>800.0</v>
      </c>
      <c r="N1575" s="8">
        <v>45831.0</v>
      </c>
    </row>
    <row r="1576">
      <c r="A1576" s="5">
        <v>1575.0</v>
      </c>
      <c r="B1576" s="5" t="s">
        <v>2147</v>
      </c>
      <c r="C1576" s="5" t="s">
        <v>20</v>
      </c>
      <c r="K1576" s="5">
        <v>30.0</v>
      </c>
      <c r="N1576" s="8">
        <v>45469.0</v>
      </c>
    </row>
    <row r="1577">
      <c r="A1577" s="5">
        <v>1576.0</v>
      </c>
      <c r="B1577" s="5" t="s">
        <v>2148</v>
      </c>
      <c r="C1577" s="5" t="s">
        <v>20</v>
      </c>
      <c r="K1577" s="5">
        <v>450.0</v>
      </c>
      <c r="N1577" s="8">
        <v>44196.0</v>
      </c>
    </row>
    <row r="1578">
      <c r="A1578" s="5">
        <v>1577.0</v>
      </c>
      <c r="B1578" s="5" t="s">
        <v>2149</v>
      </c>
      <c r="C1578" s="5" t="s">
        <v>20</v>
      </c>
      <c r="K1578" s="5">
        <v>8100.0</v>
      </c>
      <c r="N1578" s="8">
        <v>45608.0</v>
      </c>
    </row>
    <row r="1579">
      <c r="A1579" s="5">
        <v>1578.0</v>
      </c>
      <c r="B1579" s="5" t="s">
        <v>2150</v>
      </c>
      <c r="C1579" s="5" t="s">
        <v>20</v>
      </c>
      <c r="K1579" s="5">
        <v>800.0</v>
      </c>
      <c r="N1579" s="8">
        <v>44292.0</v>
      </c>
    </row>
    <row r="1580">
      <c r="A1580" s="5">
        <v>1579.0</v>
      </c>
      <c r="B1580" s="5" t="s">
        <v>2151</v>
      </c>
      <c r="C1580" s="5" t="s">
        <v>20</v>
      </c>
      <c r="K1580" s="5">
        <v>20.0</v>
      </c>
      <c r="N1580" s="8">
        <v>44663.0</v>
      </c>
    </row>
    <row r="1581">
      <c r="A1581" s="5">
        <v>1580.0</v>
      </c>
      <c r="B1581" s="5" t="s">
        <v>2152</v>
      </c>
      <c r="C1581" s="5" t="s">
        <v>20</v>
      </c>
      <c r="K1581" s="5">
        <v>80.0</v>
      </c>
      <c r="N1581" s="8">
        <v>45224.0</v>
      </c>
    </row>
    <row r="1582">
      <c r="A1582" s="5">
        <v>1581.0</v>
      </c>
      <c r="B1582" s="5" t="s">
        <v>2153</v>
      </c>
      <c r="C1582" s="5" t="s">
        <v>20</v>
      </c>
      <c r="K1582" s="5">
        <v>100.0</v>
      </c>
      <c r="N1582" s="8">
        <v>44725.0</v>
      </c>
    </row>
    <row r="1583">
      <c r="A1583" s="5">
        <v>1582.0</v>
      </c>
      <c r="B1583" s="5" t="s">
        <v>2154</v>
      </c>
      <c r="C1583" s="5" t="s">
        <v>20</v>
      </c>
      <c r="K1583" s="5">
        <v>150.0</v>
      </c>
      <c r="N1583" s="8">
        <v>44575.0</v>
      </c>
    </row>
    <row r="1584">
      <c r="A1584" s="5">
        <v>1583.0</v>
      </c>
      <c r="B1584" s="5" t="s">
        <v>2155</v>
      </c>
      <c r="C1584" s="5" t="s">
        <v>20</v>
      </c>
      <c r="K1584" s="5">
        <v>10.0</v>
      </c>
      <c r="N1584" s="8">
        <v>44262.0</v>
      </c>
    </row>
    <row r="1585">
      <c r="A1585" s="5">
        <v>1584.0</v>
      </c>
      <c r="B1585" s="5" t="s">
        <v>2156</v>
      </c>
      <c r="C1585" s="5" t="s">
        <v>20</v>
      </c>
      <c r="N1585" s="8">
        <v>44324.0</v>
      </c>
    </row>
    <row r="1586">
      <c r="A1586" s="5">
        <v>1585.0</v>
      </c>
      <c r="B1586" s="5" t="s">
        <v>176</v>
      </c>
      <c r="C1586" s="5" t="s">
        <v>20</v>
      </c>
      <c r="N1586" s="8">
        <v>44703.0</v>
      </c>
    </row>
    <row r="1587">
      <c r="A1587" s="5">
        <v>1586.0</v>
      </c>
      <c r="B1587" s="5" t="s">
        <v>85</v>
      </c>
      <c r="C1587" s="5" t="s">
        <v>20</v>
      </c>
      <c r="K1587" s="5">
        <v>100.0</v>
      </c>
      <c r="N1587" s="8">
        <v>44720.0</v>
      </c>
    </row>
    <row r="1588">
      <c r="A1588" s="5">
        <v>1587.0</v>
      </c>
      <c r="B1588" s="5" t="s">
        <v>2157</v>
      </c>
      <c r="C1588" s="5" t="s">
        <v>20</v>
      </c>
      <c r="N1588" s="8">
        <v>44860.0</v>
      </c>
    </row>
    <row r="1589">
      <c r="A1589" s="5">
        <v>1588.0</v>
      </c>
      <c r="B1589" s="5" t="s">
        <v>2158</v>
      </c>
      <c r="C1589" s="5" t="s">
        <v>20</v>
      </c>
      <c r="K1589" s="5">
        <v>1500.0</v>
      </c>
      <c r="N1589" s="8">
        <v>45357.0</v>
      </c>
    </row>
    <row r="1590">
      <c r="A1590" s="5">
        <v>1589.0</v>
      </c>
      <c r="B1590" s="5" t="s">
        <v>2159</v>
      </c>
      <c r="C1590" s="5" t="s">
        <v>20</v>
      </c>
      <c r="N1590" s="8">
        <v>44707.0</v>
      </c>
    </row>
    <row r="1591">
      <c r="A1591" s="5">
        <v>1590.0</v>
      </c>
      <c r="B1591" s="5" t="s">
        <v>2160</v>
      </c>
      <c r="C1591" s="5" t="s">
        <v>20</v>
      </c>
      <c r="K1591" s="5">
        <v>100.0</v>
      </c>
      <c r="N1591" s="8">
        <v>44336.0</v>
      </c>
    </row>
    <row r="1592">
      <c r="A1592" s="5">
        <v>1591.0</v>
      </c>
      <c r="B1592" s="5" t="s">
        <v>2161</v>
      </c>
      <c r="C1592" s="5" t="s">
        <v>20</v>
      </c>
      <c r="K1592" s="5">
        <v>10.0</v>
      </c>
      <c r="N1592" s="8">
        <v>46131.0</v>
      </c>
    </row>
    <row r="1593">
      <c r="A1593" s="5">
        <v>1592.0</v>
      </c>
      <c r="B1593" s="5" t="s">
        <v>2162</v>
      </c>
      <c r="C1593" s="5" t="s">
        <v>20</v>
      </c>
      <c r="K1593" s="5">
        <v>150.0</v>
      </c>
      <c r="N1593" s="8">
        <v>45297.0</v>
      </c>
    </row>
    <row r="1594">
      <c r="A1594" s="5">
        <v>1593.0</v>
      </c>
      <c r="B1594" s="5" t="s">
        <v>2163</v>
      </c>
      <c r="C1594" s="5" t="s">
        <v>20</v>
      </c>
      <c r="K1594" s="5">
        <v>400.0</v>
      </c>
      <c r="N1594" s="8">
        <v>44558.0</v>
      </c>
    </row>
    <row r="1595">
      <c r="A1595" s="5">
        <v>1594.0</v>
      </c>
      <c r="B1595" s="5" t="s">
        <v>2164</v>
      </c>
      <c r="C1595" s="5" t="s">
        <v>20</v>
      </c>
      <c r="N1595" s="8">
        <v>44328.0</v>
      </c>
    </row>
    <row r="1596">
      <c r="A1596" s="5">
        <v>1595.0</v>
      </c>
      <c r="B1596" s="5" t="s">
        <v>2165</v>
      </c>
      <c r="C1596" s="5" t="s">
        <v>20</v>
      </c>
      <c r="K1596" s="5">
        <v>40.0</v>
      </c>
      <c r="N1596" s="8">
        <v>46098.0</v>
      </c>
    </row>
    <row r="1597">
      <c r="A1597" s="5">
        <v>1596.0</v>
      </c>
      <c r="B1597" s="5" t="s">
        <v>2166</v>
      </c>
      <c r="C1597" s="5" t="s">
        <v>20</v>
      </c>
      <c r="K1597" s="5">
        <v>40.0</v>
      </c>
      <c r="N1597" s="8">
        <v>46084.0</v>
      </c>
    </row>
    <row r="1598">
      <c r="A1598" s="5">
        <v>1597.0</v>
      </c>
      <c r="B1598" s="5" t="s">
        <v>2167</v>
      </c>
      <c r="C1598" s="5" t="s">
        <v>20</v>
      </c>
      <c r="N1598" s="8">
        <v>44712.0</v>
      </c>
    </row>
    <row r="1599">
      <c r="A1599" s="5">
        <v>1598.0</v>
      </c>
      <c r="B1599" s="5" t="s">
        <v>2168</v>
      </c>
      <c r="C1599" s="5" t="s">
        <v>20</v>
      </c>
      <c r="K1599" s="5">
        <v>3900.0</v>
      </c>
      <c r="N1599" s="8">
        <v>45951.0</v>
      </c>
    </row>
    <row r="1600">
      <c r="A1600" s="5">
        <v>1599.0</v>
      </c>
      <c r="B1600" s="5" t="s">
        <v>2169</v>
      </c>
      <c r="C1600" s="5" t="s">
        <v>20</v>
      </c>
      <c r="N1600" s="8">
        <v>44254.0</v>
      </c>
    </row>
    <row r="1601">
      <c r="A1601" s="5">
        <v>1600.0</v>
      </c>
      <c r="B1601" s="5" t="s">
        <v>2170</v>
      </c>
      <c r="C1601" s="5" t="s">
        <v>20</v>
      </c>
      <c r="K1601" s="5">
        <v>150.0</v>
      </c>
      <c r="N1601" s="8">
        <v>45044.0</v>
      </c>
    </row>
    <row r="1602">
      <c r="A1602" s="5">
        <v>1601.0</v>
      </c>
      <c r="B1602" s="5" t="s">
        <v>2171</v>
      </c>
      <c r="C1602" s="5" t="s">
        <v>20</v>
      </c>
      <c r="K1602" s="5">
        <v>80.0</v>
      </c>
      <c r="N1602" s="8">
        <v>44996.0</v>
      </c>
    </row>
    <row r="1603">
      <c r="A1603" s="5">
        <v>1602.0</v>
      </c>
      <c r="B1603" s="5" t="s">
        <v>2172</v>
      </c>
      <c r="C1603" s="5" t="s">
        <v>20</v>
      </c>
      <c r="K1603" s="5">
        <v>20.0</v>
      </c>
      <c r="N1603" s="8">
        <v>44581.0</v>
      </c>
    </row>
    <row r="1604">
      <c r="A1604" s="5">
        <v>1603.0</v>
      </c>
      <c r="B1604" s="5" t="s">
        <v>2173</v>
      </c>
      <c r="C1604" s="5" t="s">
        <v>20</v>
      </c>
      <c r="K1604" s="5">
        <v>100.0</v>
      </c>
      <c r="N1604" s="8">
        <v>44607.0</v>
      </c>
    </row>
    <row r="1605">
      <c r="A1605" s="5">
        <v>1604.0</v>
      </c>
      <c r="B1605" s="5" t="s">
        <v>2174</v>
      </c>
      <c r="C1605" s="5" t="s">
        <v>20</v>
      </c>
      <c r="N1605" s="8">
        <v>44670.0</v>
      </c>
    </row>
    <row r="1606">
      <c r="A1606" s="5">
        <v>1605.0</v>
      </c>
      <c r="B1606" s="5" t="s">
        <v>2175</v>
      </c>
      <c r="C1606" s="5" t="s">
        <v>20</v>
      </c>
      <c r="K1606" s="5">
        <v>80.0</v>
      </c>
      <c r="N1606" s="8">
        <v>44424.0</v>
      </c>
    </row>
    <row r="1607">
      <c r="A1607" s="5">
        <v>1606.0</v>
      </c>
      <c r="B1607" s="5" t="s">
        <v>2176</v>
      </c>
      <c r="C1607" s="5" t="s">
        <v>20</v>
      </c>
      <c r="K1607" s="5">
        <v>40.0</v>
      </c>
      <c r="N1607" s="8">
        <v>44423.0</v>
      </c>
    </row>
    <row r="1608">
      <c r="A1608" s="5">
        <v>1607.0</v>
      </c>
      <c r="B1608" s="5" t="s">
        <v>2177</v>
      </c>
      <c r="C1608" s="5" t="s">
        <v>20</v>
      </c>
      <c r="K1608" s="5">
        <v>40.0</v>
      </c>
      <c r="N1608" s="8">
        <v>45443.0</v>
      </c>
    </row>
    <row r="1609">
      <c r="A1609" s="5">
        <v>1608.0</v>
      </c>
      <c r="B1609" s="5" t="s">
        <v>2178</v>
      </c>
      <c r="C1609" s="5" t="s">
        <v>20</v>
      </c>
      <c r="N1609" s="8">
        <v>44434.0</v>
      </c>
    </row>
    <row r="1610">
      <c r="A1610" s="5">
        <v>1609.0</v>
      </c>
      <c r="B1610" s="5" t="s">
        <v>2179</v>
      </c>
      <c r="C1610" s="5" t="s">
        <v>20</v>
      </c>
      <c r="K1610" s="5">
        <v>200.0</v>
      </c>
      <c r="N1610" s="8">
        <v>44626.0</v>
      </c>
    </row>
    <row r="1611">
      <c r="A1611" s="5">
        <v>1610.0</v>
      </c>
      <c r="B1611" s="5" t="s">
        <v>2180</v>
      </c>
      <c r="C1611" s="5" t="s">
        <v>20</v>
      </c>
      <c r="K1611" s="5">
        <v>300.0</v>
      </c>
      <c r="N1611" s="8">
        <v>44075.0</v>
      </c>
    </row>
    <row r="1612">
      <c r="A1612" s="5">
        <v>1611.0</v>
      </c>
      <c r="B1612" s="5" t="s">
        <v>2181</v>
      </c>
      <c r="C1612" s="5" t="s">
        <v>20</v>
      </c>
      <c r="K1612" s="5">
        <v>20.0</v>
      </c>
      <c r="N1612" s="8">
        <v>45374.0</v>
      </c>
    </row>
    <row r="1613">
      <c r="A1613" s="5">
        <v>1612.0</v>
      </c>
      <c r="B1613" s="5" t="s">
        <v>2182</v>
      </c>
      <c r="C1613" s="5" t="s">
        <v>20</v>
      </c>
      <c r="K1613" s="5">
        <v>60.0</v>
      </c>
      <c r="N1613" s="8">
        <v>44923.0</v>
      </c>
    </row>
    <row r="1614">
      <c r="A1614" s="5">
        <v>1613.0</v>
      </c>
      <c r="B1614" s="5" t="s">
        <v>2183</v>
      </c>
      <c r="C1614" s="5" t="s">
        <v>20</v>
      </c>
      <c r="K1614" s="5">
        <v>10.0</v>
      </c>
      <c r="N1614" s="8">
        <v>44257.0</v>
      </c>
    </row>
    <row r="1615">
      <c r="A1615" s="5">
        <v>1614.0</v>
      </c>
      <c r="B1615" s="5" t="s">
        <v>2184</v>
      </c>
      <c r="C1615" s="5" t="s">
        <v>20</v>
      </c>
      <c r="K1615" s="5">
        <v>3700.0</v>
      </c>
      <c r="N1615" s="8">
        <v>44946.0</v>
      </c>
    </row>
    <row r="1616">
      <c r="A1616" s="5">
        <v>1615.0</v>
      </c>
      <c r="B1616" s="5" t="s">
        <v>2185</v>
      </c>
      <c r="C1616" s="5" t="s">
        <v>20</v>
      </c>
      <c r="K1616" s="5">
        <v>150.0</v>
      </c>
      <c r="N1616" s="8">
        <v>44489.0</v>
      </c>
    </row>
    <row r="1617">
      <c r="A1617" s="5">
        <v>1616.0</v>
      </c>
      <c r="B1617" s="5" t="s">
        <v>2186</v>
      </c>
      <c r="C1617" s="5" t="s">
        <v>20</v>
      </c>
      <c r="K1617" s="5">
        <v>5100.0</v>
      </c>
      <c r="N1617" s="8">
        <v>43442.0</v>
      </c>
    </row>
    <row r="1618">
      <c r="A1618" s="5">
        <v>1617.0</v>
      </c>
      <c r="B1618" s="5" t="s">
        <v>2187</v>
      </c>
      <c r="C1618" s="5" t="s">
        <v>20</v>
      </c>
      <c r="K1618" s="5">
        <v>600.0</v>
      </c>
      <c r="N1618" s="8">
        <v>44858.0</v>
      </c>
    </row>
    <row r="1619">
      <c r="A1619" s="5">
        <v>1618.0</v>
      </c>
      <c r="B1619" s="5" t="s">
        <v>2188</v>
      </c>
      <c r="C1619" s="5" t="s">
        <v>20</v>
      </c>
      <c r="K1619" s="5">
        <v>600.0</v>
      </c>
      <c r="N1619" s="8">
        <v>44552.0</v>
      </c>
    </row>
    <row r="1620">
      <c r="A1620" s="5">
        <v>1619.0</v>
      </c>
      <c r="B1620" s="5" t="s">
        <v>2189</v>
      </c>
      <c r="C1620" s="5" t="s">
        <v>20</v>
      </c>
      <c r="K1620" s="5">
        <v>600.0</v>
      </c>
      <c r="N1620" s="8">
        <v>43878.0</v>
      </c>
    </row>
    <row r="1621">
      <c r="A1621" s="5">
        <v>1620.0</v>
      </c>
      <c r="B1621" s="5" t="s">
        <v>2190</v>
      </c>
      <c r="C1621" s="5" t="s">
        <v>20</v>
      </c>
      <c r="K1621" s="5">
        <v>100.0</v>
      </c>
      <c r="N1621" s="8">
        <v>44293.0</v>
      </c>
    </row>
    <row r="1622">
      <c r="A1622" s="5">
        <v>1621.0</v>
      </c>
      <c r="B1622" s="5" t="s">
        <v>2191</v>
      </c>
      <c r="C1622" s="5" t="s">
        <v>20</v>
      </c>
      <c r="K1622" s="5">
        <v>1300.0</v>
      </c>
      <c r="N1622" s="8">
        <v>44425.0</v>
      </c>
    </row>
    <row r="1623">
      <c r="A1623" s="5">
        <v>1622.0</v>
      </c>
      <c r="B1623" s="5" t="s">
        <v>2192</v>
      </c>
      <c r="C1623" s="5" t="s">
        <v>20</v>
      </c>
      <c r="K1623" s="5">
        <v>40.0</v>
      </c>
      <c r="N1623" s="8">
        <v>44281.0</v>
      </c>
    </row>
    <row r="1624">
      <c r="A1624" s="5">
        <v>1623.0</v>
      </c>
      <c r="B1624" s="5" t="s">
        <v>2193</v>
      </c>
      <c r="C1624" s="5" t="s">
        <v>20</v>
      </c>
      <c r="K1624" s="5">
        <v>30.0</v>
      </c>
      <c r="N1624" s="8">
        <v>45271.0</v>
      </c>
    </row>
    <row r="1625">
      <c r="A1625" s="5">
        <v>1624.0</v>
      </c>
      <c r="B1625" s="5" t="s">
        <v>2194</v>
      </c>
      <c r="C1625" s="5" t="s">
        <v>20</v>
      </c>
      <c r="K1625" s="5">
        <v>700.0</v>
      </c>
      <c r="N1625" s="8">
        <v>46091.0</v>
      </c>
    </row>
    <row r="1626">
      <c r="A1626" s="5">
        <v>1625.0</v>
      </c>
      <c r="B1626" s="5" t="s">
        <v>2195</v>
      </c>
      <c r="C1626" s="5" t="s">
        <v>20</v>
      </c>
      <c r="N1626" s="8">
        <v>42962.0</v>
      </c>
    </row>
    <row r="1627">
      <c r="A1627" s="5">
        <v>1626.0</v>
      </c>
      <c r="B1627" s="5" t="s">
        <v>2196</v>
      </c>
      <c r="C1627" s="5" t="s">
        <v>20</v>
      </c>
      <c r="K1627" s="5">
        <v>40.0</v>
      </c>
      <c r="N1627" s="8">
        <v>44874.0</v>
      </c>
    </row>
    <row r="1628">
      <c r="A1628" s="5">
        <v>1627.0</v>
      </c>
      <c r="B1628" s="5" t="s">
        <v>2197</v>
      </c>
      <c r="C1628" s="5" t="s">
        <v>20</v>
      </c>
      <c r="N1628" s="8">
        <v>45123.0</v>
      </c>
    </row>
    <row r="1629">
      <c r="A1629" s="5">
        <v>1628.0</v>
      </c>
      <c r="B1629" s="5" t="s">
        <v>2198</v>
      </c>
      <c r="C1629" s="5" t="s">
        <v>20</v>
      </c>
      <c r="K1629" s="5">
        <v>200.0</v>
      </c>
      <c r="N1629" s="8">
        <v>44334.0</v>
      </c>
    </row>
    <row r="1630">
      <c r="A1630" s="5">
        <v>1629.0</v>
      </c>
      <c r="B1630" s="5" t="s">
        <v>2199</v>
      </c>
      <c r="C1630" s="5" t="s">
        <v>20</v>
      </c>
      <c r="K1630" s="5">
        <v>30.0</v>
      </c>
      <c r="N1630" s="8">
        <v>44978.0</v>
      </c>
    </row>
    <row r="1631">
      <c r="A1631" s="5">
        <v>1630.0</v>
      </c>
      <c r="B1631" s="5" t="s">
        <v>2200</v>
      </c>
      <c r="C1631" s="5" t="s">
        <v>20</v>
      </c>
      <c r="K1631" s="5">
        <v>150.0</v>
      </c>
      <c r="N1631" s="8">
        <v>44839.0</v>
      </c>
    </row>
    <row r="1632">
      <c r="A1632" s="5">
        <v>1631.0</v>
      </c>
      <c r="B1632" s="5" t="s">
        <v>2201</v>
      </c>
      <c r="C1632" s="5" t="s">
        <v>20</v>
      </c>
      <c r="K1632" s="5">
        <v>70.0</v>
      </c>
      <c r="N1632" s="8">
        <v>45032.0</v>
      </c>
    </row>
    <row r="1633">
      <c r="A1633" s="5">
        <v>1632.0</v>
      </c>
      <c r="B1633" s="5" t="s">
        <v>2202</v>
      </c>
      <c r="C1633" s="5" t="s">
        <v>20</v>
      </c>
      <c r="K1633" s="5">
        <v>900.0</v>
      </c>
      <c r="N1633" s="8">
        <v>45491.0</v>
      </c>
    </row>
    <row r="1634">
      <c r="A1634" s="5">
        <v>1633.0</v>
      </c>
      <c r="B1634" s="5" t="s">
        <v>2203</v>
      </c>
      <c r="C1634" s="5" t="s">
        <v>20</v>
      </c>
      <c r="N1634" s="8">
        <v>44915.0</v>
      </c>
    </row>
    <row r="1635">
      <c r="A1635" s="5">
        <v>1634.0</v>
      </c>
      <c r="B1635" s="5" t="s">
        <v>2204</v>
      </c>
      <c r="C1635" s="5" t="s">
        <v>20</v>
      </c>
      <c r="K1635" s="5">
        <v>250.0</v>
      </c>
      <c r="N1635" s="8">
        <v>44506.0</v>
      </c>
    </row>
    <row r="1636">
      <c r="A1636" s="5">
        <v>1635.0</v>
      </c>
      <c r="B1636" s="5" t="s">
        <v>178</v>
      </c>
      <c r="C1636" s="5" t="s">
        <v>20</v>
      </c>
      <c r="K1636" s="5">
        <v>20.0</v>
      </c>
      <c r="N1636" s="8">
        <v>45251.0</v>
      </c>
    </row>
    <row r="1637">
      <c r="A1637" s="5">
        <v>1636.0</v>
      </c>
      <c r="B1637" s="5" t="s">
        <v>2205</v>
      </c>
      <c r="C1637" s="5" t="s">
        <v>20</v>
      </c>
      <c r="K1637" s="5">
        <v>100.0</v>
      </c>
      <c r="N1637" s="8">
        <v>44178.0</v>
      </c>
    </row>
    <row r="1638">
      <c r="A1638" s="5">
        <v>1637.0</v>
      </c>
      <c r="B1638" s="5" t="s">
        <v>2206</v>
      </c>
      <c r="C1638" s="5" t="s">
        <v>20</v>
      </c>
      <c r="K1638" s="5">
        <v>1500.0</v>
      </c>
      <c r="N1638" s="8">
        <v>44283.0</v>
      </c>
    </row>
    <row r="1639">
      <c r="A1639" s="5">
        <v>1638.0</v>
      </c>
      <c r="B1639" s="5" t="s">
        <v>180</v>
      </c>
      <c r="C1639" s="5" t="s">
        <v>20</v>
      </c>
      <c r="K1639" s="5">
        <v>150.0</v>
      </c>
      <c r="N1639" s="8">
        <v>44574.0</v>
      </c>
    </row>
    <row r="1640">
      <c r="A1640" s="5">
        <v>1639.0</v>
      </c>
      <c r="B1640" s="5" t="s">
        <v>2207</v>
      </c>
      <c r="C1640" s="5" t="s">
        <v>20</v>
      </c>
      <c r="K1640" s="5">
        <v>300.0</v>
      </c>
      <c r="N1640" s="8">
        <v>44215.0</v>
      </c>
    </row>
    <row r="1641">
      <c r="A1641" s="5">
        <v>1640.0</v>
      </c>
      <c r="B1641" s="5" t="s">
        <v>2208</v>
      </c>
      <c r="C1641" s="5" t="s">
        <v>20</v>
      </c>
      <c r="K1641" s="5">
        <v>900.0</v>
      </c>
      <c r="N1641" s="8">
        <v>46111.0</v>
      </c>
    </row>
    <row r="1642">
      <c r="A1642" s="5">
        <v>1641.0</v>
      </c>
      <c r="B1642" s="5" t="s">
        <v>2209</v>
      </c>
      <c r="C1642" s="5" t="s">
        <v>20</v>
      </c>
      <c r="K1642" s="5">
        <v>500.0</v>
      </c>
      <c r="N1642" s="8">
        <v>44865.0</v>
      </c>
    </row>
    <row r="1643">
      <c r="A1643" s="5">
        <v>1642.0</v>
      </c>
      <c r="B1643" s="5" t="s">
        <v>2210</v>
      </c>
      <c r="C1643" s="5" t="s">
        <v>20</v>
      </c>
      <c r="K1643" s="5">
        <v>500.0</v>
      </c>
      <c r="N1643" s="8">
        <v>45723.0</v>
      </c>
    </row>
    <row r="1644">
      <c r="A1644" s="5">
        <v>1643.0</v>
      </c>
      <c r="B1644" s="5" t="s">
        <v>2211</v>
      </c>
      <c r="C1644" s="5" t="s">
        <v>20</v>
      </c>
      <c r="N1644" s="8">
        <v>44179.0</v>
      </c>
    </row>
    <row r="1645">
      <c r="A1645" s="5">
        <v>1644.0</v>
      </c>
      <c r="B1645" s="5" t="s">
        <v>2212</v>
      </c>
      <c r="C1645" s="5" t="s">
        <v>20</v>
      </c>
      <c r="K1645" s="5">
        <v>500.0</v>
      </c>
      <c r="N1645" s="8">
        <v>46090.0</v>
      </c>
    </row>
    <row r="1646">
      <c r="A1646" s="5">
        <v>1645.0</v>
      </c>
      <c r="B1646" s="5" t="s">
        <v>2213</v>
      </c>
      <c r="C1646" s="5" t="s">
        <v>20</v>
      </c>
      <c r="K1646" s="5">
        <v>10.0</v>
      </c>
      <c r="N1646" s="8">
        <v>44929.0</v>
      </c>
      <c r="O1646" s="5" t="s">
        <v>50</v>
      </c>
      <c r="P1646" s="5" t="s">
        <v>23</v>
      </c>
      <c r="S1646" s="5" t="s">
        <v>26</v>
      </c>
    </row>
    <row r="1647">
      <c r="A1647" s="5">
        <v>1646.0</v>
      </c>
      <c r="B1647" s="5" t="s">
        <v>2214</v>
      </c>
      <c r="C1647" s="5" t="s">
        <v>20</v>
      </c>
      <c r="K1647" s="5">
        <v>50.0</v>
      </c>
      <c r="N1647" s="8">
        <v>45470.0</v>
      </c>
    </row>
    <row r="1648">
      <c r="A1648" s="5">
        <v>1647.0</v>
      </c>
      <c r="B1648" s="5" t="s">
        <v>2215</v>
      </c>
      <c r="C1648" s="5" t="s">
        <v>20</v>
      </c>
      <c r="K1648" s="5">
        <v>30.0</v>
      </c>
      <c r="N1648" s="8">
        <v>44935.0</v>
      </c>
    </row>
    <row r="1649">
      <c r="A1649" s="5">
        <v>1648.0</v>
      </c>
      <c r="B1649" s="5" t="s">
        <v>2216</v>
      </c>
      <c r="C1649" s="5" t="s">
        <v>20</v>
      </c>
      <c r="K1649" s="5">
        <v>10.0</v>
      </c>
      <c r="N1649" s="8">
        <v>45932.0</v>
      </c>
    </row>
    <row r="1650">
      <c r="A1650" s="5">
        <v>1649.0</v>
      </c>
      <c r="B1650" s="5" t="s">
        <v>2217</v>
      </c>
      <c r="C1650" s="5" t="s">
        <v>20</v>
      </c>
      <c r="K1650" s="5">
        <v>800.0</v>
      </c>
      <c r="N1650" s="8">
        <v>44166.0</v>
      </c>
    </row>
    <row r="1651">
      <c r="A1651" s="5">
        <v>1650.0</v>
      </c>
      <c r="B1651" s="5" t="s">
        <v>2218</v>
      </c>
      <c r="C1651" s="5" t="s">
        <v>20</v>
      </c>
      <c r="N1651" s="8">
        <v>44788.0</v>
      </c>
    </row>
    <row r="1652">
      <c r="A1652" s="5">
        <v>1651.0</v>
      </c>
      <c r="B1652" s="5" t="s">
        <v>2219</v>
      </c>
      <c r="C1652" s="5" t="s">
        <v>20</v>
      </c>
      <c r="K1652" s="5">
        <v>40.0</v>
      </c>
      <c r="N1652" s="8">
        <v>44189.0</v>
      </c>
    </row>
    <row r="1653">
      <c r="A1653" s="5">
        <v>1652.0</v>
      </c>
      <c r="B1653" s="5" t="s">
        <v>2220</v>
      </c>
      <c r="C1653" s="5" t="s">
        <v>20</v>
      </c>
      <c r="K1653" s="5">
        <v>70.0</v>
      </c>
      <c r="N1653" s="8">
        <v>44845.0</v>
      </c>
    </row>
    <row r="1654">
      <c r="A1654" s="5">
        <v>1653.0</v>
      </c>
      <c r="B1654" s="5" t="s">
        <v>2221</v>
      </c>
      <c r="C1654" s="5" t="s">
        <v>20</v>
      </c>
      <c r="K1654" s="5">
        <v>20.0</v>
      </c>
      <c r="N1654" s="8">
        <v>44542.0</v>
      </c>
    </row>
    <row r="1655">
      <c r="A1655" s="5">
        <v>1654.0</v>
      </c>
      <c r="B1655" s="5" t="s">
        <v>2222</v>
      </c>
      <c r="C1655" s="5" t="s">
        <v>20</v>
      </c>
      <c r="K1655" s="5">
        <v>60.0</v>
      </c>
      <c r="N1655" s="8">
        <v>43898.0</v>
      </c>
    </row>
    <row r="1656">
      <c r="A1656" s="5">
        <v>1655.0</v>
      </c>
      <c r="B1656" s="5" t="s">
        <v>2223</v>
      </c>
      <c r="C1656" s="5" t="s">
        <v>20</v>
      </c>
      <c r="N1656" s="8">
        <v>45038.0</v>
      </c>
    </row>
    <row r="1657">
      <c r="A1657" s="5">
        <v>1656.0</v>
      </c>
      <c r="B1657" s="5" t="s">
        <v>2224</v>
      </c>
      <c r="C1657" s="5" t="s">
        <v>20</v>
      </c>
      <c r="K1657" s="5">
        <v>150.0</v>
      </c>
      <c r="N1657" s="8">
        <v>45212.0</v>
      </c>
    </row>
    <row r="1658">
      <c r="A1658" s="5">
        <v>1657.0</v>
      </c>
      <c r="B1658" s="5" t="s">
        <v>2225</v>
      </c>
      <c r="C1658" s="5" t="s">
        <v>20</v>
      </c>
      <c r="K1658" s="5">
        <v>600.0</v>
      </c>
      <c r="N1658" s="8">
        <v>45243.0</v>
      </c>
    </row>
    <row r="1659">
      <c r="A1659" s="5">
        <v>1658.0</v>
      </c>
      <c r="B1659" s="5" t="s">
        <v>2226</v>
      </c>
      <c r="C1659" s="5" t="s">
        <v>20</v>
      </c>
      <c r="K1659" s="5">
        <v>1400.0</v>
      </c>
      <c r="N1659" s="8">
        <v>44059.0</v>
      </c>
    </row>
    <row r="1660">
      <c r="A1660" s="5">
        <v>1659.0</v>
      </c>
      <c r="B1660" s="5" t="s">
        <v>2227</v>
      </c>
      <c r="C1660" s="5" t="s">
        <v>20</v>
      </c>
      <c r="K1660" s="5">
        <v>10.0</v>
      </c>
      <c r="N1660" s="8">
        <v>45412.0</v>
      </c>
    </row>
    <row r="1661">
      <c r="A1661" s="5">
        <v>1660.0</v>
      </c>
      <c r="B1661" s="5" t="s">
        <v>2228</v>
      </c>
      <c r="C1661" s="5" t="s">
        <v>20</v>
      </c>
      <c r="K1661" s="5">
        <v>1200.0</v>
      </c>
      <c r="N1661" s="8">
        <v>46085.0</v>
      </c>
    </row>
    <row r="1662">
      <c r="A1662" s="5">
        <v>1661.0</v>
      </c>
      <c r="B1662" s="5" t="s">
        <v>2229</v>
      </c>
      <c r="C1662" s="5" t="s">
        <v>20</v>
      </c>
      <c r="K1662" s="5">
        <v>350.0</v>
      </c>
      <c r="N1662" s="8">
        <v>44871.0</v>
      </c>
    </row>
    <row r="1663">
      <c r="A1663" s="5">
        <v>1662.0</v>
      </c>
      <c r="B1663" s="5" t="s">
        <v>2230</v>
      </c>
      <c r="C1663" s="5" t="s">
        <v>20</v>
      </c>
      <c r="K1663" s="5">
        <v>200.0</v>
      </c>
      <c r="N1663" s="8">
        <v>45733.0</v>
      </c>
    </row>
    <row r="1664">
      <c r="A1664" s="5">
        <v>1663.0</v>
      </c>
      <c r="B1664" s="5" t="s">
        <v>182</v>
      </c>
      <c r="C1664" s="5" t="s">
        <v>20</v>
      </c>
      <c r="K1664" s="5">
        <v>40.0</v>
      </c>
      <c r="N1664" s="8">
        <v>44397.0</v>
      </c>
    </row>
    <row r="1665">
      <c r="A1665" s="5">
        <v>1664.0</v>
      </c>
      <c r="B1665" s="5" t="s">
        <v>2231</v>
      </c>
      <c r="C1665" s="5" t="s">
        <v>20</v>
      </c>
      <c r="K1665" s="5">
        <v>10.0</v>
      </c>
      <c r="N1665" s="8">
        <v>44394.0</v>
      </c>
    </row>
    <row r="1666">
      <c r="A1666" s="5">
        <v>1665.0</v>
      </c>
      <c r="B1666" s="5" t="s">
        <v>2232</v>
      </c>
      <c r="C1666" s="5" t="s">
        <v>20</v>
      </c>
      <c r="K1666" s="5">
        <v>350.0</v>
      </c>
      <c r="N1666" s="8">
        <v>45763.0</v>
      </c>
    </row>
    <row r="1667">
      <c r="A1667" s="5">
        <v>1666.0</v>
      </c>
      <c r="B1667" s="5" t="s">
        <v>184</v>
      </c>
      <c r="C1667" s="5" t="s">
        <v>20</v>
      </c>
      <c r="K1667" s="5">
        <v>70.0</v>
      </c>
      <c r="N1667" s="8">
        <v>44194.0</v>
      </c>
    </row>
    <row r="1668">
      <c r="A1668" s="5">
        <v>1667.0</v>
      </c>
      <c r="B1668" s="5" t="s">
        <v>2233</v>
      </c>
      <c r="C1668" s="5" t="s">
        <v>20</v>
      </c>
      <c r="K1668" s="5">
        <v>50.0</v>
      </c>
      <c r="N1668" s="8">
        <v>44055.0</v>
      </c>
    </row>
    <row r="1669">
      <c r="A1669" s="5">
        <v>1668.0</v>
      </c>
      <c r="B1669" s="5" t="s">
        <v>185</v>
      </c>
      <c r="C1669" s="5" t="s">
        <v>20</v>
      </c>
      <c r="K1669" s="5">
        <v>600.0</v>
      </c>
      <c r="N1669" s="8">
        <v>44307.0</v>
      </c>
    </row>
    <row r="1670">
      <c r="A1670" s="5">
        <v>1669.0</v>
      </c>
      <c r="B1670" s="5" t="s">
        <v>2234</v>
      </c>
      <c r="C1670" s="5" t="s">
        <v>20</v>
      </c>
      <c r="K1670" s="5">
        <v>50.0</v>
      </c>
      <c r="N1670" s="8">
        <v>45021.0</v>
      </c>
    </row>
    <row r="1671">
      <c r="A1671" s="5">
        <v>1670.0</v>
      </c>
      <c r="B1671" s="5" t="s">
        <v>2235</v>
      </c>
      <c r="C1671" s="5" t="s">
        <v>20</v>
      </c>
      <c r="K1671" s="5">
        <v>100.0</v>
      </c>
      <c r="N1671" s="8">
        <v>44547.0</v>
      </c>
    </row>
    <row r="1672">
      <c r="A1672" s="5">
        <v>1671.0</v>
      </c>
      <c r="B1672" s="5" t="s">
        <v>2236</v>
      </c>
      <c r="C1672" s="5" t="s">
        <v>20</v>
      </c>
      <c r="K1672" s="5">
        <v>200.0</v>
      </c>
      <c r="N1672" s="8">
        <v>44113.0</v>
      </c>
    </row>
    <row r="1673">
      <c r="A1673" s="5">
        <v>1672.0</v>
      </c>
      <c r="B1673" s="5" t="s">
        <v>2237</v>
      </c>
      <c r="C1673" s="5" t="s">
        <v>20</v>
      </c>
      <c r="N1673" s="8">
        <v>44053.0</v>
      </c>
    </row>
    <row r="1674">
      <c r="A1674" s="5">
        <v>1673.0</v>
      </c>
      <c r="B1674" s="5" t="s">
        <v>2238</v>
      </c>
      <c r="C1674" s="5" t="s">
        <v>20</v>
      </c>
      <c r="N1674" s="8">
        <v>44740.0</v>
      </c>
    </row>
    <row r="1675">
      <c r="A1675" s="5">
        <v>1674.0</v>
      </c>
      <c r="B1675" s="5" t="s">
        <v>2239</v>
      </c>
      <c r="C1675" s="5" t="s">
        <v>20</v>
      </c>
      <c r="K1675" s="5">
        <v>30.0</v>
      </c>
      <c r="N1675" s="8">
        <v>44732.0</v>
      </c>
    </row>
    <row r="1676">
      <c r="A1676" s="5">
        <v>1675.0</v>
      </c>
      <c r="B1676" s="5" t="s">
        <v>2240</v>
      </c>
      <c r="C1676" s="5" t="s">
        <v>20</v>
      </c>
      <c r="K1676" s="5">
        <v>700.0</v>
      </c>
      <c r="N1676" s="8">
        <v>45060.0</v>
      </c>
    </row>
    <row r="1677">
      <c r="A1677" s="5">
        <v>1676.0</v>
      </c>
      <c r="B1677" s="5" t="s">
        <v>2241</v>
      </c>
      <c r="C1677" s="5" t="s">
        <v>20</v>
      </c>
      <c r="K1677" s="5">
        <v>200.0</v>
      </c>
      <c r="N1677" s="8">
        <v>43616.0</v>
      </c>
    </row>
    <row r="1678">
      <c r="A1678" s="5">
        <v>1677.0</v>
      </c>
      <c r="B1678" s="5" t="s">
        <v>2242</v>
      </c>
      <c r="C1678" s="5" t="s">
        <v>20</v>
      </c>
      <c r="N1678" s="8">
        <v>44687.0</v>
      </c>
    </row>
    <row r="1679">
      <c r="A1679" s="5">
        <v>1678.0</v>
      </c>
      <c r="B1679" s="5" t="s">
        <v>2243</v>
      </c>
      <c r="C1679" s="5" t="s">
        <v>20</v>
      </c>
      <c r="N1679" s="8">
        <v>44755.0</v>
      </c>
    </row>
    <row r="1680">
      <c r="A1680" s="5">
        <v>1679.0</v>
      </c>
      <c r="B1680" s="5" t="s">
        <v>2244</v>
      </c>
      <c r="C1680" s="5" t="s">
        <v>20</v>
      </c>
      <c r="K1680" s="5">
        <v>1000.0</v>
      </c>
      <c r="N1680" s="8">
        <v>44745.0</v>
      </c>
    </row>
    <row r="1681">
      <c r="A1681" s="5">
        <v>1680.0</v>
      </c>
      <c r="B1681" s="5" t="s">
        <v>2245</v>
      </c>
      <c r="C1681" s="5" t="s">
        <v>20</v>
      </c>
      <c r="K1681" s="5">
        <v>250.0</v>
      </c>
      <c r="N1681" s="8">
        <v>44254.0</v>
      </c>
    </row>
    <row r="1682">
      <c r="A1682" s="5">
        <v>1681.0</v>
      </c>
      <c r="B1682" s="5" t="s">
        <v>2246</v>
      </c>
      <c r="C1682" s="5" t="s">
        <v>20</v>
      </c>
      <c r="K1682" s="5">
        <v>100.0</v>
      </c>
      <c r="N1682" s="8">
        <v>45873.0</v>
      </c>
    </row>
    <row r="1683">
      <c r="A1683" s="5">
        <v>1682.0</v>
      </c>
      <c r="B1683" s="5" t="s">
        <v>2247</v>
      </c>
      <c r="C1683" s="5" t="s">
        <v>20</v>
      </c>
      <c r="K1683" s="5">
        <v>350.0</v>
      </c>
      <c r="N1683" s="8">
        <v>44843.0</v>
      </c>
    </row>
    <row r="1684">
      <c r="A1684" s="5">
        <v>1683.0</v>
      </c>
      <c r="B1684" s="5" t="s">
        <v>2248</v>
      </c>
      <c r="C1684" s="5" t="s">
        <v>20</v>
      </c>
      <c r="N1684" s="8">
        <v>44645.0</v>
      </c>
    </row>
    <row r="1685">
      <c r="A1685" s="5">
        <v>1684.0</v>
      </c>
      <c r="B1685" s="5" t="s">
        <v>2249</v>
      </c>
      <c r="C1685" s="5" t="s">
        <v>20</v>
      </c>
      <c r="N1685" s="8">
        <v>44383.0</v>
      </c>
    </row>
    <row r="1686">
      <c r="A1686" s="5">
        <v>1685.0</v>
      </c>
      <c r="B1686" s="5" t="s">
        <v>2250</v>
      </c>
      <c r="C1686" s="5" t="s">
        <v>20</v>
      </c>
      <c r="N1686" s="8">
        <v>45495.0</v>
      </c>
    </row>
    <row r="1687">
      <c r="A1687" s="5">
        <v>1686.0</v>
      </c>
      <c r="B1687" s="5" t="s">
        <v>2251</v>
      </c>
      <c r="C1687" s="5" t="s">
        <v>20</v>
      </c>
      <c r="K1687" s="5">
        <v>150.0</v>
      </c>
      <c r="N1687" s="8">
        <v>46111.0</v>
      </c>
    </row>
    <row r="1688">
      <c r="A1688" s="5">
        <v>1687.0</v>
      </c>
      <c r="B1688" s="5" t="s">
        <v>2252</v>
      </c>
      <c r="C1688" s="5" t="s">
        <v>20</v>
      </c>
      <c r="N1688" s="8">
        <v>43893.0</v>
      </c>
    </row>
    <row r="1689">
      <c r="A1689" s="5">
        <v>1688.0</v>
      </c>
      <c r="B1689" s="5" t="s">
        <v>2253</v>
      </c>
      <c r="C1689" s="5" t="s">
        <v>20</v>
      </c>
      <c r="K1689" s="5">
        <v>20.0</v>
      </c>
      <c r="N1689" s="8">
        <v>44567.0</v>
      </c>
    </row>
    <row r="1690">
      <c r="A1690" s="5">
        <v>1689.0</v>
      </c>
      <c r="B1690" s="5" t="s">
        <v>2254</v>
      </c>
      <c r="C1690" s="5" t="s">
        <v>20</v>
      </c>
      <c r="K1690" s="5">
        <v>50.0</v>
      </c>
      <c r="N1690" s="8">
        <v>44939.0</v>
      </c>
    </row>
    <row r="1691">
      <c r="A1691" s="5">
        <v>1690.0</v>
      </c>
      <c r="B1691" s="5" t="s">
        <v>2255</v>
      </c>
      <c r="C1691" s="5" t="s">
        <v>20</v>
      </c>
      <c r="K1691" s="5">
        <v>11000.0</v>
      </c>
      <c r="N1691" s="8">
        <v>45232.0</v>
      </c>
    </row>
    <row r="1692">
      <c r="A1692" s="5">
        <v>1691.0</v>
      </c>
      <c r="B1692" s="5" t="s">
        <v>2256</v>
      </c>
      <c r="C1692" s="5" t="s">
        <v>20</v>
      </c>
      <c r="N1692" s="8">
        <v>44968.0</v>
      </c>
    </row>
    <row r="1693">
      <c r="A1693" s="5">
        <v>1692.0</v>
      </c>
      <c r="B1693" s="5" t="s">
        <v>2257</v>
      </c>
      <c r="C1693" s="5" t="s">
        <v>20</v>
      </c>
      <c r="K1693" s="5">
        <v>800.0</v>
      </c>
      <c r="N1693" s="8">
        <v>44581.0</v>
      </c>
    </row>
    <row r="1694">
      <c r="A1694" s="5">
        <v>1693.0</v>
      </c>
      <c r="B1694" s="5" t="s">
        <v>2258</v>
      </c>
      <c r="C1694" s="5" t="s">
        <v>20</v>
      </c>
      <c r="K1694" s="5">
        <v>50.0</v>
      </c>
      <c r="N1694" s="8">
        <v>45265.0</v>
      </c>
    </row>
    <row r="1695">
      <c r="A1695" s="5">
        <v>1694.0</v>
      </c>
      <c r="B1695" s="5" t="s">
        <v>2259</v>
      </c>
      <c r="C1695" s="5" t="s">
        <v>20</v>
      </c>
      <c r="K1695" s="5">
        <v>50.0</v>
      </c>
      <c r="N1695" s="8">
        <v>44787.0</v>
      </c>
    </row>
    <row r="1696">
      <c r="A1696" s="5">
        <v>1695.0</v>
      </c>
      <c r="B1696" s="5" t="s">
        <v>2260</v>
      </c>
      <c r="C1696" s="5" t="s">
        <v>20</v>
      </c>
      <c r="K1696" s="5">
        <v>10.0</v>
      </c>
      <c r="N1696" s="8">
        <v>44860.0</v>
      </c>
    </row>
    <row r="1697">
      <c r="A1697" s="5">
        <v>1696.0</v>
      </c>
      <c r="B1697" s="5" t="s">
        <v>2261</v>
      </c>
      <c r="C1697" s="5" t="s">
        <v>20</v>
      </c>
      <c r="N1697" s="8">
        <v>44267.0</v>
      </c>
    </row>
    <row r="1698">
      <c r="A1698" s="5">
        <v>1697.0</v>
      </c>
      <c r="B1698" s="5" t="s">
        <v>2262</v>
      </c>
      <c r="C1698" s="5" t="s">
        <v>20</v>
      </c>
      <c r="K1698" s="5">
        <v>40.0</v>
      </c>
      <c r="N1698" s="8">
        <v>46117.0</v>
      </c>
    </row>
    <row r="1699">
      <c r="A1699" s="5">
        <v>1698.0</v>
      </c>
      <c r="B1699" s="5" t="s">
        <v>2263</v>
      </c>
      <c r="C1699" s="5" t="s">
        <v>20</v>
      </c>
      <c r="N1699" s="8">
        <v>45122.0</v>
      </c>
    </row>
    <row r="1700">
      <c r="A1700" s="5">
        <v>1699.0</v>
      </c>
      <c r="B1700" s="5" t="s">
        <v>2264</v>
      </c>
      <c r="C1700" s="5" t="s">
        <v>20</v>
      </c>
      <c r="N1700" s="8">
        <v>44494.0</v>
      </c>
    </row>
    <row r="1701">
      <c r="A1701" s="5">
        <v>1700.0</v>
      </c>
      <c r="B1701" s="5" t="s">
        <v>2265</v>
      </c>
      <c r="C1701" s="5" t="s">
        <v>20</v>
      </c>
      <c r="N1701" s="8">
        <v>44257.0</v>
      </c>
    </row>
    <row r="1702">
      <c r="A1702" s="5">
        <v>1701.0</v>
      </c>
      <c r="B1702" s="5" t="s">
        <v>2266</v>
      </c>
      <c r="C1702" s="5" t="s">
        <v>20</v>
      </c>
      <c r="K1702" s="5">
        <v>450.0</v>
      </c>
      <c r="N1702" s="8">
        <v>44197.0</v>
      </c>
    </row>
    <row r="1703">
      <c r="A1703" s="5">
        <v>1702.0</v>
      </c>
      <c r="B1703" s="5" t="s">
        <v>2267</v>
      </c>
      <c r="C1703" s="5" t="s">
        <v>20</v>
      </c>
      <c r="K1703" s="5">
        <v>4000.0</v>
      </c>
      <c r="N1703" s="8">
        <v>44725.0</v>
      </c>
    </row>
    <row r="1704">
      <c r="A1704" s="5">
        <v>1703.0</v>
      </c>
      <c r="B1704" s="5" t="s">
        <v>2268</v>
      </c>
      <c r="C1704" s="5" t="s">
        <v>20</v>
      </c>
      <c r="K1704" s="5">
        <v>200.0</v>
      </c>
      <c r="N1704" s="8">
        <v>44252.0</v>
      </c>
    </row>
    <row r="1705">
      <c r="A1705" s="5">
        <v>1704.0</v>
      </c>
      <c r="B1705" s="5" t="s">
        <v>2269</v>
      </c>
      <c r="C1705" s="5" t="s">
        <v>20</v>
      </c>
      <c r="N1705" s="8">
        <v>45669.0</v>
      </c>
    </row>
    <row r="1706">
      <c r="A1706" s="5">
        <v>1705.0</v>
      </c>
      <c r="B1706" s="5" t="s">
        <v>2270</v>
      </c>
      <c r="C1706" s="5" t="s">
        <v>20</v>
      </c>
      <c r="K1706" s="5">
        <v>20.0</v>
      </c>
      <c r="N1706" s="8">
        <v>44688.0</v>
      </c>
    </row>
    <row r="1707">
      <c r="A1707" s="5">
        <v>1706.0</v>
      </c>
      <c r="B1707" s="5" t="s">
        <v>2271</v>
      </c>
      <c r="C1707" s="5" t="s">
        <v>20</v>
      </c>
      <c r="K1707" s="5">
        <v>150.0</v>
      </c>
      <c r="N1707" s="8">
        <v>45020.0</v>
      </c>
    </row>
    <row r="1708">
      <c r="A1708" s="5">
        <v>1707.0</v>
      </c>
      <c r="B1708" s="5" t="s">
        <v>88</v>
      </c>
      <c r="C1708" s="5" t="s">
        <v>20</v>
      </c>
      <c r="K1708" s="5">
        <v>200.0</v>
      </c>
      <c r="N1708" s="8">
        <v>44735.0</v>
      </c>
    </row>
    <row r="1709">
      <c r="A1709" s="5">
        <v>1708.0</v>
      </c>
      <c r="B1709" s="5" t="s">
        <v>2272</v>
      </c>
      <c r="C1709" s="5" t="s">
        <v>20</v>
      </c>
      <c r="N1709" s="8">
        <v>45469.0</v>
      </c>
    </row>
    <row r="1710">
      <c r="A1710" s="5">
        <v>1709.0</v>
      </c>
      <c r="B1710" s="5" t="s">
        <v>2273</v>
      </c>
      <c r="C1710" s="5" t="s">
        <v>20</v>
      </c>
      <c r="N1710" s="8">
        <v>44416.0</v>
      </c>
    </row>
    <row r="1711">
      <c r="A1711" s="5">
        <v>1710.0</v>
      </c>
      <c r="B1711" s="5" t="s">
        <v>2274</v>
      </c>
      <c r="C1711" s="5" t="s">
        <v>20</v>
      </c>
      <c r="K1711" s="5">
        <v>150.0</v>
      </c>
      <c r="N1711" s="8">
        <v>44621.0</v>
      </c>
    </row>
    <row r="1712">
      <c r="A1712" s="5">
        <v>1711.0</v>
      </c>
      <c r="B1712" s="5" t="s">
        <v>2275</v>
      </c>
      <c r="C1712" s="5" t="s">
        <v>20</v>
      </c>
      <c r="K1712" s="5">
        <v>30.0</v>
      </c>
      <c r="N1712" s="8">
        <v>44631.0</v>
      </c>
    </row>
    <row r="1713">
      <c r="A1713" s="5">
        <v>1712.0</v>
      </c>
      <c r="B1713" s="5" t="s">
        <v>2276</v>
      </c>
      <c r="C1713" s="5" t="s">
        <v>20</v>
      </c>
      <c r="K1713" s="5">
        <v>400.0</v>
      </c>
      <c r="N1713" s="8">
        <v>44094.0</v>
      </c>
    </row>
    <row r="1714">
      <c r="A1714" s="5">
        <v>1713.0</v>
      </c>
      <c r="B1714" s="5" t="s">
        <v>2277</v>
      </c>
      <c r="C1714" s="5" t="s">
        <v>20</v>
      </c>
      <c r="K1714" s="5">
        <v>150.0</v>
      </c>
      <c r="N1714" s="8">
        <v>44599.0</v>
      </c>
    </row>
    <row r="1715">
      <c r="A1715" s="5">
        <v>1714.0</v>
      </c>
      <c r="B1715" s="5" t="s">
        <v>2278</v>
      </c>
      <c r="C1715" s="5" t="s">
        <v>20</v>
      </c>
      <c r="N1715" s="8">
        <v>45329.0</v>
      </c>
    </row>
    <row r="1716">
      <c r="A1716" s="5">
        <v>1715.0</v>
      </c>
      <c r="B1716" s="5" t="s">
        <v>2279</v>
      </c>
      <c r="C1716" s="5" t="s">
        <v>20</v>
      </c>
      <c r="N1716" s="8">
        <v>44555.0</v>
      </c>
    </row>
    <row r="1717">
      <c r="A1717" s="5">
        <v>1716.0</v>
      </c>
      <c r="B1717" s="5" t="s">
        <v>2280</v>
      </c>
      <c r="C1717" s="5" t="s">
        <v>20</v>
      </c>
      <c r="K1717" s="5">
        <v>20.0</v>
      </c>
      <c r="N1717" s="8">
        <v>45261.0</v>
      </c>
    </row>
    <row r="1718">
      <c r="A1718" s="5">
        <v>1717.0</v>
      </c>
      <c r="B1718" s="5" t="s">
        <v>2281</v>
      </c>
      <c r="C1718" s="5" t="s">
        <v>20</v>
      </c>
      <c r="K1718" s="5">
        <v>350.0</v>
      </c>
      <c r="N1718" s="8">
        <v>45486.0</v>
      </c>
    </row>
    <row r="1719">
      <c r="A1719" s="5">
        <v>1718.0</v>
      </c>
      <c r="B1719" s="5" t="s">
        <v>2282</v>
      </c>
      <c r="C1719" s="5" t="s">
        <v>20</v>
      </c>
      <c r="N1719" s="8">
        <v>45250.0</v>
      </c>
    </row>
    <row r="1720">
      <c r="A1720" s="5">
        <v>1719.0</v>
      </c>
      <c r="B1720" s="5" t="s">
        <v>2283</v>
      </c>
      <c r="C1720" s="5" t="s">
        <v>20</v>
      </c>
      <c r="K1720" s="5">
        <v>20.0</v>
      </c>
      <c r="N1720" s="8">
        <v>45299.0</v>
      </c>
    </row>
    <row r="1721">
      <c r="A1721" s="5">
        <v>1720.0</v>
      </c>
      <c r="B1721" s="5" t="s">
        <v>2284</v>
      </c>
      <c r="C1721" s="5" t="s">
        <v>20</v>
      </c>
      <c r="N1721" s="8">
        <v>44823.0</v>
      </c>
    </row>
    <row r="1722">
      <c r="A1722" s="5">
        <v>1721.0</v>
      </c>
      <c r="B1722" s="5" t="s">
        <v>2285</v>
      </c>
      <c r="C1722" s="5" t="s">
        <v>20</v>
      </c>
      <c r="K1722" s="5">
        <v>300.0</v>
      </c>
      <c r="N1722" s="8">
        <v>44622.0</v>
      </c>
    </row>
    <row r="1723">
      <c r="A1723" s="5">
        <v>1722.0</v>
      </c>
      <c r="B1723" s="5" t="s">
        <v>2286</v>
      </c>
      <c r="C1723" s="5" t="s">
        <v>20</v>
      </c>
      <c r="K1723" s="5">
        <v>1500.0</v>
      </c>
      <c r="N1723" s="8">
        <v>44719.0</v>
      </c>
    </row>
    <row r="1724">
      <c r="A1724" s="5">
        <v>1723.0</v>
      </c>
      <c r="B1724" s="5" t="s">
        <v>2287</v>
      </c>
      <c r="C1724" s="5" t="s">
        <v>20</v>
      </c>
      <c r="K1724" s="5">
        <v>60.0</v>
      </c>
      <c r="N1724" s="8">
        <v>44212.0</v>
      </c>
    </row>
    <row r="1725">
      <c r="A1725" s="5">
        <v>1724.0</v>
      </c>
      <c r="B1725" s="5" t="s">
        <v>2288</v>
      </c>
      <c r="C1725" s="5" t="s">
        <v>20</v>
      </c>
      <c r="K1725" s="5">
        <v>40.0</v>
      </c>
      <c r="N1725" s="8">
        <v>45406.0</v>
      </c>
    </row>
    <row r="1726">
      <c r="A1726" s="5">
        <v>1725.0</v>
      </c>
      <c r="B1726" s="5" t="s">
        <v>2289</v>
      </c>
      <c r="C1726" s="5" t="s">
        <v>20</v>
      </c>
      <c r="K1726" s="5">
        <v>200.0</v>
      </c>
      <c r="N1726" s="8">
        <v>45258.0</v>
      </c>
    </row>
    <row r="1727">
      <c r="A1727" s="5">
        <v>1726.0</v>
      </c>
      <c r="B1727" s="5" t="s">
        <v>2290</v>
      </c>
      <c r="C1727" s="5" t="s">
        <v>20</v>
      </c>
      <c r="K1727" s="5">
        <v>90.0</v>
      </c>
      <c r="N1727" s="8">
        <v>44610.0</v>
      </c>
    </row>
    <row r="1728">
      <c r="A1728" s="5">
        <v>1727.0</v>
      </c>
      <c r="B1728" s="5" t="s">
        <v>2291</v>
      </c>
      <c r="C1728" s="5" t="s">
        <v>20</v>
      </c>
      <c r="N1728" s="8">
        <v>46133.0</v>
      </c>
    </row>
    <row r="1729">
      <c r="A1729" s="5">
        <v>1728.0</v>
      </c>
      <c r="B1729" s="5" t="s">
        <v>2292</v>
      </c>
      <c r="C1729" s="5" t="s">
        <v>20</v>
      </c>
      <c r="K1729" s="5">
        <v>10.0</v>
      </c>
      <c r="N1729" s="8">
        <v>44674.0</v>
      </c>
    </row>
    <row r="1730">
      <c r="A1730" s="5">
        <v>1729.0</v>
      </c>
      <c r="B1730" s="5" t="s">
        <v>2293</v>
      </c>
      <c r="C1730" s="5" t="s">
        <v>20</v>
      </c>
      <c r="K1730" s="5">
        <v>60.0</v>
      </c>
      <c r="N1730" s="8">
        <v>45128.0</v>
      </c>
    </row>
    <row r="1731">
      <c r="A1731" s="5">
        <v>1730.0</v>
      </c>
      <c r="B1731" s="5" t="s">
        <v>2294</v>
      </c>
      <c r="C1731" s="5" t="s">
        <v>20</v>
      </c>
      <c r="K1731" s="5">
        <v>10.0</v>
      </c>
      <c r="N1731" s="8">
        <v>45424.0</v>
      </c>
    </row>
    <row r="1732">
      <c r="A1732" s="5">
        <v>1731.0</v>
      </c>
      <c r="B1732" s="5" t="s">
        <v>2295</v>
      </c>
      <c r="C1732" s="5" t="s">
        <v>20</v>
      </c>
      <c r="K1732" s="5">
        <v>350.0</v>
      </c>
      <c r="N1732" s="8">
        <v>44245.0</v>
      </c>
    </row>
    <row r="1733">
      <c r="A1733" s="5">
        <v>1732.0</v>
      </c>
      <c r="B1733" s="5" t="s">
        <v>2296</v>
      </c>
      <c r="C1733" s="5" t="s">
        <v>20</v>
      </c>
      <c r="K1733" s="5">
        <v>80.0</v>
      </c>
      <c r="N1733" s="8">
        <v>44859.0</v>
      </c>
    </row>
    <row r="1734">
      <c r="A1734" s="5">
        <v>1733.0</v>
      </c>
      <c r="B1734" s="5" t="s">
        <v>2297</v>
      </c>
      <c r="C1734" s="5" t="s">
        <v>20</v>
      </c>
      <c r="N1734" s="8">
        <v>44488.0</v>
      </c>
    </row>
    <row r="1735">
      <c r="A1735" s="5">
        <v>1734.0</v>
      </c>
      <c r="B1735" s="5" t="s">
        <v>2298</v>
      </c>
      <c r="C1735" s="5" t="s">
        <v>20</v>
      </c>
      <c r="K1735" s="5">
        <v>90.0</v>
      </c>
      <c r="N1735" s="8">
        <v>44497.0</v>
      </c>
    </row>
    <row r="1736">
      <c r="A1736" s="5">
        <v>1735.0</v>
      </c>
      <c r="B1736" s="5" t="s">
        <v>2299</v>
      </c>
      <c r="C1736" s="5" t="s">
        <v>20</v>
      </c>
      <c r="N1736" s="8">
        <v>44331.0</v>
      </c>
    </row>
    <row r="1737">
      <c r="A1737" s="5">
        <v>1736.0</v>
      </c>
      <c r="B1737" s="5" t="s">
        <v>2300</v>
      </c>
      <c r="C1737" s="5" t="s">
        <v>20</v>
      </c>
      <c r="K1737" s="5">
        <v>500.0</v>
      </c>
      <c r="N1737" s="8">
        <v>44063.0</v>
      </c>
    </row>
    <row r="1738">
      <c r="A1738" s="5">
        <v>1737.0</v>
      </c>
      <c r="B1738" s="5" t="s">
        <v>2301</v>
      </c>
      <c r="C1738" s="5" t="s">
        <v>20</v>
      </c>
      <c r="K1738" s="5">
        <v>600.0</v>
      </c>
      <c r="N1738" s="8">
        <v>44404.0</v>
      </c>
    </row>
    <row r="1739">
      <c r="A1739" s="5">
        <v>1738.0</v>
      </c>
      <c r="B1739" s="5" t="s">
        <v>2302</v>
      </c>
      <c r="C1739" s="5" t="s">
        <v>20</v>
      </c>
      <c r="K1739" s="5">
        <v>60.0</v>
      </c>
      <c r="N1739" s="8">
        <v>45334.0</v>
      </c>
    </row>
    <row r="1740">
      <c r="A1740" s="5">
        <v>1739.0</v>
      </c>
      <c r="B1740" s="5" t="s">
        <v>186</v>
      </c>
      <c r="C1740" s="5" t="s">
        <v>20</v>
      </c>
      <c r="K1740" s="5">
        <v>90.0</v>
      </c>
      <c r="N1740" s="8">
        <v>44583.0</v>
      </c>
    </row>
    <row r="1741">
      <c r="A1741" s="5">
        <v>1740.0</v>
      </c>
      <c r="B1741" s="5" t="s">
        <v>2303</v>
      </c>
      <c r="C1741" s="5" t="s">
        <v>20</v>
      </c>
      <c r="K1741" s="5">
        <v>10.0</v>
      </c>
      <c r="N1741" s="8">
        <v>45696.0</v>
      </c>
    </row>
    <row r="1742">
      <c r="A1742" s="5">
        <v>1741.0</v>
      </c>
      <c r="B1742" s="5" t="s">
        <v>2304</v>
      </c>
      <c r="C1742" s="5" t="s">
        <v>20</v>
      </c>
      <c r="K1742" s="5">
        <v>400.0</v>
      </c>
      <c r="N1742" s="8">
        <v>44603.0</v>
      </c>
    </row>
    <row r="1743">
      <c r="A1743" s="5">
        <v>1742.0</v>
      </c>
      <c r="B1743" s="5" t="s">
        <v>2305</v>
      </c>
      <c r="C1743" s="5" t="s">
        <v>20</v>
      </c>
      <c r="K1743" s="5">
        <v>60.0</v>
      </c>
      <c r="N1743" s="8">
        <v>45395.0</v>
      </c>
    </row>
    <row r="1744">
      <c r="A1744" s="5">
        <v>1743.0</v>
      </c>
      <c r="B1744" s="5" t="s">
        <v>2306</v>
      </c>
      <c r="C1744" s="5" t="s">
        <v>20</v>
      </c>
      <c r="K1744" s="5">
        <v>100.0</v>
      </c>
      <c r="N1744" s="8">
        <v>45588.0</v>
      </c>
    </row>
    <row r="1745">
      <c r="A1745" s="5">
        <v>1744.0</v>
      </c>
      <c r="B1745" s="5" t="s">
        <v>2307</v>
      </c>
      <c r="C1745" s="5" t="s">
        <v>20</v>
      </c>
      <c r="K1745" s="5">
        <v>10.0</v>
      </c>
      <c r="N1745" s="8">
        <v>45901.0</v>
      </c>
    </row>
    <row r="1746">
      <c r="A1746" s="5">
        <v>1745.0</v>
      </c>
      <c r="B1746" s="5" t="s">
        <v>2308</v>
      </c>
      <c r="C1746" s="5" t="s">
        <v>20</v>
      </c>
      <c r="K1746" s="5">
        <v>10.0</v>
      </c>
      <c r="N1746" s="8">
        <v>44606.0</v>
      </c>
    </row>
    <row r="1747">
      <c r="A1747" s="5">
        <v>1746.0</v>
      </c>
      <c r="B1747" s="5" t="s">
        <v>2309</v>
      </c>
      <c r="C1747" s="5" t="s">
        <v>20</v>
      </c>
      <c r="N1747" s="8">
        <v>44908.0</v>
      </c>
    </row>
    <row r="1748">
      <c r="A1748" s="5">
        <v>1747.0</v>
      </c>
      <c r="B1748" s="5" t="s">
        <v>2310</v>
      </c>
      <c r="C1748" s="5" t="s">
        <v>20</v>
      </c>
      <c r="K1748" s="5">
        <v>40.0</v>
      </c>
      <c r="N1748" s="8">
        <v>44189.0</v>
      </c>
    </row>
    <row r="1749">
      <c r="A1749" s="5">
        <v>1748.0</v>
      </c>
      <c r="B1749" s="5" t="s">
        <v>2311</v>
      </c>
      <c r="C1749" s="5" t="s">
        <v>20</v>
      </c>
      <c r="K1749" s="5">
        <v>10.0</v>
      </c>
      <c r="N1749" s="8">
        <v>46112.0</v>
      </c>
    </row>
    <row r="1750">
      <c r="A1750" s="5">
        <v>1749.0</v>
      </c>
      <c r="B1750" s="5" t="s">
        <v>2312</v>
      </c>
      <c r="C1750" s="5" t="s">
        <v>20</v>
      </c>
      <c r="K1750" s="5">
        <v>20.0</v>
      </c>
      <c r="N1750" s="8">
        <v>45038.0</v>
      </c>
    </row>
    <row r="1751">
      <c r="A1751" s="5">
        <v>1750.0</v>
      </c>
      <c r="B1751" s="5" t="s">
        <v>2313</v>
      </c>
      <c r="C1751" s="5" t="s">
        <v>20</v>
      </c>
      <c r="K1751" s="5">
        <v>10.0</v>
      </c>
      <c r="N1751" s="8">
        <v>45395.0</v>
      </c>
    </row>
    <row r="1752">
      <c r="A1752" s="5">
        <v>1751.0</v>
      </c>
      <c r="B1752" s="5" t="s">
        <v>2314</v>
      </c>
      <c r="C1752" s="5" t="s">
        <v>20</v>
      </c>
      <c r="N1752" s="8">
        <v>45397.0</v>
      </c>
    </row>
    <row r="1753">
      <c r="A1753" s="5">
        <v>1752.0</v>
      </c>
      <c r="B1753" s="5" t="s">
        <v>2315</v>
      </c>
      <c r="C1753" s="5" t="s">
        <v>20</v>
      </c>
      <c r="K1753" s="5">
        <v>150.0</v>
      </c>
      <c r="N1753" s="8">
        <v>44598.0</v>
      </c>
    </row>
    <row r="1754">
      <c r="A1754" s="5">
        <v>1753.0</v>
      </c>
      <c r="B1754" s="5" t="s">
        <v>2316</v>
      </c>
      <c r="C1754" s="5" t="s">
        <v>20</v>
      </c>
      <c r="K1754" s="5">
        <v>20.0</v>
      </c>
      <c r="N1754" s="8">
        <v>44341.0</v>
      </c>
    </row>
    <row r="1755">
      <c r="A1755" s="5">
        <v>1754.0</v>
      </c>
      <c r="B1755" s="5" t="s">
        <v>2317</v>
      </c>
      <c r="C1755" s="5" t="s">
        <v>20</v>
      </c>
      <c r="K1755" s="5">
        <v>80.0</v>
      </c>
      <c r="N1755" s="8">
        <v>44474.0</v>
      </c>
    </row>
    <row r="1756">
      <c r="A1756" s="5">
        <v>1755.0</v>
      </c>
      <c r="B1756" s="5" t="s">
        <v>2318</v>
      </c>
      <c r="C1756" s="5" t="s">
        <v>20</v>
      </c>
      <c r="K1756" s="5">
        <v>10.0</v>
      </c>
      <c r="N1756" s="8">
        <v>44502.0</v>
      </c>
    </row>
    <row r="1757">
      <c r="A1757" s="5">
        <v>1756.0</v>
      </c>
      <c r="B1757" s="5" t="s">
        <v>2319</v>
      </c>
      <c r="C1757" s="5" t="s">
        <v>20</v>
      </c>
      <c r="K1757" s="5">
        <v>350.0</v>
      </c>
      <c r="N1757" s="8">
        <v>44584.0</v>
      </c>
    </row>
    <row r="1758">
      <c r="A1758" s="5">
        <v>1757.0</v>
      </c>
      <c r="B1758" s="5" t="s">
        <v>2320</v>
      </c>
      <c r="C1758" s="5" t="s">
        <v>20</v>
      </c>
      <c r="K1758" s="5">
        <v>1700.0</v>
      </c>
      <c r="N1758" s="8">
        <v>44720.0</v>
      </c>
    </row>
    <row r="1759">
      <c r="A1759" s="5">
        <v>1758.0</v>
      </c>
      <c r="B1759" s="5" t="s">
        <v>188</v>
      </c>
      <c r="C1759" s="5" t="s">
        <v>20</v>
      </c>
      <c r="K1759" s="5">
        <v>3000.0</v>
      </c>
      <c r="N1759" s="8">
        <v>44069.0</v>
      </c>
    </row>
    <row r="1760">
      <c r="A1760" s="5">
        <v>1759.0</v>
      </c>
      <c r="B1760" s="5" t="s">
        <v>2321</v>
      </c>
      <c r="C1760" s="5" t="s">
        <v>20</v>
      </c>
      <c r="K1760" s="5">
        <v>40.0</v>
      </c>
      <c r="N1760" s="8">
        <v>45345.0</v>
      </c>
    </row>
    <row r="1761">
      <c r="A1761" s="5">
        <v>1760.0</v>
      </c>
      <c r="B1761" s="5" t="s">
        <v>2322</v>
      </c>
      <c r="C1761" s="5" t="s">
        <v>20</v>
      </c>
      <c r="K1761" s="5">
        <v>30.0</v>
      </c>
      <c r="N1761" s="8">
        <v>45224.0</v>
      </c>
    </row>
    <row r="1762">
      <c r="A1762" s="5">
        <v>1761.0</v>
      </c>
      <c r="B1762" s="5" t="s">
        <v>2323</v>
      </c>
      <c r="C1762" s="5" t="s">
        <v>20</v>
      </c>
      <c r="K1762" s="5">
        <v>200.0</v>
      </c>
      <c r="N1762" s="8">
        <v>44249.0</v>
      </c>
    </row>
    <row r="1763">
      <c r="A1763" s="5">
        <v>1762.0</v>
      </c>
      <c r="B1763" s="5" t="s">
        <v>2324</v>
      </c>
      <c r="C1763" s="5" t="s">
        <v>20</v>
      </c>
      <c r="K1763" s="5">
        <v>50.0</v>
      </c>
      <c r="N1763" s="8">
        <v>45033.0</v>
      </c>
    </row>
    <row r="1764">
      <c r="A1764" s="5">
        <v>1763.0</v>
      </c>
      <c r="B1764" s="5" t="s">
        <v>2325</v>
      </c>
      <c r="C1764" s="5" t="s">
        <v>20</v>
      </c>
      <c r="N1764" s="8">
        <v>44809.0</v>
      </c>
    </row>
    <row r="1765">
      <c r="A1765" s="5">
        <v>1764.0</v>
      </c>
      <c r="B1765" s="5" t="s">
        <v>2326</v>
      </c>
      <c r="C1765" s="5" t="s">
        <v>20</v>
      </c>
      <c r="K1765" s="5">
        <v>10.0</v>
      </c>
      <c r="N1765" s="8">
        <v>44451.0</v>
      </c>
    </row>
    <row r="1766">
      <c r="A1766" s="5">
        <v>1765.0</v>
      </c>
      <c r="B1766" s="5" t="s">
        <v>2327</v>
      </c>
      <c r="C1766" s="5" t="s">
        <v>20</v>
      </c>
      <c r="N1766" s="8">
        <v>44202.0</v>
      </c>
    </row>
    <row r="1767">
      <c r="A1767" s="5">
        <v>1766.0</v>
      </c>
      <c r="B1767" s="5" t="s">
        <v>2328</v>
      </c>
      <c r="C1767" s="5" t="s">
        <v>20</v>
      </c>
      <c r="K1767" s="5">
        <v>80.0</v>
      </c>
      <c r="N1767" s="8">
        <v>46088.0</v>
      </c>
    </row>
    <row r="1768">
      <c r="A1768" s="5">
        <v>1767.0</v>
      </c>
      <c r="B1768" s="5" t="s">
        <v>2329</v>
      </c>
      <c r="C1768" s="5" t="s">
        <v>20</v>
      </c>
      <c r="K1768" s="5">
        <v>3900.0</v>
      </c>
      <c r="N1768" s="8">
        <v>44332.0</v>
      </c>
    </row>
    <row r="1769">
      <c r="A1769" s="5">
        <v>1768.0</v>
      </c>
      <c r="B1769" s="5" t="s">
        <v>2330</v>
      </c>
      <c r="C1769" s="5" t="s">
        <v>20</v>
      </c>
      <c r="K1769" s="5">
        <v>150.0</v>
      </c>
      <c r="N1769" s="8">
        <v>43639.0</v>
      </c>
    </row>
    <row r="1770">
      <c r="A1770" s="5">
        <v>1769.0</v>
      </c>
      <c r="B1770" s="5" t="s">
        <v>2331</v>
      </c>
      <c r="C1770" s="5" t="s">
        <v>20</v>
      </c>
      <c r="K1770" s="5">
        <v>50.0</v>
      </c>
      <c r="N1770" s="8">
        <v>45839.0</v>
      </c>
    </row>
    <row r="1771">
      <c r="A1771" s="5">
        <v>1770.0</v>
      </c>
      <c r="B1771" s="5" t="s">
        <v>2332</v>
      </c>
      <c r="C1771" s="5" t="s">
        <v>20</v>
      </c>
      <c r="N1771" s="8">
        <v>44709.0</v>
      </c>
    </row>
    <row r="1772">
      <c r="A1772" s="5">
        <v>1771.0</v>
      </c>
      <c r="B1772" s="5" t="s">
        <v>2333</v>
      </c>
      <c r="C1772" s="5" t="s">
        <v>20</v>
      </c>
      <c r="K1772" s="5">
        <v>350.0</v>
      </c>
      <c r="N1772" s="8">
        <v>45451.0</v>
      </c>
    </row>
    <row r="1773">
      <c r="A1773" s="5">
        <v>1772.0</v>
      </c>
      <c r="B1773" s="5" t="s">
        <v>2334</v>
      </c>
      <c r="C1773" s="5" t="s">
        <v>20</v>
      </c>
      <c r="K1773" s="5">
        <v>80.0</v>
      </c>
      <c r="N1773" s="8">
        <v>45439.0</v>
      </c>
    </row>
    <row r="1774">
      <c r="A1774" s="5">
        <v>1773.0</v>
      </c>
      <c r="B1774" s="5" t="s">
        <v>2335</v>
      </c>
      <c r="C1774" s="5" t="s">
        <v>20</v>
      </c>
      <c r="K1774" s="5">
        <v>200.0</v>
      </c>
      <c r="N1774" s="8">
        <v>44203.0</v>
      </c>
    </row>
    <row r="1775">
      <c r="A1775" s="5">
        <v>1774.0</v>
      </c>
      <c r="B1775" s="5" t="s">
        <v>2336</v>
      </c>
      <c r="C1775" s="5" t="s">
        <v>20</v>
      </c>
      <c r="K1775" s="5">
        <v>100.0</v>
      </c>
      <c r="N1775" s="8">
        <v>44562.0</v>
      </c>
    </row>
    <row r="1776">
      <c r="A1776" s="5">
        <v>1775.0</v>
      </c>
      <c r="B1776" s="5" t="s">
        <v>189</v>
      </c>
      <c r="C1776" s="5" t="s">
        <v>20</v>
      </c>
      <c r="K1776" s="5">
        <v>600.0</v>
      </c>
      <c r="N1776" s="8">
        <v>44514.0</v>
      </c>
    </row>
    <row r="1777">
      <c r="A1777" s="5">
        <v>1776.0</v>
      </c>
      <c r="B1777" s="5" t="s">
        <v>2337</v>
      </c>
      <c r="C1777" s="5" t="s">
        <v>20</v>
      </c>
      <c r="K1777" s="5">
        <v>100.0</v>
      </c>
      <c r="N1777" s="8">
        <v>44051.0</v>
      </c>
    </row>
    <row r="1778">
      <c r="A1778" s="5">
        <v>1777.0</v>
      </c>
      <c r="B1778" s="5" t="s">
        <v>2338</v>
      </c>
      <c r="C1778" s="5" t="s">
        <v>20</v>
      </c>
      <c r="N1778" s="8">
        <v>44625.0</v>
      </c>
    </row>
    <row r="1779">
      <c r="A1779" s="5">
        <v>1778.0</v>
      </c>
      <c r="B1779" s="5" t="s">
        <v>2339</v>
      </c>
      <c r="C1779" s="5" t="s">
        <v>20</v>
      </c>
      <c r="K1779" s="5">
        <v>20.0</v>
      </c>
      <c r="N1779" s="8">
        <v>45290.0</v>
      </c>
    </row>
    <row r="1780">
      <c r="A1780" s="5">
        <v>1779.0</v>
      </c>
      <c r="B1780" s="5" t="s">
        <v>2340</v>
      </c>
      <c r="C1780" s="5" t="s">
        <v>20</v>
      </c>
      <c r="K1780" s="5">
        <v>200.0</v>
      </c>
      <c r="N1780" s="8">
        <v>45256.0</v>
      </c>
    </row>
    <row r="1781">
      <c r="A1781" s="5">
        <v>1780.0</v>
      </c>
      <c r="B1781" s="5" t="s">
        <v>2341</v>
      </c>
      <c r="C1781" s="5" t="s">
        <v>20</v>
      </c>
      <c r="K1781" s="5">
        <v>450.0</v>
      </c>
      <c r="N1781" s="8">
        <v>45519.0</v>
      </c>
    </row>
    <row r="1782">
      <c r="A1782" s="5">
        <v>1781.0</v>
      </c>
      <c r="B1782" s="5" t="s">
        <v>2342</v>
      </c>
      <c r="C1782" s="5" t="s">
        <v>20</v>
      </c>
      <c r="K1782" s="5">
        <v>400.0</v>
      </c>
      <c r="N1782" s="8">
        <v>44558.0</v>
      </c>
    </row>
    <row r="1783">
      <c r="A1783" s="5">
        <v>1782.0</v>
      </c>
      <c r="B1783" s="5" t="s">
        <v>2343</v>
      </c>
      <c r="C1783" s="5" t="s">
        <v>20</v>
      </c>
      <c r="K1783" s="5">
        <v>20.0</v>
      </c>
      <c r="N1783" s="8">
        <v>44043.0</v>
      </c>
    </row>
    <row r="1784">
      <c r="A1784" s="5">
        <v>1783.0</v>
      </c>
      <c r="B1784" s="5" t="s">
        <v>2344</v>
      </c>
      <c r="C1784" s="5" t="s">
        <v>20</v>
      </c>
      <c r="K1784" s="5">
        <v>250.0</v>
      </c>
      <c r="N1784" s="8">
        <v>44387.0</v>
      </c>
    </row>
    <row r="1785">
      <c r="A1785" s="5">
        <v>1784.0</v>
      </c>
      <c r="B1785" s="5" t="s">
        <v>2345</v>
      </c>
      <c r="C1785" s="5" t="s">
        <v>20</v>
      </c>
      <c r="K1785" s="5">
        <v>200.0</v>
      </c>
      <c r="N1785" s="8">
        <v>44858.0</v>
      </c>
    </row>
    <row r="1786">
      <c r="A1786" s="5">
        <v>1785.0</v>
      </c>
      <c r="B1786" s="5" t="s">
        <v>2346</v>
      </c>
      <c r="C1786" s="5" t="s">
        <v>20</v>
      </c>
      <c r="K1786" s="5">
        <v>60.0</v>
      </c>
      <c r="N1786" s="8">
        <v>44584.0</v>
      </c>
    </row>
    <row r="1787">
      <c r="A1787" s="5">
        <v>1786.0</v>
      </c>
      <c r="B1787" s="5" t="s">
        <v>2347</v>
      </c>
      <c r="C1787" s="5" t="s">
        <v>20</v>
      </c>
      <c r="N1787" s="8">
        <v>44728.0</v>
      </c>
    </row>
    <row r="1788">
      <c r="A1788" s="5">
        <v>1787.0</v>
      </c>
      <c r="B1788" s="5" t="s">
        <v>2348</v>
      </c>
      <c r="C1788" s="5" t="s">
        <v>20</v>
      </c>
      <c r="N1788" s="8">
        <v>44340.0</v>
      </c>
    </row>
    <row r="1789">
      <c r="A1789" s="5">
        <v>1788.0</v>
      </c>
      <c r="B1789" s="5" t="s">
        <v>2349</v>
      </c>
      <c r="C1789" s="5" t="s">
        <v>20</v>
      </c>
      <c r="N1789" s="8">
        <v>44935.0</v>
      </c>
    </row>
    <row r="1790">
      <c r="A1790" s="5">
        <v>1789.0</v>
      </c>
      <c r="B1790" s="5" t="s">
        <v>2350</v>
      </c>
      <c r="C1790" s="5" t="s">
        <v>20</v>
      </c>
      <c r="K1790" s="5">
        <v>20.0</v>
      </c>
      <c r="N1790" s="8">
        <v>44260.0</v>
      </c>
    </row>
    <row r="1791">
      <c r="A1791" s="5">
        <v>1790.0</v>
      </c>
      <c r="B1791" s="5" t="s">
        <v>2351</v>
      </c>
      <c r="C1791" s="5" t="s">
        <v>20</v>
      </c>
      <c r="K1791" s="5">
        <v>20.0</v>
      </c>
      <c r="N1791" s="8">
        <v>45089.0</v>
      </c>
    </row>
    <row r="1792">
      <c r="A1792" s="5">
        <v>1791.0</v>
      </c>
      <c r="B1792" s="5" t="s">
        <v>2352</v>
      </c>
      <c r="C1792" s="5" t="s">
        <v>20</v>
      </c>
      <c r="K1792" s="5">
        <v>100.0</v>
      </c>
      <c r="N1792" s="8">
        <v>44037.0</v>
      </c>
    </row>
    <row r="1793">
      <c r="A1793" s="5">
        <v>1792.0</v>
      </c>
      <c r="B1793" s="5" t="s">
        <v>2353</v>
      </c>
      <c r="C1793" s="5" t="s">
        <v>20</v>
      </c>
      <c r="N1793" s="8">
        <v>45113.0</v>
      </c>
    </row>
    <row r="1794">
      <c r="A1794" s="5">
        <v>1793.0</v>
      </c>
      <c r="B1794" s="5" t="s">
        <v>2354</v>
      </c>
      <c r="C1794" s="5" t="s">
        <v>20</v>
      </c>
      <c r="N1794" s="8">
        <v>44893.0</v>
      </c>
    </row>
    <row r="1795">
      <c r="A1795" s="5">
        <v>1794.0</v>
      </c>
      <c r="B1795" s="5" t="s">
        <v>2355</v>
      </c>
      <c r="C1795" s="5" t="s">
        <v>20</v>
      </c>
      <c r="N1795" s="8">
        <v>44894.0</v>
      </c>
    </row>
    <row r="1796">
      <c r="A1796" s="5">
        <v>1795.0</v>
      </c>
      <c r="B1796" s="5" t="s">
        <v>2356</v>
      </c>
      <c r="C1796" s="5" t="s">
        <v>20</v>
      </c>
      <c r="K1796" s="5">
        <v>150.0</v>
      </c>
      <c r="N1796" s="8">
        <v>44635.0</v>
      </c>
    </row>
    <row r="1797">
      <c r="A1797" s="5">
        <v>1796.0</v>
      </c>
      <c r="B1797" s="5" t="s">
        <v>2357</v>
      </c>
      <c r="C1797" s="5" t="s">
        <v>20</v>
      </c>
      <c r="N1797" s="8">
        <v>45289.0</v>
      </c>
    </row>
    <row r="1798">
      <c r="A1798" s="5">
        <v>1797.0</v>
      </c>
      <c r="B1798" s="5" t="s">
        <v>2358</v>
      </c>
      <c r="C1798" s="5" t="s">
        <v>20</v>
      </c>
      <c r="K1798" s="5">
        <v>500.0</v>
      </c>
      <c r="N1798" s="8">
        <v>45377.0</v>
      </c>
    </row>
    <row r="1799">
      <c r="A1799" s="5">
        <v>1798.0</v>
      </c>
      <c r="B1799" s="5" t="s">
        <v>2359</v>
      </c>
      <c r="C1799" s="5" t="s">
        <v>20</v>
      </c>
      <c r="N1799" s="8">
        <v>44582.0</v>
      </c>
      <c r="O1799" s="5" t="s">
        <v>22</v>
      </c>
      <c r="P1799" s="5" t="s">
        <v>23</v>
      </c>
      <c r="S1799" s="5" t="s">
        <v>26</v>
      </c>
    </row>
    <row r="1800">
      <c r="A1800" s="5">
        <v>1799.0</v>
      </c>
      <c r="B1800" s="5" t="s">
        <v>93</v>
      </c>
      <c r="C1800" s="5" t="s">
        <v>20</v>
      </c>
      <c r="K1800" s="5">
        <v>350.0</v>
      </c>
      <c r="N1800" s="8">
        <v>44997.0</v>
      </c>
    </row>
    <row r="1801">
      <c r="A1801" s="5">
        <v>1800.0</v>
      </c>
      <c r="B1801" s="5" t="s">
        <v>2360</v>
      </c>
      <c r="C1801" s="5" t="s">
        <v>20</v>
      </c>
      <c r="N1801" s="8">
        <v>44737.0</v>
      </c>
    </row>
    <row r="1802">
      <c r="A1802" s="5">
        <v>1801.0</v>
      </c>
      <c r="B1802" s="5" t="s">
        <v>2361</v>
      </c>
      <c r="C1802" s="5" t="s">
        <v>20</v>
      </c>
      <c r="K1802" s="5">
        <v>10.0</v>
      </c>
      <c r="N1802" s="8">
        <v>46132.0</v>
      </c>
    </row>
    <row r="1803">
      <c r="A1803" s="5">
        <v>1802.0</v>
      </c>
      <c r="B1803" s="5" t="s">
        <v>2362</v>
      </c>
      <c r="C1803" s="5" t="s">
        <v>20</v>
      </c>
      <c r="K1803" s="5">
        <v>450.0</v>
      </c>
      <c r="N1803" s="8">
        <v>42875.0</v>
      </c>
    </row>
    <row r="1804">
      <c r="A1804" s="5">
        <v>1803.0</v>
      </c>
      <c r="B1804" s="5" t="s">
        <v>2363</v>
      </c>
      <c r="C1804" s="5" t="s">
        <v>20</v>
      </c>
      <c r="N1804" s="8">
        <v>43632.0</v>
      </c>
    </row>
    <row r="1805">
      <c r="A1805" s="5">
        <v>1804.0</v>
      </c>
      <c r="B1805" s="5" t="s">
        <v>2364</v>
      </c>
      <c r="C1805" s="5" t="s">
        <v>20</v>
      </c>
      <c r="N1805" s="8">
        <v>45630.0</v>
      </c>
    </row>
    <row r="1806">
      <c r="A1806" s="5">
        <v>1805.0</v>
      </c>
      <c r="B1806" s="5" t="s">
        <v>2365</v>
      </c>
      <c r="C1806" s="5" t="s">
        <v>20</v>
      </c>
      <c r="K1806" s="5">
        <v>10.0</v>
      </c>
      <c r="N1806" s="8">
        <v>44981.0</v>
      </c>
    </row>
    <row r="1807">
      <c r="A1807" s="5">
        <v>1806.0</v>
      </c>
      <c r="B1807" s="5" t="s">
        <v>2366</v>
      </c>
      <c r="C1807" s="5" t="s">
        <v>20</v>
      </c>
      <c r="N1807" s="8">
        <v>45400.0</v>
      </c>
    </row>
    <row r="1808">
      <c r="A1808" s="5">
        <v>1807.0</v>
      </c>
      <c r="B1808" s="5" t="s">
        <v>2367</v>
      </c>
      <c r="C1808" s="5" t="s">
        <v>20</v>
      </c>
      <c r="K1808" s="5">
        <v>10.0</v>
      </c>
      <c r="N1808" s="8">
        <v>44624.0</v>
      </c>
    </row>
    <row r="1809">
      <c r="A1809" s="5">
        <v>1808.0</v>
      </c>
      <c r="B1809" s="5" t="s">
        <v>2368</v>
      </c>
      <c r="C1809" s="5" t="s">
        <v>20</v>
      </c>
      <c r="N1809" s="8">
        <v>44162.0</v>
      </c>
    </row>
    <row r="1810">
      <c r="A1810" s="5">
        <v>1809.0</v>
      </c>
      <c r="B1810" s="5" t="s">
        <v>2369</v>
      </c>
      <c r="C1810" s="5" t="s">
        <v>20</v>
      </c>
      <c r="K1810" s="5">
        <v>50.0</v>
      </c>
      <c r="N1810" s="8">
        <v>45681.0</v>
      </c>
    </row>
    <row r="1811">
      <c r="A1811" s="5">
        <v>1810.0</v>
      </c>
      <c r="B1811" s="5" t="s">
        <v>2370</v>
      </c>
      <c r="C1811" s="5" t="s">
        <v>20</v>
      </c>
      <c r="K1811" s="5">
        <v>150.0</v>
      </c>
      <c r="N1811" s="8">
        <v>44888.0</v>
      </c>
    </row>
    <row r="1812">
      <c r="A1812" s="5">
        <v>1811.0</v>
      </c>
      <c r="B1812" s="5" t="s">
        <v>2371</v>
      </c>
      <c r="C1812" s="5" t="s">
        <v>20</v>
      </c>
      <c r="K1812" s="5">
        <v>200.0</v>
      </c>
      <c r="N1812" s="8">
        <v>46027.0</v>
      </c>
    </row>
    <row r="1813">
      <c r="A1813" s="5">
        <v>1812.0</v>
      </c>
      <c r="B1813" s="5" t="s">
        <v>2372</v>
      </c>
      <c r="C1813" s="5" t="s">
        <v>20</v>
      </c>
      <c r="N1813" s="8">
        <v>45019.0</v>
      </c>
    </row>
    <row r="1814">
      <c r="A1814" s="5">
        <v>1813.0</v>
      </c>
      <c r="B1814" s="5" t="s">
        <v>2373</v>
      </c>
      <c r="C1814" s="5" t="s">
        <v>20</v>
      </c>
      <c r="K1814" s="5">
        <v>10.0</v>
      </c>
      <c r="N1814" s="8">
        <v>44481.0</v>
      </c>
    </row>
    <row r="1815">
      <c r="A1815" s="5">
        <v>1814.0</v>
      </c>
      <c r="B1815" s="5" t="s">
        <v>2374</v>
      </c>
      <c r="C1815" s="5" t="s">
        <v>20</v>
      </c>
      <c r="K1815" s="5">
        <v>100.0</v>
      </c>
      <c r="N1815" s="8">
        <v>45086.0</v>
      </c>
    </row>
    <row r="1816">
      <c r="A1816" s="5">
        <v>1815.0</v>
      </c>
      <c r="B1816" s="5" t="s">
        <v>2375</v>
      </c>
      <c r="C1816" s="5" t="s">
        <v>20</v>
      </c>
      <c r="N1816" s="8">
        <v>44397.0</v>
      </c>
    </row>
    <row r="1817">
      <c r="A1817" s="5">
        <v>1816.0</v>
      </c>
      <c r="B1817" s="5" t="s">
        <v>2376</v>
      </c>
      <c r="C1817" s="5" t="s">
        <v>20</v>
      </c>
      <c r="K1817" s="5">
        <v>20.0</v>
      </c>
      <c r="N1817" s="8">
        <v>44970.0</v>
      </c>
    </row>
    <row r="1818">
      <c r="A1818" s="5">
        <v>1817.0</v>
      </c>
      <c r="B1818" s="5" t="s">
        <v>2377</v>
      </c>
      <c r="C1818" s="5" t="s">
        <v>20</v>
      </c>
      <c r="K1818" s="5">
        <v>30.0</v>
      </c>
      <c r="N1818" s="8">
        <v>45327.0</v>
      </c>
    </row>
    <row r="1819">
      <c r="A1819" s="5">
        <v>1818.0</v>
      </c>
      <c r="B1819" s="5" t="s">
        <v>2378</v>
      </c>
      <c r="C1819" s="5" t="s">
        <v>20</v>
      </c>
      <c r="K1819" s="5">
        <v>300.0</v>
      </c>
      <c r="N1819" s="8">
        <v>44874.0</v>
      </c>
    </row>
    <row r="1820">
      <c r="A1820" s="5">
        <v>1819.0</v>
      </c>
      <c r="B1820" s="5" t="s">
        <v>2379</v>
      </c>
      <c r="C1820" s="5" t="s">
        <v>20</v>
      </c>
      <c r="N1820" s="8">
        <v>44034.0</v>
      </c>
    </row>
    <row r="1821">
      <c r="A1821" s="5">
        <v>1820.0</v>
      </c>
      <c r="B1821" s="5" t="s">
        <v>2380</v>
      </c>
      <c r="C1821" s="5" t="s">
        <v>20</v>
      </c>
      <c r="N1821" s="8">
        <v>44034.0</v>
      </c>
    </row>
    <row r="1822">
      <c r="A1822" s="5">
        <v>1821.0</v>
      </c>
      <c r="B1822" s="5" t="s">
        <v>95</v>
      </c>
      <c r="C1822" s="5" t="s">
        <v>20</v>
      </c>
      <c r="K1822" s="5">
        <v>400.0</v>
      </c>
      <c r="N1822" s="8">
        <v>44398.0</v>
      </c>
    </row>
    <row r="1823">
      <c r="A1823" s="5">
        <v>1822.0</v>
      </c>
      <c r="B1823" s="5" t="s">
        <v>2381</v>
      </c>
      <c r="C1823" s="5" t="s">
        <v>20</v>
      </c>
      <c r="K1823" s="5">
        <v>100.0</v>
      </c>
      <c r="N1823" s="8">
        <v>44909.0</v>
      </c>
    </row>
    <row r="1824">
      <c r="A1824" s="5">
        <v>1823.0</v>
      </c>
      <c r="B1824" s="5" t="s">
        <v>2382</v>
      </c>
      <c r="C1824" s="5" t="s">
        <v>20</v>
      </c>
      <c r="N1824" s="8">
        <v>45268.0</v>
      </c>
    </row>
    <row r="1825">
      <c r="A1825" s="5">
        <v>1824.0</v>
      </c>
      <c r="B1825" s="5" t="s">
        <v>2383</v>
      </c>
      <c r="C1825" s="5" t="s">
        <v>20</v>
      </c>
      <c r="K1825" s="5">
        <v>600.0</v>
      </c>
      <c r="N1825" s="8">
        <v>44581.0</v>
      </c>
    </row>
    <row r="1826">
      <c r="A1826" s="5">
        <v>1825.0</v>
      </c>
      <c r="B1826" s="5" t="s">
        <v>2384</v>
      </c>
      <c r="C1826" s="5" t="s">
        <v>20</v>
      </c>
      <c r="K1826" s="5">
        <v>600.0</v>
      </c>
      <c r="N1826" s="8">
        <v>44257.0</v>
      </c>
    </row>
    <row r="1827">
      <c r="A1827" s="5">
        <v>1826.0</v>
      </c>
      <c r="B1827" s="5" t="s">
        <v>2385</v>
      </c>
      <c r="C1827" s="5" t="s">
        <v>20</v>
      </c>
      <c r="K1827" s="5">
        <v>60.0</v>
      </c>
      <c r="N1827" s="8">
        <v>44694.0</v>
      </c>
    </row>
    <row r="1828">
      <c r="A1828" s="5">
        <v>1827.0</v>
      </c>
      <c r="B1828" s="5" t="s">
        <v>2386</v>
      </c>
      <c r="C1828" s="5" t="s">
        <v>20</v>
      </c>
      <c r="K1828" s="5">
        <v>150.0</v>
      </c>
      <c r="N1828" s="8">
        <v>44866.0</v>
      </c>
    </row>
    <row r="1829">
      <c r="A1829" s="5">
        <v>1828.0</v>
      </c>
      <c r="B1829" s="5" t="s">
        <v>2387</v>
      </c>
      <c r="C1829" s="5" t="s">
        <v>20</v>
      </c>
      <c r="N1829" s="8">
        <v>44488.0</v>
      </c>
    </row>
    <row r="1830">
      <c r="A1830" s="5">
        <v>1829.0</v>
      </c>
      <c r="B1830" s="5" t="s">
        <v>2388</v>
      </c>
      <c r="C1830" s="5" t="s">
        <v>20</v>
      </c>
      <c r="K1830" s="5">
        <v>200.0</v>
      </c>
      <c r="N1830" s="8">
        <v>44214.0</v>
      </c>
    </row>
    <row r="1831">
      <c r="A1831" s="5">
        <v>1830.0</v>
      </c>
      <c r="B1831" s="5" t="s">
        <v>2389</v>
      </c>
      <c r="C1831" s="5" t="s">
        <v>20</v>
      </c>
      <c r="N1831" s="8">
        <v>44359.0</v>
      </c>
    </row>
    <row r="1832">
      <c r="A1832" s="5">
        <v>1831.0</v>
      </c>
      <c r="B1832" s="5" t="s">
        <v>2390</v>
      </c>
      <c r="C1832" s="5" t="s">
        <v>20</v>
      </c>
      <c r="K1832" s="5">
        <v>10.0</v>
      </c>
      <c r="N1832" s="8">
        <v>45252.0</v>
      </c>
    </row>
    <row r="1833">
      <c r="A1833" s="5">
        <v>1832.0</v>
      </c>
      <c r="B1833" s="5" t="s">
        <v>2391</v>
      </c>
      <c r="C1833" s="5" t="s">
        <v>20</v>
      </c>
      <c r="K1833" s="5">
        <v>30.0</v>
      </c>
      <c r="N1833" s="8">
        <v>45292.0</v>
      </c>
    </row>
    <row r="1834">
      <c r="A1834" s="5">
        <v>1833.0</v>
      </c>
      <c r="B1834" s="5" t="s">
        <v>2392</v>
      </c>
      <c r="C1834" s="5" t="s">
        <v>20</v>
      </c>
      <c r="K1834" s="5">
        <v>700.0</v>
      </c>
      <c r="N1834" s="8">
        <v>43858.0</v>
      </c>
    </row>
    <row r="1835">
      <c r="A1835" s="5">
        <v>1834.0</v>
      </c>
      <c r="B1835" s="5" t="s">
        <v>2393</v>
      </c>
      <c r="C1835" s="5" t="s">
        <v>20</v>
      </c>
      <c r="N1835" s="8">
        <v>46112.0</v>
      </c>
    </row>
    <row r="1836">
      <c r="A1836" s="5">
        <v>1835.0</v>
      </c>
      <c r="B1836" s="5" t="s">
        <v>2394</v>
      </c>
      <c r="C1836" s="5" t="s">
        <v>20</v>
      </c>
      <c r="K1836" s="5">
        <v>70.0</v>
      </c>
      <c r="N1836" s="8">
        <v>44279.0</v>
      </c>
    </row>
    <row r="1837">
      <c r="A1837" s="5">
        <v>1836.0</v>
      </c>
      <c r="B1837" s="5" t="s">
        <v>2395</v>
      </c>
      <c r="C1837" s="5" t="s">
        <v>20</v>
      </c>
      <c r="K1837" s="5">
        <v>150.0</v>
      </c>
      <c r="N1837" s="8">
        <v>45754.0</v>
      </c>
    </row>
    <row r="1838">
      <c r="A1838" s="5">
        <v>1837.0</v>
      </c>
      <c r="B1838" s="5" t="s">
        <v>2396</v>
      </c>
      <c r="C1838" s="5" t="s">
        <v>20</v>
      </c>
      <c r="K1838" s="5">
        <v>200.0</v>
      </c>
      <c r="N1838" s="8">
        <v>45148.0</v>
      </c>
    </row>
    <row r="1839">
      <c r="A1839" s="5">
        <v>1838.0</v>
      </c>
      <c r="B1839" s="5" t="s">
        <v>2397</v>
      </c>
      <c r="C1839" s="5" t="s">
        <v>20</v>
      </c>
      <c r="K1839" s="5">
        <v>100.0</v>
      </c>
      <c r="N1839" s="8">
        <v>44219.0</v>
      </c>
    </row>
    <row r="1840">
      <c r="A1840" s="5">
        <v>1839.0</v>
      </c>
      <c r="B1840" s="5" t="s">
        <v>2398</v>
      </c>
      <c r="C1840" s="5" t="s">
        <v>20</v>
      </c>
      <c r="K1840" s="5">
        <v>350.0</v>
      </c>
      <c r="N1840" s="8">
        <v>44531.0</v>
      </c>
    </row>
    <row r="1841">
      <c r="A1841" s="5">
        <v>1840.0</v>
      </c>
      <c r="B1841" s="5" t="s">
        <v>2399</v>
      </c>
      <c r="C1841" s="5" t="s">
        <v>20</v>
      </c>
      <c r="K1841" s="5">
        <v>90.0</v>
      </c>
      <c r="N1841" s="8">
        <v>44900.0</v>
      </c>
    </row>
    <row r="1842">
      <c r="A1842" s="5">
        <v>1841.0</v>
      </c>
      <c r="B1842" s="5" t="s">
        <v>2400</v>
      </c>
      <c r="C1842" s="5" t="s">
        <v>20</v>
      </c>
      <c r="K1842" s="5">
        <v>200.0</v>
      </c>
      <c r="N1842" s="8">
        <v>43873.0</v>
      </c>
    </row>
    <row r="1843">
      <c r="A1843" s="5">
        <v>1842.0</v>
      </c>
      <c r="B1843" s="5" t="s">
        <v>2401</v>
      </c>
      <c r="C1843" s="5" t="s">
        <v>20</v>
      </c>
      <c r="K1843" s="5">
        <v>6800.0</v>
      </c>
      <c r="N1843" s="8">
        <v>45682.0</v>
      </c>
    </row>
    <row r="1844">
      <c r="A1844" s="5">
        <v>1843.0</v>
      </c>
      <c r="B1844" s="5" t="s">
        <v>192</v>
      </c>
      <c r="C1844" s="5" t="s">
        <v>20</v>
      </c>
      <c r="K1844" s="5">
        <v>60.0</v>
      </c>
      <c r="N1844" s="8">
        <v>44392.0</v>
      </c>
    </row>
    <row r="1845">
      <c r="A1845" s="5">
        <v>1844.0</v>
      </c>
      <c r="B1845" s="5" t="s">
        <v>2402</v>
      </c>
      <c r="C1845" s="5" t="s">
        <v>20</v>
      </c>
      <c r="K1845" s="5">
        <v>50.0</v>
      </c>
      <c r="N1845" s="8">
        <v>44377.0</v>
      </c>
    </row>
  </sheetData>
  <autoFilter ref="$A$1:$O$1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54</v>
      </c>
      <c r="C2" s="5" t="s">
        <v>20</v>
      </c>
      <c r="I2" s="9"/>
      <c r="N2" s="8">
        <v>44233.0</v>
      </c>
    </row>
    <row r="3">
      <c r="A3" s="5">
        <v>2.0</v>
      </c>
      <c r="B3" s="5" t="s">
        <v>55</v>
      </c>
      <c r="C3" s="5" t="s">
        <v>20</v>
      </c>
      <c r="I3" s="9"/>
      <c r="N3" s="8">
        <v>44982.0</v>
      </c>
    </row>
    <row r="4">
      <c r="A4" s="5">
        <v>3.0</v>
      </c>
      <c r="B4" s="5" t="s">
        <v>56</v>
      </c>
      <c r="C4" s="5" t="s">
        <v>20</v>
      </c>
      <c r="I4" s="9"/>
      <c r="K4" s="5">
        <v>10.0</v>
      </c>
      <c r="N4" s="8">
        <v>44576.0</v>
      </c>
    </row>
    <row r="5">
      <c r="A5" s="5">
        <v>4.0</v>
      </c>
      <c r="B5" s="5" t="s">
        <v>57</v>
      </c>
      <c r="C5" s="5" t="s">
        <v>20</v>
      </c>
      <c r="K5" s="5">
        <v>900.0</v>
      </c>
      <c r="N5" s="8">
        <v>44374.0</v>
      </c>
    </row>
    <row r="6">
      <c r="A6" s="5">
        <v>5.0</v>
      </c>
      <c r="B6" s="5" t="s">
        <v>58</v>
      </c>
      <c r="C6" s="5" t="s">
        <v>20</v>
      </c>
      <c r="I6" s="9"/>
      <c r="K6" s="5">
        <v>10.0</v>
      </c>
      <c r="N6" s="8">
        <v>44064.0</v>
      </c>
    </row>
    <row r="7">
      <c r="A7" s="5">
        <v>6.0</v>
      </c>
      <c r="B7" s="5" t="s">
        <v>61</v>
      </c>
      <c r="C7" s="5" t="s">
        <v>20</v>
      </c>
      <c r="I7" s="9"/>
      <c r="N7" s="8">
        <v>44690.0</v>
      </c>
    </row>
    <row r="8">
      <c r="A8" s="5">
        <v>7.0</v>
      </c>
      <c r="B8" s="5" t="s">
        <v>63</v>
      </c>
      <c r="C8" s="5" t="s">
        <v>20</v>
      </c>
      <c r="I8" s="9"/>
      <c r="K8" s="5">
        <v>100.0</v>
      </c>
      <c r="N8" s="8">
        <v>45210.0</v>
      </c>
    </row>
    <row r="9">
      <c r="A9" s="5">
        <v>8.0</v>
      </c>
      <c r="B9" s="5" t="s">
        <v>65</v>
      </c>
      <c r="C9" s="5" t="s">
        <v>20</v>
      </c>
      <c r="I9" s="9"/>
      <c r="K9" s="5">
        <v>300.0</v>
      </c>
      <c r="N9" s="8">
        <v>44407.0</v>
      </c>
    </row>
    <row r="10">
      <c r="A10" s="5">
        <v>9.0</v>
      </c>
      <c r="B10" s="5" t="s">
        <v>66</v>
      </c>
      <c r="C10" s="5" t="s">
        <v>20</v>
      </c>
      <c r="I10" s="9"/>
      <c r="K10" s="5">
        <v>90.0</v>
      </c>
      <c r="N10" s="8">
        <v>45047.0</v>
      </c>
    </row>
    <row r="11">
      <c r="A11" s="5">
        <v>10.0</v>
      </c>
      <c r="B11" s="5" t="s">
        <v>68</v>
      </c>
      <c r="C11" s="5" t="s">
        <v>20</v>
      </c>
      <c r="I11" s="9"/>
      <c r="K11" s="5">
        <v>900.0</v>
      </c>
      <c r="N11" s="8">
        <v>42545.0</v>
      </c>
    </row>
    <row r="12">
      <c r="A12" s="5">
        <v>11.0</v>
      </c>
      <c r="B12" s="5" t="s">
        <v>70</v>
      </c>
      <c r="C12" s="5" t="s">
        <v>20</v>
      </c>
      <c r="I12" s="9"/>
      <c r="N12" s="8">
        <v>44773.0</v>
      </c>
    </row>
    <row r="13">
      <c r="A13" s="5">
        <v>12.0</v>
      </c>
      <c r="B13" s="5" t="s">
        <v>71</v>
      </c>
      <c r="C13" s="5" t="s">
        <v>20</v>
      </c>
      <c r="I13" s="9"/>
      <c r="N13" s="8">
        <v>44992.0</v>
      </c>
    </row>
    <row r="14">
      <c r="A14" s="5">
        <v>13.0</v>
      </c>
      <c r="B14" s="5" t="s">
        <v>73</v>
      </c>
      <c r="C14" s="5" t="s">
        <v>20</v>
      </c>
      <c r="I14" s="9"/>
      <c r="N14" s="8">
        <v>44490.0</v>
      </c>
    </row>
    <row r="15">
      <c r="A15" s="5">
        <v>14.0</v>
      </c>
      <c r="B15" s="5" t="s">
        <v>74</v>
      </c>
      <c r="C15" s="5" t="s">
        <v>20</v>
      </c>
      <c r="I15" s="9"/>
      <c r="K15" s="5">
        <v>20.0</v>
      </c>
      <c r="N15" s="8">
        <v>45002.0</v>
      </c>
    </row>
    <row r="16">
      <c r="A16" s="5">
        <v>15.0</v>
      </c>
      <c r="B16" s="5" t="s">
        <v>75</v>
      </c>
      <c r="C16" s="5" t="s">
        <v>20</v>
      </c>
      <c r="I16" s="9"/>
      <c r="K16" s="5">
        <v>10.0</v>
      </c>
      <c r="N16" s="8">
        <v>44864.0</v>
      </c>
    </row>
    <row r="17">
      <c r="A17" s="5">
        <v>16.0</v>
      </c>
      <c r="B17" s="5" t="s">
        <v>77</v>
      </c>
      <c r="C17" s="5" t="s">
        <v>20</v>
      </c>
      <c r="I17" s="9"/>
      <c r="K17" s="5">
        <v>70.0</v>
      </c>
      <c r="N17" s="8">
        <v>44860.0</v>
      </c>
    </row>
    <row r="18">
      <c r="A18" s="5">
        <v>17.0</v>
      </c>
      <c r="B18" s="5" t="s">
        <v>79</v>
      </c>
      <c r="C18" s="5" t="s">
        <v>20</v>
      </c>
      <c r="I18" s="9"/>
      <c r="K18" s="5">
        <v>1500.0</v>
      </c>
      <c r="N18" s="8">
        <v>44762.0</v>
      </c>
    </row>
    <row r="19">
      <c r="A19" s="5">
        <v>18.0</v>
      </c>
      <c r="B19" s="5" t="s">
        <v>80</v>
      </c>
      <c r="C19" s="5" t="s">
        <v>20</v>
      </c>
      <c r="I19" s="9"/>
      <c r="K19" s="5">
        <v>250.0</v>
      </c>
      <c r="N19" s="8">
        <v>44227.0</v>
      </c>
    </row>
    <row r="20">
      <c r="A20" s="5">
        <v>19.0</v>
      </c>
      <c r="B20" s="5" t="s">
        <v>82</v>
      </c>
      <c r="C20" s="5" t="s">
        <v>20</v>
      </c>
      <c r="I20" s="9"/>
      <c r="K20" s="5">
        <v>40.0</v>
      </c>
      <c r="N20" s="8">
        <v>44946.0</v>
      </c>
    </row>
    <row r="21">
      <c r="A21" s="5">
        <v>20.0</v>
      </c>
      <c r="B21" s="5" t="s">
        <v>85</v>
      </c>
      <c r="C21" s="5" t="s">
        <v>20</v>
      </c>
      <c r="I21" s="9"/>
      <c r="K21" s="5">
        <v>100.0</v>
      </c>
      <c r="N21" s="8">
        <v>44720.0</v>
      </c>
    </row>
    <row r="22">
      <c r="A22" s="5">
        <v>21.0</v>
      </c>
      <c r="B22" s="5" t="s">
        <v>88</v>
      </c>
      <c r="C22" s="5" t="s">
        <v>20</v>
      </c>
      <c r="I22" s="9"/>
      <c r="K22" s="5">
        <v>200.0</v>
      </c>
      <c r="N22" s="8">
        <v>44735.0</v>
      </c>
    </row>
    <row r="23">
      <c r="A23" s="5">
        <v>22.0</v>
      </c>
      <c r="B23" s="5" t="s">
        <v>93</v>
      </c>
      <c r="C23" s="5" t="s">
        <v>20</v>
      </c>
      <c r="I23" s="9"/>
      <c r="K23" s="5">
        <v>350.0</v>
      </c>
      <c r="N23" s="8">
        <v>44997.0</v>
      </c>
    </row>
    <row r="24">
      <c r="A24" s="5">
        <v>23.0</v>
      </c>
      <c r="B24" s="5" t="s">
        <v>95</v>
      </c>
      <c r="C24" s="5" t="s">
        <v>20</v>
      </c>
      <c r="K24" s="5">
        <v>400.0</v>
      </c>
      <c r="N24" s="8">
        <v>44398.0</v>
      </c>
    </row>
    <row r="25">
      <c r="I25" s="9"/>
      <c r="N25" s="8"/>
    </row>
    <row r="26">
      <c r="I26" s="9"/>
      <c r="N26" s="8"/>
    </row>
    <row r="27">
      <c r="I27" s="9"/>
      <c r="N27" s="8"/>
    </row>
    <row r="28">
      <c r="I28" s="9"/>
      <c r="N28" s="8"/>
    </row>
    <row r="29">
      <c r="I29" s="9"/>
      <c r="N29" s="8"/>
    </row>
    <row r="30">
      <c r="I30" s="9"/>
      <c r="N30" s="8"/>
    </row>
    <row r="31">
      <c r="I31" s="9"/>
      <c r="N31" s="8"/>
    </row>
    <row r="32">
      <c r="I32" s="9"/>
      <c r="N32" s="8"/>
    </row>
    <row r="33">
      <c r="N33" s="8"/>
    </row>
    <row r="34">
      <c r="I34" s="9"/>
      <c r="N34" s="8"/>
    </row>
    <row r="35">
      <c r="I35" s="9"/>
      <c r="N35" s="8"/>
    </row>
    <row r="36">
      <c r="I36" s="9"/>
      <c r="N36" s="8"/>
    </row>
    <row r="37">
      <c r="I37" s="9"/>
      <c r="N37" s="8"/>
    </row>
    <row r="38">
      <c r="N38" s="8"/>
    </row>
    <row r="39">
      <c r="I39" s="9"/>
      <c r="N39" s="8"/>
    </row>
    <row r="40">
      <c r="I40" s="9"/>
      <c r="N40" s="8"/>
    </row>
    <row r="41">
      <c r="I41" s="9"/>
      <c r="N41" s="8"/>
    </row>
    <row r="42">
      <c r="N42" s="8"/>
    </row>
    <row r="43">
      <c r="I43" s="9"/>
      <c r="N43" s="8"/>
    </row>
    <row r="44">
      <c r="I44" s="9"/>
      <c r="N44" s="8"/>
    </row>
    <row r="45">
      <c r="I45" s="9"/>
      <c r="N45" s="8"/>
    </row>
    <row r="46">
      <c r="I46" s="9"/>
      <c r="N46" s="8"/>
    </row>
    <row r="47">
      <c r="I47" s="9"/>
      <c r="N47" s="8"/>
    </row>
    <row r="48">
      <c r="N48" s="8"/>
    </row>
    <row r="49">
      <c r="I49" s="9"/>
      <c r="N49" s="8"/>
    </row>
    <row r="50">
      <c r="I50" s="9"/>
      <c r="N50" s="8"/>
    </row>
    <row r="51">
      <c r="I51" s="9"/>
      <c r="N51" s="8"/>
    </row>
    <row r="52">
      <c r="N52" s="8"/>
    </row>
    <row r="53">
      <c r="N53" s="8"/>
    </row>
    <row r="54">
      <c r="N54" s="8"/>
    </row>
    <row r="55">
      <c r="N55" s="8"/>
    </row>
    <row r="56">
      <c r="N56" s="8"/>
    </row>
    <row r="57">
      <c r="N57" s="8"/>
    </row>
    <row r="58">
      <c r="I58" s="9"/>
      <c r="N58" s="8"/>
    </row>
    <row r="59">
      <c r="N59" s="8"/>
    </row>
    <row r="60">
      <c r="I60" s="9"/>
      <c r="N60" s="8"/>
    </row>
    <row r="61">
      <c r="I61" s="9"/>
      <c r="N61" s="8"/>
    </row>
    <row r="62">
      <c r="N62" s="8"/>
    </row>
    <row r="63">
      <c r="N63" s="8"/>
    </row>
    <row r="64">
      <c r="I64" s="9"/>
      <c r="N64" s="8"/>
    </row>
    <row r="65">
      <c r="I65" s="9"/>
      <c r="N65" s="8"/>
    </row>
    <row r="66">
      <c r="N66" s="8"/>
    </row>
    <row r="67">
      <c r="N67" s="8"/>
    </row>
    <row r="68">
      <c r="N68" s="8"/>
    </row>
    <row r="69">
      <c r="N69" s="8"/>
    </row>
    <row r="70">
      <c r="N70" s="8"/>
    </row>
    <row r="71">
      <c r="N71" s="8"/>
    </row>
    <row r="72">
      <c r="I72" s="9"/>
      <c r="N72" s="8"/>
    </row>
    <row r="73">
      <c r="I73" s="9"/>
      <c r="N73" s="8"/>
    </row>
    <row r="74">
      <c r="I74" s="9"/>
      <c r="N74" s="8"/>
    </row>
    <row r="75">
      <c r="N75" s="8"/>
    </row>
    <row r="76">
      <c r="N76" s="8"/>
    </row>
    <row r="77">
      <c r="I77" s="9"/>
      <c r="N77" s="8"/>
    </row>
    <row r="78">
      <c r="N78" s="8"/>
    </row>
    <row r="79">
      <c r="I79" s="9"/>
      <c r="N79" s="8"/>
    </row>
    <row r="80">
      <c r="I80" s="9"/>
      <c r="N80" s="8"/>
    </row>
    <row r="81">
      <c r="N81" s="8"/>
    </row>
    <row r="82">
      <c r="I82" s="9"/>
      <c r="N82" s="8"/>
    </row>
    <row r="83">
      <c r="N83" s="8"/>
    </row>
    <row r="84">
      <c r="N84" s="8"/>
    </row>
    <row r="85">
      <c r="N85" s="8"/>
    </row>
    <row r="86">
      <c r="N86" s="8"/>
    </row>
    <row r="87">
      <c r="I87" s="9"/>
      <c r="N87" s="8"/>
    </row>
    <row r="88">
      <c r="N88" s="8"/>
    </row>
    <row r="89">
      <c r="I89" s="9"/>
      <c r="N89" s="8"/>
    </row>
    <row r="90">
      <c r="N90" s="8"/>
    </row>
    <row r="91">
      <c r="N91" s="8"/>
    </row>
    <row r="92">
      <c r="I92" s="9"/>
      <c r="N92" s="8"/>
    </row>
    <row r="93">
      <c r="I93" s="9"/>
      <c r="N93" s="8"/>
    </row>
    <row r="94">
      <c r="N94" s="8"/>
    </row>
    <row r="95">
      <c r="I95" s="9"/>
      <c r="N95" s="8"/>
    </row>
    <row r="96">
      <c r="N96" s="8"/>
    </row>
    <row r="97">
      <c r="I97" s="9"/>
      <c r="N97" s="8"/>
    </row>
    <row r="98">
      <c r="N98" s="8"/>
    </row>
    <row r="99">
      <c r="N99" s="8"/>
    </row>
    <row r="100">
      <c r="N100" s="8"/>
    </row>
    <row r="101">
      <c r="N101" s="8"/>
    </row>
    <row r="102">
      <c r="I102" s="9"/>
      <c r="N102" s="8"/>
    </row>
    <row r="103">
      <c r="N103" s="8"/>
    </row>
    <row r="104">
      <c r="N104" s="8"/>
    </row>
    <row r="105">
      <c r="N105" s="8"/>
    </row>
    <row r="106">
      <c r="N106" s="8"/>
    </row>
    <row r="107">
      <c r="N107" s="8"/>
    </row>
    <row r="108">
      <c r="N108" s="8"/>
    </row>
    <row r="109">
      <c r="N109" s="8"/>
    </row>
    <row r="110">
      <c r="I110" s="9"/>
      <c r="N110" s="8"/>
    </row>
    <row r="111">
      <c r="N111" s="8"/>
    </row>
    <row r="112">
      <c r="I112" s="9"/>
      <c r="N112" s="8"/>
    </row>
    <row r="113">
      <c r="N113" s="8"/>
    </row>
    <row r="114">
      <c r="I114" s="9"/>
      <c r="N114" s="8"/>
    </row>
    <row r="115">
      <c r="I115" s="9"/>
      <c r="N115" s="8"/>
    </row>
    <row r="116">
      <c r="I116" s="9"/>
      <c r="N116" s="8"/>
    </row>
    <row r="117">
      <c r="N117" s="8"/>
    </row>
    <row r="118">
      <c r="N118" s="8"/>
    </row>
    <row r="119">
      <c r="N119" s="8"/>
    </row>
    <row r="120">
      <c r="N120" s="8"/>
    </row>
    <row r="121">
      <c r="N121" s="8"/>
    </row>
    <row r="122">
      <c r="N122" s="8"/>
    </row>
    <row r="123">
      <c r="N123" s="8"/>
    </row>
    <row r="124">
      <c r="N124" s="8"/>
    </row>
    <row r="125">
      <c r="N125" s="8"/>
    </row>
    <row r="126">
      <c r="N126" s="8"/>
    </row>
    <row r="127">
      <c r="N127" s="8"/>
    </row>
    <row r="128">
      <c r="N128" s="8"/>
    </row>
    <row r="129">
      <c r="N129" s="8"/>
    </row>
    <row r="130">
      <c r="N130" s="8"/>
    </row>
    <row r="131">
      <c r="N131" s="8"/>
    </row>
    <row r="132">
      <c r="N132" s="8"/>
    </row>
    <row r="133">
      <c r="N133" s="8"/>
    </row>
    <row r="134">
      <c r="I134" s="9"/>
      <c r="N134" s="8"/>
    </row>
    <row r="135">
      <c r="N135" s="8"/>
    </row>
    <row r="136">
      <c r="N136" s="8"/>
    </row>
    <row r="137">
      <c r="N137" s="8"/>
    </row>
    <row r="138">
      <c r="N138" s="8"/>
    </row>
    <row r="139">
      <c r="N139" s="8"/>
    </row>
    <row r="140">
      <c r="N140" s="8"/>
    </row>
    <row r="141">
      <c r="N141" s="8"/>
    </row>
    <row r="142">
      <c r="N142" s="8"/>
    </row>
    <row r="143">
      <c r="N143" s="8"/>
    </row>
    <row r="144">
      <c r="N144" s="8"/>
    </row>
    <row r="145">
      <c r="N145" s="8"/>
    </row>
    <row r="146">
      <c r="N146" s="8"/>
    </row>
    <row r="147">
      <c r="N147" s="8"/>
    </row>
    <row r="148">
      <c r="N148" s="8"/>
    </row>
    <row r="149">
      <c r="N149" s="8"/>
    </row>
    <row r="150">
      <c r="N150" s="8"/>
    </row>
    <row r="151">
      <c r="N151" s="8"/>
    </row>
    <row r="152">
      <c r="N152" s="8"/>
    </row>
    <row r="153">
      <c r="N153" s="8"/>
    </row>
    <row r="154">
      <c r="N154" s="8"/>
    </row>
    <row r="155">
      <c r="N155" s="8"/>
    </row>
    <row r="156">
      <c r="N156" s="8"/>
    </row>
    <row r="157">
      <c r="N157" s="8"/>
    </row>
    <row r="158">
      <c r="N158" s="8"/>
    </row>
    <row r="159">
      <c r="N159" s="8"/>
    </row>
    <row r="160">
      <c r="N160" s="8"/>
    </row>
    <row r="161">
      <c r="N161" s="8"/>
    </row>
    <row r="162">
      <c r="N162" s="8"/>
    </row>
    <row r="163">
      <c r="N163" s="8"/>
    </row>
    <row r="164">
      <c r="N164" s="8"/>
    </row>
    <row r="165">
      <c r="N165" s="8"/>
    </row>
    <row r="166">
      <c r="N166" s="8"/>
    </row>
    <row r="167">
      <c r="N167" s="8"/>
    </row>
    <row r="168">
      <c r="N168" s="8"/>
    </row>
    <row r="169">
      <c r="N169" s="8"/>
    </row>
    <row r="170">
      <c r="N170" s="8"/>
    </row>
    <row r="171">
      <c r="N171" s="8"/>
    </row>
    <row r="172">
      <c r="N172" s="8"/>
    </row>
    <row r="173">
      <c r="N173" s="8"/>
    </row>
    <row r="174">
      <c r="N174" s="8"/>
    </row>
    <row r="175">
      <c r="N175" s="8"/>
    </row>
    <row r="176">
      <c r="N176" s="8"/>
    </row>
    <row r="177">
      <c r="N177" s="8"/>
    </row>
    <row r="178">
      <c r="N178" s="8"/>
    </row>
    <row r="179">
      <c r="N179" s="8"/>
    </row>
    <row r="180">
      <c r="N180" s="8"/>
    </row>
    <row r="181">
      <c r="N181" s="8"/>
    </row>
    <row r="182">
      <c r="N182" s="8"/>
    </row>
    <row r="183">
      <c r="N183" s="8"/>
    </row>
    <row r="184">
      <c r="N184" s="8"/>
    </row>
    <row r="185">
      <c r="N185" s="8"/>
    </row>
    <row r="186">
      <c r="N186" s="8"/>
    </row>
    <row r="187">
      <c r="N187" s="8"/>
    </row>
    <row r="188">
      <c r="N188" s="8"/>
    </row>
    <row r="189">
      <c r="N189" s="8"/>
    </row>
    <row r="190">
      <c r="N190" s="8"/>
    </row>
    <row r="191">
      <c r="N191" s="8"/>
    </row>
    <row r="192">
      <c r="N192" s="8"/>
    </row>
    <row r="193">
      <c r="N193" s="8"/>
    </row>
    <row r="194">
      <c r="N194" s="8"/>
    </row>
    <row r="195">
      <c r="N195" s="8"/>
    </row>
    <row r="196">
      <c r="N196" s="8"/>
    </row>
    <row r="197">
      <c r="N197" s="8"/>
    </row>
    <row r="198">
      <c r="N198" s="8"/>
    </row>
    <row r="199">
      <c r="N199" s="8"/>
    </row>
    <row r="200">
      <c r="N200" s="8"/>
    </row>
    <row r="201">
      <c r="N201" s="8"/>
    </row>
    <row r="202">
      <c r="N202" s="8"/>
    </row>
    <row r="203">
      <c r="N203" s="8"/>
    </row>
    <row r="204">
      <c r="N204" s="8"/>
    </row>
    <row r="205">
      <c r="N205" s="8"/>
    </row>
    <row r="206">
      <c r="N206" s="8"/>
    </row>
    <row r="207">
      <c r="N207" s="8"/>
    </row>
    <row r="208">
      <c r="N208" s="8"/>
    </row>
    <row r="209">
      <c r="N209" s="8"/>
    </row>
    <row r="210">
      <c r="N210" s="8"/>
    </row>
    <row r="211">
      <c r="N211" s="8"/>
    </row>
    <row r="212">
      <c r="N212" s="8"/>
    </row>
    <row r="213">
      <c r="N213" s="8"/>
    </row>
    <row r="214">
      <c r="N214" s="8"/>
    </row>
    <row r="215">
      <c r="N215" s="8"/>
    </row>
    <row r="216">
      <c r="N216" s="8"/>
    </row>
    <row r="217">
      <c r="N217" s="8"/>
    </row>
    <row r="218">
      <c r="N218" s="8"/>
    </row>
    <row r="219">
      <c r="N219" s="8"/>
    </row>
    <row r="220">
      <c r="N220" s="8"/>
    </row>
    <row r="221">
      <c r="N221" s="8"/>
    </row>
    <row r="222">
      <c r="N222" s="8"/>
    </row>
    <row r="223">
      <c r="N223" s="8"/>
    </row>
    <row r="224">
      <c r="N224" s="8"/>
    </row>
    <row r="225">
      <c r="N225" s="8"/>
    </row>
    <row r="226">
      <c r="N226" s="8"/>
    </row>
    <row r="227">
      <c r="N227" s="8"/>
    </row>
    <row r="228">
      <c r="N228" s="8"/>
    </row>
    <row r="229">
      <c r="N229" s="8"/>
    </row>
    <row r="230">
      <c r="N230" s="8"/>
    </row>
    <row r="231">
      <c r="N231" s="8"/>
    </row>
    <row r="232">
      <c r="N232" s="8"/>
    </row>
    <row r="233">
      <c r="N233" s="8"/>
    </row>
    <row r="234">
      <c r="N234" s="8"/>
    </row>
    <row r="235">
      <c r="N235" s="8"/>
    </row>
    <row r="236">
      <c r="N236" s="8"/>
    </row>
    <row r="237">
      <c r="N237" s="8"/>
    </row>
    <row r="238">
      <c r="N238" s="8"/>
    </row>
    <row r="239">
      <c r="N239" s="8"/>
    </row>
    <row r="240">
      <c r="N240" s="8"/>
    </row>
    <row r="241">
      <c r="N241" s="8"/>
    </row>
    <row r="242">
      <c r="N242" s="8"/>
    </row>
    <row r="243">
      <c r="N243" s="8"/>
    </row>
    <row r="244">
      <c r="N244" s="8"/>
    </row>
    <row r="245">
      <c r="N245" s="8"/>
    </row>
    <row r="246">
      <c r="N246" s="8"/>
    </row>
    <row r="247">
      <c r="N247" s="8"/>
    </row>
    <row r="248">
      <c r="N248" s="8"/>
    </row>
    <row r="249">
      <c r="N249" s="8"/>
    </row>
    <row r="250">
      <c r="N250" s="8"/>
    </row>
    <row r="251">
      <c r="N251" s="8"/>
    </row>
    <row r="252">
      <c r="N252" s="8"/>
    </row>
    <row r="253">
      <c r="N253" s="8"/>
    </row>
    <row r="254">
      <c r="I254" s="9"/>
      <c r="N254" s="8"/>
    </row>
    <row r="255">
      <c r="N255" s="8"/>
    </row>
    <row r="256">
      <c r="N256" s="8"/>
    </row>
    <row r="257">
      <c r="N257" s="8"/>
    </row>
    <row r="258">
      <c r="N258" s="8"/>
    </row>
    <row r="259">
      <c r="N259" s="8"/>
    </row>
    <row r="260">
      <c r="N260" s="8"/>
    </row>
    <row r="261">
      <c r="N261" s="8"/>
    </row>
    <row r="262">
      <c r="N262" s="8"/>
    </row>
    <row r="263">
      <c r="N263" s="8"/>
    </row>
    <row r="264">
      <c r="N264" s="8"/>
    </row>
    <row r="265">
      <c r="N265" s="8"/>
    </row>
    <row r="266">
      <c r="N266" s="8"/>
    </row>
    <row r="267">
      <c r="N267" s="8"/>
    </row>
    <row r="268">
      <c r="N268" s="8"/>
    </row>
    <row r="269">
      <c r="N269" s="8"/>
    </row>
    <row r="270">
      <c r="N270" s="8"/>
    </row>
    <row r="271">
      <c r="N271" s="8"/>
    </row>
    <row r="272">
      <c r="N272" s="8"/>
    </row>
    <row r="273">
      <c r="N273" s="8"/>
    </row>
    <row r="274">
      <c r="N274" s="8"/>
    </row>
    <row r="275">
      <c r="N275" s="8"/>
    </row>
    <row r="276">
      <c r="N276" s="8"/>
    </row>
    <row r="277">
      <c r="N277" s="8"/>
    </row>
    <row r="278">
      <c r="N278" s="8"/>
    </row>
    <row r="279">
      <c r="N279" s="8"/>
    </row>
    <row r="280">
      <c r="N280" s="8"/>
    </row>
    <row r="281">
      <c r="N281" s="8"/>
    </row>
    <row r="282">
      <c r="N282" s="8"/>
    </row>
    <row r="283">
      <c r="N283" s="8"/>
    </row>
    <row r="284">
      <c r="N284" s="8"/>
    </row>
    <row r="285">
      <c r="N285" s="8"/>
    </row>
    <row r="286">
      <c r="N286" s="8"/>
    </row>
    <row r="287">
      <c r="N287" s="8"/>
    </row>
    <row r="288">
      <c r="N288" s="8"/>
    </row>
    <row r="289">
      <c r="N289" s="8"/>
    </row>
    <row r="290">
      <c r="N290" s="8"/>
    </row>
    <row r="291">
      <c r="N291" s="8"/>
    </row>
    <row r="292">
      <c r="N292" s="8"/>
    </row>
    <row r="293">
      <c r="N293" s="8"/>
    </row>
    <row r="294">
      <c r="N294" s="8"/>
    </row>
    <row r="295">
      <c r="N295" s="8"/>
    </row>
    <row r="296">
      <c r="N296" s="8"/>
    </row>
    <row r="297">
      <c r="N297" s="8"/>
    </row>
    <row r="298">
      <c r="N298" s="8"/>
    </row>
    <row r="299">
      <c r="N299" s="8"/>
    </row>
    <row r="300">
      <c r="N300" s="8"/>
    </row>
    <row r="301">
      <c r="N301" s="8"/>
    </row>
    <row r="302">
      <c r="N302" s="8"/>
    </row>
    <row r="303">
      <c r="N303" s="8"/>
    </row>
    <row r="304">
      <c r="N304" s="8"/>
    </row>
    <row r="305">
      <c r="N305" s="8"/>
    </row>
    <row r="306">
      <c r="N306" s="8"/>
    </row>
    <row r="307">
      <c r="N307" s="8"/>
    </row>
    <row r="308">
      <c r="N308" s="8"/>
    </row>
    <row r="309">
      <c r="N309" s="8"/>
    </row>
    <row r="310">
      <c r="N310" s="8"/>
    </row>
    <row r="311">
      <c r="N311" s="8"/>
    </row>
    <row r="312">
      <c r="N312" s="8"/>
    </row>
    <row r="313">
      <c r="N313" s="8"/>
    </row>
    <row r="314">
      <c r="N314" s="8"/>
    </row>
    <row r="315">
      <c r="N315" s="8"/>
    </row>
    <row r="316">
      <c r="N316" s="8"/>
    </row>
    <row r="317">
      <c r="N317" s="8"/>
    </row>
    <row r="318">
      <c r="N318" s="8"/>
    </row>
    <row r="319">
      <c r="N319" s="8"/>
    </row>
    <row r="320">
      <c r="N320" s="8"/>
    </row>
    <row r="321">
      <c r="N321" s="8"/>
    </row>
    <row r="322">
      <c r="N322" s="8"/>
    </row>
    <row r="323">
      <c r="N323" s="8"/>
    </row>
    <row r="324">
      <c r="N324" s="8"/>
    </row>
    <row r="325">
      <c r="N325" s="8"/>
    </row>
    <row r="326">
      <c r="N326" s="8"/>
    </row>
    <row r="327">
      <c r="N327" s="8"/>
    </row>
    <row r="328">
      <c r="N328" s="8"/>
    </row>
    <row r="329">
      <c r="N329" s="8"/>
    </row>
    <row r="330">
      <c r="N330" s="8"/>
    </row>
    <row r="331">
      <c r="N331" s="8"/>
    </row>
    <row r="332">
      <c r="N332" s="8"/>
    </row>
    <row r="333">
      <c r="N333" s="8"/>
    </row>
    <row r="334">
      <c r="N334" s="8"/>
    </row>
    <row r="335">
      <c r="N335" s="8"/>
    </row>
    <row r="336">
      <c r="N336" s="8"/>
    </row>
    <row r="337">
      <c r="N337" s="8"/>
    </row>
    <row r="338">
      <c r="N338" s="8"/>
    </row>
    <row r="339">
      <c r="N339" s="8"/>
    </row>
    <row r="340">
      <c r="N340" s="8"/>
    </row>
    <row r="341">
      <c r="N341" s="8"/>
    </row>
    <row r="342">
      <c r="N342" s="8"/>
    </row>
  </sheetData>
  <autoFilter ref="$A$1:$Z$99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22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5" t="s">
        <v>20</v>
      </c>
      <c r="D2" s="5">
        <v>83.0</v>
      </c>
      <c r="E2" s="5">
        <v>46000.0</v>
      </c>
      <c r="F2" s="5">
        <v>0.01</v>
      </c>
      <c r="G2" s="5">
        <v>0.28</v>
      </c>
      <c r="H2" s="5" t="s">
        <v>19</v>
      </c>
      <c r="I2" s="9">
        <v>46149.257789351854</v>
      </c>
      <c r="J2" s="5" t="s">
        <v>21</v>
      </c>
      <c r="K2" s="5">
        <v>7870000.0</v>
      </c>
      <c r="L2" s="5">
        <v>13000.0</v>
      </c>
      <c r="M2" s="5">
        <v>951000.0</v>
      </c>
      <c r="N2" s="8">
        <v>42288.0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</row>
    <row r="3">
      <c r="A3" s="5">
        <v>2.0</v>
      </c>
      <c r="B3" s="5" t="s">
        <v>465</v>
      </c>
      <c r="C3" s="5" t="s">
        <v>20</v>
      </c>
      <c r="D3" s="5">
        <v>91.0</v>
      </c>
      <c r="E3" s="5">
        <v>9400.0</v>
      </c>
      <c r="F3" s="5">
        <v>0.3</v>
      </c>
      <c r="G3" s="5">
        <v>0.49</v>
      </c>
      <c r="H3" s="5" t="s">
        <v>465</v>
      </c>
      <c r="I3" s="9">
        <v>46149.25366898148</v>
      </c>
      <c r="J3" s="5" t="s">
        <v>469</v>
      </c>
      <c r="K3" s="5">
        <v>3.311E7</v>
      </c>
      <c r="L3" s="5">
        <v>600.0</v>
      </c>
      <c r="M3" s="5">
        <v>4540000.0</v>
      </c>
      <c r="N3" s="8">
        <v>42252.0</v>
      </c>
      <c r="O3" s="5" t="s">
        <v>22</v>
      </c>
      <c r="P3" s="5" t="s">
        <v>23</v>
      </c>
      <c r="Q3" s="5" t="s">
        <v>472</v>
      </c>
      <c r="R3" s="5" t="s">
        <v>473</v>
      </c>
      <c r="S3" s="5" t="s">
        <v>32</v>
      </c>
    </row>
    <row r="4">
      <c r="A4" s="5">
        <v>3.0</v>
      </c>
      <c r="B4" s="5" t="s">
        <v>27</v>
      </c>
      <c r="C4" s="5" t="s">
        <v>20</v>
      </c>
      <c r="D4" s="5">
        <v>78.0</v>
      </c>
      <c r="E4" s="5">
        <v>5700.0</v>
      </c>
      <c r="F4" s="5">
        <v>0.06</v>
      </c>
      <c r="G4" s="5">
        <v>0.42</v>
      </c>
      <c r="H4" s="5" t="s">
        <v>28</v>
      </c>
      <c r="I4" s="9">
        <v>46149.2518287037</v>
      </c>
      <c r="J4" s="5" t="s">
        <v>29</v>
      </c>
      <c r="K4" s="5">
        <v>2780000.0</v>
      </c>
      <c r="L4" s="5">
        <v>1600.0</v>
      </c>
      <c r="M4" s="5">
        <v>1710000.0</v>
      </c>
      <c r="N4" s="8">
        <v>42304.0</v>
      </c>
      <c r="O4" s="5" t="s">
        <v>22</v>
      </c>
      <c r="P4" s="5" t="s">
        <v>23</v>
      </c>
      <c r="Q4" s="5" t="s">
        <v>30</v>
      </c>
      <c r="R4" s="5" t="s">
        <v>31</v>
      </c>
      <c r="S4" s="5" t="s">
        <v>32</v>
      </c>
    </row>
    <row r="5">
      <c r="A5" s="5">
        <v>4.0</v>
      </c>
      <c r="B5" s="5" t="s">
        <v>28</v>
      </c>
      <c r="C5" s="5" t="s">
        <v>20</v>
      </c>
      <c r="D5" s="5">
        <v>89.0</v>
      </c>
      <c r="E5" s="5">
        <v>4500.0</v>
      </c>
      <c r="F5" s="5">
        <v>0.15</v>
      </c>
      <c r="H5" s="5" t="s">
        <v>28</v>
      </c>
      <c r="I5" s="9">
        <v>46058.009675925925</v>
      </c>
      <c r="J5" s="5" t="s">
        <v>488</v>
      </c>
      <c r="K5" s="5">
        <v>3830000.0</v>
      </c>
      <c r="L5" s="5">
        <v>2800.0</v>
      </c>
      <c r="M5" s="5">
        <v>1110000.0</v>
      </c>
      <c r="N5" s="8">
        <v>42414.0</v>
      </c>
      <c r="O5" s="5" t="s">
        <v>50</v>
      </c>
      <c r="P5" s="5" t="s">
        <v>23</v>
      </c>
      <c r="Q5" s="5" t="s">
        <v>491</v>
      </c>
      <c r="R5" s="5" t="s">
        <v>492</v>
      </c>
      <c r="S5" s="5" t="s">
        <v>26</v>
      </c>
    </row>
    <row r="6">
      <c r="A6" s="5">
        <v>5.0</v>
      </c>
      <c r="B6" s="5" t="s">
        <v>494</v>
      </c>
      <c r="C6" s="5" t="s">
        <v>20</v>
      </c>
      <c r="D6" s="5">
        <v>82.0</v>
      </c>
      <c r="E6" s="5">
        <v>4200.0</v>
      </c>
      <c r="F6" s="5">
        <v>0.02</v>
      </c>
      <c r="G6" s="5">
        <v>0.21</v>
      </c>
      <c r="H6" s="5" t="s">
        <v>494</v>
      </c>
      <c r="I6" s="9">
        <v>46149.25439814815</v>
      </c>
      <c r="J6" s="5" t="s">
        <v>498</v>
      </c>
      <c r="K6" s="5">
        <v>4860000.0</v>
      </c>
      <c r="L6" s="5">
        <v>350.0</v>
      </c>
      <c r="M6" s="5">
        <v>1270000.0</v>
      </c>
      <c r="N6" s="8">
        <v>42306.0</v>
      </c>
      <c r="O6" s="5" t="s">
        <v>22</v>
      </c>
      <c r="P6" s="5" t="s">
        <v>23</v>
      </c>
      <c r="Q6" s="5" t="s">
        <v>501</v>
      </c>
      <c r="R6" s="5" t="s">
        <v>502</v>
      </c>
      <c r="S6" s="5" t="s">
        <v>26</v>
      </c>
    </row>
    <row r="7">
      <c r="A7" s="5">
        <v>6.0</v>
      </c>
      <c r="B7" s="5" t="s">
        <v>33</v>
      </c>
      <c r="C7" s="5" t="s">
        <v>20</v>
      </c>
      <c r="D7" s="5">
        <v>83.0</v>
      </c>
      <c r="E7" s="5">
        <v>2800.0</v>
      </c>
      <c r="F7" s="5">
        <v>0.01</v>
      </c>
      <c r="H7" s="5" t="s">
        <v>19</v>
      </c>
      <c r="I7" s="9">
        <v>46149.251284722224</v>
      </c>
      <c r="K7" s="5">
        <v>271000.0</v>
      </c>
      <c r="L7" s="5">
        <v>13000.0</v>
      </c>
      <c r="M7" s="5">
        <v>951000.0</v>
      </c>
      <c r="N7" s="8">
        <v>43260.0</v>
      </c>
      <c r="O7" s="5" t="s">
        <v>22</v>
      </c>
      <c r="P7" s="5" t="s">
        <v>23</v>
      </c>
      <c r="Q7" s="5" t="s">
        <v>34</v>
      </c>
      <c r="R7" s="5" t="s">
        <v>35</v>
      </c>
      <c r="S7" s="5" t="s">
        <v>26</v>
      </c>
    </row>
    <row r="8">
      <c r="A8" s="5">
        <v>7.0</v>
      </c>
      <c r="B8" s="5" t="s">
        <v>510</v>
      </c>
      <c r="C8" s="5" t="s">
        <v>20</v>
      </c>
      <c r="D8" s="5">
        <v>81.0</v>
      </c>
      <c r="E8" s="5">
        <v>2700.0</v>
      </c>
      <c r="F8" s="5">
        <v>0.25</v>
      </c>
      <c r="G8" s="5">
        <v>1.17</v>
      </c>
      <c r="H8" s="5" t="s">
        <v>510</v>
      </c>
      <c r="I8" s="9">
        <v>46149.24003472222</v>
      </c>
      <c r="J8" s="5" t="s">
        <v>156</v>
      </c>
      <c r="K8" s="5">
        <v>8350000.0</v>
      </c>
      <c r="L8" s="5">
        <v>2900.0</v>
      </c>
      <c r="M8" s="5">
        <v>7140000.0</v>
      </c>
      <c r="N8" s="8">
        <v>42248.0</v>
      </c>
      <c r="O8" s="5" t="s">
        <v>516</v>
      </c>
      <c r="Q8" s="5" t="s">
        <v>518</v>
      </c>
      <c r="R8" s="5" t="s">
        <v>519</v>
      </c>
      <c r="S8" s="5" t="s">
        <v>520</v>
      </c>
    </row>
    <row r="9">
      <c r="A9" s="5">
        <v>8.0</v>
      </c>
      <c r="B9" s="5" t="s">
        <v>522</v>
      </c>
      <c r="C9" s="5" t="s">
        <v>20</v>
      </c>
      <c r="D9" s="5">
        <v>85.0</v>
      </c>
      <c r="E9" s="5">
        <v>2400.0</v>
      </c>
      <c r="F9" s="5">
        <v>0.15</v>
      </c>
      <c r="G9" s="5">
        <v>0.45</v>
      </c>
      <c r="H9" s="5" t="s">
        <v>19</v>
      </c>
      <c r="I9" s="9">
        <v>46149.250914351855</v>
      </c>
      <c r="J9" s="5" t="s">
        <v>29</v>
      </c>
      <c r="K9" s="5">
        <v>4670000.0</v>
      </c>
      <c r="L9" s="5">
        <v>4100.0</v>
      </c>
      <c r="M9" s="5">
        <v>2020000.0</v>
      </c>
      <c r="N9" s="8">
        <v>42287.0</v>
      </c>
      <c r="O9" s="5" t="s">
        <v>22</v>
      </c>
      <c r="P9" s="5" t="s">
        <v>23</v>
      </c>
      <c r="Q9" s="5" t="s">
        <v>530</v>
      </c>
      <c r="R9" s="5" t="s">
        <v>531</v>
      </c>
      <c r="S9" s="5" t="s">
        <v>26</v>
      </c>
    </row>
    <row r="10">
      <c r="A10" s="5">
        <v>9.0</v>
      </c>
      <c r="B10" s="5" t="s">
        <v>533</v>
      </c>
      <c r="C10" s="5" t="s">
        <v>20</v>
      </c>
      <c r="D10" s="5">
        <v>91.0</v>
      </c>
      <c r="E10" s="5">
        <v>1400.0</v>
      </c>
      <c r="F10" s="5">
        <v>0.09</v>
      </c>
      <c r="G10" s="5">
        <v>0.24</v>
      </c>
      <c r="H10" s="5" t="s">
        <v>28</v>
      </c>
      <c r="I10" s="9">
        <v>45908.659525462965</v>
      </c>
      <c r="J10" s="5" t="s">
        <v>538</v>
      </c>
      <c r="K10" s="5">
        <v>265000.0</v>
      </c>
      <c r="L10" s="5">
        <v>3800.0</v>
      </c>
      <c r="M10" s="5">
        <v>1130000.0</v>
      </c>
      <c r="N10" s="8">
        <v>42306.0</v>
      </c>
      <c r="O10" s="5" t="s">
        <v>50</v>
      </c>
      <c r="P10" s="5" t="s">
        <v>23</v>
      </c>
      <c r="Q10" s="5" t="s">
        <v>542</v>
      </c>
      <c r="R10" s="5" t="s">
        <v>544</v>
      </c>
      <c r="S10" s="5" t="s">
        <v>26</v>
      </c>
    </row>
    <row r="11">
      <c r="A11" s="5">
        <v>10.0</v>
      </c>
      <c r="B11" s="5" t="s">
        <v>36</v>
      </c>
      <c r="C11" s="5" t="s">
        <v>20</v>
      </c>
      <c r="D11" s="5">
        <v>90.0</v>
      </c>
      <c r="E11" s="5">
        <v>1200.0</v>
      </c>
      <c r="F11" s="5">
        <v>0.01</v>
      </c>
      <c r="G11" s="5">
        <v>0.25</v>
      </c>
      <c r="H11" s="5" t="s">
        <v>33</v>
      </c>
      <c r="I11" s="9">
        <v>45893.550405092596</v>
      </c>
      <c r="J11" s="5" t="s">
        <v>37</v>
      </c>
      <c r="K11" s="5">
        <v>3490000.0</v>
      </c>
      <c r="L11" s="5">
        <v>13000.0</v>
      </c>
      <c r="M11" s="5">
        <v>1150000.0</v>
      </c>
      <c r="N11" s="8">
        <v>42282.0</v>
      </c>
      <c r="O11" s="5" t="s">
        <v>22</v>
      </c>
      <c r="P11" s="5" t="s">
        <v>23</v>
      </c>
      <c r="Q11" s="5" t="s">
        <v>38</v>
      </c>
      <c r="R11" s="5" t="s">
        <v>39</v>
      </c>
      <c r="S11" s="5" t="s">
        <v>26</v>
      </c>
    </row>
    <row r="12">
      <c r="A12" s="5">
        <v>11.0</v>
      </c>
      <c r="B12" s="5" t="s">
        <v>554</v>
      </c>
      <c r="C12" s="5" t="s">
        <v>20</v>
      </c>
      <c r="D12" s="5">
        <v>80.0</v>
      </c>
      <c r="E12" s="5">
        <v>800.0</v>
      </c>
      <c r="F12" s="5">
        <v>0.25</v>
      </c>
      <c r="G12" s="5">
        <v>0.47</v>
      </c>
      <c r="H12" s="5" t="s">
        <v>556</v>
      </c>
      <c r="I12" s="9">
        <v>45895.52305555555</v>
      </c>
      <c r="J12" s="5" t="s">
        <v>564</v>
      </c>
      <c r="K12" s="5">
        <v>2540000.0</v>
      </c>
      <c r="L12" s="5">
        <v>100.0</v>
      </c>
      <c r="M12" s="5">
        <v>270000.0</v>
      </c>
      <c r="N12" s="8">
        <v>42295.0</v>
      </c>
      <c r="O12" s="5" t="s">
        <v>22</v>
      </c>
      <c r="P12" s="5" t="s">
        <v>23</v>
      </c>
      <c r="Q12" s="5" t="s">
        <v>569</v>
      </c>
      <c r="R12" s="5" t="s">
        <v>571</v>
      </c>
      <c r="S12" s="5" t="s">
        <v>32</v>
      </c>
    </row>
    <row r="13">
      <c r="A13" s="5">
        <v>12.0</v>
      </c>
      <c r="B13" s="5" t="s">
        <v>574</v>
      </c>
      <c r="C13" s="5" t="s">
        <v>20</v>
      </c>
      <c r="D13" s="5">
        <v>75.0</v>
      </c>
      <c r="E13" s="5">
        <v>800.0</v>
      </c>
      <c r="F13" s="5">
        <v>0.45</v>
      </c>
      <c r="G13" s="5">
        <v>1.0</v>
      </c>
      <c r="H13" s="5" t="s">
        <v>574</v>
      </c>
      <c r="I13" s="9">
        <v>46055.765173611115</v>
      </c>
      <c r="J13" s="5" t="s">
        <v>156</v>
      </c>
      <c r="K13" s="5">
        <v>562000.0</v>
      </c>
      <c r="L13" s="5">
        <v>600.0</v>
      </c>
      <c r="M13" s="5">
        <v>549000.0</v>
      </c>
      <c r="N13" s="8">
        <v>42252.0</v>
      </c>
      <c r="O13" s="5" t="s">
        <v>516</v>
      </c>
      <c r="P13" s="5" t="s">
        <v>23</v>
      </c>
      <c r="Q13" s="5" t="s">
        <v>582</v>
      </c>
      <c r="R13" s="5" t="s">
        <v>583</v>
      </c>
      <c r="S13" s="5" t="s">
        <v>584</v>
      </c>
    </row>
    <row r="14">
      <c r="A14" s="5">
        <v>13.0</v>
      </c>
      <c r="B14" s="5" t="s">
        <v>40</v>
      </c>
      <c r="C14" s="5" t="s">
        <v>20</v>
      </c>
      <c r="D14" s="5">
        <v>84.0</v>
      </c>
      <c r="E14" s="5">
        <v>600.0</v>
      </c>
      <c r="F14" s="5">
        <v>0.02</v>
      </c>
      <c r="H14" s="5" t="s">
        <v>27</v>
      </c>
      <c r="I14" s="9">
        <v>45989.25649305555</v>
      </c>
      <c r="J14" s="5" t="s">
        <v>37</v>
      </c>
      <c r="K14" s="5">
        <v>397000.0</v>
      </c>
      <c r="L14" s="5">
        <v>2700.0</v>
      </c>
      <c r="M14" s="5">
        <v>2100000.0</v>
      </c>
      <c r="N14" s="8">
        <v>42534.0</v>
      </c>
      <c r="O14" s="5" t="s">
        <v>22</v>
      </c>
      <c r="P14" s="5" t="s">
        <v>23</v>
      </c>
      <c r="Q14" s="5" t="s">
        <v>41</v>
      </c>
      <c r="R14" s="5" t="s">
        <v>42</v>
      </c>
      <c r="S14" s="5" t="s">
        <v>32</v>
      </c>
    </row>
    <row r="15">
      <c r="A15" s="5">
        <v>14.0</v>
      </c>
      <c r="B15" s="5" t="s">
        <v>593</v>
      </c>
      <c r="C15" s="5" t="s">
        <v>20</v>
      </c>
      <c r="D15" s="5">
        <v>87.0</v>
      </c>
      <c r="E15" s="5">
        <v>450.0</v>
      </c>
      <c r="F15" s="5">
        <v>0.02</v>
      </c>
      <c r="G15" s="5">
        <v>0.91</v>
      </c>
      <c r="H15" s="5" t="s">
        <v>465</v>
      </c>
      <c r="I15" s="9">
        <v>45876.613483796296</v>
      </c>
      <c r="J15" s="5" t="s">
        <v>598</v>
      </c>
      <c r="K15" s="5">
        <v>472000.0</v>
      </c>
      <c r="L15" s="5">
        <v>800.0</v>
      </c>
      <c r="M15" s="5">
        <v>2080000.0</v>
      </c>
      <c r="N15" s="8">
        <v>42334.0</v>
      </c>
      <c r="O15" s="5" t="s">
        <v>22</v>
      </c>
      <c r="P15" s="5" t="s">
        <v>23</v>
      </c>
      <c r="Q15" s="5" t="s">
        <v>601</v>
      </c>
      <c r="R15" s="5" t="s">
        <v>603</v>
      </c>
      <c r="S15" s="5" t="s">
        <v>604</v>
      </c>
    </row>
    <row r="16">
      <c r="A16" s="5">
        <v>15.0</v>
      </c>
      <c r="B16" s="5" t="s">
        <v>606</v>
      </c>
      <c r="C16" s="5" t="s">
        <v>20</v>
      </c>
      <c r="D16" s="5">
        <v>52.0</v>
      </c>
      <c r="E16" s="5">
        <v>450.0</v>
      </c>
      <c r="F16" s="5">
        <v>0.03</v>
      </c>
      <c r="G16" s="5">
        <v>1.03</v>
      </c>
      <c r="H16" s="5" t="s">
        <v>33</v>
      </c>
      <c r="I16" s="9">
        <v>45896.33380787037</v>
      </c>
      <c r="J16" s="5" t="s">
        <v>156</v>
      </c>
      <c r="K16" s="5">
        <v>130000.0</v>
      </c>
      <c r="L16" s="5">
        <v>450.0</v>
      </c>
      <c r="M16" s="5">
        <v>510000.0</v>
      </c>
      <c r="N16" s="8">
        <v>42289.0</v>
      </c>
      <c r="O16" s="5" t="s">
        <v>516</v>
      </c>
      <c r="P16" s="5" t="s">
        <v>23</v>
      </c>
      <c r="Q16" s="5" t="s">
        <v>612</v>
      </c>
      <c r="R16" s="5" t="s">
        <v>613</v>
      </c>
      <c r="S16" s="5" t="s">
        <v>26</v>
      </c>
    </row>
    <row r="17">
      <c r="A17" s="5">
        <v>16.0</v>
      </c>
      <c r="B17" s="5" t="s">
        <v>616</v>
      </c>
      <c r="C17" s="5" t="s">
        <v>20</v>
      </c>
      <c r="D17" s="5">
        <v>86.0</v>
      </c>
      <c r="E17" s="5">
        <v>450.0</v>
      </c>
      <c r="F17" s="5">
        <v>0.15</v>
      </c>
      <c r="G17" s="5">
        <v>0.48</v>
      </c>
      <c r="H17" s="5" t="s">
        <v>618</v>
      </c>
      <c r="I17" s="9">
        <v>45897.06704861111</v>
      </c>
      <c r="J17" s="5" t="s">
        <v>564</v>
      </c>
      <c r="K17" s="5">
        <v>1830000.0</v>
      </c>
      <c r="L17" s="5">
        <v>150.0</v>
      </c>
      <c r="M17" s="5">
        <v>963000.0</v>
      </c>
      <c r="N17" s="8">
        <v>42380.0</v>
      </c>
      <c r="O17" s="5" t="s">
        <v>22</v>
      </c>
      <c r="P17" s="5" t="s">
        <v>23</v>
      </c>
      <c r="Q17" s="5" t="s">
        <v>622</v>
      </c>
      <c r="R17" s="5" t="s">
        <v>623</v>
      </c>
      <c r="S17" s="5" t="s">
        <v>62</v>
      </c>
    </row>
    <row r="18">
      <c r="A18" s="5">
        <v>17.0</v>
      </c>
      <c r="B18" s="5" t="s">
        <v>626</v>
      </c>
      <c r="C18" s="5" t="s">
        <v>20</v>
      </c>
      <c r="D18" s="5">
        <v>85.0</v>
      </c>
      <c r="E18" s="5">
        <v>300.0</v>
      </c>
      <c r="F18" s="5">
        <v>0.35</v>
      </c>
      <c r="G18" s="5">
        <v>0.39</v>
      </c>
      <c r="H18" s="5" t="s">
        <v>618</v>
      </c>
      <c r="I18" s="9">
        <v>45928.47002314815</v>
      </c>
      <c r="J18" s="5" t="s">
        <v>629</v>
      </c>
      <c r="K18" s="5">
        <v>705000.0</v>
      </c>
      <c r="L18" s="5">
        <v>200.0</v>
      </c>
      <c r="M18" s="5">
        <v>624000.0</v>
      </c>
      <c r="N18" s="8">
        <v>42518.0</v>
      </c>
      <c r="O18" s="5" t="s">
        <v>22</v>
      </c>
      <c r="P18" s="5" t="s">
        <v>23</v>
      </c>
      <c r="Q18" s="5" t="s">
        <v>634</v>
      </c>
      <c r="R18" s="5" t="s">
        <v>635</v>
      </c>
      <c r="S18" s="5" t="s">
        <v>62</v>
      </c>
    </row>
    <row r="19">
      <c r="A19" s="5">
        <v>18.0</v>
      </c>
      <c r="B19" s="5" t="s">
        <v>637</v>
      </c>
      <c r="C19" s="5" t="s">
        <v>20</v>
      </c>
      <c r="D19" s="5">
        <v>83.0</v>
      </c>
      <c r="E19" s="5">
        <v>300.0</v>
      </c>
      <c r="H19" s="5" t="s">
        <v>19</v>
      </c>
      <c r="I19" s="9">
        <v>46033.62678240741</v>
      </c>
      <c r="K19" s="5">
        <v>235000.0</v>
      </c>
      <c r="L19" s="5">
        <v>14000.0</v>
      </c>
      <c r="M19" s="5">
        <v>1210000.0</v>
      </c>
      <c r="N19" s="8">
        <v>42315.0</v>
      </c>
      <c r="O19" s="5" t="s">
        <v>22</v>
      </c>
      <c r="P19" s="5" t="s">
        <v>23</v>
      </c>
      <c r="Q19" s="5" t="s">
        <v>643</v>
      </c>
      <c r="R19" s="5">
        <v>413.0</v>
      </c>
      <c r="S19" s="5" t="s">
        <v>26</v>
      </c>
    </row>
    <row r="20">
      <c r="A20" s="5">
        <v>19.0</v>
      </c>
      <c r="B20" s="5" t="s">
        <v>83</v>
      </c>
      <c r="C20" s="5" t="s">
        <v>20</v>
      </c>
      <c r="D20" s="5">
        <v>87.0</v>
      </c>
      <c r="E20" s="5">
        <v>300.0</v>
      </c>
      <c r="F20" s="5">
        <v>0.01</v>
      </c>
      <c r="G20" s="5">
        <v>0.93</v>
      </c>
      <c r="H20" s="5" t="s">
        <v>19</v>
      </c>
      <c r="I20" s="9">
        <v>45905.99233796296</v>
      </c>
      <c r="J20" s="5" t="s">
        <v>86</v>
      </c>
      <c r="K20" s="5">
        <v>138000.0</v>
      </c>
      <c r="L20" s="5">
        <v>13000.0</v>
      </c>
      <c r="M20" s="5">
        <v>1120000.0</v>
      </c>
      <c r="N20" s="8">
        <v>42313.0</v>
      </c>
      <c r="O20" s="5" t="s">
        <v>22</v>
      </c>
      <c r="P20" s="5" t="s">
        <v>23</v>
      </c>
      <c r="Q20" s="5" t="s">
        <v>90</v>
      </c>
      <c r="R20" s="5" t="s">
        <v>91</v>
      </c>
      <c r="S20" s="5" t="s">
        <v>26</v>
      </c>
    </row>
    <row r="21">
      <c r="A21" s="5">
        <v>20.0</v>
      </c>
      <c r="B21" s="5" t="s">
        <v>654</v>
      </c>
      <c r="C21" s="5" t="s">
        <v>20</v>
      </c>
      <c r="D21" s="5">
        <v>2.0</v>
      </c>
      <c r="E21" s="5">
        <v>250.0</v>
      </c>
      <c r="F21" s="5">
        <v>0.8</v>
      </c>
      <c r="G21" s="5">
        <v>1.02</v>
      </c>
      <c r="H21" s="5" t="s">
        <v>654</v>
      </c>
      <c r="I21" s="9">
        <v>45914.39240740741</v>
      </c>
      <c r="J21" s="5" t="s">
        <v>659</v>
      </c>
      <c r="K21" s="5">
        <v>63000.0</v>
      </c>
      <c r="L21" s="5">
        <v>300.0</v>
      </c>
      <c r="M21" s="5">
        <v>186000.0</v>
      </c>
      <c r="N21" s="8">
        <v>42322.0</v>
      </c>
      <c r="O21" s="5" t="s">
        <v>22</v>
      </c>
      <c r="P21" s="5" t="s">
        <v>23</v>
      </c>
      <c r="Q21" s="5" t="s">
        <v>662</v>
      </c>
      <c r="R21" s="5" t="s">
        <v>664</v>
      </c>
      <c r="S21" s="5" t="s">
        <v>26</v>
      </c>
    </row>
    <row r="22">
      <c r="A22" s="5">
        <v>21.0</v>
      </c>
      <c r="B22" s="5" t="s">
        <v>666</v>
      </c>
      <c r="C22" s="5" t="s">
        <v>20</v>
      </c>
      <c r="D22" s="5">
        <v>93.0</v>
      </c>
      <c r="E22" s="5">
        <v>250.0</v>
      </c>
      <c r="F22" s="5">
        <v>0.35</v>
      </c>
      <c r="G22" s="5">
        <v>0.2</v>
      </c>
      <c r="H22" s="5" t="s">
        <v>465</v>
      </c>
      <c r="I22" s="9">
        <v>45980.62079861111</v>
      </c>
      <c r="J22" s="5" t="s">
        <v>670</v>
      </c>
      <c r="K22" s="5">
        <v>1500000.0</v>
      </c>
      <c r="L22" s="5">
        <v>4900.0</v>
      </c>
      <c r="M22" s="5">
        <v>1.202E7</v>
      </c>
      <c r="N22" s="8">
        <v>42273.0</v>
      </c>
      <c r="O22" s="5" t="s">
        <v>50</v>
      </c>
      <c r="P22" s="5" t="s">
        <v>23</v>
      </c>
      <c r="Q22" s="5" t="s">
        <v>673</v>
      </c>
      <c r="R22" s="5" t="s">
        <v>676</v>
      </c>
      <c r="S22" s="5" t="s">
        <v>32</v>
      </c>
    </row>
    <row r="23">
      <c r="A23" s="5">
        <v>22.0</v>
      </c>
      <c r="B23" s="5" t="s">
        <v>677</v>
      </c>
      <c r="C23" s="5" t="s">
        <v>20</v>
      </c>
      <c r="D23" s="5">
        <v>76.0</v>
      </c>
      <c r="E23" s="5">
        <v>200.0</v>
      </c>
      <c r="G23" s="5">
        <v>0.81</v>
      </c>
      <c r="H23" s="5" t="s">
        <v>680</v>
      </c>
      <c r="I23" s="9">
        <v>46069.58211805556</v>
      </c>
      <c r="J23" s="5" t="s">
        <v>598</v>
      </c>
      <c r="K23" s="5">
        <v>195000.0</v>
      </c>
      <c r="L23" s="5">
        <v>50.0</v>
      </c>
      <c r="M23" s="5">
        <v>129000.0</v>
      </c>
      <c r="N23" s="8">
        <v>42381.0</v>
      </c>
      <c r="O23" s="5" t="s">
        <v>22</v>
      </c>
      <c r="P23" s="5" t="s">
        <v>23</v>
      </c>
      <c r="Q23" s="5" t="s">
        <v>684</v>
      </c>
      <c r="R23" s="5">
        <v>39.0</v>
      </c>
      <c r="S23" s="5" t="s">
        <v>32</v>
      </c>
    </row>
    <row r="24">
      <c r="A24" s="5">
        <v>23.0</v>
      </c>
      <c r="B24" s="5" t="s">
        <v>687</v>
      </c>
      <c r="C24" s="5" t="s">
        <v>20</v>
      </c>
      <c r="D24" s="5">
        <v>89.0</v>
      </c>
      <c r="E24" s="5">
        <v>200.0</v>
      </c>
      <c r="F24" s="5">
        <v>0.1</v>
      </c>
      <c r="H24" s="5" t="s">
        <v>28</v>
      </c>
      <c r="I24" s="9">
        <v>45909.12694444445</v>
      </c>
      <c r="J24" s="5" t="s">
        <v>538</v>
      </c>
      <c r="K24" s="5">
        <v>108000.0</v>
      </c>
      <c r="L24" s="5">
        <v>3800.0</v>
      </c>
      <c r="M24" s="5">
        <v>1130000.0</v>
      </c>
      <c r="N24" s="8">
        <v>42509.0</v>
      </c>
      <c r="O24" s="5" t="s">
        <v>22</v>
      </c>
      <c r="P24" s="5" t="s">
        <v>23</v>
      </c>
      <c r="S24" s="5" t="s">
        <v>32</v>
      </c>
    </row>
    <row r="25">
      <c r="A25" s="5">
        <v>24.0</v>
      </c>
      <c r="B25" s="5" t="s">
        <v>693</v>
      </c>
      <c r="C25" s="5" t="s">
        <v>20</v>
      </c>
      <c r="D25" s="5">
        <v>73.0</v>
      </c>
      <c r="E25" s="5">
        <v>200.0</v>
      </c>
      <c r="F25" s="5">
        <v>0.35</v>
      </c>
      <c r="G25" s="5">
        <v>0.5</v>
      </c>
      <c r="H25" s="5" t="s">
        <v>693</v>
      </c>
      <c r="I25" s="9">
        <v>46026.73737268519</v>
      </c>
      <c r="J25" s="5" t="s">
        <v>698</v>
      </c>
      <c r="K25" s="5">
        <v>561000.0</v>
      </c>
      <c r="L25" s="5">
        <v>10.0</v>
      </c>
      <c r="M25" s="5">
        <v>57000.0</v>
      </c>
      <c r="N25" s="8">
        <v>42256.0</v>
      </c>
      <c r="O25" s="5" t="s">
        <v>22</v>
      </c>
      <c r="P25" s="5" t="s">
        <v>23</v>
      </c>
      <c r="Q25" s="5" t="s">
        <v>701</v>
      </c>
      <c r="R25" s="5" t="s">
        <v>702</v>
      </c>
      <c r="S25" s="5" t="s">
        <v>32</v>
      </c>
    </row>
    <row r="26">
      <c r="A26" s="5">
        <v>25.0</v>
      </c>
      <c r="B26" s="5" t="s">
        <v>43</v>
      </c>
      <c r="C26" s="5" t="s">
        <v>20</v>
      </c>
      <c r="D26" s="5">
        <v>79.0</v>
      </c>
      <c r="E26" s="5">
        <v>200.0</v>
      </c>
      <c r="H26" s="5" t="s">
        <v>44</v>
      </c>
      <c r="I26" s="9">
        <v>45882.490428240744</v>
      </c>
      <c r="J26" s="5" t="s">
        <v>37</v>
      </c>
      <c r="K26" s="5">
        <v>55000.0</v>
      </c>
      <c r="L26" s="5">
        <v>150.0</v>
      </c>
      <c r="M26" s="5">
        <v>209000.0</v>
      </c>
      <c r="N26" s="8">
        <v>43849.0</v>
      </c>
      <c r="O26" s="5" t="s">
        <v>22</v>
      </c>
      <c r="P26" s="5" t="s">
        <v>23</v>
      </c>
      <c r="Q26" s="5" t="s">
        <v>45</v>
      </c>
      <c r="R26" s="5" t="s">
        <v>46</v>
      </c>
      <c r="S26" s="5" t="s">
        <v>26</v>
      </c>
    </row>
    <row r="27">
      <c r="A27" s="5">
        <v>26.0</v>
      </c>
      <c r="B27" s="5" t="s">
        <v>705</v>
      </c>
      <c r="C27" s="5" t="s">
        <v>20</v>
      </c>
      <c r="D27" s="5">
        <v>27.0</v>
      </c>
      <c r="E27" s="5">
        <v>200.0</v>
      </c>
      <c r="F27" s="5">
        <v>0.35</v>
      </c>
      <c r="H27" s="5" t="s">
        <v>705</v>
      </c>
      <c r="I27" s="9">
        <v>46084.0243287037</v>
      </c>
      <c r="J27" s="5" t="s">
        <v>707</v>
      </c>
      <c r="K27" s="5">
        <v>54000.0</v>
      </c>
      <c r="L27" s="5">
        <v>250.0</v>
      </c>
      <c r="M27" s="5">
        <v>207000.0</v>
      </c>
      <c r="N27" s="8">
        <v>43862.0</v>
      </c>
      <c r="O27" s="5" t="s">
        <v>516</v>
      </c>
      <c r="Q27" s="5" t="s">
        <v>709</v>
      </c>
      <c r="R27" s="5" t="s">
        <v>710</v>
      </c>
      <c r="S27" s="5" t="s">
        <v>135</v>
      </c>
    </row>
    <row r="28">
      <c r="A28" s="5">
        <v>27.0</v>
      </c>
      <c r="B28" s="5" t="s">
        <v>97</v>
      </c>
      <c r="C28" s="5" t="s">
        <v>20</v>
      </c>
      <c r="D28" s="5">
        <v>83.0</v>
      </c>
      <c r="E28" s="5">
        <v>150.0</v>
      </c>
      <c r="H28" s="5" t="s">
        <v>19</v>
      </c>
      <c r="I28" s="9">
        <v>46148.99465277778</v>
      </c>
      <c r="J28" s="5" t="s">
        <v>52</v>
      </c>
      <c r="K28" s="5">
        <v>31000.0</v>
      </c>
      <c r="L28" s="5">
        <v>13000.0</v>
      </c>
      <c r="M28" s="5">
        <v>950000.0</v>
      </c>
      <c r="N28" s="8">
        <v>42482.0</v>
      </c>
      <c r="O28" s="5" t="s">
        <v>50</v>
      </c>
      <c r="P28" s="5" t="s">
        <v>23</v>
      </c>
      <c r="S28" s="5" t="s">
        <v>26</v>
      </c>
    </row>
    <row r="29">
      <c r="A29" s="5">
        <v>28.0</v>
      </c>
      <c r="B29" s="5" t="s">
        <v>713</v>
      </c>
      <c r="C29" s="5" t="s">
        <v>20</v>
      </c>
      <c r="D29" s="5">
        <v>77.0</v>
      </c>
      <c r="E29" s="5">
        <v>150.0</v>
      </c>
      <c r="F29" s="5">
        <v>0.02</v>
      </c>
      <c r="G29" s="5">
        <v>1.1</v>
      </c>
      <c r="H29" s="5" t="s">
        <v>715</v>
      </c>
      <c r="I29" s="9">
        <v>46162.24219907408</v>
      </c>
      <c r="J29" s="5" t="s">
        <v>48</v>
      </c>
      <c r="K29" s="5">
        <v>125000.0</v>
      </c>
      <c r="L29" s="5">
        <v>90.0</v>
      </c>
      <c r="M29" s="5">
        <v>101000.0</v>
      </c>
      <c r="N29" s="8">
        <v>42248.0</v>
      </c>
      <c r="O29" s="5" t="s">
        <v>22</v>
      </c>
      <c r="P29" s="5" t="s">
        <v>23</v>
      </c>
      <c r="Q29" s="5" t="s">
        <v>718</v>
      </c>
      <c r="R29" s="5" t="s">
        <v>719</v>
      </c>
      <c r="S29" s="5" t="s">
        <v>604</v>
      </c>
    </row>
    <row r="30">
      <c r="A30" s="5">
        <v>29.0</v>
      </c>
      <c r="B30" s="5" t="s">
        <v>721</v>
      </c>
      <c r="C30" s="5" t="s">
        <v>20</v>
      </c>
      <c r="D30" s="5">
        <v>69.0</v>
      </c>
      <c r="E30" s="5">
        <v>150.0</v>
      </c>
      <c r="F30" s="5">
        <v>0.01</v>
      </c>
      <c r="H30" s="5" t="s">
        <v>19</v>
      </c>
      <c r="I30" s="9">
        <v>46127.36046296296</v>
      </c>
      <c r="J30" s="5" t="s">
        <v>48</v>
      </c>
      <c r="K30" s="5">
        <v>657000.0</v>
      </c>
      <c r="L30" s="5">
        <v>4000.0</v>
      </c>
      <c r="M30" s="5">
        <v>2070000.0</v>
      </c>
      <c r="N30" s="8">
        <v>42323.0</v>
      </c>
      <c r="O30" s="5" t="s">
        <v>22</v>
      </c>
      <c r="P30" s="5" t="s">
        <v>23</v>
      </c>
      <c r="S30" s="5" t="s">
        <v>26</v>
      </c>
    </row>
    <row r="31">
      <c r="A31" s="5">
        <v>30.0</v>
      </c>
      <c r="B31" s="5" t="s">
        <v>100</v>
      </c>
      <c r="C31" s="5" t="s">
        <v>20</v>
      </c>
      <c r="D31" s="5">
        <v>83.0</v>
      </c>
      <c r="E31" s="5">
        <v>150.0</v>
      </c>
      <c r="F31" s="5">
        <v>0.01</v>
      </c>
      <c r="H31" s="5" t="s">
        <v>19</v>
      </c>
      <c r="I31" s="9">
        <v>46098.07898148148</v>
      </c>
      <c r="J31" s="5" t="s">
        <v>52</v>
      </c>
      <c r="K31" s="5">
        <v>1900.0</v>
      </c>
      <c r="L31" s="5">
        <v>13000.0</v>
      </c>
      <c r="M31" s="5">
        <v>1230000.0</v>
      </c>
      <c r="N31" s="8">
        <v>42808.0</v>
      </c>
      <c r="O31" s="5" t="s">
        <v>50</v>
      </c>
      <c r="P31" s="5" t="s">
        <v>23</v>
      </c>
      <c r="S31" s="5" t="s">
        <v>26</v>
      </c>
    </row>
    <row r="32">
      <c r="A32" s="5">
        <v>31.0</v>
      </c>
      <c r="B32" s="5" t="s">
        <v>733</v>
      </c>
      <c r="C32" s="5" t="s">
        <v>20</v>
      </c>
      <c r="D32" s="5">
        <v>73.0</v>
      </c>
      <c r="E32" s="5">
        <v>150.0</v>
      </c>
      <c r="H32" s="5" t="s">
        <v>28</v>
      </c>
      <c r="I32" s="9">
        <v>46163.22212962963</v>
      </c>
      <c r="J32" s="5" t="s">
        <v>736</v>
      </c>
      <c r="K32" s="5">
        <v>37000.0</v>
      </c>
      <c r="L32" s="5">
        <v>1100.0</v>
      </c>
      <c r="M32" s="5">
        <v>1370000.0</v>
      </c>
      <c r="N32" s="8">
        <v>44214.0</v>
      </c>
      <c r="O32" s="5" t="s">
        <v>50</v>
      </c>
      <c r="P32" s="5" t="s">
        <v>23</v>
      </c>
      <c r="S32" s="5" t="s">
        <v>32</v>
      </c>
    </row>
    <row r="33">
      <c r="A33" s="5">
        <v>32.0</v>
      </c>
      <c r="B33" s="5" t="s">
        <v>103</v>
      </c>
      <c r="C33" s="5" t="s">
        <v>20</v>
      </c>
      <c r="D33" s="5">
        <v>86.0</v>
      </c>
      <c r="E33" s="5">
        <v>150.0</v>
      </c>
      <c r="H33" s="5" t="s">
        <v>19</v>
      </c>
      <c r="I33" s="9">
        <v>46085.643692129626</v>
      </c>
      <c r="K33" s="5">
        <v>54000.0</v>
      </c>
      <c r="L33" s="5">
        <v>4200.0</v>
      </c>
      <c r="M33" s="5">
        <v>2270000.0</v>
      </c>
      <c r="N33" s="8">
        <v>43607.0</v>
      </c>
      <c r="O33" s="5" t="s">
        <v>50</v>
      </c>
      <c r="P33" s="5" t="s">
        <v>23</v>
      </c>
      <c r="S33" s="5" t="s">
        <v>26</v>
      </c>
    </row>
    <row r="34">
      <c r="A34" s="5">
        <v>33.0</v>
      </c>
      <c r="B34" s="5" t="s">
        <v>60</v>
      </c>
      <c r="C34" s="5" t="s">
        <v>20</v>
      </c>
      <c r="D34" s="5">
        <v>65.0</v>
      </c>
      <c r="E34" s="5">
        <v>100.0</v>
      </c>
      <c r="H34" s="5" t="s">
        <v>60</v>
      </c>
      <c r="I34" s="9">
        <v>46089.232523148145</v>
      </c>
      <c r="J34" s="5" t="s">
        <v>736</v>
      </c>
      <c r="K34" s="5">
        <v>5000.0</v>
      </c>
      <c r="L34" s="5">
        <v>70.0</v>
      </c>
      <c r="M34" s="5">
        <v>71000.0</v>
      </c>
      <c r="N34" s="8">
        <v>44191.0</v>
      </c>
      <c r="O34" s="5" t="s">
        <v>22</v>
      </c>
      <c r="P34" s="5" t="s">
        <v>23</v>
      </c>
      <c r="S34" s="5" t="s">
        <v>26</v>
      </c>
    </row>
    <row r="35">
      <c r="A35" s="5">
        <v>34.0</v>
      </c>
      <c r="B35" s="5" t="s">
        <v>744</v>
      </c>
      <c r="C35" s="5" t="s">
        <v>20</v>
      </c>
      <c r="D35" s="5">
        <v>78.0</v>
      </c>
      <c r="E35" s="5">
        <v>100.0</v>
      </c>
      <c r="H35" s="5" t="s">
        <v>28</v>
      </c>
      <c r="I35" s="9">
        <v>46160.004699074074</v>
      </c>
      <c r="J35" s="5" t="s">
        <v>736</v>
      </c>
      <c r="K35" s="5">
        <v>33000.0</v>
      </c>
      <c r="L35" s="5">
        <v>1000.0</v>
      </c>
      <c r="M35" s="5">
        <v>940000.0</v>
      </c>
      <c r="N35" s="8">
        <v>42485.0</v>
      </c>
      <c r="O35" s="5" t="s">
        <v>50</v>
      </c>
      <c r="P35" s="5" t="s">
        <v>23</v>
      </c>
      <c r="S35" s="5" t="s">
        <v>32</v>
      </c>
    </row>
    <row r="36">
      <c r="A36" s="5">
        <v>35.0</v>
      </c>
      <c r="B36" s="5" t="s">
        <v>747</v>
      </c>
      <c r="C36" s="5" t="s">
        <v>20</v>
      </c>
      <c r="D36" s="5">
        <v>82.0</v>
      </c>
      <c r="E36" s="5">
        <v>100.0</v>
      </c>
      <c r="H36" s="5" t="s">
        <v>19</v>
      </c>
      <c r="I36" s="9">
        <v>46124.255844907406</v>
      </c>
      <c r="K36" s="5">
        <v>74000.0</v>
      </c>
      <c r="L36" s="5">
        <v>13000.0</v>
      </c>
      <c r="M36" s="5">
        <v>1180000.0</v>
      </c>
      <c r="N36" s="8">
        <v>42541.0</v>
      </c>
      <c r="O36" s="5" t="s">
        <v>22</v>
      </c>
      <c r="P36" s="5" t="s">
        <v>23</v>
      </c>
      <c r="S36" s="5" t="s">
        <v>26</v>
      </c>
    </row>
    <row r="37">
      <c r="A37" s="5">
        <v>36.0</v>
      </c>
      <c r="B37" s="5" t="s">
        <v>47</v>
      </c>
      <c r="C37" s="5" t="s">
        <v>20</v>
      </c>
      <c r="D37" s="5">
        <v>78.0</v>
      </c>
      <c r="E37" s="5">
        <v>100.0</v>
      </c>
      <c r="H37" s="5" t="s">
        <v>47</v>
      </c>
      <c r="I37" s="9">
        <v>46127.108877314815</v>
      </c>
      <c r="J37" s="5" t="s">
        <v>48</v>
      </c>
      <c r="K37" s="5">
        <v>53000.0</v>
      </c>
      <c r="L37" s="5">
        <v>90.0</v>
      </c>
      <c r="M37" s="5">
        <v>137000.0</v>
      </c>
      <c r="N37" s="8">
        <v>43206.0</v>
      </c>
      <c r="O37" s="5" t="s">
        <v>22</v>
      </c>
      <c r="P37" s="5" t="s">
        <v>23</v>
      </c>
      <c r="S37" s="5" t="s">
        <v>26</v>
      </c>
    </row>
    <row r="38">
      <c r="A38" s="5">
        <v>37.0</v>
      </c>
      <c r="B38" s="5" t="s">
        <v>753</v>
      </c>
      <c r="C38" s="5" t="s">
        <v>20</v>
      </c>
      <c r="D38" s="5">
        <v>82.0</v>
      </c>
      <c r="E38" s="5">
        <v>100.0</v>
      </c>
      <c r="F38" s="5">
        <v>0.35</v>
      </c>
      <c r="H38" s="5" t="s">
        <v>33</v>
      </c>
      <c r="I38" s="9">
        <v>46131.55559027778</v>
      </c>
      <c r="J38" s="5" t="s">
        <v>69</v>
      </c>
      <c r="K38" s="5">
        <v>28000.0</v>
      </c>
      <c r="L38" s="5">
        <v>300.0</v>
      </c>
      <c r="M38" s="5">
        <v>236000.0</v>
      </c>
      <c r="N38" s="8">
        <v>42562.0</v>
      </c>
      <c r="O38" s="5" t="s">
        <v>22</v>
      </c>
      <c r="P38" s="5" t="s">
        <v>23</v>
      </c>
      <c r="S38" s="5" t="s">
        <v>604</v>
      </c>
    </row>
    <row r="39">
      <c r="A39" s="5">
        <v>38.0</v>
      </c>
      <c r="B39" s="5" t="s">
        <v>756</v>
      </c>
      <c r="C39" s="5" t="s">
        <v>20</v>
      </c>
      <c r="D39" s="5">
        <v>69.0</v>
      </c>
      <c r="E39" s="5">
        <v>100.0</v>
      </c>
      <c r="F39" s="5">
        <v>0.35</v>
      </c>
      <c r="H39" s="5" t="s">
        <v>756</v>
      </c>
      <c r="I39" s="9">
        <v>46141.76351851852</v>
      </c>
      <c r="J39" s="5" t="s">
        <v>758</v>
      </c>
      <c r="K39" s="5">
        <v>18000.0</v>
      </c>
      <c r="L39" s="5">
        <v>20.0</v>
      </c>
      <c r="M39" s="5">
        <v>10000.0</v>
      </c>
      <c r="N39" s="8">
        <v>42424.0</v>
      </c>
      <c r="O39" s="5" t="s">
        <v>50</v>
      </c>
      <c r="P39" s="5" t="s">
        <v>23</v>
      </c>
      <c r="S39" s="5" t="s">
        <v>135</v>
      </c>
    </row>
    <row r="40">
      <c r="A40" s="5">
        <v>39.0</v>
      </c>
      <c r="B40" s="5" t="s">
        <v>108</v>
      </c>
      <c r="C40" s="5" t="s">
        <v>20</v>
      </c>
      <c r="D40" s="5">
        <v>75.0</v>
      </c>
      <c r="E40" s="5">
        <v>100.0</v>
      </c>
      <c r="H40" s="5" t="s">
        <v>19</v>
      </c>
      <c r="I40" s="9">
        <v>46157.02377314815</v>
      </c>
      <c r="J40" s="5" t="s">
        <v>110</v>
      </c>
      <c r="K40" s="5">
        <v>22000.0</v>
      </c>
      <c r="L40" s="5">
        <v>1100.0</v>
      </c>
      <c r="M40" s="5">
        <v>817000.0</v>
      </c>
      <c r="N40" s="8">
        <v>44475.0</v>
      </c>
      <c r="O40" s="5" t="s">
        <v>22</v>
      </c>
      <c r="P40" s="5" t="s">
        <v>23</v>
      </c>
      <c r="S40" s="5" t="s">
        <v>26</v>
      </c>
    </row>
    <row r="41">
      <c r="A41" s="5">
        <v>40.0</v>
      </c>
      <c r="B41" s="5" t="s">
        <v>763</v>
      </c>
      <c r="C41" s="5" t="s">
        <v>20</v>
      </c>
      <c r="D41" s="5">
        <v>85.0</v>
      </c>
      <c r="E41" s="5">
        <v>100.0</v>
      </c>
      <c r="F41" s="5">
        <v>0.5</v>
      </c>
      <c r="H41" s="5" t="s">
        <v>763</v>
      </c>
      <c r="I41" s="9">
        <v>45977.26414351852</v>
      </c>
      <c r="J41" s="5" t="s">
        <v>766</v>
      </c>
      <c r="K41" s="5">
        <v>303000.0</v>
      </c>
      <c r="L41" s="5">
        <v>100.0</v>
      </c>
      <c r="M41" s="5">
        <v>14000.0</v>
      </c>
      <c r="N41" s="8">
        <v>42309.0</v>
      </c>
      <c r="O41" s="5" t="s">
        <v>50</v>
      </c>
      <c r="P41" s="5" t="s">
        <v>23</v>
      </c>
      <c r="S41" s="5" t="s">
        <v>768</v>
      </c>
    </row>
    <row r="42">
      <c r="A42" s="5">
        <v>41.0</v>
      </c>
      <c r="B42" s="5" t="s">
        <v>49</v>
      </c>
      <c r="C42" s="5" t="s">
        <v>20</v>
      </c>
      <c r="D42" s="5">
        <v>84.0</v>
      </c>
      <c r="E42" s="5">
        <v>90.0</v>
      </c>
      <c r="H42" s="5" t="s">
        <v>19</v>
      </c>
      <c r="I42" s="9">
        <v>46144.90032407407</v>
      </c>
      <c r="K42" s="5">
        <v>679000.0</v>
      </c>
      <c r="L42" s="5">
        <v>13000.0</v>
      </c>
      <c r="M42" s="5">
        <v>1060000.0</v>
      </c>
      <c r="N42" s="8">
        <v>42759.0</v>
      </c>
      <c r="O42" s="5" t="s">
        <v>50</v>
      </c>
      <c r="P42" s="5" t="s">
        <v>23</v>
      </c>
      <c r="S42" s="5" t="s">
        <v>26</v>
      </c>
    </row>
    <row r="43">
      <c r="A43" s="5">
        <v>42.0</v>
      </c>
      <c r="B43" s="5" t="s">
        <v>770</v>
      </c>
      <c r="C43" s="5" t="s">
        <v>20</v>
      </c>
      <c r="D43" s="5">
        <v>23.0</v>
      </c>
      <c r="E43" s="5">
        <v>80.0</v>
      </c>
      <c r="H43" s="5" t="s">
        <v>705</v>
      </c>
      <c r="I43" s="9">
        <v>46162.984247685185</v>
      </c>
      <c r="J43" s="5" t="s">
        <v>110</v>
      </c>
      <c r="K43" s="5">
        <v>31000.0</v>
      </c>
      <c r="L43" s="5">
        <v>300.0</v>
      </c>
      <c r="M43" s="5">
        <v>207000.0</v>
      </c>
      <c r="N43" s="8">
        <v>43805.0</v>
      </c>
      <c r="O43" s="5" t="s">
        <v>516</v>
      </c>
      <c r="S43" s="5" t="s">
        <v>135</v>
      </c>
    </row>
    <row r="44">
      <c r="A44" s="5">
        <v>43.0</v>
      </c>
      <c r="B44" s="5" t="s">
        <v>774</v>
      </c>
      <c r="C44" s="5" t="s">
        <v>20</v>
      </c>
      <c r="D44" s="5">
        <v>89.0</v>
      </c>
      <c r="E44" s="5">
        <v>80.0</v>
      </c>
      <c r="H44" s="5" t="s">
        <v>19</v>
      </c>
      <c r="I44" s="9">
        <v>46118.15130787037</v>
      </c>
      <c r="J44" s="5" t="s">
        <v>48</v>
      </c>
      <c r="K44" s="5">
        <v>82000.0</v>
      </c>
      <c r="L44" s="5">
        <v>4000.0</v>
      </c>
      <c r="M44" s="5">
        <v>2060000.0</v>
      </c>
      <c r="N44" s="8">
        <v>42384.0</v>
      </c>
      <c r="O44" s="5" t="s">
        <v>22</v>
      </c>
      <c r="P44" s="5" t="s">
        <v>23</v>
      </c>
      <c r="S44" s="5" t="s">
        <v>26</v>
      </c>
    </row>
    <row r="45">
      <c r="A45" s="5">
        <v>44.0</v>
      </c>
      <c r="B45" s="5" t="s">
        <v>777</v>
      </c>
      <c r="C45" s="5" t="s">
        <v>20</v>
      </c>
      <c r="D45" s="5">
        <v>78.0</v>
      </c>
      <c r="E45" s="5">
        <v>70.0</v>
      </c>
      <c r="H45" s="5" t="s">
        <v>28</v>
      </c>
      <c r="I45" s="9">
        <v>46124.925717592596</v>
      </c>
      <c r="J45" s="5" t="s">
        <v>52</v>
      </c>
      <c r="K45" s="5">
        <v>4500.0</v>
      </c>
      <c r="L45" s="5">
        <v>1600.0</v>
      </c>
      <c r="M45" s="5">
        <v>1250000.0</v>
      </c>
      <c r="N45" s="8">
        <v>43255.0</v>
      </c>
      <c r="O45" s="5" t="s">
        <v>50</v>
      </c>
      <c r="P45" s="5" t="s">
        <v>23</v>
      </c>
      <c r="S45" s="5" t="s">
        <v>32</v>
      </c>
    </row>
    <row r="46">
      <c r="A46" s="5">
        <v>45.0</v>
      </c>
      <c r="B46" s="5" t="s">
        <v>51</v>
      </c>
      <c r="C46" s="5" t="s">
        <v>20</v>
      </c>
      <c r="D46" s="5">
        <v>83.0</v>
      </c>
      <c r="E46" s="5">
        <v>70.0</v>
      </c>
      <c r="H46" s="5" t="s">
        <v>19</v>
      </c>
      <c r="I46" s="9">
        <v>46141.858819444446</v>
      </c>
      <c r="J46" s="5" t="s">
        <v>52</v>
      </c>
      <c r="K46" s="5">
        <v>9100.0</v>
      </c>
      <c r="L46" s="5">
        <v>13000.0</v>
      </c>
      <c r="M46" s="5">
        <v>972000.0</v>
      </c>
      <c r="N46" s="8">
        <v>43093.0</v>
      </c>
      <c r="O46" s="5" t="s">
        <v>50</v>
      </c>
      <c r="P46" s="5" t="s">
        <v>23</v>
      </c>
      <c r="S46" s="5" t="s">
        <v>26</v>
      </c>
    </row>
    <row r="47">
      <c r="A47" s="5">
        <v>46.0</v>
      </c>
      <c r="B47" s="5" t="s">
        <v>782</v>
      </c>
      <c r="C47" s="5" t="s">
        <v>20</v>
      </c>
      <c r="D47" s="5">
        <v>83.0</v>
      </c>
      <c r="E47" s="5">
        <v>60.0</v>
      </c>
      <c r="H47" s="5" t="s">
        <v>783</v>
      </c>
      <c r="I47" s="9">
        <v>46089.19863425926</v>
      </c>
      <c r="K47" s="5">
        <v>7500.0</v>
      </c>
      <c r="L47" s="5">
        <v>350.0</v>
      </c>
      <c r="M47" s="5">
        <v>1070000.0</v>
      </c>
      <c r="N47" s="8">
        <v>43967.0</v>
      </c>
      <c r="O47" s="5" t="s">
        <v>22</v>
      </c>
      <c r="P47" s="5" t="s">
        <v>23</v>
      </c>
      <c r="S47" s="5" t="s">
        <v>785</v>
      </c>
    </row>
    <row r="48">
      <c r="A48" s="5">
        <v>47.0</v>
      </c>
      <c r="B48" s="5" t="s">
        <v>787</v>
      </c>
      <c r="C48" s="5" t="s">
        <v>20</v>
      </c>
      <c r="D48" s="5">
        <v>68.0</v>
      </c>
      <c r="E48" s="5">
        <v>60.0</v>
      </c>
      <c r="F48" s="5">
        <v>0.1</v>
      </c>
      <c r="H48" s="5" t="s">
        <v>787</v>
      </c>
      <c r="I48" s="9">
        <v>46148.49313657408</v>
      </c>
      <c r="J48" s="5" t="s">
        <v>52</v>
      </c>
      <c r="K48" s="5">
        <v>44000.0</v>
      </c>
      <c r="L48" s="5">
        <v>40.0</v>
      </c>
      <c r="M48" s="5">
        <v>110000.0</v>
      </c>
      <c r="N48" s="8">
        <v>42645.0</v>
      </c>
      <c r="O48" s="5" t="s">
        <v>22</v>
      </c>
      <c r="P48" s="5" t="s">
        <v>23</v>
      </c>
      <c r="S48" s="5" t="s">
        <v>32</v>
      </c>
    </row>
    <row r="49">
      <c r="A49" s="5">
        <v>48.0</v>
      </c>
      <c r="B49" s="5" t="s">
        <v>53</v>
      </c>
      <c r="C49" s="5" t="s">
        <v>20</v>
      </c>
      <c r="D49" s="5">
        <v>80.0</v>
      </c>
      <c r="E49" s="5">
        <v>60.0</v>
      </c>
      <c r="H49" s="5" t="s">
        <v>28</v>
      </c>
      <c r="I49" s="9">
        <v>46161.036944444444</v>
      </c>
      <c r="J49" s="5" t="s">
        <v>52</v>
      </c>
      <c r="K49" s="5">
        <v>8900.0</v>
      </c>
      <c r="L49" s="5">
        <v>1000.0</v>
      </c>
      <c r="M49" s="5">
        <v>1160000.0</v>
      </c>
      <c r="N49" s="8">
        <v>42467.0</v>
      </c>
      <c r="O49" s="5" t="s">
        <v>22</v>
      </c>
      <c r="P49" s="5" t="s">
        <v>23</v>
      </c>
      <c r="S49" s="5" t="s">
        <v>32</v>
      </c>
    </row>
    <row r="50">
      <c r="A50" s="5">
        <v>49.0</v>
      </c>
      <c r="B50" s="5" t="s">
        <v>792</v>
      </c>
      <c r="C50" s="5" t="s">
        <v>20</v>
      </c>
      <c r="D50" s="5">
        <v>89.0</v>
      </c>
      <c r="E50" s="5">
        <v>60.0</v>
      </c>
      <c r="H50" s="5" t="s">
        <v>19</v>
      </c>
      <c r="I50" s="9">
        <v>46083.55503472222</v>
      </c>
      <c r="J50" s="5" t="s">
        <v>488</v>
      </c>
      <c r="K50" s="5">
        <v>113000.0</v>
      </c>
      <c r="L50" s="5">
        <v>4200.0</v>
      </c>
      <c r="M50" s="5">
        <v>2270000.0</v>
      </c>
      <c r="N50" s="8">
        <v>43879.0</v>
      </c>
      <c r="O50" s="5" t="s">
        <v>50</v>
      </c>
      <c r="P50" s="5" t="s">
        <v>23</v>
      </c>
      <c r="S50" s="5" t="s">
        <v>32</v>
      </c>
    </row>
    <row r="51">
      <c r="A51" s="5">
        <v>50.0</v>
      </c>
      <c r="B51" s="5" t="s">
        <v>59</v>
      </c>
      <c r="C51" s="5" t="s">
        <v>20</v>
      </c>
      <c r="D51" s="5">
        <v>77.0</v>
      </c>
      <c r="E51" s="5">
        <v>60.0</v>
      </c>
      <c r="H51" s="5" t="s">
        <v>60</v>
      </c>
      <c r="I51" s="9">
        <v>46089.20579861111</v>
      </c>
      <c r="K51" s="5">
        <v>34000.0</v>
      </c>
      <c r="L51" s="5">
        <v>20.0</v>
      </c>
      <c r="M51" s="5">
        <v>27000.0</v>
      </c>
      <c r="N51" s="8">
        <v>44071.0</v>
      </c>
      <c r="O51" s="5" t="s">
        <v>22</v>
      </c>
      <c r="P51" s="5" t="s">
        <v>23</v>
      </c>
      <c r="S51" s="5" t="s">
        <v>62</v>
      </c>
    </row>
    <row r="52">
      <c r="A52" s="5">
        <v>51.0</v>
      </c>
      <c r="B52" s="5" t="s">
        <v>797</v>
      </c>
      <c r="C52" s="5" t="s">
        <v>20</v>
      </c>
      <c r="D52" s="5">
        <v>12.0</v>
      </c>
      <c r="E52" s="5">
        <v>60.0</v>
      </c>
      <c r="H52" s="5" t="s">
        <v>797</v>
      </c>
      <c r="I52" s="9">
        <v>46087.80366898148</v>
      </c>
      <c r="J52" s="5" t="s">
        <v>110</v>
      </c>
      <c r="K52" s="5">
        <v>9400.0</v>
      </c>
      <c r="L52" s="5">
        <v>80.0</v>
      </c>
      <c r="M52" s="5">
        <v>23000.0</v>
      </c>
      <c r="N52" s="8">
        <v>44463.0</v>
      </c>
      <c r="O52" s="5" t="s">
        <v>22</v>
      </c>
      <c r="S52" s="5" t="s">
        <v>135</v>
      </c>
    </row>
    <row r="53">
      <c r="A53" s="5">
        <v>52.0</v>
      </c>
      <c r="B53" s="5" t="s">
        <v>799</v>
      </c>
      <c r="C53" s="5" t="s">
        <v>20</v>
      </c>
      <c r="D53" s="5">
        <v>78.0</v>
      </c>
      <c r="E53" s="5">
        <v>50.0</v>
      </c>
      <c r="H53" s="5" t="s">
        <v>19</v>
      </c>
      <c r="I53" s="9">
        <v>46156.40671296296</v>
      </c>
      <c r="J53" s="5" t="s">
        <v>52</v>
      </c>
      <c r="K53" s="5">
        <v>23000.0</v>
      </c>
      <c r="L53" s="5">
        <v>4200.0</v>
      </c>
      <c r="M53" s="5">
        <v>1820000.0</v>
      </c>
      <c r="N53" s="8">
        <v>42888.0</v>
      </c>
      <c r="O53" s="5" t="s">
        <v>50</v>
      </c>
      <c r="P53" s="5" t="s">
        <v>23</v>
      </c>
      <c r="S53" s="5" t="s">
        <v>26</v>
      </c>
    </row>
    <row r="54">
      <c r="A54" s="5">
        <v>53.0</v>
      </c>
      <c r="B54" s="5" t="s">
        <v>128</v>
      </c>
      <c r="C54" s="5" t="s">
        <v>20</v>
      </c>
      <c r="D54" s="5">
        <v>64.0</v>
      </c>
      <c r="E54" s="5">
        <v>50.0</v>
      </c>
      <c r="G54" s="5">
        <v>0.52</v>
      </c>
      <c r="H54" s="5" t="s">
        <v>28</v>
      </c>
      <c r="I54" s="9">
        <v>46149.41028935185</v>
      </c>
      <c r="K54" s="5">
        <v>62000.0</v>
      </c>
      <c r="L54" s="5">
        <v>1600.0</v>
      </c>
      <c r="M54" s="5">
        <v>1710000.0</v>
      </c>
      <c r="N54" s="8">
        <v>42476.0</v>
      </c>
      <c r="O54" s="5" t="s">
        <v>22</v>
      </c>
      <c r="P54" s="5" t="s">
        <v>23</v>
      </c>
      <c r="S54" s="5" t="s">
        <v>32</v>
      </c>
    </row>
    <row r="55">
      <c r="A55" s="5">
        <v>54.0</v>
      </c>
      <c r="B55" s="5" t="s">
        <v>131</v>
      </c>
      <c r="C55" s="5" t="s">
        <v>20</v>
      </c>
      <c r="D55" s="5">
        <v>78.0</v>
      </c>
      <c r="E55" s="5">
        <v>50.0</v>
      </c>
      <c r="H55" s="5" t="s">
        <v>64</v>
      </c>
      <c r="I55" s="9">
        <v>46145.478321759256</v>
      </c>
      <c r="K55" s="5">
        <v>10000.0</v>
      </c>
      <c r="L55" s="5">
        <v>90.0</v>
      </c>
      <c r="M55" s="5">
        <v>189000.0</v>
      </c>
      <c r="N55" s="8">
        <v>43844.0</v>
      </c>
      <c r="O55" s="5" t="s">
        <v>22</v>
      </c>
      <c r="P55" s="5" t="s">
        <v>23</v>
      </c>
      <c r="S55" s="5" t="s">
        <v>135</v>
      </c>
    </row>
    <row r="56">
      <c r="A56" s="5">
        <v>55.0</v>
      </c>
      <c r="B56" s="5" t="s">
        <v>64</v>
      </c>
      <c r="C56" s="5" t="s">
        <v>20</v>
      </c>
      <c r="D56" s="5">
        <v>82.0</v>
      </c>
      <c r="E56" s="5">
        <v>50.0</v>
      </c>
      <c r="H56" s="5" t="s">
        <v>47</v>
      </c>
      <c r="I56" s="9">
        <v>46099.11547453704</v>
      </c>
      <c r="K56" s="5">
        <v>33000.0</v>
      </c>
      <c r="L56" s="5">
        <v>150.0</v>
      </c>
      <c r="M56" s="5">
        <v>178000.0</v>
      </c>
      <c r="N56" s="8">
        <v>44191.0</v>
      </c>
      <c r="O56" s="5" t="s">
        <v>22</v>
      </c>
      <c r="P56" s="5" t="s">
        <v>23</v>
      </c>
      <c r="S56" s="5" t="s">
        <v>32</v>
      </c>
    </row>
    <row r="57">
      <c r="A57" s="5">
        <v>56.0</v>
      </c>
      <c r="B57" s="5" t="s">
        <v>807</v>
      </c>
      <c r="C57" s="5" t="s">
        <v>20</v>
      </c>
      <c r="D57" s="5">
        <v>77.0</v>
      </c>
      <c r="E57" s="5">
        <v>50.0</v>
      </c>
      <c r="H57" s="5" t="s">
        <v>27</v>
      </c>
      <c r="I57" s="9">
        <v>46089.99873842593</v>
      </c>
      <c r="K57" s="5">
        <v>82000.0</v>
      </c>
      <c r="L57" s="5">
        <v>1800.0</v>
      </c>
      <c r="M57" s="5">
        <v>1470000.0</v>
      </c>
      <c r="N57" s="8">
        <v>42855.0</v>
      </c>
      <c r="O57" s="5" t="s">
        <v>50</v>
      </c>
      <c r="P57" s="5" t="s">
        <v>23</v>
      </c>
      <c r="S57" s="5" t="s">
        <v>26</v>
      </c>
    </row>
    <row r="58">
      <c r="A58" s="5">
        <v>57.0</v>
      </c>
      <c r="B58" s="5" t="s">
        <v>808</v>
      </c>
      <c r="C58" s="5" t="s">
        <v>20</v>
      </c>
      <c r="D58" s="5">
        <v>89.0</v>
      </c>
      <c r="E58" s="5">
        <v>50.0</v>
      </c>
      <c r="H58" s="5" t="s">
        <v>19</v>
      </c>
      <c r="I58" s="9">
        <v>46123.45685185185</v>
      </c>
      <c r="J58" s="5" t="s">
        <v>69</v>
      </c>
      <c r="K58" s="5">
        <v>208000.0</v>
      </c>
      <c r="L58" s="5">
        <v>4000.0</v>
      </c>
      <c r="M58" s="5">
        <v>2070000.0</v>
      </c>
      <c r="N58" s="8">
        <v>42552.0</v>
      </c>
      <c r="O58" s="5" t="s">
        <v>50</v>
      </c>
      <c r="P58" s="5" t="s">
        <v>23</v>
      </c>
      <c r="S58" s="5" t="s">
        <v>26</v>
      </c>
    </row>
    <row r="59">
      <c r="A59" s="5">
        <v>58.0</v>
      </c>
      <c r="B59" s="5" t="s">
        <v>138</v>
      </c>
      <c r="C59" s="5" t="s">
        <v>20</v>
      </c>
      <c r="D59" s="5">
        <v>81.0</v>
      </c>
      <c r="E59" s="5">
        <v>50.0</v>
      </c>
      <c r="H59" s="5" t="s">
        <v>138</v>
      </c>
      <c r="I59" s="9">
        <v>46070.68927083333</v>
      </c>
      <c r="J59" s="5" t="s">
        <v>52</v>
      </c>
      <c r="K59" s="5">
        <v>62000.0</v>
      </c>
      <c r="L59" s="5">
        <v>20.0</v>
      </c>
      <c r="M59" s="5">
        <v>8400.0</v>
      </c>
      <c r="N59" s="8">
        <v>42521.0</v>
      </c>
      <c r="O59" s="5" t="s">
        <v>22</v>
      </c>
      <c r="P59" s="5" t="s">
        <v>23</v>
      </c>
      <c r="Q59" s="5" t="s">
        <v>141</v>
      </c>
      <c r="R59" s="5" t="s">
        <v>142</v>
      </c>
      <c r="S59" s="5" t="s">
        <v>32</v>
      </c>
    </row>
    <row r="60">
      <c r="A60" s="5">
        <v>59.0</v>
      </c>
      <c r="B60" s="5" t="s">
        <v>813</v>
      </c>
      <c r="C60" s="5" t="s">
        <v>20</v>
      </c>
      <c r="D60" s="5">
        <v>85.0</v>
      </c>
      <c r="E60" s="5">
        <v>40.0</v>
      </c>
      <c r="H60" s="5" t="s">
        <v>465</v>
      </c>
      <c r="I60" s="9">
        <v>46098.764965277776</v>
      </c>
      <c r="J60" s="5" t="s">
        <v>815</v>
      </c>
      <c r="K60" s="5">
        <v>74000.0</v>
      </c>
      <c r="L60" s="5">
        <v>600.0</v>
      </c>
      <c r="M60" s="5">
        <v>8360000.0</v>
      </c>
      <c r="N60" s="8">
        <v>42530.0</v>
      </c>
      <c r="O60" s="5" t="s">
        <v>22</v>
      </c>
      <c r="P60" s="5" t="s">
        <v>23</v>
      </c>
      <c r="S60" s="5" t="s">
        <v>62</v>
      </c>
    </row>
    <row r="61">
      <c r="A61" s="5">
        <v>60.0</v>
      </c>
      <c r="B61" s="5" t="s">
        <v>817</v>
      </c>
      <c r="C61" s="5" t="s">
        <v>20</v>
      </c>
      <c r="D61" s="5">
        <v>77.0</v>
      </c>
      <c r="E61" s="5">
        <v>40.0</v>
      </c>
      <c r="F61" s="5">
        <v>0.4</v>
      </c>
      <c r="H61" s="5" t="s">
        <v>28</v>
      </c>
      <c r="I61" s="9">
        <v>46157.08909722222</v>
      </c>
      <c r="J61" s="5" t="s">
        <v>52</v>
      </c>
      <c r="K61" s="5">
        <v>211000.0</v>
      </c>
      <c r="L61" s="5">
        <v>1000.0</v>
      </c>
      <c r="M61" s="5">
        <v>1010000.0</v>
      </c>
      <c r="N61" s="8">
        <v>43872.0</v>
      </c>
      <c r="O61" s="5" t="s">
        <v>50</v>
      </c>
      <c r="P61" s="5" t="s">
        <v>23</v>
      </c>
      <c r="S61" s="5" t="s">
        <v>26</v>
      </c>
    </row>
    <row r="62">
      <c r="A62" s="5">
        <v>61.0</v>
      </c>
      <c r="B62" s="5" t="s">
        <v>821</v>
      </c>
      <c r="C62" s="5" t="s">
        <v>20</v>
      </c>
      <c r="D62" s="5">
        <v>77.0</v>
      </c>
      <c r="E62" s="5">
        <v>40.0</v>
      </c>
      <c r="H62" s="5" t="s">
        <v>47</v>
      </c>
      <c r="I62" s="9">
        <v>46147.73572916666</v>
      </c>
      <c r="J62" s="5" t="s">
        <v>109</v>
      </c>
      <c r="K62" s="5">
        <v>8400.0</v>
      </c>
      <c r="L62" s="5">
        <v>80.0</v>
      </c>
      <c r="M62" s="5">
        <v>109000.0</v>
      </c>
      <c r="N62" s="8">
        <v>42795.0</v>
      </c>
      <c r="O62" s="5" t="s">
        <v>823</v>
      </c>
      <c r="S62" s="5" t="s">
        <v>89</v>
      </c>
    </row>
    <row r="63">
      <c r="A63" s="5">
        <v>62.0</v>
      </c>
      <c r="B63" s="5" t="s">
        <v>146</v>
      </c>
      <c r="C63" s="5" t="s">
        <v>20</v>
      </c>
      <c r="D63" s="5">
        <v>83.0</v>
      </c>
      <c r="E63" s="5">
        <v>40.0</v>
      </c>
      <c r="H63" s="5" t="s">
        <v>19</v>
      </c>
      <c r="I63" s="9">
        <v>46161.0346875</v>
      </c>
      <c r="K63" s="5">
        <v>298000.0</v>
      </c>
      <c r="L63" s="5">
        <v>4300.0</v>
      </c>
      <c r="M63" s="5">
        <v>1500000.0</v>
      </c>
      <c r="N63" s="8">
        <v>42541.0</v>
      </c>
      <c r="O63" s="5" t="s">
        <v>22</v>
      </c>
      <c r="P63" s="5" t="s">
        <v>23</v>
      </c>
      <c r="S63" s="5" t="s">
        <v>26</v>
      </c>
    </row>
    <row r="64">
      <c r="A64" s="5">
        <v>63.0</v>
      </c>
      <c r="B64" s="5" t="s">
        <v>827</v>
      </c>
      <c r="C64" s="5" t="s">
        <v>20</v>
      </c>
      <c r="D64" s="5">
        <v>78.0</v>
      </c>
      <c r="E64" s="5">
        <v>40.0</v>
      </c>
      <c r="H64" s="5" t="s">
        <v>829</v>
      </c>
      <c r="I64" s="9">
        <v>46124.70412037037</v>
      </c>
      <c r="K64" s="5">
        <v>425000.0</v>
      </c>
      <c r="L64" s="5">
        <v>0.0</v>
      </c>
      <c r="M64" s="5">
        <v>1110000.0</v>
      </c>
      <c r="N64" s="8">
        <v>42488.0</v>
      </c>
      <c r="O64" s="5" t="s">
        <v>22</v>
      </c>
      <c r="P64" s="5" t="s">
        <v>830</v>
      </c>
      <c r="S64" s="5" t="s">
        <v>26</v>
      </c>
    </row>
    <row r="65">
      <c r="A65" s="5">
        <v>64.0</v>
      </c>
      <c r="B65" s="5" t="s">
        <v>149</v>
      </c>
      <c r="C65" s="5" t="s">
        <v>20</v>
      </c>
      <c r="D65" s="5">
        <v>86.0</v>
      </c>
      <c r="E65" s="5">
        <v>40.0</v>
      </c>
      <c r="H65" s="5" t="s">
        <v>19</v>
      </c>
      <c r="I65" s="9">
        <v>46126.995520833334</v>
      </c>
      <c r="J65" s="5" t="s">
        <v>52</v>
      </c>
      <c r="K65" s="5">
        <v>33000.0</v>
      </c>
      <c r="L65" s="5">
        <v>4000.0</v>
      </c>
      <c r="M65" s="5">
        <v>2080000.0</v>
      </c>
      <c r="N65" s="8">
        <v>44716.0</v>
      </c>
      <c r="O65" s="5" t="s">
        <v>50</v>
      </c>
      <c r="P65" s="5" t="s">
        <v>23</v>
      </c>
      <c r="S65" s="5" t="s">
        <v>26</v>
      </c>
    </row>
    <row r="66">
      <c r="A66" s="5">
        <v>65.0</v>
      </c>
      <c r="B66" s="5" t="s">
        <v>834</v>
      </c>
      <c r="C66" s="5" t="s">
        <v>20</v>
      </c>
      <c r="D66" s="5">
        <v>73.0</v>
      </c>
      <c r="E66" s="5">
        <v>40.0</v>
      </c>
      <c r="F66" s="5">
        <v>0.2</v>
      </c>
      <c r="H66" s="5" t="s">
        <v>835</v>
      </c>
      <c r="I66" s="9">
        <v>46098.4359375</v>
      </c>
      <c r="J66" s="5" t="s">
        <v>836</v>
      </c>
      <c r="K66" s="5">
        <v>259000.0</v>
      </c>
      <c r="L66" s="5">
        <v>30.0</v>
      </c>
      <c r="M66" s="5">
        <v>132000.0</v>
      </c>
      <c r="N66" s="8">
        <v>42487.0</v>
      </c>
      <c r="O66" s="5" t="s">
        <v>22</v>
      </c>
      <c r="P66" s="5" t="s">
        <v>23</v>
      </c>
      <c r="Q66" s="5" t="s">
        <v>837</v>
      </c>
      <c r="R66" s="5" t="s">
        <v>838</v>
      </c>
      <c r="S66" s="5" t="s">
        <v>26</v>
      </c>
    </row>
    <row r="67">
      <c r="A67" s="5">
        <v>66.0</v>
      </c>
      <c r="B67" s="5" t="s">
        <v>840</v>
      </c>
      <c r="C67" s="5" t="s">
        <v>20</v>
      </c>
      <c r="D67" s="5">
        <v>74.0</v>
      </c>
      <c r="E67" s="5">
        <v>40.0</v>
      </c>
      <c r="F67" s="5">
        <v>0.45</v>
      </c>
      <c r="H67" s="5" t="s">
        <v>840</v>
      </c>
      <c r="I67" s="9">
        <v>46149.40476851852</v>
      </c>
      <c r="J67" s="5" t="s">
        <v>52</v>
      </c>
      <c r="K67" s="5">
        <v>206000.0</v>
      </c>
      <c r="L67" s="5">
        <v>30.0</v>
      </c>
      <c r="M67" s="5">
        <v>313000.0</v>
      </c>
      <c r="N67" s="8">
        <v>42314.0</v>
      </c>
      <c r="O67" s="5" t="s">
        <v>87</v>
      </c>
      <c r="P67" s="5" t="s">
        <v>23</v>
      </c>
      <c r="S67" s="5" t="s">
        <v>32</v>
      </c>
    </row>
    <row r="68">
      <c r="A68" s="5">
        <v>67.0</v>
      </c>
      <c r="B68" s="5" t="s">
        <v>152</v>
      </c>
      <c r="C68" s="5" t="s">
        <v>20</v>
      </c>
      <c r="D68" s="5">
        <v>84.0</v>
      </c>
      <c r="E68" s="5">
        <v>40.0</v>
      </c>
      <c r="H68" s="5" t="s">
        <v>28</v>
      </c>
      <c r="I68" s="9">
        <v>46155.6190625</v>
      </c>
      <c r="J68" s="5" t="s">
        <v>52</v>
      </c>
      <c r="K68" s="5">
        <v>3500.0</v>
      </c>
      <c r="L68" s="5">
        <v>1000.0</v>
      </c>
      <c r="M68" s="5">
        <v>1400000.0</v>
      </c>
      <c r="N68" s="8">
        <v>43897.0</v>
      </c>
      <c r="O68" s="5" t="s">
        <v>50</v>
      </c>
      <c r="P68" s="5" t="s">
        <v>23</v>
      </c>
      <c r="S68" s="5" t="s">
        <v>32</v>
      </c>
    </row>
    <row r="69">
      <c r="A69" s="5">
        <v>68.0</v>
      </c>
      <c r="B69" s="5" t="s">
        <v>44</v>
      </c>
      <c r="C69" s="5" t="s">
        <v>20</v>
      </c>
      <c r="D69" s="5">
        <v>38.0</v>
      </c>
      <c r="E69" s="5">
        <v>40.0</v>
      </c>
      <c r="H69" s="5" t="s">
        <v>64</v>
      </c>
      <c r="I69" s="9">
        <v>46160.00539351852</v>
      </c>
      <c r="J69" s="5" t="s">
        <v>156</v>
      </c>
      <c r="K69" s="5">
        <v>7700.0</v>
      </c>
      <c r="L69" s="5">
        <v>90.0</v>
      </c>
      <c r="M69" s="5">
        <v>173000.0</v>
      </c>
      <c r="N69" s="8">
        <v>44187.0</v>
      </c>
      <c r="O69" s="5" t="s">
        <v>22</v>
      </c>
      <c r="P69" s="5" t="s">
        <v>23</v>
      </c>
      <c r="S69" s="5" t="s">
        <v>26</v>
      </c>
    </row>
    <row r="70">
      <c r="A70" s="5">
        <v>69.0</v>
      </c>
      <c r="B70" s="5" t="s">
        <v>158</v>
      </c>
      <c r="C70" s="5" t="s">
        <v>20</v>
      </c>
      <c r="D70" s="5">
        <v>53.0</v>
      </c>
      <c r="E70" s="5">
        <v>40.0</v>
      </c>
      <c r="F70" s="5">
        <v>0.05</v>
      </c>
      <c r="H70" s="5" t="s">
        <v>158</v>
      </c>
      <c r="I70" s="9">
        <v>46162.67003472222</v>
      </c>
      <c r="J70" s="5" t="s">
        <v>160</v>
      </c>
      <c r="K70" s="5">
        <v>34000.0</v>
      </c>
      <c r="L70" s="5">
        <v>0.0</v>
      </c>
      <c r="M70" s="5">
        <v>61000.0</v>
      </c>
      <c r="N70" s="8">
        <v>42558.0</v>
      </c>
      <c r="O70" s="5" t="s">
        <v>22</v>
      </c>
      <c r="P70" s="5" t="s">
        <v>23</v>
      </c>
      <c r="S70" s="5" t="s">
        <v>26</v>
      </c>
    </row>
    <row r="71">
      <c r="A71" s="5">
        <v>70.0</v>
      </c>
      <c r="B71" s="5" t="s">
        <v>851</v>
      </c>
      <c r="C71" s="5" t="s">
        <v>20</v>
      </c>
      <c r="D71" s="5">
        <v>19.0</v>
      </c>
      <c r="E71" s="5">
        <v>40.0</v>
      </c>
      <c r="H71" s="5" t="s">
        <v>852</v>
      </c>
      <c r="I71" s="9">
        <v>46088.39586805556</v>
      </c>
      <c r="J71" s="5" t="s">
        <v>110</v>
      </c>
      <c r="K71" s="5">
        <v>14000.0</v>
      </c>
      <c r="L71" s="5">
        <v>250.0</v>
      </c>
      <c r="M71" s="5">
        <v>93000.0</v>
      </c>
      <c r="N71" s="8">
        <v>42980.0</v>
      </c>
      <c r="O71" s="5" t="s">
        <v>22</v>
      </c>
      <c r="S71" s="5" t="s">
        <v>135</v>
      </c>
    </row>
    <row r="72">
      <c r="A72" s="5">
        <v>71.0</v>
      </c>
      <c r="B72" s="5" t="s">
        <v>855</v>
      </c>
      <c r="C72" s="5" t="s">
        <v>20</v>
      </c>
      <c r="D72" s="5">
        <v>12.0</v>
      </c>
      <c r="E72" s="5">
        <v>30.0</v>
      </c>
      <c r="H72" s="5" t="s">
        <v>857</v>
      </c>
      <c r="I72" s="9">
        <v>46142.584444444445</v>
      </c>
      <c r="J72" s="5" t="s">
        <v>736</v>
      </c>
      <c r="K72" s="5">
        <v>129000.0</v>
      </c>
      <c r="L72" s="5">
        <v>0.0</v>
      </c>
      <c r="M72" s="5">
        <v>33000.0</v>
      </c>
      <c r="N72" s="8">
        <v>42559.0</v>
      </c>
      <c r="O72" s="5" t="s">
        <v>22</v>
      </c>
      <c r="P72" s="5" t="s">
        <v>23</v>
      </c>
      <c r="S72" s="5" t="s">
        <v>32</v>
      </c>
    </row>
    <row r="73">
      <c r="A73" s="5">
        <v>72.0</v>
      </c>
      <c r="B73" s="5" t="s">
        <v>859</v>
      </c>
      <c r="C73" s="5" t="s">
        <v>20</v>
      </c>
      <c r="D73" s="5">
        <v>89.0</v>
      </c>
      <c r="E73" s="5">
        <v>30.0</v>
      </c>
      <c r="H73" s="5" t="s">
        <v>19</v>
      </c>
      <c r="I73" s="9">
        <v>46131.478796296295</v>
      </c>
      <c r="K73" s="5">
        <v>25000.0</v>
      </c>
      <c r="L73" s="5">
        <v>4100.0</v>
      </c>
      <c r="M73" s="5">
        <v>2410000.0</v>
      </c>
      <c r="N73" s="8">
        <v>43009.0</v>
      </c>
      <c r="O73" s="5" t="s">
        <v>50</v>
      </c>
      <c r="P73" s="5" t="s">
        <v>23</v>
      </c>
      <c r="S73" s="5" t="s">
        <v>26</v>
      </c>
    </row>
    <row r="74">
      <c r="A74" s="5">
        <v>73.0</v>
      </c>
      <c r="B74" s="5" t="s">
        <v>165</v>
      </c>
      <c r="C74" s="5" t="s">
        <v>20</v>
      </c>
      <c r="D74" s="5">
        <v>79.0</v>
      </c>
      <c r="E74" s="5">
        <v>30.0</v>
      </c>
      <c r="H74" s="5" t="s">
        <v>47</v>
      </c>
      <c r="I74" s="9">
        <v>46084.67203703704</v>
      </c>
      <c r="J74" s="5" t="s">
        <v>110</v>
      </c>
      <c r="K74" s="5">
        <v>20000.0</v>
      </c>
      <c r="L74" s="5">
        <v>200.0</v>
      </c>
      <c r="M74" s="5">
        <v>207000.0</v>
      </c>
      <c r="N74" s="8">
        <v>44043.0</v>
      </c>
      <c r="O74" s="5" t="s">
        <v>22</v>
      </c>
      <c r="P74" s="5" t="s">
        <v>23</v>
      </c>
      <c r="S74" s="5" t="s">
        <v>32</v>
      </c>
    </row>
    <row r="75">
      <c r="A75" s="5">
        <v>74.0</v>
      </c>
      <c r="B75" s="5" t="s">
        <v>867</v>
      </c>
      <c r="C75" s="5" t="s">
        <v>20</v>
      </c>
      <c r="D75" s="5">
        <v>89.0</v>
      </c>
      <c r="E75" s="5">
        <v>30.0</v>
      </c>
      <c r="H75" s="5" t="s">
        <v>19</v>
      </c>
      <c r="I75" s="9">
        <v>46141.075324074074</v>
      </c>
      <c r="J75" s="5" t="s">
        <v>869</v>
      </c>
      <c r="K75" s="5">
        <v>3400.0</v>
      </c>
      <c r="L75" s="5">
        <v>4100.0</v>
      </c>
      <c r="M75" s="5">
        <v>2100000.0</v>
      </c>
      <c r="N75" s="8">
        <v>42483.0</v>
      </c>
      <c r="O75" s="5" t="s">
        <v>50</v>
      </c>
      <c r="P75" s="5" t="s">
        <v>23</v>
      </c>
      <c r="S75" s="5" t="s">
        <v>26</v>
      </c>
    </row>
    <row r="76">
      <c r="A76" s="5">
        <v>75.0</v>
      </c>
      <c r="B76" s="5" t="s">
        <v>872</v>
      </c>
      <c r="C76" s="5" t="s">
        <v>20</v>
      </c>
      <c r="D76" s="5">
        <v>9.0</v>
      </c>
      <c r="E76" s="5">
        <v>20.0</v>
      </c>
      <c r="H76" s="5" t="s">
        <v>872</v>
      </c>
      <c r="I76" s="9">
        <v>46085.182488425926</v>
      </c>
      <c r="J76" s="5" t="s">
        <v>86</v>
      </c>
      <c r="K76" s="5">
        <v>30000.0</v>
      </c>
      <c r="L76" s="5">
        <v>30.0</v>
      </c>
      <c r="M76" s="5">
        <v>53000.0</v>
      </c>
      <c r="N76" s="8">
        <v>44077.0</v>
      </c>
      <c r="O76" s="5" t="s">
        <v>516</v>
      </c>
      <c r="S76" s="5" t="s">
        <v>135</v>
      </c>
    </row>
    <row r="77">
      <c r="A77" s="5">
        <v>76.0</v>
      </c>
      <c r="B77" s="5" t="s">
        <v>875</v>
      </c>
      <c r="C77" s="5" t="s">
        <v>20</v>
      </c>
      <c r="D77" s="5">
        <v>67.0</v>
      </c>
      <c r="E77" s="5">
        <v>20.0</v>
      </c>
      <c r="H77" s="5" t="s">
        <v>821</v>
      </c>
      <c r="I77" s="9">
        <v>46148.32609953704</v>
      </c>
      <c r="K77" s="5">
        <v>8800.0</v>
      </c>
      <c r="L77" s="5">
        <v>30.0</v>
      </c>
      <c r="M77" s="5">
        <v>84000.0</v>
      </c>
      <c r="N77" s="8">
        <v>43849.0</v>
      </c>
      <c r="O77" s="5" t="s">
        <v>50</v>
      </c>
      <c r="P77" s="5" t="s">
        <v>23</v>
      </c>
      <c r="S77" s="5" t="s">
        <v>878</v>
      </c>
    </row>
    <row r="78">
      <c r="A78" s="5">
        <v>77.0</v>
      </c>
      <c r="B78" s="5" t="s">
        <v>67</v>
      </c>
      <c r="C78" s="5" t="s">
        <v>20</v>
      </c>
      <c r="D78" s="5">
        <v>79.0</v>
      </c>
      <c r="E78" s="5">
        <v>20.0</v>
      </c>
      <c r="H78" s="5" t="s">
        <v>47</v>
      </c>
      <c r="I78" s="9">
        <v>46126.8462037037</v>
      </c>
      <c r="J78" s="5" t="s">
        <v>69</v>
      </c>
      <c r="K78" s="5">
        <v>5700.0</v>
      </c>
      <c r="L78" s="5">
        <v>150.0</v>
      </c>
      <c r="M78" s="5">
        <v>183000.0</v>
      </c>
      <c r="N78" s="8">
        <v>43868.0</v>
      </c>
      <c r="O78" s="5" t="s">
        <v>22</v>
      </c>
      <c r="P78" s="5" t="s">
        <v>23</v>
      </c>
      <c r="S78" s="5" t="s">
        <v>26</v>
      </c>
    </row>
    <row r="79">
      <c r="A79" s="5">
        <v>78.0</v>
      </c>
      <c r="B79" s="5" t="s">
        <v>882</v>
      </c>
      <c r="C79" s="5" t="s">
        <v>20</v>
      </c>
      <c r="D79" s="5">
        <v>81.0</v>
      </c>
      <c r="E79" s="5">
        <v>20.0</v>
      </c>
      <c r="H79" s="5" t="s">
        <v>882</v>
      </c>
      <c r="I79" s="9">
        <v>46066.5525</v>
      </c>
      <c r="J79" s="5" t="s">
        <v>52</v>
      </c>
      <c r="K79" s="5">
        <v>29000.0</v>
      </c>
      <c r="L79" s="5">
        <v>20.0</v>
      </c>
      <c r="M79" s="5">
        <v>45000.0</v>
      </c>
      <c r="N79" s="8">
        <v>42538.0</v>
      </c>
      <c r="O79" s="5" t="s">
        <v>50</v>
      </c>
      <c r="P79" s="5" t="s">
        <v>23</v>
      </c>
      <c r="S79" s="5" t="s">
        <v>26</v>
      </c>
    </row>
    <row r="80">
      <c r="A80" s="5">
        <v>79.0</v>
      </c>
      <c r="B80" s="5" t="s">
        <v>885</v>
      </c>
      <c r="C80" s="5" t="s">
        <v>20</v>
      </c>
      <c r="D80" s="5">
        <v>75.0</v>
      </c>
      <c r="E80" s="5">
        <v>20.0</v>
      </c>
      <c r="H80" s="5" t="s">
        <v>821</v>
      </c>
      <c r="I80" s="9">
        <v>46150.19243055556</v>
      </c>
      <c r="J80" s="5" t="s">
        <v>109</v>
      </c>
      <c r="K80" s="5">
        <v>6600.0</v>
      </c>
      <c r="L80" s="5">
        <v>100.0</v>
      </c>
      <c r="M80" s="5">
        <v>109000.0</v>
      </c>
      <c r="N80" s="8">
        <v>44072.0</v>
      </c>
      <c r="O80" s="5" t="s">
        <v>22</v>
      </c>
      <c r="P80" s="5" t="s">
        <v>23</v>
      </c>
      <c r="S80" s="5" t="s">
        <v>135</v>
      </c>
    </row>
    <row r="81">
      <c r="A81" s="5">
        <v>80.0</v>
      </c>
      <c r="B81" s="5" t="s">
        <v>889</v>
      </c>
      <c r="C81" s="5" t="s">
        <v>20</v>
      </c>
      <c r="D81" s="5">
        <v>79.0</v>
      </c>
      <c r="E81" s="5">
        <v>20.0</v>
      </c>
      <c r="H81" s="5" t="s">
        <v>28</v>
      </c>
      <c r="I81" s="9">
        <v>46152.653125</v>
      </c>
      <c r="J81" s="5" t="s">
        <v>52</v>
      </c>
      <c r="K81" s="5">
        <v>200.0</v>
      </c>
      <c r="L81" s="5">
        <v>1100.0</v>
      </c>
      <c r="M81" s="5">
        <v>1740000.0</v>
      </c>
      <c r="N81" s="8">
        <v>42897.0</v>
      </c>
      <c r="O81" s="5" t="s">
        <v>22</v>
      </c>
      <c r="P81" s="5" t="s">
        <v>23</v>
      </c>
      <c r="S81" s="5" t="s">
        <v>32</v>
      </c>
    </row>
    <row r="82">
      <c r="A82" s="5">
        <v>81.0</v>
      </c>
      <c r="B82" s="5" t="s">
        <v>893</v>
      </c>
      <c r="C82" s="5" t="s">
        <v>20</v>
      </c>
      <c r="D82" s="5">
        <v>73.0</v>
      </c>
      <c r="E82" s="5">
        <v>20.0</v>
      </c>
      <c r="H82" s="5" t="s">
        <v>510</v>
      </c>
      <c r="I82" s="9">
        <v>46076.74769675926</v>
      </c>
      <c r="J82" s="5" t="s">
        <v>52</v>
      </c>
      <c r="K82" s="5">
        <v>270000.0</v>
      </c>
      <c r="L82" s="5">
        <v>2800.0</v>
      </c>
      <c r="M82" s="5">
        <v>7010000.0</v>
      </c>
      <c r="N82" s="8">
        <v>42256.0</v>
      </c>
      <c r="O82" s="5" t="s">
        <v>22</v>
      </c>
      <c r="P82" s="5" t="s">
        <v>23</v>
      </c>
      <c r="S82" s="5" t="s">
        <v>584</v>
      </c>
    </row>
    <row r="83">
      <c r="A83" s="5">
        <v>82.0</v>
      </c>
      <c r="B83" s="5" t="s">
        <v>183</v>
      </c>
      <c r="C83" s="5" t="s">
        <v>20</v>
      </c>
      <c r="D83" s="5">
        <v>76.0</v>
      </c>
      <c r="E83" s="5">
        <v>20.0</v>
      </c>
      <c r="H83" s="5" t="s">
        <v>27</v>
      </c>
      <c r="I83" s="9">
        <v>46097.886828703704</v>
      </c>
      <c r="J83" s="5" t="s">
        <v>52</v>
      </c>
      <c r="K83" s="5">
        <v>5900.0</v>
      </c>
      <c r="L83" s="5">
        <v>1900.0</v>
      </c>
      <c r="M83" s="5">
        <v>1310000.0</v>
      </c>
      <c r="N83" s="8">
        <v>43219.0</v>
      </c>
      <c r="O83" s="5" t="s">
        <v>50</v>
      </c>
      <c r="P83" s="5" t="s">
        <v>23</v>
      </c>
      <c r="S83" s="5" t="s">
        <v>26</v>
      </c>
    </row>
    <row r="84">
      <c r="A84" s="5">
        <v>83.0</v>
      </c>
      <c r="B84" s="5" t="s">
        <v>187</v>
      </c>
      <c r="C84" s="5" t="s">
        <v>20</v>
      </c>
      <c r="D84" s="5">
        <v>82.0</v>
      </c>
      <c r="E84" s="5">
        <v>20.0</v>
      </c>
      <c r="H84" s="5" t="s">
        <v>19</v>
      </c>
      <c r="I84" s="9">
        <v>46125.77144675926</v>
      </c>
      <c r="J84" s="5" t="s">
        <v>52</v>
      </c>
      <c r="K84" s="5">
        <v>2500.0</v>
      </c>
      <c r="L84" s="5">
        <v>13000.0</v>
      </c>
      <c r="M84" s="5">
        <v>1210000.0</v>
      </c>
      <c r="N84" s="8">
        <v>44190.0</v>
      </c>
      <c r="O84" s="5" t="s">
        <v>50</v>
      </c>
      <c r="P84" s="5" t="s">
        <v>23</v>
      </c>
      <c r="S84" s="5" t="s">
        <v>26</v>
      </c>
    </row>
    <row r="85">
      <c r="A85" s="5">
        <v>84.0</v>
      </c>
      <c r="B85" s="5" t="s">
        <v>902</v>
      </c>
      <c r="C85" s="5" t="s">
        <v>20</v>
      </c>
      <c r="D85" s="5">
        <v>81.0</v>
      </c>
      <c r="E85" s="5">
        <v>20.0</v>
      </c>
      <c r="H85" s="5" t="s">
        <v>19</v>
      </c>
      <c r="I85" s="9">
        <v>46123.14469907407</v>
      </c>
      <c r="K85" s="5">
        <v>11000.0</v>
      </c>
      <c r="L85" s="5">
        <v>13000.0</v>
      </c>
      <c r="M85" s="5">
        <v>1180000.0</v>
      </c>
      <c r="N85" s="8">
        <v>42433.0</v>
      </c>
      <c r="O85" s="5" t="s">
        <v>50</v>
      </c>
      <c r="P85" s="5" t="s">
        <v>23</v>
      </c>
      <c r="S85" s="5" t="s">
        <v>26</v>
      </c>
    </row>
    <row r="86">
      <c r="A86" s="5">
        <v>85.0</v>
      </c>
      <c r="B86" s="5" t="s">
        <v>190</v>
      </c>
      <c r="C86" s="5" t="s">
        <v>20</v>
      </c>
      <c r="D86" s="5">
        <v>78.0</v>
      </c>
      <c r="E86" s="5">
        <v>20.0</v>
      </c>
      <c r="H86" s="5" t="s">
        <v>47</v>
      </c>
      <c r="I86" s="9">
        <v>46112.147824074076</v>
      </c>
      <c r="K86" s="5">
        <v>2200.0</v>
      </c>
      <c r="L86" s="5">
        <v>80.0</v>
      </c>
      <c r="M86" s="5">
        <v>133000.0</v>
      </c>
      <c r="N86" s="8">
        <v>43844.0</v>
      </c>
      <c r="O86" s="5" t="s">
        <v>22</v>
      </c>
      <c r="P86" s="5" t="s">
        <v>23</v>
      </c>
      <c r="S86" s="5" t="s">
        <v>135</v>
      </c>
    </row>
    <row r="87">
      <c r="A87" s="5">
        <v>86.0</v>
      </c>
      <c r="B87" s="5" t="s">
        <v>907</v>
      </c>
      <c r="C87" s="5" t="s">
        <v>20</v>
      </c>
      <c r="D87" s="5">
        <v>81.0</v>
      </c>
      <c r="E87" s="5">
        <v>20.0</v>
      </c>
      <c r="H87" s="5" t="s">
        <v>27</v>
      </c>
      <c r="I87" s="9">
        <v>46088.124502314815</v>
      </c>
      <c r="J87" s="5" t="s">
        <v>909</v>
      </c>
      <c r="K87" s="5">
        <v>4900.0</v>
      </c>
      <c r="L87" s="5">
        <v>1800.0</v>
      </c>
      <c r="M87" s="5">
        <v>1470000.0</v>
      </c>
      <c r="N87" s="8">
        <v>42533.0</v>
      </c>
      <c r="O87" s="5" t="s">
        <v>50</v>
      </c>
      <c r="P87" s="5" t="s">
        <v>23</v>
      </c>
      <c r="S87" s="5" t="s">
        <v>32</v>
      </c>
    </row>
    <row r="88">
      <c r="A88" s="5">
        <v>87.0</v>
      </c>
      <c r="B88" s="5" t="s">
        <v>857</v>
      </c>
      <c r="C88" s="5" t="s">
        <v>20</v>
      </c>
      <c r="D88" s="5">
        <v>77.0</v>
      </c>
      <c r="E88" s="5">
        <v>20.0</v>
      </c>
      <c r="H88" s="5" t="s">
        <v>787</v>
      </c>
      <c r="I88" s="9">
        <v>46161.60188657408</v>
      </c>
      <c r="J88" s="5" t="s">
        <v>629</v>
      </c>
      <c r="K88" s="5">
        <v>45000.0</v>
      </c>
      <c r="L88" s="5">
        <v>30.0</v>
      </c>
      <c r="M88" s="5">
        <v>108000.0</v>
      </c>
      <c r="N88" s="8">
        <v>42307.0</v>
      </c>
      <c r="O88" s="5" t="s">
        <v>22</v>
      </c>
      <c r="P88" s="5" t="s">
        <v>23</v>
      </c>
      <c r="S88" s="5" t="s">
        <v>32</v>
      </c>
    </row>
    <row r="89">
      <c r="A89" s="5">
        <v>88.0</v>
      </c>
      <c r="B89" s="5" t="s">
        <v>913</v>
      </c>
      <c r="C89" s="5" t="s">
        <v>20</v>
      </c>
      <c r="D89" s="5">
        <v>26.0</v>
      </c>
      <c r="E89" s="5">
        <v>20.0</v>
      </c>
      <c r="H89" s="5" t="s">
        <v>913</v>
      </c>
      <c r="I89" s="9">
        <v>46141.995462962965</v>
      </c>
      <c r="J89" s="5" t="s">
        <v>915</v>
      </c>
      <c r="K89" s="5">
        <v>45000.0</v>
      </c>
      <c r="L89" s="5">
        <v>0.0</v>
      </c>
      <c r="M89" s="5">
        <v>59000.0</v>
      </c>
      <c r="N89" s="8">
        <v>43390.0</v>
      </c>
      <c r="O89" s="5" t="s">
        <v>22</v>
      </c>
      <c r="P89" s="5" t="s">
        <v>23</v>
      </c>
      <c r="S89" s="5" t="s">
        <v>584</v>
      </c>
    </row>
    <row r="90">
      <c r="A90" s="5">
        <v>89.0</v>
      </c>
      <c r="B90" s="5" t="s">
        <v>918</v>
      </c>
      <c r="C90" s="5" t="s">
        <v>20</v>
      </c>
      <c r="D90" s="5">
        <v>76.0</v>
      </c>
      <c r="E90" s="5">
        <v>20.0</v>
      </c>
      <c r="H90" s="5" t="s">
        <v>28</v>
      </c>
      <c r="I90" s="9">
        <v>46155.68206018519</v>
      </c>
      <c r="J90" s="5" t="s">
        <v>52</v>
      </c>
      <c r="K90" s="5">
        <v>3000.0</v>
      </c>
      <c r="L90" s="5">
        <v>1000.0</v>
      </c>
      <c r="M90" s="5">
        <v>1400000.0</v>
      </c>
      <c r="N90" s="8">
        <v>44113.0</v>
      </c>
      <c r="O90" s="5" t="s">
        <v>50</v>
      </c>
      <c r="P90" s="5" t="s">
        <v>23</v>
      </c>
      <c r="S90" s="5" t="s">
        <v>32</v>
      </c>
    </row>
    <row r="91">
      <c r="A91" s="5">
        <v>90.0</v>
      </c>
      <c r="B91" s="5" t="s">
        <v>196</v>
      </c>
      <c r="C91" s="5" t="s">
        <v>20</v>
      </c>
      <c r="D91" s="5">
        <v>60.0</v>
      </c>
      <c r="E91" s="5">
        <v>20.0</v>
      </c>
      <c r="H91" s="5" t="s">
        <v>28</v>
      </c>
      <c r="I91" s="9">
        <v>46144.937523148146</v>
      </c>
      <c r="J91" s="5" t="s">
        <v>160</v>
      </c>
      <c r="K91" s="5">
        <v>17000.0</v>
      </c>
      <c r="L91" s="5">
        <v>1800.0</v>
      </c>
      <c r="M91" s="5">
        <v>1510000.0</v>
      </c>
      <c r="N91" s="8">
        <v>42841.0</v>
      </c>
      <c r="O91" s="5" t="s">
        <v>22</v>
      </c>
      <c r="P91" s="5" t="s">
        <v>23</v>
      </c>
      <c r="S91" s="5" t="s">
        <v>32</v>
      </c>
    </row>
    <row r="92">
      <c r="A92" s="5">
        <v>91.0</v>
      </c>
      <c r="B92" s="5" t="s">
        <v>925</v>
      </c>
      <c r="C92" s="5" t="s">
        <v>20</v>
      </c>
      <c r="D92" s="5">
        <v>83.0</v>
      </c>
      <c r="E92" s="5">
        <v>20.0</v>
      </c>
      <c r="H92" s="5" t="s">
        <v>28</v>
      </c>
      <c r="I92" s="9">
        <v>46082.387824074074</v>
      </c>
      <c r="J92" s="5" t="s">
        <v>836</v>
      </c>
      <c r="K92" s="5">
        <v>14000.0</v>
      </c>
      <c r="L92" s="5">
        <v>1800.0</v>
      </c>
      <c r="M92" s="5">
        <v>1420000.0</v>
      </c>
      <c r="N92" s="8">
        <v>43393.0</v>
      </c>
      <c r="O92" s="5" t="s">
        <v>50</v>
      </c>
      <c r="P92" s="5" t="s">
        <v>23</v>
      </c>
      <c r="S92" s="5" t="s">
        <v>32</v>
      </c>
    </row>
    <row r="93">
      <c r="A93" s="5">
        <v>92.0</v>
      </c>
      <c r="B93" s="5" t="s">
        <v>72</v>
      </c>
      <c r="C93" s="5" t="s">
        <v>20</v>
      </c>
      <c r="D93" s="5">
        <v>83.0</v>
      </c>
      <c r="E93" s="5">
        <v>10.0</v>
      </c>
      <c r="H93" s="5" t="s">
        <v>19</v>
      </c>
      <c r="I93" s="9">
        <v>46163.193402777775</v>
      </c>
      <c r="J93" s="5" t="s">
        <v>52</v>
      </c>
      <c r="K93" s="5">
        <v>1100.0</v>
      </c>
      <c r="L93" s="5">
        <v>10000.0</v>
      </c>
      <c r="M93" s="5">
        <v>1120000.0</v>
      </c>
      <c r="N93" s="8">
        <v>44043.0</v>
      </c>
      <c r="O93" s="5" t="s">
        <v>22</v>
      </c>
      <c r="P93" s="5" t="s">
        <v>23</v>
      </c>
      <c r="S93" s="5" t="s">
        <v>26</v>
      </c>
    </row>
    <row r="94">
      <c r="A94" s="5">
        <v>93.0</v>
      </c>
      <c r="B94" s="5" t="s">
        <v>931</v>
      </c>
      <c r="C94" s="5" t="s">
        <v>20</v>
      </c>
      <c r="D94" s="5">
        <v>73.0</v>
      </c>
      <c r="E94" s="5">
        <v>10.0</v>
      </c>
      <c r="H94" s="5" t="s">
        <v>799</v>
      </c>
      <c r="I94" s="9">
        <v>46143.51392361111</v>
      </c>
      <c r="J94" s="5" t="s">
        <v>736</v>
      </c>
      <c r="K94" s="5">
        <v>23000.0</v>
      </c>
      <c r="L94" s="5">
        <v>0.0</v>
      </c>
      <c r="M94" s="5">
        <v>141000.0</v>
      </c>
      <c r="N94" s="8">
        <v>43608.0</v>
      </c>
      <c r="O94" s="5" t="s">
        <v>50</v>
      </c>
      <c r="P94" s="5" t="s">
        <v>23</v>
      </c>
      <c r="S94" s="5" t="s">
        <v>934</v>
      </c>
    </row>
    <row r="95">
      <c r="A95" s="5">
        <v>94.0</v>
      </c>
      <c r="B95" s="5" t="s">
        <v>936</v>
      </c>
      <c r="C95" s="5" t="s">
        <v>20</v>
      </c>
      <c r="D95" s="5">
        <v>71.0</v>
      </c>
      <c r="E95" s="5">
        <v>10.0</v>
      </c>
      <c r="H95" s="5" t="s">
        <v>33</v>
      </c>
      <c r="I95" s="9">
        <v>46149.387407407405</v>
      </c>
      <c r="J95" s="5" t="s">
        <v>109</v>
      </c>
      <c r="K95" s="5">
        <v>49000.0</v>
      </c>
      <c r="L95" s="5">
        <v>50.0</v>
      </c>
      <c r="M95" s="5">
        <v>246000.0</v>
      </c>
      <c r="N95" s="8">
        <v>42390.0</v>
      </c>
      <c r="O95" s="5" t="s">
        <v>938</v>
      </c>
      <c r="P95" s="5" t="s">
        <v>23</v>
      </c>
      <c r="S95" s="5" t="s">
        <v>89</v>
      </c>
    </row>
    <row r="96">
      <c r="A96" s="5">
        <v>95.0</v>
      </c>
      <c r="B96" s="5" t="s">
        <v>216</v>
      </c>
      <c r="C96" s="5" t="s">
        <v>20</v>
      </c>
      <c r="D96" s="5">
        <v>80.0</v>
      </c>
      <c r="E96" s="5">
        <v>10.0</v>
      </c>
      <c r="F96" s="5">
        <v>0.05</v>
      </c>
      <c r="H96" s="5" t="s">
        <v>28</v>
      </c>
      <c r="I96" s="9">
        <v>46161.75864583333</v>
      </c>
      <c r="J96" s="5" t="s">
        <v>109</v>
      </c>
      <c r="K96" s="5">
        <v>20000.0</v>
      </c>
      <c r="L96" s="5">
        <v>1100.0</v>
      </c>
      <c r="M96" s="5">
        <v>1370000.0</v>
      </c>
      <c r="N96" s="8">
        <v>42480.0</v>
      </c>
      <c r="O96" s="5" t="s">
        <v>22</v>
      </c>
      <c r="P96" s="5" t="s">
        <v>23</v>
      </c>
      <c r="S96" s="5" t="s">
        <v>32</v>
      </c>
    </row>
    <row r="97">
      <c r="A97" s="5">
        <v>96.0</v>
      </c>
      <c r="B97" s="5" t="s">
        <v>942</v>
      </c>
      <c r="C97" s="5" t="s">
        <v>20</v>
      </c>
      <c r="D97" s="5">
        <v>54.0</v>
      </c>
      <c r="E97" s="5">
        <v>10.0</v>
      </c>
      <c r="H97" s="5" t="s">
        <v>852</v>
      </c>
      <c r="I97" s="9">
        <v>46156.90935185185</v>
      </c>
      <c r="J97" s="5" t="s">
        <v>944</v>
      </c>
      <c r="K97" s="5">
        <v>11000.0</v>
      </c>
      <c r="L97" s="5">
        <v>250.0</v>
      </c>
      <c r="M97" s="5">
        <v>80000.0</v>
      </c>
      <c r="N97" s="8">
        <v>43874.0</v>
      </c>
      <c r="O97" s="5" t="s">
        <v>22</v>
      </c>
      <c r="P97" s="5" t="s">
        <v>23</v>
      </c>
      <c r="S97" s="5" t="s">
        <v>135</v>
      </c>
    </row>
    <row r="98">
      <c r="A98" s="5">
        <v>97.0</v>
      </c>
      <c r="B98" s="5" t="s">
        <v>947</v>
      </c>
      <c r="C98" s="5" t="s">
        <v>20</v>
      </c>
      <c r="D98" s="5">
        <v>1.0</v>
      </c>
      <c r="E98" s="5">
        <v>10.0</v>
      </c>
      <c r="H98" s="5" t="s">
        <v>947</v>
      </c>
      <c r="I98" s="9">
        <v>46066.34002314815</v>
      </c>
      <c r="K98" s="5">
        <v>30.0</v>
      </c>
      <c r="L98" s="5">
        <v>10.0</v>
      </c>
      <c r="M98" s="5">
        <v>20.0</v>
      </c>
      <c r="N98" s="8">
        <v>44295.0</v>
      </c>
      <c r="O98" s="5" t="s">
        <v>22</v>
      </c>
      <c r="P98" s="5" t="s">
        <v>23</v>
      </c>
      <c r="S98" s="5" t="s">
        <v>950</v>
      </c>
    </row>
    <row r="99">
      <c r="A99" s="5">
        <v>98.0</v>
      </c>
      <c r="B99" s="5" t="s">
        <v>951</v>
      </c>
      <c r="C99" s="5" t="s">
        <v>20</v>
      </c>
      <c r="D99" s="5">
        <v>59.0</v>
      </c>
      <c r="E99" s="5">
        <v>10.0</v>
      </c>
      <c r="H99" s="5" t="s">
        <v>834</v>
      </c>
      <c r="I99" s="9">
        <v>46122.89797453704</v>
      </c>
      <c r="J99" s="5" t="s">
        <v>52</v>
      </c>
      <c r="K99" s="5">
        <v>70000.0</v>
      </c>
      <c r="L99" s="5">
        <v>10.0</v>
      </c>
      <c r="M99" s="5">
        <v>97000.0</v>
      </c>
      <c r="N99" s="8">
        <v>44077.0</v>
      </c>
      <c r="O99" s="5" t="s">
        <v>22</v>
      </c>
      <c r="P99" s="5" t="s">
        <v>23</v>
      </c>
      <c r="S99" s="5" t="s">
        <v>32</v>
      </c>
    </row>
    <row r="100">
      <c r="A100" s="5">
        <v>99.0</v>
      </c>
      <c r="B100" s="5" t="s">
        <v>230</v>
      </c>
      <c r="C100" s="5" t="s">
        <v>20</v>
      </c>
      <c r="D100" s="5">
        <v>77.0</v>
      </c>
      <c r="E100" s="5">
        <v>10.0</v>
      </c>
      <c r="H100" s="5" t="s">
        <v>33</v>
      </c>
      <c r="I100" s="9">
        <v>46149.09577546296</v>
      </c>
      <c r="K100" s="5">
        <v>10.0</v>
      </c>
      <c r="L100" s="5">
        <v>50.0</v>
      </c>
      <c r="M100" s="5">
        <v>246000.0</v>
      </c>
      <c r="N100" s="8">
        <v>44592.0</v>
      </c>
      <c r="O100" s="5" t="s">
        <v>22</v>
      </c>
      <c r="P100" s="5" t="s">
        <v>23</v>
      </c>
      <c r="S100" s="5" t="s">
        <v>62</v>
      </c>
    </row>
    <row r="101">
      <c r="A101" s="5">
        <v>100.0</v>
      </c>
      <c r="B101" s="5" t="s">
        <v>955</v>
      </c>
      <c r="C101" s="5" t="s">
        <v>20</v>
      </c>
      <c r="D101" s="5">
        <v>65.0</v>
      </c>
      <c r="E101" s="5">
        <v>10.0</v>
      </c>
      <c r="H101" s="5" t="s">
        <v>955</v>
      </c>
      <c r="I101" s="9">
        <v>46148.27379629629</v>
      </c>
      <c r="J101" s="5" t="s">
        <v>109</v>
      </c>
      <c r="K101" s="5">
        <v>10000.0</v>
      </c>
      <c r="L101" s="5">
        <v>10.0</v>
      </c>
      <c r="M101" s="5">
        <v>51000.0</v>
      </c>
      <c r="N101" s="8">
        <v>44543.0</v>
      </c>
      <c r="O101" s="5" t="s">
        <v>958</v>
      </c>
      <c r="P101" s="5" t="s">
        <v>23</v>
      </c>
      <c r="S101" s="5" t="s">
        <v>135</v>
      </c>
    </row>
    <row r="102">
      <c r="A102" s="5">
        <v>101.0</v>
      </c>
      <c r="B102" s="5" t="s">
        <v>239</v>
      </c>
      <c r="C102" s="5" t="s">
        <v>20</v>
      </c>
      <c r="D102" s="5">
        <v>79.0</v>
      </c>
      <c r="E102" s="5">
        <v>10.0</v>
      </c>
      <c r="H102" s="5" t="s">
        <v>60</v>
      </c>
      <c r="I102" s="9">
        <v>46152.59908564815</v>
      </c>
      <c r="J102" s="5" t="s">
        <v>109</v>
      </c>
      <c r="K102" s="5">
        <v>2400.0</v>
      </c>
      <c r="L102" s="5">
        <v>60.0</v>
      </c>
      <c r="M102" s="5">
        <v>69000.0</v>
      </c>
      <c r="N102" s="8">
        <v>44278.0</v>
      </c>
      <c r="O102" s="5" t="s">
        <v>50</v>
      </c>
      <c r="P102" s="5" t="s">
        <v>23</v>
      </c>
      <c r="S102" s="5" t="s">
        <v>135</v>
      </c>
    </row>
    <row r="103">
      <c r="A103" s="5">
        <v>102.0</v>
      </c>
      <c r="B103" s="5" t="s">
        <v>962</v>
      </c>
      <c r="C103" s="5" t="s">
        <v>20</v>
      </c>
      <c r="D103" s="5">
        <v>73.0</v>
      </c>
      <c r="E103" s="5">
        <v>10.0</v>
      </c>
      <c r="H103" s="5" t="s">
        <v>964</v>
      </c>
      <c r="I103" s="9">
        <v>46084.937002314815</v>
      </c>
      <c r="J103" s="5" t="s">
        <v>965</v>
      </c>
      <c r="K103" s="5">
        <v>18000.0</v>
      </c>
      <c r="L103" s="5">
        <v>0.0</v>
      </c>
      <c r="M103" s="5">
        <v>4700.0</v>
      </c>
      <c r="N103" s="8">
        <v>42280.0</v>
      </c>
      <c r="O103" s="5" t="s">
        <v>22</v>
      </c>
      <c r="P103" s="5" t="s">
        <v>23</v>
      </c>
      <c r="S103" s="5" t="s">
        <v>584</v>
      </c>
    </row>
    <row r="104">
      <c r="A104" s="5">
        <v>103.0</v>
      </c>
      <c r="B104" s="5" t="s">
        <v>247</v>
      </c>
      <c r="C104" s="5" t="s">
        <v>20</v>
      </c>
      <c r="D104" s="5">
        <v>76.0</v>
      </c>
      <c r="E104" s="5">
        <v>10.0</v>
      </c>
      <c r="H104" s="5" t="s">
        <v>47</v>
      </c>
      <c r="I104" s="9">
        <v>46077.05547453704</v>
      </c>
      <c r="J104" s="5" t="s">
        <v>109</v>
      </c>
      <c r="K104" s="5">
        <v>5100.0</v>
      </c>
      <c r="L104" s="5">
        <v>200.0</v>
      </c>
      <c r="M104" s="5">
        <v>207000.0</v>
      </c>
      <c r="N104" s="8">
        <v>44044.0</v>
      </c>
      <c r="O104" s="5" t="s">
        <v>22</v>
      </c>
      <c r="P104" s="5" t="s">
        <v>23</v>
      </c>
      <c r="S104" s="5" t="s">
        <v>135</v>
      </c>
    </row>
    <row r="105">
      <c r="A105" s="5">
        <v>104.0</v>
      </c>
      <c r="B105" s="5" t="s">
        <v>251</v>
      </c>
      <c r="C105" s="5" t="s">
        <v>20</v>
      </c>
      <c r="D105" s="5">
        <v>75.0</v>
      </c>
      <c r="E105" s="5">
        <v>10.0</v>
      </c>
      <c r="H105" s="5" t="s">
        <v>28</v>
      </c>
      <c r="I105" s="9">
        <v>46143.341574074075</v>
      </c>
      <c r="J105" s="5" t="s">
        <v>52</v>
      </c>
      <c r="K105" s="5">
        <v>16000.0</v>
      </c>
      <c r="L105" s="5">
        <v>1600.0</v>
      </c>
      <c r="M105" s="5">
        <v>1450000.0</v>
      </c>
      <c r="N105" s="8">
        <v>42281.0</v>
      </c>
      <c r="O105" s="5" t="s">
        <v>22</v>
      </c>
      <c r="P105" s="5" t="s">
        <v>23</v>
      </c>
      <c r="S105" s="5" t="s">
        <v>32</v>
      </c>
    </row>
    <row r="106">
      <c r="A106" s="5">
        <v>105.0</v>
      </c>
      <c r="B106" s="5" t="s">
        <v>972</v>
      </c>
      <c r="C106" s="5" t="s">
        <v>20</v>
      </c>
      <c r="D106" s="5">
        <v>81.0</v>
      </c>
      <c r="E106" s="5">
        <v>10.0</v>
      </c>
      <c r="H106" s="5" t="s">
        <v>28</v>
      </c>
      <c r="I106" s="9">
        <v>46140.89476851852</v>
      </c>
      <c r="J106" s="5" t="s">
        <v>736</v>
      </c>
      <c r="K106" s="5">
        <v>1000.0</v>
      </c>
      <c r="L106" s="5">
        <v>1600.0</v>
      </c>
      <c r="M106" s="5">
        <v>1500000.0</v>
      </c>
      <c r="N106" s="8">
        <v>43497.0</v>
      </c>
      <c r="O106" s="5" t="s">
        <v>50</v>
      </c>
      <c r="P106" s="5" t="s">
        <v>23</v>
      </c>
      <c r="S106" s="5" t="s">
        <v>26</v>
      </c>
    </row>
    <row r="107">
      <c r="A107" s="5">
        <v>106.0</v>
      </c>
      <c r="B107" s="5" t="s">
        <v>976</v>
      </c>
      <c r="C107" s="5" t="s">
        <v>20</v>
      </c>
      <c r="D107" s="5">
        <v>82.0</v>
      </c>
      <c r="E107" s="5">
        <v>10.0</v>
      </c>
      <c r="H107" s="5" t="s">
        <v>28</v>
      </c>
      <c r="I107" s="9">
        <v>46083.56045138889</v>
      </c>
      <c r="J107" s="5" t="s">
        <v>29</v>
      </c>
      <c r="K107" s="5">
        <v>29000.0</v>
      </c>
      <c r="L107" s="5">
        <v>1800.0</v>
      </c>
      <c r="M107" s="5">
        <v>1420000.0</v>
      </c>
      <c r="N107" s="8">
        <v>42887.0</v>
      </c>
      <c r="O107" s="5" t="s">
        <v>50</v>
      </c>
      <c r="P107" s="5" t="s">
        <v>23</v>
      </c>
      <c r="S107" s="5" t="s">
        <v>26</v>
      </c>
    </row>
    <row r="108">
      <c r="A108" s="5">
        <v>107.0</v>
      </c>
      <c r="B108" s="5" t="s">
        <v>267</v>
      </c>
      <c r="C108" s="5" t="s">
        <v>20</v>
      </c>
      <c r="D108" s="5">
        <v>79.0</v>
      </c>
      <c r="E108" s="5">
        <v>10.0</v>
      </c>
      <c r="H108" s="5" t="s">
        <v>19</v>
      </c>
      <c r="I108" s="9">
        <v>46127.08675925926</v>
      </c>
      <c r="J108" s="5" t="s">
        <v>109</v>
      </c>
      <c r="K108" s="5">
        <v>15000.0</v>
      </c>
      <c r="L108" s="5">
        <v>13000.0</v>
      </c>
      <c r="M108" s="5">
        <v>1220000.0</v>
      </c>
      <c r="N108" s="8">
        <v>42894.0</v>
      </c>
      <c r="O108" s="5" t="s">
        <v>22</v>
      </c>
      <c r="P108" s="5" t="s">
        <v>23</v>
      </c>
      <c r="S108" s="5" t="s">
        <v>26</v>
      </c>
    </row>
    <row r="109">
      <c r="A109" s="5">
        <v>108.0</v>
      </c>
      <c r="B109" s="5" t="s">
        <v>981</v>
      </c>
      <c r="C109" s="5" t="s">
        <v>20</v>
      </c>
      <c r="D109" s="5">
        <v>48.0</v>
      </c>
      <c r="E109" s="5">
        <v>10.0</v>
      </c>
      <c r="H109" s="5" t="s">
        <v>834</v>
      </c>
      <c r="I109" s="9">
        <v>46162.00853009259</v>
      </c>
      <c r="J109" s="5" t="s">
        <v>52</v>
      </c>
      <c r="K109" s="5">
        <v>132000.0</v>
      </c>
      <c r="L109" s="5">
        <v>10.0</v>
      </c>
      <c r="M109" s="5">
        <v>161000.0</v>
      </c>
      <c r="N109" s="8">
        <v>42339.0</v>
      </c>
      <c r="O109" s="5" t="s">
        <v>22</v>
      </c>
      <c r="P109" s="5" t="s">
        <v>23</v>
      </c>
      <c r="S109" s="5" t="s">
        <v>32</v>
      </c>
    </row>
    <row r="110">
      <c r="A110" s="5">
        <v>109.0</v>
      </c>
      <c r="B110" s="5" t="s">
        <v>985</v>
      </c>
      <c r="C110" s="5" t="s">
        <v>20</v>
      </c>
      <c r="D110" s="5">
        <v>78.0</v>
      </c>
      <c r="E110" s="5">
        <v>10.0</v>
      </c>
      <c r="H110" s="5" t="s">
        <v>787</v>
      </c>
      <c r="I110" s="9">
        <v>46144.954189814816</v>
      </c>
      <c r="J110" s="5" t="s">
        <v>909</v>
      </c>
      <c r="K110" s="5">
        <v>34000.0</v>
      </c>
      <c r="L110" s="5">
        <v>40.0</v>
      </c>
      <c r="M110" s="5">
        <v>167000.0</v>
      </c>
      <c r="N110" s="8">
        <v>42280.0</v>
      </c>
      <c r="O110" s="5" t="s">
        <v>22</v>
      </c>
      <c r="P110" s="5" t="s">
        <v>23</v>
      </c>
      <c r="S110" s="5" t="s">
        <v>32</v>
      </c>
    </row>
    <row r="111">
      <c r="A111" s="5">
        <v>110.0</v>
      </c>
      <c r="B111" s="5" t="s">
        <v>273</v>
      </c>
      <c r="C111" s="5" t="s">
        <v>20</v>
      </c>
      <c r="D111" s="5">
        <v>82.0</v>
      </c>
      <c r="E111" s="5">
        <v>10.0</v>
      </c>
      <c r="H111" s="5" t="s">
        <v>19</v>
      </c>
      <c r="I111" s="9">
        <v>46161.2603125</v>
      </c>
      <c r="J111" s="5" t="s">
        <v>110</v>
      </c>
      <c r="K111" s="5">
        <v>60.0</v>
      </c>
      <c r="L111" s="5">
        <v>10000.0</v>
      </c>
      <c r="M111" s="5">
        <v>991000.0</v>
      </c>
      <c r="N111" s="8">
        <v>44377.0</v>
      </c>
      <c r="O111" s="5" t="s">
        <v>22</v>
      </c>
      <c r="P111" s="5" t="s">
        <v>23</v>
      </c>
      <c r="S111" s="5" t="s">
        <v>26</v>
      </c>
    </row>
    <row r="112">
      <c r="A112" s="5">
        <v>111.0</v>
      </c>
      <c r="B112" s="5" t="s">
        <v>991</v>
      </c>
      <c r="C112" s="5" t="s">
        <v>20</v>
      </c>
      <c r="D112" s="5">
        <v>88.0</v>
      </c>
      <c r="E112" s="5">
        <v>10.0</v>
      </c>
      <c r="H112" s="5" t="s">
        <v>991</v>
      </c>
      <c r="I112" s="9">
        <v>46088.40210648148</v>
      </c>
      <c r="J112" s="5" t="s">
        <v>109</v>
      </c>
      <c r="K112" s="5">
        <v>42000.0</v>
      </c>
      <c r="L112" s="5">
        <v>0.0</v>
      </c>
      <c r="M112" s="5">
        <v>123000.0</v>
      </c>
      <c r="N112" s="8">
        <v>43871.0</v>
      </c>
      <c r="O112" s="5" t="s">
        <v>50</v>
      </c>
      <c r="P112" s="5" t="s">
        <v>23</v>
      </c>
      <c r="S112" s="5" t="s">
        <v>135</v>
      </c>
    </row>
    <row r="113">
      <c r="A113" s="5">
        <v>112.0</v>
      </c>
      <c r="B113" s="5" t="s">
        <v>995</v>
      </c>
      <c r="C113" s="5" t="s">
        <v>20</v>
      </c>
      <c r="D113" s="5">
        <v>81.0</v>
      </c>
      <c r="E113" s="5">
        <v>10.0</v>
      </c>
      <c r="H113" s="5" t="s">
        <v>28</v>
      </c>
      <c r="I113" s="9">
        <v>46163.188414351855</v>
      </c>
      <c r="J113" s="5" t="s">
        <v>109</v>
      </c>
      <c r="K113" s="5">
        <v>2900.0</v>
      </c>
      <c r="L113" s="5">
        <v>1100.0</v>
      </c>
      <c r="M113" s="5">
        <v>1370000.0</v>
      </c>
      <c r="N113" s="8">
        <v>44204.0</v>
      </c>
      <c r="O113" s="5" t="s">
        <v>50</v>
      </c>
      <c r="P113" s="5" t="s">
        <v>23</v>
      </c>
      <c r="S113" s="5" t="s">
        <v>26</v>
      </c>
    </row>
    <row r="114">
      <c r="A114" s="5">
        <v>113.0</v>
      </c>
      <c r="B114" s="5" t="s">
        <v>999</v>
      </c>
      <c r="C114" s="5" t="s">
        <v>20</v>
      </c>
      <c r="D114" s="5">
        <v>77.0</v>
      </c>
      <c r="E114" s="5">
        <v>10.0</v>
      </c>
      <c r="H114" s="5" t="s">
        <v>28</v>
      </c>
      <c r="I114" s="9">
        <v>46156.898668981485</v>
      </c>
      <c r="J114" s="5" t="s">
        <v>52</v>
      </c>
      <c r="K114" s="5">
        <v>4700.0</v>
      </c>
      <c r="L114" s="5">
        <v>1000.0</v>
      </c>
      <c r="M114" s="5">
        <v>1010000.0</v>
      </c>
      <c r="N114" s="8">
        <v>44942.0</v>
      </c>
      <c r="O114" s="5" t="s">
        <v>22</v>
      </c>
      <c r="P114" s="5" t="s">
        <v>23</v>
      </c>
      <c r="S114" s="5" t="s">
        <v>32</v>
      </c>
    </row>
    <row r="115">
      <c r="A115" s="5">
        <v>114.0</v>
      </c>
      <c r="B115" s="5" t="s">
        <v>1002</v>
      </c>
      <c r="C115" s="5" t="s">
        <v>20</v>
      </c>
      <c r="D115" s="5">
        <v>74.0</v>
      </c>
      <c r="E115" s="5">
        <v>10.0</v>
      </c>
      <c r="H115" s="5" t="s">
        <v>19</v>
      </c>
      <c r="I115" s="9">
        <v>46145.80894675926</v>
      </c>
      <c r="J115" s="5" t="s">
        <v>110</v>
      </c>
      <c r="K115" s="5">
        <v>38000.0</v>
      </c>
      <c r="L115" s="5">
        <v>13000.0</v>
      </c>
      <c r="M115" s="5">
        <v>1060000.0</v>
      </c>
      <c r="N115" s="8">
        <v>43841.0</v>
      </c>
      <c r="O115" s="5" t="s">
        <v>22</v>
      </c>
      <c r="P115" s="5" t="s">
        <v>1005</v>
      </c>
      <c r="S115" s="5" t="s">
        <v>26</v>
      </c>
    </row>
    <row r="116">
      <c r="A116" s="5">
        <v>115.0</v>
      </c>
      <c r="B116" s="5" t="s">
        <v>1006</v>
      </c>
      <c r="C116" s="5" t="s">
        <v>20</v>
      </c>
      <c r="D116" s="5">
        <v>0.0</v>
      </c>
      <c r="E116" s="5">
        <v>10.0</v>
      </c>
      <c r="H116" s="5" t="s">
        <v>465</v>
      </c>
      <c r="I116" s="9">
        <v>46125.04914351852</v>
      </c>
      <c r="J116" s="5" t="s">
        <v>160</v>
      </c>
      <c r="K116" s="5">
        <v>5700.0</v>
      </c>
      <c r="L116" s="5">
        <v>600.0</v>
      </c>
      <c r="M116" s="5">
        <v>3970000.0</v>
      </c>
      <c r="N116" s="8">
        <v>43840.0</v>
      </c>
      <c r="O116" s="5" t="s">
        <v>22</v>
      </c>
      <c r="P116" s="5" t="s">
        <v>23</v>
      </c>
      <c r="S116" s="5" t="s">
        <v>32</v>
      </c>
    </row>
    <row r="117">
      <c r="A117" s="5">
        <v>116.0</v>
      </c>
      <c r="B117" s="5" t="s">
        <v>1010</v>
      </c>
      <c r="C117" s="5" t="s">
        <v>20</v>
      </c>
      <c r="D117" s="5">
        <v>75.0</v>
      </c>
      <c r="E117" s="5">
        <v>10.0</v>
      </c>
      <c r="H117" s="5" t="s">
        <v>1010</v>
      </c>
      <c r="I117" s="9">
        <v>46156.26394675926</v>
      </c>
      <c r="J117" s="5" t="s">
        <v>48</v>
      </c>
      <c r="K117" s="5">
        <v>3400.0</v>
      </c>
      <c r="L117" s="5">
        <v>0.0</v>
      </c>
      <c r="M117" s="5">
        <v>19000.0</v>
      </c>
      <c r="N117" s="8">
        <v>43843.0</v>
      </c>
      <c r="O117" s="5" t="s">
        <v>22</v>
      </c>
      <c r="P117" s="5" t="s">
        <v>23</v>
      </c>
      <c r="S117" s="5" t="s">
        <v>32</v>
      </c>
    </row>
    <row r="118">
      <c r="A118" s="5">
        <v>117.0</v>
      </c>
      <c r="B118" s="5" t="s">
        <v>1013</v>
      </c>
      <c r="C118" s="5" t="s">
        <v>20</v>
      </c>
      <c r="D118" s="5">
        <v>81.0</v>
      </c>
      <c r="E118" s="5">
        <v>10.0</v>
      </c>
      <c r="H118" s="5" t="s">
        <v>28</v>
      </c>
      <c r="I118" s="9">
        <v>46148.99178240741</v>
      </c>
      <c r="J118" s="5" t="s">
        <v>110</v>
      </c>
      <c r="K118" s="5">
        <v>7600.0</v>
      </c>
      <c r="L118" s="5">
        <v>1600.0</v>
      </c>
      <c r="M118" s="5">
        <v>1710000.0</v>
      </c>
      <c r="N118" s="8">
        <v>42895.0</v>
      </c>
      <c r="O118" s="5" t="s">
        <v>50</v>
      </c>
      <c r="P118" s="5" t="s">
        <v>23</v>
      </c>
      <c r="S118" s="5" t="s">
        <v>32</v>
      </c>
    </row>
    <row r="119">
      <c r="A119" s="5">
        <v>118.0</v>
      </c>
      <c r="B119" s="5" t="s">
        <v>1016</v>
      </c>
      <c r="C119" s="5" t="s">
        <v>20</v>
      </c>
      <c r="D119" s="5">
        <v>59.0</v>
      </c>
      <c r="E119" s="5">
        <v>10.0</v>
      </c>
      <c r="H119" s="5" t="s">
        <v>465</v>
      </c>
      <c r="I119" s="9">
        <v>46125.455196759256</v>
      </c>
      <c r="J119" s="5" t="s">
        <v>944</v>
      </c>
      <c r="K119" s="5">
        <v>150.0</v>
      </c>
      <c r="L119" s="5">
        <v>0.0</v>
      </c>
      <c r="M119" s="5">
        <v>4700.0</v>
      </c>
      <c r="N119" s="8">
        <v>43846.0</v>
      </c>
      <c r="O119" s="5" t="s">
        <v>516</v>
      </c>
      <c r="P119" s="5" t="s">
        <v>23</v>
      </c>
      <c r="S119" s="5" t="s">
        <v>32</v>
      </c>
    </row>
    <row r="120">
      <c r="A120" s="5">
        <v>119.0</v>
      </c>
      <c r="B120" s="5" t="s">
        <v>1020</v>
      </c>
      <c r="C120" s="5" t="s">
        <v>20</v>
      </c>
      <c r="D120" s="5">
        <v>75.0</v>
      </c>
      <c r="E120" s="5">
        <v>10.0</v>
      </c>
      <c r="H120" s="5" t="s">
        <v>931</v>
      </c>
      <c r="I120" s="9">
        <v>46125.306597222225</v>
      </c>
      <c r="J120" s="5" t="s">
        <v>52</v>
      </c>
      <c r="K120" s="5">
        <v>12000.0</v>
      </c>
      <c r="L120" s="5">
        <v>0.0</v>
      </c>
      <c r="M120" s="5">
        <v>182000.0</v>
      </c>
      <c r="N120" s="8">
        <v>43135.0</v>
      </c>
      <c r="O120" s="5" t="s">
        <v>50</v>
      </c>
      <c r="P120" s="5" t="s">
        <v>23</v>
      </c>
      <c r="S120" s="5" t="s">
        <v>584</v>
      </c>
    </row>
    <row r="121">
      <c r="A121" s="5">
        <v>120.0</v>
      </c>
      <c r="B121" s="5" t="s">
        <v>1023</v>
      </c>
      <c r="C121" s="5" t="s">
        <v>20</v>
      </c>
      <c r="D121" s="5">
        <v>86.0</v>
      </c>
      <c r="E121" s="5">
        <v>10.0</v>
      </c>
      <c r="H121" s="5" t="s">
        <v>19</v>
      </c>
      <c r="I121" s="9">
        <v>46099.540821759256</v>
      </c>
      <c r="K121" s="5">
        <v>5000.0</v>
      </c>
      <c r="L121" s="5">
        <v>4200.0</v>
      </c>
      <c r="M121" s="5">
        <v>2430000.0</v>
      </c>
      <c r="N121" s="8">
        <v>42853.0</v>
      </c>
      <c r="O121" s="5" t="s">
        <v>22</v>
      </c>
      <c r="P121" s="5" t="s">
        <v>23</v>
      </c>
      <c r="S121" s="5" t="s">
        <v>62</v>
      </c>
    </row>
    <row r="122">
      <c r="A122" s="5">
        <v>121.0</v>
      </c>
      <c r="B122" s="5" t="s">
        <v>1026</v>
      </c>
      <c r="C122" s="5" t="s">
        <v>20</v>
      </c>
      <c r="D122" s="5">
        <v>82.0</v>
      </c>
      <c r="E122" s="5">
        <v>10.0</v>
      </c>
      <c r="H122" s="5" t="s">
        <v>1028</v>
      </c>
      <c r="I122" s="9">
        <v>46142.853842592594</v>
      </c>
      <c r="J122" s="5" t="s">
        <v>944</v>
      </c>
      <c r="K122" s="5">
        <v>1000.0</v>
      </c>
      <c r="L122" s="5">
        <v>10.0</v>
      </c>
      <c r="M122" s="5">
        <v>76000.0</v>
      </c>
      <c r="N122" s="8">
        <v>44088.0</v>
      </c>
      <c r="O122" s="5" t="s">
        <v>50</v>
      </c>
      <c r="P122" s="5" t="s">
        <v>23</v>
      </c>
      <c r="S122" s="5" t="s">
        <v>26</v>
      </c>
    </row>
    <row r="123">
      <c r="A123" s="5">
        <v>122.0</v>
      </c>
      <c r="B123" s="5" t="s">
        <v>84</v>
      </c>
      <c r="C123" s="5" t="s">
        <v>20</v>
      </c>
      <c r="D123" s="5">
        <v>82.0</v>
      </c>
      <c r="E123" s="5">
        <v>10.0</v>
      </c>
      <c r="H123" s="5" t="s">
        <v>84</v>
      </c>
      <c r="I123" s="9">
        <v>46145.17689814815</v>
      </c>
      <c r="K123" s="5">
        <v>97000.0</v>
      </c>
      <c r="L123" s="5">
        <v>0.0</v>
      </c>
      <c r="M123" s="5">
        <v>138000.0</v>
      </c>
      <c r="N123" s="8">
        <v>42316.0</v>
      </c>
      <c r="O123" s="5" t="s">
        <v>87</v>
      </c>
      <c r="P123" s="5" t="s">
        <v>23</v>
      </c>
      <c r="S123" s="5" t="s">
        <v>89</v>
      </c>
    </row>
    <row r="124">
      <c r="A124" s="5">
        <v>123.0</v>
      </c>
      <c r="B124" s="5" t="s">
        <v>1032</v>
      </c>
      <c r="C124" s="5" t="s">
        <v>20</v>
      </c>
      <c r="D124" s="5">
        <v>83.0</v>
      </c>
      <c r="E124" s="5">
        <v>10.0</v>
      </c>
      <c r="H124" s="5" t="s">
        <v>28</v>
      </c>
      <c r="I124" s="9">
        <v>46162.90539351852</v>
      </c>
      <c r="J124" s="5" t="s">
        <v>488</v>
      </c>
      <c r="K124" s="5">
        <v>900.0</v>
      </c>
      <c r="L124" s="5">
        <v>1100.0</v>
      </c>
      <c r="M124" s="5">
        <v>1370000.0</v>
      </c>
      <c r="N124" s="8">
        <v>44215.0</v>
      </c>
      <c r="O124" s="5" t="s">
        <v>22</v>
      </c>
      <c r="P124" s="5" t="s">
        <v>23</v>
      </c>
      <c r="S124" s="5" t="s">
        <v>32</v>
      </c>
    </row>
    <row r="125">
      <c r="A125" s="5">
        <v>124.0</v>
      </c>
      <c r="B125" s="5" t="s">
        <v>1036</v>
      </c>
      <c r="C125" s="5" t="s">
        <v>20</v>
      </c>
      <c r="D125" s="5">
        <v>81.0</v>
      </c>
      <c r="E125" s="5">
        <v>10.0</v>
      </c>
      <c r="F125" s="5">
        <v>0.1</v>
      </c>
      <c r="H125" s="5" t="s">
        <v>28</v>
      </c>
      <c r="I125" s="9">
        <v>46162.01028935185</v>
      </c>
      <c r="J125" s="5" t="s">
        <v>52</v>
      </c>
      <c r="K125" s="5">
        <v>6100.0</v>
      </c>
      <c r="L125" s="5">
        <v>1100.0</v>
      </c>
      <c r="M125" s="5">
        <v>1370000.0</v>
      </c>
      <c r="N125" s="8">
        <v>42486.0</v>
      </c>
      <c r="O125" s="5" t="s">
        <v>22</v>
      </c>
      <c r="P125" s="5" t="s">
        <v>23</v>
      </c>
      <c r="S125" s="5" t="s">
        <v>32</v>
      </c>
    </row>
    <row r="126">
      <c r="A126" s="5">
        <v>125.0</v>
      </c>
      <c r="B126" s="5" t="s">
        <v>829</v>
      </c>
      <c r="C126" s="5" t="s">
        <v>20</v>
      </c>
      <c r="D126" s="5">
        <v>69.0</v>
      </c>
      <c r="H126" s="5" t="s">
        <v>827</v>
      </c>
      <c r="I126" s="9">
        <v>46159.815</v>
      </c>
      <c r="K126" s="5">
        <v>617000.0</v>
      </c>
      <c r="L126" s="5">
        <v>10.0</v>
      </c>
      <c r="M126" s="5">
        <v>1050000.0</v>
      </c>
      <c r="N126" s="8">
        <v>43500.0</v>
      </c>
      <c r="O126" s="5" t="s">
        <v>22</v>
      </c>
      <c r="P126" s="5" t="s">
        <v>830</v>
      </c>
      <c r="S126" s="5" t="s">
        <v>26</v>
      </c>
    </row>
    <row r="127">
      <c r="A127" s="5">
        <v>126.0</v>
      </c>
      <c r="B127" s="5" t="s">
        <v>406</v>
      </c>
      <c r="C127" s="5" t="s">
        <v>20</v>
      </c>
      <c r="D127" s="5">
        <v>80.0</v>
      </c>
      <c r="H127" s="5" t="s">
        <v>19</v>
      </c>
      <c r="I127" s="9">
        <v>46162.308344907404</v>
      </c>
      <c r="J127" s="5" t="s">
        <v>110</v>
      </c>
      <c r="K127" s="5">
        <v>200.0</v>
      </c>
      <c r="L127" s="5">
        <v>10000.0</v>
      </c>
      <c r="M127" s="5">
        <v>1010000.0</v>
      </c>
      <c r="N127" s="8">
        <v>45058.0</v>
      </c>
      <c r="O127" s="5" t="s">
        <v>22</v>
      </c>
      <c r="P127" s="5" t="s">
        <v>23</v>
      </c>
      <c r="S127" s="5" t="s">
        <v>26</v>
      </c>
    </row>
    <row r="128">
      <c r="A128" s="5">
        <v>127.0</v>
      </c>
      <c r="B128" s="5" t="s">
        <v>1028</v>
      </c>
      <c r="C128" s="5" t="s">
        <v>20</v>
      </c>
      <c r="D128" s="5">
        <v>19.0</v>
      </c>
      <c r="H128" s="5" t="s">
        <v>1028</v>
      </c>
      <c r="I128" s="9">
        <v>46161.420810185184</v>
      </c>
      <c r="J128" s="5" t="s">
        <v>707</v>
      </c>
      <c r="K128" s="5">
        <v>60.0</v>
      </c>
      <c r="L128" s="5">
        <v>10.0</v>
      </c>
      <c r="M128" s="5">
        <v>81000.0</v>
      </c>
      <c r="N128" s="8">
        <v>44496.0</v>
      </c>
      <c r="O128" s="5" t="s">
        <v>516</v>
      </c>
      <c r="S128" s="5" t="s">
        <v>26</v>
      </c>
    </row>
    <row r="129">
      <c r="A129" s="5">
        <v>128.0</v>
      </c>
      <c r="B129" s="5" t="s">
        <v>1047</v>
      </c>
      <c r="C129" s="5" t="s">
        <v>20</v>
      </c>
      <c r="D129" s="5">
        <v>83.0</v>
      </c>
      <c r="H129" s="5" t="s">
        <v>28</v>
      </c>
      <c r="I129" s="9">
        <v>46126.839375</v>
      </c>
      <c r="J129" s="5" t="s">
        <v>52</v>
      </c>
      <c r="K129" s="5">
        <v>450.0</v>
      </c>
      <c r="L129" s="5">
        <v>1600.0</v>
      </c>
      <c r="M129" s="5">
        <v>1280000.0</v>
      </c>
      <c r="N129" s="8">
        <v>44015.0</v>
      </c>
      <c r="O129" s="5" t="s">
        <v>22</v>
      </c>
      <c r="P129" s="5" t="s">
        <v>23</v>
      </c>
      <c r="S129" s="5" t="s">
        <v>32</v>
      </c>
    </row>
    <row r="130">
      <c r="A130" s="5">
        <v>129.0</v>
      </c>
      <c r="B130" s="5" t="s">
        <v>1049</v>
      </c>
      <c r="C130" s="5" t="s">
        <v>20</v>
      </c>
      <c r="D130" s="5">
        <v>87.0</v>
      </c>
      <c r="H130" s="5" t="s">
        <v>19</v>
      </c>
      <c r="I130" s="9">
        <v>46089.64902777778</v>
      </c>
      <c r="J130" s="5" t="s">
        <v>736</v>
      </c>
      <c r="K130" s="5">
        <v>43000.0</v>
      </c>
      <c r="L130" s="5">
        <v>4200.0</v>
      </c>
      <c r="M130" s="5">
        <v>2490000.0</v>
      </c>
      <c r="N130" s="8">
        <v>43972.0</v>
      </c>
      <c r="O130" s="5" t="s">
        <v>22</v>
      </c>
      <c r="P130" s="5" t="s">
        <v>23</v>
      </c>
      <c r="S130" s="5" t="s">
        <v>26</v>
      </c>
    </row>
    <row r="131">
      <c r="A131" s="5">
        <v>130.0</v>
      </c>
      <c r="B131" s="5" t="s">
        <v>1053</v>
      </c>
      <c r="C131" s="5" t="s">
        <v>20</v>
      </c>
      <c r="D131" s="5">
        <v>66.0</v>
      </c>
      <c r="H131" s="5" t="s">
        <v>1020</v>
      </c>
      <c r="I131" s="9">
        <v>46147.632789351854</v>
      </c>
      <c r="J131" s="5" t="s">
        <v>736</v>
      </c>
      <c r="K131" s="5">
        <v>8500.0</v>
      </c>
      <c r="L131" s="5">
        <v>0.0</v>
      </c>
      <c r="M131" s="5">
        <v>143000.0</v>
      </c>
      <c r="N131" s="8">
        <v>42890.0</v>
      </c>
      <c r="O131" s="5" t="s">
        <v>50</v>
      </c>
      <c r="P131" s="5" t="s">
        <v>23</v>
      </c>
      <c r="S131" s="5" t="s">
        <v>584</v>
      </c>
    </row>
    <row r="132">
      <c r="A132" s="5">
        <v>131.0</v>
      </c>
      <c r="B132" s="5" t="s">
        <v>107</v>
      </c>
      <c r="C132" s="5" t="s">
        <v>20</v>
      </c>
      <c r="D132" s="5">
        <v>83.0</v>
      </c>
      <c r="H132" s="5" t="s">
        <v>19</v>
      </c>
      <c r="I132" s="9">
        <v>46156.88458333333</v>
      </c>
      <c r="J132" s="5" t="s">
        <v>109</v>
      </c>
      <c r="K132" s="5">
        <v>1100.0</v>
      </c>
      <c r="L132" s="5">
        <v>10000.0</v>
      </c>
      <c r="M132" s="5">
        <v>962000.0</v>
      </c>
      <c r="N132" s="8">
        <v>44700.0</v>
      </c>
      <c r="O132" s="5" t="s">
        <v>22</v>
      </c>
      <c r="P132" s="5" t="s">
        <v>23</v>
      </c>
      <c r="S132" s="5" t="s">
        <v>26</v>
      </c>
    </row>
    <row r="133">
      <c r="A133" s="5">
        <v>132.0</v>
      </c>
      <c r="B133" s="5" t="s">
        <v>833</v>
      </c>
      <c r="C133" s="5" t="s">
        <v>20</v>
      </c>
      <c r="D133" s="5">
        <v>84.0</v>
      </c>
      <c r="H133" s="5" t="s">
        <v>28</v>
      </c>
      <c r="I133" s="9">
        <v>46126.215902777774</v>
      </c>
      <c r="J133" s="5" t="s">
        <v>52</v>
      </c>
      <c r="K133" s="5">
        <v>80.0</v>
      </c>
      <c r="L133" s="5">
        <v>1600.0</v>
      </c>
      <c r="M133" s="5">
        <v>1280000.0</v>
      </c>
      <c r="N133" s="8">
        <v>44239.0</v>
      </c>
      <c r="O133" s="5" t="s">
        <v>50</v>
      </c>
      <c r="P133" s="5" t="s">
        <v>23</v>
      </c>
      <c r="S133" s="5" t="s">
        <v>32</v>
      </c>
    </row>
    <row r="134">
      <c r="A134" s="5">
        <v>133.0</v>
      </c>
      <c r="B134" s="5" t="s">
        <v>1060</v>
      </c>
      <c r="C134" s="5" t="s">
        <v>20</v>
      </c>
      <c r="D134" s="5">
        <v>85.0</v>
      </c>
      <c r="H134" s="5" t="s">
        <v>27</v>
      </c>
      <c r="I134" s="9">
        <v>46088.00408564815</v>
      </c>
      <c r="J134" s="5" t="s">
        <v>52</v>
      </c>
      <c r="K134" s="5">
        <v>1700.0</v>
      </c>
      <c r="L134" s="5">
        <v>1800.0</v>
      </c>
      <c r="M134" s="5">
        <v>1470000.0</v>
      </c>
      <c r="N134" s="8">
        <v>44046.0</v>
      </c>
      <c r="O134" s="5" t="s">
        <v>22</v>
      </c>
      <c r="P134" s="5" t="s">
        <v>23</v>
      </c>
      <c r="S134" s="5" t="s">
        <v>32</v>
      </c>
    </row>
    <row r="135">
      <c r="A135" s="5">
        <v>134.0</v>
      </c>
      <c r="B135" s="5" t="s">
        <v>1063</v>
      </c>
      <c r="C135" s="5" t="s">
        <v>20</v>
      </c>
      <c r="D135" s="5">
        <v>19.0</v>
      </c>
      <c r="H135" s="5" t="s">
        <v>1028</v>
      </c>
      <c r="I135" s="9">
        <v>46146.037407407406</v>
      </c>
      <c r="J135" s="5" t="s">
        <v>160</v>
      </c>
      <c r="K135" s="5">
        <v>800.0</v>
      </c>
      <c r="L135" s="5">
        <v>10.0</v>
      </c>
      <c r="M135" s="5">
        <v>72000.0</v>
      </c>
      <c r="N135" s="8">
        <v>44087.0</v>
      </c>
      <c r="O135" s="5" t="s">
        <v>516</v>
      </c>
      <c r="P135" s="5" t="s">
        <v>23</v>
      </c>
      <c r="S135" s="5" t="s">
        <v>135</v>
      </c>
    </row>
    <row r="136">
      <c r="A136" s="5">
        <v>135.0</v>
      </c>
      <c r="B136" s="5" t="s">
        <v>1066</v>
      </c>
      <c r="C136" s="5" t="s">
        <v>20</v>
      </c>
      <c r="D136" s="5">
        <v>73.0</v>
      </c>
      <c r="H136" s="5" t="s">
        <v>28</v>
      </c>
      <c r="I136" s="9">
        <v>46146.64922453704</v>
      </c>
      <c r="J136" s="5" t="s">
        <v>52</v>
      </c>
      <c r="K136" s="5">
        <v>5400.0</v>
      </c>
      <c r="L136" s="5">
        <v>1600.0</v>
      </c>
      <c r="M136" s="5">
        <v>1540000.0</v>
      </c>
      <c r="N136" s="8">
        <v>43357.0</v>
      </c>
      <c r="O136" s="5" t="s">
        <v>22</v>
      </c>
      <c r="P136" s="5" t="s">
        <v>23</v>
      </c>
      <c r="S136" s="5" t="s">
        <v>32</v>
      </c>
    </row>
    <row r="137">
      <c r="A137" s="5">
        <v>136.0</v>
      </c>
      <c r="B137" s="5" t="s">
        <v>1069</v>
      </c>
      <c r="C137" s="5" t="s">
        <v>20</v>
      </c>
      <c r="D137" s="5">
        <v>73.0</v>
      </c>
      <c r="H137" s="5" t="s">
        <v>1070</v>
      </c>
      <c r="I137" s="9">
        <v>46131.59685185185</v>
      </c>
      <c r="J137" s="5" t="s">
        <v>109</v>
      </c>
      <c r="K137" s="5">
        <v>5000.0</v>
      </c>
      <c r="L137" s="5">
        <v>150.0</v>
      </c>
      <c r="M137" s="5">
        <v>162000.0</v>
      </c>
      <c r="N137" s="8">
        <v>42541.0</v>
      </c>
      <c r="O137" s="5" t="s">
        <v>22</v>
      </c>
      <c r="P137" s="5" t="s">
        <v>23</v>
      </c>
      <c r="S137" s="5" t="s">
        <v>32</v>
      </c>
    </row>
    <row r="138">
      <c r="A138" s="5">
        <v>137.0</v>
      </c>
      <c r="B138" s="5" t="s">
        <v>1072</v>
      </c>
      <c r="C138" s="5" t="s">
        <v>20</v>
      </c>
      <c r="D138" s="5">
        <v>79.0</v>
      </c>
      <c r="H138" s="5" t="s">
        <v>64</v>
      </c>
      <c r="I138" s="9">
        <v>46159.5080787037</v>
      </c>
      <c r="K138" s="5">
        <v>400.0</v>
      </c>
      <c r="L138" s="5">
        <v>90.0</v>
      </c>
      <c r="M138" s="5">
        <v>178000.0</v>
      </c>
      <c r="N138" s="8">
        <v>43898.0</v>
      </c>
      <c r="O138" s="5" t="s">
        <v>22</v>
      </c>
      <c r="P138" s="5" t="s">
        <v>23</v>
      </c>
      <c r="S138" s="5" t="s">
        <v>32</v>
      </c>
    </row>
    <row r="139">
      <c r="A139" s="5">
        <v>138.0</v>
      </c>
      <c r="B139" s="5" t="s">
        <v>1075</v>
      </c>
      <c r="C139" s="5" t="s">
        <v>20</v>
      </c>
      <c r="D139" s="5">
        <v>66.0</v>
      </c>
      <c r="H139" s="5" t="s">
        <v>28</v>
      </c>
      <c r="I139" s="9">
        <v>46162.96465277778</v>
      </c>
      <c r="J139" s="5" t="s">
        <v>110</v>
      </c>
      <c r="K139" s="5">
        <v>10.0</v>
      </c>
      <c r="L139" s="5">
        <v>1100.0</v>
      </c>
      <c r="M139" s="5">
        <v>1370000.0</v>
      </c>
      <c r="N139" s="8">
        <v>45137.0</v>
      </c>
      <c r="O139" s="5" t="s">
        <v>22</v>
      </c>
      <c r="P139" s="5" t="s">
        <v>23</v>
      </c>
      <c r="S139" s="5" t="s">
        <v>32</v>
      </c>
    </row>
    <row r="140">
      <c r="A140" s="5">
        <v>139.0</v>
      </c>
      <c r="B140" s="5" t="s">
        <v>1078</v>
      </c>
      <c r="C140" s="5" t="s">
        <v>20</v>
      </c>
      <c r="D140" s="5">
        <v>80.0</v>
      </c>
      <c r="H140" s="5" t="s">
        <v>19</v>
      </c>
      <c r="I140" s="9">
        <v>46087.89550925926</v>
      </c>
      <c r="J140" s="5" t="s">
        <v>110</v>
      </c>
      <c r="K140" s="5">
        <v>8700.0</v>
      </c>
      <c r="L140" s="5">
        <v>13000.0</v>
      </c>
      <c r="M140" s="5">
        <v>1240000.0</v>
      </c>
      <c r="N140" s="8">
        <v>44943.0</v>
      </c>
      <c r="O140" s="5" t="s">
        <v>22</v>
      </c>
      <c r="P140" s="5" t="s">
        <v>1005</v>
      </c>
      <c r="S140" s="5" t="s">
        <v>26</v>
      </c>
    </row>
    <row r="141">
      <c r="A141" s="5">
        <v>140.0</v>
      </c>
      <c r="B141" s="5" t="s">
        <v>1081</v>
      </c>
      <c r="C141" s="5" t="s">
        <v>20</v>
      </c>
      <c r="D141" s="5">
        <v>86.0</v>
      </c>
      <c r="H141" s="5" t="s">
        <v>1082</v>
      </c>
      <c r="I141" s="9">
        <v>46161.26012731482</v>
      </c>
      <c r="J141" s="5" t="s">
        <v>29</v>
      </c>
      <c r="K141" s="5">
        <v>50.0</v>
      </c>
      <c r="L141" s="5">
        <v>10.0</v>
      </c>
      <c r="M141" s="5">
        <v>32000.0</v>
      </c>
      <c r="N141" s="8">
        <v>43839.0</v>
      </c>
      <c r="O141" s="5" t="s">
        <v>22</v>
      </c>
      <c r="P141" s="5" t="s">
        <v>23</v>
      </c>
      <c r="S141" s="5" t="s">
        <v>62</v>
      </c>
    </row>
    <row r="142">
      <c r="A142" s="5">
        <v>141.0</v>
      </c>
      <c r="B142" s="5" t="s">
        <v>1085</v>
      </c>
      <c r="C142" s="5" t="s">
        <v>20</v>
      </c>
      <c r="D142" s="5">
        <v>80.0</v>
      </c>
      <c r="H142" s="5" t="s">
        <v>28</v>
      </c>
      <c r="I142" s="9">
        <v>46148.392280092594</v>
      </c>
      <c r="J142" s="5" t="s">
        <v>736</v>
      </c>
      <c r="K142" s="5">
        <v>1900.0</v>
      </c>
      <c r="L142" s="5">
        <v>1600.0</v>
      </c>
      <c r="M142" s="5">
        <v>1710000.0</v>
      </c>
      <c r="N142" s="8">
        <v>44190.0</v>
      </c>
      <c r="O142" s="5" t="s">
        <v>50</v>
      </c>
      <c r="P142" s="5" t="s">
        <v>23</v>
      </c>
      <c r="S142" s="5" t="s">
        <v>32</v>
      </c>
    </row>
    <row r="143">
      <c r="A143" s="5">
        <v>142.0</v>
      </c>
      <c r="B143" s="5" t="s">
        <v>1088</v>
      </c>
      <c r="C143" s="5" t="s">
        <v>20</v>
      </c>
      <c r="D143" s="5">
        <v>83.0</v>
      </c>
      <c r="H143" s="5" t="s">
        <v>28</v>
      </c>
      <c r="I143" s="9">
        <v>46123.30935185185</v>
      </c>
      <c r="J143" s="5" t="s">
        <v>52</v>
      </c>
      <c r="L143" s="5">
        <v>1600.0</v>
      </c>
      <c r="M143" s="5">
        <v>1260000.0</v>
      </c>
      <c r="N143" s="8">
        <v>44366.0</v>
      </c>
      <c r="O143" s="5" t="s">
        <v>22</v>
      </c>
      <c r="P143" s="5" t="s">
        <v>23</v>
      </c>
      <c r="S143" s="5" t="s">
        <v>32</v>
      </c>
    </row>
    <row r="144">
      <c r="A144" s="5">
        <v>143.0</v>
      </c>
      <c r="B144" s="5" t="s">
        <v>1091</v>
      </c>
      <c r="C144" s="5" t="s">
        <v>20</v>
      </c>
      <c r="D144" s="5">
        <v>84.0</v>
      </c>
      <c r="H144" s="5" t="s">
        <v>28</v>
      </c>
      <c r="I144" s="9">
        <v>46127.09339120371</v>
      </c>
      <c r="K144" s="5">
        <v>80.0</v>
      </c>
      <c r="L144" s="5">
        <v>1600.0</v>
      </c>
      <c r="M144" s="5">
        <v>1310000.0</v>
      </c>
      <c r="N144" s="8">
        <v>44587.0</v>
      </c>
      <c r="O144" s="5" t="s">
        <v>22</v>
      </c>
      <c r="P144" s="5" t="s">
        <v>23</v>
      </c>
      <c r="S144" s="5" t="s">
        <v>32</v>
      </c>
    </row>
    <row r="145">
      <c r="A145" s="5">
        <v>144.0</v>
      </c>
      <c r="B145" s="5" t="s">
        <v>1095</v>
      </c>
      <c r="C145" s="5" t="s">
        <v>20</v>
      </c>
      <c r="D145" s="5">
        <v>76.0</v>
      </c>
      <c r="H145" s="5" t="s">
        <v>1070</v>
      </c>
      <c r="I145" s="9">
        <v>46144.02699074074</v>
      </c>
      <c r="J145" s="5" t="s">
        <v>52</v>
      </c>
      <c r="K145" s="5">
        <v>5400.0</v>
      </c>
      <c r="L145" s="5">
        <v>150.0</v>
      </c>
      <c r="M145" s="5">
        <v>168000.0</v>
      </c>
      <c r="N145" s="8">
        <v>44397.0</v>
      </c>
      <c r="O145" s="5" t="s">
        <v>22</v>
      </c>
      <c r="P145" s="5" t="s">
        <v>23</v>
      </c>
      <c r="S145" s="5" t="s">
        <v>32</v>
      </c>
    </row>
    <row r="146">
      <c r="A146" s="5">
        <v>145.0</v>
      </c>
      <c r="B146" s="5" t="s">
        <v>1098</v>
      </c>
      <c r="C146" s="5" t="s">
        <v>20</v>
      </c>
      <c r="D146" s="5">
        <v>80.0</v>
      </c>
      <c r="H146" s="5" t="s">
        <v>28</v>
      </c>
      <c r="I146" s="9">
        <v>46117.76590277778</v>
      </c>
      <c r="J146" s="5" t="s">
        <v>498</v>
      </c>
      <c r="K146" s="5">
        <v>12000.0</v>
      </c>
      <c r="L146" s="5">
        <v>1600.0</v>
      </c>
      <c r="M146" s="5">
        <v>1350000.0</v>
      </c>
      <c r="N146" s="8">
        <v>44110.0</v>
      </c>
      <c r="O146" s="5" t="s">
        <v>50</v>
      </c>
      <c r="P146" s="5" t="s">
        <v>23</v>
      </c>
      <c r="S146" s="5" t="s">
        <v>32</v>
      </c>
    </row>
    <row r="147">
      <c r="A147" s="5">
        <v>146.0</v>
      </c>
      <c r="B147" s="5" t="s">
        <v>1100</v>
      </c>
      <c r="C147" s="5" t="s">
        <v>20</v>
      </c>
      <c r="D147" s="5">
        <v>80.0</v>
      </c>
      <c r="H147" s="5" t="s">
        <v>1100</v>
      </c>
      <c r="I147" s="9">
        <v>46099.540497685186</v>
      </c>
      <c r="K147" s="5">
        <v>4000.0</v>
      </c>
      <c r="L147" s="5">
        <v>0.0</v>
      </c>
      <c r="M147" s="5">
        <v>5500.0</v>
      </c>
      <c r="N147" s="8">
        <v>43873.0</v>
      </c>
      <c r="O147" s="5" t="s">
        <v>50</v>
      </c>
      <c r="P147" s="5" t="s">
        <v>23</v>
      </c>
      <c r="S147" s="5" t="s">
        <v>135</v>
      </c>
    </row>
    <row r="148">
      <c r="A148" s="5">
        <v>147.0</v>
      </c>
      <c r="B148" s="5" t="s">
        <v>1103</v>
      </c>
      <c r="C148" s="5" t="s">
        <v>20</v>
      </c>
      <c r="D148" s="5">
        <v>77.0</v>
      </c>
      <c r="H148" s="5" t="s">
        <v>33</v>
      </c>
      <c r="I148" s="9">
        <v>46131.55978009259</v>
      </c>
      <c r="J148" s="5" t="s">
        <v>52</v>
      </c>
      <c r="K148" s="5">
        <v>1300.0</v>
      </c>
      <c r="L148" s="5">
        <v>50.0</v>
      </c>
      <c r="M148" s="5">
        <v>207000.0</v>
      </c>
      <c r="N148" s="8">
        <v>44216.0</v>
      </c>
      <c r="O148" s="5" t="s">
        <v>50</v>
      </c>
      <c r="P148" s="5" t="s">
        <v>23</v>
      </c>
      <c r="S148" s="5" t="s">
        <v>1106</v>
      </c>
    </row>
    <row r="149">
      <c r="A149" s="5">
        <v>148.0</v>
      </c>
      <c r="B149" s="5" t="s">
        <v>1108</v>
      </c>
      <c r="C149" s="5" t="s">
        <v>20</v>
      </c>
      <c r="D149" s="5">
        <v>86.0</v>
      </c>
      <c r="H149" s="5" t="s">
        <v>28</v>
      </c>
      <c r="I149" s="9">
        <v>46077.36798611111</v>
      </c>
      <c r="J149" s="5" t="s">
        <v>965</v>
      </c>
      <c r="K149" s="5">
        <v>8500.0</v>
      </c>
      <c r="L149" s="5">
        <v>1800.0</v>
      </c>
      <c r="M149" s="5">
        <v>1420000.0</v>
      </c>
      <c r="N149" s="8">
        <v>44872.0</v>
      </c>
      <c r="O149" s="5" t="s">
        <v>22</v>
      </c>
      <c r="P149" s="5" t="s">
        <v>23</v>
      </c>
      <c r="S149" s="5" t="s">
        <v>32</v>
      </c>
    </row>
    <row r="150">
      <c r="A150" s="5">
        <v>149.0</v>
      </c>
      <c r="B150" s="5" t="s">
        <v>1111</v>
      </c>
      <c r="C150" s="5" t="s">
        <v>20</v>
      </c>
      <c r="D150" s="5">
        <v>83.0</v>
      </c>
      <c r="H150" s="5" t="s">
        <v>28</v>
      </c>
      <c r="I150" s="9">
        <v>46143.74961805555</v>
      </c>
      <c r="J150" s="5" t="s">
        <v>52</v>
      </c>
      <c r="K150" s="5">
        <v>100.0</v>
      </c>
      <c r="L150" s="5">
        <v>1600.0</v>
      </c>
      <c r="M150" s="5">
        <v>1450000.0</v>
      </c>
      <c r="N150" s="8">
        <v>44221.0</v>
      </c>
      <c r="O150" s="5" t="s">
        <v>50</v>
      </c>
      <c r="P150" s="5" t="s">
        <v>23</v>
      </c>
      <c r="S150" s="5" t="s">
        <v>26</v>
      </c>
    </row>
    <row r="151">
      <c r="A151" s="5">
        <v>150.0</v>
      </c>
      <c r="B151" s="5" t="s">
        <v>1114</v>
      </c>
      <c r="C151" s="5" t="s">
        <v>20</v>
      </c>
      <c r="D151" s="5">
        <v>78.0</v>
      </c>
      <c r="H151" s="5" t="s">
        <v>28</v>
      </c>
      <c r="I151" s="9">
        <v>46118.03753472222</v>
      </c>
      <c r="J151" s="5" t="s">
        <v>21</v>
      </c>
      <c r="K151" s="5">
        <v>22000.0</v>
      </c>
      <c r="L151" s="5">
        <v>1600.0</v>
      </c>
      <c r="M151" s="5">
        <v>1340000.0</v>
      </c>
      <c r="N151" s="8">
        <v>42449.0</v>
      </c>
      <c r="O151" s="5" t="s">
        <v>22</v>
      </c>
      <c r="P151" s="5" t="s">
        <v>23</v>
      </c>
      <c r="S151" s="5" t="s">
        <v>32</v>
      </c>
    </row>
    <row r="152">
      <c r="A152" s="5">
        <v>151.0</v>
      </c>
      <c r="B152" s="5" t="s">
        <v>1116</v>
      </c>
      <c r="C152" s="5" t="s">
        <v>20</v>
      </c>
      <c r="D152" s="5">
        <v>79.0</v>
      </c>
      <c r="H152" s="5" t="s">
        <v>19</v>
      </c>
      <c r="I152" s="9">
        <v>46123.03303240741</v>
      </c>
      <c r="J152" s="5" t="s">
        <v>52</v>
      </c>
      <c r="K152" s="5">
        <v>5800.0</v>
      </c>
      <c r="L152" s="5">
        <v>13000.0</v>
      </c>
      <c r="M152" s="5">
        <v>1180000.0</v>
      </c>
      <c r="N152" s="8">
        <v>42299.0</v>
      </c>
      <c r="O152" s="5" t="s">
        <v>22</v>
      </c>
      <c r="P152" s="5" t="s">
        <v>23</v>
      </c>
      <c r="S152" s="5" t="s">
        <v>26</v>
      </c>
    </row>
    <row r="153">
      <c r="A153" s="5">
        <v>152.0</v>
      </c>
      <c r="B153" s="5" t="s">
        <v>1120</v>
      </c>
      <c r="C153" s="5" t="s">
        <v>20</v>
      </c>
      <c r="D153" s="5">
        <v>86.0</v>
      </c>
      <c r="H153" s="5" t="s">
        <v>494</v>
      </c>
      <c r="I153" s="9">
        <v>46124.92628472222</v>
      </c>
      <c r="J153" s="5" t="s">
        <v>52</v>
      </c>
      <c r="K153" s="5">
        <v>6500.0</v>
      </c>
      <c r="L153" s="5">
        <v>350.0</v>
      </c>
      <c r="M153" s="5">
        <v>1090000.0</v>
      </c>
      <c r="N153" s="8">
        <v>44195.0</v>
      </c>
      <c r="O153" s="5" t="s">
        <v>22</v>
      </c>
      <c r="P153" s="5" t="s">
        <v>23</v>
      </c>
      <c r="S153" s="5" t="s">
        <v>26</v>
      </c>
    </row>
    <row r="154">
      <c r="A154" s="5">
        <v>153.0</v>
      </c>
      <c r="B154" s="5" t="s">
        <v>1124</v>
      </c>
      <c r="C154" s="5" t="s">
        <v>20</v>
      </c>
      <c r="D154" s="5">
        <v>79.0</v>
      </c>
      <c r="H154" s="5" t="s">
        <v>19</v>
      </c>
      <c r="I154" s="9">
        <v>46162.672002314815</v>
      </c>
      <c r="J154" s="5" t="s">
        <v>110</v>
      </c>
      <c r="K154" s="5">
        <v>20000.0</v>
      </c>
      <c r="L154" s="5">
        <v>10000.0</v>
      </c>
      <c r="M154" s="5">
        <v>1120000.0</v>
      </c>
      <c r="N154" s="8">
        <v>42713.0</v>
      </c>
      <c r="O154" s="5" t="s">
        <v>22</v>
      </c>
      <c r="P154" s="5" t="s">
        <v>23</v>
      </c>
      <c r="S154" s="5" t="s">
        <v>26</v>
      </c>
    </row>
    <row r="155">
      <c r="A155" s="5">
        <v>154.0</v>
      </c>
      <c r="B155" s="5" t="s">
        <v>1127</v>
      </c>
      <c r="C155" s="5" t="s">
        <v>20</v>
      </c>
      <c r="D155" s="5">
        <v>70.0</v>
      </c>
      <c r="H155" s="5" t="s">
        <v>28</v>
      </c>
      <c r="I155" s="9">
        <v>46145.49506944444</v>
      </c>
      <c r="J155" s="5" t="s">
        <v>52</v>
      </c>
      <c r="K155" s="5">
        <v>2400.0</v>
      </c>
      <c r="L155" s="5">
        <v>1600.0</v>
      </c>
      <c r="M155" s="5">
        <v>1370000.0</v>
      </c>
      <c r="N155" s="8">
        <v>42455.0</v>
      </c>
      <c r="O155" s="5" t="s">
        <v>22</v>
      </c>
      <c r="P155" s="5" t="s">
        <v>23</v>
      </c>
      <c r="S155" s="5" t="s">
        <v>32</v>
      </c>
    </row>
    <row r="156">
      <c r="A156" s="5">
        <v>155.0</v>
      </c>
      <c r="B156" s="5" t="s">
        <v>1129</v>
      </c>
      <c r="C156" s="5" t="s">
        <v>20</v>
      </c>
      <c r="D156" s="5">
        <v>79.0</v>
      </c>
      <c r="H156" s="5" t="s">
        <v>28</v>
      </c>
      <c r="I156" s="9">
        <v>46111.516284722224</v>
      </c>
      <c r="J156" s="5" t="s">
        <v>21</v>
      </c>
      <c r="K156" s="5">
        <v>10.0</v>
      </c>
      <c r="L156" s="5">
        <v>1600.0</v>
      </c>
      <c r="M156" s="5">
        <v>1330000.0</v>
      </c>
      <c r="N156" s="8">
        <v>43248.0</v>
      </c>
      <c r="O156" s="5" t="s">
        <v>50</v>
      </c>
      <c r="P156" s="5" t="s">
        <v>23</v>
      </c>
      <c r="S156" s="5" t="s">
        <v>32</v>
      </c>
    </row>
    <row r="157">
      <c r="A157" s="5">
        <v>156.0</v>
      </c>
      <c r="B157" s="5" t="s">
        <v>1132</v>
      </c>
      <c r="C157" s="5" t="s">
        <v>20</v>
      </c>
      <c r="D157" s="5">
        <v>71.0</v>
      </c>
      <c r="H157" s="5" t="s">
        <v>1134</v>
      </c>
      <c r="I157" s="9">
        <v>46100.31234953704</v>
      </c>
      <c r="J157" s="5" t="s">
        <v>110</v>
      </c>
      <c r="K157" s="5">
        <v>50.0</v>
      </c>
      <c r="L157" s="5">
        <v>20.0</v>
      </c>
      <c r="M157" s="5">
        <v>6500.0</v>
      </c>
      <c r="N157" s="8">
        <v>44253.0</v>
      </c>
      <c r="O157" s="5" t="s">
        <v>50</v>
      </c>
      <c r="P157" s="5" t="s">
        <v>23</v>
      </c>
      <c r="S157" s="5" t="s">
        <v>26</v>
      </c>
    </row>
    <row r="158">
      <c r="A158" s="5">
        <v>157.0</v>
      </c>
      <c r="B158" s="5" t="s">
        <v>1136</v>
      </c>
      <c r="C158" s="5" t="s">
        <v>20</v>
      </c>
      <c r="D158" s="5">
        <v>81.0</v>
      </c>
      <c r="H158" s="5" t="s">
        <v>19</v>
      </c>
      <c r="I158" s="9">
        <v>46084.92936342592</v>
      </c>
      <c r="K158" s="5">
        <v>29000.0</v>
      </c>
      <c r="L158" s="5">
        <v>13000.0</v>
      </c>
      <c r="M158" s="5">
        <v>1130000.0</v>
      </c>
      <c r="N158" s="8">
        <v>42432.0</v>
      </c>
      <c r="O158" s="5" t="s">
        <v>22</v>
      </c>
      <c r="P158" s="5" t="s">
        <v>23</v>
      </c>
      <c r="S158" s="5" t="s">
        <v>26</v>
      </c>
    </row>
    <row r="159">
      <c r="A159" s="5">
        <v>158.0</v>
      </c>
      <c r="B159" s="5" t="s">
        <v>1139</v>
      </c>
      <c r="C159" s="5" t="s">
        <v>20</v>
      </c>
      <c r="D159" s="5">
        <v>50.0</v>
      </c>
      <c r="H159" s="5" t="s">
        <v>158</v>
      </c>
      <c r="I159" s="9">
        <v>46100.08201388889</v>
      </c>
      <c r="J159" s="5" t="s">
        <v>52</v>
      </c>
      <c r="K159" s="5">
        <v>6100.0</v>
      </c>
      <c r="L159" s="5">
        <v>0.0</v>
      </c>
      <c r="M159" s="5">
        <v>44000.0</v>
      </c>
      <c r="N159" s="8">
        <v>42557.0</v>
      </c>
      <c r="O159" s="5" t="s">
        <v>22</v>
      </c>
      <c r="P159" s="5" t="s">
        <v>23</v>
      </c>
      <c r="S159" s="5" t="s">
        <v>26</v>
      </c>
    </row>
    <row r="160">
      <c r="A160" s="5">
        <v>159.0</v>
      </c>
      <c r="B160" s="5" t="s">
        <v>1142</v>
      </c>
      <c r="C160" s="5" t="s">
        <v>20</v>
      </c>
      <c r="D160" s="5">
        <v>78.0</v>
      </c>
      <c r="H160" s="5" t="s">
        <v>28</v>
      </c>
      <c r="I160" s="9">
        <v>46161.601111111115</v>
      </c>
      <c r="J160" s="5" t="s">
        <v>29</v>
      </c>
      <c r="K160" s="5">
        <v>60.0</v>
      </c>
      <c r="L160" s="5">
        <v>1100.0</v>
      </c>
      <c r="M160" s="5">
        <v>1370000.0</v>
      </c>
      <c r="N160" s="8">
        <v>44244.0</v>
      </c>
      <c r="O160" s="5" t="s">
        <v>22</v>
      </c>
      <c r="P160" s="5" t="s">
        <v>23</v>
      </c>
      <c r="S160" s="5" t="s">
        <v>32</v>
      </c>
    </row>
    <row r="161">
      <c r="A161" s="5">
        <v>160.0</v>
      </c>
      <c r="B161" s="5" t="s">
        <v>1145</v>
      </c>
      <c r="C161" s="5" t="s">
        <v>20</v>
      </c>
      <c r="D161" s="5">
        <v>82.0</v>
      </c>
      <c r="H161" s="5" t="s">
        <v>28</v>
      </c>
      <c r="I161" s="9">
        <v>46083.6649537037</v>
      </c>
      <c r="J161" s="5" t="s">
        <v>29</v>
      </c>
      <c r="K161" s="5">
        <v>600.0</v>
      </c>
      <c r="L161" s="5">
        <v>1800.0</v>
      </c>
      <c r="M161" s="5">
        <v>1420000.0</v>
      </c>
      <c r="N161" s="8">
        <v>44251.0</v>
      </c>
      <c r="O161" s="5" t="s">
        <v>22</v>
      </c>
      <c r="P161" s="5" t="s">
        <v>23</v>
      </c>
      <c r="S161" s="5" t="s">
        <v>32</v>
      </c>
    </row>
    <row r="162">
      <c r="A162" s="5">
        <v>161.0</v>
      </c>
      <c r="B162" s="5" t="s">
        <v>1148</v>
      </c>
      <c r="C162" s="5" t="s">
        <v>20</v>
      </c>
      <c r="D162" s="5">
        <v>58.0</v>
      </c>
      <c r="H162" s="5" t="s">
        <v>787</v>
      </c>
      <c r="I162" s="9">
        <v>46088.00481481481</v>
      </c>
      <c r="J162" s="5" t="s">
        <v>52</v>
      </c>
      <c r="K162" s="5">
        <v>31000.0</v>
      </c>
      <c r="L162" s="5">
        <v>40.0</v>
      </c>
      <c r="M162" s="5">
        <v>185000.0</v>
      </c>
      <c r="N162" s="8">
        <v>43015.0</v>
      </c>
      <c r="O162" s="5" t="s">
        <v>50</v>
      </c>
      <c r="P162" s="5" t="s">
        <v>23</v>
      </c>
      <c r="S162" s="5" t="s">
        <v>32</v>
      </c>
    </row>
  </sheetData>
  <drawing r:id="rId1"/>
</worksheet>
</file>